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Setup" sheetId="2" state="hidden" r:id="rId4"/>
    <sheet name="Exceptions" sheetId="3" state="visible" r:id="rId5"/>
    <sheet name="Warnings" sheetId="4" state="visible" r:id="rId6"/>
    <sheet name="Reviewed_Monitor" sheetId="5" state="visible" r:id="rId7"/>
    <sheet name="Passed Controls" sheetId="6" state="visible" r:id="rId8"/>
    <sheet name="Source Validation" sheetId="7" state="visible" r:id="rId9"/>
    <sheet name="Changes Since Last Review" sheetId="8" state="visible" r:id="rId10"/>
    <sheet name="Review History" sheetId="9" state="visible" r:id="rId11"/>
    <sheet name="Rule Library" sheetId="10" state="hidden" r:id="rId12"/>
  </sheets>
  <definedNames>
    <definedName function="false" hidden="false" localSheetId="0" name="_xlnm.Print_Area" vbProcedure="false">'Executive Summary'!$A$1:$H$26</definedName>
    <definedName function="false" hidden="false" name="FindingType" vbProcedure="false">Setup!$B$2:$F$2</definedName>
    <definedName function="false" hidden="false" name="OverallStatus" vbProcedure="false">Setup!$B$4:$E$4</definedName>
    <definedName function="false" hidden="false" name="SourceStatus" vbProcedure="false">Setup!$B$3:$E$3</definedName>
    <definedName function="false" hidden="false" name="StatusOptions" vbProcedure="false">Setup!$B$1:$G$1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<sst xmlns="http://schemas.openxmlformats.org/spreadsheetml/2006/main" count="292" uniqueCount="161">
  <si>
    <t xml:space="preserve">ACCOUNTING INTERNAL REVIEW REPORT</t>
  </si>
  <si>
    <t xml:space="preserve">Created by Rowena Chen and Thai Phan</t>
  </si>
  <si>
    <t xml:space="preserve">Property Code</t>
  </si>
  <si>
    <t xml:space="preserve">Review Attempt</t>
  </si>
  <si>
    <t xml:space="preserve">Property Name</t>
  </si>
  <si>
    <t xml:space="preserve">Submission Type</t>
  </si>
  <si>
    <t xml:space="preserve">Review Period</t>
  </si>
  <si>
    <t xml:space="preserve">Review Date</t>
  </si>
  <si>
    <t xml:space="preserve">OVERALL REVIEW STATUS</t>
  </si>
  <si>
    <t xml:space="preserve">Exceptions</t>
  </si>
  <si>
    <t xml:space="preserve">Warnings</t>
  </si>
  <si>
    <t xml:space="preserve">Reviewed / Monitor</t>
  </si>
  <si>
    <t xml:space="preserve">Passed</t>
  </si>
  <si>
    <t xml:space="preserve">SOURCE COMPLETENESS</t>
  </si>
  <si>
    <t xml:space="preserve">Required Sources Found</t>
  </si>
  <si>
    <t xml:space="preserve">Required Sources</t>
  </si>
  <si>
    <t xml:space="preserve">Completeness</t>
  </si>
  <si>
    <t xml:space="preserve">MANAGER CONCLUSION</t>
  </si>
  <si>
    <t xml:space="preserve">Conclusion / Key Matters:</t>
  </si>
  <si>
    <t xml:space="preserve">Manager Sign-off:</t>
  </si>
  <si>
    <t xml:space="preserve">Date:</t>
  </si>
  <si>
    <t xml:space="preserve">StatusOptions</t>
  </si>
  <si>
    <t xml:space="preserve">Not Reviewed</t>
  </si>
  <si>
    <t xml:space="preserve">Pass</t>
  </si>
  <si>
    <t xml:space="preserve">Warning</t>
  </si>
  <si>
    <t xml:space="preserve">Exception</t>
  </si>
  <si>
    <t xml:space="preserve">N/A</t>
  </si>
  <si>
    <t xml:space="preserve">FindingType</t>
  </si>
  <si>
    <t xml:space="preserve">New</t>
  </si>
  <si>
    <t xml:space="preserve">Unresolved</t>
  </si>
  <si>
    <t xml:space="preserve">Resolved</t>
  </si>
  <si>
    <t xml:space="preserve">SourceStatus</t>
  </si>
  <si>
    <t xml:space="preserve">Found</t>
  </si>
  <si>
    <t xml:space="preserve">Missing</t>
  </si>
  <si>
    <t xml:space="preserve">Multiple Versions</t>
  </si>
  <si>
    <t xml:space="preserve">Not Applicable</t>
  </si>
  <si>
    <t xml:space="preserve">OverallStatus</t>
  </si>
  <si>
    <t xml:space="preserve">Not Started</t>
  </si>
  <si>
    <t xml:space="preserve">Not Ready</t>
  </si>
  <si>
    <t xml:space="preserve">Ready With Comments</t>
  </si>
  <si>
    <t xml:space="preserve">Ready for Release</t>
  </si>
  <si>
    <t xml:space="preserve">EXCEPTIONS</t>
  </si>
  <si>
    <t xml:space="preserve">Result ID</t>
  </si>
  <si>
    <t xml:space="preserve">Rule ID</t>
  </si>
  <si>
    <t xml:space="preserve">Finding Type</t>
  </si>
  <si>
    <t xml:space="preserve">Category</t>
  </si>
  <si>
    <t xml:space="preserve">Account / Item</t>
  </si>
  <si>
    <t xml:space="preserve">Test Performed</t>
  </si>
  <si>
    <t xml:space="preserve">Status</t>
  </si>
  <si>
    <t xml:space="preserve">Source 1</t>
  </si>
  <si>
    <t xml:space="preserve">Source 2</t>
  </si>
  <si>
    <t xml:space="preserve">Source Value</t>
  </si>
  <si>
    <t xml:space="preserve">Comparison Value</t>
  </si>
  <si>
    <t xml:space="preserve">Difference / Variance / Age</t>
  </si>
  <si>
    <t xml:space="preserve">Finding</t>
  </si>
  <si>
    <t xml:space="preserve">Required Action</t>
  </si>
  <si>
    <t xml:space="preserve">WARNINGS</t>
  </si>
  <si>
    <t xml:space="preserve">REVIEWED_MONITOR</t>
  </si>
  <si>
    <t xml:space="preserve">PASSED CONTROLS</t>
  </si>
  <si>
    <t xml:space="preserve">SOURCE VALIDATION</t>
  </si>
  <si>
    <t xml:space="preserve">Document Type</t>
  </si>
  <si>
    <t xml:space="preserve">Requirement</t>
  </si>
  <si>
    <t xml:space="preserve">Detected File</t>
  </si>
  <si>
    <t xml:space="preserve">Property Match</t>
  </si>
  <si>
    <t xml:space="preserve">Period Match</t>
  </si>
  <si>
    <t xml:space="preserve">Accepted Filename Text</t>
  </si>
  <si>
    <t xml:space="preserve">Notes</t>
  </si>
  <si>
    <t xml:space="preserve">Balance Sheet Support Schedule</t>
  </si>
  <si>
    <t xml:space="preserve">Required</t>
  </si>
  <si>
    <t xml:space="preserve">BS Support Schedule or BSSS</t>
  </si>
  <si>
    <t xml:space="preserve">Trial Balance</t>
  </si>
  <si>
    <t xml:space="preserve">trial_balance or TB</t>
  </si>
  <si>
    <t xml:space="preserve">General Ledger Detail</t>
  </si>
  <si>
    <t xml:space="preserve">General_Ledger or GL</t>
  </si>
  <si>
    <t xml:space="preserve">T12</t>
  </si>
  <si>
    <t xml:space="preserve">12_month_statement</t>
  </si>
  <si>
    <t xml:space="preserve">Budget Comparison</t>
  </si>
  <si>
    <t xml:space="preserve">budget_comparison or BC</t>
  </si>
  <si>
    <t xml:space="preserve">Bank Reconciliation</t>
  </si>
  <si>
    <t xml:space="preserve">Conditional</t>
  </si>
  <si>
    <t xml:space="preserve">bank reconciliation or bank rec</t>
  </si>
  <si>
    <t xml:space="preserve">Required if cash exists</t>
  </si>
  <si>
    <t xml:space="preserve">Mortgage Statement</t>
  </si>
  <si>
    <t xml:space="preserve">mortgage statement or mortgage</t>
  </si>
  <si>
    <t xml:space="preserve">Required if debt exists</t>
  </si>
  <si>
    <t xml:space="preserve">CHANGES SINCE LAST REVIEW</t>
  </si>
  <si>
    <t xml:space="preserve">Resolved Findings</t>
  </si>
  <si>
    <t xml:space="preserve">Prior Finding</t>
  </si>
  <si>
    <t xml:space="preserve">Prior Attempt</t>
  </si>
  <si>
    <t xml:space="preserve">Current Status</t>
  </si>
  <si>
    <t xml:space="preserve">Resolution</t>
  </si>
  <si>
    <t xml:space="preserve">Unresolved Findings</t>
  </si>
  <si>
    <t xml:space="preserve">First Identified</t>
  </si>
  <si>
    <t xml:space="preserve">Current Attempt</t>
  </si>
  <si>
    <t xml:space="preserve">New Findings</t>
  </si>
  <si>
    <t xml:space="preserve">REVIEW HISTORY</t>
  </si>
  <si>
    <t xml:space="preserve">Overall Status</t>
  </si>
  <si>
    <t xml:space="preserve">Report Filename</t>
  </si>
  <si>
    <t xml:space="preserve">INTERNAL REVIEW RULE LIBRARY</t>
  </si>
  <si>
    <t xml:space="preserve">Review Procedure</t>
  </si>
  <si>
    <t xml:space="preserve">Source</t>
  </si>
  <si>
    <t xml:space="preserve">Threshold / Condition</t>
  </si>
  <si>
    <t xml:space="preserve">Default Result</t>
  </si>
  <si>
    <t xml:space="preserve">SRC-01</t>
  </si>
  <si>
    <t xml:space="preserve">Source Validation</t>
  </si>
  <si>
    <t xml:space="preserve">Missing required source</t>
  </si>
  <si>
    <t xml:space="preserve">Internal Review folder</t>
  </si>
  <si>
    <t xml:space="preserve">CASH-01</t>
  </si>
  <si>
    <t xml:space="preserve">Cash</t>
  </si>
  <si>
    <t xml:space="preserve">Bank Rec GL ties to TB cash</t>
  </si>
  <si>
    <t xml:space="preserve">Bank Rec + TB</t>
  </si>
  <si>
    <t xml:space="preserve">Difference = $0.00</t>
  </si>
  <si>
    <t xml:space="preserve">CASH-02</t>
  </si>
  <si>
    <t xml:space="preserve">Outstanding checks</t>
  </si>
  <si>
    <t xml:space="preserve">Bank Rec</t>
  </si>
  <si>
    <t xml:space="preserve">Age &gt; 60 days</t>
  </si>
  <si>
    <t xml:space="preserve">CASH-03</t>
  </si>
  <si>
    <t xml:space="preserve">Other reconciling items</t>
  </si>
  <si>
    <t xml:space="preserve">BSSS-01</t>
  </si>
  <si>
    <t xml:space="preserve">BSSS</t>
  </si>
  <si>
    <t xml:space="preserve">Every schedule ties to TB</t>
  </si>
  <si>
    <t xml:space="preserve">BSSS + TB</t>
  </si>
  <si>
    <t xml:space="preserve">AR-01</t>
  </si>
  <si>
    <t xml:space="preserve">AR Other</t>
  </si>
  <si>
    <t xml:space="preserve">Aged open items</t>
  </si>
  <si>
    <t xml:space="preserve">BSSS + GL</t>
  </si>
  <si>
    <t xml:space="preserve">Age &gt; 30 days</t>
  </si>
  <si>
    <t xml:space="preserve">AP-01</t>
  </si>
  <si>
    <t xml:space="preserve">AP Other</t>
  </si>
  <si>
    <t xml:space="preserve">DEBT-01</t>
  </si>
  <si>
    <t xml:space="preserve">Mortgage</t>
  </si>
  <si>
    <t xml:space="preserve">Principal ties to TB liability</t>
  </si>
  <si>
    <t xml:space="preserve">Mortgage + TB</t>
  </si>
  <si>
    <t xml:space="preserve">ACCR-01</t>
  </si>
  <si>
    <t xml:space="preserve">Accruals</t>
  </si>
  <si>
    <t xml:space="preserve">Prior accruals clear before new items</t>
  </si>
  <si>
    <t xml:space="preserve">GL Detail</t>
  </si>
  <si>
    <t xml:space="preserve">Running balance = $0.00</t>
  </si>
  <si>
    <t xml:space="preserve">MAJOR-01</t>
  </si>
  <si>
    <t xml:space="preserve">Major Expenses</t>
  </si>
  <si>
    <t xml:space="preserve">Expected expense present</t>
  </si>
  <si>
    <t xml:space="preserve">BC + GL</t>
  </si>
  <si>
    <t xml:space="preserve">Missing one month</t>
  </si>
  <si>
    <t xml:space="preserve">MAJOR-02</t>
  </si>
  <si>
    <t xml:space="preserve">Reasonableness</t>
  </si>
  <si>
    <t xml:space="preserve">Invoice/history/budget</t>
  </si>
  <si>
    <t xml:space="preserve">&gt;15% OR &gt;$5,000</t>
  </si>
  <si>
    <t xml:space="preserve">UTIL-01</t>
  </si>
  <si>
    <t xml:space="preserve">Utilities</t>
  </si>
  <si>
    <t xml:space="preserve">Reasonableness vs trend</t>
  </si>
  <si>
    <t xml:space="preserve">T12 + GL</t>
  </si>
  <si>
    <t xml:space="preserve">&gt;20% change</t>
  </si>
  <si>
    <t xml:space="preserve">UTIL-02</t>
  </si>
  <si>
    <t xml:space="preserve">Expected activity present</t>
  </si>
  <si>
    <t xml:space="preserve">History and current = $0</t>
  </si>
  <si>
    <t xml:space="preserve">T12-02</t>
  </si>
  <si>
    <t xml:space="preserve">Material trend</t>
  </si>
  <si>
    <t xml:space="preserve">CONT-02</t>
  </si>
  <si>
    <t xml:space="preserve">Recurring Contracts</t>
  </si>
  <si>
    <t xml:space="preserve">Missing current activity</t>
  </si>
  <si>
    <t xml:space="preserve">6+ months and current = $0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</si>
</sst>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\$#,##0.00;[RED]&quot;($&quot;#,##0.0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2"/>
      <charset val="1"/>
    </font>
    <font>
      <i val="true"/>
      <sz val="8"/>
      <color rgb="FF808080"/>
      <name val="Calibri"/>
      <family val="2"/>
      <charset val="1"/>
    </font>
    <font>
      <b val="true"/>
      <sz val="11"/>
      <color rgb="FF666666"/>
      <name val="Calibri"/>
      <family val="2"/>
      <charset val="1"/>
    </font>
    <font>
      <sz val="11"/>
      <color rgb="FF0000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b val="true"/>
      <sz val="11"/>
      <color rgb="FFC65911"/>
      <name val="Calibri"/>
      <family val="2"/>
      <charset val="1"/>
    </font>
    <font>
      <b val="true"/>
      <sz val="11"/>
      <color rgb="FF17365D"/>
      <name val="Calibri"/>
      <family val="2"/>
      <charset val="1"/>
    </font>
    <font>
      <b val="true"/>
      <sz val="11"/>
      <color rgb="FF548235"/>
      <name val="Calibri"/>
      <family val="2"/>
      <charset val="1"/>
    </font>
    <font>
      <b val="true"/>
      <sz val="20"/>
      <color rgb="FFC00000"/>
      <name val="Calibri"/>
      <family val="2"/>
      <charset val="1"/>
    </font>
    <font>
      <b val="true"/>
      <sz val="20"/>
      <color rgb="FFC65911"/>
      <name val="Calibri"/>
      <family val="2"/>
      <charset val="1"/>
    </font>
    <font>
      <b val="true"/>
      <sz val="20"/>
      <color rgb="FF17365D"/>
      <name val="Calibri"/>
      <family val="2"/>
      <charset val="1"/>
    </font>
    <font>
      <b val="true"/>
      <sz val="20"/>
      <color rgb="FF548235"/>
      <name val="Calibri"/>
      <family val="2"/>
      <charset val="1"/>
    </font>
    <font>
      <sz val="11"/>
      <color rgb="FF666666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E2F0D9"/>
      </patternFill>
    </fill>
    <fill>
      <patternFill patternType="solid">
        <fgColor rgb="FF0F6B78"/>
        <bgColor rgb="FF008080"/>
      </patternFill>
    </fill>
    <fill>
      <patternFill patternType="solid">
        <fgColor rgb="FFF4CCCC"/>
        <bgColor rgb="FFD9E1F2"/>
      </patternFill>
    </fill>
    <fill>
      <patternFill patternType="solid">
        <fgColor rgb="FFD9EAF7"/>
        <bgColor rgb="FFD9E1F2"/>
      </patternFill>
    </fill>
    <fill>
      <patternFill patternType="solid">
        <fgColor rgb="FFE2F0D9"/>
        <bgColor rgb="FFD9EAF7"/>
      </patternFill>
    </fill>
    <fill>
      <patternFill patternType="solid">
        <fgColor rgb="FF4472C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F6B78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Exceptions" displayName="tblExceptions" ref="A3:P103" headerRowCount="1" totalsRowCount="0" totalsRowShown="0">
  <autoFilter ref="A3:P103"/>
  <tableColumns count="16">
    <tableColumn id="1" name="Result ID"/>
    <tableColumn id="2" name="Rule ID"/>
    <tableColumn id="3" name="Finding Type"/>
    <tableColumn id="4" name="Property Code"/>
    <tableColumn id="5" name="Review Period"/>
    <tableColumn id="6" name="Category"/>
    <tableColumn id="7" name="Account / Item"/>
    <tableColumn id="8" name="Test Performed"/>
    <tableColumn id="9" name="Status"/>
    <tableColumn id="10" name="Source 1"/>
    <tableColumn id="11" name="Source 2"/>
    <tableColumn id="12" name="Source Value"/>
    <tableColumn id="13" name="Comparison Value"/>
    <tableColumn id="14" name="Difference / Variance / Age"/>
    <tableColumn id="15" name="Finding"/>
    <tableColumn id="16" name="Required Action"/>
  </tableColumns>
</table>
</file>

<file path=xl/tables/table2.xml><?xml version="1.0" encoding="utf-8"?>
<table xmlns="http://schemas.openxmlformats.org/spreadsheetml/2006/main" id="2" name="tblMonitor" displayName="tblMonitor" ref="A3:P103" headerRowCount="1" totalsRowCount="0" totalsRowShown="0">
  <autoFilter ref="A3:P103"/>
  <tableColumns count="16">
    <tableColumn id="1" name="Result ID"/>
    <tableColumn id="2" name="Rule ID"/>
    <tableColumn id="3" name="Finding Type"/>
    <tableColumn id="4" name="Property Code"/>
    <tableColumn id="5" name="Review Period"/>
    <tableColumn id="6" name="Category"/>
    <tableColumn id="7" name="Account / Item"/>
    <tableColumn id="8" name="Test Performed"/>
    <tableColumn id="9" name="Status"/>
    <tableColumn id="10" name="Source 1"/>
    <tableColumn id="11" name="Source 2"/>
    <tableColumn id="12" name="Source Value"/>
    <tableColumn id="13" name="Comparison Value"/>
    <tableColumn id="14" name="Difference / Variance / Age"/>
    <tableColumn id="15" name="Finding"/>
    <tableColumn id="16" name="Required Action"/>
  </tableColumns>
</table>
</file>

<file path=xl/tables/table3.xml><?xml version="1.0" encoding="utf-8"?>
<table xmlns="http://schemas.openxmlformats.org/spreadsheetml/2006/main" id="3" name="tblPassed" displayName="tblPassed" ref="A3:P103" headerRowCount="1" totalsRowCount="0" totalsRowShown="0">
  <autoFilter ref="A3:P103"/>
  <tableColumns count="16">
    <tableColumn id="1" name="Result ID"/>
    <tableColumn id="2" name="Rule ID"/>
    <tableColumn id="3" name="Finding Type"/>
    <tableColumn id="4" name="Property Code"/>
    <tableColumn id="5" name="Review Period"/>
    <tableColumn id="6" name="Category"/>
    <tableColumn id="7" name="Account / Item"/>
    <tableColumn id="8" name="Test Performed"/>
    <tableColumn id="9" name="Status"/>
    <tableColumn id="10" name="Source 1"/>
    <tableColumn id="11" name="Source 2"/>
    <tableColumn id="12" name="Source Value"/>
    <tableColumn id="13" name="Comparison Value"/>
    <tableColumn id="14" name="Difference / Variance / Age"/>
    <tableColumn id="15" name="Finding"/>
    <tableColumn id="16" name="Required Action"/>
  </tableColumns>
</table>
</file>

<file path=xl/tables/table4.xml><?xml version="1.0" encoding="utf-8"?>
<table xmlns="http://schemas.openxmlformats.org/spreadsheetml/2006/main" id="4" name="tblReviewHistory" displayName="tblReviewHistory" ref="A3:H53" headerRowCount="1" totalsRowCount="0" totalsRowShown="0">
  <autoFilter ref="A3:H53"/>
  <tableColumns count="8">
    <tableColumn id="1" name="Review Attempt"/>
    <tableColumn id="2" name="Submission Type"/>
    <tableColumn id="3" name="Review Date"/>
    <tableColumn id="4" name="Overall Status"/>
    <tableColumn id="5" name="Exceptions"/>
    <tableColumn id="6" name="Warnings"/>
    <tableColumn id="7" name="Reviewed / Monitor"/>
    <tableColumn id="8" name="Report Filename"/>
  </tableColumns>
</table>
</file>

<file path=xl/tables/table5.xml><?xml version="1.0" encoding="utf-8"?>
<table xmlns="http://schemas.openxmlformats.org/spreadsheetml/2006/main" id="5" name="tblRules" displayName="tblRules" ref="A3:F18" headerRowCount="1" totalsRowCount="0" totalsRowShown="0">
  <autoFilter ref="A3:F18"/>
  <tableColumns count="6">
    <tableColumn id="1" name="Rule ID"/>
    <tableColumn id="2" name="Category"/>
    <tableColumn id="3" name="Review Procedure"/>
    <tableColumn id="4" name="Source"/>
    <tableColumn id="5" name="Threshold / Condition"/>
    <tableColumn id="6" name="Default Result"/>
  </tableColumns>
</table>
</file>

<file path=xl/tables/table6.xml><?xml version="1.0" encoding="utf-8"?>
<table xmlns="http://schemas.openxmlformats.org/spreadsheetml/2006/main" id="6" name="tblSourceValidation" displayName="tblSourceValidation" ref="A3:H10" headerRowCount="1" totalsRowCount="0" totalsRowShown="0">
  <autoFilter ref="A3:H10"/>
  <tableColumns count="8">
    <tableColumn id="1" name="Document Type"/>
    <tableColumn id="2" name="Requirement"/>
    <tableColumn id="3" name="Detected File"/>
    <tableColumn id="4" name="Property Match"/>
    <tableColumn id="5" name="Period Match"/>
    <tableColumn id="6" name="Status"/>
    <tableColumn id="7" name="Accepted Filename Text"/>
    <tableColumn id="8" name="Notes"/>
  </tableColumns>
</table>
</file>

<file path=xl/tables/table7.xml><?xml version="1.0" encoding="utf-8"?>
<table xmlns="http://schemas.openxmlformats.org/spreadsheetml/2006/main" id="7" name="tblWarnings" displayName="tblWarnings" ref="A3:P103" headerRowCount="1" totalsRowCount="0" totalsRowShown="0">
  <autoFilter ref="A3:P103"/>
  <tableColumns count="16">
    <tableColumn id="1" name="Result ID"/>
    <tableColumn id="2" name="Rule ID"/>
    <tableColumn id="3" name="Finding Type"/>
    <tableColumn id="4" name="Property Code"/>
    <tableColumn id="5" name="Review Period"/>
    <tableColumn id="6" name="Category"/>
    <tableColumn id="7" name="Account / Item"/>
    <tableColumn id="8" name="Test Performed"/>
    <tableColumn id="9" name="Status"/>
    <tableColumn id="10" name="Source 1"/>
    <tableColumn id="11" name="Source 2"/>
    <tableColumn id="12" name="Source Value"/>
    <tableColumn id="13" name="Comparison Value"/>
    <tableColumn id="14" name="Difference / Variance / Age"/>
    <tableColumn id="15" name="Finding"/>
    <tableColumn id="16" name="Required Ac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.71"/>
    <col collapsed="false" customWidth="true" hidden="false" outlineLevel="0" max="2" min="2" style="0" width="13.71"/>
    <col collapsed="false" customWidth="true" hidden="false" outlineLevel="0" max="4" min="3" style="0" width="14.71"/>
    <col collapsed="false" customWidth="true" hidden="false" outlineLevel="0" max="5" min="5" style="0" width="20.71"/>
    <col collapsed="false" customWidth="true" hidden="false" outlineLevel="0" max="8" min="6" style="0" width="18.7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H2" s="2" t="s">
        <v>1</v>
      </c>
    </row>
    <row r="3" customFormat="false" ht="15" hidden="false" customHeight="false" outlineLevel="0" collapsed="false">
      <c r="A3" s="3" t="s">
        <v>2</v>
      </c>
      <c r="C3" s="4"/>
      <c r="E3" s="3" t="s">
        <v>3</v>
      </c>
      <c r="G3" s="4"/>
    </row>
    <row r="4" customFormat="false" ht="15" hidden="false" customHeight="false" outlineLevel="0" collapsed="false">
      <c r="A4" s="3" t="s">
        <v>4</v>
      </c>
      <c r="C4" s="4"/>
      <c r="E4" s="3" t="s">
        <v>5</v>
      </c>
      <c r="G4" s="4"/>
    </row>
    <row r="5" customFormat="false" ht="15" hidden="false" customHeight="false" outlineLevel="0" collapsed="false">
      <c r="A5" s="3" t="s">
        <v>6</v>
      </c>
      <c r="C5" s="4"/>
      <c r="E5" s="3" t="s">
        <v>7</v>
      </c>
      <c r="G5" s="4"/>
    </row>
    <row r="7" customFormat="false" ht="17.35" hidden="false" customHeight="false" outlineLevel="0" collapsed="false">
      <c r="A7" s="5" t="s">
        <v>8</v>
      </c>
      <c r="B7" s="5"/>
      <c r="C7" s="5"/>
      <c r="D7" s="6" t="str">
        <f aca="false">IF(COUNTIF(Exceptions!$I$4:$I$103,"Exception")&gt;0,"NOT READY",IF(OR(COUNTIF(Warnings!$I$4:$I$103,"Warning")&gt;0,COUNTIF(Reviewed_Monitor!$I$4:$I$103,"Reviewed / Monitor")&gt;0),"READY WITH COMMENTS",IF(COUNTIF('Passed Controls'!$I$4:$I$103,"Pass")&gt;0,"READY FOR RELEASE","NOT STARTED")))</f>
        <v>NOT STARTED</v>
      </c>
      <c r="E7" s="6"/>
      <c r="F7" s="6"/>
      <c r="G7" s="6"/>
      <c r="H7" s="6"/>
    </row>
    <row r="9" customFormat="false" ht="15" hidden="false" customHeight="false" outlineLevel="0" collapsed="false">
      <c r="A9" s="7" t="s">
        <v>9</v>
      </c>
      <c r="B9" s="7"/>
      <c r="C9" s="8" t="s">
        <v>10</v>
      </c>
      <c r="D9" s="8"/>
      <c r="E9" s="9" t="s">
        <v>11</v>
      </c>
      <c r="F9" s="9"/>
      <c r="G9" s="10" t="s">
        <v>12</v>
      </c>
      <c r="H9" s="10"/>
    </row>
    <row r="10" customFormat="false" ht="15" hidden="false" customHeight="false" outlineLevel="0" collapsed="false">
      <c r="A10" s="11" t="n">
        <f aca="false">COUNTIF(Exceptions!$I$4:$I$103,"Exception")</f>
        <v>0</v>
      </c>
      <c r="B10" s="11"/>
      <c r="C10" s="12" t="n">
        <f aca="false">COUNTIF(Warnings!$I$4:$I$103,"Warning")</f>
        <v>0</v>
      </c>
      <c r="D10" s="12"/>
      <c r="E10" s="13" t="n">
        <f aca="false">COUNTIF(Reviewed_Monitor!$I$4:$I$103,"Reviewed / Monitor")</f>
        <v>0</v>
      </c>
      <c r="F10" s="13"/>
      <c r="G10" s="14" t="n">
        <f aca="false">COUNTIF('Passed Controls'!$I$4:$I$103,"Pass")</f>
        <v>0</v>
      </c>
      <c r="H10" s="14"/>
    </row>
    <row r="11" customFormat="false" ht="15" hidden="false" customHeight="false" outlineLevel="0" collapsed="false">
      <c r="A11" s="11"/>
      <c r="B11" s="11"/>
      <c r="C11" s="12"/>
      <c r="D11" s="12"/>
      <c r="E11" s="13"/>
      <c r="F11" s="13"/>
      <c r="G11" s="14"/>
      <c r="H11" s="14"/>
    </row>
    <row r="13" customFormat="false" ht="15" hidden="false" customHeight="false" outlineLevel="0" collapsed="false">
      <c r="A13" s="5" t="s">
        <v>13</v>
      </c>
      <c r="B13" s="5"/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15" t="s">
        <v>14</v>
      </c>
      <c r="C14" s="16" t="n">
        <f aca="false">COUNTIFS('Source Validation'!$B$4:$B$10,"Required",'Source Validation'!$F$4:$F$10,"Found")</f>
        <v>0</v>
      </c>
      <c r="E14" s="15" t="s">
        <v>15</v>
      </c>
      <c r="G14" s="16" t="n">
        <f aca="false">COUNTIF('Source Validation'!$B$4:$B$10,"Required")</f>
        <v>5</v>
      </c>
    </row>
    <row r="15" customFormat="false" ht="15" hidden="false" customHeight="false" outlineLevel="0" collapsed="false">
      <c r="A15" s="15" t="s">
        <v>16</v>
      </c>
      <c r="C15" s="17" t="n">
        <f aca="false">IFERROR(C14/G14,0)</f>
        <v>0</v>
      </c>
    </row>
    <row r="17" customFormat="false" ht="15" hidden="false" customHeight="false" outlineLevel="0" collapsed="false">
      <c r="A17" s="5" t="s">
        <v>17</v>
      </c>
      <c r="B17" s="5"/>
      <c r="C17" s="5"/>
      <c r="D17" s="5"/>
      <c r="E17" s="5"/>
      <c r="F17" s="5"/>
      <c r="G17" s="5"/>
      <c r="H17" s="5"/>
    </row>
    <row r="18" customFormat="false" ht="15" hidden="false" customHeight="false" outlineLevel="0" collapsed="false">
      <c r="A18" s="3" t="s">
        <v>18</v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5" customFormat="false" ht="15" hidden="false" customHeight="false" outlineLevel="0" collapsed="false">
      <c r="A25" s="18" t="s">
        <v>19</v>
      </c>
      <c r="C25" s="4"/>
      <c r="D25" s="4"/>
      <c r="E25" s="4"/>
      <c r="F25" s="18" t="s">
        <v>20</v>
      </c>
      <c r="G25" s="4"/>
      <c r="H25" s="4"/>
    </row>
  </sheetData>
  <mergeCells count="16">
    <mergeCell ref="A1:H1"/>
    <mergeCell ref="A7:C7"/>
    <mergeCell ref="D7:H7"/>
    <mergeCell ref="A9:B9"/>
    <mergeCell ref="C9:D9"/>
    <mergeCell ref="E9:F9"/>
    <mergeCell ref="G9:H9"/>
    <mergeCell ref="A10:B11"/>
    <mergeCell ref="C10:D11"/>
    <mergeCell ref="E10:F11"/>
    <mergeCell ref="G10:H11"/>
    <mergeCell ref="A13:H13"/>
    <mergeCell ref="A17:H17"/>
    <mergeCell ref="A19:H23"/>
    <mergeCell ref="C25:E25"/>
    <mergeCell ref="G25:H25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&amp;CGreystar Internal Review Agent v1.1 | Created by Rowena Chen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11</v>
      </c>
      <c r="G1" s="0" t="s">
        <v>26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s">
        <v>29</v>
      </c>
      <c r="D2" s="0" t="s">
        <v>30</v>
      </c>
      <c r="E2" s="0" t="s">
        <v>11</v>
      </c>
      <c r="F2" s="0" t="s">
        <v>26</v>
      </c>
    </row>
    <row r="3" customFormat="false" ht="15" hidden="false" customHeight="false" outlineLevel="0" collapsed="false">
      <c r="A3" s="0" t="s">
        <v>31</v>
      </c>
      <c r="B3" s="0" t="s">
        <v>32</v>
      </c>
      <c r="C3" s="0" t="s">
        <v>33</v>
      </c>
      <c r="D3" s="0" t="s">
        <v>34</v>
      </c>
      <c r="E3" s="0" t="s">
        <v>35</v>
      </c>
    </row>
    <row r="4" customFormat="false" ht="15" hidden="false" customHeight="false" outlineLevel="0" collapsed="false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.71"/>
    <col collapsed="false" customWidth="true" hidden="false" outlineLevel="0" max="3" min="3" style="0" width="18.71"/>
    <col collapsed="false" customWidth="true" hidden="false" outlineLevel="0" max="4" min="4" style="0" width="16.71"/>
    <col collapsed="false" customWidth="true" hidden="false" outlineLevel="0" max="5" min="5" style="0" width="14.71"/>
    <col collapsed="false" customWidth="true" hidden="false" outlineLevel="0" max="6" min="6" style="0" width="22.71"/>
    <col collapsed="false" customWidth="true" hidden="false" outlineLevel="0" max="7" min="7" style="0" width="24.71"/>
    <col collapsed="false" customWidth="true" hidden="false" outlineLevel="0" max="8" min="8" style="0" width="42.71"/>
    <col collapsed="false" customWidth="true" hidden="false" outlineLevel="0" max="9" min="9" style="0" width="20.71"/>
    <col collapsed="false" customWidth="true" hidden="false" outlineLevel="0" max="11" min="10" style="0" width="28.71"/>
    <col collapsed="false" customWidth="true" hidden="false" outlineLevel="0" max="13" min="12" style="19" width="18.71"/>
    <col collapsed="false" customWidth="true" hidden="false" outlineLevel="0" max="14" min="14" style="0" width="20.71"/>
    <col collapsed="false" customWidth="true" hidden="false" outlineLevel="0" max="15" min="15" style="0" width="50.71"/>
    <col collapsed="false" customWidth="true" hidden="false" outlineLevel="0" max="16" min="16" style="0" width="45.71"/>
  </cols>
  <sheetData>
    <row r="1" customFormat="false" ht="22.05" hidden="false" customHeight="false" outlineLevel="0" collapsed="false">
      <c r="A1" s="20" t="s">
        <v>41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customFormat="false" ht="15" hidden="false" customHeight="false" outlineLevel="0" collapsed="false">
      <c r="P2" s="2" t="s">
        <v>1</v>
      </c>
    </row>
    <row r="3" customFormat="false" ht="15" hidden="false" customHeight="false" outlineLevel="0" collapsed="false">
      <c r="A3" s="21" t="s">
        <v>42</v>
      </c>
      <c r="B3" s="21" t="s">
        <v>43</v>
      </c>
      <c r="C3" s="21" t="s">
        <v>44</v>
      </c>
      <c r="D3" s="21" t="s">
        <v>2</v>
      </c>
      <c r="E3" s="21" t="s">
        <v>6</v>
      </c>
      <c r="F3" s="21" t="s">
        <v>45</v>
      </c>
      <c r="G3" s="21" t="s">
        <v>46</v>
      </c>
      <c r="H3" s="21" t="s">
        <v>47</v>
      </c>
      <c r="I3" s="21" t="s">
        <v>48</v>
      </c>
      <c r="J3" s="21" t="s">
        <v>49</v>
      </c>
      <c r="K3" s="21" t="s">
        <v>50</v>
      </c>
      <c r="L3" s="22" t="s">
        <v>51</v>
      </c>
      <c r="M3" s="22" t="s">
        <v>52</v>
      </c>
      <c r="N3" s="21" t="s">
        <v>53</v>
      </c>
      <c r="O3" s="21" t="s">
        <v>54</v>
      </c>
      <c r="P3" s="21" t="s">
        <v>55</v>
      </c>
    </row>
  </sheetData>
  <mergeCells count="1">
    <mergeCell ref="A1:P1"/>
  </mergeCells>
  <dataValidations count="2">
    <dataValidation allowBlank="true" errorStyle="stop" operator="between" showDropDown="false" showErrorMessage="true" showInputMessage="true" sqref="C4:C103" type="list">
      <formula1>FindingType</formula1>
      <formula2>0</formula2>
    </dataValidation>
    <dataValidation allowBlank="true" errorStyle="stop" operator="between" showDropDown="false" showErrorMessage="true" showInputMessage="true" sqref="I4:I103" type="list">
      <formula1>StatusOptions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&amp;CGreystar Internal Review Agent v1.1 | Created by Rowena Chen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.71"/>
    <col collapsed="false" customWidth="true" hidden="false" outlineLevel="0" max="3" min="3" style="0" width="18.71"/>
    <col collapsed="false" customWidth="true" hidden="false" outlineLevel="0" max="4" min="4" style="0" width="16.71"/>
    <col collapsed="false" customWidth="true" hidden="false" outlineLevel="0" max="5" min="5" style="0" width="14.71"/>
    <col collapsed="false" customWidth="true" hidden="false" outlineLevel="0" max="6" min="6" style="0" width="22.71"/>
    <col collapsed="false" customWidth="true" hidden="false" outlineLevel="0" max="7" min="7" style="0" width="24.71"/>
    <col collapsed="false" customWidth="true" hidden="false" outlineLevel="0" max="8" min="8" style="0" width="42.71"/>
    <col collapsed="false" customWidth="true" hidden="false" outlineLevel="0" max="9" min="9" style="0" width="20.71"/>
    <col collapsed="false" customWidth="true" hidden="false" outlineLevel="0" max="11" min="10" style="0" width="28.71"/>
    <col collapsed="false" customWidth="true" hidden="false" outlineLevel="0" max="13" min="12" style="19" width="18.71"/>
    <col collapsed="false" customWidth="true" hidden="false" outlineLevel="0" max="14" min="14" style="0" width="20.71"/>
    <col collapsed="false" customWidth="true" hidden="false" outlineLevel="0" max="15" min="15" style="0" width="50.71"/>
    <col collapsed="false" customWidth="true" hidden="false" outlineLevel="0" max="16" min="16" style="0" width="45.71"/>
  </cols>
  <sheetData>
    <row r="1" customFormat="false" ht="22.05" hidden="false" customHeight="false" outlineLevel="0" collapsed="false">
      <c r="A1" s="23" t="s">
        <v>56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customFormat="false" ht="15" hidden="false" customHeight="false" outlineLevel="0" collapsed="false">
      <c r="P2" s="2" t="s">
        <v>1</v>
      </c>
    </row>
    <row r="3" customFormat="false" ht="15" hidden="false" customHeight="false" outlineLevel="0" collapsed="false">
      <c r="A3" s="21" t="s">
        <v>42</v>
      </c>
      <c r="B3" s="21" t="s">
        <v>43</v>
      </c>
      <c r="C3" s="21" t="s">
        <v>44</v>
      </c>
      <c r="D3" s="21" t="s">
        <v>2</v>
      </c>
      <c r="E3" s="21" t="s">
        <v>6</v>
      </c>
      <c r="F3" s="21" t="s">
        <v>45</v>
      </c>
      <c r="G3" s="21" t="s">
        <v>46</v>
      </c>
      <c r="H3" s="21" t="s">
        <v>47</v>
      </c>
      <c r="I3" s="21" t="s">
        <v>48</v>
      </c>
      <c r="J3" s="21" t="s">
        <v>49</v>
      </c>
      <c r="K3" s="21" t="s">
        <v>50</v>
      </c>
      <c r="L3" s="22" t="s">
        <v>51</v>
      </c>
      <c r="M3" s="22" t="s">
        <v>52</v>
      </c>
      <c r="N3" s="21" t="s">
        <v>53</v>
      </c>
      <c r="O3" s="21" t="s">
        <v>54</v>
      </c>
      <c r="P3" s="21" t="s">
        <v>55</v>
      </c>
    </row>
  </sheetData>
  <mergeCells count="1">
    <mergeCell ref="A1:P1"/>
  </mergeCells>
  <dataValidations count="2">
    <dataValidation allowBlank="true" errorStyle="stop" operator="between" showDropDown="false" showErrorMessage="true" showInputMessage="true" sqref="C4:C103" type="list">
      <formula1>FindingType</formula1>
      <formula2>0</formula2>
    </dataValidation>
    <dataValidation allowBlank="true" errorStyle="stop" operator="between" showDropDown="false" showErrorMessage="true" showInputMessage="true" sqref="I4:I103" type="list">
      <formula1>StatusOptions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&amp;CGreystar Internal Review Agent v1.1 | Created by Rowena Chen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.71"/>
    <col collapsed="false" customWidth="true" hidden="false" outlineLevel="0" max="3" min="3" style="0" width="18.71"/>
    <col collapsed="false" customWidth="true" hidden="false" outlineLevel="0" max="4" min="4" style="0" width="16.71"/>
    <col collapsed="false" customWidth="true" hidden="false" outlineLevel="0" max="5" min="5" style="0" width="14.71"/>
    <col collapsed="false" customWidth="true" hidden="false" outlineLevel="0" max="6" min="6" style="0" width="22.71"/>
    <col collapsed="false" customWidth="true" hidden="false" outlineLevel="0" max="7" min="7" style="0" width="24.71"/>
    <col collapsed="false" customWidth="true" hidden="false" outlineLevel="0" max="8" min="8" style="0" width="42.71"/>
    <col collapsed="false" customWidth="true" hidden="false" outlineLevel="0" max="9" min="9" style="0" width="20.71"/>
    <col collapsed="false" customWidth="true" hidden="false" outlineLevel="0" max="11" min="10" style="0" width="28.71"/>
    <col collapsed="false" customWidth="true" hidden="false" outlineLevel="0" max="13" min="12" style="19" width="18.71"/>
    <col collapsed="false" customWidth="true" hidden="false" outlineLevel="0" max="14" min="14" style="0" width="20.71"/>
    <col collapsed="false" customWidth="true" hidden="false" outlineLevel="0" max="15" min="15" style="0" width="50.71"/>
    <col collapsed="false" customWidth="true" hidden="false" outlineLevel="0" max="16" min="16" style="0" width="45.71"/>
  </cols>
  <sheetData>
    <row r="1" customFormat="false" ht="22.05" hidden="false" customHeight="false" outlineLevel="0" collapsed="false">
      <c r="A1" s="24" t="s">
        <v>57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customFormat="false" ht="15" hidden="false" customHeight="false" outlineLevel="0" collapsed="false">
      <c r="P2" s="2" t="s">
        <v>1</v>
      </c>
    </row>
    <row r="3" customFormat="false" ht="15" hidden="false" customHeight="false" outlineLevel="0" collapsed="false">
      <c r="A3" s="21" t="s">
        <v>42</v>
      </c>
      <c r="B3" s="21" t="s">
        <v>43</v>
      </c>
      <c r="C3" s="21" t="s">
        <v>44</v>
      </c>
      <c r="D3" s="21" t="s">
        <v>2</v>
      </c>
      <c r="E3" s="21" t="s">
        <v>6</v>
      </c>
      <c r="F3" s="21" t="s">
        <v>45</v>
      </c>
      <c r="G3" s="21" t="s">
        <v>46</v>
      </c>
      <c r="H3" s="21" t="s">
        <v>47</v>
      </c>
      <c r="I3" s="21" t="s">
        <v>48</v>
      </c>
      <c r="J3" s="21" t="s">
        <v>49</v>
      </c>
      <c r="K3" s="21" t="s">
        <v>50</v>
      </c>
      <c r="L3" s="22" t="s">
        <v>51</v>
      </c>
      <c r="M3" s="22" t="s">
        <v>52</v>
      </c>
      <c r="N3" s="21" t="s">
        <v>53</v>
      </c>
      <c r="O3" s="21" t="s">
        <v>54</v>
      </c>
      <c r="P3" s="21" t="s">
        <v>55</v>
      </c>
    </row>
  </sheetData>
  <mergeCells count="1">
    <mergeCell ref="A1:P1"/>
  </mergeCells>
  <dataValidations count="2">
    <dataValidation allowBlank="true" errorStyle="stop" operator="between" showDropDown="false" showErrorMessage="true" showInputMessage="true" sqref="C4:C103" type="list">
      <formula1>FindingType</formula1>
      <formula2>0</formula2>
    </dataValidation>
    <dataValidation allowBlank="true" errorStyle="stop" operator="between" showDropDown="false" showErrorMessage="true" showInputMessage="true" sqref="I4:I103" type="list">
      <formula1>StatusOptions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&amp;CGreystar Internal Review Agent v1.1 | Created by Rowena Chen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.71"/>
    <col collapsed="false" customWidth="true" hidden="false" outlineLevel="0" max="3" min="3" style="0" width="18.71"/>
    <col collapsed="false" customWidth="true" hidden="false" outlineLevel="0" max="4" min="4" style="0" width="16.71"/>
    <col collapsed="false" customWidth="true" hidden="false" outlineLevel="0" max="5" min="5" style="0" width="14.71"/>
    <col collapsed="false" customWidth="true" hidden="false" outlineLevel="0" max="6" min="6" style="0" width="22.71"/>
    <col collapsed="false" customWidth="true" hidden="false" outlineLevel="0" max="7" min="7" style="0" width="24.71"/>
    <col collapsed="false" customWidth="true" hidden="false" outlineLevel="0" max="8" min="8" style="0" width="42.71"/>
    <col collapsed="false" customWidth="true" hidden="false" outlineLevel="0" max="9" min="9" style="0" width="20.71"/>
    <col collapsed="false" customWidth="true" hidden="false" outlineLevel="0" max="11" min="10" style="0" width="28.71"/>
    <col collapsed="false" customWidth="true" hidden="false" outlineLevel="0" max="13" min="12" style="19" width="18.71"/>
    <col collapsed="false" customWidth="true" hidden="false" outlineLevel="0" max="14" min="14" style="0" width="20.71"/>
    <col collapsed="false" customWidth="true" hidden="false" outlineLevel="0" max="15" min="15" style="0" width="50.71"/>
    <col collapsed="false" customWidth="true" hidden="false" outlineLevel="0" max="16" min="16" style="0" width="45.71"/>
  </cols>
  <sheetData>
    <row r="1" customFormat="false" ht="22.05" hidden="false" customHeight="false" outlineLevel="0" collapsed="false">
      <c r="A1" s="25" t="s">
        <v>58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customFormat="false" ht="15" hidden="false" customHeight="false" outlineLevel="0" collapsed="false">
      <c r="P2" s="2" t="s">
        <v>1</v>
      </c>
    </row>
    <row r="3" customFormat="false" ht="15" hidden="false" customHeight="false" outlineLevel="0" collapsed="false">
      <c r="A3" s="21" t="s">
        <v>42</v>
      </c>
      <c r="B3" s="21" t="s">
        <v>43</v>
      </c>
      <c r="C3" s="21" t="s">
        <v>44</v>
      </c>
      <c r="D3" s="21" t="s">
        <v>2</v>
      </c>
      <c r="E3" s="21" t="s">
        <v>6</v>
      </c>
      <c r="F3" s="21" t="s">
        <v>45</v>
      </c>
      <c r="G3" s="21" t="s">
        <v>46</v>
      </c>
      <c r="H3" s="21" t="s">
        <v>47</v>
      </c>
      <c r="I3" s="21" t="s">
        <v>48</v>
      </c>
      <c r="J3" s="21" t="s">
        <v>49</v>
      </c>
      <c r="K3" s="21" t="s">
        <v>50</v>
      </c>
      <c r="L3" s="22" t="s">
        <v>51</v>
      </c>
      <c r="M3" s="22" t="s">
        <v>52</v>
      </c>
      <c r="N3" s="21" t="s">
        <v>53</v>
      </c>
      <c r="O3" s="21" t="s">
        <v>54</v>
      </c>
      <c r="P3" s="21" t="s">
        <v>55</v>
      </c>
    </row>
  </sheetData>
  <mergeCells count="1">
    <mergeCell ref="A1:P1"/>
  </mergeCells>
  <dataValidations count="2">
    <dataValidation allowBlank="true" errorStyle="stop" operator="between" showDropDown="false" showErrorMessage="true" showInputMessage="true" sqref="C4:C103" type="list">
      <formula1>FindingType</formula1>
      <formula2>0</formula2>
    </dataValidation>
    <dataValidation allowBlank="true" errorStyle="stop" operator="between" showDropDown="false" showErrorMessage="true" showInputMessage="true" sqref="I4:I103" type="list">
      <formula1>StatusOptions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&amp;CGreystar Internal Review Agent v1.1 | Created by Rowena Chen</oddFooter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71"/>
    <col collapsed="false" customWidth="true" hidden="false" outlineLevel="0" max="2" min="2" style="0" width="16.71"/>
    <col collapsed="false" customWidth="true" hidden="false" outlineLevel="0" max="3" min="3" style="0" width="46.71"/>
    <col collapsed="false" customWidth="true" hidden="false" outlineLevel="0" max="5" min="4" style="0" width="16.71"/>
    <col collapsed="false" customWidth="true" hidden="false" outlineLevel="0" max="6" min="6" style="0" width="20.71"/>
    <col collapsed="false" customWidth="true" hidden="false" outlineLevel="0" max="7" min="7" style="0" width="34.71"/>
    <col collapsed="false" customWidth="true" hidden="false" outlineLevel="0" max="8" min="8" style="0" width="40.71"/>
  </cols>
  <sheetData>
    <row r="1" customFormat="false" ht="24.45" hidden="false" customHeight="false" outlineLevel="0" collapsed="false">
      <c r="A1" s="1" t="s">
        <v>59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H2" s="2" t="s">
        <v>1</v>
      </c>
    </row>
    <row r="3" customFormat="false" ht="15" hidden="false" customHeight="false" outlineLevel="0" collapsed="false">
      <c r="A3" s="21" t="s">
        <v>60</v>
      </c>
      <c r="B3" s="21" t="s">
        <v>61</v>
      </c>
      <c r="C3" s="21" t="s">
        <v>62</v>
      </c>
      <c r="D3" s="21" t="s">
        <v>63</v>
      </c>
      <c r="E3" s="21" t="s">
        <v>64</v>
      </c>
      <c r="F3" s="21" t="s">
        <v>48</v>
      </c>
      <c r="G3" s="21" t="s">
        <v>65</v>
      </c>
      <c r="H3" s="21" t="s">
        <v>66</v>
      </c>
    </row>
    <row r="4" customFormat="false" ht="15" hidden="false" customHeight="false" outlineLevel="0" collapsed="false">
      <c r="A4" s="0" t="s">
        <v>67</v>
      </c>
      <c r="B4" s="0" t="s">
        <v>68</v>
      </c>
      <c r="F4" s="21" t="s">
        <v>22</v>
      </c>
      <c r="G4" s="16" t="s">
        <v>69</v>
      </c>
    </row>
    <row r="5" customFormat="false" ht="15" hidden="false" customHeight="false" outlineLevel="0" collapsed="false">
      <c r="A5" s="0" t="s">
        <v>70</v>
      </c>
      <c r="B5" s="0" t="s">
        <v>68</v>
      </c>
      <c r="F5" s="21" t="s">
        <v>22</v>
      </c>
      <c r="G5" s="16" t="s">
        <v>71</v>
      </c>
    </row>
    <row r="6" customFormat="false" ht="15" hidden="false" customHeight="false" outlineLevel="0" collapsed="false">
      <c r="A6" s="0" t="s">
        <v>72</v>
      </c>
      <c r="B6" s="0" t="s">
        <v>68</v>
      </c>
      <c r="F6" s="21" t="s">
        <v>22</v>
      </c>
      <c r="G6" s="16" t="s">
        <v>73</v>
      </c>
    </row>
    <row r="7" customFormat="false" ht="15" hidden="false" customHeight="false" outlineLevel="0" collapsed="false">
      <c r="A7" s="0" t="s">
        <v>74</v>
      </c>
      <c r="B7" s="0" t="s">
        <v>68</v>
      </c>
      <c r="F7" s="21" t="s">
        <v>22</v>
      </c>
      <c r="G7" s="16" t="s">
        <v>75</v>
      </c>
    </row>
    <row r="8" customFormat="false" ht="15" hidden="false" customHeight="false" outlineLevel="0" collapsed="false">
      <c r="A8" s="0" t="s">
        <v>76</v>
      </c>
      <c r="B8" s="0" t="s">
        <v>68</v>
      </c>
      <c r="F8" s="21" t="s">
        <v>22</v>
      </c>
      <c r="G8" s="16" t="s">
        <v>77</v>
      </c>
    </row>
    <row r="9" customFormat="false" ht="15" hidden="false" customHeight="false" outlineLevel="0" collapsed="false">
      <c r="A9" s="0" t="s">
        <v>78</v>
      </c>
      <c r="B9" s="0" t="s">
        <v>79</v>
      </c>
      <c r="F9" s="21" t="s">
        <v>22</v>
      </c>
      <c r="G9" s="16" t="s">
        <v>80</v>
      </c>
      <c r="H9" s="16" t="s">
        <v>81</v>
      </c>
    </row>
    <row r="10" customFormat="false" ht="15" hidden="false" customHeight="false" outlineLevel="0" collapsed="false">
      <c r="A10" s="0" t="s">
        <v>82</v>
      </c>
      <c r="B10" s="0" t="s">
        <v>79</v>
      </c>
      <c r="F10" s="21" t="s">
        <v>22</v>
      </c>
      <c r="G10" s="16" t="s">
        <v>83</v>
      </c>
      <c r="H10" s="16" t="s">
        <v>84</v>
      </c>
    </row>
    <row r="11" customFormat="false" ht="15" hidden="false" customHeight="false" outlineLevel="0" collapsed="false">
      <c r="F11" s="21"/>
    </row>
    <row r="12" customFormat="false" ht="15" hidden="false" customHeight="false" outlineLevel="0" collapsed="false">
      <c r="F12" s="21"/>
    </row>
    <row r="13" customFormat="false" ht="15" hidden="false" customHeight="false" outlineLevel="0" collapsed="false">
      <c r="F13" s="21"/>
    </row>
    <row r="14" customFormat="false" ht="15" hidden="false" customHeight="false" outlineLevel="0" collapsed="false">
      <c r="F14" s="21"/>
    </row>
    <row r="15" customFormat="false" ht="15" hidden="false" customHeight="false" outlineLevel="0" collapsed="false">
      <c r="F15" s="21"/>
    </row>
    <row r="16" customFormat="false" ht="15" hidden="false" customHeight="false" outlineLevel="0" collapsed="false">
      <c r="F16" s="21"/>
    </row>
    <row r="17" customFormat="false" ht="15" hidden="false" customHeight="false" outlineLevel="0" collapsed="false">
      <c r="F17" s="21"/>
    </row>
    <row r="18" customFormat="false" ht="15" hidden="false" customHeight="false" outlineLevel="0" collapsed="false">
      <c r="F18" s="21"/>
    </row>
    <row r="19" customFormat="false" ht="15" hidden="false" customHeight="false" outlineLevel="0" collapsed="false">
      <c r="F19" s="21"/>
    </row>
    <row r="20" customFormat="false" ht="15" hidden="false" customHeight="false" outlineLevel="0" collapsed="false">
      <c r="F20" s="21"/>
    </row>
    <row r="21" customFormat="false" ht="15" hidden="false" customHeight="false" outlineLevel="0" collapsed="false">
      <c r="F21" s="21"/>
    </row>
    <row r="22" customFormat="false" ht="15" hidden="false" customHeight="false" outlineLevel="0" collapsed="false">
      <c r="F22" s="21"/>
    </row>
    <row r="23" customFormat="false" ht="15" hidden="false" customHeight="false" outlineLevel="0" collapsed="false">
      <c r="F23" s="21"/>
    </row>
    <row r="24" customFormat="false" ht="15" hidden="false" customHeight="false" outlineLevel="0" collapsed="false">
      <c r="F24" s="21"/>
    </row>
    <row r="25" customFormat="false" ht="15" hidden="false" customHeight="false" outlineLevel="0" collapsed="false">
      <c r="F25" s="21"/>
    </row>
    <row r="26" customFormat="false" ht="15" hidden="false" customHeight="false" outlineLevel="0" collapsed="false">
      <c r="F26" s="21"/>
    </row>
    <row r="27" customFormat="false" ht="15" hidden="false" customHeight="false" outlineLevel="0" collapsed="false">
      <c r="F27" s="21"/>
    </row>
    <row r="28" customFormat="false" ht="15" hidden="false" customHeight="false" outlineLevel="0" collapsed="false">
      <c r="F28" s="21"/>
    </row>
    <row r="29" customFormat="false" ht="15" hidden="false" customHeight="false" outlineLevel="0" collapsed="false">
      <c r="F29" s="21"/>
    </row>
    <row r="30" customFormat="false" ht="15" hidden="false" customHeight="false" outlineLevel="0" collapsed="false">
      <c r="F30" s="21"/>
    </row>
    <row r="31" customFormat="false" ht="15" hidden="false" customHeight="false" outlineLevel="0" collapsed="false">
      <c r="F31" s="21"/>
    </row>
    <row r="32" customFormat="false" ht="15" hidden="false" customHeight="false" outlineLevel="0" collapsed="false">
      <c r="F32" s="21"/>
    </row>
    <row r="33" customFormat="false" ht="15" hidden="false" customHeight="false" outlineLevel="0" collapsed="false">
      <c r="F33" s="21"/>
    </row>
    <row r="34" customFormat="false" ht="15" hidden="false" customHeight="false" outlineLevel="0" collapsed="false">
      <c r="F34" s="21"/>
    </row>
    <row r="35" customFormat="false" ht="15" hidden="false" customHeight="false" outlineLevel="0" collapsed="false">
      <c r="F35" s="21"/>
    </row>
    <row r="36" customFormat="false" ht="15" hidden="false" customHeight="false" outlineLevel="0" collapsed="false">
      <c r="F36" s="21"/>
    </row>
    <row r="37" customFormat="false" ht="15" hidden="false" customHeight="false" outlineLevel="0" collapsed="false">
      <c r="F37" s="21"/>
    </row>
    <row r="38" customFormat="false" ht="15" hidden="false" customHeight="false" outlineLevel="0" collapsed="false">
      <c r="F38" s="21"/>
    </row>
    <row r="39" customFormat="false" ht="15" hidden="false" customHeight="false" outlineLevel="0" collapsed="false">
      <c r="F39" s="21"/>
    </row>
    <row r="40" customFormat="false" ht="15" hidden="false" customHeight="false" outlineLevel="0" collapsed="false">
      <c r="F40" s="21"/>
    </row>
    <row r="41" customFormat="false" ht="15" hidden="false" customHeight="false" outlineLevel="0" collapsed="false">
      <c r="F41" s="21"/>
    </row>
    <row r="42" customFormat="false" ht="15" hidden="false" customHeight="false" outlineLevel="0" collapsed="false">
      <c r="F42" s="21"/>
    </row>
    <row r="43" customFormat="false" ht="15" hidden="false" customHeight="false" outlineLevel="0" collapsed="false">
      <c r="F43" s="21"/>
    </row>
    <row r="44" customFormat="false" ht="15" hidden="false" customHeight="false" outlineLevel="0" collapsed="false">
      <c r="F44" s="21"/>
    </row>
    <row r="45" customFormat="false" ht="15" hidden="false" customHeight="false" outlineLevel="0" collapsed="false">
      <c r="F45" s="21"/>
    </row>
    <row r="46" customFormat="false" ht="15" hidden="false" customHeight="false" outlineLevel="0" collapsed="false">
      <c r="F46" s="21"/>
    </row>
    <row r="47" customFormat="false" ht="15" hidden="false" customHeight="false" outlineLevel="0" collapsed="false">
      <c r="F47" s="21"/>
    </row>
    <row r="48" customFormat="false" ht="15" hidden="false" customHeight="false" outlineLevel="0" collapsed="false">
      <c r="F48" s="21"/>
    </row>
    <row r="49" customFormat="false" ht="15" hidden="false" customHeight="false" outlineLevel="0" collapsed="false">
      <c r="F49" s="21"/>
    </row>
    <row r="50" customFormat="false" ht="15" hidden="false" customHeight="false" outlineLevel="0" collapsed="false">
      <c r="F50" s="21"/>
    </row>
    <row r="51" customFormat="false" ht="15" hidden="false" customHeight="false" outlineLevel="0" collapsed="false">
      <c r="F51" s="21"/>
    </row>
  </sheetData>
  <mergeCells count="1">
    <mergeCell ref="A1:H1"/>
  </mergeCells>
  <dataValidations count="1">
    <dataValidation allowBlank="true" errorStyle="stop" operator="between" showDropDown="false" showErrorMessage="true" showInputMessage="true" sqref="F4:F51" type="list">
      <formula1>SourceStatus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&amp;CGreystar Internal Review Agent v1.1 | Created by Rowena Chen</oddFooter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22.71"/>
    <col collapsed="false" customWidth="true" hidden="false" outlineLevel="0" max="3" min="3" style="0" width="24.71"/>
    <col collapsed="false" customWidth="true" hidden="false" outlineLevel="0" max="4" min="4" style="0" width="45.71"/>
    <col collapsed="false" customWidth="true" hidden="false" outlineLevel="0" max="6" min="5" style="0" width="18.71"/>
    <col collapsed="false" customWidth="true" hidden="false" outlineLevel="0" max="7" min="7" style="0" width="34.71"/>
    <col collapsed="false" customWidth="true" hidden="false" outlineLevel="0" max="8" min="8" style="0" width="40.71"/>
  </cols>
  <sheetData>
    <row r="1" customFormat="false" ht="24.45" hidden="false" customHeight="false" outlineLevel="0" collapsed="false">
      <c r="A1" s="1" t="s">
        <v>85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H2" s="2" t="s">
        <v>1</v>
      </c>
    </row>
    <row r="3" customFormat="false" ht="15" hidden="false" customHeight="false" outlineLevel="0" collapsed="false">
      <c r="A3" s="26" t="s">
        <v>86</v>
      </c>
    </row>
    <row r="4" customFormat="false" ht="15" hidden="false" customHeight="false" outlineLevel="0" collapsed="false">
      <c r="A4" s="27" t="s">
        <v>43</v>
      </c>
      <c r="B4" s="27" t="s">
        <v>45</v>
      </c>
      <c r="C4" s="27" t="s">
        <v>46</v>
      </c>
      <c r="D4" s="27" t="s">
        <v>87</v>
      </c>
      <c r="E4" s="27" t="s">
        <v>88</v>
      </c>
      <c r="F4" s="27" t="s">
        <v>89</v>
      </c>
      <c r="G4" s="27" t="s">
        <v>90</v>
      </c>
      <c r="H4" s="27" t="s">
        <v>66</v>
      </c>
    </row>
    <row r="16" customFormat="false" ht="15" hidden="false" customHeight="false" outlineLevel="0" collapsed="false">
      <c r="A16" s="28" t="s">
        <v>91</v>
      </c>
    </row>
    <row r="17" customFormat="false" ht="15" hidden="false" customHeight="false" outlineLevel="0" collapsed="false">
      <c r="A17" s="27" t="s">
        <v>43</v>
      </c>
      <c r="B17" s="27" t="s">
        <v>45</v>
      </c>
      <c r="C17" s="27" t="s">
        <v>46</v>
      </c>
      <c r="D17" s="27" t="s">
        <v>54</v>
      </c>
      <c r="E17" s="27" t="s">
        <v>92</v>
      </c>
      <c r="F17" s="27" t="s">
        <v>93</v>
      </c>
      <c r="G17" s="27" t="s">
        <v>48</v>
      </c>
      <c r="H17" s="27" t="s">
        <v>55</v>
      </c>
    </row>
    <row r="29" customFormat="false" ht="15" hidden="false" customHeight="false" outlineLevel="0" collapsed="false">
      <c r="A29" s="29" t="s">
        <v>94</v>
      </c>
    </row>
    <row r="30" customFormat="false" ht="15" hidden="false" customHeight="false" outlineLevel="0" collapsed="false">
      <c r="A30" s="27" t="s">
        <v>43</v>
      </c>
      <c r="B30" s="27" t="s">
        <v>45</v>
      </c>
      <c r="C30" s="27" t="s">
        <v>46</v>
      </c>
      <c r="D30" s="27" t="s">
        <v>54</v>
      </c>
      <c r="E30" s="27" t="s">
        <v>93</v>
      </c>
      <c r="F30" s="27" t="s">
        <v>48</v>
      </c>
      <c r="G30" s="27" t="s">
        <v>55</v>
      </c>
      <c r="H30" s="27" t="s">
        <v>66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&amp;CGreystar Internal Review Agent v1.1 | Created by Rowena Chen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24.71"/>
    <col collapsed="false" customWidth="true" hidden="false" outlineLevel="0" max="3" min="3" style="0" width="16.71"/>
    <col collapsed="false" customWidth="true" hidden="false" outlineLevel="0" max="4" min="4" style="0" width="22.71"/>
    <col collapsed="false" customWidth="true" hidden="false" outlineLevel="0" max="6" min="5" style="0" width="14.71"/>
    <col collapsed="false" customWidth="true" hidden="false" outlineLevel="0" max="7" min="7" style="0" width="20.71"/>
    <col collapsed="false" customWidth="true" hidden="false" outlineLevel="0" max="8" min="8" style="0" width="48.71"/>
  </cols>
  <sheetData>
    <row r="1" customFormat="false" ht="24.45" hidden="false" customHeight="false" outlineLevel="0" collapsed="false">
      <c r="A1" s="1" t="s">
        <v>95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H2" s="2" t="s">
        <v>1</v>
      </c>
    </row>
    <row r="3" customFormat="false" ht="15" hidden="false" customHeight="false" outlineLevel="0" collapsed="false">
      <c r="A3" s="21" t="s">
        <v>3</v>
      </c>
      <c r="B3" s="21" t="s">
        <v>5</v>
      </c>
      <c r="C3" s="21" t="s">
        <v>7</v>
      </c>
      <c r="D3" s="21" t="s">
        <v>96</v>
      </c>
      <c r="E3" s="21" t="s">
        <v>9</v>
      </c>
      <c r="F3" s="21" t="s">
        <v>10</v>
      </c>
      <c r="G3" s="21" t="s">
        <v>11</v>
      </c>
      <c r="H3" s="21" t="s">
        <v>97</v>
      </c>
    </row>
  </sheetData>
  <mergeCells count="1">
    <mergeCell ref="A1:H1"/>
  </mergeCells>
  <dataValidations count="1">
    <dataValidation allowBlank="true" errorStyle="stop" operator="between" showDropDown="false" showErrorMessage="true" showInputMessage="true" sqref="D4:D53" type="list">
      <formula1>OverallStatus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&amp;CGreystar Internal Review Agent v1.1 | Created by Rowena Chen</oddFooter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22.71"/>
    <col collapsed="false" customWidth="true" hidden="false" outlineLevel="0" max="3" min="3" style="0" width="38.71"/>
    <col collapsed="false" customWidth="true" hidden="false" outlineLevel="0" max="4" min="4" style="0" width="24.71"/>
    <col collapsed="false" customWidth="true" hidden="false" outlineLevel="0" max="5" min="5" style="0" width="28.71"/>
    <col collapsed="false" customWidth="true" hidden="false" outlineLevel="0" max="6" min="6" style="0" width="18.71"/>
  </cols>
  <sheetData>
    <row r="1" customFormat="false" ht="24.45" hidden="false" customHeight="false" outlineLevel="0" collapsed="false">
      <c r="A1" s="1" t="s">
        <v>98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1" t="s">
        <v>43</v>
      </c>
      <c r="B3" s="21" t="s">
        <v>45</v>
      </c>
      <c r="C3" s="21" t="s">
        <v>99</v>
      </c>
      <c r="D3" s="21" t="s">
        <v>100</v>
      </c>
      <c r="E3" s="21" t="s">
        <v>101</v>
      </c>
      <c r="F3" s="21" t="s">
        <v>102</v>
      </c>
    </row>
    <row r="4" customFormat="false" ht="15" hidden="false" customHeight="false" outlineLevel="0" collapsed="false">
      <c r="A4" s="0" t="s">
        <v>103</v>
      </c>
      <c r="B4" s="0" t="s">
        <v>104</v>
      </c>
      <c r="C4" s="0" t="s">
        <v>105</v>
      </c>
      <c r="D4" s="0" t="s">
        <v>106</v>
      </c>
      <c r="E4" s="0" t="s">
        <v>33</v>
      </c>
      <c r="F4" s="0" t="s">
        <v>25</v>
      </c>
    </row>
    <row r="5" customFormat="false" ht="15" hidden="false" customHeight="false" outlineLevel="0" collapsed="false">
      <c r="A5" s="0" t="s">
        <v>107</v>
      </c>
      <c r="B5" s="0" t="s">
        <v>108</v>
      </c>
      <c r="C5" s="0" t="s">
        <v>109</v>
      </c>
      <c r="D5" s="0" t="s">
        <v>110</v>
      </c>
      <c r="E5" s="0" t="s">
        <v>111</v>
      </c>
      <c r="F5" s="0" t="s">
        <v>25</v>
      </c>
    </row>
    <row r="6" customFormat="false" ht="15" hidden="false" customHeight="false" outlineLevel="0" collapsed="false">
      <c r="A6" s="0" t="s">
        <v>112</v>
      </c>
      <c r="B6" s="0" t="s">
        <v>108</v>
      </c>
      <c r="C6" s="0" t="s">
        <v>113</v>
      </c>
      <c r="D6" s="0" t="s">
        <v>114</v>
      </c>
      <c r="E6" s="0" t="s">
        <v>115</v>
      </c>
      <c r="F6" s="0" t="s">
        <v>24</v>
      </c>
    </row>
    <row r="7" customFormat="false" ht="15" hidden="false" customHeight="false" outlineLevel="0" collapsed="false">
      <c r="A7" s="0" t="s">
        <v>116</v>
      </c>
      <c r="B7" s="0" t="s">
        <v>108</v>
      </c>
      <c r="C7" s="0" t="s">
        <v>117</v>
      </c>
      <c r="D7" s="0" t="s">
        <v>114</v>
      </c>
      <c r="E7" s="0" t="s">
        <v>115</v>
      </c>
      <c r="F7" s="0" t="s">
        <v>24</v>
      </c>
    </row>
    <row r="8" customFormat="false" ht="15" hidden="false" customHeight="false" outlineLevel="0" collapsed="false">
      <c r="A8" s="0" t="s">
        <v>118</v>
      </c>
      <c r="B8" s="0" t="s">
        <v>119</v>
      </c>
      <c r="C8" s="0" t="s">
        <v>120</v>
      </c>
      <c r="D8" s="0" t="s">
        <v>121</v>
      </c>
      <c r="E8" s="0" t="s">
        <v>111</v>
      </c>
      <c r="F8" s="0" t="s">
        <v>25</v>
      </c>
    </row>
    <row r="9" customFormat="false" ht="15" hidden="false" customHeight="false" outlineLevel="0" collapsed="false">
      <c r="A9" s="0" t="s">
        <v>122</v>
      </c>
      <c r="B9" s="0" t="s">
        <v>123</v>
      </c>
      <c r="C9" s="0" t="s">
        <v>124</v>
      </c>
      <c r="D9" s="0" t="s">
        <v>125</v>
      </c>
      <c r="E9" s="0" t="s">
        <v>126</v>
      </c>
      <c r="F9" s="0" t="s">
        <v>25</v>
      </c>
    </row>
    <row r="10" customFormat="false" ht="15" hidden="false" customHeight="false" outlineLevel="0" collapsed="false">
      <c r="A10" s="0" t="s">
        <v>127</v>
      </c>
      <c r="B10" s="0" t="s">
        <v>128</v>
      </c>
      <c r="C10" s="0" t="s">
        <v>124</v>
      </c>
      <c r="D10" s="0" t="s">
        <v>125</v>
      </c>
      <c r="E10" s="0" t="s">
        <v>126</v>
      </c>
      <c r="F10" s="0" t="s">
        <v>25</v>
      </c>
    </row>
    <row r="11" customFormat="false" ht="15" hidden="false" customHeight="false" outlineLevel="0" collapsed="false">
      <c r="A11" s="0" t="s">
        <v>129</v>
      </c>
      <c r="B11" s="0" t="s">
        <v>130</v>
      </c>
      <c r="C11" s="0" t="s">
        <v>131</v>
      </c>
      <c r="D11" s="0" t="s">
        <v>132</v>
      </c>
      <c r="E11" s="0" t="s">
        <v>111</v>
      </c>
      <c r="F11" s="0" t="s">
        <v>25</v>
      </c>
    </row>
    <row r="12" customFormat="false" ht="15" hidden="false" customHeight="false" outlineLevel="0" collapsed="false">
      <c r="A12" s="0" t="s">
        <v>133</v>
      </c>
      <c r="B12" s="0" t="s">
        <v>134</v>
      </c>
      <c r="C12" s="0" t="s">
        <v>135</v>
      </c>
      <c r="D12" s="0" t="s">
        <v>136</v>
      </c>
      <c r="E12" s="0" t="s">
        <v>137</v>
      </c>
      <c r="F12" s="0" t="s">
        <v>25</v>
      </c>
    </row>
    <row r="13" customFormat="false" ht="15" hidden="false" customHeight="false" outlineLevel="0" collapsed="false">
      <c r="A13" s="0" t="s">
        <v>138</v>
      </c>
      <c r="B13" s="0" t="s">
        <v>139</v>
      </c>
      <c r="C13" s="0" t="s">
        <v>140</v>
      </c>
      <c r="D13" s="0" t="s">
        <v>141</v>
      </c>
      <c r="E13" s="0" t="s">
        <v>142</v>
      </c>
      <c r="F13" s="0" t="s">
        <v>25</v>
      </c>
    </row>
    <row r="14" customFormat="false" ht="15" hidden="false" customHeight="false" outlineLevel="0" collapsed="false">
      <c r="A14" s="0" t="s">
        <v>143</v>
      </c>
      <c r="B14" s="0" t="s">
        <v>139</v>
      </c>
      <c r="C14" s="0" t="s">
        <v>144</v>
      </c>
      <c r="D14" s="0" t="s">
        <v>145</v>
      </c>
      <c r="E14" s="0" t="s">
        <v>146</v>
      </c>
      <c r="F14" s="0" t="s">
        <v>24</v>
      </c>
    </row>
    <row r="15" customFormat="false" ht="15" hidden="false" customHeight="false" outlineLevel="0" collapsed="false">
      <c r="A15" s="0" t="s">
        <v>147</v>
      </c>
      <c r="B15" s="0" t="s">
        <v>148</v>
      </c>
      <c r="C15" s="0" t="s">
        <v>149</v>
      </c>
      <c r="D15" s="0" t="s">
        <v>150</v>
      </c>
      <c r="E15" s="0" t="s">
        <v>151</v>
      </c>
      <c r="F15" s="0" t="s">
        <v>24</v>
      </c>
    </row>
    <row r="16" customFormat="false" ht="15" hidden="false" customHeight="false" outlineLevel="0" collapsed="false">
      <c r="A16" s="0" t="s">
        <v>152</v>
      </c>
      <c r="B16" s="0" t="s">
        <v>148</v>
      </c>
      <c r="C16" s="0" t="s">
        <v>153</v>
      </c>
      <c r="D16" s="0" t="s">
        <v>150</v>
      </c>
      <c r="E16" s="0" t="s">
        <v>154</v>
      </c>
      <c r="F16" s="0" t="s">
        <v>25</v>
      </c>
    </row>
    <row r="17" customFormat="false" ht="15" hidden="false" customHeight="false" outlineLevel="0" collapsed="false">
      <c r="A17" s="0" t="s">
        <v>155</v>
      </c>
      <c r="B17" s="0" t="s">
        <v>74</v>
      </c>
      <c r="C17" s="0" t="s">
        <v>156</v>
      </c>
      <c r="D17" s="0" t="s">
        <v>74</v>
      </c>
      <c r="E17" s="0" t="s">
        <v>146</v>
      </c>
      <c r="F17" s="0" t="s">
        <v>24</v>
      </c>
    </row>
    <row r="18" customFormat="false" ht="15" hidden="false" customHeight="false" outlineLevel="0" collapsed="false">
      <c r="A18" s="0" t="s">
        <v>157</v>
      </c>
      <c r="B18" s="0" t="s">
        <v>158</v>
      </c>
      <c r="C18" s="0" t="s">
        <v>159</v>
      </c>
      <c r="D18" s="0" t="s">
        <v>150</v>
      </c>
      <c r="E18" s="0" t="s">
        <v>160</v>
      </c>
      <c r="F18" s="0" t="s">
        <v>24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&amp;CGreystar Internal Review Agent v1.1 | Created by Rowena Chen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2026-09-07T04:08:41Z</dcterms:created>
  <dc:creator>Rowena Chen</dc:creator>
  <dc:description/>
  <dc:language>en-US</dc:language>
  <cp:lastModifiedBy>Rowena Chen</cp:lastModifiedBy>
  <dcterms:modified xsi:type="dcterms:W3CDTF">2026-09-18T02:58:41Z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