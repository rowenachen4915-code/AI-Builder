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1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reystar365-my.sharepoint.com/personal/rowena_chen_greystar_com/Documents/Documents/Work from Home/_Manager Approvals/_AI Creation/Tester/Financial Review/"/>
    </mc:Choice>
  </mc:AlternateContent>
  <xr:revisionPtr revIDLastSave="120" documentId="8_{31C7431A-DAE7-4CC6-B123-1BCF01C1A9E3}" xr6:coauthVersionLast="47" xr6:coauthVersionMax="47" xr10:uidLastSave="{5F81BA57-F4F9-4F89-B986-EECC1BBC0F7D}"/>
  <bookViews>
    <workbookView xWindow="-28920" yWindow="-120" windowWidth="29040" windowHeight="15720" tabRatio="921" xr2:uid="{65DDC3BF-8F3E-4470-8DCF-39B5DA01CA04}"/>
  </bookViews>
  <sheets>
    <sheet name="Input-Instructions" sheetId="8" r:id="rId1"/>
    <sheet name="CY" sheetId="9" r:id="rId2"/>
    <sheet name="Prepaid Other" sheetId="30" r:id="rId3"/>
    <sheet name="Real Estate Taxes" sheetId="21" r:id="rId4"/>
    <sheet name="Property Insurance" sheetId="19" r:id="rId5"/>
    <sheet name="Hidden" sheetId="23" state="hidden" r:id="rId6"/>
    <sheet name="State Details" sheetId="31" state="hidden" r:id="rId7"/>
    <sheet name="SD Interest True Up" sheetId="45" r:id="rId8"/>
    <sheet name="Accrued Expenses" sheetId="13" r:id="rId9"/>
    <sheet name="Seller Settlement" sheetId="15" r:id="rId10"/>
    <sheet name="Insurance Claim" sheetId="39" r:id="rId11"/>
    <sheet name="Unclaimed Property" sheetId="33" r:id="rId12"/>
    <sheet name="CapEx" sheetId="32" r:id="rId13"/>
    <sheet name="Upload Setup" sheetId="27" r:id="rId14"/>
    <sheet name="Yardi" sheetId="24" state="hidden" r:id="rId15"/>
    <sheet name="Entrata" sheetId="36" state="hidden" r:id="rId16"/>
    <sheet name="OneSite" sheetId="37" state="hidden" r:id="rId17"/>
    <sheet name="MRI" sheetId="38" state="hidden" r:id="rId18"/>
    <sheet name="HUD" sheetId="16" state="hidden" r:id="rId19"/>
    <sheet name="COA" sheetId="14" state="hidden" r:id="rId20"/>
    <sheet name="File Version" sheetId="40" state="hidden" r:id="rId21"/>
    <sheet name="Mapped COA" sheetId="35" state="hidden" r:id="rId22"/>
  </sheets>
  <definedNames>
    <definedName name="_xlnm._FilterDatabase" localSheetId="12" hidden="1">CapEx!$A$5:$O$126</definedName>
    <definedName name="_xlnm._FilterDatabase" localSheetId="10" hidden="1">'Insurance Claim'!$A$8:$F$8</definedName>
    <definedName name="ACCRUAL_CAPEX_JE">OFFSET(#REF!,0,0,COUNTIF(#REF!,"J"),55)</definedName>
    <definedName name="ACCRUAL_CONTRACT_JE">OFFSET(#REF!,0,0,COUNTIF(#REF!,"J"),55)</definedName>
    <definedName name="ACCRUAL_OTHER_JE">OFFSET(#REF!,0,0,COUNTIF(#REF!,"J"),55)</definedName>
    <definedName name="ACCRUAL_UTILITIES_JE">OFFSET(#REF!,0,0,COUNTIF(#REF!,"J"),55)</definedName>
    <definedName name="BooksList">#REF!</definedName>
    <definedName name="BooksList2">#REF!</definedName>
    <definedName name="COA" localSheetId="13">#REF!</definedName>
    <definedName name="COA">#REF!</definedName>
    <definedName name="COAList">#REF!:INDEX(#REF!,MAX(#REF!),1)</definedName>
    <definedName name="DEPR_JE">OFFSET(#REF!,0,0,COUNTIF(#REF!,"J"),55)</definedName>
    <definedName name="INS_JE">OFFSET(#REF!,0,0,COUNTIF(#REF!,"J"),55)</definedName>
    <definedName name="INT_JE">OFFSET(#REF!,0,0,COUNTIF(#REF!,"J"),55)</definedName>
    <definedName name="JE_RANGES2">#REF!</definedName>
    <definedName name="MANUAL_ENTRIES_JE">OFFSET(#REF!,0,0,COUNTIF(#REF!,"J"),55)</definedName>
    <definedName name="MGMT_JE">OFFSET(#REF!,0,0,COUNTIF(#REF!,"J"),55)</definedName>
    <definedName name="PREPAID_OTHER_JE">OFFSET(#REF!,0,0,COUNTIF(#REF!,"J"),55)</definedName>
    <definedName name="PREPAID_STD_JE">OFFSET(#REF!,0,0,#REF!,55)</definedName>
    <definedName name="_xlnm.Print_Area" localSheetId="8">'Accrued Expenses'!$A$1:$G$251</definedName>
    <definedName name="_xlnm.Print_Area" localSheetId="12">CapEx!$A$1:$O$126</definedName>
    <definedName name="_xlnm.Print_Area" localSheetId="1">CY!$A$1:$G$212</definedName>
    <definedName name="_xlnm.Print_Area" localSheetId="18">HUD!$A$1:$H$108</definedName>
    <definedName name="_xlnm.Print_Area" localSheetId="0">'Input-Instructions'!$A$1:$C$9</definedName>
    <definedName name="_xlnm.Print_Area" localSheetId="10">'Insurance Claim'!$A$1:$F$334</definedName>
    <definedName name="_xlnm.Print_Area" localSheetId="2">'Prepaid Other'!$A$1:$K$62</definedName>
    <definedName name="_xlnm.Print_Area" localSheetId="4">'Property Insurance'!$B$1:$P$35</definedName>
    <definedName name="_xlnm.Print_Area" localSheetId="3">'Real Estate Taxes'!$B$1:$K$33</definedName>
    <definedName name="_xlnm.Print_Area" localSheetId="9">'Seller Settlement'!$A$1:$E$41</definedName>
    <definedName name="_xlnm.Print_Area" localSheetId="11">'Unclaimed Property'!$A$1:$AI$54</definedName>
    <definedName name="_xlnm.Print_Titles" localSheetId="8">'Accrued Expenses'!$1:$3</definedName>
    <definedName name="_xlnm.Print_Titles" localSheetId="12">CapEx!$1:$3</definedName>
    <definedName name="_xlnm.Print_Titles" localSheetId="19">COA!$1:$2</definedName>
    <definedName name="_xlnm.Print_Titles" localSheetId="1">CY!$1:$3</definedName>
    <definedName name="_xlnm.Print_Titles" localSheetId="5">Hidden!$1:$2</definedName>
    <definedName name="_xlnm.Print_Titles" localSheetId="18">HUD!$1:$3</definedName>
    <definedName name="_xlnm.Print_Titles" localSheetId="0">'Input-Instructions'!$1:$2</definedName>
    <definedName name="_xlnm.Print_Titles" localSheetId="10">'Insurance Claim'!$1:$8</definedName>
    <definedName name="_xlnm.Print_Titles" localSheetId="2">'Prepaid Other'!$1:$3</definedName>
    <definedName name="_xlnm.Print_Titles" localSheetId="4">'Property Insurance'!$1:$3</definedName>
    <definedName name="_xlnm.Print_Titles" localSheetId="3">'Real Estate Taxes'!$1:$3</definedName>
    <definedName name="_xlnm.Print_Titles" localSheetId="7">'SD Interest True Up'!$1:$5</definedName>
    <definedName name="_xlnm.Print_Titles" localSheetId="9">'Seller Settlement'!$1:$3</definedName>
    <definedName name="_xlnm.Print_Titles" localSheetId="6">'State Details'!$1:$2</definedName>
    <definedName name="_xlnm.Print_Titles" localSheetId="11">'Unclaimed Property'!$1:$3</definedName>
    <definedName name="_xlnm.Print_Titles" localSheetId="13">'Upload Setup'!$1:$2</definedName>
    <definedName name="_xlnm.Print_Titles" localSheetId="14">Yardi!$1:$2</definedName>
    <definedName name="RECLASS_ACCR_JE">OFFSET(#REF!,0,0,COUNTIF(#REF!,"J"),55)</definedName>
    <definedName name="RECLASS_BOTH_JE">OFFSET(#REF!,0,0,COUNTIF(#REF!,"J"),55)</definedName>
    <definedName name="TAX_JE">OFFSET(#REF!,0,0,COUNTIF(#REF!,"J"),55)</definedName>
    <definedName name="wrn.Backup." localSheetId="12" hidden="1">{#N/A,#N/A,FALSE,"Insurance &amp; Tax Accrual";#N/A,#N/A,FALSE,"Recov. Capital";#N/A,#N/A,FALSE,"Utility - HVAC Reimb.";#N/A,#N/A,FALSE,"Accts. 1395, 2641, 1391";#N/A,#N/A,FALSE,"Ernst &amp; Young Amort. - 2663";#N/A,#N/A,FALSE,"Account 2663";#N/A,#N/A,FALSE,"Oper. Exp. Accrual";#N/A,#N/A,FALSE,"OMP Payroll #1";#N/A,#N/A,FALSE,"OMP Payroll #2";#N/A,#N/A,FALSE,"Inwood Payroll"}</definedName>
    <definedName name="wrn.Backup." localSheetId="13" hidden="1">{#N/A,#N/A,FALSE,"Insurance &amp; Tax Accrual";#N/A,#N/A,FALSE,"Recov. Capital";#N/A,#N/A,FALSE,"Utility - HVAC Reimb.";#N/A,#N/A,FALSE,"Accts. 1395, 2641, 1391";#N/A,#N/A,FALSE,"Ernst &amp; Young Amort. - 2663";#N/A,#N/A,FALSE,"Account 2663";#N/A,#N/A,FALSE,"Oper. Exp. Accrual";#N/A,#N/A,FALSE,"OMP Payroll #1";#N/A,#N/A,FALSE,"OMP Payroll #2";#N/A,#N/A,FALSE,"Inwood Payroll"}</definedName>
    <definedName name="wrn.Backup." hidden="1">{#N/A,#N/A,FALSE,"Insurance &amp; Tax Accrual";#N/A,#N/A,FALSE,"Recov. Capital";#N/A,#N/A,FALSE,"Utility - HVAC Reimb.";#N/A,#N/A,FALSE,"Accts. 1395, 2641, 1391";#N/A,#N/A,FALSE,"Ernst &amp; Young Amort. - 2663";#N/A,#N/A,FALSE,"Account 2663";#N/A,#N/A,FALSE,"Oper. Exp. Accrual";#N/A,#N/A,FALSE,"OMP Payroll #1";#N/A,#N/A,FALSE,"OMP Payroll #2";#N/A,#N/A,FALSE,"Inwood Payroll"}</definedName>
    <definedName name="wrn.Journal._.Entry." localSheetId="12" hidden="1">{#N/A,#N/A,FALSE,"Journal Entry";#N/A,#N/A,FALSE,"Recov. Capital";#N/A,#N/A,FALSE,"Insurance &amp; Tax Accrual";#N/A,#N/A,FALSE,"Utility - HVAC Reimb.";#N/A,#N/A,FALSE,"Ernst &amp; Young Amort. - 2663";#N/A,#N/A,FALSE,"Account 2663";#N/A,#N/A,FALSE,"Oper. Exp. Accrual";#N/A,#N/A,FALSE,"OMP Payroll #1";#N/A,#N/A,FALSE,"OMP Payroll #2"}</definedName>
    <definedName name="wrn.Journal._.Entry." localSheetId="13" hidden="1">{#N/A,#N/A,FALSE,"Journal Entry";#N/A,#N/A,FALSE,"Recov. Capital";#N/A,#N/A,FALSE,"Insurance &amp; Tax Accrual";#N/A,#N/A,FALSE,"Utility - HVAC Reimb.";#N/A,#N/A,FALSE,"Ernst &amp; Young Amort. - 2663";#N/A,#N/A,FALSE,"Account 2663";#N/A,#N/A,FALSE,"Oper. Exp. Accrual";#N/A,#N/A,FALSE,"OMP Payroll #1";#N/A,#N/A,FALSE,"OMP Payroll #2"}</definedName>
    <definedName name="wrn.Journal._.Entry." hidden="1">{#N/A,#N/A,FALSE,"Journal Entry";#N/A,#N/A,FALSE,"Recov. Capital";#N/A,#N/A,FALSE,"Insurance &amp; Tax Accrual";#N/A,#N/A,FALSE,"Utility - HVAC Reimb.";#N/A,#N/A,FALSE,"Ernst &amp; Young Amort. - 2663";#N/A,#N/A,FALSE,"Account 2663";#N/A,#N/A,FALSE,"Oper. Exp. Accrual";#N/A,#N/A,FALSE,"OMP Payroll #1";#N/A,#N/A,FALSE,"OMP Payroll #2"}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9" i="9" l="1"/>
  <c r="P456" i="45"/>
  <c r="O456" i="45"/>
  <c r="Q456" i="45" s="1"/>
  <c r="P455" i="45"/>
  <c r="O455" i="45"/>
  <c r="Q455" i="45" s="1"/>
  <c r="Q454" i="45"/>
  <c r="P454" i="45"/>
  <c r="O454" i="45"/>
  <c r="Q453" i="45"/>
  <c r="P453" i="45"/>
  <c r="O453" i="45"/>
  <c r="Q452" i="45"/>
  <c r="P452" i="45"/>
  <c r="O452" i="45"/>
  <c r="Q451" i="45"/>
  <c r="P451" i="45"/>
  <c r="O451" i="45"/>
  <c r="Q450" i="45"/>
  <c r="P450" i="45"/>
  <c r="O450" i="45"/>
  <c r="Q449" i="45"/>
  <c r="P449" i="45"/>
  <c r="O449" i="45"/>
  <c r="Q448" i="45"/>
  <c r="P448" i="45"/>
  <c r="O448" i="45"/>
  <c r="Q447" i="45"/>
  <c r="P447" i="45"/>
  <c r="O447" i="45"/>
  <c r="Q446" i="45"/>
  <c r="P446" i="45"/>
  <c r="O446" i="45"/>
  <c r="Q445" i="45"/>
  <c r="P445" i="45"/>
  <c r="O445" i="45"/>
  <c r="Q444" i="45"/>
  <c r="P444" i="45"/>
  <c r="O444" i="45"/>
  <c r="Q443" i="45"/>
  <c r="P443" i="45"/>
  <c r="O443" i="45"/>
  <c r="Q442" i="45"/>
  <c r="P442" i="45"/>
  <c r="O442" i="45"/>
  <c r="Q441" i="45"/>
  <c r="P441" i="45"/>
  <c r="O441" i="45"/>
  <c r="Q440" i="45"/>
  <c r="P440" i="45"/>
  <c r="O440" i="45"/>
  <c r="Q439" i="45"/>
  <c r="P439" i="45"/>
  <c r="O439" i="45"/>
  <c r="Q438" i="45"/>
  <c r="P438" i="45"/>
  <c r="O438" i="45"/>
  <c r="Q437" i="45"/>
  <c r="P437" i="45"/>
  <c r="O437" i="45"/>
  <c r="Q436" i="45"/>
  <c r="P436" i="45"/>
  <c r="O436" i="45"/>
  <c r="Q435" i="45"/>
  <c r="P435" i="45"/>
  <c r="O435" i="45"/>
  <c r="Q434" i="45"/>
  <c r="P434" i="45"/>
  <c r="O434" i="45"/>
  <c r="Q433" i="45"/>
  <c r="P433" i="45"/>
  <c r="O433" i="45"/>
  <c r="Q432" i="45"/>
  <c r="P432" i="45"/>
  <c r="O432" i="45"/>
  <c r="Q431" i="45"/>
  <c r="P431" i="45"/>
  <c r="O431" i="45"/>
  <c r="Q430" i="45"/>
  <c r="P430" i="45"/>
  <c r="O430" i="45"/>
  <c r="Q429" i="45"/>
  <c r="P429" i="45"/>
  <c r="O429" i="45"/>
  <c r="Q428" i="45"/>
  <c r="P428" i="45"/>
  <c r="O428" i="45"/>
  <c r="Q427" i="45"/>
  <c r="P427" i="45"/>
  <c r="O427" i="45"/>
  <c r="Q426" i="45"/>
  <c r="P426" i="45"/>
  <c r="O426" i="45"/>
  <c r="Q425" i="45"/>
  <c r="P425" i="45"/>
  <c r="O425" i="45"/>
  <c r="Q424" i="45"/>
  <c r="P424" i="45"/>
  <c r="O424" i="45"/>
  <c r="Q423" i="45"/>
  <c r="P423" i="45"/>
  <c r="O423" i="45"/>
  <c r="Q422" i="45"/>
  <c r="P422" i="45"/>
  <c r="O422" i="45"/>
  <c r="Q421" i="45"/>
  <c r="P421" i="45"/>
  <c r="O421" i="45"/>
  <c r="Q420" i="45"/>
  <c r="P420" i="45"/>
  <c r="O420" i="45"/>
  <c r="Q419" i="45"/>
  <c r="P419" i="45"/>
  <c r="O419" i="45"/>
  <c r="Q418" i="45"/>
  <c r="P418" i="45"/>
  <c r="O418" i="45"/>
  <c r="Q417" i="45"/>
  <c r="P417" i="45"/>
  <c r="O417" i="45"/>
  <c r="Q416" i="45"/>
  <c r="P416" i="45"/>
  <c r="O416" i="45"/>
  <c r="Q415" i="45"/>
  <c r="P415" i="45"/>
  <c r="O415" i="45"/>
  <c r="Q414" i="45"/>
  <c r="P414" i="45"/>
  <c r="O414" i="45"/>
  <c r="Q413" i="45"/>
  <c r="P413" i="45"/>
  <c r="O413" i="45"/>
  <c r="Q412" i="45"/>
  <c r="P412" i="45"/>
  <c r="O412" i="45"/>
  <c r="Q411" i="45"/>
  <c r="P411" i="45"/>
  <c r="O411" i="45"/>
  <c r="Q410" i="45"/>
  <c r="P410" i="45"/>
  <c r="O410" i="45"/>
  <c r="Q409" i="45"/>
  <c r="P409" i="45"/>
  <c r="O409" i="45"/>
  <c r="Q408" i="45"/>
  <c r="P408" i="45"/>
  <c r="O408" i="45"/>
  <c r="Q407" i="45"/>
  <c r="P407" i="45"/>
  <c r="O407" i="45"/>
  <c r="Q406" i="45"/>
  <c r="P406" i="45"/>
  <c r="O406" i="45"/>
  <c r="Q405" i="45"/>
  <c r="P405" i="45"/>
  <c r="O405" i="45"/>
  <c r="Q404" i="45"/>
  <c r="P404" i="45"/>
  <c r="O404" i="45"/>
  <c r="Q403" i="45"/>
  <c r="P403" i="45"/>
  <c r="O403" i="45"/>
  <c r="Q402" i="45"/>
  <c r="P402" i="45"/>
  <c r="O402" i="45"/>
  <c r="Q401" i="45"/>
  <c r="P401" i="45"/>
  <c r="O401" i="45"/>
  <c r="Q400" i="45"/>
  <c r="P400" i="45"/>
  <c r="O400" i="45"/>
  <c r="Q399" i="45"/>
  <c r="P399" i="45"/>
  <c r="O399" i="45"/>
  <c r="Q398" i="45"/>
  <c r="P398" i="45"/>
  <c r="O398" i="45"/>
  <c r="Q397" i="45"/>
  <c r="P397" i="45"/>
  <c r="O397" i="45"/>
  <c r="Q396" i="45"/>
  <c r="P396" i="45"/>
  <c r="O396" i="45"/>
  <c r="Q395" i="45"/>
  <c r="P395" i="45"/>
  <c r="O395" i="45"/>
  <c r="Q394" i="45"/>
  <c r="P394" i="45"/>
  <c r="O394" i="45"/>
  <c r="Q393" i="45"/>
  <c r="P393" i="45"/>
  <c r="O393" i="45"/>
  <c r="Q392" i="45"/>
  <c r="P392" i="45"/>
  <c r="O392" i="45"/>
  <c r="Q391" i="45"/>
  <c r="P391" i="45"/>
  <c r="O391" i="45"/>
  <c r="Q390" i="45"/>
  <c r="P390" i="45"/>
  <c r="O390" i="45"/>
  <c r="Q389" i="45"/>
  <c r="P389" i="45"/>
  <c r="O389" i="45"/>
  <c r="Q388" i="45"/>
  <c r="P388" i="45"/>
  <c r="O388" i="45"/>
  <c r="Q387" i="45"/>
  <c r="P387" i="45"/>
  <c r="O387" i="45"/>
  <c r="Q386" i="45"/>
  <c r="P386" i="45"/>
  <c r="O386" i="45"/>
  <c r="Q385" i="45"/>
  <c r="P385" i="45"/>
  <c r="O385" i="45"/>
  <c r="Q384" i="45"/>
  <c r="P384" i="45"/>
  <c r="O384" i="45"/>
  <c r="Q383" i="45"/>
  <c r="P383" i="45"/>
  <c r="O383" i="45"/>
  <c r="Q382" i="45"/>
  <c r="P382" i="45"/>
  <c r="O382" i="45"/>
  <c r="Q381" i="45"/>
  <c r="P381" i="45"/>
  <c r="O381" i="45"/>
  <c r="Q380" i="45"/>
  <c r="P380" i="45"/>
  <c r="O380" i="45"/>
  <c r="Q379" i="45"/>
  <c r="P379" i="45"/>
  <c r="O379" i="45"/>
  <c r="Q378" i="45"/>
  <c r="P378" i="45"/>
  <c r="O378" i="45"/>
  <c r="Q377" i="45"/>
  <c r="P377" i="45"/>
  <c r="O377" i="45"/>
  <c r="Q376" i="45"/>
  <c r="P376" i="45"/>
  <c r="O376" i="45"/>
  <c r="Q375" i="45"/>
  <c r="P375" i="45"/>
  <c r="O375" i="45"/>
  <c r="Q374" i="45"/>
  <c r="P374" i="45"/>
  <c r="O374" i="45"/>
  <c r="Q373" i="45"/>
  <c r="P373" i="45"/>
  <c r="O373" i="45"/>
  <c r="Q372" i="45"/>
  <c r="P372" i="45"/>
  <c r="O372" i="45"/>
  <c r="Q371" i="45"/>
  <c r="P371" i="45"/>
  <c r="O371" i="45"/>
  <c r="Q370" i="45"/>
  <c r="P370" i="45"/>
  <c r="O370" i="45"/>
  <c r="Q369" i="45"/>
  <c r="P369" i="45"/>
  <c r="O369" i="45"/>
  <c r="Q368" i="45"/>
  <c r="P368" i="45"/>
  <c r="O368" i="45"/>
  <c r="Q367" i="45"/>
  <c r="P367" i="45"/>
  <c r="O367" i="45"/>
  <c r="Q366" i="45"/>
  <c r="P366" i="45"/>
  <c r="O366" i="45"/>
  <c r="Q365" i="45"/>
  <c r="P365" i="45"/>
  <c r="O365" i="45"/>
  <c r="Q364" i="45"/>
  <c r="P364" i="45"/>
  <c r="O364" i="45"/>
  <c r="Q363" i="45"/>
  <c r="P363" i="45"/>
  <c r="O363" i="45"/>
  <c r="Q362" i="45"/>
  <c r="P362" i="45"/>
  <c r="O362" i="45"/>
  <c r="Q361" i="45"/>
  <c r="P361" i="45"/>
  <c r="O361" i="45"/>
  <c r="Q360" i="45"/>
  <c r="P360" i="45"/>
  <c r="O360" i="45"/>
  <c r="Q359" i="45"/>
  <c r="P359" i="45"/>
  <c r="O359" i="45"/>
  <c r="Q358" i="45"/>
  <c r="P358" i="45"/>
  <c r="O358" i="45"/>
  <c r="Q357" i="45"/>
  <c r="P357" i="45"/>
  <c r="O357" i="45"/>
  <c r="Q356" i="45"/>
  <c r="P356" i="45"/>
  <c r="O356" i="45"/>
  <c r="Q355" i="45"/>
  <c r="P355" i="45"/>
  <c r="O355" i="45"/>
  <c r="Q354" i="45"/>
  <c r="P354" i="45"/>
  <c r="O354" i="45"/>
  <c r="Q353" i="45"/>
  <c r="P353" i="45"/>
  <c r="O353" i="45"/>
  <c r="Q352" i="45"/>
  <c r="P352" i="45"/>
  <c r="O352" i="45"/>
  <c r="Q351" i="45"/>
  <c r="P351" i="45"/>
  <c r="O351" i="45"/>
  <c r="Q350" i="45"/>
  <c r="P350" i="45"/>
  <c r="O350" i="45"/>
  <c r="Q349" i="45"/>
  <c r="P349" i="45"/>
  <c r="O349" i="45"/>
  <c r="Q348" i="45"/>
  <c r="P348" i="45"/>
  <c r="O348" i="45"/>
  <c r="Q347" i="45"/>
  <c r="P347" i="45"/>
  <c r="O347" i="45"/>
  <c r="Q346" i="45"/>
  <c r="P346" i="45"/>
  <c r="O346" i="45"/>
  <c r="Q345" i="45"/>
  <c r="P345" i="45"/>
  <c r="O345" i="45"/>
  <c r="Q344" i="45"/>
  <c r="P344" i="45"/>
  <c r="O344" i="45"/>
  <c r="Q343" i="45"/>
  <c r="P343" i="45"/>
  <c r="O343" i="45"/>
  <c r="Q342" i="45"/>
  <c r="P342" i="45"/>
  <c r="O342" i="45"/>
  <c r="Q341" i="45"/>
  <c r="P341" i="45"/>
  <c r="O341" i="45"/>
  <c r="Q340" i="45"/>
  <c r="P340" i="45"/>
  <c r="O340" i="45"/>
  <c r="Q339" i="45"/>
  <c r="P339" i="45"/>
  <c r="O339" i="45"/>
  <c r="Q338" i="45"/>
  <c r="P338" i="45"/>
  <c r="O338" i="45"/>
  <c r="Q337" i="45"/>
  <c r="P337" i="45"/>
  <c r="O337" i="45"/>
  <c r="Q336" i="45"/>
  <c r="P336" i="45"/>
  <c r="O336" i="45"/>
  <c r="Q335" i="45"/>
  <c r="P335" i="45"/>
  <c r="O335" i="45"/>
  <c r="Q334" i="45"/>
  <c r="P334" i="45"/>
  <c r="O334" i="45"/>
  <c r="Q333" i="45"/>
  <c r="P333" i="45"/>
  <c r="O333" i="45"/>
  <c r="Q332" i="45"/>
  <c r="P332" i="45"/>
  <c r="O332" i="45"/>
  <c r="Q331" i="45"/>
  <c r="P331" i="45"/>
  <c r="O331" i="45"/>
  <c r="Q330" i="45"/>
  <c r="P330" i="45"/>
  <c r="O330" i="45"/>
  <c r="Q329" i="45"/>
  <c r="P329" i="45"/>
  <c r="O329" i="45"/>
  <c r="Q328" i="45"/>
  <c r="P328" i="45"/>
  <c r="O328" i="45"/>
  <c r="Q327" i="45"/>
  <c r="P327" i="45"/>
  <c r="O327" i="45"/>
  <c r="Q326" i="45"/>
  <c r="P326" i="45"/>
  <c r="O326" i="45"/>
  <c r="Q325" i="45"/>
  <c r="P325" i="45"/>
  <c r="O325" i="45"/>
  <c r="Q324" i="45"/>
  <c r="P324" i="45"/>
  <c r="O324" i="45"/>
  <c r="Q323" i="45"/>
  <c r="P323" i="45"/>
  <c r="O323" i="45"/>
  <c r="Q322" i="45"/>
  <c r="P322" i="45"/>
  <c r="O322" i="45"/>
  <c r="Q321" i="45"/>
  <c r="P321" i="45"/>
  <c r="O321" i="45"/>
  <c r="Q320" i="45"/>
  <c r="P320" i="45"/>
  <c r="O320" i="45"/>
  <c r="Q319" i="45"/>
  <c r="P319" i="45"/>
  <c r="O319" i="45"/>
  <c r="Q318" i="45"/>
  <c r="P318" i="45"/>
  <c r="O318" i="45"/>
  <c r="Q317" i="45"/>
  <c r="P317" i="45"/>
  <c r="O317" i="45"/>
  <c r="Q316" i="45"/>
  <c r="P316" i="45"/>
  <c r="O316" i="45"/>
  <c r="Q315" i="45"/>
  <c r="P315" i="45"/>
  <c r="O315" i="45"/>
  <c r="Q314" i="45"/>
  <c r="P314" i="45"/>
  <c r="O314" i="45"/>
  <c r="Q313" i="45"/>
  <c r="P313" i="45"/>
  <c r="O313" i="45"/>
  <c r="Q312" i="45"/>
  <c r="P312" i="45"/>
  <c r="O312" i="45"/>
  <c r="Q311" i="45"/>
  <c r="P311" i="45"/>
  <c r="O311" i="45"/>
  <c r="Q310" i="45"/>
  <c r="P310" i="45"/>
  <c r="O310" i="45"/>
  <c r="Q309" i="45"/>
  <c r="P309" i="45"/>
  <c r="O309" i="45"/>
  <c r="Q308" i="45"/>
  <c r="P308" i="45"/>
  <c r="O308" i="45"/>
  <c r="Q307" i="45"/>
  <c r="P307" i="45"/>
  <c r="O307" i="45"/>
  <c r="Q306" i="45"/>
  <c r="P306" i="45"/>
  <c r="O306" i="45"/>
  <c r="Q305" i="45"/>
  <c r="P305" i="45"/>
  <c r="O305" i="45"/>
  <c r="Q304" i="45"/>
  <c r="P304" i="45"/>
  <c r="O304" i="45"/>
  <c r="Q303" i="45"/>
  <c r="P303" i="45"/>
  <c r="O303" i="45"/>
  <c r="Q302" i="45"/>
  <c r="P302" i="45"/>
  <c r="O302" i="45"/>
  <c r="Q301" i="45"/>
  <c r="P301" i="45"/>
  <c r="O301" i="45"/>
  <c r="Q300" i="45"/>
  <c r="P300" i="45"/>
  <c r="O300" i="45"/>
  <c r="Q299" i="45"/>
  <c r="P299" i="45"/>
  <c r="O299" i="45"/>
  <c r="Q298" i="45"/>
  <c r="P298" i="45"/>
  <c r="O298" i="45"/>
  <c r="Q297" i="45"/>
  <c r="P297" i="45"/>
  <c r="O297" i="45"/>
  <c r="Q296" i="45"/>
  <c r="P296" i="45"/>
  <c r="O296" i="45"/>
  <c r="Q295" i="45"/>
  <c r="P295" i="45"/>
  <c r="O295" i="45"/>
  <c r="Q294" i="45"/>
  <c r="P294" i="45"/>
  <c r="O294" i="45"/>
  <c r="Q293" i="45"/>
  <c r="P293" i="45"/>
  <c r="O293" i="45"/>
  <c r="Q292" i="45"/>
  <c r="P292" i="45"/>
  <c r="O292" i="45"/>
  <c r="Q291" i="45"/>
  <c r="P291" i="45"/>
  <c r="O291" i="45"/>
  <c r="Q290" i="45"/>
  <c r="P290" i="45"/>
  <c r="O290" i="45"/>
  <c r="Q289" i="45"/>
  <c r="P289" i="45"/>
  <c r="O289" i="45"/>
  <c r="Q288" i="45"/>
  <c r="P288" i="45"/>
  <c r="O288" i="45"/>
  <c r="Q287" i="45"/>
  <c r="P287" i="45"/>
  <c r="O287" i="45"/>
  <c r="Q286" i="45"/>
  <c r="P286" i="45"/>
  <c r="O286" i="45"/>
  <c r="Q285" i="45"/>
  <c r="P285" i="45"/>
  <c r="O285" i="45"/>
  <c r="Q284" i="45"/>
  <c r="P284" i="45"/>
  <c r="O284" i="45"/>
  <c r="Q283" i="45"/>
  <c r="P283" i="45"/>
  <c r="O283" i="45"/>
  <c r="Q282" i="45"/>
  <c r="P282" i="45"/>
  <c r="O282" i="45"/>
  <c r="Q281" i="45"/>
  <c r="P281" i="45"/>
  <c r="O281" i="45"/>
  <c r="Q280" i="45"/>
  <c r="P280" i="45"/>
  <c r="O280" i="45"/>
  <c r="Q279" i="45"/>
  <c r="P279" i="45"/>
  <c r="O279" i="45"/>
  <c r="Q278" i="45"/>
  <c r="P278" i="45"/>
  <c r="O278" i="45"/>
  <c r="Q277" i="45"/>
  <c r="P277" i="45"/>
  <c r="O277" i="45"/>
  <c r="Q276" i="45"/>
  <c r="P276" i="45"/>
  <c r="O276" i="45"/>
  <c r="Q275" i="45"/>
  <c r="P275" i="45"/>
  <c r="O275" i="45"/>
  <c r="Q274" i="45"/>
  <c r="P274" i="45"/>
  <c r="O274" i="45"/>
  <c r="Q273" i="45"/>
  <c r="P273" i="45"/>
  <c r="O273" i="45"/>
  <c r="Q272" i="45"/>
  <c r="P272" i="45"/>
  <c r="O272" i="45"/>
  <c r="Q271" i="45"/>
  <c r="P271" i="45"/>
  <c r="O271" i="45"/>
  <c r="Q270" i="45"/>
  <c r="P270" i="45"/>
  <c r="O270" i="45"/>
  <c r="Q269" i="45"/>
  <c r="P269" i="45"/>
  <c r="O269" i="45"/>
  <c r="Q268" i="45"/>
  <c r="P268" i="45"/>
  <c r="O268" i="45"/>
  <c r="Q267" i="45"/>
  <c r="P267" i="45"/>
  <c r="O267" i="45"/>
  <c r="Q266" i="45"/>
  <c r="P266" i="45"/>
  <c r="O266" i="45"/>
  <c r="Q265" i="45"/>
  <c r="P265" i="45"/>
  <c r="O265" i="45"/>
  <c r="Q264" i="45"/>
  <c r="P264" i="45"/>
  <c r="O264" i="45"/>
  <c r="Q263" i="45"/>
  <c r="P263" i="45"/>
  <c r="O263" i="45"/>
  <c r="Q262" i="45"/>
  <c r="P262" i="45"/>
  <c r="O262" i="45"/>
  <c r="Q261" i="45"/>
  <c r="P261" i="45"/>
  <c r="O261" i="45"/>
  <c r="Q260" i="45"/>
  <c r="P260" i="45"/>
  <c r="O260" i="45"/>
  <c r="Q259" i="45"/>
  <c r="P259" i="45"/>
  <c r="O259" i="45"/>
  <c r="Q258" i="45"/>
  <c r="P258" i="45"/>
  <c r="O258" i="45"/>
  <c r="Q257" i="45"/>
  <c r="P257" i="45"/>
  <c r="O257" i="45"/>
  <c r="Q256" i="45"/>
  <c r="P256" i="45"/>
  <c r="O256" i="45"/>
  <c r="Q255" i="45"/>
  <c r="P255" i="45"/>
  <c r="O255" i="45"/>
  <c r="Q254" i="45"/>
  <c r="P254" i="45"/>
  <c r="O254" i="45"/>
  <c r="Q253" i="45"/>
  <c r="P253" i="45"/>
  <c r="O253" i="45"/>
  <c r="Q252" i="45"/>
  <c r="P252" i="45"/>
  <c r="O252" i="45"/>
  <c r="Q251" i="45"/>
  <c r="P251" i="45"/>
  <c r="O251" i="45"/>
  <c r="Q250" i="45"/>
  <c r="P250" i="45"/>
  <c r="O250" i="45"/>
  <c r="Q249" i="45"/>
  <c r="P249" i="45"/>
  <c r="O249" i="45"/>
  <c r="Q248" i="45"/>
  <c r="P248" i="45"/>
  <c r="O248" i="45"/>
  <c r="Q247" i="45"/>
  <c r="P247" i="45"/>
  <c r="O247" i="45"/>
  <c r="Q246" i="45"/>
  <c r="P246" i="45"/>
  <c r="O246" i="45"/>
  <c r="Q245" i="45"/>
  <c r="P245" i="45"/>
  <c r="O245" i="45"/>
  <c r="Q244" i="45"/>
  <c r="P244" i="45"/>
  <c r="O244" i="45"/>
  <c r="Q243" i="45"/>
  <c r="P243" i="45"/>
  <c r="O243" i="45"/>
  <c r="Q242" i="45"/>
  <c r="P242" i="45"/>
  <c r="O242" i="45"/>
  <c r="Q241" i="45"/>
  <c r="P241" i="45"/>
  <c r="O241" i="45"/>
  <c r="Q240" i="45"/>
  <c r="P240" i="45"/>
  <c r="O240" i="45"/>
  <c r="Q239" i="45"/>
  <c r="P239" i="45"/>
  <c r="O239" i="45"/>
  <c r="Q238" i="45"/>
  <c r="P238" i="45"/>
  <c r="O238" i="45"/>
  <c r="Q237" i="45"/>
  <c r="P237" i="45"/>
  <c r="O237" i="45"/>
  <c r="Q236" i="45"/>
  <c r="P236" i="45"/>
  <c r="O236" i="45"/>
  <c r="Q235" i="45"/>
  <c r="P235" i="45"/>
  <c r="O235" i="45"/>
  <c r="Q234" i="45"/>
  <c r="P234" i="45"/>
  <c r="O234" i="45"/>
  <c r="Q233" i="45"/>
  <c r="P233" i="45"/>
  <c r="O233" i="45"/>
  <c r="Q232" i="45"/>
  <c r="P232" i="45"/>
  <c r="O232" i="45"/>
  <c r="Q231" i="45"/>
  <c r="P231" i="45"/>
  <c r="O231" i="45"/>
  <c r="Q230" i="45"/>
  <c r="P230" i="45"/>
  <c r="O230" i="45"/>
  <c r="Q229" i="45"/>
  <c r="P229" i="45"/>
  <c r="O229" i="45"/>
  <c r="Q228" i="45"/>
  <c r="P228" i="45"/>
  <c r="O228" i="45"/>
  <c r="Q227" i="45"/>
  <c r="P227" i="45"/>
  <c r="O227" i="45"/>
  <c r="Q226" i="45"/>
  <c r="P226" i="45"/>
  <c r="O226" i="45"/>
  <c r="Q225" i="45"/>
  <c r="P225" i="45"/>
  <c r="O225" i="45"/>
  <c r="Q224" i="45"/>
  <c r="P224" i="45"/>
  <c r="O224" i="45"/>
  <c r="Q223" i="45"/>
  <c r="P223" i="45"/>
  <c r="O223" i="45"/>
  <c r="Q222" i="45"/>
  <c r="P222" i="45"/>
  <c r="O222" i="45"/>
  <c r="Q221" i="45"/>
  <c r="P221" i="45"/>
  <c r="O221" i="45"/>
  <c r="Q220" i="45"/>
  <c r="P220" i="45"/>
  <c r="O220" i="45"/>
  <c r="Q219" i="45"/>
  <c r="P219" i="45"/>
  <c r="O219" i="45"/>
  <c r="Q218" i="45"/>
  <c r="P218" i="45"/>
  <c r="O218" i="45"/>
  <c r="Q217" i="45"/>
  <c r="P217" i="45"/>
  <c r="O217" i="45"/>
  <c r="Q216" i="45"/>
  <c r="P216" i="45"/>
  <c r="O216" i="45"/>
  <c r="Q215" i="45"/>
  <c r="P215" i="45"/>
  <c r="O215" i="45"/>
  <c r="Q214" i="45"/>
  <c r="P214" i="45"/>
  <c r="O214" i="45"/>
  <c r="Q213" i="45"/>
  <c r="P213" i="45"/>
  <c r="O213" i="45"/>
  <c r="Q212" i="45"/>
  <c r="P212" i="45"/>
  <c r="O212" i="45"/>
  <c r="Q211" i="45"/>
  <c r="P211" i="45"/>
  <c r="O211" i="45"/>
  <c r="Q210" i="45"/>
  <c r="P210" i="45"/>
  <c r="O210" i="45"/>
  <c r="Q209" i="45"/>
  <c r="P209" i="45"/>
  <c r="O209" i="45"/>
  <c r="Q208" i="45"/>
  <c r="P208" i="45"/>
  <c r="O208" i="45"/>
  <c r="Q207" i="45"/>
  <c r="P207" i="45"/>
  <c r="O207" i="45"/>
  <c r="Q206" i="45"/>
  <c r="P206" i="45"/>
  <c r="O206" i="45"/>
  <c r="Q205" i="45"/>
  <c r="P205" i="45"/>
  <c r="O205" i="45"/>
  <c r="Q204" i="45"/>
  <c r="P204" i="45"/>
  <c r="O204" i="45"/>
  <c r="Q203" i="45"/>
  <c r="P203" i="45"/>
  <c r="O203" i="45"/>
  <c r="Q202" i="45"/>
  <c r="P202" i="45"/>
  <c r="O202" i="45"/>
  <c r="Q201" i="45"/>
  <c r="P201" i="45"/>
  <c r="O201" i="45"/>
  <c r="Q200" i="45"/>
  <c r="P200" i="45"/>
  <c r="O200" i="45"/>
  <c r="Q199" i="45"/>
  <c r="P199" i="45"/>
  <c r="O199" i="45"/>
  <c r="Q198" i="45"/>
  <c r="P198" i="45"/>
  <c r="O198" i="45"/>
  <c r="Q197" i="45"/>
  <c r="P197" i="45"/>
  <c r="O197" i="45"/>
  <c r="Q196" i="45"/>
  <c r="P196" i="45"/>
  <c r="O196" i="45"/>
  <c r="Q195" i="45"/>
  <c r="P195" i="45"/>
  <c r="O195" i="45"/>
  <c r="Q194" i="45"/>
  <c r="P194" i="45"/>
  <c r="O194" i="45"/>
  <c r="Q193" i="45"/>
  <c r="P193" i="45"/>
  <c r="O193" i="45"/>
  <c r="Q192" i="45"/>
  <c r="P192" i="45"/>
  <c r="O192" i="45"/>
  <c r="Q191" i="45"/>
  <c r="P191" i="45"/>
  <c r="O191" i="45"/>
  <c r="Q190" i="45"/>
  <c r="P190" i="45"/>
  <c r="O190" i="45"/>
  <c r="Q189" i="45"/>
  <c r="P189" i="45"/>
  <c r="O189" i="45"/>
  <c r="Q188" i="45"/>
  <c r="P188" i="45"/>
  <c r="O188" i="45"/>
  <c r="Q187" i="45"/>
  <c r="P187" i="45"/>
  <c r="O187" i="45"/>
  <c r="Q186" i="45"/>
  <c r="P186" i="45"/>
  <c r="O186" i="45"/>
  <c r="Q185" i="45"/>
  <c r="P185" i="45"/>
  <c r="O185" i="45"/>
  <c r="Q184" i="45"/>
  <c r="P184" i="45"/>
  <c r="O184" i="45"/>
  <c r="Q183" i="45"/>
  <c r="P183" i="45"/>
  <c r="O183" i="45"/>
  <c r="Q182" i="45"/>
  <c r="P182" i="45"/>
  <c r="O182" i="45"/>
  <c r="Q181" i="45"/>
  <c r="P181" i="45"/>
  <c r="O181" i="45"/>
  <c r="Q180" i="45"/>
  <c r="P180" i="45"/>
  <c r="O180" i="45"/>
  <c r="Q179" i="45"/>
  <c r="P179" i="45"/>
  <c r="O179" i="45"/>
  <c r="Q178" i="45"/>
  <c r="P178" i="45"/>
  <c r="O178" i="45"/>
  <c r="Q177" i="45"/>
  <c r="P177" i="45"/>
  <c r="O177" i="45"/>
  <c r="Q176" i="45"/>
  <c r="P176" i="45"/>
  <c r="O176" i="45"/>
  <c r="Q175" i="45"/>
  <c r="P175" i="45"/>
  <c r="O175" i="45"/>
  <c r="Q174" i="45"/>
  <c r="P174" i="45"/>
  <c r="O174" i="45"/>
  <c r="Q173" i="45"/>
  <c r="P173" i="45"/>
  <c r="O173" i="45"/>
  <c r="Q172" i="45"/>
  <c r="P172" i="45"/>
  <c r="O172" i="45"/>
  <c r="Q171" i="45"/>
  <c r="P171" i="45"/>
  <c r="O171" i="45"/>
  <c r="Q170" i="45"/>
  <c r="P170" i="45"/>
  <c r="O170" i="45"/>
  <c r="Q169" i="45"/>
  <c r="P169" i="45"/>
  <c r="O169" i="45"/>
  <c r="Q168" i="45"/>
  <c r="P168" i="45"/>
  <c r="O168" i="45"/>
  <c r="Q167" i="45"/>
  <c r="P167" i="45"/>
  <c r="O167" i="45"/>
  <c r="Q166" i="45"/>
  <c r="P166" i="45"/>
  <c r="O166" i="45"/>
  <c r="Q165" i="45"/>
  <c r="P165" i="45"/>
  <c r="O165" i="45"/>
  <c r="Q164" i="45"/>
  <c r="P164" i="45"/>
  <c r="O164" i="45"/>
  <c r="Q163" i="45"/>
  <c r="P163" i="45"/>
  <c r="O163" i="45"/>
  <c r="Q162" i="45"/>
  <c r="P162" i="45"/>
  <c r="O162" i="45"/>
  <c r="Q161" i="45"/>
  <c r="P161" i="45"/>
  <c r="O161" i="45"/>
  <c r="Q160" i="45"/>
  <c r="P160" i="45"/>
  <c r="O160" i="45"/>
  <c r="Q159" i="45"/>
  <c r="P159" i="45"/>
  <c r="O159" i="45"/>
  <c r="Q158" i="45"/>
  <c r="P158" i="45"/>
  <c r="O158" i="45"/>
  <c r="Q157" i="45"/>
  <c r="P157" i="45"/>
  <c r="O157" i="45"/>
  <c r="Q156" i="45"/>
  <c r="P156" i="45"/>
  <c r="O156" i="45"/>
  <c r="Q155" i="45"/>
  <c r="P155" i="45"/>
  <c r="O155" i="45"/>
  <c r="Q154" i="45"/>
  <c r="P154" i="45"/>
  <c r="O154" i="45"/>
  <c r="Q153" i="45"/>
  <c r="P153" i="45"/>
  <c r="O153" i="45"/>
  <c r="Q152" i="45"/>
  <c r="P152" i="45"/>
  <c r="O152" i="45"/>
  <c r="Q151" i="45"/>
  <c r="P151" i="45"/>
  <c r="O151" i="45"/>
  <c r="Q150" i="45"/>
  <c r="P150" i="45"/>
  <c r="O150" i="45"/>
  <c r="Q149" i="45"/>
  <c r="P149" i="45"/>
  <c r="O149" i="45"/>
  <c r="Q148" i="45"/>
  <c r="P148" i="45"/>
  <c r="O148" i="45"/>
  <c r="Q147" i="45"/>
  <c r="P147" i="45"/>
  <c r="O147" i="45"/>
  <c r="Q146" i="45"/>
  <c r="P146" i="45"/>
  <c r="O146" i="45"/>
  <c r="Q145" i="45"/>
  <c r="P145" i="45"/>
  <c r="O145" i="45"/>
  <c r="Q144" i="45"/>
  <c r="P144" i="45"/>
  <c r="O144" i="45"/>
  <c r="Q143" i="45"/>
  <c r="P143" i="45"/>
  <c r="O143" i="45"/>
  <c r="Q142" i="45"/>
  <c r="P142" i="45"/>
  <c r="O142" i="45"/>
  <c r="Q141" i="45"/>
  <c r="P141" i="45"/>
  <c r="O141" i="45"/>
  <c r="Q140" i="45"/>
  <c r="P140" i="45"/>
  <c r="O140" i="45"/>
  <c r="Q139" i="45"/>
  <c r="P139" i="45"/>
  <c r="O139" i="45"/>
  <c r="Q138" i="45"/>
  <c r="P138" i="45"/>
  <c r="O138" i="45"/>
  <c r="Q137" i="45"/>
  <c r="P137" i="45"/>
  <c r="O137" i="45"/>
  <c r="Q136" i="45"/>
  <c r="P136" i="45"/>
  <c r="O136" i="45"/>
  <c r="Q135" i="45"/>
  <c r="P135" i="45"/>
  <c r="O135" i="45"/>
  <c r="Q134" i="45"/>
  <c r="P134" i="45"/>
  <c r="O134" i="45"/>
  <c r="Q133" i="45"/>
  <c r="P133" i="45"/>
  <c r="O133" i="45"/>
  <c r="Q132" i="45"/>
  <c r="P132" i="45"/>
  <c r="O132" i="45"/>
  <c r="Q131" i="45"/>
  <c r="P131" i="45"/>
  <c r="O131" i="45"/>
  <c r="Q130" i="45"/>
  <c r="P130" i="45"/>
  <c r="O130" i="45"/>
  <c r="Q129" i="45"/>
  <c r="P129" i="45"/>
  <c r="O129" i="45"/>
  <c r="Q128" i="45"/>
  <c r="P128" i="45"/>
  <c r="O128" i="45"/>
  <c r="Q127" i="45"/>
  <c r="P127" i="45"/>
  <c r="O127" i="45"/>
  <c r="Q126" i="45"/>
  <c r="P126" i="45"/>
  <c r="O126" i="45"/>
  <c r="Q125" i="45"/>
  <c r="P125" i="45"/>
  <c r="O125" i="45"/>
  <c r="Q124" i="45"/>
  <c r="P124" i="45"/>
  <c r="O124" i="45"/>
  <c r="Q123" i="45"/>
  <c r="P123" i="45"/>
  <c r="O123" i="45"/>
  <c r="Q122" i="45"/>
  <c r="P122" i="45"/>
  <c r="O122" i="45"/>
  <c r="Q121" i="45"/>
  <c r="P121" i="45"/>
  <c r="O121" i="45"/>
  <c r="Q120" i="45"/>
  <c r="P120" i="45"/>
  <c r="O120" i="45"/>
  <c r="Q119" i="45"/>
  <c r="P119" i="45"/>
  <c r="O119" i="45"/>
  <c r="Q118" i="45"/>
  <c r="P118" i="45"/>
  <c r="O118" i="45"/>
  <c r="Q117" i="45"/>
  <c r="P117" i="45"/>
  <c r="O117" i="45"/>
  <c r="Q116" i="45"/>
  <c r="P116" i="45"/>
  <c r="O116" i="45"/>
  <c r="Q115" i="45"/>
  <c r="P115" i="45"/>
  <c r="O115" i="45"/>
  <c r="Q114" i="45"/>
  <c r="P114" i="45"/>
  <c r="O114" i="45"/>
  <c r="Q113" i="45"/>
  <c r="P113" i="45"/>
  <c r="O113" i="45"/>
  <c r="Q112" i="45"/>
  <c r="P112" i="45"/>
  <c r="O112" i="45"/>
  <c r="Q111" i="45"/>
  <c r="P111" i="45"/>
  <c r="O111" i="45"/>
  <c r="Q110" i="45"/>
  <c r="P110" i="45"/>
  <c r="O110" i="45"/>
  <c r="Q109" i="45"/>
  <c r="P109" i="45"/>
  <c r="O109" i="45"/>
  <c r="Q108" i="45"/>
  <c r="P108" i="45"/>
  <c r="O108" i="45"/>
  <c r="Q107" i="45"/>
  <c r="P107" i="45"/>
  <c r="O107" i="45"/>
  <c r="Q106" i="45"/>
  <c r="P106" i="45"/>
  <c r="O106" i="45"/>
  <c r="Q105" i="45"/>
  <c r="P105" i="45"/>
  <c r="O105" i="45"/>
  <c r="Q104" i="45"/>
  <c r="P104" i="45"/>
  <c r="O104" i="45"/>
  <c r="Q103" i="45"/>
  <c r="P103" i="45"/>
  <c r="O103" i="45"/>
  <c r="Q102" i="45"/>
  <c r="P102" i="45"/>
  <c r="O102" i="45"/>
  <c r="Q101" i="45"/>
  <c r="P101" i="45"/>
  <c r="O101" i="45"/>
  <c r="Q100" i="45"/>
  <c r="P100" i="45"/>
  <c r="O100" i="45"/>
  <c r="Q99" i="45"/>
  <c r="P99" i="45"/>
  <c r="O99" i="45"/>
  <c r="Q98" i="45"/>
  <c r="P98" i="45"/>
  <c r="O98" i="45"/>
  <c r="Q97" i="45"/>
  <c r="P97" i="45"/>
  <c r="O97" i="45"/>
  <c r="Q96" i="45"/>
  <c r="P96" i="45"/>
  <c r="O96" i="45"/>
  <c r="Q95" i="45"/>
  <c r="P95" i="45"/>
  <c r="O95" i="45"/>
  <c r="Q94" i="45"/>
  <c r="P94" i="45"/>
  <c r="O94" i="45"/>
  <c r="Q93" i="45"/>
  <c r="P93" i="45"/>
  <c r="O93" i="45"/>
  <c r="Q92" i="45"/>
  <c r="P92" i="45"/>
  <c r="O92" i="45"/>
  <c r="Q91" i="45"/>
  <c r="P91" i="45"/>
  <c r="O91" i="45"/>
  <c r="Q90" i="45"/>
  <c r="P90" i="45"/>
  <c r="O90" i="45"/>
  <c r="Q89" i="45"/>
  <c r="P89" i="45"/>
  <c r="O89" i="45"/>
  <c r="Q88" i="45"/>
  <c r="P88" i="45"/>
  <c r="O88" i="45"/>
  <c r="Q87" i="45"/>
  <c r="P87" i="45"/>
  <c r="O87" i="45"/>
  <c r="Q86" i="45"/>
  <c r="P86" i="45"/>
  <c r="O86" i="45"/>
  <c r="Q85" i="45"/>
  <c r="P85" i="45"/>
  <c r="O85" i="45"/>
  <c r="Q84" i="45"/>
  <c r="P84" i="45"/>
  <c r="O84" i="45"/>
  <c r="Q83" i="45"/>
  <c r="P83" i="45"/>
  <c r="O83" i="45"/>
  <c r="Q82" i="45"/>
  <c r="P82" i="45"/>
  <c r="O82" i="45"/>
  <c r="Q81" i="45"/>
  <c r="P81" i="45"/>
  <c r="O81" i="45"/>
  <c r="Q80" i="45"/>
  <c r="P80" i="45"/>
  <c r="O80" i="45"/>
  <c r="Q79" i="45"/>
  <c r="P79" i="45"/>
  <c r="O79" i="45"/>
  <c r="Q78" i="45"/>
  <c r="P78" i="45"/>
  <c r="O78" i="45"/>
  <c r="Q77" i="45"/>
  <c r="P77" i="45"/>
  <c r="O77" i="45"/>
  <c r="Q76" i="45"/>
  <c r="P76" i="45"/>
  <c r="O76" i="45"/>
  <c r="Q75" i="45"/>
  <c r="P75" i="45"/>
  <c r="O75" i="45"/>
  <c r="Q74" i="45"/>
  <c r="P74" i="45"/>
  <c r="O74" i="45"/>
  <c r="Q73" i="45"/>
  <c r="P73" i="45"/>
  <c r="O73" i="45"/>
  <c r="Q72" i="45"/>
  <c r="P72" i="45"/>
  <c r="O72" i="45"/>
  <c r="Q71" i="45"/>
  <c r="P71" i="45"/>
  <c r="O71" i="45"/>
  <c r="Q70" i="45"/>
  <c r="P70" i="45"/>
  <c r="O70" i="45"/>
  <c r="Q69" i="45"/>
  <c r="P69" i="45"/>
  <c r="O69" i="45"/>
  <c r="Q68" i="45"/>
  <c r="P68" i="45"/>
  <c r="O68" i="45"/>
  <c r="Q67" i="45"/>
  <c r="P67" i="45"/>
  <c r="O67" i="45"/>
  <c r="Q66" i="45"/>
  <c r="P66" i="45"/>
  <c r="O66" i="45"/>
  <c r="Q65" i="45"/>
  <c r="P65" i="45"/>
  <c r="O65" i="45"/>
  <c r="Q64" i="45"/>
  <c r="P64" i="45"/>
  <c r="O64" i="45"/>
  <c r="Q63" i="45"/>
  <c r="P63" i="45"/>
  <c r="O63" i="45"/>
  <c r="Q62" i="45"/>
  <c r="P62" i="45"/>
  <c r="O62" i="45"/>
  <c r="Q61" i="45"/>
  <c r="P61" i="45"/>
  <c r="O61" i="45"/>
  <c r="Q60" i="45"/>
  <c r="P60" i="45"/>
  <c r="O60" i="45"/>
  <c r="Q59" i="45"/>
  <c r="P59" i="45"/>
  <c r="O59" i="45"/>
  <c r="Q58" i="45"/>
  <c r="P58" i="45"/>
  <c r="O58" i="45"/>
  <c r="Q57" i="45"/>
  <c r="P57" i="45"/>
  <c r="O57" i="45"/>
  <c r="Q56" i="45"/>
  <c r="P56" i="45"/>
  <c r="O56" i="45"/>
  <c r="Q55" i="45"/>
  <c r="P55" i="45"/>
  <c r="O55" i="45"/>
  <c r="Q54" i="45"/>
  <c r="P54" i="45"/>
  <c r="O54" i="45"/>
  <c r="Q53" i="45"/>
  <c r="P53" i="45"/>
  <c r="O53" i="45"/>
  <c r="Q52" i="45"/>
  <c r="P52" i="45"/>
  <c r="O52" i="45"/>
  <c r="Q51" i="45"/>
  <c r="P51" i="45"/>
  <c r="O51" i="45"/>
  <c r="Q50" i="45"/>
  <c r="P50" i="45"/>
  <c r="O50" i="45"/>
  <c r="Q49" i="45"/>
  <c r="P49" i="45"/>
  <c r="O49" i="45"/>
  <c r="Q48" i="45"/>
  <c r="P48" i="45"/>
  <c r="O48" i="45"/>
  <c r="Q47" i="45"/>
  <c r="P47" i="45"/>
  <c r="O47" i="45"/>
  <c r="Q46" i="45"/>
  <c r="P46" i="45"/>
  <c r="O46" i="45"/>
  <c r="Q45" i="45"/>
  <c r="P45" i="45"/>
  <c r="O45" i="45"/>
  <c r="Q44" i="45"/>
  <c r="P44" i="45"/>
  <c r="O44" i="45"/>
  <c r="Q43" i="45"/>
  <c r="P43" i="45"/>
  <c r="O43" i="45"/>
  <c r="Q42" i="45"/>
  <c r="P42" i="45"/>
  <c r="O42" i="45"/>
  <c r="Q41" i="45"/>
  <c r="P41" i="45"/>
  <c r="O41" i="45"/>
  <c r="Q40" i="45"/>
  <c r="P40" i="45"/>
  <c r="O40" i="45"/>
  <c r="Q39" i="45"/>
  <c r="P39" i="45"/>
  <c r="O39" i="45"/>
  <c r="Q38" i="45"/>
  <c r="P38" i="45"/>
  <c r="O38" i="45"/>
  <c r="Q37" i="45"/>
  <c r="P37" i="45"/>
  <c r="O37" i="45"/>
  <c r="Q36" i="45"/>
  <c r="P36" i="45"/>
  <c r="O36" i="45"/>
  <c r="Q35" i="45"/>
  <c r="P35" i="45"/>
  <c r="O35" i="45"/>
  <c r="Q34" i="45"/>
  <c r="P34" i="45"/>
  <c r="O34" i="45"/>
  <c r="Q33" i="45"/>
  <c r="P33" i="45"/>
  <c r="O33" i="45"/>
  <c r="P32" i="45"/>
  <c r="O32" i="45"/>
  <c r="Q32" i="45" s="1"/>
  <c r="Q31" i="45"/>
  <c r="P31" i="45"/>
  <c r="O31" i="45"/>
  <c r="Q30" i="45"/>
  <c r="P30" i="45"/>
  <c r="O30" i="45"/>
  <c r="Q29" i="45"/>
  <c r="P29" i="45"/>
  <c r="O29" i="45"/>
  <c r="P28" i="45"/>
  <c r="O28" i="45"/>
  <c r="Q28" i="45" s="1"/>
  <c r="Q27" i="45"/>
  <c r="P27" i="45"/>
  <c r="O27" i="45"/>
  <c r="Q26" i="45"/>
  <c r="P26" i="45"/>
  <c r="O26" i="45"/>
  <c r="Q25" i="45"/>
  <c r="P25" i="45"/>
  <c r="O25" i="45"/>
  <c r="P24" i="45"/>
  <c r="O24" i="45"/>
  <c r="Q24" i="45" s="1"/>
  <c r="Q23" i="45"/>
  <c r="P23" i="45"/>
  <c r="O23" i="45"/>
  <c r="Q22" i="45"/>
  <c r="P22" i="45"/>
  <c r="O22" i="45"/>
  <c r="Q21" i="45"/>
  <c r="P21" i="45"/>
  <c r="O21" i="45"/>
  <c r="P20" i="45"/>
  <c r="O20" i="45"/>
  <c r="Q20" i="45" s="1"/>
  <c r="Q19" i="45"/>
  <c r="P19" i="45"/>
  <c r="O19" i="45"/>
  <c r="Q18" i="45"/>
  <c r="P18" i="45"/>
  <c r="O18" i="45"/>
  <c r="Q17" i="45"/>
  <c r="P17" i="45"/>
  <c r="O17" i="45"/>
  <c r="P16" i="45"/>
  <c r="O16" i="45"/>
  <c r="Q16" i="45" s="1"/>
  <c r="Q15" i="45"/>
  <c r="P15" i="45"/>
  <c r="O15" i="45"/>
  <c r="Q14" i="45"/>
  <c r="P14" i="45"/>
  <c r="O14" i="45"/>
  <c r="Q13" i="45"/>
  <c r="P13" i="45"/>
  <c r="O13" i="45"/>
  <c r="P12" i="45"/>
  <c r="O12" i="45"/>
  <c r="Q12" i="45" s="1"/>
  <c r="Q11" i="45"/>
  <c r="P11" i="45"/>
  <c r="O11" i="45"/>
  <c r="Q10" i="45"/>
  <c r="P10" i="45"/>
  <c r="O10" i="45"/>
  <c r="Q9" i="45"/>
  <c r="P9" i="45"/>
  <c r="O9" i="45"/>
  <c r="Q465" i="45" l="1"/>
  <c r="J58" i="30"/>
  <c r="H58" i="30"/>
  <c r="I58" i="30" s="1"/>
  <c r="K58" i="30" s="1"/>
  <c r="J57" i="30"/>
  <c r="H57" i="30"/>
  <c r="I57" i="30" s="1"/>
  <c r="K57" i="30" s="1"/>
  <c r="C58" i="30"/>
  <c r="C57" i="30"/>
  <c r="J56" i="30" l="1"/>
  <c r="H56" i="30"/>
  <c r="I56" i="30" s="1"/>
  <c r="J55" i="30"/>
  <c r="H55" i="30"/>
  <c r="I55" i="30" s="1"/>
  <c r="J54" i="30"/>
  <c r="H54" i="30"/>
  <c r="I54" i="30" s="1"/>
  <c r="C55" i="30"/>
  <c r="C54" i="30"/>
  <c r="C56" i="30"/>
  <c r="K55" i="30" l="1"/>
  <c r="K56" i="30"/>
  <c r="K54" i="30"/>
  <c r="G117" i="9" l="1"/>
  <c r="G153" i="13" l="1"/>
  <c r="J53" i="30"/>
  <c r="H53" i="30"/>
  <c r="I53" i="30" s="1"/>
  <c r="C53" i="30"/>
  <c r="K53" i="30" l="1"/>
  <c r="G87" i="9" l="1"/>
  <c r="J52" i="30"/>
  <c r="K52" i="30" s="1"/>
  <c r="J51" i="30"/>
  <c r="K51" i="30" s="1"/>
  <c r="C52" i="30"/>
  <c r="C51" i="30"/>
  <c r="J50" i="30" l="1"/>
  <c r="K50" i="30" s="1"/>
  <c r="C50" i="30"/>
  <c r="C28" i="30"/>
  <c r="J28" i="30"/>
  <c r="H28" i="30"/>
  <c r="I28" i="30" s="1"/>
  <c r="H27" i="30"/>
  <c r="K28" i="30" l="1"/>
  <c r="C94" i="9"/>
  <c r="G93" i="9"/>
  <c r="C88" i="9"/>
  <c r="G60" i="9"/>
  <c r="C55" i="9"/>
  <c r="G36" i="9"/>
  <c r="C31" i="9"/>
  <c r="F25" i="21"/>
  <c r="F24" i="21"/>
  <c r="F23" i="21"/>
  <c r="F22" i="21"/>
  <c r="F21" i="21"/>
  <c r="F20" i="21"/>
  <c r="F14" i="21"/>
  <c r="F117" i="39" l="1"/>
  <c r="F6" i="39"/>
  <c r="O23" i="24"/>
  <c r="O22" i="24"/>
  <c r="K35" i="19"/>
  <c r="L24" i="19"/>
  <c r="H27" i="21"/>
  <c r="H16" i="21"/>
  <c r="V20" i="21"/>
  <c r="I20" i="21"/>
  <c r="D33" i="19"/>
  <c r="D32" i="19"/>
  <c r="D31" i="19"/>
  <c r="D30" i="19"/>
  <c r="D29" i="19"/>
  <c r="D28" i="19"/>
  <c r="D27" i="19"/>
  <c r="D26" i="19"/>
  <c r="D18" i="19"/>
  <c r="D17" i="19"/>
  <c r="D16" i="19"/>
  <c r="D15" i="19"/>
  <c r="D14" i="19"/>
  <c r="D13" i="19"/>
  <c r="D12" i="19"/>
  <c r="D11" i="19"/>
  <c r="D10" i="19"/>
  <c r="F33" i="19"/>
  <c r="F32" i="19"/>
  <c r="F31" i="19"/>
  <c r="F30" i="19"/>
  <c r="F29" i="19"/>
  <c r="F28" i="19"/>
  <c r="F27" i="19"/>
  <c r="F26" i="19"/>
  <c r="F25" i="19"/>
  <c r="F24" i="19"/>
  <c r="F18" i="19"/>
  <c r="F17" i="19"/>
  <c r="F16" i="19"/>
  <c r="F15" i="19"/>
  <c r="F14" i="19"/>
  <c r="F13" i="19"/>
  <c r="F12" i="19"/>
  <c r="F11" i="19"/>
  <c r="F10" i="19"/>
  <c r="F9" i="19"/>
  <c r="F13" i="21"/>
  <c r="F11" i="21"/>
  <c r="F10" i="21"/>
  <c r="F9" i="21"/>
  <c r="F12" i="21"/>
  <c r="I14" i="21"/>
  <c r="J6" i="30"/>
  <c r="H6" i="30"/>
  <c r="C60" i="30"/>
  <c r="C49" i="30"/>
  <c r="C48" i="30"/>
  <c r="C47" i="30"/>
  <c r="C46" i="30"/>
  <c r="C45" i="30"/>
  <c r="C44" i="30"/>
  <c r="C43" i="30"/>
  <c r="C42" i="30"/>
  <c r="C41" i="30"/>
  <c r="C40" i="30"/>
  <c r="C39" i="30"/>
  <c r="C38" i="30"/>
  <c r="C37" i="30"/>
  <c r="C36" i="30"/>
  <c r="C35" i="30"/>
  <c r="C34" i="30"/>
  <c r="C33" i="30"/>
  <c r="C32" i="30"/>
  <c r="C31" i="30"/>
  <c r="C30" i="30"/>
  <c r="C29" i="30"/>
  <c r="C27" i="30"/>
  <c r="C26" i="30"/>
  <c r="C25" i="30"/>
  <c r="C24" i="30"/>
  <c r="C23" i="30"/>
  <c r="C22" i="30"/>
  <c r="C21" i="30"/>
  <c r="C20" i="30"/>
  <c r="C19" i="30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G24" i="9"/>
  <c r="K20" i="21" l="1"/>
  <c r="K14" i="21"/>
  <c r="F228" i="39"/>
  <c r="F223" i="39"/>
  <c r="F112" i="39"/>
  <c r="F334" i="39"/>
  <c r="B331" i="39"/>
  <c r="B330" i="39"/>
  <c r="B329" i="39"/>
  <c r="B328" i="39"/>
  <c r="B327" i="39"/>
  <c r="B326" i="39"/>
  <c r="B325" i="39"/>
  <c r="B324" i="39"/>
  <c r="B323" i="39"/>
  <c r="B322" i="39"/>
  <c r="B321" i="39"/>
  <c r="B320" i="39"/>
  <c r="B319" i="39"/>
  <c r="B318" i="39"/>
  <c r="B317" i="39"/>
  <c r="B316" i="39"/>
  <c r="B315" i="39"/>
  <c r="B314" i="39"/>
  <c r="B313" i="39"/>
  <c r="B312" i="39"/>
  <c r="B311" i="39"/>
  <c r="B310" i="39"/>
  <c r="B309" i="39"/>
  <c r="B308" i="39"/>
  <c r="B307" i="39"/>
  <c r="B306" i="39"/>
  <c r="B305" i="39"/>
  <c r="B304" i="39"/>
  <c r="B303" i="39"/>
  <c r="B302" i="39"/>
  <c r="B301" i="39"/>
  <c r="B300" i="39"/>
  <c r="B299" i="39"/>
  <c r="B298" i="39"/>
  <c r="B297" i="39"/>
  <c r="B296" i="39"/>
  <c r="B295" i="39"/>
  <c r="B294" i="39"/>
  <c r="B293" i="39"/>
  <c r="B292" i="39"/>
  <c r="B291" i="39"/>
  <c r="B290" i="39"/>
  <c r="B289" i="39"/>
  <c r="B288" i="39"/>
  <c r="B287" i="39"/>
  <c r="B286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A3" i="39"/>
  <c r="A1" i="39"/>
  <c r="B7" i="8"/>
  <c r="A3" i="33"/>
  <c r="A3" i="9"/>
  <c r="A3" i="13"/>
  <c r="A3" i="21"/>
  <c r="A1" i="21"/>
  <c r="A3" i="19"/>
  <c r="A1" i="19"/>
  <c r="A3" i="30"/>
  <c r="E208" i="9" l="1"/>
  <c r="G208" i="9" s="1"/>
  <c r="G209" i="9" s="1"/>
  <c r="E204" i="9"/>
  <c r="G204" i="9" s="1"/>
  <c r="G205" i="9" s="1"/>
  <c r="C201" i="9"/>
  <c r="G200" i="9"/>
  <c r="C195" i="9"/>
  <c r="G194" i="9"/>
  <c r="C189" i="9"/>
  <c r="G188" i="9"/>
  <c r="C183" i="9"/>
  <c r="G182" i="9"/>
  <c r="C177" i="9"/>
  <c r="G176" i="9"/>
  <c r="C171" i="9"/>
  <c r="G170" i="9"/>
  <c r="C165" i="9"/>
  <c r="G164" i="9"/>
  <c r="C159" i="9"/>
  <c r="G158" i="9"/>
  <c r="C153" i="9"/>
  <c r="G152" i="9"/>
  <c r="C146" i="9"/>
  <c r="G145" i="9"/>
  <c r="C139" i="9"/>
  <c r="A1" i="30"/>
  <c r="G212" i="9" l="1"/>
  <c r="K2" i="24"/>
  <c r="K4" i="24"/>
  <c r="K6" i="24"/>
  <c r="K8" i="24"/>
  <c r="K10" i="24"/>
  <c r="K12" i="24"/>
  <c r="K13" i="24" s="1"/>
  <c r="K14" i="24"/>
  <c r="K15" i="24" s="1"/>
  <c r="K16" i="24"/>
  <c r="K17" i="24" s="1"/>
  <c r="K18" i="24"/>
  <c r="K19" i="24" s="1"/>
  <c r="K20" i="24"/>
  <c r="K22" i="24"/>
  <c r="K24" i="24"/>
  <c r="K26" i="24"/>
  <c r="K28" i="24"/>
  <c r="K30" i="24"/>
  <c r="K32" i="24"/>
  <c r="K33" i="24" s="1"/>
  <c r="K34" i="24"/>
  <c r="K35" i="24" s="1"/>
  <c r="K36" i="24"/>
  <c r="K37" i="24" s="1"/>
  <c r="K38" i="24"/>
  <c r="K39" i="24" s="1"/>
  <c r="K40" i="24"/>
  <c r="K42" i="24"/>
  <c r="K44" i="24"/>
  <c r="K46" i="24"/>
  <c r="K48" i="24"/>
  <c r="K50" i="24"/>
  <c r="K51" i="24" s="1"/>
  <c r="K52" i="24"/>
  <c r="K54" i="24"/>
  <c r="K56" i="24"/>
  <c r="K58" i="24"/>
  <c r="K60" i="24"/>
  <c r="K62" i="24"/>
  <c r="K64" i="24"/>
  <c r="K66" i="24"/>
  <c r="K67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K84" i="24"/>
  <c r="K85" i="24"/>
  <c r="K86" i="24"/>
  <c r="K87" i="24"/>
  <c r="K88" i="24"/>
  <c r="K89" i="24"/>
  <c r="K90" i="24"/>
  <c r="K91" i="24"/>
  <c r="K92" i="24"/>
  <c r="K93" i="24"/>
  <c r="K94" i="24"/>
  <c r="K95" i="24"/>
  <c r="K96" i="24"/>
  <c r="K97" i="24"/>
  <c r="K98" i="24"/>
  <c r="K99" i="24"/>
  <c r="K100" i="24"/>
  <c r="K101" i="24"/>
  <c r="K102" i="24"/>
  <c r="K103" i="24"/>
  <c r="K104" i="24"/>
  <c r="K105" i="24"/>
  <c r="K106" i="24"/>
  <c r="K107" i="24"/>
  <c r="K108" i="24"/>
  <c r="K109" i="24"/>
  <c r="K110" i="24"/>
  <c r="K111" i="24"/>
  <c r="K112" i="24"/>
  <c r="K113" i="24"/>
  <c r="K114" i="24"/>
  <c r="K115" i="24"/>
  <c r="K116" i="24"/>
  <c r="K117" i="24"/>
  <c r="K118" i="24"/>
  <c r="K119" i="24"/>
  <c r="K120" i="24"/>
  <c r="K121" i="24"/>
  <c r="K122" i="24"/>
  <c r="K123" i="24"/>
  <c r="K124" i="24"/>
  <c r="K125" i="24"/>
  <c r="K126" i="24"/>
  <c r="K127" i="24"/>
  <c r="K128" i="24"/>
  <c r="K129" i="24"/>
  <c r="K130" i="24"/>
  <c r="K131" i="24"/>
  <c r="K132" i="24"/>
  <c r="K133" i="24"/>
  <c r="K134" i="24"/>
  <c r="K135" i="24"/>
  <c r="K136" i="24"/>
  <c r="K137" i="24"/>
  <c r="K138" i="24"/>
  <c r="K139" i="24"/>
  <c r="K140" i="24"/>
  <c r="K141" i="24"/>
  <c r="K142" i="24"/>
  <c r="K143" i="24"/>
  <c r="K144" i="24"/>
  <c r="K145" i="24"/>
  <c r="K146" i="24"/>
  <c r="K147" i="24"/>
  <c r="K148" i="24"/>
  <c r="K149" i="24"/>
  <c r="K150" i="24"/>
  <c r="K151" i="24"/>
  <c r="K152" i="24"/>
  <c r="K153" i="24"/>
  <c r="K154" i="24"/>
  <c r="K155" i="24"/>
  <c r="K156" i="24"/>
  <c r="K157" i="24"/>
  <c r="K158" i="24"/>
  <c r="K159" i="24"/>
  <c r="K160" i="24"/>
  <c r="K161" i="24"/>
  <c r="K162" i="24"/>
  <c r="K163" i="24"/>
  <c r="K164" i="24"/>
  <c r="K165" i="24"/>
  <c r="E3" i="36"/>
  <c r="A155" i="13" l="1"/>
  <c r="F251" i="13" s="1"/>
  <c r="A4" i="13"/>
  <c r="F153" i="13" s="1"/>
  <c r="P3" i="35"/>
  <c r="P2" i="35"/>
  <c r="G251" i="13"/>
  <c r="K20" i="19"/>
  <c r="D166" i="38" l="1"/>
  <c r="D165" i="38"/>
  <c r="D164" i="38"/>
  <c r="D163" i="38"/>
  <c r="D162" i="38"/>
  <c r="D161" i="38"/>
  <c r="D160" i="38"/>
  <c r="D159" i="38"/>
  <c r="D158" i="38"/>
  <c r="D157" i="38"/>
  <c r="D156" i="38"/>
  <c r="D155" i="38"/>
  <c r="D154" i="38"/>
  <c r="D153" i="38"/>
  <c r="D152" i="38"/>
  <c r="D151" i="38"/>
  <c r="D150" i="38"/>
  <c r="D149" i="38"/>
  <c r="D148" i="38"/>
  <c r="D147" i="38"/>
  <c r="D146" i="38"/>
  <c r="D145" i="38"/>
  <c r="D144" i="38"/>
  <c r="D143" i="38"/>
  <c r="D142" i="38"/>
  <c r="D141" i="38"/>
  <c r="D140" i="38"/>
  <c r="D139" i="38"/>
  <c r="D138" i="38"/>
  <c r="D137" i="38"/>
  <c r="D136" i="38"/>
  <c r="D135" i="38"/>
  <c r="D134" i="38"/>
  <c r="D133" i="38"/>
  <c r="D132" i="38"/>
  <c r="D131" i="38"/>
  <c r="D130" i="38"/>
  <c r="D129" i="38"/>
  <c r="D128" i="38"/>
  <c r="D127" i="38"/>
  <c r="D126" i="38"/>
  <c r="D125" i="38"/>
  <c r="D124" i="38"/>
  <c r="D123" i="38"/>
  <c r="D122" i="38"/>
  <c r="D121" i="38"/>
  <c r="D120" i="38"/>
  <c r="D119" i="38"/>
  <c r="D118" i="38"/>
  <c r="D117" i="38"/>
  <c r="D116" i="38"/>
  <c r="D115" i="38"/>
  <c r="D114" i="38"/>
  <c r="D113" i="38"/>
  <c r="D112" i="38"/>
  <c r="D111" i="38"/>
  <c r="D110" i="38"/>
  <c r="D109" i="38"/>
  <c r="D108" i="38"/>
  <c r="D107" i="38"/>
  <c r="D106" i="38"/>
  <c r="D105" i="38"/>
  <c r="D104" i="38"/>
  <c r="D103" i="38"/>
  <c r="D102" i="38"/>
  <c r="D101" i="38"/>
  <c r="D100" i="38"/>
  <c r="D99" i="38"/>
  <c r="D98" i="38"/>
  <c r="D97" i="38"/>
  <c r="D96" i="38"/>
  <c r="D95" i="38"/>
  <c r="D94" i="38"/>
  <c r="D93" i="38"/>
  <c r="D92" i="38"/>
  <c r="D91" i="38"/>
  <c r="D90" i="38"/>
  <c r="D89" i="38"/>
  <c r="D88" i="38"/>
  <c r="D87" i="38"/>
  <c r="D86" i="38"/>
  <c r="D85" i="38"/>
  <c r="D84" i="38"/>
  <c r="D83" i="38"/>
  <c r="D82" i="38"/>
  <c r="D81" i="38"/>
  <c r="D80" i="38"/>
  <c r="D79" i="38"/>
  <c r="D78" i="38"/>
  <c r="D77" i="38"/>
  <c r="D76" i="38"/>
  <c r="D75" i="38"/>
  <c r="D74" i="38"/>
  <c r="D73" i="38"/>
  <c r="D72" i="38"/>
  <c r="D71" i="38"/>
  <c r="D70" i="38"/>
  <c r="D69" i="38"/>
  <c r="D68" i="38"/>
  <c r="D67" i="38"/>
  <c r="J16" i="30"/>
  <c r="B2" i="27"/>
  <c r="D39" i="27"/>
  <c r="D38" i="27"/>
  <c r="D37" i="27"/>
  <c r="D36" i="27"/>
  <c r="D35" i="27"/>
  <c r="D34" i="27"/>
  <c r="D33" i="27"/>
  <c r="D32" i="27"/>
  <c r="D31" i="27"/>
  <c r="D30" i="27"/>
  <c r="D29" i="27"/>
  <c r="D28" i="27"/>
  <c r="D27" i="27"/>
  <c r="D26" i="27"/>
  <c r="D25" i="27"/>
  <c r="D24" i="27"/>
  <c r="D21" i="27"/>
  <c r="D20" i="27"/>
  <c r="D19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D5" i="27"/>
  <c r="B110" i="32" l="1"/>
  <c r="B103" i="32"/>
  <c r="B96" i="32"/>
  <c r="B89" i="32"/>
  <c r="B82" i="32"/>
  <c r="B75" i="32"/>
  <c r="B68" i="32"/>
  <c r="B61" i="32"/>
  <c r="B54" i="32"/>
  <c r="B47" i="32"/>
  <c r="B40" i="32"/>
  <c r="B33" i="32"/>
  <c r="B26" i="32"/>
  <c r="B19" i="32"/>
  <c r="B12" i="32"/>
  <c r="B5" i="32"/>
  <c r="C118" i="9"/>
  <c r="C110" i="9"/>
  <c r="C67" i="9"/>
  <c r="C61" i="9"/>
  <c r="C49" i="9"/>
  <c r="C43" i="9"/>
  <c r="C37" i="9"/>
  <c r="C25" i="9"/>
  <c r="C13" i="9"/>
  <c r="C6" i="9"/>
  <c r="C4" i="30"/>
  <c r="B249" i="13"/>
  <c r="B248" i="13"/>
  <c r="B247" i="13"/>
  <c r="B246" i="13"/>
  <c r="B245" i="13"/>
  <c r="B244" i="13"/>
  <c r="B243" i="13"/>
  <c r="B242" i="13"/>
  <c r="B241" i="13"/>
  <c r="B240" i="13"/>
  <c r="B239" i="13"/>
  <c r="B238" i="13"/>
  <c r="B237" i="13"/>
  <c r="B236" i="13"/>
  <c r="B235" i="13"/>
  <c r="B234" i="13"/>
  <c r="B233" i="13"/>
  <c r="B232" i="13"/>
  <c r="B231" i="13"/>
  <c r="B230" i="13"/>
  <c r="B229" i="13"/>
  <c r="B228" i="13"/>
  <c r="B227" i="13"/>
  <c r="B226" i="13"/>
  <c r="B225" i="13"/>
  <c r="B224" i="13"/>
  <c r="B223" i="13"/>
  <c r="B222" i="13"/>
  <c r="B221" i="13"/>
  <c r="B220" i="13"/>
  <c r="B219" i="13"/>
  <c r="B218" i="13"/>
  <c r="B217" i="13"/>
  <c r="B216" i="13"/>
  <c r="B215" i="13"/>
  <c r="B214" i="13"/>
  <c r="B213" i="13"/>
  <c r="B212" i="13"/>
  <c r="B211" i="13"/>
  <c r="B210" i="13"/>
  <c r="B209" i="13"/>
  <c r="B208" i="13"/>
  <c r="B207" i="13"/>
  <c r="B206" i="13"/>
  <c r="B205" i="13"/>
  <c r="B204" i="13"/>
  <c r="B203" i="13"/>
  <c r="B202" i="13"/>
  <c r="B201" i="13"/>
  <c r="B200" i="13"/>
  <c r="B199" i="13"/>
  <c r="B198" i="13"/>
  <c r="B197" i="13"/>
  <c r="B196" i="13"/>
  <c r="B195" i="13"/>
  <c r="B194" i="13"/>
  <c r="B193" i="13"/>
  <c r="B192" i="13"/>
  <c r="B191" i="13"/>
  <c r="B190" i="13"/>
  <c r="B189" i="13"/>
  <c r="B188" i="13"/>
  <c r="B187" i="13"/>
  <c r="B186" i="13"/>
  <c r="B185" i="13"/>
  <c r="B184" i="13"/>
  <c r="B183" i="13"/>
  <c r="B182" i="13"/>
  <c r="B181" i="13"/>
  <c r="B180" i="13"/>
  <c r="B179" i="13"/>
  <c r="B178" i="13"/>
  <c r="B177" i="13"/>
  <c r="B176" i="13"/>
  <c r="B175" i="13"/>
  <c r="B174" i="13"/>
  <c r="B173" i="13"/>
  <c r="B172" i="13"/>
  <c r="B171" i="13"/>
  <c r="B170" i="13"/>
  <c r="B169" i="13"/>
  <c r="B168" i="13"/>
  <c r="B167" i="13"/>
  <c r="B166" i="13"/>
  <c r="B165" i="13"/>
  <c r="B164" i="13"/>
  <c r="B163" i="13"/>
  <c r="B162" i="13"/>
  <c r="B161" i="13"/>
  <c r="B160" i="13"/>
  <c r="B159" i="13"/>
  <c r="B158" i="13"/>
  <c r="D28" i="38" l="1"/>
  <c r="D27" i="38"/>
  <c r="D26" i="38"/>
  <c r="D25" i="38"/>
  <c r="D24" i="38"/>
  <c r="D23" i="38"/>
  <c r="D34" i="38"/>
  <c r="D33" i="38"/>
  <c r="D20" i="38"/>
  <c r="D19" i="38"/>
  <c r="D18" i="38"/>
  <c r="D17" i="38"/>
  <c r="D54" i="38"/>
  <c r="D53" i="38"/>
  <c r="D14" i="38"/>
  <c r="D13" i="38"/>
  <c r="D32" i="38"/>
  <c r="D31" i="38"/>
  <c r="D48" i="38"/>
  <c r="D47" i="38"/>
  <c r="D52" i="38"/>
  <c r="D51" i="38"/>
  <c r="D56" i="38"/>
  <c r="D55" i="38"/>
  <c r="D58" i="38"/>
  <c r="D57" i="38"/>
  <c r="D12" i="38"/>
  <c r="D11" i="38"/>
  <c r="D60" i="38"/>
  <c r="D59" i="38"/>
  <c r="D30" i="38"/>
  <c r="D29" i="38"/>
  <c r="D36" i="38"/>
  <c r="D35" i="38"/>
  <c r="D40" i="38"/>
  <c r="D39" i="38"/>
  <c r="D16" i="38"/>
  <c r="D15" i="38"/>
  <c r="D9" i="38"/>
  <c r="D10" i="38"/>
  <c r="D62" i="38"/>
  <c r="D61" i="38"/>
  <c r="D44" i="38"/>
  <c r="D43" i="38"/>
  <c r="D46" i="38"/>
  <c r="D45" i="38"/>
  <c r="D50" i="38"/>
  <c r="D49" i="38"/>
  <c r="D64" i="38"/>
  <c r="D63" i="38"/>
  <c r="D22" i="38"/>
  <c r="D21" i="38"/>
  <c r="D38" i="38"/>
  <c r="D37" i="38"/>
  <c r="D42" i="38"/>
  <c r="D41" i="38"/>
  <c r="D8" i="38"/>
  <c r="D7" i="38"/>
  <c r="D6" i="38"/>
  <c r="D5" i="38"/>
  <c r="D66" i="38"/>
  <c r="D65" i="38"/>
  <c r="D4" i="38"/>
  <c r="D3" i="38"/>
  <c r="B3" i="38"/>
  <c r="B5" i="38"/>
  <c r="B7" i="38"/>
  <c r="B9" i="38"/>
  <c r="B11" i="38"/>
  <c r="B13" i="38"/>
  <c r="B14" i="38"/>
  <c r="B15" i="38"/>
  <c r="B16" i="38"/>
  <c r="B17" i="38"/>
  <c r="B18" i="38"/>
  <c r="B19" i="38"/>
  <c r="B20" i="38"/>
  <c r="B21" i="38"/>
  <c r="B23" i="38"/>
  <c r="B25" i="38"/>
  <c r="B27" i="38"/>
  <c r="B29" i="38"/>
  <c r="B31" i="38"/>
  <c r="B33" i="38"/>
  <c r="B35" i="38"/>
  <c r="B37" i="38"/>
  <c r="B39" i="38"/>
  <c r="B41" i="38"/>
  <c r="B43" i="38"/>
  <c r="B45" i="38"/>
  <c r="B47" i="38"/>
  <c r="B49" i="38"/>
  <c r="B51" i="38"/>
  <c r="B53" i="38"/>
  <c r="B55" i="38"/>
  <c r="B57" i="38"/>
  <c r="B59" i="38"/>
  <c r="B61" i="38"/>
  <c r="B63" i="38"/>
  <c r="B65" i="38"/>
  <c r="B67" i="38"/>
  <c r="B68" i="38"/>
  <c r="B69" i="38"/>
  <c r="B70" i="38"/>
  <c r="B71" i="38"/>
  <c r="B72" i="38"/>
  <c r="B73" i="38"/>
  <c r="B74" i="38"/>
  <c r="B75" i="38"/>
  <c r="B76" i="38"/>
  <c r="B77" i="38"/>
  <c r="B78" i="38"/>
  <c r="B79" i="38"/>
  <c r="B80" i="38"/>
  <c r="B81" i="38"/>
  <c r="B82" i="38"/>
  <c r="B83" i="38"/>
  <c r="B84" i="38"/>
  <c r="B85" i="38"/>
  <c r="B86" i="38"/>
  <c r="B87" i="38"/>
  <c r="B88" i="38"/>
  <c r="B89" i="38"/>
  <c r="B90" i="38"/>
  <c r="B91" i="38"/>
  <c r="B92" i="38"/>
  <c r="B93" i="38"/>
  <c r="B94" i="38"/>
  <c r="B95" i="38"/>
  <c r="B96" i="38"/>
  <c r="B97" i="38"/>
  <c r="B98" i="38"/>
  <c r="B99" i="38"/>
  <c r="B100" i="38"/>
  <c r="B101" i="38"/>
  <c r="B102" i="38"/>
  <c r="B103" i="38"/>
  <c r="B104" i="38"/>
  <c r="B105" i="38"/>
  <c r="B106" i="38"/>
  <c r="B107" i="38"/>
  <c r="B108" i="38"/>
  <c r="B109" i="38"/>
  <c r="B110" i="38"/>
  <c r="B111" i="38"/>
  <c r="B112" i="38"/>
  <c r="B113" i="38"/>
  <c r="B114" i="38"/>
  <c r="B115" i="38"/>
  <c r="B116" i="38"/>
  <c r="B117" i="38"/>
  <c r="B118" i="38"/>
  <c r="B119" i="38"/>
  <c r="B120" i="38"/>
  <c r="B121" i="38"/>
  <c r="B122" i="38"/>
  <c r="B123" i="38"/>
  <c r="B124" i="38"/>
  <c r="B125" i="38"/>
  <c r="B126" i="38"/>
  <c r="B127" i="38"/>
  <c r="B128" i="38"/>
  <c r="B129" i="38"/>
  <c r="B130" i="38"/>
  <c r="B131" i="38"/>
  <c r="B132" i="38"/>
  <c r="B133" i="38"/>
  <c r="B134" i="38"/>
  <c r="B135" i="38"/>
  <c r="B136" i="38"/>
  <c r="B137" i="38"/>
  <c r="B138" i="38"/>
  <c r="B139" i="38"/>
  <c r="B140" i="38"/>
  <c r="B141" i="38"/>
  <c r="B142" i="38"/>
  <c r="B143" i="38"/>
  <c r="B144" i="38"/>
  <c r="B145" i="38"/>
  <c r="B146" i="38"/>
  <c r="B147" i="38"/>
  <c r="B148" i="38"/>
  <c r="B149" i="38"/>
  <c r="B150" i="38"/>
  <c r="B151" i="38"/>
  <c r="B152" i="38"/>
  <c r="B153" i="38"/>
  <c r="B154" i="38"/>
  <c r="B155" i="38"/>
  <c r="B156" i="38"/>
  <c r="B157" i="38"/>
  <c r="B158" i="38"/>
  <c r="B159" i="38"/>
  <c r="B160" i="38"/>
  <c r="B161" i="38"/>
  <c r="B162" i="38"/>
  <c r="B163" i="38"/>
  <c r="B164" i="38"/>
  <c r="B165" i="38"/>
  <c r="B166" i="38"/>
  <c r="H6" i="37"/>
  <c r="H8" i="37"/>
  <c r="H10" i="37"/>
  <c r="H12" i="37"/>
  <c r="H14" i="37"/>
  <c r="H15" i="37"/>
  <c r="H16" i="37"/>
  <c r="H17" i="37"/>
  <c r="H18" i="37"/>
  <c r="H19" i="37"/>
  <c r="H20" i="37"/>
  <c r="H21" i="37"/>
  <c r="H22" i="37"/>
  <c r="H24" i="37"/>
  <c r="H26" i="37"/>
  <c r="H28" i="37"/>
  <c r="H30" i="37"/>
  <c r="H32" i="37"/>
  <c r="H34" i="37"/>
  <c r="H36" i="37"/>
  <c r="H38" i="37"/>
  <c r="H40" i="37"/>
  <c r="H42" i="37"/>
  <c r="H44" i="37"/>
  <c r="H46" i="37"/>
  <c r="H48" i="37"/>
  <c r="H50" i="37"/>
  <c r="H52" i="37"/>
  <c r="H54" i="37"/>
  <c r="H56" i="37"/>
  <c r="H58" i="37"/>
  <c r="H60" i="37"/>
  <c r="H62" i="37"/>
  <c r="H64" i="37"/>
  <c r="H66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83" i="37"/>
  <c r="H84" i="37"/>
  <c r="H85" i="37"/>
  <c r="H86" i="37"/>
  <c r="H87" i="37"/>
  <c r="H88" i="37"/>
  <c r="H89" i="37"/>
  <c r="H90" i="37"/>
  <c r="H91" i="37"/>
  <c r="H92" i="37"/>
  <c r="H93" i="37"/>
  <c r="H94" i="37"/>
  <c r="H95" i="37"/>
  <c r="H96" i="37"/>
  <c r="H97" i="37"/>
  <c r="H98" i="37"/>
  <c r="H99" i="37"/>
  <c r="H100" i="37"/>
  <c r="H101" i="37"/>
  <c r="H102" i="37"/>
  <c r="H103" i="37"/>
  <c r="H104" i="37"/>
  <c r="H105" i="37"/>
  <c r="H106" i="37"/>
  <c r="H107" i="37"/>
  <c r="H108" i="37"/>
  <c r="H109" i="37"/>
  <c r="H110" i="37"/>
  <c r="H111" i="37"/>
  <c r="H112" i="37"/>
  <c r="H113" i="37"/>
  <c r="H114" i="37"/>
  <c r="H115" i="37"/>
  <c r="H116" i="37"/>
  <c r="H117" i="37"/>
  <c r="H118" i="37"/>
  <c r="H119" i="37"/>
  <c r="H120" i="37"/>
  <c r="H121" i="37"/>
  <c r="H122" i="37"/>
  <c r="H123" i="37"/>
  <c r="H124" i="37"/>
  <c r="H125" i="37"/>
  <c r="H126" i="37"/>
  <c r="H127" i="37"/>
  <c r="H128" i="37"/>
  <c r="H129" i="37"/>
  <c r="H130" i="37"/>
  <c r="H131" i="37"/>
  <c r="H132" i="37"/>
  <c r="H133" i="37"/>
  <c r="H134" i="37"/>
  <c r="H135" i="37"/>
  <c r="H136" i="37"/>
  <c r="H137" i="37"/>
  <c r="H138" i="37"/>
  <c r="H139" i="37"/>
  <c r="H140" i="37"/>
  <c r="H141" i="37"/>
  <c r="H142" i="37"/>
  <c r="H143" i="37"/>
  <c r="H144" i="37"/>
  <c r="H145" i="37"/>
  <c r="H146" i="37"/>
  <c r="H147" i="37"/>
  <c r="H148" i="37"/>
  <c r="H149" i="37"/>
  <c r="H150" i="37"/>
  <c r="H151" i="37"/>
  <c r="H152" i="37"/>
  <c r="H153" i="37"/>
  <c r="H154" i="37"/>
  <c r="H155" i="37"/>
  <c r="H156" i="37"/>
  <c r="H157" i="37"/>
  <c r="H158" i="37"/>
  <c r="H159" i="37"/>
  <c r="H160" i="37"/>
  <c r="H161" i="37"/>
  <c r="H162" i="37"/>
  <c r="H163" i="37"/>
  <c r="H164" i="37"/>
  <c r="H165" i="37"/>
  <c r="H166" i="37"/>
  <c r="H167" i="37"/>
  <c r="H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F80" i="37"/>
  <c r="F81" i="37"/>
  <c r="F82" i="37"/>
  <c r="F83" i="37"/>
  <c r="F84" i="37"/>
  <c r="F85" i="37"/>
  <c r="F86" i="37"/>
  <c r="F87" i="37"/>
  <c r="F88" i="37"/>
  <c r="F89" i="37"/>
  <c r="F90" i="37"/>
  <c r="F91" i="37"/>
  <c r="F92" i="37"/>
  <c r="F93" i="37"/>
  <c r="F94" i="37"/>
  <c r="F95" i="37"/>
  <c r="F96" i="37"/>
  <c r="F97" i="37"/>
  <c r="F98" i="37"/>
  <c r="F99" i="37"/>
  <c r="F100" i="37"/>
  <c r="F101" i="37"/>
  <c r="F102" i="37"/>
  <c r="F103" i="37"/>
  <c r="F104" i="37"/>
  <c r="F105" i="37"/>
  <c r="F106" i="37"/>
  <c r="F107" i="37"/>
  <c r="F108" i="37"/>
  <c r="F109" i="37"/>
  <c r="F110" i="37"/>
  <c r="F111" i="37"/>
  <c r="F112" i="37"/>
  <c r="F113" i="37"/>
  <c r="F114" i="37"/>
  <c r="F115" i="37"/>
  <c r="F116" i="37"/>
  <c r="F117" i="37"/>
  <c r="F118" i="37"/>
  <c r="F119" i="37"/>
  <c r="F120" i="37"/>
  <c r="F121" i="37"/>
  <c r="F122" i="37"/>
  <c r="F123" i="37"/>
  <c r="F124" i="37"/>
  <c r="F125" i="37"/>
  <c r="F126" i="37"/>
  <c r="F127" i="37"/>
  <c r="F128" i="37"/>
  <c r="F129" i="37"/>
  <c r="F130" i="37"/>
  <c r="F131" i="37"/>
  <c r="F132" i="37"/>
  <c r="F133" i="37"/>
  <c r="F134" i="37"/>
  <c r="F135" i="37"/>
  <c r="F136" i="37"/>
  <c r="F137" i="37"/>
  <c r="F138" i="37"/>
  <c r="F139" i="37"/>
  <c r="F140" i="37"/>
  <c r="F141" i="37"/>
  <c r="F142" i="37"/>
  <c r="F143" i="37"/>
  <c r="F144" i="37"/>
  <c r="F145" i="37"/>
  <c r="F146" i="37"/>
  <c r="F147" i="37"/>
  <c r="F148" i="37"/>
  <c r="F149" i="37"/>
  <c r="F150" i="37"/>
  <c r="F151" i="37"/>
  <c r="F152" i="37"/>
  <c r="F153" i="37"/>
  <c r="F154" i="37"/>
  <c r="F155" i="37"/>
  <c r="F156" i="37"/>
  <c r="F157" i="37"/>
  <c r="F158" i="37"/>
  <c r="F159" i="37"/>
  <c r="F160" i="37"/>
  <c r="F161" i="37"/>
  <c r="F162" i="37"/>
  <c r="F163" i="37"/>
  <c r="F164" i="37"/>
  <c r="F165" i="37"/>
  <c r="F166" i="37"/>
  <c r="F167" i="37"/>
  <c r="F4" i="37"/>
  <c r="O166" i="36"/>
  <c r="O165" i="36"/>
  <c r="O164" i="36"/>
  <c r="O163" i="36"/>
  <c r="O162" i="36"/>
  <c r="O161" i="36"/>
  <c r="O160" i="36"/>
  <c r="O159" i="36"/>
  <c r="O158" i="36"/>
  <c r="O157" i="36"/>
  <c r="O156" i="36"/>
  <c r="O155" i="36"/>
  <c r="O154" i="36"/>
  <c r="O153" i="36"/>
  <c r="O152" i="36"/>
  <c r="O151" i="36"/>
  <c r="O150" i="36"/>
  <c r="O149" i="36"/>
  <c r="O148" i="36"/>
  <c r="O147" i="36"/>
  <c r="O146" i="36"/>
  <c r="O145" i="36"/>
  <c r="O144" i="36"/>
  <c r="O143" i="36"/>
  <c r="O142" i="36"/>
  <c r="O141" i="36"/>
  <c r="O140" i="36"/>
  <c r="O139" i="36"/>
  <c r="O138" i="36"/>
  <c r="O137" i="36"/>
  <c r="O136" i="36"/>
  <c r="O135" i="36"/>
  <c r="O134" i="36"/>
  <c r="O133" i="36"/>
  <c r="O132" i="36"/>
  <c r="O131" i="36"/>
  <c r="O130" i="36"/>
  <c r="O129" i="36"/>
  <c r="O128" i="36"/>
  <c r="O127" i="36"/>
  <c r="O126" i="36"/>
  <c r="O125" i="36"/>
  <c r="O124" i="36"/>
  <c r="O123" i="36"/>
  <c r="O122" i="36"/>
  <c r="O121" i="36"/>
  <c r="O120" i="36"/>
  <c r="O119" i="36"/>
  <c r="O118" i="36"/>
  <c r="O117" i="36"/>
  <c r="O116" i="36"/>
  <c r="O115" i="36"/>
  <c r="O114" i="36"/>
  <c r="O113" i="36"/>
  <c r="O112" i="36"/>
  <c r="O111" i="36"/>
  <c r="O110" i="36"/>
  <c r="O109" i="36"/>
  <c r="O108" i="36"/>
  <c r="O107" i="36"/>
  <c r="O106" i="36"/>
  <c r="O105" i="36"/>
  <c r="O104" i="36"/>
  <c r="O103" i="36"/>
  <c r="O102" i="36"/>
  <c r="O101" i="36"/>
  <c r="O100" i="36"/>
  <c r="O99" i="36"/>
  <c r="O98" i="36"/>
  <c r="O97" i="36"/>
  <c r="O96" i="36"/>
  <c r="O95" i="36"/>
  <c r="O94" i="36"/>
  <c r="O93" i="36"/>
  <c r="O92" i="36"/>
  <c r="O91" i="36"/>
  <c r="O90" i="36"/>
  <c r="O89" i="36"/>
  <c r="O88" i="36"/>
  <c r="O87" i="36"/>
  <c r="O86" i="36"/>
  <c r="O85" i="36"/>
  <c r="O84" i="36"/>
  <c r="O83" i="36"/>
  <c r="O82" i="36"/>
  <c r="O81" i="36"/>
  <c r="O80" i="36"/>
  <c r="O79" i="36"/>
  <c r="O78" i="36"/>
  <c r="O77" i="36"/>
  <c r="O76" i="36"/>
  <c r="O75" i="36"/>
  <c r="O74" i="36"/>
  <c r="O73" i="36"/>
  <c r="O72" i="36"/>
  <c r="O71" i="36"/>
  <c r="O70" i="36"/>
  <c r="O69" i="36"/>
  <c r="O68" i="36"/>
  <c r="O67" i="36"/>
  <c r="O65" i="36"/>
  <c r="O63" i="36"/>
  <c r="O61" i="36"/>
  <c r="O59" i="36"/>
  <c r="O57" i="36"/>
  <c r="O55" i="36"/>
  <c r="O53" i="36"/>
  <c r="O51" i="36"/>
  <c r="O49" i="36"/>
  <c r="O47" i="36"/>
  <c r="O45" i="36"/>
  <c r="O43" i="36"/>
  <c r="O41" i="36"/>
  <c r="O39" i="36"/>
  <c r="O37" i="36"/>
  <c r="O35" i="36"/>
  <c r="O33" i="36"/>
  <c r="O31" i="36"/>
  <c r="O29" i="36"/>
  <c r="O27" i="36"/>
  <c r="O25" i="36"/>
  <c r="O23" i="36"/>
  <c r="O21" i="36"/>
  <c r="O20" i="36"/>
  <c r="O19" i="36"/>
  <c r="O18" i="36"/>
  <c r="O17" i="36"/>
  <c r="O16" i="36"/>
  <c r="O15" i="36"/>
  <c r="O14" i="36"/>
  <c r="O13" i="36"/>
  <c r="O11" i="36"/>
  <c r="O9" i="36"/>
  <c r="O7" i="36"/>
  <c r="O5" i="36"/>
  <c r="O3" i="36"/>
  <c r="J3" i="36"/>
  <c r="K3" i="36" s="1"/>
  <c r="H3" i="36"/>
  <c r="I165" i="24" l="1"/>
  <c r="F165" i="24"/>
  <c r="G165" i="24" s="1"/>
  <c r="E167" i="37" s="1"/>
  <c r="E165" i="24"/>
  <c r="C167" i="37" s="1"/>
  <c r="I164" i="24"/>
  <c r="F164" i="24"/>
  <c r="G164" i="24" s="1"/>
  <c r="E166" i="37" s="1"/>
  <c r="E164" i="24"/>
  <c r="C166" i="37" s="1"/>
  <c r="I163" i="24"/>
  <c r="F163" i="24"/>
  <c r="G163" i="24" s="1"/>
  <c r="E165" i="37" s="1"/>
  <c r="E163" i="24"/>
  <c r="C165" i="37" s="1"/>
  <c r="I162" i="24"/>
  <c r="F162" i="24"/>
  <c r="G162" i="24" s="1"/>
  <c r="E164" i="37" s="1"/>
  <c r="E162" i="24"/>
  <c r="C164" i="37" s="1"/>
  <c r="I161" i="24"/>
  <c r="F161" i="24"/>
  <c r="G161" i="24" s="1"/>
  <c r="E163" i="37" s="1"/>
  <c r="E161" i="24"/>
  <c r="C163" i="37" s="1"/>
  <c r="I160" i="24"/>
  <c r="F160" i="24"/>
  <c r="G160" i="24" s="1"/>
  <c r="E162" i="37" s="1"/>
  <c r="E160" i="24"/>
  <c r="C162" i="37" s="1"/>
  <c r="I159" i="24"/>
  <c r="F159" i="24"/>
  <c r="G159" i="24" s="1"/>
  <c r="E161" i="37" s="1"/>
  <c r="E159" i="24"/>
  <c r="C161" i="37" s="1"/>
  <c r="I158" i="24"/>
  <c r="F158" i="24"/>
  <c r="G158" i="24" s="1"/>
  <c r="E160" i="37" s="1"/>
  <c r="E158" i="24"/>
  <c r="C160" i="37" s="1"/>
  <c r="I157" i="24"/>
  <c r="F157" i="24"/>
  <c r="G157" i="24" s="1"/>
  <c r="E159" i="37" s="1"/>
  <c r="E157" i="24"/>
  <c r="C159" i="37" s="1"/>
  <c r="I156" i="24"/>
  <c r="F156" i="24"/>
  <c r="G156" i="24" s="1"/>
  <c r="E158" i="37" s="1"/>
  <c r="E156" i="24"/>
  <c r="C158" i="37" s="1"/>
  <c r="I155" i="24"/>
  <c r="F155" i="24"/>
  <c r="G155" i="24" s="1"/>
  <c r="E157" i="37" s="1"/>
  <c r="E155" i="24"/>
  <c r="C157" i="37" s="1"/>
  <c r="I154" i="24"/>
  <c r="F154" i="24"/>
  <c r="G154" i="24" s="1"/>
  <c r="E156" i="37" s="1"/>
  <c r="E154" i="24"/>
  <c r="C156" i="37" s="1"/>
  <c r="I153" i="24"/>
  <c r="F153" i="24"/>
  <c r="G153" i="24" s="1"/>
  <c r="E155" i="37" s="1"/>
  <c r="E153" i="24"/>
  <c r="C155" i="37" s="1"/>
  <c r="I152" i="24"/>
  <c r="F152" i="24"/>
  <c r="G152" i="24" s="1"/>
  <c r="E154" i="37" s="1"/>
  <c r="E152" i="24"/>
  <c r="C154" i="37" s="1"/>
  <c r="I151" i="24"/>
  <c r="F151" i="24"/>
  <c r="G151" i="24" s="1"/>
  <c r="E153" i="37" s="1"/>
  <c r="E151" i="24"/>
  <c r="C153" i="37" s="1"/>
  <c r="I150" i="24"/>
  <c r="F150" i="24"/>
  <c r="G150" i="24" s="1"/>
  <c r="E152" i="37" s="1"/>
  <c r="E150" i="24"/>
  <c r="C152" i="37" s="1"/>
  <c r="I149" i="24"/>
  <c r="F149" i="24"/>
  <c r="G149" i="24" s="1"/>
  <c r="E151" i="37" s="1"/>
  <c r="E149" i="24"/>
  <c r="C151" i="37" s="1"/>
  <c r="I148" i="24"/>
  <c r="F148" i="24"/>
  <c r="G148" i="24" s="1"/>
  <c r="E150" i="37" s="1"/>
  <c r="E148" i="24"/>
  <c r="C150" i="37" s="1"/>
  <c r="I147" i="24"/>
  <c r="F147" i="24"/>
  <c r="G147" i="24" s="1"/>
  <c r="E149" i="37" s="1"/>
  <c r="E147" i="24"/>
  <c r="C149" i="37" s="1"/>
  <c r="I146" i="24"/>
  <c r="F146" i="24"/>
  <c r="G146" i="24" s="1"/>
  <c r="E148" i="37" s="1"/>
  <c r="E146" i="24"/>
  <c r="C148" i="37" s="1"/>
  <c r="I145" i="24"/>
  <c r="F145" i="24"/>
  <c r="G145" i="24" s="1"/>
  <c r="E147" i="37" s="1"/>
  <c r="E145" i="24"/>
  <c r="C147" i="37" s="1"/>
  <c r="I144" i="24"/>
  <c r="F144" i="24"/>
  <c r="G144" i="24" s="1"/>
  <c r="E146" i="37" s="1"/>
  <c r="E144" i="24"/>
  <c r="C146" i="37" s="1"/>
  <c r="I143" i="24"/>
  <c r="F143" i="24"/>
  <c r="G143" i="24" s="1"/>
  <c r="E145" i="37" s="1"/>
  <c r="E143" i="24"/>
  <c r="C145" i="37" s="1"/>
  <c r="I142" i="24"/>
  <c r="F142" i="24"/>
  <c r="G142" i="24" s="1"/>
  <c r="E144" i="37" s="1"/>
  <c r="E142" i="24"/>
  <c r="C144" i="37" s="1"/>
  <c r="I141" i="24"/>
  <c r="F141" i="24"/>
  <c r="G141" i="24" s="1"/>
  <c r="E143" i="37" s="1"/>
  <c r="E141" i="24"/>
  <c r="C143" i="37" s="1"/>
  <c r="I140" i="24"/>
  <c r="F140" i="24"/>
  <c r="G140" i="24" s="1"/>
  <c r="E142" i="37" s="1"/>
  <c r="E140" i="24"/>
  <c r="C142" i="37" s="1"/>
  <c r="I139" i="24"/>
  <c r="F139" i="24"/>
  <c r="G139" i="24" s="1"/>
  <c r="E141" i="37" s="1"/>
  <c r="E139" i="24"/>
  <c r="C141" i="37" s="1"/>
  <c r="I138" i="24"/>
  <c r="F138" i="24"/>
  <c r="G138" i="24" s="1"/>
  <c r="E140" i="37" s="1"/>
  <c r="E138" i="24"/>
  <c r="C140" i="37" s="1"/>
  <c r="I137" i="24"/>
  <c r="F137" i="24"/>
  <c r="G137" i="24" s="1"/>
  <c r="E139" i="37" s="1"/>
  <c r="E137" i="24"/>
  <c r="C139" i="37" s="1"/>
  <c r="I136" i="24"/>
  <c r="F136" i="24"/>
  <c r="G136" i="24" s="1"/>
  <c r="E138" i="37" s="1"/>
  <c r="E136" i="24"/>
  <c r="C138" i="37" s="1"/>
  <c r="I135" i="24"/>
  <c r="F135" i="24"/>
  <c r="G135" i="24" s="1"/>
  <c r="E137" i="37" s="1"/>
  <c r="E135" i="24"/>
  <c r="C137" i="37" s="1"/>
  <c r="I134" i="24"/>
  <c r="F134" i="24"/>
  <c r="G134" i="24" s="1"/>
  <c r="E136" i="37" s="1"/>
  <c r="E134" i="24"/>
  <c r="C136" i="37" s="1"/>
  <c r="I133" i="24"/>
  <c r="F133" i="24"/>
  <c r="G133" i="24" s="1"/>
  <c r="E135" i="37" s="1"/>
  <c r="E133" i="24"/>
  <c r="C135" i="37" s="1"/>
  <c r="I132" i="24"/>
  <c r="F132" i="24"/>
  <c r="G132" i="24" s="1"/>
  <c r="E134" i="37" s="1"/>
  <c r="E132" i="24"/>
  <c r="C134" i="37" s="1"/>
  <c r="I131" i="24"/>
  <c r="F131" i="24"/>
  <c r="G131" i="24" s="1"/>
  <c r="E133" i="37" s="1"/>
  <c r="E131" i="24"/>
  <c r="C133" i="37" s="1"/>
  <c r="I130" i="24"/>
  <c r="F130" i="24"/>
  <c r="G130" i="24" s="1"/>
  <c r="E132" i="37" s="1"/>
  <c r="E130" i="24"/>
  <c r="C132" i="37" s="1"/>
  <c r="I129" i="24"/>
  <c r="F129" i="24"/>
  <c r="G129" i="24" s="1"/>
  <c r="E131" i="37" s="1"/>
  <c r="E129" i="24"/>
  <c r="C131" i="37" s="1"/>
  <c r="I128" i="24"/>
  <c r="F128" i="24"/>
  <c r="G128" i="24" s="1"/>
  <c r="E130" i="37" s="1"/>
  <c r="E128" i="24"/>
  <c r="C130" i="37" s="1"/>
  <c r="I127" i="24"/>
  <c r="F127" i="24"/>
  <c r="G127" i="24" s="1"/>
  <c r="E129" i="37" s="1"/>
  <c r="E127" i="24"/>
  <c r="C129" i="37" s="1"/>
  <c r="I126" i="24"/>
  <c r="F126" i="24"/>
  <c r="G126" i="24" s="1"/>
  <c r="E128" i="37" s="1"/>
  <c r="E126" i="24"/>
  <c r="C128" i="37" s="1"/>
  <c r="I125" i="24"/>
  <c r="F125" i="24"/>
  <c r="G125" i="24" s="1"/>
  <c r="E127" i="37" s="1"/>
  <c r="E125" i="24"/>
  <c r="C127" i="37" s="1"/>
  <c r="I124" i="24"/>
  <c r="F124" i="24"/>
  <c r="G124" i="24" s="1"/>
  <c r="E126" i="37" s="1"/>
  <c r="E124" i="24"/>
  <c r="C126" i="37" s="1"/>
  <c r="I123" i="24"/>
  <c r="F123" i="24"/>
  <c r="G123" i="24" s="1"/>
  <c r="E125" i="37" s="1"/>
  <c r="E123" i="24"/>
  <c r="C125" i="37" s="1"/>
  <c r="I122" i="24"/>
  <c r="F122" i="24"/>
  <c r="G122" i="24" s="1"/>
  <c r="E124" i="37" s="1"/>
  <c r="E122" i="24"/>
  <c r="C124" i="37" s="1"/>
  <c r="I121" i="24"/>
  <c r="F121" i="24"/>
  <c r="G121" i="24" s="1"/>
  <c r="E123" i="37" s="1"/>
  <c r="E121" i="24"/>
  <c r="C123" i="37" s="1"/>
  <c r="I120" i="24"/>
  <c r="F120" i="24"/>
  <c r="G120" i="24" s="1"/>
  <c r="E122" i="37" s="1"/>
  <c r="E120" i="24"/>
  <c r="C122" i="37" s="1"/>
  <c r="I119" i="24"/>
  <c r="F119" i="24"/>
  <c r="G119" i="24" s="1"/>
  <c r="E121" i="37" s="1"/>
  <c r="E119" i="24"/>
  <c r="C121" i="37" s="1"/>
  <c r="I118" i="24"/>
  <c r="F118" i="24"/>
  <c r="G118" i="24" s="1"/>
  <c r="E120" i="37" s="1"/>
  <c r="E118" i="24"/>
  <c r="C120" i="37" s="1"/>
  <c r="I117" i="24"/>
  <c r="F117" i="24"/>
  <c r="G117" i="24" s="1"/>
  <c r="E119" i="37" s="1"/>
  <c r="E117" i="24"/>
  <c r="C119" i="37" s="1"/>
  <c r="I116" i="24"/>
  <c r="F116" i="24"/>
  <c r="G116" i="24" s="1"/>
  <c r="E118" i="37" s="1"/>
  <c r="E116" i="24"/>
  <c r="C118" i="37" s="1"/>
  <c r="I115" i="24"/>
  <c r="F115" i="24"/>
  <c r="G115" i="24" s="1"/>
  <c r="E117" i="37" s="1"/>
  <c r="E115" i="24"/>
  <c r="C117" i="37" s="1"/>
  <c r="I114" i="24"/>
  <c r="F114" i="24"/>
  <c r="G114" i="24" s="1"/>
  <c r="E116" i="37" s="1"/>
  <c r="E114" i="24"/>
  <c r="C116" i="37" s="1"/>
  <c r="I113" i="24"/>
  <c r="F113" i="24"/>
  <c r="G113" i="24" s="1"/>
  <c r="E115" i="37" s="1"/>
  <c r="E113" i="24"/>
  <c r="C115" i="37" s="1"/>
  <c r="I112" i="24"/>
  <c r="F112" i="24"/>
  <c r="G112" i="24" s="1"/>
  <c r="E114" i="37" s="1"/>
  <c r="E112" i="24"/>
  <c r="C114" i="37" s="1"/>
  <c r="I111" i="24"/>
  <c r="F111" i="24"/>
  <c r="G111" i="24" s="1"/>
  <c r="E113" i="37" s="1"/>
  <c r="E111" i="24"/>
  <c r="C113" i="37" s="1"/>
  <c r="I110" i="24"/>
  <c r="F110" i="24"/>
  <c r="G110" i="24" s="1"/>
  <c r="E112" i="37" s="1"/>
  <c r="E110" i="24"/>
  <c r="C112" i="37" s="1"/>
  <c r="I109" i="24"/>
  <c r="F109" i="24"/>
  <c r="G109" i="24" s="1"/>
  <c r="E111" i="37" s="1"/>
  <c r="E109" i="24"/>
  <c r="C111" i="37" s="1"/>
  <c r="I108" i="24"/>
  <c r="F108" i="24"/>
  <c r="G108" i="24" s="1"/>
  <c r="E110" i="37" s="1"/>
  <c r="E108" i="24"/>
  <c r="C110" i="37" s="1"/>
  <c r="I107" i="24"/>
  <c r="F107" i="24"/>
  <c r="G107" i="24" s="1"/>
  <c r="E109" i="37" s="1"/>
  <c r="E107" i="24"/>
  <c r="C109" i="37" s="1"/>
  <c r="I106" i="24"/>
  <c r="F106" i="24"/>
  <c r="G106" i="24" s="1"/>
  <c r="E108" i="37" s="1"/>
  <c r="E106" i="24"/>
  <c r="C108" i="37" s="1"/>
  <c r="I105" i="24"/>
  <c r="F105" i="24"/>
  <c r="G105" i="24" s="1"/>
  <c r="E107" i="37" s="1"/>
  <c r="E105" i="24"/>
  <c r="C107" i="37" s="1"/>
  <c r="I104" i="24"/>
  <c r="F104" i="24"/>
  <c r="G104" i="24" s="1"/>
  <c r="E106" i="37" s="1"/>
  <c r="E104" i="24"/>
  <c r="C106" i="37" s="1"/>
  <c r="I103" i="24"/>
  <c r="F103" i="24"/>
  <c r="G103" i="24" s="1"/>
  <c r="E105" i="37" s="1"/>
  <c r="E103" i="24"/>
  <c r="C105" i="37" s="1"/>
  <c r="I102" i="24"/>
  <c r="F102" i="24"/>
  <c r="G102" i="24" s="1"/>
  <c r="E104" i="37" s="1"/>
  <c r="E102" i="24"/>
  <c r="C104" i="37" s="1"/>
  <c r="I101" i="24"/>
  <c r="F101" i="24"/>
  <c r="G101" i="24" s="1"/>
  <c r="E103" i="37" s="1"/>
  <c r="E101" i="24"/>
  <c r="C103" i="37" s="1"/>
  <c r="I100" i="24"/>
  <c r="F100" i="24"/>
  <c r="G100" i="24" s="1"/>
  <c r="E102" i="37" s="1"/>
  <c r="E100" i="24"/>
  <c r="C102" i="37" s="1"/>
  <c r="I99" i="24"/>
  <c r="F99" i="24"/>
  <c r="G99" i="24" s="1"/>
  <c r="E101" i="37" s="1"/>
  <c r="E99" i="24"/>
  <c r="C101" i="37" s="1"/>
  <c r="I98" i="24"/>
  <c r="F98" i="24"/>
  <c r="G98" i="24" s="1"/>
  <c r="E100" i="37" s="1"/>
  <c r="E98" i="24"/>
  <c r="C100" i="37" s="1"/>
  <c r="I97" i="24"/>
  <c r="F97" i="24"/>
  <c r="G97" i="24" s="1"/>
  <c r="E99" i="37" s="1"/>
  <c r="E97" i="24"/>
  <c r="C99" i="37" s="1"/>
  <c r="I96" i="24"/>
  <c r="F96" i="24"/>
  <c r="G96" i="24" s="1"/>
  <c r="E98" i="37" s="1"/>
  <c r="E96" i="24"/>
  <c r="C98" i="37" s="1"/>
  <c r="I95" i="24"/>
  <c r="F95" i="24"/>
  <c r="G95" i="24" s="1"/>
  <c r="E97" i="37" s="1"/>
  <c r="E95" i="24"/>
  <c r="C97" i="37" s="1"/>
  <c r="I94" i="24"/>
  <c r="F94" i="24"/>
  <c r="G94" i="24" s="1"/>
  <c r="E96" i="37" s="1"/>
  <c r="E94" i="24"/>
  <c r="C96" i="37" s="1"/>
  <c r="I93" i="24"/>
  <c r="F93" i="24"/>
  <c r="G93" i="24" s="1"/>
  <c r="E95" i="37" s="1"/>
  <c r="E93" i="24"/>
  <c r="C95" i="37" s="1"/>
  <c r="I92" i="24"/>
  <c r="F92" i="24"/>
  <c r="G92" i="24" s="1"/>
  <c r="E94" i="37" s="1"/>
  <c r="E92" i="24"/>
  <c r="C94" i="37" s="1"/>
  <c r="I91" i="24"/>
  <c r="F91" i="24"/>
  <c r="G91" i="24" s="1"/>
  <c r="E93" i="37" s="1"/>
  <c r="E91" i="24"/>
  <c r="C93" i="37" s="1"/>
  <c r="I90" i="24"/>
  <c r="F90" i="24"/>
  <c r="G90" i="24" s="1"/>
  <c r="E92" i="37" s="1"/>
  <c r="E90" i="24"/>
  <c r="C92" i="37" s="1"/>
  <c r="I89" i="24"/>
  <c r="F89" i="24"/>
  <c r="G89" i="24" s="1"/>
  <c r="E91" i="37" s="1"/>
  <c r="E89" i="24"/>
  <c r="C91" i="37" s="1"/>
  <c r="I88" i="24"/>
  <c r="F88" i="24"/>
  <c r="G88" i="24" s="1"/>
  <c r="E90" i="37" s="1"/>
  <c r="E88" i="24"/>
  <c r="C90" i="37" s="1"/>
  <c r="I87" i="24"/>
  <c r="F87" i="24"/>
  <c r="G87" i="24" s="1"/>
  <c r="E89" i="37" s="1"/>
  <c r="E87" i="24"/>
  <c r="C89" i="37" s="1"/>
  <c r="I86" i="24"/>
  <c r="F86" i="24"/>
  <c r="G86" i="24" s="1"/>
  <c r="E88" i="37" s="1"/>
  <c r="E86" i="24"/>
  <c r="C88" i="37" s="1"/>
  <c r="I85" i="24"/>
  <c r="F85" i="24"/>
  <c r="G85" i="24" s="1"/>
  <c r="E87" i="37" s="1"/>
  <c r="E85" i="24"/>
  <c r="C87" i="37" s="1"/>
  <c r="I84" i="24"/>
  <c r="F84" i="24"/>
  <c r="G84" i="24" s="1"/>
  <c r="E86" i="37" s="1"/>
  <c r="E84" i="24"/>
  <c r="C86" i="37" s="1"/>
  <c r="I83" i="24"/>
  <c r="F83" i="24"/>
  <c r="G83" i="24" s="1"/>
  <c r="E85" i="37" s="1"/>
  <c r="E83" i="24"/>
  <c r="C85" i="37" s="1"/>
  <c r="I82" i="24"/>
  <c r="F82" i="24"/>
  <c r="G82" i="24" s="1"/>
  <c r="E84" i="37" s="1"/>
  <c r="E82" i="24"/>
  <c r="C84" i="37" s="1"/>
  <c r="I81" i="24"/>
  <c r="F81" i="24"/>
  <c r="G81" i="24" s="1"/>
  <c r="E83" i="37" s="1"/>
  <c r="E81" i="24"/>
  <c r="C83" i="37" s="1"/>
  <c r="I80" i="24"/>
  <c r="F80" i="24"/>
  <c r="G80" i="24" s="1"/>
  <c r="E82" i="37" s="1"/>
  <c r="E80" i="24"/>
  <c r="C82" i="37" s="1"/>
  <c r="I79" i="24"/>
  <c r="F79" i="24"/>
  <c r="G79" i="24" s="1"/>
  <c r="E81" i="37" s="1"/>
  <c r="E79" i="24"/>
  <c r="C81" i="37" s="1"/>
  <c r="I78" i="24"/>
  <c r="F78" i="24"/>
  <c r="G78" i="24" s="1"/>
  <c r="E80" i="37" s="1"/>
  <c r="E78" i="24"/>
  <c r="C80" i="37" s="1"/>
  <c r="I77" i="24"/>
  <c r="F77" i="24"/>
  <c r="G77" i="24" s="1"/>
  <c r="E79" i="37" s="1"/>
  <c r="E77" i="24"/>
  <c r="C79" i="37" s="1"/>
  <c r="I76" i="24"/>
  <c r="F76" i="24"/>
  <c r="G76" i="24" s="1"/>
  <c r="E78" i="37" s="1"/>
  <c r="E76" i="24"/>
  <c r="C78" i="37" s="1"/>
  <c r="I75" i="24"/>
  <c r="F75" i="24"/>
  <c r="G75" i="24" s="1"/>
  <c r="E77" i="37" s="1"/>
  <c r="E75" i="24"/>
  <c r="C77" i="37" s="1"/>
  <c r="I74" i="24"/>
  <c r="F74" i="24"/>
  <c r="G74" i="24" s="1"/>
  <c r="E76" i="37" s="1"/>
  <c r="E74" i="24"/>
  <c r="C76" i="37" s="1"/>
  <c r="I73" i="24"/>
  <c r="F73" i="24"/>
  <c r="G73" i="24" s="1"/>
  <c r="E75" i="37" s="1"/>
  <c r="E73" i="24"/>
  <c r="C75" i="37" s="1"/>
  <c r="I72" i="24"/>
  <c r="F72" i="24"/>
  <c r="G72" i="24" s="1"/>
  <c r="E74" i="37" s="1"/>
  <c r="E72" i="24"/>
  <c r="C74" i="37" s="1"/>
  <c r="I71" i="24"/>
  <c r="F71" i="24"/>
  <c r="G71" i="24" s="1"/>
  <c r="E73" i="37" s="1"/>
  <c r="E71" i="24"/>
  <c r="C73" i="37" s="1"/>
  <c r="I70" i="24"/>
  <c r="F70" i="24"/>
  <c r="G70" i="24" s="1"/>
  <c r="E72" i="37" s="1"/>
  <c r="E70" i="24"/>
  <c r="C72" i="37" s="1"/>
  <c r="I69" i="24"/>
  <c r="F69" i="24"/>
  <c r="G69" i="24" s="1"/>
  <c r="E71" i="37" s="1"/>
  <c r="E69" i="24"/>
  <c r="C71" i="37" s="1"/>
  <c r="I68" i="24"/>
  <c r="F68" i="24"/>
  <c r="G68" i="24" s="1"/>
  <c r="E70" i="37" s="1"/>
  <c r="E68" i="24"/>
  <c r="C70" i="37" s="1"/>
  <c r="I67" i="24"/>
  <c r="F67" i="24"/>
  <c r="G67" i="24" s="1"/>
  <c r="E69" i="37" s="1"/>
  <c r="E67" i="24"/>
  <c r="C69" i="37" s="1"/>
  <c r="I66" i="24"/>
  <c r="F66" i="24"/>
  <c r="G66" i="24" s="1"/>
  <c r="E68" i="37" s="1"/>
  <c r="E66" i="24"/>
  <c r="C68" i="37" s="1"/>
  <c r="I65" i="24"/>
  <c r="F65" i="24"/>
  <c r="G65" i="24" s="1"/>
  <c r="E67" i="37" s="1"/>
  <c r="E65" i="24"/>
  <c r="C67" i="37" s="1"/>
  <c r="I64" i="24"/>
  <c r="F64" i="24"/>
  <c r="G64" i="24" s="1"/>
  <c r="E66" i="37" s="1"/>
  <c r="E64" i="24"/>
  <c r="C66" i="37" s="1"/>
  <c r="I63" i="24"/>
  <c r="F63" i="24"/>
  <c r="G63" i="24" s="1"/>
  <c r="E65" i="37" s="1"/>
  <c r="E63" i="24"/>
  <c r="C65" i="37" s="1"/>
  <c r="I62" i="24"/>
  <c r="F62" i="24"/>
  <c r="G62" i="24" s="1"/>
  <c r="E64" i="37" s="1"/>
  <c r="E62" i="24"/>
  <c r="C64" i="37" s="1"/>
  <c r="I61" i="24"/>
  <c r="F61" i="24"/>
  <c r="G61" i="24" s="1"/>
  <c r="E63" i="37" s="1"/>
  <c r="E61" i="24"/>
  <c r="C63" i="37" s="1"/>
  <c r="I60" i="24"/>
  <c r="F60" i="24"/>
  <c r="G60" i="24" s="1"/>
  <c r="E62" i="37" s="1"/>
  <c r="E60" i="24"/>
  <c r="C62" i="37" s="1"/>
  <c r="I59" i="24"/>
  <c r="F59" i="24"/>
  <c r="G59" i="24" s="1"/>
  <c r="E61" i="37" s="1"/>
  <c r="E59" i="24"/>
  <c r="C61" i="37" s="1"/>
  <c r="I58" i="24"/>
  <c r="F58" i="24"/>
  <c r="G58" i="24" s="1"/>
  <c r="E60" i="37" s="1"/>
  <c r="E58" i="24"/>
  <c r="C60" i="37" s="1"/>
  <c r="I57" i="24"/>
  <c r="F57" i="24"/>
  <c r="G57" i="24" s="1"/>
  <c r="E59" i="37" s="1"/>
  <c r="E57" i="24"/>
  <c r="C59" i="37" s="1"/>
  <c r="I56" i="24"/>
  <c r="F56" i="24"/>
  <c r="G56" i="24" s="1"/>
  <c r="E58" i="37" s="1"/>
  <c r="E56" i="24"/>
  <c r="C58" i="37" s="1"/>
  <c r="I55" i="24"/>
  <c r="F55" i="24"/>
  <c r="G55" i="24" s="1"/>
  <c r="E57" i="37" s="1"/>
  <c r="E55" i="24"/>
  <c r="C57" i="37" s="1"/>
  <c r="I54" i="24"/>
  <c r="F54" i="24"/>
  <c r="G54" i="24" s="1"/>
  <c r="E56" i="37" s="1"/>
  <c r="E54" i="24"/>
  <c r="C56" i="37" s="1"/>
  <c r="I53" i="24"/>
  <c r="F53" i="24"/>
  <c r="G53" i="24" s="1"/>
  <c r="E55" i="37" s="1"/>
  <c r="E53" i="24"/>
  <c r="C55" i="37" s="1"/>
  <c r="I52" i="24"/>
  <c r="F52" i="24"/>
  <c r="G52" i="24" s="1"/>
  <c r="E54" i="37" s="1"/>
  <c r="E52" i="24"/>
  <c r="C54" i="37" s="1"/>
  <c r="I51" i="24"/>
  <c r="F51" i="24"/>
  <c r="G51" i="24" s="1"/>
  <c r="E53" i="37" s="1"/>
  <c r="E51" i="24"/>
  <c r="C53" i="37" s="1"/>
  <c r="I50" i="24"/>
  <c r="F50" i="24"/>
  <c r="G50" i="24" s="1"/>
  <c r="E52" i="37" s="1"/>
  <c r="E50" i="24"/>
  <c r="C52" i="37" s="1"/>
  <c r="I49" i="24"/>
  <c r="F49" i="24"/>
  <c r="G49" i="24" s="1"/>
  <c r="E51" i="37" s="1"/>
  <c r="E49" i="24"/>
  <c r="C51" i="37" s="1"/>
  <c r="I48" i="24"/>
  <c r="F48" i="24"/>
  <c r="G48" i="24" s="1"/>
  <c r="E50" i="37" s="1"/>
  <c r="E48" i="24"/>
  <c r="C50" i="37" s="1"/>
  <c r="I47" i="24"/>
  <c r="F47" i="24"/>
  <c r="G47" i="24" s="1"/>
  <c r="E49" i="37" s="1"/>
  <c r="E47" i="24"/>
  <c r="C49" i="37" s="1"/>
  <c r="I46" i="24"/>
  <c r="F46" i="24"/>
  <c r="G46" i="24" s="1"/>
  <c r="E48" i="37" s="1"/>
  <c r="E46" i="24"/>
  <c r="C48" i="37" s="1"/>
  <c r="I45" i="24"/>
  <c r="F45" i="24"/>
  <c r="G45" i="24" s="1"/>
  <c r="E47" i="37" s="1"/>
  <c r="E45" i="24"/>
  <c r="C47" i="37" s="1"/>
  <c r="I44" i="24"/>
  <c r="F44" i="24"/>
  <c r="G44" i="24" s="1"/>
  <c r="E46" i="37" s="1"/>
  <c r="E44" i="24"/>
  <c r="C46" i="37" s="1"/>
  <c r="I43" i="24"/>
  <c r="F43" i="24"/>
  <c r="G43" i="24" s="1"/>
  <c r="E45" i="37" s="1"/>
  <c r="E43" i="24"/>
  <c r="C45" i="37" s="1"/>
  <c r="I42" i="24"/>
  <c r="F42" i="24"/>
  <c r="G42" i="24" s="1"/>
  <c r="E44" i="37" s="1"/>
  <c r="E42" i="24"/>
  <c r="C44" i="37" s="1"/>
  <c r="I41" i="24"/>
  <c r="F41" i="24"/>
  <c r="G41" i="24" s="1"/>
  <c r="E43" i="37" s="1"/>
  <c r="E41" i="24"/>
  <c r="C43" i="37" s="1"/>
  <c r="I40" i="24"/>
  <c r="F40" i="24"/>
  <c r="G40" i="24" s="1"/>
  <c r="E42" i="37" s="1"/>
  <c r="E40" i="24"/>
  <c r="C42" i="37" s="1"/>
  <c r="I39" i="24"/>
  <c r="F39" i="24"/>
  <c r="G39" i="24" s="1"/>
  <c r="E41" i="37" s="1"/>
  <c r="E39" i="24"/>
  <c r="C41" i="37" s="1"/>
  <c r="I38" i="24"/>
  <c r="F38" i="24"/>
  <c r="G38" i="24" s="1"/>
  <c r="E40" i="37" s="1"/>
  <c r="E38" i="24"/>
  <c r="C40" i="37" s="1"/>
  <c r="I37" i="24"/>
  <c r="F37" i="24"/>
  <c r="G37" i="24" s="1"/>
  <c r="E39" i="37" s="1"/>
  <c r="E37" i="24"/>
  <c r="C39" i="37" s="1"/>
  <c r="I36" i="24"/>
  <c r="F36" i="24"/>
  <c r="G36" i="24" s="1"/>
  <c r="E38" i="37" s="1"/>
  <c r="E36" i="24"/>
  <c r="C38" i="37" s="1"/>
  <c r="I35" i="24"/>
  <c r="F35" i="24"/>
  <c r="G35" i="24" s="1"/>
  <c r="E37" i="37" s="1"/>
  <c r="E35" i="24"/>
  <c r="C37" i="37" s="1"/>
  <c r="I34" i="24"/>
  <c r="F34" i="24"/>
  <c r="G34" i="24" s="1"/>
  <c r="E36" i="37" s="1"/>
  <c r="E34" i="24"/>
  <c r="C36" i="37" s="1"/>
  <c r="I33" i="24"/>
  <c r="F33" i="24"/>
  <c r="G33" i="24" s="1"/>
  <c r="E35" i="37" s="1"/>
  <c r="E33" i="24"/>
  <c r="C35" i="37" s="1"/>
  <c r="I32" i="24"/>
  <c r="F32" i="24"/>
  <c r="G32" i="24" s="1"/>
  <c r="E34" i="37" s="1"/>
  <c r="E32" i="24"/>
  <c r="C34" i="37" s="1"/>
  <c r="I31" i="24"/>
  <c r="F31" i="24"/>
  <c r="G31" i="24" s="1"/>
  <c r="E33" i="37" s="1"/>
  <c r="E31" i="24"/>
  <c r="C33" i="37" s="1"/>
  <c r="I30" i="24"/>
  <c r="F30" i="24"/>
  <c r="G30" i="24" s="1"/>
  <c r="E32" i="37" s="1"/>
  <c r="E30" i="24"/>
  <c r="C32" i="37" s="1"/>
  <c r="I29" i="24"/>
  <c r="F29" i="24"/>
  <c r="G29" i="24" s="1"/>
  <c r="E31" i="37" s="1"/>
  <c r="E29" i="24"/>
  <c r="C31" i="37" s="1"/>
  <c r="I28" i="24"/>
  <c r="F28" i="24"/>
  <c r="G28" i="24" s="1"/>
  <c r="E30" i="37" s="1"/>
  <c r="E28" i="24"/>
  <c r="C30" i="37" s="1"/>
  <c r="I27" i="24"/>
  <c r="F27" i="24"/>
  <c r="G27" i="24" s="1"/>
  <c r="E29" i="37" s="1"/>
  <c r="E27" i="24"/>
  <c r="C29" i="37" s="1"/>
  <c r="I26" i="24"/>
  <c r="F26" i="24"/>
  <c r="G26" i="24" s="1"/>
  <c r="E28" i="37" s="1"/>
  <c r="E26" i="24"/>
  <c r="C28" i="37" s="1"/>
  <c r="I25" i="24"/>
  <c r="F25" i="24"/>
  <c r="G25" i="24" s="1"/>
  <c r="E27" i="37" s="1"/>
  <c r="E25" i="24"/>
  <c r="C27" i="37" s="1"/>
  <c r="I24" i="24"/>
  <c r="F24" i="24"/>
  <c r="G24" i="24" s="1"/>
  <c r="E26" i="37" s="1"/>
  <c r="E24" i="24"/>
  <c r="C26" i="37" s="1"/>
  <c r="I23" i="24"/>
  <c r="F23" i="24"/>
  <c r="G23" i="24" s="1"/>
  <c r="E25" i="37" s="1"/>
  <c r="E23" i="24"/>
  <c r="C25" i="37" s="1"/>
  <c r="I22" i="24"/>
  <c r="F22" i="24"/>
  <c r="G22" i="24" s="1"/>
  <c r="E24" i="37" s="1"/>
  <c r="E22" i="24"/>
  <c r="C24" i="37" s="1"/>
  <c r="I21" i="24"/>
  <c r="F21" i="24"/>
  <c r="G21" i="24" s="1"/>
  <c r="E23" i="37" s="1"/>
  <c r="E21" i="24"/>
  <c r="C23" i="37" s="1"/>
  <c r="I20" i="24"/>
  <c r="F20" i="24"/>
  <c r="G20" i="24" s="1"/>
  <c r="E22" i="37" s="1"/>
  <c r="E20" i="24"/>
  <c r="C22" i="37" s="1"/>
  <c r="I19" i="24"/>
  <c r="F19" i="24"/>
  <c r="G19" i="24" s="1"/>
  <c r="E21" i="37" s="1"/>
  <c r="E19" i="24"/>
  <c r="C21" i="37" s="1"/>
  <c r="I18" i="24"/>
  <c r="F18" i="24"/>
  <c r="G18" i="24" s="1"/>
  <c r="E20" i="37" s="1"/>
  <c r="E18" i="24"/>
  <c r="C20" i="37" s="1"/>
  <c r="I17" i="24"/>
  <c r="F17" i="24"/>
  <c r="G17" i="24" s="1"/>
  <c r="E19" i="37" s="1"/>
  <c r="E17" i="24"/>
  <c r="C19" i="37" s="1"/>
  <c r="I16" i="24"/>
  <c r="I15" i="24"/>
  <c r="I14" i="24"/>
  <c r="I13" i="24"/>
  <c r="I12" i="24"/>
  <c r="I11" i="24"/>
  <c r="I10" i="24"/>
  <c r="I9" i="24"/>
  <c r="I8" i="24"/>
  <c r="I7" i="24"/>
  <c r="I6" i="24"/>
  <c r="I5" i="24"/>
  <c r="I4" i="24"/>
  <c r="I3" i="24"/>
  <c r="F16" i="24"/>
  <c r="G16" i="24" s="1"/>
  <c r="E18" i="37" s="1"/>
  <c r="E16" i="24"/>
  <c r="C18" i="37" s="1"/>
  <c r="F15" i="24"/>
  <c r="G15" i="24" s="1"/>
  <c r="E17" i="37" s="1"/>
  <c r="E15" i="24"/>
  <c r="C17" i="37" s="1"/>
  <c r="F14" i="24"/>
  <c r="G14" i="24" s="1"/>
  <c r="E16" i="37" s="1"/>
  <c r="E14" i="24"/>
  <c r="C16" i="37" s="1"/>
  <c r="F13" i="24"/>
  <c r="G13" i="24" s="1"/>
  <c r="E15" i="37" s="1"/>
  <c r="E13" i="24"/>
  <c r="C15" i="37" s="1"/>
  <c r="F12" i="24"/>
  <c r="G12" i="24" s="1"/>
  <c r="E14" i="37" s="1"/>
  <c r="E12" i="24"/>
  <c r="C14" i="37" s="1"/>
  <c r="F11" i="24"/>
  <c r="G11" i="24" s="1"/>
  <c r="E13" i="37" s="1"/>
  <c r="E11" i="24"/>
  <c r="C13" i="37" s="1"/>
  <c r="F10" i="24"/>
  <c r="G10" i="24" s="1"/>
  <c r="E12" i="37" s="1"/>
  <c r="E10" i="24"/>
  <c r="C12" i="37" s="1"/>
  <c r="F9" i="24"/>
  <c r="G9" i="24" s="1"/>
  <c r="E11" i="37" s="1"/>
  <c r="E9" i="24"/>
  <c r="C11" i="37" s="1"/>
  <c r="F8" i="24"/>
  <c r="G8" i="24" s="1"/>
  <c r="E10" i="37" s="1"/>
  <c r="E8" i="24"/>
  <c r="C10" i="37" s="1"/>
  <c r="F7" i="24"/>
  <c r="G7" i="24" s="1"/>
  <c r="E9" i="37" s="1"/>
  <c r="E7" i="24"/>
  <c r="C9" i="37" s="1"/>
  <c r="F6" i="24"/>
  <c r="G6" i="24" s="1"/>
  <c r="E8" i="37" s="1"/>
  <c r="E6" i="24"/>
  <c r="C8" i="37" s="1"/>
  <c r="F5" i="24"/>
  <c r="G5" i="24" s="1"/>
  <c r="E7" i="37" s="1"/>
  <c r="E5" i="24"/>
  <c r="C7" i="37" s="1"/>
  <c r="F4" i="24"/>
  <c r="G4" i="24" s="1"/>
  <c r="E6" i="37" s="1"/>
  <c r="E4" i="24"/>
  <c r="C6" i="37" s="1"/>
  <c r="F3" i="24"/>
  <c r="G3" i="24" s="1"/>
  <c r="E5" i="37" s="1"/>
  <c r="E3" i="24"/>
  <c r="C5" i="37" s="1"/>
  <c r="O66" i="24"/>
  <c r="I25" i="21"/>
  <c r="K25" i="21" s="1"/>
  <c r="I24" i="21"/>
  <c r="K24" i="21" s="1"/>
  <c r="I23" i="21"/>
  <c r="I22" i="21"/>
  <c r="I21" i="21"/>
  <c r="I12" i="21"/>
  <c r="I11" i="21"/>
  <c r="I9" i="21"/>
  <c r="L33" i="19"/>
  <c r="N33" i="19" s="1"/>
  <c r="L12" i="19"/>
  <c r="N12" i="19" s="1"/>
  <c r="L13" i="19"/>
  <c r="N13" i="19" s="1"/>
  <c r="L15" i="19"/>
  <c r="N15" i="19" s="1"/>
  <c r="L16" i="19"/>
  <c r="N16" i="19" s="1"/>
  <c r="L17" i="19"/>
  <c r="N17" i="19" s="1"/>
  <c r="L18" i="19"/>
  <c r="N18" i="19" s="1"/>
  <c r="L11" i="19"/>
  <c r="L14" i="19"/>
  <c r="N14" i="19" s="1"/>
  <c r="L32" i="19"/>
  <c r="N32" i="19" s="1"/>
  <c r="L31" i="19"/>
  <c r="N31" i="19" s="1"/>
  <c r="L30" i="19"/>
  <c r="N30" i="19" s="1"/>
  <c r="L29" i="19"/>
  <c r="N29" i="19" s="1"/>
  <c r="L28" i="19"/>
  <c r="L27" i="19"/>
  <c r="L26" i="19"/>
  <c r="L25" i="19"/>
  <c r="L35" i="19" s="1"/>
  <c r="L10" i="19"/>
  <c r="L9" i="19"/>
  <c r="I13" i="21"/>
  <c r="K13" i="21" s="1"/>
  <c r="I10" i="21"/>
  <c r="L20" i="19" l="1"/>
  <c r="N9" i="19"/>
  <c r="N20" i="19" s="1"/>
  <c r="I16" i="21"/>
  <c r="I27" i="21"/>
  <c r="A39" i="38"/>
  <c r="I40" i="37"/>
  <c r="A23" i="38"/>
  <c r="I24" i="37"/>
  <c r="A28" i="38"/>
  <c r="I29" i="37"/>
  <c r="I60" i="37"/>
  <c r="A59" i="38"/>
  <c r="A75" i="38"/>
  <c r="I76" i="37"/>
  <c r="I92" i="37"/>
  <c r="A91" i="38"/>
  <c r="I108" i="37"/>
  <c r="A107" i="38"/>
  <c r="I128" i="37"/>
  <c r="A127" i="38"/>
  <c r="I164" i="37"/>
  <c r="A163" i="38"/>
  <c r="A36" i="38"/>
  <c r="I37" i="37"/>
  <c r="A4" i="38"/>
  <c r="I5" i="37"/>
  <c r="I26" i="37"/>
  <c r="A25" i="38"/>
  <c r="A64" i="38"/>
  <c r="I65" i="37"/>
  <c r="I81" i="37"/>
  <c r="A80" i="38"/>
  <c r="A88" i="38"/>
  <c r="I89" i="37"/>
  <c r="I93" i="37"/>
  <c r="A92" i="38"/>
  <c r="I97" i="37"/>
  <c r="A96" i="38"/>
  <c r="I105" i="37"/>
  <c r="A104" i="38"/>
  <c r="I109" i="37"/>
  <c r="A108" i="38"/>
  <c r="A112" i="38"/>
  <c r="I113" i="37"/>
  <c r="I117" i="37"/>
  <c r="A116" i="38"/>
  <c r="I121" i="37"/>
  <c r="A120" i="38"/>
  <c r="A124" i="38"/>
  <c r="I125" i="37"/>
  <c r="I129" i="37"/>
  <c r="A128" i="38"/>
  <c r="I133" i="37"/>
  <c r="A132" i="38"/>
  <c r="A136" i="38"/>
  <c r="I137" i="37"/>
  <c r="I141" i="37"/>
  <c r="A140" i="38"/>
  <c r="I145" i="37"/>
  <c r="A144" i="38"/>
  <c r="A148" i="38"/>
  <c r="I149" i="37"/>
  <c r="I157" i="37"/>
  <c r="A156" i="38"/>
  <c r="A160" i="38"/>
  <c r="I161" i="37"/>
  <c r="I165" i="37"/>
  <c r="A164" i="38"/>
  <c r="A6" i="38"/>
  <c r="I7" i="37"/>
  <c r="I34" i="37"/>
  <c r="A33" i="38"/>
  <c r="A37" i="38"/>
  <c r="I38" i="37"/>
  <c r="I8" i="37"/>
  <c r="A7" i="38"/>
  <c r="A41" i="38"/>
  <c r="I42" i="37"/>
  <c r="A45" i="38"/>
  <c r="I46" i="37"/>
  <c r="A49" i="38"/>
  <c r="I50" i="37"/>
  <c r="A99" i="38"/>
  <c r="I100" i="37"/>
  <c r="A10" i="38"/>
  <c r="I11" i="37"/>
  <c r="A42" i="38"/>
  <c r="I43" i="37"/>
  <c r="A46" i="38"/>
  <c r="I47" i="37"/>
  <c r="A11" i="38"/>
  <c r="I12" i="37"/>
  <c r="I20" i="37"/>
  <c r="A19" i="38"/>
  <c r="A27" i="38"/>
  <c r="I28" i="37"/>
  <c r="A50" i="38"/>
  <c r="I51" i="37"/>
  <c r="A12" i="38"/>
  <c r="I13" i="37"/>
  <c r="I32" i="37"/>
  <c r="A31" i="38"/>
  <c r="A35" i="38"/>
  <c r="I36" i="37"/>
  <c r="A13" i="38"/>
  <c r="I14" i="37"/>
  <c r="I44" i="37"/>
  <c r="A43" i="38"/>
  <c r="A47" i="38"/>
  <c r="I48" i="37"/>
  <c r="A14" i="38"/>
  <c r="I15" i="37"/>
  <c r="I21" i="37"/>
  <c r="A20" i="38"/>
  <c r="A24" i="38"/>
  <c r="I25" i="37"/>
  <c r="A51" i="38"/>
  <c r="I52" i="37"/>
  <c r="I56" i="37"/>
  <c r="A55" i="38"/>
  <c r="A63" i="38"/>
  <c r="I64" i="37"/>
  <c r="I68" i="37"/>
  <c r="A67" i="38"/>
  <c r="I72" i="37"/>
  <c r="A71" i="38"/>
  <c r="I80" i="37"/>
  <c r="A79" i="38"/>
  <c r="I84" i="37"/>
  <c r="A83" i="38"/>
  <c r="A87" i="38"/>
  <c r="I88" i="37"/>
  <c r="I96" i="37"/>
  <c r="A95" i="38"/>
  <c r="I104" i="37"/>
  <c r="A103" i="38"/>
  <c r="A111" i="38"/>
  <c r="I112" i="37"/>
  <c r="I116" i="37"/>
  <c r="A115" i="38"/>
  <c r="I120" i="37"/>
  <c r="A119" i="38"/>
  <c r="A123" i="38"/>
  <c r="I124" i="37"/>
  <c r="I132" i="37"/>
  <c r="A131" i="38"/>
  <c r="A135" i="38"/>
  <c r="I136" i="37"/>
  <c r="I140" i="37"/>
  <c r="A139" i="38"/>
  <c r="I144" i="37"/>
  <c r="A143" i="38"/>
  <c r="A147" i="38"/>
  <c r="I148" i="37"/>
  <c r="I152" i="37"/>
  <c r="A151" i="38"/>
  <c r="I156" i="37"/>
  <c r="A155" i="38"/>
  <c r="A159" i="38"/>
  <c r="I160" i="37"/>
  <c r="I16" i="37"/>
  <c r="A15" i="38"/>
  <c r="I33" i="37"/>
  <c r="A32" i="38"/>
  <c r="A40" i="38"/>
  <c r="I41" i="37"/>
  <c r="A16" i="38"/>
  <c r="I17" i="37"/>
  <c r="I45" i="37"/>
  <c r="A44" i="38"/>
  <c r="A48" i="38"/>
  <c r="I49" i="37"/>
  <c r="A5" i="38"/>
  <c r="I6" i="37"/>
  <c r="A17" i="38"/>
  <c r="I18" i="37"/>
  <c r="I22" i="37"/>
  <c r="A21" i="38"/>
  <c r="A29" i="38"/>
  <c r="I30" i="37"/>
  <c r="A52" i="38"/>
  <c r="I53" i="37"/>
  <c r="I57" i="37"/>
  <c r="A56" i="38"/>
  <c r="I61" i="37"/>
  <c r="A60" i="38"/>
  <c r="I69" i="37"/>
  <c r="A68" i="38"/>
  <c r="I73" i="37"/>
  <c r="A72" i="38"/>
  <c r="A76" i="38"/>
  <c r="I77" i="37"/>
  <c r="I85" i="37"/>
  <c r="A84" i="38"/>
  <c r="A100" i="38"/>
  <c r="I101" i="37"/>
  <c r="I153" i="37"/>
  <c r="A152" i="38"/>
  <c r="I9" i="37"/>
  <c r="A8" i="38"/>
  <c r="A18" i="38"/>
  <c r="I19" i="37"/>
  <c r="A22" i="38"/>
  <c r="I23" i="37"/>
  <c r="A26" i="38"/>
  <c r="I27" i="37"/>
  <c r="A53" i="38"/>
  <c r="I54" i="37"/>
  <c r="A57" i="38"/>
  <c r="I58" i="37"/>
  <c r="I62" i="37"/>
  <c r="A61" i="38"/>
  <c r="A65" i="38"/>
  <c r="I66" i="37"/>
  <c r="I70" i="37"/>
  <c r="A69" i="38"/>
  <c r="A73" i="38"/>
  <c r="I74" i="37"/>
  <c r="A77" i="38"/>
  <c r="I78" i="37"/>
  <c r="I82" i="37"/>
  <c r="A81" i="38"/>
  <c r="A85" i="38"/>
  <c r="I86" i="37"/>
  <c r="A89" i="38"/>
  <c r="I90" i="37"/>
  <c r="I94" i="37"/>
  <c r="A93" i="38"/>
  <c r="A97" i="38"/>
  <c r="I98" i="37"/>
  <c r="A101" i="38"/>
  <c r="I102" i="37"/>
  <c r="I106" i="37"/>
  <c r="A105" i="38"/>
  <c r="A109" i="38"/>
  <c r="I110" i="37"/>
  <c r="A113" i="38"/>
  <c r="I114" i="37"/>
  <c r="I118" i="37"/>
  <c r="A117" i="38"/>
  <c r="A121" i="38"/>
  <c r="I122" i="37"/>
  <c r="I126" i="37"/>
  <c r="A125" i="38"/>
  <c r="I130" i="37"/>
  <c r="A129" i="38"/>
  <c r="A133" i="38"/>
  <c r="I134" i="37"/>
  <c r="I138" i="37"/>
  <c r="A137" i="38"/>
  <c r="I142" i="37"/>
  <c r="A141" i="38"/>
  <c r="A145" i="38"/>
  <c r="I146" i="37"/>
  <c r="I150" i="37"/>
  <c r="A149" i="38"/>
  <c r="I154" i="37"/>
  <c r="A153" i="38"/>
  <c r="A157" i="38"/>
  <c r="I158" i="37"/>
  <c r="I162" i="37"/>
  <c r="A161" i="38"/>
  <c r="I166" i="37"/>
  <c r="A165" i="38"/>
  <c r="I10" i="37"/>
  <c r="A9" i="38"/>
  <c r="A30" i="38"/>
  <c r="I31" i="37"/>
  <c r="A34" i="38"/>
  <c r="I35" i="37"/>
  <c r="A38" i="38"/>
  <c r="I39" i="37"/>
  <c r="A54" i="38"/>
  <c r="I55" i="37"/>
  <c r="I59" i="37"/>
  <c r="A58" i="38"/>
  <c r="A62" i="38"/>
  <c r="I63" i="37"/>
  <c r="A66" i="38"/>
  <c r="I67" i="37"/>
  <c r="A70" i="38"/>
  <c r="I71" i="37"/>
  <c r="A74" i="38"/>
  <c r="I75" i="37"/>
  <c r="A78" i="38"/>
  <c r="I79" i="37"/>
  <c r="A82" i="38"/>
  <c r="I83" i="37"/>
  <c r="A86" i="38"/>
  <c r="I87" i="37"/>
  <c r="A90" i="38"/>
  <c r="I91" i="37"/>
  <c r="A94" i="38"/>
  <c r="I95" i="37"/>
  <c r="A98" i="38"/>
  <c r="I99" i="37"/>
  <c r="A102" i="38"/>
  <c r="I103" i="37"/>
  <c r="A106" i="38"/>
  <c r="I107" i="37"/>
  <c r="A110" i="38"/>
  <c r="I111" i="37"/>
  <c r="A114" i="38"/>
  <c r="I115" i="37"/>
  <c r="A118" i="38"/>
  <c r="I119" i="37"/>
  <c r="A122" i="38"/>
  <c r="I123" i="37"/>
  <c r="I127" i="37"/>
  <c r="A126" i="38"/>
  <c r="A130" i="38"/>
  <c r="I131" i="37"/>
  <c r="A134" i="38"/>
  <c r="I135" i="37"/>
  <c r="I139" i="37"/>
  <c r="A138" i="38"/>
  <c r="A142" i="38"/>
  <c r="I143" i="37"/>
  <c r="I147" i="37"/>
  <c r="A146" i="38"/>
  <c r="I151" i="37"/>
  <c r="A150" i="38"/>
  <c r="A154" i="38"/>
  <c r="I155" i="37"/>
  <c r="A158" i="38"/>
  <c r="I159" i="37"/>
  <c r="I163" i="37"/>
  <c r="A162" i="38"/>
  <c r="A166" i="38"/>
  <c r="I167" i="37"/>
  <c r="P67" i="36"/>
  <c r="E67" i="38"/>
  <c r="L68" i="37"/>
  <c r="B10" i="27"/>
  <c r="B29" i="27"/>
  <c r="O13" i="24"/>
  <c r="O12" i="24"/>
  <c r="B39" i="27"/>
  <c r="B20" i="27"/>
  <c r="O63" i="24"/>
  <c r="O62" i="24"/>
  <c r="B11" i="27"/>
  <c r="B30" i="27"/>
  <c r="O15" i="24"/>
  <c r="O14" i="24"/>
  <c r="B31" i="27"/>
  <c r="B12" i="27"/>
  <c r="O17" i="24"/>
  <c r="O16" i="24"/>
  <c r="B19" i="27"/>
  <c r="B38" i="27"/>
  <c r="O51" i="24"/>
  <c r="O50" i="24"/>
  <c r="B32" i="27"/>
  <c r="B13" i="27"/>
  <c r="O19" i="24"/>
  <c r="O18" i="24"/>
  <c r="B33" i="27"/>
  <c r="B14" i="27"/>
  <c r="O37" i="24"/>
  <c r="O36" i="24"/>
  <c r="O32" i="24"/>
  <c r="O33" i="24"/>
  <c r="O34" i="24"/>
  <c r="O35" i="24"/>
  <c r="O39" i="24"/>
  <c r="O38" i="24"/>
  <c r="J37" i="24"/>
  <c r="J14" i="24"/>
  <c r="J15" i="24"/>
  <c r="J16" i="24"/>
  <c r="J17" i="24"/>
  <c r="J38" i="24"/>
  <c r="J39" i="24"/>
  <c r="J32" i="24"/>
  <c r="J33" i="24"/>
  <c r="J34" i="24"/>
  <c r="J35" i="24"/>
  <c r="J36" i="24"/>
  <c r="J18" i="24"/>
  <c r="J19" i="24"/>
  <c r="J12" i="24"/>
  <c r="J13" i="24"/>
  <c r="O41" i="24"/>
  <c r="O40" i="24"/>
  <c r="O21" i="24"/>
  <c r="O20" i="24"/>
  <c r="O65" i="24"/>
  <c r="O64" i="24"/>
  <c r="J62" i="24"/>
  <c r="J63" i="24"/>
  <c r="J50" i="24"/>
  <c r="J51" i="24"/>
  <c r="O53" i="24"/>
  <c r="O52" i="24"/>
  <c r="J64" i="24"/>
  <c r="J65" i="24"/>
  <c r="J53" i="24"/>
  <c r="J52" i="24"/>
  <c r="J20" i="24"/>
  <c r="J21" i="24"/>
  <c r="J40" i="24"/>
  <c r="J41" i="24"/>
  <c r="H42" i="38" l="1"/>
  <c r="V42" i="36"/>
  <c r="C42" i="38"/>
  <c r="M43" i="37"/>
  <c r="A43" i="37" s="1"/>
  <c r="F42" i="38"/>
  <c r="C38" i="38"/>
  <c r="F38" i="38"/>
  <c r="H38" i="38"/>
  <c r="M39" i="37"/>
  <c r="A39" i="37" s="1"/>
  <c r="V38" i="36"/>
  <c r="V41" i="36"/>
  <c r="C41" i="38"/>
  <c r="F41" i="38"/>
  <c r="H41" i="38"/>
  <c r="M42" i="37"/>
  <c r="A42" i="37" s="1"/>
  <c r="M38" i="37"/>
  <c r="A38" i="37" s="1"/>
  <c r="V37" i="36"/>
  <c r="C37" i="38"/>
  <c r="F37" i="38"/>
  <c r="H37" i="38"/>
  <c r="C40" i="38"/>
  <c r="F40" i="38"/>
  <c r="H40" i="38"/>
  <c r="M41" i="37"/>
  <c r="A41" i="37" s="1"/>
  <c r="V40" i="36"/>
  <c r="C39" i="38"/>
  <c r="M40" i="37"/>
  <c r="A40" i="37" s="1"/>
  <c r="F39" i="38"/>
  <c r="H39" i="38"/>
  <c r="V39" i="36"/>
  <c r="V36" i="36"/>
  <c r="M37" i="37"/>
  <c r="A37" i="37" s="1"/>
  <c r="C36" i="38"/>
  <c r="H36" i="38"/>
  <c r="F36" i="38"/>
  <c r="F35" i="38"/>
  <c r="H35" i="38"/>
  <c r="M36" i="37"/>
  <c r="A36" i="37" s="1"/>
  <c r="C35" i="38"/>
  <c r="V35" i="36"/>
  <c r="V33" i="36"/>
  <c r="C33" i="38"/>
  <c r="M34" i="37"/>
  <c r="A34" i="37" s="1"/>
  <c r="F33" i="38"/>
  <c r="H33" i="38"/>
  <c r="F34" i="38"/>
  <c r="V34" i="36"/>
  <c r="C34" i="38"/>
  <c r="H34" i="38"/>
  <c r="M35" i="37"/>
  <c r="A35" i="37" s="1"/>
  <c r="C21" i="38"/>
  <c r="F21" i="38"/>
  <c r="H21" i="38"/>
  <c r="V21" i="36"/>
  <c r="M22" i="37"/>
  <c r="A22" i="37" s="1"/>
  <c r="V19" i="36"/>
  <c r="F19" i="38"/>
  <c r="M20" i="37"/>
  <c r="A20" i="37" s="1"/>
  <c r="H19" i="38"/>
  <c r="C19" i="38"/>
  <c r="C22" i="38"/>
  <c r="M23" i="37"/>
  <c r="A23" i="37" s="1"/>
  <c r="F22" i="38"/>
  <c r="V22" i="36"/>
  <c r="H22" i="38"/>
  <c r="V18" i="36"/>
  <c r="M19" i="37"/>
  <c r="A19" i="37" s="1"/>
  <c r="C18" i="38"/>
  <c r="F18" i="38"/>
  <c r="H18" i="38"/>
  <c r="H20" i="38"/>
  <c r="V20" i="36"/>
  <c r="M21" i="37"/>
  <c r="A21" i="37" s="1"/>
  <c r="C20" i="38"/>
  <c r="F20" i="38"/>
  <c r="F17" i="38"/>
  <c r="M18" i="37"/>
  <c r="A18" i="37" s="1"/>
  <c r="H17" i="38"/>
  <c r="C17" i="38"/>
  <c r="V17" i="36"/>
  <c r="V15" i="36"/>
  <c r="H15" i="38"/>
  <c r="M16" i="37"/>
  <c r="A16" i="37" s="1"/>
  <c r="C15" i="38"/>
  <c r="F15" i="38"/>
  <c r="M17" i="37"/>
  <c r="A17" i="37" s="1"/>
  <c r="V16" i="36"/>
  <c r="C16" i="38"/>
  <c r="F16" i="38"/>
  <c r="H16" i="38"/>
  <c r="M15" i="37"/>
  <c r="A15" i="37" s="1"/>
  <c r="C14" i="38"/>
  <c r="F14" i="38"/>
  <c r="H14" i="38"/>
  <c r="V14" i="36"/>
  <c r="M14" i="37"/>
  <c r="A14" i="37" s="1"/>
  <c r="C13" i="38"/>
  <c r="V13" i="36"/>
  <c r="F13" i="38"/>
  <c r="H13" i="38"/>
  <c r="M67" i="37"/>
  <c r="A67" i="37" s="1"/>
  <c r="C66" i="38"/>
  <c r="F66" i="38"/>
  <c r="V66" i="36"/>
  <c r="H66" i="38"/>
  <c r="C65" i="38"/>
  <c r="F65" i="38"/>
  <c r="M66" i="37"/>
  <c r="A66" i="37" s="1"/>
  <c r="H65" i="38"/>
  <c r="V65" i="36"/>
  <c r="F64" i="38"/>
  <c r="V64" i="36"/>
  <c r="H64" i="38"/>
  <c r="M65" i="37"/>
  <c r="A65" i="37" s="1"/>
  <c r="C64" i="38"/>
  <c r="C63" i="38"/>
  <c r="F63" i="38"/>
  <c r="H63" i="38"/>
  <c r="M64" i="37"/>
  <c r="A64" i="37" s="1"/>
  <c r="V63" i="36"/>
  <c r="C52" i="38"/>
  <c r="V52" i="36"/>
  <c r="F52" i="38"/>
  <c r="H52" i="38"/>
  <c r="M53" i="37"/>
  <c r="A53" i="37" s="1"/>
  <c r="C51" i="38"/>
  <c r="F51" i="38"/>
  <c r="V51" i="36"/>
  <c r="M52" i="37"/>
  <c r="A52" i="37" s="1"/>
  <c r="H51" i="38"/>
  <c r="H53" i="38"/>
  <c r="M54" i="37"/>
  <c r="A54" i="37" s="1"/>
  <c r="C53" i="38"/>
  <c r="V53" i="36"/>
  <c r="F53" i="38"/>
  <c r="M55" i="37"/>
  <c r="A55" i="37" s="1"/>
  <c r="C54" i="38"/>
  <c r="H54" i="38"/>
  <c r="F54" i="38"/>
  <c r="V54" i="36"/>
  <c r="E65" i="38"/>
  <c r="L66" i="37"/>
  <c r="P65" i="36"/>
  <c r="L64" i="37"/>
  <c r="P63" i="36"/>
  <c r="E63" i="38"/>
  <c r="L67" i="37"/>
  <c r="P66" i="36"/>
  <c r="E66" i="38"/>
  <c r="E64" i="38"/>
  <c r="L65" i="37"/>
  <c r="P64" i="36"/>
  <c r="E54" i="38"/>
  <c r="L55" i="37"/>
  <c r="P54" i="36"/>
  <c r="L52" i="37"/>
  <c r="P51" i="36"/>
  <c r="E51" i="38"/>
  <c r="L53" i="37"/>
  <c r="E52" i="38"/>
  <c r="P52" i="36"/>
  <c r="L54" i="37"/>
  <c r="E53" i="38"/>
  <c r="P53" i="36"/>
  <c r="E36" i="38"/>
  <c r="L37" i="37"/>
  <c r="P36" i="36"/>
  <c r="L36" i="37"/>
  <c r="P35" i="36"/>
  <c r="E35" i="38"/>
  <c r="L35" i="37"/>
  <c r="E34" i="38"/>
  <c r="P34" i="36"/>
  <c r="L34" i="37"/>
  <c r="P33" i="36"/>
  <c r="E33" i="38"/>
  <c r="L38" i="37"/>
  <c r="P37" i="36"/>
  <c r="E37" i="38"/>
  <c r="L39" i="37"/>
  <c r="P38" i="36"/>
  <c r="E38" i="38"/>
  <c r="P41" i="36"/>
  <c r="E41" i="38"/>
  <c r="L42" i="37"/>
  <c r="L43" i="37"/>
  <c r="E42" i="38"/>
  <c r="P42" i="36"/>
  <c r="E39" i="38"/>
  <c r="L40" i="37"/>
  <c r="P39" i="36"/>
  <c r="L41" i="37"/>
  <c r="P40" i="36"/>
  <c r="E40" i="38"/>
  <c r="E15" i="38"/>
  <c r="L16" i="37"/>
  <c r="P15" i="36"/>
  <c r="L17" i="37"/>
  <c r="E16" i="38"/>
  <c r="P16" i="36"/>
  <c r="E18" i="38"/>
  <c r="L19" i="37"/>
  <c r="P18" i="36"/>
  <c r="E17" i="38"/>
  <c r="L18" i="37"/>
  <c r="P17" i="36"/>
  <c r="L20" i="37"/>
  <c r="P19" i="36"/>
  <c r="E19" i="38"/>
  <c r="E20" i="38"/>
  <c r="L21" i="37"/>
  <c r="P20" i="36"/>
  <c r="L14" i="37"/>
  <c r="E13" i="38"/>
  <c r="P13" i="36"/>
  <c r="L15" i="37"/>
  <c r="P14" i="36"/>
  <c r="E14" i="38"/>
  <c r="L22" i="37"/>
  <c r="E21" i="38"/>
  <c r="P21" i="36"/>
  <c r="E22" i="38"/>
  <c r="L23" i="37"/>
  <c r="P22" i="36"/>
  <c r="A1" i="33"/>
  <c r="G138" i="9"/>
  <c r="G66" i="9"/>
  <c r="G54" i="9"/>
  <c r="G48" i="9"/>
  <c r="G42" i="9"/>
  <c r="G30" i="9"/>
  <c r="G19" i="9"/>
  <c r="G12" i="9"/>
  <c r="A3" i="32"/>
  <c r="AB5" i="33" l="1"/>
  <c r="A5" i="33"/>
  <c r="AI54" i="33"/>
  <c r="F52" i="33"/>
  <c r="E52" i="33"/>
  <c r="D52" i="33"/>
  <c r="C52" i="33"/>
  <c r="B52" i="33"/>
  <c r="A52" i="33"/>
  <c r="F51" i="33"/>
  <c r="E51" i="33"/>
  <c r="D51" i="33"/>
  <c r="C51" i="33"/>
  <c r="B51" i="33"/>
  <c r="A51" i="33"/>
  <c r="F50" i="33"/>
  <c r="E50" i="33"/>
  <c r="D50" i="33"/>
  <c r="C50" i="33"/>
  <c r="B50" i="33"/>
  <c r="A50" i="33"/>
  <c r="F49" i="33"/>
  <c r="E49" i="33"/>
  <c r="D49" i="33"/>
  <c r="C49" i="33"/>
  <c r="B49" i="33"/>
  <c r="A49" i="33"/>
  <c r="F48" i="33"/>
  <c r="E48" i="33"/>
  <c r="D48" i="33"/>
  <c r="C48" i="33"/>
  <c r="B48" i="33"/>
  <c r="A48" i="33"/>
  <c r="F47" i="33"/>
  <c r="E47" i="33"/>
  <c r="D47" i="33"/>
  <c r="C47" i="33"/>
  <c r="B47" i="33"/>
  <c r="A47" i="33"/>
  <c r="F46" i="33"/>
  <c r="E46" i="33"/>
  <c r="D46" i="33"/>
  <c r="C46" i="33"/>
  <c r="B46" i="33"/>
  <c r="A46" i="33"/>
  <c r="F45" i="33"/>
  <c r="E45" i="33"/>
  <c r="D45" i="33"/>
  <c r="C45" i="33"/>
  <c r="B45" i="33"/>
  <c r="A45" i="33"/>
  <c r="F44" i="33"/>
  <c r="E44" i="33"/>
  <c r="D44" i="33"/>
  <c r="C44" i="33"/>
  <c r="B44" i="33"/>
  <c r="A44" i="33"/>
  <c r="F43" i="33"/>
  <c r="E43" i="33"/>
  <c r="D43" i="33"/>
  <c r="C43" i="33"/>
  <c r="B43" i="33"/>
  <c r="A43" i="33"/>
  <c r="F42" i="33"/>
  <c r="E42" i="33"/>
  <c r="D42" i="33"/>
  <c r="C42" i="33"/>
  <c r="B42" i="33"/>
  <c r="A42" i="33"/>
  <c r="F41" i="33"/>
  <c r="E41" i="33"/>
  <c r="D41" i="33"/>
  <c r="C41" i="33"/>
  <c r="B41" i="33"/>
  <c r="A41" i="33"/>
  <c r="F40" i="33"/>
  <c r="E40" i="33"/>
  <c r="D40" i="33"/>
  <c r="C40" i="33"/>
  <c r="B40" i="33"/>
  <c r="A40" i="33"/>
  <c r="F39" i="33"/>
  <c r="E39" i="33"/>
  <c r="D39" i="33"/>
  <c r="C39" i="33"/>
  <c r="B39" i="33"/>
  <c r="A39" i="33"/>
  <c r="F38" i="33"/>
  <c r="E38" i="33"/>
  <c r="D38" i="33"/>
  <c r="C38" i="33"/>
  <c r="B38" i="33"/>
  <c r="A38" i="33"/>
  <c r="F37" i="33"/>
  <c r="E37" i="33"/>
  <c r="D37" i="33"/>
  <c r="C37" i="33"/>
  <c r="B37" i="33"/>
  <c r="A37" i="33"/>
  <c r="F36" i="33"/>
  <c r="E36" i="33"/>
  <c r="D36" i="33"/>
  <c r="C36" i="33"/>
  <c r="B36" i="33"/>
  <c r="A36" i="33"/>
  <c r="F35" i="33"/>
  <c r="E35" i="33"/>
  <c r="D35" i="33"/>
  <c r="C35" i="33"/>
  <c r="B35" i="33"/>
  <c r="A35" i="33"/>
  <c r="F34" i="33"/>
  <c r="E34" i="33"/>
  <c r="D34" i="33"/>
  <c r="C34" i="33"/>
  <c r="B34" i="33"/>
  <c r="A34" i="33"/>
  <c r="F33" i="33"/>
  <c r="E33" i="33"/>
  <c r="D33" i="33"/>
  <c r="C33" i="33"/>
  <c r="B33" i="33"/>
  <c r="A33" i="33"/>
  <c r="F32" i="33"/>
  <c r="E32" i="33"/>
  <c r="D32" i="33"/>
  <c r="C32" i="33"/>
  <c r="B32" i="33"/>
  <c r="A32" i="33"/>
  <c r="F31" i="33"/>
  <c r="E31" i="33"/>
  <c r="D31" i="33"/>
  <c r="C31" i="33"/>
  <c r="B31" i="33"/>
  <c r="A31" i="33"/>
  <c r="F30" i="33"/>
  <c r="E30" i="33"/>
  <c r="D30" i="33"/>
  <c r="C30" i="33"/>
  <c r="B30" i="33"/>
  <c r="A30" i="33"/>
  <c r="F29" i="33"/>
  <c r="E29" i="33"/>
  <c r="D29" i="33"/>
  <c r="C29" i="33"/>
  <c r="B29" i="33"/>
  <c r="A29" i="33"/>
  <c r="F28" i="33"/>
  <c r="E28" i="33"/>
  <c r="D28" i="33"/>
  <c r="C28" i="33"/>
  <c r="B28" i="33"/>
  <c r="A28" i="33"/>
  <c r="F27" i="33"/>
  <c r="E27" i="33"/>
  <c r="D27" i="33"/>
  <c r="C27" i="33"/>
  <c r="B27" i="33"/>
  <c r="A27" i="33"/>
  <c r="F26" i="33"/>
  <c r="E26" i="33"/>
  <c r="D26" i="33"/>
  <c r="C26" i="33"/>
  <c r="B26" i="33"/>
  <c r="A26" i="33"/>
  <c r="F25" i="33"/>
  <c r="E25" i="33"/>
  <c r="D25" i="33"/>
  <c r="C25" i="33"/>
  <c r="B25" i="33"/>
  <c r="A25" i="33"/>
  <c r="F24" i="33"/>
  <c r="E24" i="33"/>
  <c r="D24" i="33"/>
  <c r="C24" i="33"/>
  <c r="B24" i="33"/>
  <c r="A24" i="33"/>
  <c r="F23" i="33"/>
  <c r="E23" i="33"/>
  <c r="D23" i="33"/>
  <c r="C23" i="33"/>
  <c r="B23" i="33"/>
  <c r="A23" i="33"/>
  <c r="F22" i="33"/>
  <c r="E22" i="33"/>
  <c r="D22" i="33"/>
  <c r="C22" i="33"/>
  <c r="B22" i="33"/>
  <c r="A22" i="33"/>
  <c r="F21" i="33"/>
  <c r="E21" i="33"/>
  <c r="D21" i="33"/>
  <c r="C21" i="33"/>
  <c r="B21" i="33"/>
  <c r="A21" i="33"/>
  <c r="F20" i="33"/>
  <c r="E20" i="33"/>
  <c r="D20" i="33"/>
  <c r="C20" i="33"/>
  <c r="B20" i="33"/>
  <c r="A20" i="33"/>
  <c r="F19" i="33"/>
  <c r="E19" i="33"/>
  <c r="D19" i="33"/>
  <c r="C19" i="33"/>
  <c r="B19" i="33"/>
  <c r="A19" i="33"/>
  <c r="F18" i="33"/>
  <c r="E18" i="33"/>
  <c r="D18" i="33"/>
  <c r="C18" i="33"/>
  <c r="B18" i="33"/>
  <c r="A18" i="33"/>
  <c r="F17" i="33"/>
  <c r="E17" i="33"/>
  <c r="D17" i="33"/>
  <c r="C17" i="33"/>
  <c r="B17" i="33"/>
  <c r="A17" i="33"/>
  <c r="F16" i="33"/>
  <c r="E16" i="33"/>
  <c r="D16" i="33"/>
  <c r="C16" i="33"/>
  <c r="B16" i="33"/>
  <c r="A16" i="33"/>
  <c r="F15" i="33"/>
  <c r="E15" i="33"/>
  <c r="D15" i="33"/>
  <c r="C15" i="33"/>
  <c r="B15" i="33"/>
  <c r="A15" i="33"/>
  <c r="F14" i="33"/>
  <c r="E14" i="33"/>
  <c r="D14" i="33"/>
  <c r="C14" i="33"/>
  <c r="B14" i="33"/>
  <c r="A14" i="33"/>
  <c r="F13" i="33"/>
  <c r="E13" i="33"/>
  <c r="D13" i="33"/>
  <c r="C13" i="33"/>
  <c r="B13" i="33"/>
  <c r="A13" i="33"/>
  <c r="F12" i="33"/>
  <c r="E12" i="33"/>
  <c r="D12" i="33"/>
  <c r="C12" i="33"/>
  <c r="B12" i="33"/>
  <c r="A12" i="33"/>
  <c r="F11" i="33"/>
  <c r="E11" i="33"/>
  <c r="D11" i="33"/>
  <c r="C11" i="33"/>
  <c r="B11" i="33"/>
  <c r="A11" i="33"/>
  <c r="F10" i="33"/>
  <c r="E10" i="33"/>
  <c r="D10" i="33"/>
  <c r="C10" i="33"/>
  <c r="B10" i="33"/>
  <c r="A10" i="33"/>
  <c r="A1" i="32" l="1"/>
  <c r="A115" i="32"/>
  <c r="A108" i="32"/>
  <c r="A101" i="32"/>
  <c r="A94" i="32"/>
  <c r="A87" i="32"/>
  <c r="A80" i="32"/>
  <c r="A73" i="32"/>
  <c r="A66" i="32"/>
  <c r="A59" i="32"/>
  <c r="A52" i="32"/>
  <c r="A45" i="32"/>
  <c r="A38" i="32"/>
  <c r="A31" i="32"/>
  <c r="A24" i="32"/>
  <c r="A17" i="32"/>
  <c r="A10" i="32"/>
  <c r="J60" i="30"/>
  <c r="J49" i="30"/>
  <c r="J48" i="30"/>
  <c r="J47" i="30"/>
  <c r="J46" i="30"/>
  <c r="J45" i="30"/>
  <c r="J44" i="30"/>
  <c r="J43" i="30"/>
  <c r="J42" i="30"/>
  <c r="J41" i="30"/>
  <c r="J40" i="30"/>
  <c r="J39" i="30"/>
  <c r="J38" i="30"/>
  <c r="J37" i="30"/>
  <c r="J36" i="30"/>
  <c r="J35" i="30"/>
  <c r="J34" i="30"/>
  <c r="J33" i="30"/>
  <c r="J32" i="30"/>
  <c r="J31" i="30"/>
  <c r="J30" i="30"/>
  <c r="J29" i="30"/>
  <c r="J27" i="30"/>
  <c r="J26" i="30"/>
  <c r="J25" i="30"/>
  <c r="J24" i="30"/>
  <c r="J23" i="30"/>
  <c r="J22" i="30"/>
  <c r="J21" i="30"/>
  <c r="J20" i="30"/>
  <c r="J19" i="30"/>
  <c r="J18" i="30"/>
  <c r="J17" i="30"/>
  <c r="J15" i="30"/>
  <c r="J14" i="30"/>
  <c r="J13" i="30"/>
  <c r="J12" i="30"/>
  <c r="J11" i="30"/>
  <c r="J10" i="30"/>
  <c r="J9" i="30"/>
  <c r="J8" i="30"/>
  <c r="J7" i="30"/>
  <c r="K23" i="21"/>
  <c r="K11" i="21"/>
  <c r="K12" i="21"/>
  <c r="J42" i="24"/>
  <c r="N27" i="19"/>
  <c r="J8" i="24"/>
  <c r="E2" i="24"/>
  <c r="F2" i="24"/>
  <c r="I2" i="24"/>
  <c r="J28" i="24"/>
  <c r="J29" i="24"/>
  <c r="J48" i="24"/>
  <c r="J49" i="24"/>
  <c r="J54" i="24"/>
  <c r="J55" i="24"/>
  <c r="J57" i="24"/>
  <c r="J60" i="24"/>
  <c r="J61" i="24"/>
  <c r="O67" i="24"/>
  <c r="O68" i="24"/>
  <c r="O69" i="24"/>
  <c r="O70" i="24"/>
  <c r="O71" i="24"/>
  <c r="O72" i="24"/>
  <c r="O73" i="24"/>
  <c r="O74" i="24"/>
  <c r="O75" i="24"/>
  <c r="O76" i="24"/>
  <c r="O77" i="24"/>
  <c r="O78" i="24"/>
  <c r="O79" i="24"/>
  <c r="O80" i="24"/>
  <c r="O81" i="24"/>
  <c r="O82" i="24"/>
  <c r="O83" i="24"/>
  <c r="O84" i="24"/>
  <c r="O85" i="24"/>
  <c r="O86" i="24"/>
  <c r="O87" i="24"/>
  <c r="O88" i="24"/>
  <c r="O89" i="24"/>
  <c r="O90" i="24"/>
  <c r="O91" i="24"/>
  <c r="O92" i="24"/>
  <c r="O93" i="24"/>
  <c r="O94" i="24"/>
  <c r="O95" i="24"/>
  <c r="O96" i="24"/>
  <c r="O97" i="24"/>
  <c r="O98" i="24"/>
  <c r="O99" i="24"/>
  <c r="O100" i="24"/>
  <c r="O101" i="24"/>
  <c r="O102" i="24"/>
  <c r="O103" i="24"/>
  <c r="O104" i="24"/>
  <c r="O105" i="24"/>
  <c r="O106" i="24"/>
  <c r="O107" i="24"/>
  <c r="O108" i="24"/>
  <c r="O109" i="24"/>
  <c r="O110" i="24"/>
  <c r="O111" i="24"/>
  <c r="O112" i="24"/>
  <c r="O113" i="24"/>
  <c r="O114" i="24"/>
  <c r="O115" i="24"/>
  <c r="O116" i="24"/>
  <c r="O117" i="24"/>
  <c r="O118" i="24"/>
  <c r="O119" i="24"/>
  <c r="O120" i="24"/>
  <c r="O121" i="24"/>
  <c r="O122" i="24"/>
  <c r="O123" i="24"/>
  <c r="O124" i="24"/>
  <c r="O125" i="24"/>
  <c r="O126" i="24"/>
  <c r="O127" i="24"/>
  <c r="O128" i="24"/>
  <c r="O129" i="24"/>
  <c r="O130" i="24"/>
  <c r="O131" i="24"/>
  <c r="O132" i="24"/>
  <c r="O133" i="24"/>
  <c r="O134" i="24"/>
  <c r="O135" i="24"/>
  <c r="O136" i="24"/>
  <c r="O137" i="24"/>
  <c r="O138" i="24"/>
  <c r="O139" i="24"/>
  <c r="O140" i="24"/>
  <c r="O141" i="24"/>
  <c r="O142" i="24"/>
  <c r="O143" i="24"/>
  <c r="O144" i="24"/>
  <c r="O145" i="24"/>
  <c r="O146" i="24"/>
  <c r="O147" i="24"/>
  <c r="O148" i="24"/>
  <c r="O149" i="24"/>
  <c r="O150" i="24"/>
  <c r="O151" i="24"/>
  <c r="O152" i="24"/>
  <c r="O153" i="24"/>
  <c r="O154" i="24"/>
  <c r="O155" i="24"/>
  <c r="O156" i="24"/>
  <c r="O157" i="24"/>
  <c r="O158" i="24"/>
  <c r="O159" i="24"/>
  <c r="O160" i="24"/>
  <c r="O161" i="24"/>
  <c r="O162" i="24"/>
  <c r="O163" i="24"/>
  <c r="O164" i="24"/>
  <c r="O165" i="24"/>
  <c r="L133" i="37" l="1"/>
  <c r="E132" i="38"/>
  <c r="P132" i="36"/>
  <c r="E143" i="38"/>
  <c r="L144" i="37"/>
  <c r="P143" i="36"/>
  <c r="E83" i="38"/>
  <c r="L84" i="37"/>
  <c r="P83" i="36"/>
  <c r="L167" i="37"/>
  <c r="P166" i="36"/>
  <c r="E166" i="38"/>
  <c r="L95" i="37"/>
  <c r="P94" i="36"/>
  <c r="E94" i="38"/>
  <c r="L106" i="37"/>
  <c r="E105" i="38"/>
  <c r="P105" i="36"/>
  <c r="E104" i="38"/>
  <c r="L105" i="37"/>
  <c r="P104" i="36"/>
  <c r="E115" i="38"/>
  <c r="P115" i="36"/>
  <c r="L116" i="37"/>
  <c r="E103" i="38"/>
  <c r="L104" i="37"/>
  <c r="P103" i="36"/>
  <c r="E91" i="38"/>
  <c r="L92" i="37"/>
  <c r="P91" i="36"/>
  <c r="E79" i="38"/>
  <c r="P79" i="36"/>
  <c r="L80" i="37"/>
  <c r="E162" i="38"/>
  <c r="P162" i="36"/>
  <c r="L163" i="37"/>
  <c r="E150" i="38"/>
  <c r="L151" i="37"/>
  <c r="P150" i="36"/>
  <c r="E138" i="38"/>
  <c r="P138" i="36"/>
  <c r="L139" i="37"/>
  <c r="E126" i="38"/>
  <c r="L127" i="37"/>
  <c r="P126" i="36"/>
  <c r="E114" i="38"/>
  <c r="P114" i="36"/>
  <c r="L115" i="37"/>
  <c r="E102" i="38"/>
  <c r="L103" i="37"/>
  <c r="P102" i="36"/>
  <c r="E90" i="38"/>
  <c r="P90" i="36"/>
  <c r="L91" i="37"/>
  <c r="E78" i="38"/>
  <c r="L79" i="37"/>
  <c r="P78" i="36"/>
  <c r="L157" i="37"/>
  <c r="E156" i="38"/>
  <c r="P156" i="36"/>
  <c r="L97" i="37"/>
  <c r="E96" i="38"/>
  <c r="P96" i="36"/>
  <c r="E107" i="38"/>
  <c r="L108" i="37"/>
  <c r="P107" i="36"/>
  <c r="L107" i="37"/>
  <c r="E106" i="38"/>
  <c r="P106" i="36"/>
  <c r="P117" i="36"/>
  <c r="E117" i="38"/>
  <c r="L118" i="37"/>
  <c r="E140" i="38"/>
  <c r="L141" i="37"/>
  <c r="P140" i="36"/>
  <c r="E80" i="38"/>
  <c r="L81" i="37"/>
  <c r="P80" i="36"/>
  <c r="E163" i="38"/>
  <c r="P163" i="36"/>
  <c r="L164" i="37"/>
  <c r="P161" i="36"/>
  <c r="L162" i="37"/>
  <c r="E161" i="38"/>
  <c r="P101" i="36"/>
  <c r="L102" i="37"/>
  <c r="E101" i="38"/>
  <c r="E124" i="38"/>
  <c r="L125" i="37"/>
  <c r="P124" i="36"/>
  <c r="E88" i="38"/>
  <c r="P88" i="36"/>
  <c r="L89" i="37"/>
  <c r="E159" i="38"/>
  <c r="P159" i="36"/>
  <c r="L160" i="37"/>
  <c r="E147" i="38"/>
  <c r="P147" i="36"/>
  <c r="L148" i="37"/>
  <c r="E135" i="38"/>
  <c r="P135" i="36"/>
  <c r="L136" i="37"/>
  <c r="E123" i="38"/>
  <c r="P123" i="36"/>
  <c r="L124" i="37"/>
  <c r="E111" i="38"/>
  <c r="P111" i="36"/>
  <c r="L112" i="37"/>
  <c r="E99" i="38"/>
  <c r="P99" i="36"/>
  <c r="L100" i="37"/>
  <c r="E87" i="38"/>
  <c r="P87" i="36"/>
  <c r="L88" i="37"/>
  <c r="E75" i="38"/>
  <c r="P75" i="36"/>
  <c r="L76" i="37"/>
  <c r="L109" i="37"/>
  <c r="E108" i="38"/>
  <c r="P108" i="36"/>
  <c r="E119" i="38"/>
  <c r="L120" i="37"/>
  <c r="P119" i="36"/>
  <c r="L131" i="37"/>
  <c r="P130" i="36"/>
  <c r="E130" i="38"/>
  <c r="L71" i="37"/>
  <c r="E70" i="38"/>
  <c r="P70" i="36"/>
  <c r="P153" i="36"/>
  <c r="L154" i="37"/>
  <c r="E153" i="38"/>
  <c r="P81" i="36"/>
  <c r="L82" i="37"/>
  <c r="E81" i="38"/>
  <c r="E164" i="38"/>
  <c r="P164" i="36"/>
  <c r="L165" i="37"/>
  <c r="E116" i="38"/>
  <c r="P116" i="36"/>
  <c r="L117" i="37"/>
  <c r="E127" i="38"/>
  <c r="L128" i="37"/>
  <c r="P127" i="36"/>
  <c r="P125" i="36"/>
  <c r="L126" i="37"/>
  <c r="E125" i="38"/>
  <c r="E148" i="38"/>
  <c r="L149" i="37"/>
  <c r="P148" i="36"/>
  <c r="E76" i="38"/>
  <c r="L77" i="37"/>
  <c r="P76" i="36"/>
  <c r="P158" i="36"/>
  <c r="L159" i="37"/>
  <c r="E158" i="38"/>
  <c r="P146" i="36"/>
  <c r="L147" i="37"/>
  <c r="E146" i="38"/>
  <c r="P134" i="36"/>
  <c r="L135" i="37"/>
  <c r="E134" i="38"/>
  <c r="P122" i="36"/>
  <c r="L123" i="37"/>
  <c r="E122" i="38"/>
  <c r="P110" i="36"/>
  <c r="L111" i="37"/>
  <c r="E110" i="38"/>
  <c r="P98" i="36"/>
  <c r="L99" i="37"/>
  <c r="E98" i="38"/>
  <c r="P86" i="36"/>
  <c r="L87" i="37"/>
  <c r="E86" i="38"/>
  <c r="P74" i="36"/>
  <c r="L75" i="37"/>
  <c r="E74" i="38"/>
  <c r="L145" i="37"/>
  <c r="E144" i="38"/>
  <c r="P144" i="36"/>
  <c r="L121" i="37"/>
  <c r="E120" i="38"/>
  <c r="P120" i="36"/>
  <c r="L85" i="37"/>
  <c r="E84" i="38"/>
  <c r="P84" i="36"/>
  <c r="L73" i="37"/>
  <c r="E72" i="38"/>
  <c r="P72" i="36"/>
  <c r="E155" i="38"/>
  <c r="L156" i="37"/>
  <c r="P155" i="36"/>
  <c r="E131" i="38"/>
  <c r="L132" i="37"/>
  <c r="P131" i="36"/>
  <c r="E95" i="38"/>
  <c r="L96" i="37"/>
  <c r="P95" i="36"/>
  <c r="E71" i="38"/>
  <c r="L72" i="37"/>
  <c r="P71" i="36"/>
  <c r="L155" i="37"/>
  <c r="E154" i="38"/>
  <c r="P154" i="36"/>
  <c r="L143" i="37"/>
  <c r="E142" i="38"/>
  <c r="P142" i="36"/>
  <c r="L119" i="37"/>
  <c r="P118" i="36"/>
  <c r="E118" i="38"/>
  <c r="L83" i="37"/>
  <c r="P82" i="36"/>
  <c r="E82" i="38"/>
  <c r="P165" i="36"/>
  <c r="L166" i="37"/>
  <c r="E165" i="38"/>
  <c r="E141" i="38"/>
  <c r="L142" i="37"/>
  <c r="P141" i="36"/>
  <c r="P129" i="36"/>
  <c r="L130" i="37"/>
  <c r="E129" i="38"/>
  <c r="P93" i="36"/>
  <c r="L94" i="37"/>
  <c r="E93" i="38"/>
  <c r="E69" i="38"/>
  <c r="L70" i="37"/>
  <c r="P69" i="36"/>
  <c r="G2" i="24"/>
  <c r="G3" i="36"/>
  <c r="E152" i="38"/>
  <c r="L153" i="37"/>
  <c r="P152" i="36"/>
  <c r="E128" i="38"/>
  <c r="P128" i="36"/>
  <c r="L129" i="37"/>
  <c r="E92" i="38"/>
  <c r="P92" i="36"/>
  <c r="L93" i="37"/>
  <c r="M3" i="36"/>
  <c r="C4" i="37"/>
  <c r="E151" i="38"/>
  <c r="L152" i="37"/>
  <c r="P151" i="36"/>
  <c r="E139" i="38"/>
  <c r="L140" i="37"/>
  <c r="P139" i="36"/>
  <c r="P149" i="36"/>
  <c r="L150" i="37"/>
  <c r="E149" i="38"/>
  <c r="P137" i="36"/>
  <c r="E137" i="38"/>
  <c r="L138" i="37"/>
  <c r="P113" i="36"/>
  <c r="L114" i="37"/>
  <c r="E113" i="38"/>
  <c r="P89" i="36"/>
  <c r="L90" i="37"/>
  <c r="E89" i="38"/>
  <c r="P77" i="36"/>
  <c r="L78" i="37"/>
  <c r="E77" i="38"/>
  <c r="E160" i="38"/>
  <c r="L161" i="37"/>
  <c r="P160" i="36"/>
  <c r="E136" i="38"/>
  <c r="P136" i="36"/>
  <c r="L137" i="37"/>
  <c r="E112" i="38"/>
  <c r="P112" i="36"/>
  <c r="L113" i="37"/>
  <c r="E100" i="38"/>
  <c r="L101" i="37"/>
  <c r="P100" i="36"/>
  <c r="P157" i="36"/>
  <c r="L158" i="37"/>
  <c r="E157" i="38"/>
  <c r="P145" i="36"/>
  <c r="L146" i="37"/>
  <c r="E145" i="38"/>
  <c r="P133" i="36"/>
  <c r="L134" i="37"/>
  <c r="E133" i="38"/>
  <c r="P121" i="36"/>
  <c r="L122" i="37"/>
  <c r="E121" i="38"/>
  <c r="P109" i="36"/>
  <c r="L110" i="37"/>
  <c r="E109" i="38"/>
  <c r="P97" i="36"/>
  <c r="L98" i="37"/>
  <c r="E97" i="38"/>
  <c r="P85" i="36"/>
  <c r="L86" i="37"/>
  <c r="E85" i="38"/>
  <c r="P73" i="36"/>
  <c r="L74" i="37"/>
  <c r="E73" i="38"/>
  <c r="A3" i="38"/>
  <c r="I4" i="37"/>
  <c r="P68" i="36"/>
  <c r="L69" i="37"/>
  <c r="E68" i="38"/>
  <c r="H30" i="38"/>
  <c r="V30" i="36"/>
  <c r="F30" i="38"/>
  <c r="C30" i="38"/>
  <c r="M31" i="37"/>
  <c r="A31" i="37" s="1"/>
  <c r="F29" i="38"/>
  <c r="V29" i="36"/>
  <c r="H29" i="38"/>
  <c r="C29" i="38"/>
  <c r="M30" i="37"/>
  <c r="A30" i="37" s="1"/>
  <c r="C9" i="38"/>
  <c r="F9" i="38"/>
  <c r="H9" i="38"/>
  <c r="V9" i="36"/>
  <c r="M10" i="37"/>
  <c r="A10" i="37" s="1"/>
  <c r="V56" i="36"/>
  <c r="M57" i="37"/>
  <c r="A57" i="37" s="1"/>
  <c r="F56" i="38"/>
  <c r="C56" i="38"/>
  <c r="H56" i="38"/>
  <c r="H55" i="38"/>
  <c r="M56" i="37"/>
  <c r="A56" i="37" s="1"/>
  <c r="F55" i="38"/>
  <c r="C55" i="38"/>
  <c r="V55" i="36"/>
  <c r="C62" i="38"/>
  <c r="M63" i="37"/>
  <c r="A63" i="37" s="1"/>
  <c r="F62" i="38"/>
  <c r="H62" i="38"/>
  <c r="V62" i="36"/>
  <c r="M62" i="37"/>
  <c r="A62" i="37" s="1"/>
  <c r="V61" i="36"/>
  <c r="F61" i="38"/>
  <c r="H61" i="38"/>
  <c r="C61" i="38"/>
  <c r="V58" i="36"/>
  <c r="C58" i="38"/>
  <c r="H58" i="38"/>
  <c r="F58" i="38"/>
  <c r="M59" i="37"/>
  <c r="A59" i="37" s="1"/>
  <c r="H49" i="38"/>
  <c r="V49" i="36"/>
  <c r="M50" i="37"/>
  <c r="A50" i="37" s="1"/>
  <c r="C49" i="38"/>
  <c r="F49" i="38"/>
  <c r="C50" i="38"/>
  <c r="H50" i="38"/>
  <c r="M51" i="37"/>
  <c r="A51" i="37" s="1"/>
  <c r="V50" i="36"/>
  <c r="F50" i="38"/>
  <c r="V43" i="36"/>
  <c r="C43" i="38"/>
  <c r="F43" i="38"/>
  <c r="H43" i="38"/>
  <c r="M44" i="37"/>
  <c r="A44" i="37" s="1"/>
  <c r="J59" i="24"/>
  <c r="K22" i="21"/>
  <c r="J56" i="24"/>
  <c r="K21" i="21"/>
  <c r="J30" i="24"/>
  <c r="N28" i="19"/>
  <c r="J27" i="24"/>
  <c r="N26" i="19"/>
  <c r="J24" i="24"/>
  <c r="N25" i="19"/>
  <c r="J47" i="24"/>
  <c r="J46" i="24"/>
  <c r="J45" i="24"/>
  <c r="K10" i="21"/>
  <c r="J9" i="24"/>
  <c r="J11" i="24"/>
  <c r="J6" i="24"/>
  <c r="N11" i="19"/>
  <c r="J4" i="24"/>
  <c r="N10" i="19"/>
  <c r="J23" i="24"/>
  <c r="N24" i="19"/>
  <c r="N35" i="19" s="1"/>
  <c r="J3" i="24"/>
  <c r="J31" i="24"/>
  <c r="J25" i="24"/>
  <c r="J7" i="24"/>
  <c r="J10" i="24"/>
  <c r="J22" i="24"/>
  <c r="J43" i="24"/>
  <c r="K9" i="21"/>
  <c r="J58" i="24"/>
  <c r="J44" i="24"/>
  <c r="J26" i="24"/>
  <c r="J5" i="24"/>
  <c r="J2" i="24"/>
  <c r="K27" i="21" l="1"/>
  <c r="K16" i="21"/>
  <c r="A3" i="36"/>
  <c r="E4" i="37"/>
  <c r="V25" i="36"/>
  <c r="C25" i="38"/>
  <c r="F25" i="38"/>
  <c r="M26" i="37"/>
  <c r="A26" i="37" s="1"/>
  <c r="H25" i="38"/>
  <c r="C28" i="38"/>
  <c r="V28" i="36"/>
  <c r="M29" i="37"/>
  <c r="A29" i="37" s="1"/>
  <c r="F28" i="38"/>
  <c r="H28" i="38"/>
  <c r="V31" i="36"/>
  <c r="C31" i="38"/>
  <c r="F31" i="38"/>
  <c r="H31" i="38"/>
  <c r="M32" i="37"/>
  <c r="A32" i="37" s="1"/>
  <c r="H26" i="38"/>
  <c r="V26" i="36"/>
  <c r="M27" i="37"/>
  <c r="A27" i="37" s="1"/>
  <c r="C26" i="38"/>
  <c r="F26" i="38"/>
  <c r="M33" i="37"/>
  <c r="A33" i="37" s="1"/>
  <c r="F32" i="38"/>
  <c r="H32" i="38"/>
  <c r="V32" i="36"/>
  <c r="C32" i="38"/>
  <c r="C27" i="38"/>
  <c r="M28" i="37"/>
  <c r="A28" i="37" s="1"/>
  <c r="F27" i="38"/>
  <c r="H27" i="38"/>
  <c r="V27" i="36"/>
  <c r="F23" i="38"/>
  <c r="M24" i="37"/>
  <c r="A24" i="37" s="1"/>
  <c r="V23" i="36"/>
  <c r="C23" i="38"/>
  <c r="H23" i="38"/>
  <c r="H24" i="38"/>
  <c r="M25" i="37"/>
  <c r="A25" i="37" s="1"/>
  <c r="C24" i="38"/>
  <c r="F24" i="38"/>
  <c r="V24" i="36"/>
  <c r="V5" i="36"/>
  <c r="M6" i="37"/>
  <c r="A6" i="37" s="1"/>
  <c r="C5" i="38"/>
  <c r="F5" i="38"/>
  <c r="H5" i="38"/>
  <c r="C7" i="38"/>
  <c r="V7" i="36"/>
  <c r="F7" i="38"/>
  <c r="H7" i="38"/>
  <c r="M8" i="37"/>
  <c r="A8" i="37" s="1"/>
  <c r="F11" i="38"/>
  <c r="H11" i="38"/>
  <c r="V11" i="36"/>
  <c r="M12" i="37"/>
  <c r="A12" i="37" s="1"/>
  <c r="C11" i="38"/>
  <c r="C12" i="38"/>
  <c r="F12" i="38"/>
  <c r="H12" i="38"/>
  <c r="V12" i="36"/>
  <c r="M13" i="37"/>
  <c r="A13" i="37" s="1"/>
  <c r="V8" i="36"/>
  <c r="M9" i="37"/>
  <c r="A9" i="37" s="1"/>
  <c r="C8" i="38"/>
  <c r="F8" i="38"/>
  <c r="H8" i="38"/>
  <c r="C10" i="38"/>
  <c r="V10" i="36"/>
  <c r="F10" i="38"/>
  <c r="H10" i="38"/>
  <c r="M11" i="37"/>
  <c r="A11" i="37" s="1"/>
  <c r="H3" i="38"/>
  <c r="F3" i="38"/>
  <c r="H6" i="38"/>
  <c r="V6" i="36"/>
  <c r="M7" i="37"/>
  <c r="A7" i="37" s="1"/>
  <c r="C6" i="38"/>
  <c r="F6" i="38"/>
  <c r="H59" i="38"/>
  <c r="C59" i="38"/>
  <c r="M60" i="37"/>
  <c r="A60" i="37" s="1"/>
  <c r="F59" i="38"/>
  <c r="V59" i="36"/>
  <c r="C57" i="38"/>
  <c r="F57" i="38"/>
  <c r="V57" i="36"/>
  <c r="M58" i="37"/>
  <c r="A58" i="37" s="1"/>
  <c r="H57" i="38"/>
  <c r="C60" i="38"/>
  <c r="F60" i="38"/>
  <c r="V60" i="36"/>
  <c r="H60" i="38"/>
  <c r="M61" i="37"/>
  <c r="A61" i="37" s="1"/>
  <c r="M46" i="37"/>
  <c r="A46" i="37" s="1"/>
  <c r="C45" i="38"/>
  <c r="V45" i="36"/>
  <c r="F45" i="38"/>
  <c r="H45" i="38"/>
  <c r="F47" i="38"/>
  <c r="C47" i="38"/>
  <c r="H47" i="38"/>
  <c r="M48" i="37"/>
  <c r="A48" i="37" s="1"/>
  <c r="V47" i="36"/>
  <c r="F46" i="38"/>
  <c r="H46" i="38"/>
  <c r="M47" i="37"/>
  <c r="A47" i="37" s="1"/>
  <c r="V46" i="36"/>
  <c r="C46" i="38"/>
  <c r="V48" i="36"/>
  <c r="M49" i="37"/>
  <c r="A49" i="37" s="1"/>
  <c r="C48" i="38"/>
  <c r="H48" i="38"/>
  <c r="F48" i="38"/>
  <c r="M45" i="37"/>
  <c r="A45" i="37" s="1"/>
  <c r="V44" i="36"/>
  <c r="H44" i="38"/>
  <c r="C44" i="38"/>
  <c r="F44" i="38"/>
  <c r="C3" i="38"/>
  <c r="V3" i="36"/>
  <c r="M4" i="37"/>
  <c r="A4" i="37" s="1"/>
  <c r="G4" i="37" s="1"/>
  <c r="V4" i="36"/>
  <c r="C4" i="38"/>
  <c r="F4" i="38"/>
  <c r="H4" i="38"/>
  <c r="M5" i="37"/>
  <c r="A5" i="37" s="1"/>
  <c r="O114" i="32"/>
  <c r="O113" i="32"/>
  <c r="O112" i="32"/>
  <c r="O9" i="32"/>
  <c r="O8" i="32"/>
  <c r="O7" i="32"/>
  <c r="N115" i="32"/>
  <c r="M115" i="32"/>
  <c r="L115" i="32"/>
  <c r="K115" i="32"/>
  <c r="J115" i="32"/>
  <c r="I115" i="32"/>
  <c r="H115" i="32"/>
  <c r="G115" i="32"/>
  <c r="F115" i="32"/>
  <c r="E115" i="32"/>
  <c r="D115" i="32"/>
  <c r="C115" i="32"/>
  <c r="N108" i="32"/>
  <c r="M108" i="32"/>
  <c r="L108" i="32"/>
  <c r="K108" i="32"/>
  <c r="J108" i="32"/>
  <c r="I108" i="32"/>
  <c r="H108" i="32"/>
  <c r="G108" i="32"/>
  <c r="F108" i="32"/>
  <c r="E108" i="32"/>
  <c r="D108" i="32"/>
  <c r="C108" i="32"/>
  <c r="O107" i="32"/>
  <c r="O106" i="32"/>
  <c r="O105" i="32"/>
  <c r="N101" i="32"/>
  <c r="M101" i="32"/>
  <c r="L101" i="32"/>
  <c r="K101" i="32"/>
  <c r="J101" i="32"/>
  <c r="I101" i="32"/>
  <c r="H101" i="32"/>
  <c r="G101" i="32"/>
  <c r="F101" i="32"/>
  <c r="E101" i="32"/>
  <c r="D101" i="32"/>
  <c r="C101" i="32"/>
  <c r="O100" i="32"/>
  <c r="O99" i="32"/>
  <c r="O98" i="32"/>
  <c r="O101" i="32" s="1"/>
  <c r="N94" i="32"/>
  <c r="M94" i="32"/>
  <c r="L94" i="32"/>
  <c r="K94" i="32"/>
  <c r="J94" i="32"/>
  <c r="I94" i="32"/>
  <c r="H94" i="32"/>
  <c r="G94" i="32"/>
  <c r="F94" i="32"/>
  <c r="E94" i="32"/>
  <c r="D94" i="32"/>
  <c r="C94" i="32"/>
  <c r="O93" i="32"/>
  <c r="O92" i="32"/>
  <c r="O91" i="32"/>
  <c r="N87" i="32"/>
  <c r="M87" i="32"/>
  <c r="L87" i="32"/>
  <c r="K87" i="32"/>
  <c r="J87" i="32"/>
  <c r="I87" i="32"/>
  <c r="H87" i="32"/>
  <c r="G87" i="32"/>
  <c r="F87" i="32"/>
  <c r="E87" i="32"/>
  <c r="D87" i="32"/>
  <c r="C87" i="32"/>
  <c r="O86" i="32"/>
  <c r="O85" i="32"/>
  <c r="O84" i="32"/>
  <c r="N80" i="32"/>
  <c r="M80" i="32"/>
  <c r="L80" i="32"/>
  <c r="K80" i="32"/>
  <c r="J80" i="32"/>
  <c r="I80" i="32"/>
  <c r="H80" i="32"/>
  <c r="G80" i="32"/>
  <c r="F80" i="32"/>
  <c r="E80" i="32"/>
  <c r="D80" i="32"/>
  <c r="C80" i="32"/>
  <c r="O79" i="32"/>
  <c r="O78" i="32"/>
  <c r="O77" i="32"/>
  <c r="N73" i="32"/>
  <c r="M73" i="32"/>
  <c r="L73" i="32"/>
  <c r="K73" i="32"/>
  <c r="J73" i="32"/>
  <c r="I73" i="32"/>
  <c r="H73" i="32"/>
  <c r="G73" i="32"/>
  <c r="F73" i="32"/>
  <c r="E73" i="32"/>
  <c r="D73" i="32"/>
  <c r="C73" i="32"/>
  <c r="O72" i="32"/>
  <c r="O71" i="32"/>
  <c r="O70" i="32"/>
  <c r="O73" i="32" s="1"/>
  <c r="N66" i="32"/>
  <c r="M66" i="32"/>
  <c r="L66" i="32"/>
  <c r="K66" i="32"/>
  <c r="J66" i="32"/>
  <c r="I66" i="32"/>
  <c r="H66" i="32"/>
  <c r="G66" i="32"/>
  <c r="F66" i="32"/>
  <c r="E66" i="32"/>
  <c r="D66" i="32"/>
  <c r="C66" i="32"/>
  <c r="O65" i="32"/>
  <c r="O64" i="32"/>
  <c r="O63" i="32"/>
  <c r="N59" i="32"/>
  <c r="M59" i="32"/>
  <c r="L59" i="32"/>
  <c r="K59" i="32"/>
  <c r="J59" i="32"/>
  <c r="I59" i="32"/>
  <c r="H59" i="32"/>
  <c r="G59" i="32"/>
  <c r="F59" i="32"/>
  <c r="E59" i="32"/>
  <c r="D59" i="32"/>
  <c r="C59" i="32"/>
  <c r="O58" i="32"/>
  <c r="O57" i="32"/>
  <c r="O56" i="32"/>
  <c r="O59" i="32" s="1"/>
  <c r="N52" i="32"/>
  <c r="M52" i="32"/>
  <c r="L52" i="32"/>
  <c r="K52" i="32"/>
  <c r="J52" i="32"/>
  <c r="I52" i="32"/>
  <c r="H52" i="32"/>
  <c r="G52" i="32"/>
  <c r="F52" i="32"/>
  <c r="E52" i="32"/>
  <c r="D52" i="32"/>
  <c r="C52" i="32"/>
  <c r="O51" i="32"/>
  <c r="O50" i="32"/>
  <c r="O49" i="32"/>
  <c r="N45" i="32"/>
  <c r="M45" i="32"/>
  <c r="L45" i="32"/>
  <c r="K45" i="32"/>
  <c r="J45" i="32"/>
  <c r="I45" i="32"/>
  <c r="H45" i="32"/>
  <c r="G45" i="32"/>
  <c r="F45" i="32"/>
  <c r="E45" i="32"/>
  <c r="D45" i="32"/>
  <c r="C45" i="32"/>
  <c r="O44" i="32"/>
  <c r="O43" i="32"/>
  <c r="O42" i="32"/>
  <c r="N38" i="32"/>
  <c r="M38" i="32"/>
  <c r="L38" i="32"/>
  <c r="K38" i="32"/>
  <c r="J38" i="32"/>
  <c r="I38" i="32"/>
  <c r="H38" i="32"/>
  <c r="G38" i="32"/>
  <c r="F38" i="32"/>
  <c r="E38" i="32"/>
  <c r="D38" i="32"/>
  <c r="C38" i="32"/>
  <c r="O37" i="32"/>
  <c r="O36" i="32"/>
  <c r="O35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O30" i="32"/>
  <c r="O29" i="32"/>
  <c r="O28" i="32"/>
  <c r="O31" i="32" s="1"/>
  <c r="N24" i="32"/>
  <c r="M24" i="32"/>
  <c r="L24" i="32"/>
  <c r="K24" i="32"/>
  <c r="J24" i="32"/>
  <c r="I24" i="32"/>
  <c r="H24" i="32"/>
  <c r="G24" i="32"/>
  <c r="F24" i="32"/>
  <c r="E24" i="32"/>
  <c r="D24" i="32"/>
  <c r="C24" i="32"/>
  <c r="O23" i="32"/>
  <c r="O22" i="32"/>
  <c r="O21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O16" i="32"/>
  <c r="O15" i="32"/>
  <c r="O14" i="32"/>
  <c r="O17" i="32" s="1"/>
  <c r="N10" i="32"/>
  <c r="M10" i="32"/>
  <c r="L10" i="32"/>
  <c r="K10" i="32"/>
  <c r="J10" i="32"/>
  <c r="I10" i="32"/>
  <c r="H10" i="32"/>
  <c r="G10" i="32"/>
  <c r="F10" i="32"/>
  <c r="E10" i="32"/>
  <c r="E118" i="32" s="1"/>
  <c r="D10" i="32"/>
  <c r="D118" i="32" s="1"/>
  <c r="C10" i="32"/>
  <c r="C118" i="32" s="1"/>
  <c r="B117" i="32"/>
  <c r="O117" i="32" s="1"/>
  <c r="O87" i="32" l="1"/>
  <c r="O52" i="32"/>
  <c r="O66" i="32"/>
  <c r="O80" i="32"/>
  <c r="O94" i="32"/>
  <c r="O45" i="32"/>
  <c r="O38" i="32"/>
  <c r="O24" i="32"/>
  <c r="H118" i="32"/>
  <c r="O108" i="32"/>
  <c r="F118" i="32"/>
  <c r="G118" i="32"/>
  <c r="J118" i="32"/>
  <c r="K118" i="32"/>
  <c r="N118" i="32"/>
  <c r="M118" i="32"/>
  <c r="L118" i="32"/>
  <c r="I118" i="32"/>
  <c r="O115" i="32"/>
  <c r="G5" i="37"/>
  <c r="G6" i="37" s="1"/>
  <c r="G7" i="37" s="1"/>
  <c r="G8" i="37" s="1"/>
  <c r="G9" i="37" s="1"/>
  <c r="G10" i="37" s="1"/>
  <c r="G11" i="37" s="1"/>
  <c r="G12" i="37" s="1"/>
  <c r="G13" i="37" s="1"/>
  <c r="G14" i="37" s="1"/>
  <c r="G15" i="37" s="1"/>
  <c r="G16" i="37" s="1"/>
  <c r="G17" i="37" s="1"/>
  <c r="G18" i="37" s="1"/>
  <c r="G19" i="37" s="1"/>
  <c r="G20" i="37" s="1"/>
  <c r="G21" i="37" s="1"/>
  <c r="G22" i="37" s="1"/>
  <c r="G23" i="37" s="1"/>
  <c r="G24" i="37" s="1"/>
  <c r="G25" i="37" s="1"/>
  <c r="G26" i="37" s="1"/>
  <c r="G27" i="37" s="1"/>
  <c r="G28" i="37" s="1"/>
  <c r="G29" i="37" s="1"/>
  <c r="G30" i="37" s="1"/>
  <c r="G31" i="37" s="1"/>
  <c r="G32" i="37" s="1"/>
  <c r="G33" i="37" s="1"/>
  <c r="G34" i="37" s="1"/>
  <c r="G35" i="37" s="1"/>
  <c r="G36" i="37" s="1"/>
  <c r="G37" i="37" s="1"/>
  <c r="G38" i="37" s="1"/>
  <c r="G39" i="37" s="1"/>
  <c r="G40" i="37" s="1"/>
  <c r="G41" i="37" s="1"/>
  <c r="G42" i="37" s="1"/>
  <c r="G43" i="37" s="1"/>
  <c r="G44" i="37" s="1"/>
  <c r="G45" i="37" s="1"/>
  <c r="G46" i="37" s="1"/>
  <c r="G47" i="37" s="1"/>
  <c r="G48" i="37" s="1"/>
  <c r="G49" i="37" s="1"/>
  <c r="G50" i="37" s="1"/>
  <c r="G51" i="37" s="1"/>
  <c r="G52" i="37" s="1"/>
  <c r="G53" i="37" s="1"/>
  <c r="G54" i="37" s="1"/>
  <c r="G55" i="37" s="1"/>
  <c r="G56" i="37" s="1"/>
  <c r="G57" i="37" s="1"/>
  <c r="G58" i="37" s="1"/>
  <c r="G59" i="37" s="1"/>
  <c r="G60" i="37" s="1"/>
  <c r="G61" i="37" s="1"/>
  <c r="G62" i="37" s="1"/>
  <c r="G63" i="37" s="1"/>
  <c r="G64" i="37" s="1"/>
  <c r="G65" i="37" s="1"/>
  <c r="G66" i="37" s="1"/>
  <c r="G67" i="37" s="1"/>
  <c r="O60" i="24"/>
  <c r="O61" i="24"/>
  <c r="O58" i="24"/>
  <c r="O59" i="24"/>
  <c r="O57" i="24"/>
  <c r="O56" i="24"/>
  <c r="O55" i="24"/>
  <c r="O54" i="24"/>
  <c r="O27" i="24"/>
  <c r="O26" i="24"/>
  <c r="O29" i="24"/>
  <c r="O28" i="24"/>
  <c r="O25" i="24"/>
  <c r="O24" i="24"/>
  <c r="O31" i="24"/>
  <c r="O30" i="24"/>
  <c r="B18" i="27"/>
  <c r="B37" i="27"/>
  <c r="O48" i="24"/>
  <c r="O49" i="24"/>
  <c r="B36" i="27"/>
  <c r="B17" i="27"/>
  <c r="O47" i="24"/>
  <c r="O46" i="24"/>
  <c r="B35" i="27"/>
  <c r="B16" i="27"/>
  <c r="O45" i="24"/>
  <c r="O44" i="24"/>
  <c r="B34" i="27"/>
  <c r="K63" i="24" s="1"/>
  <c r="O43" i="24"/>
  <c r="O42" i="24"/>
  <c r="B15" i="27"/>
  <c r="B25" i="27"/>
  <c r="O5" i="24"/>
  <c r="O4" i="24"/>
  <c r="B6" i="27"/>
  <c r="B26" i="27"/>
  <c r="O7" i="24"/>
  <c r="O6" i="24"/>
  <c r="B7" i="27"/>
  <c r="B27" i="27"/>
  <c r="O9" i="24"/>
  <c r="O8" i="24"/>
  <c r="B8" i="27"/>
  <c r="B28" i="27"/>
  <c r="O10" i="24"/>
  <c r="O11" i="24"/>
  <c r="B9" i="27"/>
  <c r="B24" i="27"/>
  <c r="O3" i="24"/>
  <c r="O2" i="24"/>
  <c r="B5" i="27"/>
  <c r="O10" i="32"/>
  <c r="O118" i="32" l="1"/>
  <c r="O120" i="32" s="1"/>
  <c r="O125" i="32" s="1"/>
  <c r="K31" i="24"/>
  <c r="K27" i="24"/>
  <c r="K29" i="24"/>
  <c r="K25" i="24"/>
  <c r="K11" i="24"/>
  <c r="K9" i="24"/>
  <c r="K7" i="24"/>
  <c r="K5" i="24"/>
  <c r="K59" i="24"/>
  <c r="K57" i="24"/>
  <c r="K61" i="24"/>
  <c r="K49" i="24"/>
  <c r="K47" i="24"/>
  <c r="K45" i="24"/>
  <c r="K53" i="24"/>
  <c r="K3" i="24"/>
  <c r="B4" i="38" s="1"/>
  <c r="K21" i="24"/>
  <c r="O22" i="36" s="1"/>
  <c r="K43" i="24"/>
  <c r="B44" i="38" s="1"/>
  <c r="K55" i="24"/>
  <c r="K23" i="24"/>
  <c r="K41" i="24"/>
  <c r="K65" i="24"/>
  <c r="E57" i="38"/>
  <c r="L58" i="37"/>
  <c r="P57" i="36"/>
  <c r="L59" i="37"/>
  <c r="P58" i="36"/>
  <c r="E58" i="38"/>
  <c r="E60" i="38"/>
  <c r="L61" i="37"/>
  <c r="P60" i="36"/>
  <c r="L60" i="37"/>
  <c r="P59" i="36"/>
  <c r="E59" i="38"/>
  <c r="E62" i="38"/>
  <c r="L63" i="37"/>
  <c r="P62" i="36"/>
  <c r="L62" i="37"/>
  <c r="P61" i="36"/>
  <c r="E61" i="38"/>
  <c r="E55" i="38"/>
  <c r="L56" i="37"/>
  <c r="P55" i="36"/>
  <c r="L57" i="37"/>
  <c r="P56" i="36"/>
  <c r="E56" i="38"/>
  <c r="E45" i="38"/>
  <c r="P45" i="36"/>
  <c r="L46" i="37"/>
  <c r="E47" i="38"/>
  <c r="P47" i="36"/>
  <c r="L48" i="37"/>
  <c r="E50" i="38"/>
  <c r="P50" i="36"/>
  <c r="L51" i="37"/>
  <c r="E49" i="38"/>
  <c r="P49" i="36"/>
  <c r="L50" i="37"/>
  <c r="E48" i="38"/>
  <c r="P48" i="36"/>
  <c r="L49" i="37"/>
  <c r="P46" i="36"/>
  <c r="E46" i="38"/>
  <c r="L47" i="37"/>
  <c r="E44" i="38"/>
  <c r="L45" i="37"/>
  <c r="P44" i="36"/>
  <c r="E43" i="38"/>
  <c r="P43" i="36"/>
  <c r="L44" i="37"/>
  <c r="L25" i="37"/>
  <c r="P24" i="36"/>
  <c r="E24" i="38"/>
  <c r="E25" i="38"/>
  <c r="L26" i="37"/>
  <c r="P25" i="36"/>
  <c r="L27" i="37"/>
  <c r="E26" i="38"/>
  <c r="P26" i="36"/>
  <c r="E23" i="38"/>
  <c r="L24" i="37"/>
  <c r="P23" i="36"/>
  <c r="E29" i="38"/>
  <c r="L30" i="37"/>
  <c r="P29" i="36"/>
  <c r="E30" i="38"/>
  <c r="L31" i="37"/>
  <c r="P30" i="36"/>
  <c r="E27" i="38"/>
  <c r="L28" i="37"/>
  <c r="P27" i="36"/>
  <c r="E28" i="38"/>
  <c r="L29" i="37"/>
  <c r="P28" i="36"/>
  <c r="P31" i="36"/>
  <c r="E31" i="38"/>
  <c r="L32" i="37"/>
  <c r="P32" i="36"/>
  <c r="E32" i="38"/>
  <c r="L33" i="37"/>
  <c r="L12" i="37"/>
  <c r="P11" i="36"/>
  <c r="E11" i="38"/>
  <c r="P10" i="36"/>
  <c r="E10" i="38"/>
  <c r="L11" i="37"/>
  <c r="P7" i="36"/>
  <c r="E7" i="38"/>
  <c r="L8" i="37"/>
  <c r="E8" i="38"/>
  <c r="P8" i="36"/>
  <c r="L9" i="37"/>
  <c r="P9" i="36"/>
  <c r="E9" i="38"/>
  <c r="L10" i="37"/>
  <c r="L6" i="37"/>
  <c r="E5" i="38"/>
  <c r="P5" i="36"/>
  <c r="E6" i="38"/>
  <c r="P6" i="36"/>
  <c r="L7" i="37"/>
  <c r="L13" i="37"/>
  <c r="P12" i="36"/>
  <c r="E12" i="38"/>
  <c r="L4" i="37"/>
  <c r="E3" i="38"/>
  <c r="P3" i="36"/>
  <c r="P4" i="36"/>
  <c r="E4" i="38"/>
  <c r="L5" i="37"/>
  <c r="B6" i="38" l="1"/>
  <c r="O6" i="36"/>
  <c r="H7" i="37"/>
  <c r="O8" i="36"/>
  <c r="B8" i="38"/>
  <c r="H9" i="37"/>
  <c r="H11" i="37"/>
  <c r="O10" i="36"/>
  <c r="B10" i="38"/>
  <c r="H13" i="37"/>
  <c r="O12" i="36"/>
  <c r="B12" i="38"/>
  <c r="O44" i="36"/>
  <c r="H45" i="37"/>
  <c r="B22" i="38"/>
  <c r="H23" i="37"/>
  <c r="O4" i="36"/>
  <c r="H5" i="37"/>
  <c r="O28" i="36"/>
  <c r="H29" i="37"/>
  <c r="B28" i="38"/>
  <c r="B32" i="38"/>
  <c r="H33" i="37"/>
  <c r="O32" i="36"/>
  <c r="H27" i="37"/>
  <c r="O26" i="36"/>
  <c r="B26" i="38"/>
  <c r="H31" i="37"/>
  <c r="B30" i="38"/>
  <c r="O30" i="36"/>
  <c r="B34" i="38"/>
  <c r="O34" i="36"/>
  <c r="H35" i="37"/>
  <c r="H43" i="37"/>
  <c r="B42" i="38"/>
  <c r="O42" i="36"/>
  <c r="B36" i="38"/>
  <c r="O36" i="36"/>
  <c r="H37" i="37"/>
  <c r="H39" i="37"/>
  <c r="O38" i="36"/>
  <c r="B38" i="38"/>
  <c r="O40" i="36"/>
  <c r="H41" i="37"/>
  <c r="B40" i="38"/>
  <c r="B24" i="38"/>
  <c r="O24" i="36"/>
  <c r="H25" i="37"/>
  <c r="B52" i="38"/>
  <c r="O52" i="36"/>
  <c r="H53" i="37"/>
  <c r="O50" i="36"/>
  <c r="B50" i="38"/>
  <c r="H51" i="37"/>
  <c r="O56" i="36"/>
  <c r="B56" i="38"/>
  <c r="H57" i="37"/>
  <c r="O62" i="36"/>
  <c r="B62" i="38"/>
  <c r="H63" i="37"/>
  <c r="O54" i="36"/>
  <c r="B54" i="38"/>
  <c r="H55" i="37"/>
  <c r="B58" i="38"/>
  <c r="H59" i="37"/>
  <c r="O58" i="36"/>
  <c r="B64" i="38"/>
  <c r="H65" i="37"/>
  <c r="O64" i="36"/>
  <c r="B46" i="38"/>
  <c r="H47" i="37"/>
  <c r="O46" i="36"/>
  <c r="O48" i="36"/>
  <c r="H49" i="37"/>
  <c r="B48" i="38"/>
  <c r="H67" i="37"/>
  <c r="O66" i="36"/>
  <c r="B66" i="38"/>
  <c r="O60" i="36"/>
  <c r="H61" i="37"/>
  <c r="B60" i="38"/>
  <c r="H7" i="30" l="1"/>
  <c r="I7" i="30" s="1"/>
  <c r="H8" i="30"/>
  <c r="I8" i="30" s="1"/>
  <c r="H9" i="30"/>
  <c r="I9" i="30" s="1"/>
  <c r="H10" i="30"/>
  <c r="I10" i="30" s="1"/>
  <c r="H11" i="30"/>
  <c r="I11" i="30" s="1"/>
  <c r="H12" i="30"/>
  <c r="I12" i="30" s="1"/>
  <c r="H13" i="30"/>
  <c r="I13" i="30" s="1"/>
  <c r="H14" i="30"/>
  <c r="I14" i="30" s="1"/>
  <c r="H15" i="30"/>
  <c r="I15" i="30" s="1"/>
  <c r="H16" i="30"/>
  <c r="I16" i="30" s="1"/>
  <c r="H17" i="30"/>
  <c r="I17" i="30" s="1"/>
  <c r="H18" i="30"/>
  <c r="I18" i="30" s="1"/>
  <c r="H19" i="30"/>
  <c r="I19" i="30" s="1"/>
  <c r="K19" i="30" s="1"/>
  <c r="H20" i="30"/>
  <c r="I20" i="30" s="1"/>
  <c r="H21" i="30"/>
  <c r="I21" i="30" s="1"/>
  <c r="H22" i="30"/>
  <c r="I22" i="30" s="1"/>
  <c r="H23" i="30"/>
  <c r="I23" i="30" s="1"/>
  <c r="H24" i="30"/>
  <c r="I24" i="30" s="1"/>
  <c r="H25" i="30"/>
  <c r="I25" i="30" s="1"/>
  <c r="H26" i="30"/>
  <c r="I26" i="30" s="1"/>
  <c r="I27" i="30"/>
  <c r="H29" i="30"/>
  <c r="I29" i="30" s="1"/>
  <c r="H30" i="30"/>
  <c r="I30" i="30" s="1"/>
  <c r="H31" i="30"/>
  <c r="I31" i="30" s="1"/>
  <c r="H32" i="30"/>
  <c r="I32" i="30" s="1"/>
  <c r="H33" i="30"/>
  <c r="I33" i="30" s="1"/>
  <c r="H34" i="30"/>
  <c r="I34" i="30" s="1"/>
  <c r="H35" i="30"/>
  <c r="I35" i="30" s="1"/>
  <c r="H36" i="30"/>
  <c r="I36" i="30" s="1"/>
  <c r="H37" i="30"/>
  <c r="I37" i="30" s="1"/>
  <c r="H38" i="30"/>
  <c r="I38" i="30" s="1"/>
  <c r="H39" i="30"/>
  <c r="I39" i="30" s="1"/>
  <c r="H40" i="30"/>
  <c r="I40" i="30" s="1"/>
  <c r="H41" i="30"/>
  <c r="I41" i="30" s="1"/>
  <c r="H42" i="30"/>
  <c r="I42" i="30" s="1"/>
  <c r="H43" i="30"/>
  <c r="I43" i="30" s="1"/>
  <c r="H44" i="30"/>
  <c r="I44" i="30" s="1"/>
  <c r="H45" i="30"/>
  <c r="I45" i="30" s="1"/>
  <c r="H46" i="30"/>
  <c r="I46" i="30" s="1"/>
  <c r="H47" i="30"/>
  <c r="I47" i="30" s="1"/>
  <c r="H48" i="30"/>
  <c r="I48" i="30" s="1"/>
  <c r="H49" i="30"/>
  <c r="I49" i="30" s="1"/>
  <c r="H60" i="30"/>
  <c r="I60" i="30" s="1"/>
  <c r="K60" i="30" s="1"/>
  <c r="I6" i="30"/>
  <c r="J162" i="24" l="1"/>
  <c r="J163" i="24"/>
  <c r="J130" i="24"/>
  <c r="J131" i="24"/>
  <c r="J98" i="24"/>
  <c r="J99" i="24"/>
  <c r="J128" i="24"/>
  <c r="J129" i="24"/>
  <c r="J96" i="24"/>
  <c r="J97" i="24"/>
  <c r="J158" i="24"/>
  <c r="J159" i="24"/>
  <c r="J126" i="24"/>
  <c r="J127" i="24"/>
  <c r="J94" i="24"/>
  <c r="J95" i="24"/>
  <c r="J154" i="24"/>
  <c r="J155" i="24"/>
  <c r="J122" i="24"/>
  <c r="J123" i="24"/>
  <c r="J90" i="24"/>
  <c r="J91" i="24"/>
  <c r="J152" i="24"/>
  <c r="J153" i="24"/>
  <c r="J120" i="24"/>
  <c r="J121" i="24"/>
  <c r="J88" i="24"/>
  <c r="J89" i="24"/>
  <c r="J156" i="24"/>
  <c r="J157" i="24"/>
  <c r="J150" i="24"/>
  <c r="J151" i="24"/>
  <c r="J118" i="24"/>
  <c r="J119" i="24"/>
  <c r="J86" i="24"/>
  <c r="J87" i="24"/>
  <c r="J92" i="24"/>
  <c r="J93" i="24"/>
  <c r="J148" i="24"/>
  <c r="J149" i="24"/>
  <c r="J116" i="24"/>
  <c r="J117" i="24"/>
  <c r="J84" i="24"/>
  <c r="J85" i="24"/>
  <c r="J146" i="24"/>
  <c r="J147" i="24"/>
  <c r="J114" i="24"/>
  <c r="J115" i="24"/>
  <c r="J82" i="24"/>
  <c r="J83" i="24"/>
  <c r="J144" i="24"/>
  <c r="J145" i="24"/>
  <c r="J112" i="24"/>
  <c r="J113" i="24"/>
  <c r="J80" i="24"/>
  <c r="J81" i="24"/>
  <c r="J124" i="24"/>
  <c r="J125" i="24"/>
  <c r="J142" i="24"/>
  <c r="J143" i="24"/>
  <c r="J110" i="24"/>
  <c r="J111" i="24"/>
  <c r="J78" i="24"/>
  <c r="J79" i="24"/>
  <c r="J108" i="24"/>
  <c r="J109" i="24"/>
  <c r="J138" i="24"/>
  <c r="J139" i="24"/>
  <c r="J106" i="24"/>
  <c r="J107" i="24"/>
  <c r="J74" i="24"/>
  <c r="J75" i="24"/>
  <c r="J76" i="24"/>
  <c r="J77" i="24"/>
  <c r="J136" i="24"/>
  <c r="J137" i="24"/>
  <c r="J104" i="24"/>
  <c r="J105" i="24"/>
  <c r="J72" i="24"/>
  <c r="J73" i="24"/>
  <c r="J160" i="24"/>
  <c r="J161" i="24"/>
  <c r="J134" i="24"/>
  <c r="J135" i="24"/>
  <c r="J102" i="24"/>
  <c r="J103" i="24"/>
  <c r="J70" i="24"/>
  <c r="J71" i="24"/>
  <c r="J140" i="24"/>
  <c r="J141" i="24"/>
  <c r="J164" i="24"/>
  <c r="J165" i="24"/>
  <c r="J132" i="24"/>
  <c r="J133" i="24"/>
  <c r="J100" i="24"/>
  <c r="J101" i="24"/>
  <c r="J68" i="24"/>
  <c r="J69" i="24"/>
  <c r="J67" i="24"/>
  <c r="J66" i="24"/>
  <c r="K7" i="30"/>
  <c r="C126" i="38" l="1"/>
  <c r="F126" i="38"/>
  <c r="V126" i="36"/>
  <c r="H126" i="38"/>
  <c r="M127" i="37"/>
  <c r="A127" i="37" s="1"/>
  <c r="C133" i="38"/>
  <c r="V133" i="36"/>
  <c r="M134" i="37"/>
  <c r="A134" i="37" s="1"/>
  <c r="F133" i="38"/>
  <c r="H133" i="38"/>
  <c r="C97" i="38"/>
  <c r="M98" i="37"/>
  <c r="A98" i="37" s="1"/>
  <c r="V97" i="36"/>
  <c r="H97" i="38"/>
  <c r="F97" i="38"/>
  <c r="C102" i="38"/>
  <c r="M103" i="37"/>
  <c r="A103" i="37" s="1"/>
  <c r="F102" i="38"/>
  <c r="H102" i="38"/>
  <c r="V102" i="36"/>
  <c r="V136" i="36"/>
  <c r="H136" i="38"/>
  <c r="C136" i="38"/>
  <c r="F136" i="38"/>
  <c r="M137" i="37"/>
  <c r="A137" i="37" s="1"/>
  <c r="F76" i="38"/>
  <c r="V76" i="36"/>
  <c r="H76" i="38"/>
  <c r="C76" i="38"/>
  <c r="M77" i="37"/>
  <c r="A77" i="37" s="1"/>
  <c r="F144" i="38"/>
  <c r="V144" i="36"/>
  <c r="M145" i="37"/>
  <c r="A145" i="37" s="1"/>
  <c r="H144" i="38"/>
  <c r="C144" i="38"/>
  <c r="M117" i="37"/>
  <c r="A117" i="37" s="1"/>
  <c r="C116" i="38"/>
  <c r="V116" i="36"/>
  <c r="H116" i="38"/>
  <c r="F116" i="38"/>
  <c r="H88" i="38"/>
  <c r="C88" i="38"/>
  <c r="F88" i="38"/>
  <c r="V88" i="36"/>
  <c r="M89" i="37"/>
  <c r="A89" i="37" s="1"/>
  <c r="H154" i="38"/>
  <c r="M155" i="37"/>
  <c r="A155" i="37" s="1"/>
  <c r="V154" i="36"/>
  <c r="F154" i="38"/>
  <c r="C154" i="38"/>
  <c r="F160" i="38"/>
  <c r="V160" i="36"/>
  <c r="C160" i="38"/>
  <c r="H160" i="38"/>
  <c r="M161" i="37"/>
  <c r="A161" i="37" s="1"/>
  <c r="F101" i="38"/>
  <c r="H101" i="38"/>
  <c r="C101" i="38"/>
  <c r="M102" i="37"/>
  <c r="A102" i="37" s="1"/>
  <c r="V101" i="36"/>
  <c r="V135" i="36"/>
  <c r="F135" i="38"/>
  <c r="M136" i="37"/>
  <c r="A136" i="37" s="1"/>
  <c r="H135" i="38"/>
  <c r="C135" i="38"/>
  <c r="V75" i="36"/>
  <c r="F75" i="38"/>
  <c r="H75" i="38"/>
  <c r="M76" i="37"/>
  <c r="A76" i="37" s="1"/>
  <c r="C75" i="38"/>
  <c r="V143" i="36"/>
  <c r="C143" i="38"/>
  <c r="M144" i="37"/>
  <c r="A144" i="37" s="1"/>
  <c r="F143" i="38"/>
  <c r="H143" i="38"/>
  <c r="F115" i="38"/>
  <c r="H115" i="38"/>
  <c r="M116" i="37"/>
  <c r="A116" i="37" s="1"/>
  <c r="C115" i="38"/>
  <c r="V115" i="36"/>
  <c r="V87" i="36"/>
  <c r="M88" i="37"/>
  <c r="A88" i="37" s="1"/>
  <c r="F87" i="38"/>
  <c r="H87" i="38"/>
  <c r="C87" i="38"/>
  <c r="C153" i="38"/>
  <c r="M154" i="37"/>
  <c r="A154" i="37" s="1"/>
  <c r="F153" i="38"/>
  <c r="H153" i="38"/>
  <c r="V153" i="36"/>
  <c r="V159" i="36"/>
  <c r="C159" i="38"/>
  <c r="M160" i="37"/>
  <c r="A160" i="37" s="1"/>
  <c r="H159" i="38"/>
  <c r="F159" i="38"/>
  <c r="C134" i="38"/>
  <c r="F134" i="38"/>
  <c r="V134" i="36"/>
  <c r="H134" i="38"/>
  <c r="M135" i="37"/>
  <c r="A135" i="37" s="1"/>
  <c r="F120" i="38"/>
  <c r="V120" i="36"/>
  <c r="H120" i="38"/>
  <c r="M121" i="37"/>
  <c r="A121" i="37" s="1"/>
  <c r="C120" i="38"/>
  <c r="F125" i="38"/>
  <c r="H125" i="38"/>
  <c r="M126" i="37"/>
  <c r="A126" i="37" s="1"/>
  <c r="C125" i="38"/>
  <c r="V125" i="36"/>
  <c r="H82" i="38"/>
  <c r="M83" i="37"/>
  <c r="A83" i="37" s="1"/>
  <c r="V82" i="36"/>
  <c r="C82" i="38"/>
  <c r="F82" i="38"/>
  <c r="H118" i="38"/>
  <c r="M119" i="37"/>
  <c r="A119" i="37" s="1"/>
  <c r="C118" i="38"/>
  <c r="V118" i="36"/>
  <c r="F118" i="38"/>
  <c r="C141" i="38"/>
  <c r="M142" i="37"/>
  <c r="A142" i="37" s="1"/>
  <c r="F141" i="38"/>
  <c r="H141" i="38"/>
  <c r="V141" i="36"/>
  <c r="H117" i="38"/>
  <c r="C117" i="38"/>
  <c r="M118" i="37"/>
  <c r="A118" i="37" s="1"/>
  <c r="F117" i="38"/>
  <c r="V117" i="36"/>
  <c r="F72" i="38"/>
  <c r="V72" i="36"/>
  <c r="M73" i="37"/>
  <c r="A73" i="37" s="1"/>
  <c r="H72" i="38"/>
  <c r="C72" i="38"/>
  <c r="C90" i="38"/>
  <c r="H90" i="38"/>
  <c r="V90" i="36"/>
  <c r="F90" i="38"/>
  <c r="M91" i="37"/>
  <c r="A91" i="37" s="1"/>
  <c r="V71" i="36"/>
  <c r="F71" i="38"/>
  <c r="C71" i="38"/>
  <c r="M72" i="37"/>
  <c r="A72" i="37" s="1"/>
  <c r="H71" i="38"/>
  <c r="F137" i="38"/>
  <c r="H137" i="38"/>
  <c r="V137" i="36"/>
  <c r="C137" i="38"/>
  <c r="M138" i="37"/>
  <c r="A138" i="37" s="1"/>
  <c r="F79" i="38"/>
  <c r="H79" i="38"/>
  <c r="C79" i="38"/>
  <c r="M80" i="37"/>
  <c r="A80" i="37" s="1"/>
  <c r="V79" i="36"/>
  <c r="M146" i="37"/>
  <c r="A146" i="37" s="1"/>
  <c r="V145" i="36"/>
  <c r="C145" i="38"/>
  <c r="F145" i="38"/>
  <c r="H145" i="38"/>
  <c r="F149" i="38"/>
  <c r="H149" i="38"/>
  <c r="C149" i="38"/>
  <c r="V149" i="36"/>
  <c r="M150" i="37"/>
  <c r="A150" i="37" s="1"/>
  <c r="F89" i="38"/>
  <c r="H89" i="38"/>
  <c r="C89" i="38"/>
  <c r="V89" i="36"/>
  <c r="M90" i="37"/>
  <c r="A90" i="37" s="1"/>
  <c r="V95" i="36"/>
  <c r="F95" i="38"/>
  <c r="C95" i="38"/>
  <c r="M96" i="37"/>
  <c r="A96" i="37" s="1"/>
  <c r="H95" i="38"/>
  <c r="V131" i="36"/>
  <c r="C131" i="38"/>
  <c r="M132" i="37"/>
  <c r="A132" i="37" s="1"/>
  <c r="F131" i="38"/>
  <c r="H131" i="38"/>
  <c r="C162" i="38"/>
  <c r="H162" i="38"/>
  <c r="M163" i="37"/>
  <c r="A163" i="37" s="1"/>
  <c r="V162" i="36"/>
  <c r="F162" i="38"/>
  <c r="M93" i="37"/>
  <c r="A93" i="37" s="1"/>
  <c r="C92" i="38"/>
  <c r="H92" i="38"/>
  <c r="F92" i="38"/>
  <c r="V92" i="36"/>
  <c r="V147" i="36"/>
  <c r="C147" i="38"/>
  <c r="F147" i="38"/>
  <c r="H147" i="38"/>
  <c r="M148" i="37"/>
  <c r="A148" i="37" s="1"/>
  <c r="C74" i="38"/>
  <c r="H74" i="38"/>
  <c r="F74" i="38"/>
  <c r="V74" i="36"/>
  <c r="M75" i="37"/>
  <c r="A75" i="37" s="1"/>
  <c r="H124" i="38"/>
  <c r="C124" i="38"/>
  <c r="F124" i="38"/>
  <c r="V124" i="36"/>
  <c r="M125" i="37"/>
  <c r="A125" i="37" s="1"/>
  <c r="V73" i="36"/>
  <c r="C73" i="38"/>
  <c r="M74" i="37"/>
  <c r="A74" i="37" s="1"/>
  <c r="H73" i="38"/>
  <c r="F73" i="38"/>
  <c r="F151" i="38"/>
  <c r="H151" i="38"/>
  <c r="V151" i="36"/>
  <c r="M152" i="37"/>
  <c r="A152" i="37" s="1"/>
  <c r="C151" i="38"/>
  <c r="H106" i="38"/>
  <c r="M107" i="37"/>
  <c r="A107" i="37" s="1"/>
  <c r="V106" i="36"/>
  <c r="F106" i="38"/>
  <c r="C106" i="38"/>
  <c r="C158" i="38"/>
  <c r="F158" i="38"/>
  <c r="V158" i="36"/>
  <c r="H158" i="38"/>
  <c r="M159" i="37"/>
  <c r="A159" i="37" s="1"/>
  <c r="C105" i="38"/>
  <c r="M106" i="37"/>
  <c r="A106" i="37" s="1"/>
  <c r="F105" i="38"/>
  <c r="H105" i="38"/>
  <c r="V105" i="36"/>
  <c r="V155" i="36"/>
  <c r="C155" i="38"/>
  <c r="M156" i="37"/>
  <c r="A156" i="37" s="1"/>
  <c r="F155" i="38"/>
  <c r="H155" i="38"/>
  <c r="M81" i="37"/>
  <c r="A81" i="37" s="1"/>
  <c r="C80" i="38"/>
  <c r="F80" i="38"/>
  <c r="H80" i="38"/>
  <c r="V80" i="36"/>
  <c r="F132" i="38"/>
  <c r="V132" i="36"/>
  <c r="H132" i="38"/>
  <c r="M133" i="37"/>
  <c r="A133" i="37" s="1"/>
  <c r="C132" i="38"/>
  <c r="V112" i="36"/>
  <c r="H112" i="38"/>
  <c r="C112" i="38"/>
  <c r="F112" i="38"/>
  <c r="M113" i="37"/>
  <c r="A113" i="37" s="1"/>
  <c r="F84" i="38"/>
  <c r="V84" i="36"/>
  <c r="H84" i="38"/>
  <c r="M85" i="37"/>
  <c r="A85" i="37" s="1"/>
  <c r="C84" i="38"/>
  <c r="H94" i="38"/>
  <c r="M95" i="37"/>
  <c r="A95" i="37" s="1"/>
  <c r="V94" i="36"/>
  <c r="F94" i="38"/>
  <c r="C94" i="38"/>
  <c r="C122" i="38"/>
  <c r="F122" i="38"/>
  <c r="V122" i="36"/>
  <c r="H122" i="38"/>
  <c r="M123" i="37"/>
  <c r="A123" i="37" s="1"/>
  <c r="M129" i="37"/>
  <c r="A129" i="37" s="1"/>
  <c r="C128" i="38"/>
  <c r="F128" i="38"/>
  <c r="H128" i="38"/>
  <c r="V128" i="36"/>
  <c r="M165" i="37"/>
  <c r="A165" i="37" s="1"/>
  <c r="C164" i="38"/>
  <c r="V164" i="36"/>
  <c r="F164" i="38"/>
  <c r="H164" i="38"/>
  <c r="F108" i="38"/>
  <c r="V108" i="36"/>
  <c r="H108" i="38"/>
  <c r="M109" i="37"/>
  <c r="A109" i="37" s="1"/>
  <c r="C108" i="38"/>
  <c r="F148" i="38"/>
  <c r="H148" i="38"/>
  <c r="C148" i="38"/>
  <c r="V148" i="36"/>
  <c r="M149" i="37"/>
  <c r="A149" i="37" s="1"/>
  <c r="C98" i="38"/>
  <c r="H98" i="38"/>
  <c r="F98" i="38"/>
  <c r="V98" i="36"/>
  <c r="M99" i="37"/>
  <c r="A99" i="37" s="1"/>
  <c r="F161" i="38"/>
  <c r="H161" i="38"/>
  <c r="V161" i="36"/>
  <c r="M162" i="37"/>
  <c r="A162" i="37" s="1"/>
  <c r="C161" i="38"/>
  <c r="V107" i="36"/>
  <c r="C107" i="38"/>
  <c r="M108" i="37"/>
  <c r="A108" i="37" s="1"/>
  <c r="F107" i="38"/>
  <c r="H107" i="38"/>
  <c r="V119" i="36"/>
  <c r="C119" i="38"/>
  <c r="M120" i="37"/>
  <c r="A120" i="37" s="1"/>
  <c r="F119" i="38"/>
  <c r="H119" i="38"/>
  <c r="F91" i="38"/>
  <c r="H91" i="38"/>
  <c r="M92" i="37"/>
  <c r="A92" i="37" s="1"/>
  <c r="V91" i="36"/>
  <c r="C91" i="38"/>
  <c r="H166" i="38"/>
  <c r="M167" i="37"/>
  <c r="A167" i="37" s="1"/>
  <c r="C166" i="38"/>
  <c r="F166" i="38"/>
  <c r="V166" i="36"/>
  <c r="M141" i="37"/>
  <c r="A141" i="37" s="1"/>
  <c r="C140" i="38"/>
  <c r="H140" i="38"/>
  <c r="V140" i="36"/>
  <c r="F140" i="38"/>
  <c r="C86" i="38"/>
  <c r="H86" i="38"/>
  <c r="F86" i="38"/>
  <c r="V86" i="36"/>
  <c r="M87" i="37"/>
  <c r="A87" i="37" s="1"/>
  <c r="M153" i="37"/>
  <c r="A153" i="37" s="1"/>
  <c r="C152" i="38"/>
  <c r="F152" i="38"/>
  <c r="H152" i="38"/>
  <c r="V152" i="36"/>
  <c r="H130" i="38"/>
  <c r="M131" i="37"/>
  <c r="A131" i="37" s="1"/>
  <c r="V130" i="36"/>
  <c r="C130" i="38"/>
  <c r="F130" i="38"/>
  <c r="C165" i="38"/>
  <c r="M166" i="37"/>
  <c r="A166" i="37" s="1"/>
  <c r="H165" i="38"/>
  <c r="F165" i="38"/>
  <c r="V165" i="36"/>
  <c r="F139" i="38"/>
  <c r="H139" i="38"/>
  <c r="C139" i="38"/>
  <c r="V139" i="36"/>
  <c r="M140" i="37"/>
  <c r="A140" i="37" s="1"/>
  <c r="C81" i="38"/>
  <c r="M82" i="37"/>
  <c r="A82" i="37" s="1"/>
  <c r="F81" i="38"/>
  <c r="H81" i="38"/>
  <c r="V81" i="36"/>
  <c r="V85" i="36"/>
  <c r="C85" i="38"/>
  <c r="M86" i="37"/>
  <c r="A86" i="37" s="1"/>
  <c r="F85" i="38"/>
  <c r="H85" i="38"/>
  <c r="V123" i="36"/>
  <c r="C123" i="38"/>
  <c r="F123" i="38"/>
  <c r="H123" i="38"/>
  <c r="M124" i="37"/>
  <c r="A124" i="37" s="1"/>
  <c r="C129" i="38"/>
  <c r="M130" i="37"/>
  <c r="A130" i="37" s="1"/>
  <c r="F129" i="38"/>
  <c r="H129" i="38"/>
  <c r="V129" i="36"/>
  <c r="H142" i="38"/>
  <c r="M143" i="37"/>
  <c r="A143" i="37" s="1"/>
  <c r="V142" i="36"/>
  <c r="F142" i="38"/>
  <c r="C142" i="38"/>
  <c r="C110" i="38"/>
  <c r="H110" i="38"/>
  <c r="F110" i="38"/>
  <c r="V110" i="36"/>
  <c r="M111" i="37"/>
  <c r="A111" i="37" s="1"/>
  <c r="C114" i="38"/>
  <c r="M115" i="37"/>
  <c r="A115" i="37" s="1"/>
  <c r="V114" i="36"/>
  <c r="F114" i="38"/>
  <c r="H114" i="38"/>
  <c r="F156" i="38"/>
  <c r="V156" i="36"/>
  <c r="H156" i="38"/>
  <c r="M157" i="37"/>
  <c r="A157" i="37" s="1"/>
  <c r="C156" i="38"/>
  <c r="H100" i="38"/>
  <c r="C100" i="38"/>
  <c r="F100" i="38"/>
  <c r="V100" i="36"/>
  <c r="M101" i="37"/>
  <c r="A101" i="37" s="1"/>
  <c r="C109" i="38"/>
  <c r="M110" i="37"/>
  <c r="A110" i="37" s="1"/>
  <c r="V109" i="36"/>
  <c r="F109" i="38"/>
  <c r="H109" i="38"/>
  <c r="F113" i="38"/>
  <c r="H113" i="38"/>
  <c r="V113" i="36"/>
  <c r="M114" i="37"/>
  <c r="A114" i="37" s="1"/>
  <c r="C113" i="38"/>
  <c r="V157" i="36"/>
  <c r="C157" i="38"/>
  <c r="M158" i="37"/>
  <c r="A158" i="37" s="1"/>
  <c r="F157" i="38"/>
  <c r="H157" i="38"/>
  <c r="V99" i="36"/>
  <c r="H99" i="38"/>
  <c r="C99" i="38"/>
  <c r="F99" i="38"/>
  <c r="M100" i="37"/>
  <c r="A100" i="37" s="1"/>
  <c r="C138" i="38"/>
  <c r="H138" i="38"/>
  <c r="V138" i="36"/>
  <c r="F138" i="38"/>
  <c r="M139" i="37"/>
  <c r="A139" i="37" s="1"/>
  <c r="C146" i="38"/>
  <c r="H146" i="38"/>
  <c r="F146" i="38"/>
  <c r="V146" i="36"/>
  <c r="M147" i="37"/>
  <c r="A147" i="37" s="1"/>
  <c r="C150" i="38"/>
  <c r="F150" i="38"/>
  <c r="V150" i="36"/>
  <c r="H150" i="38"/>
  <c r="M151" i="37"/>
  <c r="A151" i="37" s="1"/>
  <c r="M97" i="37"/>
  <c r="A97" i="37" s="1"/>
  <c r="F96" i="38"/>
  <c r="V96" i="36"/>
  <c r="H96" i="38"/>
  <c r="C96" i="38"/>
  <c r="H70" i="38"/>
  <c r="M71" i="37"/>
  <c r="A71" i="37" s="1"/>
  <c r="V70" i="36"/>
  <c r="C70" i="38"/>
  <c r="F70" i="38"/>
  <c r="M105" i="37"/>
  <c r="A105" i="37" s="1"/>
  <c r="C104" i="38"/>
  <c r="H104" i="38"/>
  <c r="V104" i="36"/>
  <c r="F104" i="38"/>
  <c r="C78" i="38"/>
  <c r="F78" i="38"/>
  <c r="H78" i="38"/>
  <c r="M79" i="37"/>
  <c r="A79" i="37" s="1"/>
  <c r="V78" i="36"/>
  <c r="H69" i="38"/>
  <c r="C69" i="38"/>
  <c r="M70" i="37"/>
  <c r="A70" i="37" s="1"/>
  <c r="F69" i="38"/>
  <c r="V69" i="36"/>
  <c r="F103" i="38"/>
  <c r="H103" i="38"/>
  <c r="V103" i="36"/>
  <c r="M104" i="37"/>
  <c r="A104" i="37" s="1"/>
  <c r="C103" i="38"/>
  <c r="F77" i="38"/>
  <c r="H77" i="38"/>
  <c r="M78" i="37"/>
  <c r="A78" i="37" s="1"/>
  <c r="C77" i="38"/>
  <c r="V77" i="36"/>
  <c r="V111" i="36"/>
  <c r="C111" i="38"/>
  <c r="M112" i="37"/>
  <c r="A112" i="37" s="1"/>
  <c r="H111" i="38"/>
  <c r="F111" i="38"/>
  <c r="V83" i="36"/>
  <c r="F83" i="38"/>
  <c r="C83" i="38"/>
  <c r="M84" i="37"/>
  <c r="A84" i="37" s="1"/>
  <c r="H83" i="38"/>
  <c r="C93" i="38"/>
  <c r="M94" i="37"/>
  <c r="A94" i="37" s="1"/>
  <c r="F93" i="38"/>
  <c r="H93" i="38"/>
  <c r="V93" i="36"/>
  <c r="M122" i="37"/>
  <c r="A122" i="37" s="1"/>
  <c r="V121" i="36"/>
  <c r="C121" i="38"/>
  <c r="H121" i="38"/>
  <c r="F121" i="38"/>
  <c r="F127" i="38"/>
  <c r="H127" i="38"/>
  <c r="V127" i="36"/>
  <c r="M128" i="37"/>
  <c r="A128" i="37" s="1"/>
  <c r="C127" i="38"/>
  <c r="F163" i="38"/>
  <c r="H163" i="38"/>
  <c r="C163" i="38"/>
  <c r="V163" i="36"/>
  <c r="M164" i="37"/>
  <c r="A164" i="37" s="1"/>
  <c r="M69" i="37"/>
  <c r="A69" i="37" s="1"/>
  <c r="V68" i="36"/>
  <c r="C68" i="38"/>
  <c r="F68" i="38"/>
  <c r="H68" i="38"/>
  <c r="M68" i="37"/>
  <c r="A68" i="37" s="1"/>
  <c r="G68" i="37" s="1"/>
  <c r="F67" i="38"/>
  <c r="H67" i="38"/>
  <c r="V67" i="36"/>
  <c r="C67" i="38"/>
  <c r="J62" i="30"/>
  <c r="B1" i="31"/>
  <c r="C1" i="31" s="1"/>
  <c r="D1" i="31" s="1"/>
  <c r="E1" i="31" s="1"/>
  <c r="F1" i="31" s="1"/>
  <c r="G1" i="31" s="1"/>
  <c r="H1" i="31" s="1"/>
  <c r="I1" i="31" s="1"/>
  <c r="J1" i="31" s="1"/>
  <c r="K1" i="31" s="1"/>
  <c r="L1" i="31" s="1"/>
  <c r="M1" i="31" s="1"/>
  <c r="N1" i="31" s="1"/>
  <c r="O1" i="31" s="1"/>
  <c r="P1" i="31" s="1"/>
  <c r="Q1" i="31" s="1"/>
  <c r="R1" i="31" s="1"/>
  <c r="S1" i="31" s="1"/>
  <c r="T1" i="31" s="1"/>
  <c r="U1" i="31" s="1"/>
  <c r="V1" i="31" s="1"/>
  <c r="W1" i="31" s="1"/>
  <c r="X1" i="31" s="1"/>
  <c r="Y1" i="31" s="1"/>
  <c r="Z1" i="31" s="1"/>
  <c r="G69" i="37" l="1"/>
  <c r="G70" i="37" s="1"/>
  <c r="G71" i="37" s="1"/>
  <c r="G72" i="37" s="1"/>
  <c r="G73" i="37" s="1"/>
  <c r="G74" i="37" s="1"/>
  <c r="G75" i="37" s="1"/>
  <c r="G76" i="37" s="1"/>
  <c r="G77" i="37" s="1"/>
  <c r="G78" i="37" s="1"/>
  <c r="G79" i="37" s="1"/>
  <c r="G80" i="37" s="1"/>
  <c r="G81" i="37" s="1"/>
  <c r="G82" i="37" s="1"/>
  <c r="G83" i="37" s="1"/>
  <c r="G84" i="37" s="1"/>
  <c r="G85" i="37" s="1"/>
  <c r="G86" i="37" s="1"/>
  <c r="G87" i="37" s="1"/>
  <c r="G88" i="37" s="1"/>
  <c r="G89" i="37" s="1"/>
  <c r="G90" i="37" s="1"/>
  <c r="G91" i="37" s="1"/>
  <c r="G92" i="37" s="1"/>
  <c r="G93" i="37" s="1"/>
  <c r="G94" i="37" s="1"/>
  <c r="G95" i="37" s="1"/>
  <c r="G96" i="37" s="1"/>
  <c r="G97" i="37" s="1"/>
  <c r="G98" i="37" s="1"/>
  <c r="G99" i="37" s="1"/>
  <c r="G100" i="37" s="1"/>
  <c r="G101" i="37" s="1"/>
  <c r="G102" i="37" s="1"/>
  <c r="G103" i="37" s="1"/>
  <c r="G104" i="37" s="1"/>
  <c r="G105" i="37" s="1"/>
  <c r="G106" i="37" s="1"/>
  <c r="G107" i="37" s="1"/>
  <c r="G108" i="37" s="1"/>
  <c r="G109" i="37" s="1"/>
  <c r="G110" i="37" s="1"/>
  <c r="G111" i="37" s="1"/>
  <c r="G112" i="37" s="1"/>
  <c r="G113" i="37" s="1"/>
  <c r="G114" i="37" s="1"/>
  <c r="G115" i="37" s="1"/>
  <c r="G116" i="37" s="1"/>
  <c r="G117" i="37" s="1"/>
  <c r="G118" i="37" s="1"/>
  <c r="G119" i="37" s="1"/>
  <c r="G120" i="37" s="1"/>
  <c r="G121" i="37" s="1"/>
  <c r="G122" i="37" s="1"/>
  <c r="G123" i="37" s="1"/>
  <c r="G124" i="37" s="1"/>
  <c r="G125" i="37" s="1"/>
  <c r="G126" i="37" s="1"/>
  <c r="G127" i="37" s="1"/>
  <c r="G128" i="37" s="1"/>
  <c r="G129" i="37" s="1"/>
  <c r="G130" i="37" s="1"/>
  <c r="G131" i="37" s="1"/>
  <c r="G132" i="37" s="1"/>
  <c r="G133" i="37" s="1"/>
  <c r="G134" i="37" s="1"/>
  <c r="G135" i="37" s="1"/>
  <c r="G136" i="37" s="1"/>
  <c r="G137" i="37" s="1"/>
  <c r="G138" i="37" s="1"/>
  <c r="G139" i="37" s="1"/>
  <c r="G140" i="37" s="1"/>
  <c r="G141" i="37" s="1"/>
  <c r="G142" i="37" s="1"/>
  <c r="G143" i="37" s="1"/>
  <c r="G144" i="37" s="1"/>
  <c r="G145" i="37" s="1"/>
  <c r="G146" i="37" s="1"/>
  <c r="G147" i="37" s="1"/>
  <c r="G148" i="37" s="1"/>
  <c r="G149" i="37" s="1"/>
  <c r="G150" i="37" s="1"/>
  <c r="G151" i="37" s="1"/>
  <c r="G152" i="37" s="1"/>
  <c r="G153" i="37" s="1"/>
  <c r="G154" i="37" s="1"/>
  <c r="G155" i="37" s="1"/>
  <c r="G156" i="37" s="1"/>
  <c r="G157" i="37" s="1"/>
  <c r="G158" i="37" s="1"/>
  <c r="G159" i="37" s="1"/>
  <c r="G160" i="37" s="1"/>
  <c r="G161" i="37" s="1"/>
  <c r="G162" i="37" s="1"/>
  <c r="G163" i="37" s="1"/>
  <c r="G164" i="37" s="1"/>
  <c r="G165" i="37" s="1"/>
  <c r="G166" i="37" s="1"/>
  <c r="G167" i="37" s="1"/>
  <c r="K49" i="30"/>
  <c r="K48" i="30"/>
  <c r="K47" i="30"/>
  <c r="K46" i="30"/>
  <c r="K45" i="30"/>
  <c r="K44" i="30"/>
  <c r="K43" i="30"/>
  <c r="K42" i="30"/>
  <c r="K41" i="30"/>
  <c r="K40" i="30"/>
  <c r="K39" i="30"/>
  <c r="K38" i="30"/>
  <c r="K37" i="30"/>
  <c r="K36" i="30"/>
  <c r="K35" i="30"/>
  <c r="K34" i="30"/>
  <c r="K33" i="30"/>
  <c r="K32" i="30"/>
  <c r="K31" i="30"/>
  <c r="K30" i="30"/>
  <c r="K29" i="30"/>
  <c r="K27" i="30"/>
  <c r="K26" i="30"/>
  <c r="K25" i="30"/>
  <c r="K62" i="30" l="1"/>
  <c r="W31" i="21"/>
  <c r="W30" i="21"/>
  <c r="W29" i="21"/>
  <c r="W28" i="21"/>
  <c r="W27" i="21"/>
  <c r="W26" i="21"/>
  <c r="W25" i="21"/>
  <c r="W24" i="21"/>
  <c r="W23" i="21"/>
  <c r="W22" i="21"/>
  <c r="W21" i="21"/>
  <c r="W20" i="21"/>
  <c r="V31" i="21"/>
  <c r="V30" i="21"/>
  <c r="V29" i="21"/>
  <c r="V28" i="21"/>
  <c r="V27" i="21"/>
  <c r="V26" i="21"/>
  <c r="V25" i="21"/>
  <c r="V24" i="21"/>
  <c r="V23" i="21"/>
  <c r="V22" i="21"/>
  <c r="V21" i="21"/>
  <c r="B1" i="23"/>
  <c r="C1" i="23" s="1"/>
  <c r="D1" i="23" s="1"/>
  <c r="E1" i="23" s="1"/>
  <c r="F1" i="23" s="1"/>
  <c r="G1" i="23" s="1"/>
  <c r="H1" i="23" l="1"/>
  <c r="I1" i="23" s="1"/>
  <c r="J1" i="23" s="1"/>
  <c r="K1" i="23" s="1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3" i="15" l="1"/>
  <c r="A1" i="16" l="1"/>
  <c r="G43" i="16" l="1"/>
  <c r="G28" i="16"/>
  <c r="G21" i="16"/>
  <c r="A13" i="16"/>
  <c r="C41" i="15" l="1"/>
  <c r="A1" i="15"/>
  <c r="A1" i="13" l="1"/>
  <c r="A1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Johnson</author>
  </authors>
  <commentList>
    <comment ref="H9" authorId="0" shapeId="0" xr:uid="{F97A942F-C9BA-410F-AC6C-C070D2AD6F40}">
      <text>
        <r>
          <rPr>
            <b/>
            <sz val="9"/>
            <color indexed="81"/>
            <rFont val="Tahoma"/>
            <family val="2"/>
          </rPr>
          <t xml:space="preserve">Greystar: </t>
        </r>
        <r>
          <rPr>
            <sz val="9"/>
            <color indexed="81"/>
            <rFont val="Tahoma"/>
            <family val="2"/>
          </rPr>
          <t xml:space="preserve">Hold the Ctrl key and select each tab you would like printed.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Melissa Danner</author>
  </authors>
  <commentList>
    <comment ref="R4" authorId="0" shapeId="0" xr:uid="{77B57811-376A-48DF-8E97-7CFF93856CE3}">
      <text>
        <r>
          <rPr>
            <sz val="9"/>
            <color indexed="81"/>
            <rFont val="Tahoma"/>
            <family val="2"/>
          </rPr>
          <t>Per the Certificate of Formation</t>
        </r>
      </text>
    </comment>
    <comment ref="X4" authorId="0" shapeId="0" xr:uid="{C8452C9F-9A18-4C20-8A99-6C158CDCDE50}">
      <text>
        <r>
          <rPr>
            <sz val="9"/>
            <color indexed="81"/>
            <rFont val="Tahoma"/>
            <family val="2"/>
          </rPr>
          <t>Per the Certificate of Formation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Johnson</author>
  </authors>
  <commentList>
    <comment ref="A2" authorId="0" shapeId="0" xr:uid="{D27D0021-7F18-4FB5-B845-AD9705B1EC02}">
      <text>
        <r>
          <rPr>
            <b/>
            <sz val="9"/>
            <color indexed="81"/>
            <rFont val="Tahoma"/>
            <family val="2"/>
          </rPr>
          <t xml:space="preserve">Greystar: </t>
        </r>
        <r>
          <rPr>
            <sz val="9"/>
            <color indexed="81"/>
            <rFont val="Tahoma"/>
            <family val="2"/>
          </rPr>
          <t>This COA is inputted into each tab and its codes will appear on the PDF export.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C2" authorId="0" shapeId="0" xr:uid="{FAB06E05-E417-48DD-886C-B19D4536E50D}">
      <text>
        <r>
          <rPr>
            <b/>
            <sz val="9"/>
            <color indexed="81"/>
            <rFont val="Tahoma"/>
            <family val="2"/>
          </rPr>
          <t xml:space="preserve">Greystar: </t>
        </r>
        <r>
          <rPr>
            <sz val="9"/>
            <color indexed="81"/>
            <rFont val="Tahoma"/>
            <family val="2"/>
          </rPr>
          <t>This COA is for the JE Upload file unless "Chart of Accounts A" is chosen on the Upload Setup tab.</t>
        </r>
      </text>
    </comment>
  </commentList>
</comments>
</file>

<file path=xl/sharedStrings.xml><?xml version="1.0" encoding="utf-8"?>
<sst xmlns="http://schemas.openxmlformats.org/spreadsheetml/2006/main" count="23960" uniqueCount="14267">
  <si>
    <r>
      <t xml:space="preserve">Property Information Sheet
</t>
    </r>
    <r>
      <rPr>
        <b/>
        <sz val="11"/>
        <rFont val="Avenir Next LT Pro"/>
        <family val="2"/>
      </rPr>
      <t>Greystar Information</t>
    </r>
  </si>
  <si>
    <t>Yes</t>
  </si>
  <si>
    <t>Template Last Updated On</t>
  </si>
  <si>
    <t>No</t>
  </si>
  <si>
    <t>Property Name</t>
  </si>
  <si>
    <t>610 West</t>
  </si>
  <si>
    <t>Property Code</t>
  </si>
  <si>
    <t>mn610wes</t>
  </si>
  <si>
    <t>Use Mapped COA?</t>
  </si>
  <si>
    <t>Month</t>
  </si>
  <si>
    <t>Last Day of Month</t>
  </si>
  <si>
    <t>Prepared By</t>
  </si>
  <si>
    <t>Vanessa Perez</t>
  </si>
  <si>
    <t>Reviewed By</t>
  </si>
  <si>
    <t>Rowena Chen</t>
  </si>
  <si>
    <t>Instructions &amp; Notes:</t>
  </si>
  <si>
    <t>1. Please save the final version of this document monthly.  The  CY tab should be edited to match the current period on a monthly basis.</t>
  </si>
  <si>
    <t>2. Please incorporate full descriptions that are grammatically and functionally accurate. Make sure formatting is consistent within each account.</t>
  </si>
  <si>
    <t>3. Please hide all sections for G/L codes with no balance, unless it went to zero in the current period.</t>
  </si>
  <si>
    <t>4. The Accrued Expenses, Seller Settlement, CapEx and HUD tabs only need to be completed when applicable and/or required by client. Unhide these tabs as needed.</t>
  </si>
  <si>
    <t>Balance Sheet Support Schedule</t>
  </si>
  <si>
    <t>ACCOUNT</t>
  </si>
  <si>
    <t>11086-000</t>
  </si>
  <si>
    <t>Month Card Issued</t>
  </si>
  <si>
    <t>Employee's Name</t>
  </si>
  <si>
    <t>02/25</t>
  </si>
  <si>
    <t>P-Card Reserve</t>
  </si>
  <si>
    <t>Print Sheets to Separate PDF Files?</t>
  </si>
  <si>
    <t>04/25</t>
  </si>
  <si>
    <t>P-Card Increase</t>
  </si>
  <si>
    <t>12013-000</t>
  </si>
  <si>
    <t>Period</t>
  </si>
  <si>
    <t>Description</t>
  </si>
  <si>
    <t>12035-000</t>
  </si>
  <si>
    <t>A/R - Related Parties</t>
  </si>
  <si>
    <t>GL #</t>
  </si>
  <si>
    <t>12075-000</t>
  </si>
  <si>
    <t xml:space="preserve"> </t>
  </si>
  <si>
    <t>12125-000</t>
  </si>
  <si>
    <t>21065-000</t>
  </si>
  <si>
    <t>22005-000</t>
  </si>
  <si>
    <t>22006-000</t>
  </si>
  <si>
    <t>22030-000</t>
  </si>
  <si>
    <t>22080-000</t>
  </si>
  <si>
    <t>23035-000</t>
  </si>
  <si>
    <t>Prior Year Balance</t>
  </si>
  <si>
    <t>02.26 SD Interest</t>
  </si>
  <si>
    <t>02/26 Security Deposit Interest True Up</t>
  </si>
  <si>
    <t>03.26 SD Interest</t>
  </si>
  <si>
    <t>03/26 Security Deposit Interest True Up</t>
  </si>
  <si>
    <t>04.26 SD Interest</t>
  </si>
  <si>
    <t>04/26 Security Deposit Interest True Up</t>
  </si>
  <si>
    <t>05.26 SD Interest</t>
  </si>
  <si>
    <t>05/26 Security Deposit Interest True Up</t>
  </si>
  <si>
    <t>06.26 SD Interest</t>
  </si>
  <si>
    <t>06/26 Security Deposit Interest True Up</t>
  </si>
  <si>
    <t>31010-000</t>
  </si>
  <si>
    <t>31012-000</t>
  </si>
  <si>
    <t>03.26 Preferred Investor Distribution</t>
  </si>
  <si>
    <t>03.26 Greystar Preferred Investor Distribution</t>
  </si>
  <si>
    <t>3.26 Preferrred ACH Distribution</t>
  </si>
  <si>
    <t>03.26 Preferred Distribution Wires</t>
  </si>
  <si>
    <t>06.26 Preferred Investor Distribution</t>
  </si>
  <si>
    <t>06.26 Preferrred ACH Distribution</t>
  </si>
  <si>
    <t>06.26 Preferred Distribution Wires</t>
  </si>
  <si>
    <t>32000-000</t>
  </si>
  <si>
    <t>Capital Funding</t>
  </si>
  <si>
    <t>Client Funding</t>
  </si>
  <si>
    <t>33000-000</t>
  </si>
  <si>
    <t>03.26 Common Investor Distribution</t>
  </si>
  <si>
    <t>03.26 Greystar Common Investor Distribution</t>
  </si>
  <si>
    <t>3.26 Common Equity ACH Distribution</t>
  </si>
  <si>
    <t>3.26 Common Equity Distribution Wire</t>
  </si>
  <si>
    <t>06.26 Common Investor Distribution</t>
  </si>
  <si>
    <t>6.26 Common Equity ACH Distribution</t>
  </si>
  <si>
    <t>6.26 Common Equity Distribution Wire</t>
  </si>
  <si>
    <t>Account Expensed to/from</t>
  </si>
  <si>
    <t>From/To Period</t>
  </si>
  <si>
    <t>Total # of Months</t>
  </si>
  <si>
    <t>Amount per Month</t>
  </si>
  <si>
    <t># of Months Expensed</t>
  </si>
  <si>
    <t>Schedule of Prepaid Other as of</t>
  </si>
  <si>
    <t>Account</t>
  </si>
  <si>
    <t>13085-000</t>
  </si>
  <si>
    <t>Posted? Yes/No</t>
  </si>
  <si>
    <t>Account Expensed To/From</t>
  </si>
  <si>
    <t>GL Description</t>
  </si>
  <si>
    <t>First Month of Total Expense</t>
  </si>
  <si>
    <t>Last Month of Total Expense</t>
  </si>
  <si>
    <t>Total Expense Amount</t>
  </si>
  <si>
    <t>Remaining Balance</t>
  </si>
  <si>
    <t>58280-000</t>
  </si>
  <si>
    <t>Butterfly - 10.1.2024-9.30.2025 Intercom software subscription</t>
  </si>
  <si>
    <t>ChargePoint - 3 yr subscription 10.22.24-10.22.27</t>
  </si>
  <si>
    <t>53070-000</t>
  </si>
  <si>
    <t>Jonson Controls Fire Protection - 10.1.2024-9.30/2025 Fire Alarm Monitor-Bldg 2</t>
  </si>
  <si>
    <t>Jonson Controls Fire Protection - 10.1.2024-9.30/2025 Fire Alarm Monitor-Bldg 3</t>
  </si>
  <si>
    <t>Jonson Controls Fire Protection - 10.1.2024-9.30/2025 Fire Alarm Monitor-Bldg 4</t>
  </si>
  <si>
    <t>Jonson Controls Fire Protection - 10.1.2024-9.30/2025 Fire Alarm Monitor-Bldg 1</t>
  </si>
  <si>
    <t>Jonson Controls Fire Protection - 10.1.2024-9.30/2025 Fire Security-Bldg 2</t>
  </si>
  <si>
    <t>Jonson Controls Fire Protection - 10.1.2024-9.30/2025 Fire Security-Bldg 1</t>
  </si>
  <si>
    <t>Jonson Controls Fire Protection - 10.1.2024-9.30/2025 Fire Security-Bldg 4</t>
  </si>
  <si>
    <t>Jonson Controls Fire Protection - 10.1.2024-9.30/2025 Fire Security-Bldg 3</t>
  </si>
  <si>
    <t>Johnson Controls Fire Protection Annual Invoice 3.1.25-2.28.26</t>
  </si>
  <si>
    <t>Johnson Controls Fire Protection Invoice 9.25-2.26</t>
  </si>
  <si>
    <t>09/25 Year Renewal MultiHousing Association 9/25-9/26</t>
  </si>
  <si>
    <t>53010-000</t>
  </si>
  <si>
    <t>ButterflyMX Smart IntercomSoftware Subscription Term 11/1/25-9/30/26</t>
  </si>
  <si>
    <t>54025-000</t>
  </si>
  <si>
    <t>January Jonah Systems</t>
  </si>
  <si>
    <t>February Jonah Systems</t>
  </si>
  <si>
    <t>58115-000</t>
  </si>
  <si>
    <t>01/01/2026 C&amp;L Annual Package|mn610wes| NATIONAL APARTMENT ASSOCIATION 0752207 |GCB|</t>
  </si>
  <si>
    <t>March Jonah Systems</t>
  </si>
  <si>
    <t>May Jonah Systems</t>
  </si>
  <si>
    <t>54035-000</t>
  </si>
  <si>
    <t>5/01/2026 Social Media Mgt/Advertising Services|mn610wes| SOCIAL KAPTURE LLC 74942 |GCB|</t>
  </si>
  <si>
    <t>June Jonah Systems</t>
  </si>
  <si>
    <t>July Jonah Systems</t>
  </si>
  <si>
    <t>07/01/2026 Social Media Mgt/Advertising Services|mn610wes| SOCIAL KAPTURE LLC 75880 |GCB|</t>
  </si>
  <si>
    <t>53050-000</t>
  </si>
  <si>
    <t>Elevator Maintenance Period 07/01/2026-07/31/2026</t>
  </si>
  <si>
    <t>Rounding Difference</t>
  </si>
  <si>
    <t>Total</t>
  </si>
  <si>
    <t>AK</t>
  </si>
  <si>
    <t xml:space="preserve">Schedule of Real Estate Taxes as of </t>
  </si>
  <si>
    <t>Current Year Tax Bill</t>
  </si>
  <si>
    <t>AL</t>
  </si>
  <si>
    <t>AR</t>
  </si>
  <si>
    <t>AZ</t>
  </si>
  <si>
    <t>State</t>
  </si>
  <si>
    <t>CA</t>
  </si>
  <si>
    <t>CO</t>
  </si>
  <si>
    <t>Prepaid Taxes:</t>
  </si>
  <si>
    <t>13070-000</t>
  </si>
  <si>
    <t>CT</t>
  </si>
  <si>
    <t>Period From</t>
  </si>
  <si>
    <t>Period To</t>
  </si>
  <si>
    <t># of Months</t>
  </si>
  <si>
    <t>GL Code</t>
  </si>
  <si>
    <t>Tax Description</t>
  </si>
  <si>
    <t>Annual Tax</t>
  </si>
  <si>
    <t>Monthly Amortization</t>
  </si>
  <si>
    <t># of Months Prepaid</t>
  </si>
  <si>
    <t>Total Prepaid</t>
  </si>
  <si>
    <t>Prior Year Tax Bill</t>
  </si>
  <si>
    <t>DC</t>
  </si>
  <si>
    <t>62010-000</t>
  </si>
  <si>
    <t>Ad Valorem Property Taxes</t>
  </si>
  <si>
    <t>DE</t>
  </si>
  <si>
    <t>62030-000</t>
  </si>
  <si>
    <t>FL</t>
  </si>
  <si>
    <t>GA</t>
  </si>
  <si>
    <t>HI</t>
  </si>
  <si>
    <t>IA</t>
  </si>
  <si>
    <t>ID</t>
  </si>
  <si>
    <t>IL</t>
  </si>
  <si>
    <t>IN</t>
  </si>
  <si>
    <t>KS</t>
  </si>
  <si>
    <t>Accrued Taxes:</t>
  </si>
  <si>
    <t>22020-000</t>
  </si>
  <si>
    <t>Most common trend for this state; verify due dates match tax statement</t>
  </si>
  <si>
    <t>KY</t>
  </si>
  <si>
    <t>Estimated Tax</t>
  </si>
  <si>
    <t># of Months Accrued</t>
  </si>
  <si>
    <t>Total Accrued</t>
  </si>
  <si>
    <t>1st month accrual</t>
  </si>
  <si>
    <t>Prepaid # Months</t>
  </si>
  <si>
    <t>Accrued # Months</t>
  </si>
  <si>
    <t>LA</t>
  </si>
  <si>
    <t>January</t>
  </si>
  <si>
    <t>MA</t>
  </si>
  <si>
    <t>February</t>
  </si>
  <si>
    <t>MD</t>
  </si>
  <si>
    <t>March</t>
  </si>
  <si>
    <t>ME</t>
  </si>
  <si>
    <t>April</t>
  </si>
  <si>
    <t>MI</t>
  </si>
  <si>
    <t>May</t>
  </si>
  <si>
    <t>MN</t>
  </si>
  <si>
    <t>June</t>
  </si>
  <si>
    <t>MO</t>
  </si>
  <si>
    <t>July</t>
  </si>
  <si>
    <t>MS</t>
  </si>
  <si>
    <t>August</t>
  </si>
  <si>
    <t>MT</t>
  </si>
  <si>
    <t>September</t>
  </si>
  <si>
    <t>NC</t>
  </si>
  <si>
    <t xml:space="preserve">County </t>
  </si>
  <si>
    <t>Assessor's Website</t>
  </si>
  <si>
    <t>Parcel/Schedule #</t>
  </si>
  <si>
    <t>Payment Type</t>
  </si>
  <si>
    <t>1st Installment $</t>
  </si>
  <si>
    <t>1st Due Date</t>
  </si>
  <si>
    <t>Date Paid</t>
  </si>
  <si>
    <t>2nd Installment $</t>
  </si>
  <si>
    <t>2nd Due Date</t>
  </si>
  <si>
    <t>3rd Installment $</t>
  </si>
  <si>
    <t>3rd Due Date</t>
  </si>
  <si>
    <t>4th Installment $</t>
  </si>
  <si>
    <t>4th Due Date</t>
  </si>
  <si>
    <t>October</t>
  </si>
  <si>
    <t>ND</t>
  </si>
  <si>
    <t>Hennepin County Treasurer</t>
  </si>
  <si>
    <t>Pay property taxes | Hennepin County</t>
  </si>
  <si>
    <t>08-119-21-14-0065</t>
  </si>
  <si>
    <t>Escrow - Pai d by Lender</t>
  </si>
  <si>
    <t>November</t>
  </si>
  <si>
    <t>NE</t>
  </si>
  <si>
    <t>08-119-21-14-0063</t>
  </si>
  <si>
    <t>December</t>
  </si>
  <si>
    <t>NH</t>
  </si>
  <si>
    <t>08-119-21-14-0064</t>
  </si>
  <si>
    <t xml:space="preserve">*Table assumes payments due mid-month or EOM were made in current month; </t>
  </si>
  <si>
    <t>NJ</t>
  </si>
  <si>
    <t>08-119-21-14-0008</t>
  </si>
  <si>
    <t>payments due on 1st were made in previous month</t>
  </si>
  <si>
    <t>NM</t>
  </si>
  <si>
    <t>08-119-21-41-0009</t>
  </si>
  <si>
    <t>NV</t>
  </si>
  <si>
    <t>NY</t>
  </si>
  <si>
    <t>OH</t>
  </si>
  <si>
    <t>OK</t>
  </si>
  <si>
    <t>OR</t>
  </si>
  <si>
    <t>PA</t>
  </si>
  <si>
    <t>RI</t>
  </si>
  <si>
    <t>SC</t>
  </si>
  <si>
    <t>TN</t>
  </si>
  <si>
    <t>TX</t>
  </si>
  <si>
    <t>UT</t>
  </si>
  <si>
    <t>VA</t>
  </si>
  <si>
    <t>VT</t>
  </si>
  <si>
    <t>WA</t>
  </si>
  <si>
    <t>WI</t>
  </si>
  <si>
    <t>WV</t>
  </si>
  <si>
    <t>WY</t>
  </si>
  <si>
    <t xml:space="preserve">Schedule of Insurance as of </t>
  </si>
  <si>
    <t>Prepaid Insurance:</t>
  </si>
  <si>
    <t>13050-000</t>
  </si>
  <si>
    <t>Current Policy</t>
  </si>
  <si>
    <t>Prior Policy</t>
  </si>
  <si>
    <t>Policy Coverage</t>
  </si>
  <si>
    <t>Policy Number</t>
  </si>
  <si>
    <t>Provider</t>
  </si>
  <si>
    <t>Annual Premium</t>
  </si>
  <si>
    <t>Payment Date</t>
  </si>
  <si>
    <t>63010-000</t>
  </si>
  <si>
    <t>US500079821B</t>
  </si>
  <si>
    <t>WTW</t>
  </si>
  <si>
    <t>Accrued Insurance:</t>
  </si>
  <si>
    <t>22025-000</t>
  </si>
  <si>
    <t>Estimated Premium</t>
  </si>
  <si>
    <t>1st Installment Due</t>
  </si>
  <si>
    <t>2nd Installment Due</t>
  </si>
  <si>
    <t>3rd Installment Due</t>
  </si>
  <si>
    <t>4th Installment Due</t>
  </si>
  <si>
    <t>N/A</t>
  </si>
  <si>
    <t>Hand Key</t>
  </si>
  <si>
    <t>Varies by County</t>
  </si>
  <si>
    <t>Payment Count</t>
  </si>
  <si>
    <t>Tax Period 1 Start</t>
  </si>
  <si>
    <t>Tax Period 1 End</t>
  </si>
  <si>
    <t>Tax Period 2 Start</t>
  </si>
  <si>
    <t>Tax Period 2 End</t>
  </si>
  <si>
    <t>Tax Period 3 Start</t>
  </si>
  <si>
    <t>Tax Period 3 End</t>
  </si>
  <si>
    <t>Tax Period 4 Start</t>
  </si>
  <si>
    <t>Tax Period 4 End</t>
  </si>
  <si>
    <t>610 West (mn610wes)</t>
  </si>
  <si>
    <t>As of=</t>
  </si>
  <si>
    <t>Annual Interest Rate=</t>
  </si>
  <si>
    <t>Unit</t>
  </si>
  <si>
    <t>Unit Type</t>
  </si>
  <si>
    <t>Resident</t>
  </si>
  <si>
    <t>Name</t>
  </si>
  <si>
    <t>Market</t>
  </si>
  <si>
    <t>Charge</t>
  </si>
  <si>
    <t>Amount</t>
  </si>
  <si>
    <t>Other</t>
  </si>
  <si>
    <t>Move In</t>
  </si>
  <si>
    <t>Lease</t>
  </si>
  <si>
    <t>Move Out</t>
  </si>
  <si>
    <t>Balance</t>
  </si>
  <si>
    <t xml:space="preserve"># of Days From Move In </t>
  </si>
  <si>
    <t>Daily Interest at 2.94%</t>
  </si>
  <si>
    <t>Total Interest</t>
  </si>
  <si>
    <t>Sq Ft</t>
  </si>
  <si>
    <t>Rent</t>
  </si>
  <si>
    <t>Code</t>
  </si>
  <si>
    <t>Deposit</t>
  </si>
  <si>
    <t>Expiration</t>
  </si>
  <si>
    <t>Current/Notice/Vacant Residents</t>
  </si>
  <si>
    <t>1101</t>
  </si>
  <si>
    <t>610a10qH</t>
  </si>
  <si>
    <t>61000002</t>
  </si>
  <si>
    <t>Ibironke Sanyaolu</t>
  </si>
  <si>
    <t>rent</t>
  </si>
  <si>
    <t>1102</t>
  </si>
  <si>
    <t>610e10a</t>
  </si>
  <si>
    <t>t3263996</t>
  </si>
  <si>
    <t>Melanie Nunez</t>
  </si>
  <si>
    <t>1104</t>
  </si>
  <si>
    <t>610b25bl</t>
  </si>
  <si>
    <t>61000004</t>
  </si>
  <si>
    <t>Ferhan Barento</t>
  </si>
  <si>
    <t>1105</t>
  </si>
  <si>
    <t>610b20f</t>
  </si>
  <si>
    <t>61000005</t>
  </si>
  <si>
    <t>Cheryl Peterson</t>
  </si>
  <si>
    <t>1106</t>
  </si>
  <si>
    <t>61000006</t>
  </si>
  <si>
    <t>Dante Dixon</t>
  </si>
  <si>
    <t>1107</t>
  </si>
  <si>
    <t>t3373953</t>
  </si>
  <si>
    <t>Kyle Petermeier</t>
  </si>
  <si>
    <t>1108</t>
  </si>
  <si>
    <t>610a10g</t>
  </si>
  <si>
    <t>t3338947</t>
  </si>
  <si>
    <t>Troy Barrick</t>
  </si>
  <si>
    <t>1109</t>
  </si>
  <si>
    <t>610b20d</t>
  </si>
  <si>
    <t>t3243759</t>
  </si>
  <si>
    <t>Kaitlin Dewey</t>
  </si>
  <si>
    <t>1110</t>
  </si>
  <si>
    <t>610a10q</t>
  </si>
  <si>
    <t>61000010</t>
  </si>
  <si>
    <t>Brian Lindholm</t>
  </si>
  <si>
    <t>1111</t>
  </si>
  <si>
    <t>610a10h</t>
  </si>
  <si>
    <t>t3335433</t>
  </si>
  <si>
    <t>*Myesha Wanzer*</t>
  </si>
  <si>
    <t>haprent</t>
  </si>
  <si>
    <t>1112</t>
  </si>
  <si>
    <t>t3337913</t>
  </si>
  <si>
    <t>Thomas Gorman</t>
  </si>
  <si>
    <t>1114</t>
  </si>
  <si>
    <t>610b20m</t>
  </si>
  <si>
    <t>t3362125</t>
  </si>
  <si>
    <t>Maddison Omalley</t>
  </si>
  <si>
    <t>1115</t>
  </si>
  <si>
    <t>61000014</t>
  </si>
  <si>
    <t>Isabella Griffin</t>
  </si>
  <si>
    <t>1116</t>
  </si>
  <si>
    <t>610a10z</t>
  </si>
  <si>
    <t>61000015</t>
  </si>
  <si>
    <t>Diana Richardson</t>
  </si>
  <si>
    <t>1117</t>
  </si>
  <si>
    <t>61000016</t>
  </si>
  <si>
    <t>Ti Siphapaserth</t>
  </si>
  <si>
    <t>1118</t>
  </si>
  <si>
    <t>610b25cl</t>
  </si>
  <si>
    <t>t3232668</t>
  </si>
  <si>
    <t>Kondeh Jalloh</t>
  </si>
  <si>
    <t>1119</t>
  </si>
  <si>
    <t>t3310552</t>
  </si>
  <si>
    <t>Jacob Brookes</t>
  </si>
  <si>
    <t>1120</t>
  </si>
  <si>
    <t>610a10m</t>
  </si>
  <si>
    <t>t3185067</t>
  </si>
  <si>
    <t>Isabelle Lucier</t>
  </si>
  <si>
    <t>1121</t>
  </si>
  <si>
    <t>t3171563</t>
  </si>
  <si>
    <t>*Dionce Taylor*</t>
  </si>
  <si>
    <t>1122</t>
  </si>
  <si>
    <t>t3186298</t>
  </si>
  <si>
    <t>Nadia Sabil*</t>
  </si>
  <si>
    <t>1123</t>
  </si>
  <si>
    <t>610e10b</t>
  </si>
  <si>
    <t>t3319012</t>
  </si>
  <si>
    <t>Brandy Lynch</t>
  </si>
  <si>
    <t>610a10w</t>
  </si>
  <si>
    <t>1125</t>
  </si>
  <si>
    <t>61000022</t>
  </si>
  <si>
    <t>Lindsey Gaustad</t>
  </si>
  <si>
    <t>1126</t>
  </si>
  <si>
    <t>61000023</t>
  </si>
  <si>
    <t>Jose Barreras</t>
  </si>
  <si>
    <t>1127</t>
  </si>
  <si>
    <t>610a10s</t>
  </si>
  <si>
    <t>61000024</t>
  </si>
  <si>
    <t>Emily Haugen</t>
  </si>
  <si>
    <t>1128</t>
  </si>
  <si>
    <t>61000025</t>
  </si>
  <si>
    <t>Jessica Hovind</t>
  </si>
  <si>
    <t>1129</t>
  </si>
  <si>
    <t>610a10r</t>
  </si>
  <si>
    <t>61000026</t>
  </si>
  <si>
    <t>Alexandra Hach</t>
  </si>
  <si>
    <t>1130</t>
  </si>
  <si>
    <t>t3460238</t>
  </si>
  <si>
    <t>Derik Chandler</t>
  </si>
  <si>
    <t>1131</t>
  </si>
  <si>
    <t>t3458169</t>
  </si>
  <si>
    <t>Kevonna Thompson</t>
  </si>
  <si>
    <t>1132</t>
  </si>
  <si>
    <t>61000220</t>
  </si>
  <si>
    <t>Julia Hang</t>
  </si>
  <si>
    <t>1133</t>
  </si>
  <si>
    <t>t3260441</t>
  </si>
  <si>
    <t>Max Enter</t>
  </si>
  <si>
    <t>Kwame Ward</t>
  </si>
  <si>
    <t>1136</t>
  </si>
  <si>
    <t>t3426605</t>
  </si>
  <si>
    <t>Johnette Tarr</t>
  </si>
  <si>
    <t>1137</t>
  </si>
  <si>
    <t>61000032</t>
  </si>
  <si>
    <t>Samuel Broberg</t>
  </si>
  <si>
    <t>1140</t>
  </si>
  <si>
    <t>t3383289</t>
  </si>
  <si>
    <t>Edwina Gaye Sieh</t>
  </si>
  <si>
    <t>1141</t>
  </si>
  <si>
    <t>610b20k</t>
  </si>
  <si>
    <t>1142</t>
  </si>
  <si>
    <t>610a10y</t>
  </si>
  <si>
    <t>61000036</t>
  </si>
  <si>
    <t>Jacquelyn Johnson</t>
  </si>
  <si>
    <t>1143</t>
  </si>
  <si>
    <t>610b20i</t>
  </si>
  <si>
    <t>61000037</t>
  </si>
  <si>
    <t>Eric Spraggins</t>
  </si>
  <si>
    <t>1144</t>
  </si>
  <si>
    <t>610b20a</t>
  </si>
  <si>
    <t>1145</t>
  </si>
  <si>
    <t>610c20c</t>
  </si>
  <si>
    <t>61000039</t>
  </si>
  <si>
    <t>Christina Harris</t>
  </si>
  <si>
    <t>1146</t>
  </si>
  <si>
    <t>610b20h</t>
  </si>
  <si>
    <t>61000040</t>
  </si>
  <si>
    <t>Michael Miller</t>
  </si>
  <si>
    <t>1200</t>
  </si>
  <si>
    <t>610c20b</t>
  </si>
  <si>
    <t>61000041</t>
  </si>
  <si>
    <t>Joyce Togba</t>
  </si>
  <si>
    <t>1202</t>
  </si>
  <si>
    <t>61000043</t>
  </si>
  <si>
    <t>Christopher Burger</t>
  </si>
  <si>
    <t>1203</t>
  </si>
  <si>
    <t>t3143398</t>
  </si>
  <si>
    <t>Radhika Tawade</t>
  </si>
  <si>
    <t>1205</t>
  </si>
  <si>
    <t>61000044</t>
  </si>
  <si>
    <t>Satish Babu Kareni</t>
  </si>
  <si>
    <t>1207</t>
  </si>
  <si>
    <t>61000045</t>
  </si>
  <si>
    <t>Grace Aho</t>
  </si>
  <si>
    <t>1208</t>
  </si>
  <si>
    <t>61000046</t>
  </si>
  <si>
    <t>Makenna Pearson</t>
  </si>
  <si>
    <t>1209</t>
  </si>
  <si>
    <t>t3315368</t>
  </si>
  <si>
    <t>Abdi Ismeal</t>
  </si>
  <si>
    <t>1210</t>
  </si>
  <si>
    <t>t3462513</t>
  </si>
  <si>
    <t>Washington Toe</t>
  </si>
  <si>
    <t>1211</t>
  </si>
  <si>
    <t>t3354771</t>
  </si>
  <si>
    <t>Carter Smith</t>
  </si>
  <si>
    <t>1212</t>
  </si>
  <si>
    <t>61000050</t>
  </si>
  <si>
    <t>Gabriella Kupsho</t>
  </si>
  <si>
    <t>1214</t>
  </si>
  <si>
    <t>t3412175</t>
  </si>
  <si>
    <t>Lillian Willie</t>
  </si>
  <si>
    <t>1216</t>
  </si>
  <si>
    <t>t3234724</t>
  </si>
  <si>
    <t>Carson Smrz</t>
  </si>
  <si>
    <t>1219</t>
  </si>
  <si>
    <t>t3278011</t>
  </si>
  <si>
    <t>Rameen Kaur Hans</t>
  </si>
  <si>
    <t>1220</t>
  </si>
  <si>
    <t>61000053</t>
  </si>
  <si>
    <t>Cassandra Casey</t>
  </si>
  <si>
    <t>1221</t>
  </si>
  <si>
    <t>t3368319</t>
  </si>
  <si>
    <t>Erick Joel Riquelme Verduzco</t>
  </si>
  <si>
    <t>1222</t>
  </si>
  <si>
    <t>t3264600</t>
  </si>
  <si>
    <t>Joseph Akornor</t>
  </si>
  <si>
    <t>1223</t>
  </si>
  <si>
    <t>610e10bH</t>
  </si>
  <si>
    <t>61000055</t>
  </si>
  <si>
    <t>Conor Landkamer</t>
  </si>
  <si>
    <t>1224</t>
  </si>
  <si>
    <t>t3411847</t>
  </si>
  <si>
    <t>Max Grosshandler</t>
  </si>
  <si>
    <t>1225</t>
  </si>
  <si>
    <t>t3329707</t>
  </si>
  <si>
    <t>Jennifer Estling</t>
  </si>
  <si>
    <t>1226</t>
  </si>
  <si>
    <t>61000057</t>
  </si>
  <si>
    <t>Jason Johnson</t>
  </si>
  <si>
    <t>1227</t>
  </si>
  <si>
    <t>61000058</t>
  </si>
  <si>
    <t>Jon Eidsness</t>
  </si>
  <si>
    <t>1228</t>
  </si>
  <si>
    <t>61000059</t>
  </si>
  <si>
    <t>Madison Shoger</t>
  </si>
  <si>
    <t>1229</t>
  </si>
  <si>
    <t>61000060</t>
  </si>
  <si>
    <t>Riostel Ngouajio</t>
  </si>
  <si>
    <t>1231</t>
  </si>
  <si>
    <t>t3369120</t>
  </si>
  <si>
    <t>Jaxon Jones</t>
  </si>
  <si>
    <t>1233</t>
  </si>
  <si>
    <t>t3386373</t>
  </si>
  <si>
    <t>Pawoua Xiong</t>
  </si>
  <si>
    <t>1234</t>
  </si>
  <si>
    <t>61000063</t>
  </si>
  <si>
    <t>Jenneh Sesay</t>
  </si>
  <si>
    <t>1236</t>
  </si>
  <si>
    <t>61000064</t>
  </si>
  <si>
    <t>Peter Osora</t>
  </si>
  <si>
    <t>1239</t>
  </si>
  <si>
    <t>61000065</t>
  </si>
  <si>
    <t>Cynthia Hinchliff</t>
  </si>
  <si>
    <t>1241</t>
  </si>
  <si>
    <t>61000066</t>
  </si>
  <si>
    <t>Kenneth Hutchins</t>
  </si>
  <si>
    <t>1242</t>
  </si>
  <si>
    <t>t3463664</t>
  </si>
  <si>
    <t>Lauren Bosley</t>
  </si>
  <si>
    <t>1243</t>
  </si>
  <si>
    <t>t3438683</t>
  </si>
  <si>
    <t>Tianna Mitchell*</t>
  </si>
  <si>
    <t>1244</t>
  </si>
  <si>
    <t>61000069</t>
  </si>
  <si>
    <t>Fatima Kamara</t>
  </si>
  <si>
    <t>1246</t>
  </si>
  <si>
    <t>t3391045</t>
  </si>
  <si>
    <t>Katina Frierson</t>
  </si>
  <si>
    <t>1300</t>
  </si>
  <si>
    <t>t3377716</t>
  </si>
  <si>
    <t>Samara Starr**</t>
  </si>
  <si>
    <t>1301</t>
  </si>
  <si>
    <t>t3437260</t>
  </si>
  <si>
    <t>Jenna Nelson</t>
  </si>
  <si>
    <t>1302</t>
  </si>
  <si>
    <t>t3338561</t>
  </si>
  <si>
    <t>Maxwell Perron</t>
  </si>
  <si>
    <t>1303</t>
  </si>
  <si>
    <t>t3430858</t>
  </si>
  <si>
    <t>Riley Schewe</t>
  </si>
  <si>
    <t>1304</t>
  </si>
  <si>
    <t>61000074</t>
  </si>
  <si>
    <t>Alina Baltimore</t>
  </si>
  <si>
    <t>1305</t>
  </si>
  <si>
    <t>t3272305</t>
  </si>
  <si>
    <t>Marian Osman</t>
  </si>
  <si>
    <t>1306</t>
  </si>
  <si>
    <t>61000076</t>
  </si>
  <si>
    <t>Bikila Tasisa</t>
  </si>
  <si>
    <t>1307</t>
  </si>
  <si>
    <t>t3253975</t>
  </si>
  <si>
    <t>Charlisa Tillman</t>
  </si>
  <si>
    <t>1308</t>
  </si>
  <si>
    <t>t3260556</t>
  </si>
  <si>
    <t>Abdul Mohammed</t>
  </si>
  <si>
    <t>1309</t>
  </si>
  <si>
    <t>61000078</t>
  </si>
  <si>
    <t>David Ketter</t>
  </si>
  <si>
    <t>1310</t>
  </si>
  <si>
    <t>t3336125</t>
  </si>
  <si>
    <t>Juvell Campbell</t>
  </si>
  <si>
    <t>1311</t>
  </si>
  <si>
    <t>t3263404</t>
  </si>
  <si>
    <t>Stephanie Chamberlain</t>
  </si>
  <si>
    <t>1312</t>
  </si>
  <si>
    <t>61000080</t>
  </si>
  <si>
    <t>Nicole Lindquist</t>
  </si>
  <si>
    <t>1313</t>
  </si>
  <si>
    <t>61000081</t>
  </si>
  <si>
    <t>Tiffany Traut</t>
  </si>
  <si>
    <t>1314</t>
  </si>
  <si>
    <t>t3167176</t>
  </si>
  <si>
    <t>Kimberle Bergman</t>
  </si>
  <si>
    <t>1316</t>
  </si>
  <si>
    <t>t3463284</t>
  </si>
  <si>
    <t>Denise Holloway</t>
  </si>
  <si>
    <t>1317</t>
  </si>
  <si>
    <t>61000084</t>
  </si>
  <si>
    <t>Ridwan Ayandedji</t>
  </si>
  <si>
    <t>1318</t>
  </si>
  <si>
    <t>610a10j</t>
  </si>
  <si>
    <t>t3311927</t>
  </si>
  <si>
    <t>Christopher Penne</t>
  </si>
  <si>
    <t>1319</t>
  </si>
  <si>
    <t>61000085</t>
  </si>
  <si>
    <t>Jordan Reichel</t>
  </si>
  <si>
    <t>1320</t>
  </si>
  <si>
    <t>t3337765</t>
  </si>
  <si>
    <t>Francis Mwaura</t>
  </si>
  <si>
    <t>1322</t>
  </si>
  <si>
    <t>t3263162</t>
  </si>
  <si>
    <t>Tajayza Eatmon'wise*</t>
  </si>
  <si>
    <t>1323</t>
  </si>
  <si>
    <t>61000088</t>
  </si>
  <si>
    <t>Alex Bear</t>
  </si>
  <si>
    <t>1324</t>
  </si>
  <si>
    <t>t3226361</t>
  </si>
  <si>
    <t>Jennifer Evers</t>
  </si>
  <si>
    <t>1325</t>
  </si>
  <si>
    <t>t3379691</t>
  </si>
  <si>
    <t>Melanie Hernandez Lozano</t>
  </si>
  <si>
    <t>1326</t>
  </si>
  <si>
    <t>61000091</t>
  </si>
  <si>
    <t>Debbie Davis</t>
  </si>
  <si>
    <t>1327</t>
  </si>
  <si>
    <t>t3235965</t>
  </si>
  <si>
    <t>Tucker Hollenkamp</t>
  </si>
  <si>
    <t>1328</t>
  </si>
  <si>
    <t>61000092</t>
  </si>
  <si>
    <t>Kevin Poe</t>
  </si>
  <si>
    <t>1329</t>
  </si>
  <si>
    <t>61000093</t>
  </si>
  <si>
    <t>Megan Coyle</t>
  </si>
  <si>
    <t>1331</t>
  </si>
  <si>
    <t>61000095</t>
  </si>
  <si>
    <t>Julie May</t>
  </si>
  <si>
    <t>1332</t>
  </si>
  <si>
    <t>t3439791</t>
  </si>
  <si>
    <t>Randy Donnerson Jr</t>
  </si>
  <si>
    <t>1333</t>
  </si>
  <si>
    <t>t3250654</t>
  </si>
  <si>
    <t>DejaRae Durant</t>
  </si>
  <si>
    <t>1334</t>
  </si>
  <si>
    <t>t3342285</t>
  </si>
  <si>
    <t>Jeanna Burns</t>
  </si>
  <si>
    <t>1335</t>
  </si>
  <si>
    <t>610b20fH</t>
  </si>
  <si>
    <t>61000097</t>
  </si>
  <si>
    <t>Jason Martinez</t>
  </si>
  <si>
    <t>1336</t>
  </si>
  <si>
    <t>t3418056</t>
  </si>
  <si>
    <t>Brandy Gaston*</t>
  </si>
  <si>
    <t>1337</t>
  </si>
  <si>
    <t>61000099</t>
  </si>
  <si>
    <t>Fechatu Tadesse</t>
  </si>
  <si>
    <t>1338</t>
  </si>
  <si>
    <t>61000249</t>
  </si>
  <si>
    <t>Emmanuel Dweh</t>
  </si>
  <si>
    <t>1340</t>
  </si>
  <si>
    <t>61000102</t>
  </si>
  <si>
    <t>Ann Quinn</t>
  </si>
  <si>
    <t>1341</t>
  </si>
  <si>
    <t>t3385543</t>
  </si>
  <si>
    <t>Bree Murphy</t>
  </si>
  <si>
    <t>1342</t>
  </si>
  <si>
    <t>61000073</t>
  </si>
  <si>
    <t>Tarsilla Chiaratti</t>
  </si>
  <si>
    <t>1343</t>
  </si>
  <si>
    <t>t3497614</t>
  </si>
  <si>
    <t>Michael Rivero</t>
  </si>
  <si>
    <t>1344</t>
  </si>
  <si>
    <t>61000106</t>
  </si>
  <si>
    <t>Anthony Merchant</t>
  </si>
  <si>
    <t>1345</t>
  </si>
  <si>
    <t>61000107</t>
  </si>
  <si>
    <t>Michael Schooley</t>
  </si>
  <si>
    <t>1346</t>
  </si>
  <si>
    <t>t3367304</t>
  </si>
  <si>
    <t>Hindi Abdi</t>
  </si>
  <si>
    <t>1400</t>
  </si>
  <si>
    <t>t3322599</t>
  </si>
  <si>
    <t>Jennifer Donnell**</t>
  </si>
  <si>
    <t>1401</t>
  </si>
  <si>
    <t>t3464991</t>
  </si>
  <si>
    <t>Latya Wheeler</t>
  </si>
  <si>
    <t>1402</t>
  </si>
  <si>
    <t>61000111</t>
  </si>
  <si>
    <t>John Lawrence</t>
  </si>
  <si>
    <t>1403</t>
  </si>
  <si>
    <t>61000112</t>
  </si>
  <si>
    <t>William Chan</t>
  </si>
  <si>
    <t>1404</t>
  </si>
  <si>
    <t>t3372149</t>
  </si>
  <si>
    <t>Michael Mahre</t>
  </si>
  <si>
    <t>1405</t>
  </si>
  <si>
    <t>t3227480</t>
  </si>
  <si>
    <t>Yongor Wilson-Kenneth</t>
  </si>
  <si>
    <t>1406</t>
  </si>
  <si>
    <t>61000115</t>
  </si>
  <si>
    <t>Sade Odens-Jones</t>
  </si>
  <si>
    <t>1407</t>
  </si>
  <si>
    <t>t3405457</t>
  </si>
  <si>
    <t>John Harms</t>
  </si>
  <si>
    <t>1409</t>
  </si>
  <si>
    <t>t3258846</t>
  </si>
  <si>
    <t>Mario Perez Valadez</t>
  </si>
  <si>
    <t>1411</t>
  </si>
  <si>
    <t>61000119</t>
  </si>
  <si>
    <t>Stephen Gompertz</t>
  </si>
  <si>
    <t>1412</t>
  </si>
  <si>
    <t>t3318794</t>
  </si>
  <si>
    <t>Faysal Ibrahim</t>
  </si>
  <si>
    <t>1414</t>
  </si>
  <si>
    <t>t3246448</t>
  </si>
  <si>
    <t>Mishele Cunningham</t>
  </si>
  <si>
    <t>1415</t>
  </si>
  <si>
    <t>t3347488</t>
  </si>
  <si>
    <t>Shamiyra Walker</t>
  </si>
  <si>
    <t>1416</t>
  </si>
  <si>
    <t>t3456931</t>
  </si>
  <si>
    <t>Mikaela Ganz-Brown</t>
  </si>
  <si>
    <t>1417</t>
  </si>
  <si>
    <t>61000124</t>
  </si>
  <si>
    <t>Cheryl Stone</t>
  </si>
  <si>
    <t>Brandon Pomp</t>
  </si>
  <si>
    <t>1419</t>
  </si>
  <si>
    <t>t3188326</t>
  </si>
  <si>
    <t>Terry Stoe</t>
  </si>
  <si>
    <t>1420</t>
  </si>
  <si>
    <t>61000403</t>
  </si>
  <si>
    <t>Jean-Philippe Ohane</t>
  </si>
  <si>
    <t>1421</t>
  </si>
  <si>
    <t>61000127</t>
  </si>
  <si>
    <t>Ivan Yeremeichuk</t>
  </si>
  <si>
    <t>1422</t>
  </si>
  <si>
    <t>t3143223</t>
  </si>
  <si>
    <t>Abigayle Miller</t>
  </si>
  <si>
    <t>1423</t>
  </si>
  <si>
    <t>61000128</t>
  </si>
  <si>
    <t>Blake Fischer</t>
  </si>
  <si>
    <t>1424</t>
  </si>
  <si>
    <t>610a10wH</t>
  </si>
  <si>
    <t>t3291271</t>
  </si>
  <si>
    <t>Katherine Young</t>
  </si>
  <si>
    <t>1425</t>
  </si>
  <si>
    <t>61000130</t>
  </si>
  <si>
    <t>Yasmin Estrada-Moreno</t>
  </si>
  <si>
    <t>1427</t>
  </si>
  <si>
    <t>61000282</t>
  </si>
  <si>
    <t>Megan Welch</t>
  </si>
  <si>
    <t>1428</t>
  </si>
  <si>
    <t>61000133</t>
  </si>
  <si>
    <t>Jennifer Ollila</t>
  </si>
  <si>
    <t>1429</t>
  </si>
  <si>
    <t>61000134</t>
  </si>
  <si>
    <t>Dustin Jacobsen</t>
  </si>
  <si>
    <t>1430</t>
  </si>
  <si>
    <t>t3336645</t>
  </si>
  <si>
    <t>Maya Pfleghaar</t>
  </si>
  <si>
    <t>1431</t>
  </si>
  <si>
    <t>61000135</t>
  </si>
  <si>
    <t>Dalton Olson</t>
  </si>
  <si>
    <t>1432</t>
  </si>
  <si>
    <t>61000136</t>
  </si>
  <si>
    <t>Lucas Wyatt</t>
  </si>
  <si>
    <t>1433</t>
  </si>
  <si>
    <t>t3344390</t>
  </si>
  <si>
    <t>Tom Uzenabor</t>
  </si>
  <si>
    <t>1434</t>
  </si>
  <si>
    <t>61000138</t>
  </si>
  <si>
    <t>Enisa Bajric</t>
  </si>
  <si>
    <t>1435</t>
  </si>
  <si>
    <t>61000139</t>
  </si>
  <si>
    <t>Gregory Wong</t>
  </si>
  <si>
    <t>1436</t>
  </si>
  <si>
    <t>61000140</t>
  </si>
  <si>
    <t>Damon Peterson Jr</t>
  </si>
  <si>
    <t>1437</t>
  </si>
  <si>
    <t>t3318396</t>
  </si>
  <si>
    <t>Katdal Oniyama</t>
  </si>
  <si>
    <t>1438</t>
  </si>
  <si>
    <t>61000142</t>
  </si>
  <si>
    <t>Amelia Vande Zande</t>
  </si>
  <si>
    <t>1439</t>
  </si>
  <si>
    <t>61000143</t>
  </si>
  <si>
    <t>Kenneth Cosgrove</t>
  </si>
  <si>
    <t>1440</t>
  </si>
  <si>
    <t>t3486161</t>
  </si>
  <si>
    <t>Liza Rodriguez</t>
  </si>
  <si>
    <t>1441</t>
  </si>
  <si>
    <t>61000145</t>
  </si>
  <si>
    <t>Virgeana Olberg</t>
  </si>
  <si>
    <t>1443</t>
  </si>
  <si>
    <t>61000147</t>
  </si>
  <si>
    <t>Emily Johnson</t>
  </si>
  <si>
    <t>1444</t>
  </si>
  <si>
    <t>61000172</t>
  </si>
  <si>
    <t>Brandon Ortega</t>
  </si>
  <si>
    <t>1445</t>
  </si>
  <si>
    <t>61000149</t>
  </si>
  <si>
    <t>Tinzing Artmann</t>
  </si>
  <si>
    <t>1446</t>
  </si>
  <si>
    <t>t3400092</t>
  </si>
  <si>
    <t>Ryan Adkins</t>
  </si>
  <si>
    <t>2101</t>
  </si>
  <si>
    <t>610b25al</t>
  </si>
  <si>
    <t>t3337754</t>
  </si>
  <si>
    <t>Alexandra Wilson</t>
  </si>
  <si>
    <t>2102</t>
  </si>
  <si>
    <t>t3145274</t>
  </si>
  <si>
    <t>Kimberly Murray*</t>
  </si>
  <si>
    <t>2103</t>
  </si>
  <si>
    <t>610a10n</t>
  </si>
  <si>
    <t>t3219903</t>
  </si>
  <si>
    <t>Alyson Truong</t>
  </si>
  <si>
    <t>2104</t>
  </si>
  <si>
    <t>610b20c</t>
  </si>
  <si>
    <t>61000153</t>
  </si>
  <si>
    <t>Iesha Young</t>
  </si>
  <si>
    <t>2105</t>
  </si>
  <si>
    <t>t3327484</t>
  </si>
  <si>
    <t>Faith Jenkins</t>
  </si>
  <si>
    <t>2106</t>
  </si>
  <si>
    <t>t3210500</t>
  </si>
  <si>
    <t>Razat Sutradhar</t>
  </si>
  <si>
    <t>2107</t>
  </si>
  <si>
    <t>t3403972</t>
  </si>
  <si>
    <t>Rochelle Peterson</t>
  </si>
  <si>
    <t>2108</t>
  </si>
  <si>
    <t>t3294628</t>
  </si>
  <si>
    <t>Zamzam Kussu*</t>
  </si>
  <si>
    <t>2109</t>
  </si>
  <si>
    <t>610b20g</t>
  </si>
  <si>
    <t>61000157</t>
  </si>
  <si>
    <t>Cara Almquist</t>
  </si>
  <si>
    <t>2110</t>
  </si>
  <si>
    <t>t3367209</t>
  </si>
  <si>
    <t>Patrice Johnson</t>
  </si>
  <si>
    <t>2111</t>
  </si>
  <si>
    <t>t3396355</t>
  </si>
  <si>
    <t>Erica Yusufu</t>
  </si>
  <si>
    <t>2112</t>
  </si>
  <si>
    <t>61000159</t>
  </si>
  <si>
    <t>Brian McCaffrey</t>
  </si>
  <si>
    <t>2113</t>
  </si>
  <si>
    <t>61000160</t>
  </si>
  <si>
    <t>Kamal Wazwaz</t>
  </si>
  <si>
    <t>2114</t>
  </si>
  <si>
    <t>t3426352</t>
  </si>
  <si>
    <t>Parker Olson</t>
  </si>
  <si>
    <t>2115</t>
  </si>
  <si>
    <t>t3437757</t>
  </si>
  <si>
    <t>Catherine Dao</t>
  </si>
  <si>
    <t>2116</t>
  </si>
  <si>
    <t>t3471047</t>
  </si>
  <si>
    <t>Kristina Cruz</t>
  </si>
  <si>
    <t>2117</t>
  </si>
  <si>
    <t>61000164</t>
  </si>
  <si>
    <t>Joshua Watson</t>
  </si>
  <si>
    <t>2118</t>
  </si>
  <si>
    <t>61000165</t>
  </si>
  <si>
    <t>Micheal Gray</t>
  </si>
  <si>
    <t>2204</t>
  </si>
  <si>
    <t>2205</t>
  </si>
  <si>
    <t>61000168</t>
  </si>
  <si>
    <t>Kaitlin Cope</t>
  </si>
  <si>
    <t>2206</t>
  </si>
  <si>
    <t>61000169</t>
  </si>
  <si>
    <t>Pada Lee</t>
  </si>
  <si>
    <t>2209</t>
  </si>
  <si>
    <t>61000170</t>
  </si>
  <si>
    <t>Zoe Dascalos</t>
  </si>
  <si>
    <t>2210</t>
  </si>
  <si>
    <t>61000171</t>
  </si>
  <si>
    <t>Audrey Lieder</t>
  </si>
  <si>
    <t>2211</t>
  </si>
  <si>
    <t>t3181841</t>
  </si>
  <si>
    <t>Jeffrey Dahlman</t>
  </si>
  <si>
    <t>2212</t>
  </si>
  <si>
    <t>t3462840</t>
  </si>
  <si>
    <t>Kayte Troyer</t>
  </si>
  <si>
    <t>2213</t>
  </si>
  <si>
    <t>t3202487</t>
  </si>
  <si>
    <t>*Makayla Wilson*</t>
  </si>
  <si>
    <t>2214</t>
  </si>
  <si>
    <t>61000175</t>
  </si>
  <si>
    <t>Amy Ram</t>
  </si>
  <si>
    <t>2215</t>
  </si>
  <si>
    <t>t3209799</t>
  </si>
  <si>
    <t>Erickson Saye</t>
  </si>
  <si>
    <t>2217</t>
  </si>
  <si>
    <t>61000178</t>
  </si>
  <si>
    <t>Elliott Boman</t>
  </si>
  <si>
    <t>2218</t>
  </si>
  <si>
    <t>61000179</t>
  </si>
  <si>
    <t>Madeline Lewis</t>
  </si>
  <si>
    <t>2301</t>
  </si>
  <si>
    <t>610a10e</t>
  </si>
  <si>
    <t>t3297013</t>
  </si>
  <si>
    <t>Sujitha Reddy Chinta</t>
  </si>
  <si>
    <t>2302</t>
  </si>
  <si>
    <t>61000181</t>
  </si>
  <si>
    <t>Sheila Johnson</t>
  </si>
  <si>
    <t>2303</t>
  </si>
  <si>
    <t>t3143257</t>
  </si>
  <si>
    <t>*Kyle Lindgren</t>
  </si>
  <si>
    <t>2304</t>
  </si>
  <si>
    <t>61000182</t>
  </si>
  <si>
    <t>Erick Anderson</t>
  </si>
  <si>
    <t>2305</t>
  </si>
  <si>
    <t>61000430</t>
  </si>
  <si>
    <t>Christopher Oliphant</t>
  </si>
  <si>
    <t>2306</t>
  </si>
  <si>
    <t>61000183</t>
  </si>
  <si>
    <t>Sandra White</t>
  </si>
  <si>
    <t>2307</t>
  </si>
  <si>
    <t>61000184</t>
  </si>
  <si>
    <t>Diana Trachuk</t>
  </si>
  <si>
    <t>2308</t>
  </si>
  <si>
    <t>61000185</t>
  </si>
  <si>
    <t>Thomas Swails</t>
  </si>
  <si>
    <t>2309</t>
  </si>
  <si>
    <t>61000186</t>
  </si>
  <si>
    <t>Jane Mrazek Flanders</t>
  </si>
  <si>
    <t>2310</t>
  </si>
  <si>
    <t>61000187</t>
  </si>
  <si>
    <t>Jacob Skorczewski</t>
  </si>
  <si>
    <t>2312</t>
  </si>
  <si>
    <t>61000189</t>
  </si>
  <si>
    <t>Heather Goettsche</t>
  </si>
  <si>
    <t>2313</t>
  </si>
  <si>
    <t>61000190</t>
  </si>
  <si>
    <t>David Margulies</t>
  </si>
  <si>
    <t>2314</t>
  </si>
  <si>
    <t>t3308336</t>
  </si>
  <si>
    <t>Nora Jones-Harrigin</t>
  </si>
  <si>
    <t>2315</t>
  </si>
  <si>
    <t>t3161394</t>
  </si>
  <si>
    <t>Church of Jesus Christ Latter Day Saints</t>
  </si>
  <si>
    <t>2316</t>
  </si>
  <si>
    <t>t3282461</t>
  </si>
  <si>
    <t>Saja Jaleel</t>
  </si>
  <si>
    <t>2317</t>
  </si>
  <si>
    <t>t3317552</t>
  </si>
  <si>
    <t>Dereje Mekonen</t>
  </si>
  <si>
    <t>2318</t>
  </si>
  <si>
    <t>610a10nH</t>
  </si>
  <si>
    <t>t3334338</t>
  </si>
  <si>
    <t>Kongpheng Thao</t>
  </si>
  <si>
    <t>2401</t>
  </si>
  <si>
    <t>t3151248</t>
  </si>
  <si>
    <t>Scott Kippley</t>
  </si>
  <si>
    <t>2402</t>
  </si>
  <si>
    <t>61000196</t>
  </si>
  <si>
    <t>Shivani Guduru</t>
  </si>
  <si>
    <t>2403</t>
  </si>
  <si>
    <t>61000003</t>
  </si>
  <si>
    <t>Dallas Tanner</t>
  </si>
  <si>
    <t>2404</t>
  </si>
  <si>
    <t>610b20cH</t>
  </si>
  <si>
    <t>t3443797</t>
  </si>
  <si>
    <t>Matthew Henderson</t>
  </si>
  <si>
    <t>2405</t>
  </si>
  <si>
    <t>t3296025</t>
  </si>
  <si>
    <t>Kem Young</t>
  </si>
  <si>
    <t>2406</t>
  </si>
  <si>
    <t>t3156618</t>
  </si>
  <si>
    <t>*Tekia Clark*</t>
  </si>
  <si>
    <t>2407</t>
  </si>
  <si>
    <t>61000200</t>
  </si>
  <si>
    <t>Mahmooda Harris</t>
  </si>
  <si>
    <t>2408</t>
  </si>
  <si>
    <t>61000201</t>
  </si>
  <si>
    <t>Diamonique Kimba</t>
  </si>
  <si>
    <t>2409</t>
  </si>
  <si>
    <t>61000202</t>
  </si>
  <si>
    <t>Marsais Broadway</t>
  </si>
  <si>
    <t>2410</t>
  </si>
  <si>
    <t>61000203</t>
  </si>
  <si>
    <t>Justin Balko</t>
  </si>
  <si>
    <t>2411</t>
  </si>
  <si>
    <t>2412</t>
  </si>
  <si>
    <t>61000205</t>
  </si>
  <si>
    <t>Raymundo Jao</t>
  </si>
  <si>
    <t>2413</t>
  </si>
  <si>
    <t>t3207372</t>
  </si>
  <si>
    <t>Brian Donnelly</t>
  </si>
  <si>
    <t>2414</t>
  </si>
  <si>
    <t>61000207</t>
  </si>
  <si>
    <t>Daniel Cramer</t>
  </si>
  <si>
    <t>2415</t>
  </si>
  <si>
    <t>61000208</t>
  </si>
  <si>
    <t>Matthew Jerich</t>
  </si>
  <si>
    <t>2416</t>
  </si>
  <si>
    <t>t3466148</t>
  </si>
  <si>
    <t>Parag Karmarkar</t>
  </si>
  <si>
    <t>2417</t>
  </si>
  <si>
    <t>2418</t>
  </si>
  <si>
    <t>t3265206</t>
  </si>
  <si>
    <t>Travis Linton</t>
  </si>
  <si>
    <t>3100</t>
  </si>
  <si>
    <t>61000211</t>
  </si>
  <si>
    <t>Ardis Gardner</t>
  </si>
  <si>
    <t>3102</t>
  </si>
  <si>
    <t>61000213</t>
  </si>
  <si>
    <t>Martasia Person</t>
  </si>
  <si>
    <t>3103</t>
  </si>
  <si>
    <t>61000214</t>
  </si>
  <si>
    <t>Esmail El-shekeil</t>
  </si>
  <si>
    <t>3104</t>
  </si>
  <si>
    <t>61000215</t>
  </si>
  <si>
    <t>Tiffany Hunt</t>
  </si>
  <si>
    <t>3106</t>
  </si>
  <si>
    <t>t3353146</t>
  </si>
  <si>
    <t>Wilmer Rivera Quijada</t>
  </si>
  <si>
    <t>3107</t>
  </si>
  <si>
    <t>t3243075</t>
  </si>
  <si>
    <t>Amir Bashir</t>
  </si>
  <si>
    <t>3108</t>
  </si>
  <si>
    <t>61000029</t>
  </si>
  <si>
    <t>Shakurr Debbs</t>
  </si>
  <si>
    <t>3200</t>
  </si>
  <si>
    <t>610a10xH</t>
  </si>
  <si>
    <t>61000219</t>
  </si>
  <si>
    <t>Kelavonte Riley</t>
  </si>
  <si>
    <t>3201</t>
  </si>
  <si>
    <t>t3450395</t>
  </si>
  <si>
    <t>Brenda Salgado-Valtierrez</t>
  </si>
  <si>
    <t>3202</t>
  </si>
  <si>
    <t>t3250883</t>
  </si>
  <si>
    <t>Halima Hassan*</t>
  </si>
  <si>
    <t>3204</t>
  </si>
  <si>
    <t>61000223</t>
  </si>
  <si>
    <t>Danielle Taylor</t>
  </si>
  <si>
    <t>3206</t>
  </si>
  <si>
    <t>61000224</t>
  </si>
  <si>
    <t>Evelyn Sullivan</t>
  </si>
  <si>
    <t>3207</t>
  </si>
  <si>
    <t>61000225</t>
  </si>
  <si>
    <t>Katheryn Benson</t>
  </si>
  <si>
    <t>3301</t>
  </si>
  <si>
    <t>t3161849</t>
  </si>
  <si>
    <t>Teashia Parker</t>
  </si>
  <si>
    <t>3302</t>
  </si>
  <si>
    <t>t3246375</t>
  </si>
  <si>
    <t>Leanne Harsha*</t>
  </si>
  <si>
    <t>3303</t>
  </si>
  <si>
    <t>t3258762</t>
  </si>
  <si>
    <t>Bashir Bashir</t>
  </si>
  <si>
    <t>3304</t>
  </si>
  <si>
    <t>61000369</t>
  </si>
  <si>
    <t>Abdifatah Ali</t>
  </si>
  <si>
    <t>3305</t>
  </si>
  <si>
    <t>61000229</t>
  </si>
  <si>
    <t>Luke Erickson</t>
  </si>
  <si>
    <t>3306</t>
  </si>
  <si>
    <t>61000230</t>
  </si>
  <si>
    <t>Deontrae Morehead</t>
  </si>
  <si>
    <t>3307</t>
  </si>
  <si>
    <t>61000231</t>
  </si>
  <si>
    <t>Foncham Foncham</t>
  </si>
  <si>
    <t>3308</t>
  </si>
  <si>
    <t>61000232</t>
  </si>
  <si>
    <t>Kelly Gibbs</t>
  </si>
  <si>
    <t>3400</t>
  </si>
  <si>
    <t>610a10x</t>
  </si>
  <si>
    <t>61000233</t>
  </si>
  <si>
    <t>Kristen Cherry</t>
  </si>
  <si>
    <t>3401</t>
  </si>
  <si>
    <t>61000234</t>
  </si>
  <si>
    <t>Kristina Peterson</t>
  </si>
  <si>
    <t>3402</t>
  </si>
  <si>
    <t>61000235</t>
  </si>
  <si>
    <t>Gaitri Ramjohn</t>
  </si>
  <si>
    <t>3403</t>
  </si>
  <si>
    <t>t3227452</t>
  </si>
  <si>
    <t>Cintya Hernandez</t>
  </si>
  <si>
    <t>3404</t>
  </si>
  <si>
    <t>61000237</t>
  </si>
  <si>
    <t>Kathleen Dockter</t>
  </si>
  <si>
    <t>3405</t>
  </si>
  <si>
    <t>t3191237</t>
  </si>
  <si>
    <t>Kayla Sanders</t>
  </si>
  <si>
    <t>3406</t>
  </si>
  <si>
    <t>61000239</t>
  </si>
  <si>
    <t>Sadik Omer</t>
  </si>
  <si>
    <t>3407</t>
  </si>
  <si>
    <t>61000240</t>
  </si>
  <si>
    <t>Rich Agostino</t>
  </si>
  <si>
    <t>3408</t>
  </si>
  <si>
    <t>61000241</t>
  </si>
  <si>
    <t>Kelly Couillard</t>
  </si>
  <si>
    <t>4103</t>
  </si>
  <si>
    <t>610b20p</t>
  </si>
  <si>
    <t>61000248</t>
  </si>
  <si>
    <t>Ameriah Colbert</t>
  </si>
  <si>
    <t>4106</t>
  </si>
  <si>
    <t>61000245</t>
  </si>
  <si>
    <t>Shane Miller</t>
  </si>
  <si>
    <t>4107</t>
  </si>
  <si>
    <t>610a10f</t>
  </si>
  <si>
    <t>61000246</t>
  </si>
  <si>
    <t>Emily Greydanus</t>
  </si>
  <si>
    <t>4108</t>
  </si>
  <si>
    <t>610b20e</t>
  </si>
  <si>
    <t>61000247</t>
  </si>
  <si>
    <t>Trevor Tiburzi</t>
  </si>
  <si>
    <t>4109</t>
  </si>
  <si>
    <t>610b20b</t>
  </si>
  <si>
    <t>t3410776</t>
  </si>
  <si>
    <t>Lesa Manson*</t>
  </si>
  <si>
    <t>4110</t>
  </si>
  <si>
    <t>t3329341</t>
  </si>
  <si>
    <t>Ghislain Serge Dossou Yovo</t>
  </si>
  <si>
    <t>4112</t>
  </si>
  <si>
    <t>610a10t</t>
  </si>
  <si>
    <t>t3443193</t>
  </si>
  <si>
    <t>Kiley Lewandowski</t>
  </si>
  <si>
    <t>4113</t>
  </si>
  <si>
    <t>61000252</t>
  </si>
  <si>
    <t>Barbara Latham</t>
  </si>
  <si>
    <t>4114</t>
  </si>
  <si>
    <t>61000253</t>
  </si>
  <si>
    <t>David Docekal</t>
  </si>
  <si>
    <t>4115</t>
  </si>
  <si>
    <t>t3386684</t>
  </si>
  <si>
    <t>Sarah Gibson</t>
  </si>
  <si>
    <t>4116</t>
  </si>
  <si>
    <t>610b20o</t>
  </si>
  <si>
    <t>61000255</t>
  </si>
  <si>
    <t>Nicole Anah</t>
  </si>
  <si>
    <t>4117</t>
  </si>
  <si>
    <t>61000256</t>
  </si>
  <si>
    <t>Tyler Carlson</t>
  </si>
  <si>
    <t>4118</t>
  </si>
  <si>
    <t>610b20j</t>
  </si>
  <si>
    <t>61000257</t>
  </si>
  <si>
    <t>Mark Nyemah IV</t>
  </si>
  <si>
    <t>4119</t>
  </si>
  <si>
    <t>610a10i</t>
  </si>
  <si>
    <t>61000258</t>
  </si>
  <si>
    <t>Leah Craft</t>
  </si>
  <si>
    <t>4120</t>
  </si>
  <si>
    <t>61000431</t>
  </si>
  <si>
    <t>Jakson Zavodnick</t>
  </si>
  <si>
    <t>4121</t>
  </si>
  <si>
    <t>t3446267</t>
  </si>
  <si>
    <t>Nathan Schultz</t>
  </si>
  <si>
    <t>4122</t>
  </si>
  <si>
    <t>610a10k</t>
  </si>
  <si>
    <t>61000260</t>
  </si>
  <si>
    <t>Craig Lewis</t>
  </si>
  <si>
    <t>4123</t>
  </si>
  <si>
    <t>61000261</t>
  </si>
  <si>
    <t>Abdi Elmi</t>
  </si>
  <si>
    <t>4124</t>
  </si>
  <si>
    <t>61000262</t>
  </si>
  <si>
    <t>Melissa Thunder</t>
  </si>
  <si>
    <t>4125</t>
  </si>
  <si>
    <t>610a10c</t>
  </si>
  <si>
    <t>t3432210</t>
  </si>
  <si>
    <t>Carly Mosloski</t>
  </si>
  <si>
    <t>4126</t>
  </si>
  <si>
    <t>t3370947</t>
  </si>
  <si>
    <t>Yvonne Devost*</t>
  </si>
  <si>
    <t>4127</t>
  </si>
  <si>
    <t>61000265</t>
  </si>
  <si>
    <t>Zachary Winslow</t>
  </si>
  <si>
    <t>4128</t>
  </si>
  <si>
    <t>t3319538</t>
  </si>
  <si>
    <t>Anisha Sukhu</t>
  </si>
  <si>
    <t>4129</t>
  </si>
  <si>
    <t>610b20n</t>
  </si>
  <si>
    <t>t3288462</t>
  </si>
  <si>
    <t>Kamau Larry</t>
  </si>
  <si>
    <t>4130</t>
  </si>
  <si>
    <t>610a10l</t>
  </si>
  <si>
    <t>61000268</t>
  </si>
  <si>
    <t>Cory Bethke</t>
  </si>
  <si>
    <t>4131</t>
  </si>
  <si>
    <t>610c20d</t>
  </si>
  <si>
    <t>61000269</t>
  </si>
  <si>
    <t>Ahmed Mohamed</t>
  </si>
  <si>
    <t>4132</t>
  </si>
  <si>
    <t>610a10dH</t>
  </si>
  <si>
    <t>61000276</t>
  </si>
  <si>
    <t>Connor Schmidt</t>
  </si>
  <si>
    <t>4133</t>
  </si>
  <si>
    <t>610a10d</t>
  </si>
  <si>
    <t>61000271</t>
  </si>
  <si>
    <t>Divyansh Tripathi</t>
  </si>
  <si>
    <t>4134</t>
  </si>
  <si>
    <t>t3207168</t>
  </si>
  <si>
    <t>Temitayo Santana</t>
  </si>
  <si>
    <t>4135</t>
  </si>
  <si>
    <t>610a10v</t>
  </si>
  <si>
    <t>61000273</t>
  </si>
  <si>
    <t>Darren Matson</t>
  </si>
  <si>
    <t>4137</t>
  </si>
  <si>
    <t>61000274</t>
  </si>
  <si>
    <t>Terri Grafnitz</t>
  </si>
  <si>
    <t>4138</t>
  </si>
  <si>
    <t>t3424782</t>
  </si>
  <si>
    <t>Abdulaziz Abuhijleh</t>
  </si>
  <si>
    <t>4139</t>
  </si>
  <si>
    <t>t3411101</t>
  </si>
  <si>
    <t>Alexis Laframboise</t>
  </si>
  <si>
    <t>4140</t>
  </si>
  <si>
    <t>t3408322</t>
  </si>
  <si>
    <t>Kevin Thomas</t>
  </si>
  <si>
    <t>4142</t>
  </si>
  <si>
    <t>t3443598</t>
  </si>
  <si>
    <t>Alan Samuels</t>
  </si>
  <si>
    <t>4143</t>
  </si>
  <si>
    <t>61000280</t>
  </si>
  <si>
    <t>Paul Dawidowicz</t>
  </si>
  <si>
    <t>4144</t>
  </si>
  <si>
    <t>61000281</t>
  </si>
  <si>
    <t>Alloycious Wolloh</t>
  </si>
  <si>
    <t>4145</t>
  </si>
  <si>
    <t>t3147866</t>
  </si>
  <si>
    <t>Tracy Townsend</t>
  </si>
  <si>
    <t>4147</t>
  </si>
  <si>
    <t>610a10zz</t>
  </si>
  <si>
    <t>61000283</t>
  </si>
  <si>
    <t>Carlee ODonnell</t>
  </si>
  <si>
    <t>4148</t>
  </si>
  <si>
    <t>610a10a</t>
  </si>
  <si>
    <t>t3343193</t>
  </si>
  <si>
    <t>Danielle Mortimer</t>
  </si>
  <si>
    <t>4149</t>
  </si>
  <si>
    <t>t3313902</t>
  </si>
  <si>
    <t>Ashley Francis</t>
  </si>
  <si>
    <t>4150</t>
  </si>
  <si>
    <t>610a10p</t>
  </si>
  <si>
    <t>61000286</t>
  </si>
  <si>
    <t>Michael DAgostino</t>
  </si>
  <si>
    <t>4151</t>
  </si>
  <si>
    <t>610b20l</t>
  </si>
  <si>
    <t>61000287</t>
  </si>
  <si>
    <t>Robert Johnson</t>
  </si>
  <si>
    <t>4152</t>
  </si>
  <si>
    <t>t3431930</t>
  </si>
  <si>
    <t>Devin Geegan</t>
  </si>
  <si>
    <t>4201</t>
  </si>
  <si>
    <t>610c20a</t>
  </si>
  <si>
    <t>61000289</t>
  </si>
  <si>
    <t>Christine Hilley</t>
  </si>
  <si>
    <t>4202</t>
  </si>
  <si>
    <t>t3262782</t>
  </si>
  <si>
    <t>Molly McMahon</t>
  </si>
  <si>
    <t>610a10u</t>
  </si>
  <si>
    <t>4205</t>
  </si>
  <si>
    <t>t3399639</t>
  </si>
  <si>
    <t>Jasmire Esquivel-Brown</t>
  </si>
  <si>
    <t>4207</t>
  </si>
  <si>
    <t>t3340497</t>
  </si>
  <si>
    <t>Jonathan Dayton</t>
  </si>
  <si>
    <t>4209</t>
  </si>
  <si>
    <t>61000294</t>
  </si>
  <si>
    <t>Andrias Mehrete</t>
  </si>
  <si>
    <t>4210</t>
  </si>
  <si>
    <t>61000320</t>
  </si>
  <si>
    <t>Stephanie Jackson</t>
  </si>
  <si>
    <t>4211</t>
  </si>
  <si>
    <t>t3163388</t>
  </si>
  <si>
    <t>Chaz Powell</t>
  </si>
  <si>
    <t>4212</t>
  </si>
  <si>
    <t>61000296</t>
  </si>
  <si>
    <t>Andrew Suedbeck</t>
  </si>
  <si>
    <t>4216</t>
  </si>
  <si>
    <t>t3428178</t>
  </si>
  <si>
    <t>Warda Abdulle</t>
  </si>
  <si>
    <t>4218</t>
  </si>
  <si>
    <t>61000299</t>
  </si>
  <si>
    <t>Joanna Harrison</t>
  </si>
  <si>
    <t>4219</t>
  </si>
  <si>
    <t>t3320461</t>
  </si>
  <si>
    <t>Colton Vincelette</t>
  </si>
  <si>
    <t>4220</t>
  </si>
  <si>
    <t>t3247616</t>
  </si>
  <si>
    <t>Ena Easter</t>
  </si>
  <si>
    <t>4221</t>
  </si>
  <si>
    <t>61000302</t>
  </si>
  <si>
    <t>Sean Hennen</t>
  </si>
  <si>
    <t>4222</t>
  </si>
  <si>
    <t>Chandler Foster</t>
  </si>
  <si>
    <t>4223</t>
  </si>
  <si>
    <t>61000304</t>
  </si>
  <si>
    <t>Kurt Richert</t>
  </si>
  <si>
    <t>4224</t>
  </si>
  <si>
    <t>t3340039</t>
  </si>
  <si>
    <t>Tina Karwo</t>
  </si>
  <si>
    <t>4225</t>
  </si>
  <si>
    <t>61000432</t>
  </si>
  <si>
    <t>Duane House</t>
  </si>
  <si>
    <t>4226</t>
  </si>
  <si>
    <t>61000306</t>
  </si>
  <si>
    <t>Guled Ali</t>
  </si>
  <si>
    <t>4227</t>
  </si>
  <si>
    <t>t3447511</t>
  </si>
  <si>
    <t>Oscar Dennis</t>
  </si>
  <si>
    <t>4228</t>
  </si>
  <si>
    <t>61000308</t>
  </si>
  <si>
    <t>Lewis Ogeto</t>
  </si>
  <si>
    <t>4229</t>
  </si>
  <si>
    <t>61000309</t>
  </si>
  <si>
    <t>William Slack</t>
  </si>
  <si>
    <t>4230</t>
  </si>
  <si>
    <t>61000310</t>
  </si>
  <si>
    <t>Rita Hobot</t>
  </si>
  <si>
    <t>4231</t>
  </si>
  <si>
    <t>t3464099</t>
  </si>
  <si>
    <t>4232</t>
  </si>
  <si>
    <t>t3437064</t>
  </si>
  <si>
    <t>Jennie Stamm</t>
  </si>
  <si>
    <t>4233</t>
  </si>
  <si>
    <t>61000312</t>
  </si>
  <si>
    <t>Brianna Parker</t>
  </si>
  <si>
    <t>4234</t>
  </si>
  <si>
    <t>61000313</t>
  </si>
  <si>
    <t>Matthew Sutherland</t>
  </si>
  <si>
    <t>4235</t>
  </si>
  <si>
    <t>61000314</t>
  </si>
  <si>
    <t>Levearn Alsberry</t>
  </si>
  <si>
    <t>4236</t>
  </si>
  <si>
    <t>610a10b</t>
  </si>
  <si>
    <t>t3406255</t>
  </si>
  <si>
    <t>Luis Perez</t>
  </si>
  <si>
    <t>4237</t>
  </si>
  <si>
    <t>61000278</t>
  </si>
  <si>
    <t>Nathan Binyam</t>
  </si>
  <si>
    <t>4238</t>
  </si>
  <si>
    <t>t3285355</t>
  </si>
  <si>
    <t>Madeline Jahnke</t>
  </si>
  <si>
    <t>4239</t>
  </si>
  <si>
    <t>t3344229</t>
  </si>
  <si>
    <t>Nikki Wilcox</t>
  </si>
  <si>
    <t>4240</t>
  </si>
  <si>
    <t>61000317</t>
  </si>
  <si>
    <t>Angie Thompson</t>
  </si>
  <si>
    <t>4241</t>
  </si>
  <si>
    <t>61000318</t>
  </si>
  <si>
    <t>Michael Nolan</t>
  </si>
  <si>
    <t>4242</t>
  </si>
  <si>
    <t>61000319</t>
  </si>
  <si>
    <t>Meela Thao</t>
  </si>
  <si>
    <t>4243</t>
  </si>
  <si>
    <t>t3356943</t>
  </si>
  <si>
    <t>Sameh Elattar</t>
  </si>
  <si>
    <t>4244</t>
  </si>
  <si>
    <t>t3310355</t>
  </si>
  <si>
    <t>LaToddra Belton*</t>
  </si>
  <si>
    <t>4245</t>
  </si>
  <si>
    <t>61000322</t>
  </si>
  <si>
    <t>Samuel Kroll</t>
  </si>
  <si>
    <t>4246</t>
  </si>
  <si>
    <t>t3471121</t>
  </si>
  <si>
    <t>Conrad Stenglein</t>
  </si>
  <si>
    <t>4247</t>
  </si>
  <si>
    <t>t3430034</t>
  </si>
  <si>
    <t>Jack Miller</t>
  </si>
  <si>
    <t>4248</t>
  </si>
  <si>
    <t>61000325</t>
  </si>
  <si>
    <t>Shawn Yeakley</t>
  </si>
  <si>
    <t>4249</t>
  </si>
  <si>
    <t>61000326</t>
  </si>
  <si>
    <t>Yared Dechassa</t>
  </si>
  <si>
    <t>4250</t>
  </si>
  <si>
    <t>61000327</t>
  </si>
  <si>
    <t>Lauren Conrad</t>
  </si>
  <si>
    <t>4251</t>
  </si>
  <si>
    <t>61000328</t>
  </si>
  <si>
    <t>Vitaliy Velichko</t>
  </si>
  <si>
    <t>4252</t>
  </si>
  <si>
    <t>t3330276</t>
  </si>
  <si>
    <t>Ian Langeberg</t>
  </si>
  <si>
    <t>4301</t>
  </si>
  <si>
    <t>61000330</t>
  </si>
  <si>
    <t>Dalton Foss</t>
  </si>
  <si>
    <t>4302</t>
  </si>
  <si>
    <t>t3437690</t>
  </si>
  <si>
    <t>Alison Gerads</t>
  </si>
  <si>
    <t>4303</t>
  </si>
  <si>
    <t>610a10o</t>
  </si>
  <si>
    <t>t3238118</t>
  </si>
  <si>
    <t>Chad Ross</t>
  </si>
  <si>
    <t>4304</t>
  </si>
  <si>
    <t>t3338549</t>
  </si>
  <si>
    <t>Faith Korti</t>
  </si>
  <si>
    <t>4305</t>
  </si>
  <si>
    <t>t3336759</t>
  </si>
  <si>
    <t>Katie Woznak</t>
  </si>
  <si>
    <t>4306</t>
  </si>
  <si>
    <t>t3232670</t>
  </si>
  <si>
    <t>Katherine Nisbet</t>
  </si>
  <si>
    <t>4307</t>
  </si>
  <si>
    <t>t3350410</t>
  </si>
  <si>
    <t>David Butterfield</t>
  </si>
  <si>
    <t>4308</t>
  </si>
  <si>
    <t>t3324935</t>
  </si>
  <si>
    <t>Jahvaughn McLeod</t>
  </si>
  <si>
    <t>4309</t>
  </si>
  <si>
    <t>610b20bH</t>
  </si>
  <si>
    <t>61000338</t>
  </si>
  <si>
    <t>Jesse Klempke</t>
  </si>
  <si>
    <t>4310</t>
  </si>
  <si>
    <t>61000339</t>
  </si>
  <si>
    <t>Destiny Vaughan</t>
  </si>
  <si>
    <t>4311</t>
  </si>
  <si>
    <t>61000340</t>
  </si>
  <si>
    <t>Madeline Zolik</t>
  </si>
  <si>
    <t>4312</t>
  </si>
  <si>
    <t>t3265991</t>
  </si>
  <si>
    <t>Fahami Ahmed</t>
  </si>
  <si>
    <t>4313</t>
  </si>
  <si>
    <t>61000342</t>
  </si>
  <si>
    <t>Margaret Weise</t>
  </si>
  <si>
    <t>4314</t>
  </si>
  <si>
    <t>t3423645</t>
  </si>
  <si>
    <t>Rushdi Diab</t>
  </si>
  <si>
    <t>4315</t>
  </si>
  <si>
    <t>t3458099</t>
  </si>
  <si>
    <t>Ava Palmieri</t>
  </si>
  <si>
    <t>4316</t>
  </si>
  <si>
    <t>t3361883</t>
  </si>
  <si>
    <t>Anthony Volkmann</t>
  </si>
  <si>
    <t>4317</t>
  </si>
  <si>
    <t>t3378204</t>
  </si>
  <si>
    <t>Lorraine Smith*</t>
  </si>
  <si>
    <t>4318</t>
  </si>
  <si>
    <t>t3369238</t>
  </si>
  <si>
    <t>Caleb Thomas</t>
  </si>
  <si>
    <t>4319</t>
  </si>
  <si>
    <t>t3446178</t>
  </si>
  <si>
    <t>Vincent Carey</t>
  </si>
  <si>
    <t>4320</t>
  </si>
  <si>
    <t>t3293647</t>
  </si>
  <si>
    <t>DAngela Applewhite</t>
  </si>
  <si>
    <t>4321</t>
  </si>
  <si>
    <t>61000349</t>
  </si>
  <si>
    <t>John Warner</t>
  </si>
  <si>
    <t>4323</t>
  </si>
  <si>
    <t>t3467544</t>
  </si>
  <si>
    <t>Venys Buckingham</t>
  </si>
  <si>
    <t>4324</t>
  </si>
  <si>
    <t>t3274277</t>
  </si>
  <si>
    <t>Sydney Mitchell-Mays*</t>
  </si>
  <si>
    <t>4325</t>
  </si>
  <si>
    <t>61000353</t>
  </si>
  <si>
    <t>Andra Duncan</t>
  </si>
  <si>
    <t>4326</t>
  </si>
  <si>
    <t>61000354</t>
  </si>
  <si>
    <t>Elizabeth Boit</t>
  </si>
  <si>
    <t>4327</t>
  </si>
  <si>
    <t>61000355</t>
  </si>
  <si>
    <t>Bryan Fish</t>
  </si>
  <si>
    <t>4329</t>
  </si>
  <si>
    <t>t3400677</t>
  </si>
  <si>
    <t>Kathleen Angeles</t>
  </si>
  <si>
    <t>4330</t>
  </si>
  <si>
    <t>t3334562</t>
  </si>
  <si>
    <t>Abbaas Mohamud</t>
  </si>
  <si>
    <t>4332</t>
  </si>
  <si>
    <t>t3404070</t>
  </si>
  <si>
    <t>Chrishawna Taylor</t>
  </si>
  <si>
    <t>4334</t>
  </si>
  <si>
    <t>t3406438</t>
  </si>
  <si>
    <t>Gordon Freedy</t>
  </si>
  <si>
    <t>4336</t>
  </si>
  <si>
    <t>61000363</t>
  </si>
  <si>
    <t>Bob Chanthalangsy</t>
  </si>
  <si>
    <t>4337</t>
  </si>
  <si>
    <t>61000364</t>
  </si>
  <si>
    <t>Nathan Kaping</t>
  </si>
  <si>
    <t>4338</t>
  </si>
  <si>
    <t>61000435</t>
  </si>
  <si>
    <t>Cali Schroepfer</t>
  </si>
  <si>
    <t>4339</t>
  </si>
  <si>
    <t>61000365</t>
  </si>
  <si>
    <t>Gordon Hughes</t>
  </si>
  <si>
    <t>4340</t>
  </si>
  <si>
    <t>t3311026</t>
  </si>
  <si>
    <t>Francisco Nieto</t>
  </si>
  <si>
    <t>4341</t>
  </si>
  <si>
    <t>t3415387</t>
  </si>
  <si>
    <t>Alvin Kabwama</t>
  </si>
  <si>
    <t>4342</t>
  </si>
  <si>
    <t>61000368</t>
  </si>
  <si>
    <t>Benjamin Johnson</t>
  </si>
  <si>
    <t>4343</t>
  </si>
  <si>
    <t>t3311701</t>
  </si>
  <si>
    <t>Emma Grebowski</t>
  </si>
  <si>
    <t>4344</t>
  </si>
  <si>
    <t>t3441879</t>
  </si>
  <si>
    <t>Mackenzie Carrasquillo</t>
  </si>
  <si>
    <t>4345</t>
  </si>
  <si>
    <t>61000371</t>
  </si>
  <si>
    <t>Adriana Yancy</t>
  </si>
  <si>
    <t>4346</t>
  </si>
  <si>
    <t>61000372</t>
  </si>
  <si>
    <t>Mohamed Elshobary</t>
  </si>
  <si>
    <t>4347</t>
  </si>
  <si>
    <t>t3437248</t>
  </si>
  <si>
    <t>Joel Narragon</t>
  </si>
  <si>
    <t>4348</t>
  </si>
  <si>
    <t>61000374</t>
  </si>
  <si>
    <t>Nychole Politano</t>
  </si>
  <si>
    <t>4349</t>
  </si>
  <si>
    <t>61000375</t>
  </si>
  <si>
    <t>Taylor Young</t>
  </si>
  <si>
    <t>4350</t>
  </si>
  <si>
    <t>t3160809</t>
  </si>
  <si>
    <t>*Jeanette Setzer*</t>
  </si>
  <si>
    <t>4352</t>
  </si>
  <si>
    <t>t3486638</t>
  </si>
  <si>
    <t>Aaron Thomas</t>
  </si>
  <si>
    <t>4401</t>
  </si>
  <si>
    <t>61000436</t>
  </si>
  <si>
    <t>Melissa Soder</t>
  </si>
  <si>
    <t>4403</t>
  </si>
  <si>
    <t>61000379</t>
  </si>
  <si>
    <t>Kayla Breaux</t>
  </si>
  <si>
    <t>4404</t>
  </si>
  <si>
    <t>61000437</t>
  </si>
  <si>
    <t>Zakariya Abukhdair</t>
  </si>
  <si>
    <t>4405</t>
  </si>
  <si>
    <t>61000438</t>
  </si>
  <si>
    <t>Madison Sycks</t>
  </si>
  <si>
    <t>4406</t>
  </si>
  <si>
    <t>61000380</t>
  </si>
  <si>
    <t>Matthew Roles</t>
  </si>
  <si>
    <t>4408</t>
  </si>
  <si>
    <t>61000382</t>
  </si>
  <si>
    <t>Joe Vue</t>
  </si>
  <si>
    <t>4409</t>
  </si>
  <si>
    <t>61000383</t>
  </si>
  <si>
    <t>Sedina Glover</t>
  </si>
  <si>
    <t>4410</t>
  </si>
  <si>
    <t>t3373350</t>
  </si>
  <si>
    <t>Sagal Ali</t>
  </si>
  <si>
    <t>4411</t>
  </si>
  <si>
    <t>61000385</t>
  </si>
  <si>
    <t>Marcela Howse</t>
  </si>
  <si>
    <t>4412</t>
  </si>
  <si>
    <t>t3318941</t>
  </si>
  <si>
    <t>Shane Johnston*</t>
  </si>
  <si>
    <t>4413</t>
  </si>
  <si>
    <t>t3341053</t>
  </si>
  <si>
    <t>Aiden Hammond</t>
  </si>
  <si>
    <t>4414</t>
  </si>
  <si>
    <t>61000388</t>
  </si>
  <si>
    <t>Aida Hasic</t>
  </si>
  <si>
    <t>4415</t>
  </si>
  <si>
    <t>61000389</t>
  </si>
  <si>
    <t>Stephanie Wilson</t>
  </si>
  <si>
    <t>4416</t>
  </si>
  <si>
    <t>t3339312</t>
  </si>
  <si>
    <t>Andrae Kinsey</t>
  </si>
  <si>
    <t>4417</t>
  </si>
  <si>
    <t>t3397792</t>
  </si>
  <si>
    <t>Damarcus Thomas</t>
  </si>
  <si>
    <t>4419</t>
  </si>
  <si>
    <t>t3202835</t>
  </si>
  <si>
    <t>Emma Etler</t>
  </si>
  <si>
    <t>4420</t>
  </si>
  <si>
    <t>t3347451</t>
  </si>
  <si>
    <t>Mackenzie Bolduc</t>
  </si>
  <si>
    <t>4422</t>
  </si>
  <si>
    <t>t3243032</t>
  </si>
  <si>
    <t>Justus Chumba</t>
  </si>
  <si>
    <t>4423</t>
  </si>
  <si>
    <t>61000397</t>
  </si>
  <si>
    <t>Gregory Nelson Jr</t>
  </si>
  <si>
    <t>4424</t>
  </si>
  <si>
    <t>61000398</t>
  </si>
  <si>
    <t>Kristi Syverson</t>
  </si>
  <si>
    <t>4425</t>
  </si>
  <si>
    <t>61000399</t>
  </si>
  <si>
    <t>Joshua Agan</t>
  </si>
  <si>
    <t>4426</t>
  </si>
  <si>
    <t>t3296584</t>
  </si>
  <si>
    <t>Stephanie Waddell*</t>
  </si>
  <si>
    <t>4428</t>
  </si>
  <si>
    <t>t3447487</t>
  </si>
  <si>
    <t>Ricardo Twinawe</t>
  </si>
  <si>
    <t>4429</t>
  </si>
  <si>
    <t>61000373</t>
  </si>
  <si>
    <t>Jaedyn Starry</t>
  </si>
  <si>
    <t>4430</t>
  </si>
  <si>
    <t>t3365959</t>
  </si>
  <si>
    <t>Joshua Feiock</t>
  </si>
  <si>
    <t>4431</t>
  </si>
  <si>
    <t>61000405</t>
  </si>
  <si>
    <t>Frederick Welch</t>
  </si>
  <si>
    <t>4432</t>
  </si>
  <si>
    <t>61000406</t>
  </si>
  <si>
    <t>Madison Gibbens</t>
  </si>
  <si>
    <t>4434</t>
  </si>
  <si>
    <t>61000408</t>
  </si>
  <si>
    <t>Mitchell Diederichs</t>
  </si>
  <si>
    <t>4435</t>
  </si>
  <si>
    <t>61000409</t>
  </si>
  <si>
    <t>Madelyn Echtenkamp</t>
  </si>
  <si>
    <t>4436</t>
  </si>
  <si>
    <t>61000410</t>
  </si>
  <si>
    <t>Brian Barry</t>
  </si>
  <si>
    <t>4437</t>
  </si>
  <si>
    <t>61000411</t>
  </si>
  <si>
    <t>Brennan Sorensen</t>
  </si>
  <si>
    <t>4438</t>
  </si>
  <si>
    <t>61000412</t>
  </si>
  <si>
    <t>Beverly Pehrson</t>
  </si>
  <si>
    <t>4439</t>
  </si>
  <si>
    <t>61000413</t>
  </si>
  <si>
    <t>Alyssa Brueggen</t>
  </si>
  <si>
    <t>4440</t>
  </si>
  <si>
    <t>t3419903</t>
  </si>
  <si>
    <t>Beverly Myers</t>
  </si>
  <si>
    <t>4441</t>
  </si>
  <si>
    <t>61000415</t>
  </si>
  <si>
    <t>Cy Bongiovanni</t>
  </si>
  <si>
    <t>4442</t>
  </si>
  <si>
    <t>61000416</t>
  </si>
  <si>
    <t>Austin Nelson</t>
  </si>
  <si>
    <t>4443</t>
  </si>
  <si>
    <t>t3144880</t>
  </si>
  <si>
    <t>Roland Haynes</t>
  </si>
  <si>
    <t>4444</t>
  </si>
  <si>
    <t>61000418</t>
  </si>
  <si>
    <t>Teria Holmes</t>
  </si>
  <si>
    <t>4445</t>
  </si>
  <si>
    <t>t3357671</t>
  </si>
  <si>
    <t>Anthony Turgeon</t>
  </si>
  <si>
    <t>4446</t>
  </si>
  <si>
    <t>t3250394</t>
  </si>
  <si>
    <t>James Timblin</t>
  </si>
  <si>
    <t>4447</t>
  </si>
  <si>
    <t>t3331117</t>
  </si>
  <si>
    <t>*Antasia Bradley*</t>
  </si>
  <si>
    <t>4448</t>
  </si>
  <si>
    <t>61000422</t>
  </si>
  <si>
    <t>Michael Maaske</t>
  </si>
  <si>
    <t>4449</t>
  </si>
  <si>
    <t>61000423</t>
  </si>
  <si>
    <t>Debra Schell</t>
  </si>
  <si>
    <t>4450</t>
  </si>
  <si>
    <t>61000424</t>
  </si>
  <si>
    <t>Rebecca Eskeli</t>
  </si>
  <si>
    <t>4451</t>
  </si>
  <si>
    <t>t3331459</t>
  </si>
  <si>
    <t>Linnae Johnson</t>
  </si>
  <si>
    <t>4452</t>
  </si>
  <si>
    <t>t3476806</t>
  </si>
  <si>
    <t>Kristine Hostetler</t>
  </si>
  <si>
    <t>Summary Groups</t>
  </si>
  <si>
    <t>Square</t>
  </si>
  <si>
    <t>Security</t>
  </si>
  <si>
    <t># Of</t>
  </si>
  <si>
    <t>% Unit</t>
  </si>
  <si>
    <t>% Sqft</t>
  </si>
  <si>
    <t>Footage</t>
  </si>
  <si>
    <t>Charges</t>
  </si>
  <si>
    <t>Deposits</t>
  </si>
  <si>
    <t>Units</t>
  </si>
  <si>
    <t>Occupancy</t>
  </si>
  <si>
    <t>Occupied</t>
  </si>
  <si>
    <t>481,634.00</t>
  </si>
  <si>
    <t>350.00</t>
  </si>
  <si>
    <t>480</t>
  </si>
  <si>
    <t>Future Residents/Applicants</t>
  </si>
  <si>
    <t>0.00</t>
  </si>
  <si>
    <t>29</t>
  </si>
  <si>
    <t>Occupied Units</t>
  </si>
  <si>
    <t>Total Non Rev Units</t>
  </si>
  <si>
    <t>2,069.00</t>
  </si>
  <si>
    <t>2</t>
  </si>
  <si>
    <t>0.41</t>
  </si>
  <si>
    <t>0.45</t>
  </si>
  <si>
    <t>Total Vacant Units</t>
  </si>
  <si>
    <t>Totals:</t>
  </si>
  <si>
    <t>100.00</t>
  </si>
  <si>
    <t>Total Interest Accrual:</t>
  </si>
  <si>
    <t xml:space="preserve">Summary of Charges by Charge Code </t>
  </si>
  <si>
    <t>(Current/Notice Residents Only)</t>
  </si>
  <si>
    <t>Charge Code</t>
  </si>
  <si>
    <t>parking</t>
  </si>
  <si>
    <t>petrent</t>
  </si>
  <si>
    <t>trash</t>
  </si>
  <si>
    <t>storage</t>
  </si>
  <si>
    <t>utilreb</t>
  </si>
  <si>
    <t>empdisc</t>
  </si>
  <si>
    <t>-1818.4</t>
  </si>
  <si>
    <t>mtmfee</t>
  </si>
  <si>
    <t>114.5</t>
  </si>
  <si>
    <t>trashrb</t>
  </si>
  <si>
    <t>utilreim</t>
  </si>
  <si>
    <t>shrtterm</t>
  </si>
  <si>
    <t>501</t>
  </si>
  <si>
    <t>Accrued Expenses</t>
  </si>
  <si>
    <t>22010-000</t>
  </si>
  <si>
    <t>Date</t>
  </si>
  <si>
    <t>Vendor</t>
  </si>
  <si>
    <t>Invoice</t>
  </si>
  <si>
    <t>52650-000</t>
  </si>
  <si>
    <t>Housekeeper / Cleaning Service</t>
  </si>
  <si>
    <t>**Please ensure the formatting is consistent for any information added**</t>
  </si>
  <si>
    <t>53180-000</t>
  </si>
  <si>
    <t>Trash Removal Contract</t>
  </si>
  <si>
    <t>54010-000</t>
  </si>
  <si>
    <t>Search Engine Marketing Campaigns</t>
  </si>
  <si>
    <t>53220-000</t>
  </si>
  <si>
    <t>Water Conditioner / Softener Contract</t>
  </si>
  <si>
    <t>52150-000</t>
  </si>
  <si>
    <t>Maintenance Supplies</t>
  </si>
  <si>
    <t>53140-000</t>
  </si>
  <si>
    <t>Pest Control Contract</t>
  </si>
  <si>
    <t>58105-000</t>
  </si>
  <si>
    <t>Printing Expense</t>
  </si>
  <si>
    <t>58020-000</t>
  </si>
  <si>
    <t>Answering / On-hold Service</t>
  </si>
  <si>
    <t>59020-000</t>
  </si>
  <si>
    <t>Electric - Common Areas</t>
  </si>
  <si>
    <t>59070-000</t>
  </si>
  <si>
    <t>Gas - Common Areas</t>
  </si>
  <si>
    <t>59100-000</t>
  </si>
  <si>
    <t>Utility Rebill Service Fees</t>
  </si>
  <si>
    <t>59110-000</t>
  </si>
  <si>
    <t>Water / Sewer</t>
  </si>
  <si>
    <t>53030-000</t>
  </si>
  <si>
    <t>Cable TV Contract</t>
  </si>
  <si>
    <t>54012-000</t>
  </si>
  <si>
    <t>Internet Listing Services (ILS)</t>
  </si>
  <si>
    <t>58107-000</t>
  </si>
  <si>
    <t>Resident Screening</t>
  </si>
  <si>
    <t>Yardi</t>
  </si>
  <si>
    <t>58284-000</t>
  </si>
  <si>
    <t>Ops Technology Fee</t>
  </si>
  <si>
    <t>58247-000</t>
  </si>
  <si>
    <t>Employee Meetings</t>
  </si>
  <si>
    <t>54110-000</t>
  </si>
  <si>
    <t>Resident Activities</t>
  </si>
  <si>
    <t>52100-000</t>
  </si>
  <si>
    <t>Golf Cart Repairs</t>
  </si>
  <si>
    <t>52660-000</t>
  </si>
  <si>
    <t>Paint Contractor</t>
  </si>
  <si>
    <t>52620-000</t>
  </si>
  <si>
    <t>Carpet Cleaning</t>
  </si>
  <si>
    <t>51030-000</t>
  </si>
  <si>
    <t>Bonuses</t>
  </si>
  <si>
    <t>22018-000</t>
  </si>
  <si>
    <t xml:space="preserve">Seller </t>
  </si>
  <si>
    <t>Seller Settlement Clearing</t>
  </si>
  <si>
    <t>Buyer</t>
  </si>
  <si>
    <t>Sale Date:</t>
  </si>
  <si>
    <t>True-up Date:</t>
  </si>
  <si>
    <t>Use of this schedule is optional</t>
  </si>
  <si>
    <t>Tenant Code/Source</t>
  </si>
  <si>
    <t>Due To</t>
  </si>
  <si>
    <t>Ending Balance</t>
  </si>
  <si>
    <t>Active Insurance Claim Detail as of</t>
  </si>
  <si>
    <t>Claim #1</t>
  </si>
  <si>
    <t>Date of Loss</t>
  </si>
  <si>
    <t>Claim #</t>
  </si>
  <si>
    <t>Insurance Company</t>
  </si>
  <si>
    <t>Claim Amount</t>
  </si>
  <si>
    <t>Deductible Amount</t>
  </si>
  <si>
    <t>Remaining Amount</t>
  </si>
  <si>
    <t>Invoice #</t>
  </si>
  <si>
    <t>Unit # and Description</t>
  </si>
  <si>
    <t>Claim #2</t>
  </si>
  <si>
    <t>Claim #3</t>
  </si>
  <si>
    <t>Unclaimed Property Detail as of</t>
  </si>
  <si>
    <t>Property Name:</t>
  </si>
  <si>
    <t>Tax ID #:</t>
  </si>
  <si>
    <t>State of Incorporation:</t>
  </si>
  <si>
    <t>Date of Incorporation:</t>
  </si>
  <si>
    <t>Property 
Phone #:</t>
  </si>
  <si>
    <t>Property Code:</t>
  </si>
  <si>
    <t>Client Name:</t>
  </si>
  <si>
    <t>Property Address:</t>
  </si>
  <si>
    <t xml:space="preserve">Note: hidden columns have changed from prior template versions.  </t>
  </si>
  <si>
    <t xml:space="preserve">If copying &amp; pasting data from prior templates, please copy and paste </t>
  </si>
  <si>
    <t xml:space="preserve">each individual column one at a time. </t>
  </si>
  <si>
    <t>HolderName</t>
  </si>
  <si>
    <t>HolderEIN</t>
  </si>
  <si>
    <t>StateOfInc</t>
  </si>
  <si>
    <t>DateOfInc</t>
  </si>
  <si>
    <t>DDPhoneNumber</t>
  </si>
  <si>
    <t>UniqueIdentifier</t>
  </si>
  <si>
    <t>AccountNumber</t>
  </si>
  <si>
    <t>CompanyName</t>
  </si>
  <si>
    <t>FirstName</t>
  </si>
  <si>
    <t>Middle Initial</t>
  </si>
  <si>
    <t>LastName</t>
  </si>
  <si>
    <t>Suffix</t>
  </si>
  <si>
    <t>SSN</t>
  </si>
  <si>
    <t>Email</t>
  </si>
  <si>
    <t>DriversLicense</t>
  </si>
  <si>
    <t>FirstName2</t>
  </si>
  <si>
    <t>MiddleInitial2</t>
  </si>
  <si>
    <t>LastName2</t>
  </si>
  <si>
    <t>Suffix2</t>
  </si>
  <si>
    <t>SSN2</t>
  </si>
  <si>
    <t>Email2</t>
  </si>
  <si>
    <t>DriversLicense2</t>
  </si>
  <si>
    <t>RelationshipCode</t>
  </si>
  <si>
    <t>AddressLine1</t>
  </si>
  <si>
    <t>AddressLine2</t>
  </si>
  <si>
    <t>AddressLine3</t>
  </si>
  <si>
    <t>City</t>
  </si>
  <si>
    <t>ZipCode</t>
  </si>
  <si>
    <t>CountryCode</t>
  </si>
  <si>
    <t>UnknownOwner</t>
  </si>
  <si>
    <t>ForeignIndicator</t>
  </si>
  <si>
    <t>CheckNumber</t>
  </si>
  <si>
    <t>CheckIssueDate</t>
  </si>
  <si>
    <t>NAUPACode</t>
  </si>
  <si>
    <t>Custom1</t>
  </si>
  <si>
    <t>Custom2</t>
  </si>
  <si>
    <t>Custom3</t>
  </si>
  <si>
    <t>Property Name (Do Not Enter Manually)</t>
  </si>
  <si>
    <t>Property EIN/
Tax ID</t>
  </si>
  <si>
    <t>State of Incorporation</t>
  </si>
  <si>
    <t>Date of Incorporation</t>
  </si>
  <si>
    <t>Property Phone Number</t>
  </si>
  <si>
    <t>UniqueIdentifier
(DO NOT ENTER MANUALLY)</t>
  </si>
  <si>
    <t>First Name</t>
  </si>
  <si>
    <t>Last Name</t>
  </si>
  <si>
    <t>First Name 2</t>
  </si>
  <si>
    <t xml:space="preserve">Middle Initial 2 </t>
  </si>
  <si>
    <t>Last Name 2</t>
  </si>
  <si>
    <t>Address</t>
  </si>
  <si>
    <t>Zip Code</t>
  </si>
  <si>
    <t>Country</t>
  </si>
  <si>
    <t>Check
Number</t>
  </si>
  <si>
    <t>Check Issue Date</t>
  </si>
  <si>
    <r>
      <t xml:space="preserve">Amount
</t>
    </r>
    <r>
      <rPr>
        <sz val="10"/>
        <color rgb="FFFF0000"/>
        <rFont val="Avenir Next LT Pro"/>
        <family val="2"/>
      </rPr>
      <t>(enter as positive only)</t>
    </r>
  </si>
  <si>
    <t>SD</t>
  </si>
  <si>
    <t>Capital Expense Details</t>
  </si>
  <si>
    <t>14025-000</t>
  </si>
  <si>
    <t>Project Name/Description</t>
  </si>
  <si>
    <t>Prior Year Ending Balance</t>
  </si>
  <si>
    <t>JAN</t>
  </si>
  <si>
    <t>FEB</t>
  </si>
  <si>
    <t>MAR</t>
  </si>
  <si>
    <t>APR</t>
  </si>
  <si>
    <t>MAY</t>
  </si>
  <si>
    <t>JUNE</t>
  </si>
  <si>
    <t>JULY</t>
  </si>
  <si>
    <t>AUG</t>
  </si>
  <si>
    <t>SEPT</t>
  </si>
  <si>
    <t>OCT</t>
  </si>
  <si>
    <t>NOV</t>
  </si>
  <si>
    <t>DEC</t>
  </si>
  <si>
    <t>TOTAL</t>
  </si>
  <si>
    <t>Beginning Balance</t>
  </si>
  <si>
    <t>14070-000</t>
  </si>
  <si>
    <t>14078-000</t>
  </si>
  <si>
    <t>14105-000</t>
  </si>
  <si>
    <t>14105-001</t>
  </si>
  <si>
    <t>14105-002</t>
  </si>
  <si>
    <t>14105-003</t>
  </si>
  <si>
    <t>14105-004</t>
  </si>
  <si>
    <t>14105-005</t>
  </si>
  <si>
    <t>14105-006</t>
  </si>
  <si>
    <t>14105-007</t>
  </si>
  <si>
    <t>14105-008</t>
  </si>
  <si>
    <t>14105-009</t>
  </si>
  <si>
    <t>14260-000</t>
  </si>
  <si>
    <t>14300-000</t>
  </si>
  <si>
    <t>14665-003</t>
  </si>
  <si>
    <t>Current Year Totals</t>
  </si>
  <si>
    <t>Current Year Ending Balance</t>
  </si>
  <si>
    <t>Balance Sheet: Total Fixed Assets</t>
  </si>
  <si>
    <t>Balance Sheet: Total Capital Renovation:</t>
  </si>
  <si>
    <t>Variance</t>
  </si>
  <si>
    <t>ACCOUNTING SOFTWARE:</t>
  </si>
  <si>
    <t>CURRENT MONTH:</t>
  </si>
  <si>
    <t>MAPPED COA EXPORT:</t>
  </si>
  <si>
    <t>Chart of Accounts B</t>
  </si>
  <si>
    <t>Instructions for Creating JE Upload File</t>
  </si>
  <si>
    <t>PREPAID 
GL CODES</t>
  </si>
  <si>
    <t>1.</t>
  </si>
  <si>
    <t>Once all activity has been updated for the current month, confirm that column A - "Posted?" has been completed correctly</t>
  </si>
  <si>
    <t>on the Prepaid Other, Real Estate Taxes, and Property Insurance tabs. If an entry has already been posted, enter "Yes" in column A - "Posted?".</t>
  </si>
  <si>
    <t>If the entry needs to be uploaded then enter "No" or leave column A blank.</t>
  </si>
  <si>
    <t>2.</t>
  </si>
  <si>
    <t>Review the default Prepaid and Accrual account selections in Column C on the "Upload Setup" tab. Update as needed per client requirements.</t>
  </si>
  <si>
    <t>3.</t>
  </si>
  <si>
    <t>Select the accounting software system used by your property from the drop down menu in Cell B1 of the "Upload Setup" tab.</t>
  </si>
  <si>
    <t xml:space="preserve">Select the current month from the drop down menu in Cell B2 of the "Upload Setup" tab and click the "Generate CSV" button. </t>
  </si>
  <si>
    <t>This will automatically generate a CSV file for upload into your property's respective software system.</t>
  </si>
  <si>
    <t>When prompted, save the CSV file. Save the workbook.</t>
  </si>
  <si>
    <t>4.</t>
  </si>
  <si>
    <t>For Yardi properties, use the "Import Tran CSV" option to upload the journal entry file in Yardi. Review all journals after import, and if all looks</t>
  </si>
  <si>
    <t>correct, then post.</t>
  </si>
  <si>
    <t>Prepaid - Other</t>
  </si>
  <si>
    <t>ACCRUAL
GL CODES</t>
  </si>
  <si>
    <t>J</t>
  </si>
  <si>
    <t>Balance Sheet Entries</t>
  </si>
  <si>
    <t>Reference</t>
  </si>
  <si>
    <t>Type</t>
  </si>
  <si>
    <t>Inter Company</t>
  </si>
  <si>
    <t>Memo</t>
  </si>
  <si>
    <t>Post Month</t>
  </si>
  <si>
    <t>Accounting Method</t>
  </si>
  <si>
    <t>Book Type</t>
  </si>
  <si>
    <t>Set To Reverse</t>
  </si>
  <si>
    <t>Reversal Post Month</t>
  </si>
  <si>
    <t>Set To Pause</t>
  </si>
  <si>
    <t>Transaction Date</t>
  </si>
  <si>
    <t>Routing Tag</t>
  </si>
  <si>
    <t>Account Number</t>
  </si>
  <si>
    <t>Company Department</t>
  </si>
  <si>
    <t>Custom Tag</t>
  </si>
  <si>
    <t>Confidential</t>
  </si>
  <si>
    <t>Debit</t>
  </si>
  <si>
    <t>Credit</t>
  </si>
  <si>
    <t>DR/CR</t>
  </si>
  <si>
    <t>Standard</t>
  </si>
  <si>
    <t>#DONOTIMPORT</t>
  </si>
  <si>
    <t>JOURNAL</t>
  </si>
  <si>
    <t>DATE</t>
  </si>
  <si>
    <t>REVERSEDATE</t>
  </si>
  <si>
    <t>DESCRIPTION</t>
  </si>
  <si>
    <t>REFERENCE_NO</t>
  </si>
  <si>
    <t>LINE_NO</t>
  </si>
  <si>
    <t>ACCT_NO</t>
  </si>
  <si>
    <t>LOCATION_ID</t>
  </si>
  <si>
    <t>DEPT_ID</t>
  </si>
  <si>
    <t>DOCUMENT</t>
  </si>
  <si>
    <t>MEMO</t>
  </si>
  <si>
    <t>DEBIT</t>
  </si>
  <si>
    <t>CREDIT</t>
  </si>
  <si>
    <t>SOURCEENTITY</t>
  </si>
  <si>
    <t>CURRENCY</t>
  </si>
  <si>
    <t>EXCH_RATE_DATE</t>
  </si>
  <si>
    <t>EXCH_RATE_TYPE_ID</t>
  </si>
  <si>
    <t>EXCHANGE_RATE</t>
  </si>
  <si>
    <t>STATE</t>
  </si>
  <si>
    <t>ALLOCATION_ID</t>
  </si>
  <si>
    <t>BILLABLE</t>
  </si>
  <si>
    <t>UNITNUM</t>
  </si>
  <si>
    <t>JOB_NAME</t>
  </si>
  <si>
    <t>COST_CODE</t>
  </si>
  <si>
    <t>UNIT</t>
  </si>
  <si>
    <t>CF_GLENTRY_WSTOKEN</t>
  </si>
  <si>
    <t>CF_GLENTRY_PMCID</t>
  </si>
  <si>
    <t>CF_GLENTRY_SITEID</t>
  </si>
  <si>
    <t>CF_GLENTRY_SUMID</t>
  </si>
  <si>
    <t>GLENTRY_EMPLOYEEID</t>
  </si>
  <si>
    <t>SEGMENTTYPE_1</t>
  </si>
  <si>
    <t>SEGMENTVALUE_1</t>
  </si>
  <si>
    <t>SEGMENTTYPE_2</t>
  </si>
  <si>
    <t>SEGMENTVALUE_2</t>
  </si>
  <si>
    <t>SEGMENTTYPE_3</t>
  </si>
  <si>
    <t>SEGMENTVALUE_3</t>
  </si>
  <si>
    <t>SEGMENTTYPE_4</t>
  </si>
  <si>
    <t>SEGMENTVALUE_4</t>
  </si>
  <si>
    <t>SEGMENTTYPE_5</t>
  </si>
  <si>
    <t>SEGMENTVALUE_5</t>
  </si>
  <si>
    <t>BALANCEICSEGMENT</t>
  </si>
  <si>
    <t>#_x000D_
Any row which starts with a # will be ignored during import</t>
  </si>
  <si>
    <t xml:space="preserve">Field Name: JOURNAL_x000D_
UI Field Name: Journal_x000D_
Type: Character _x000D_
Length: 4_x000D_
Default Value: None_x000D_
Dependencies: None_x000D_
Required: Yes_x000D_
Editable: Yes_x000D_
</t>
  </si>
  <si>
    <t xml:space="preserve">Field Name: DATE_x000D_
UI Field Name: Date_x000D_
Type: Date_x000D_
Length: 24_x000D_
Default Value: Current Date_x000D_
Valid Values: Any valid date format_x000D_
Dependencies: None_x000D_
Required: Yes_x000D_
Editable: Yes_x000D_
</t>
  </si>
  <si>
    <t>Field name: REVERSEDATE_x000D_
UI Field Name: Reverse Date_x000D_
Type: Date_x000D_
Length: 24_x000D_
Default Value: None_x000D_
Valid Values: Any valid date format_x000D_
Dependencies: None_x000D_
Required: No_x000D_
Editable: Yes</t>
  </si>
  <si>
    <t xml:space="preserve">Field Name: DESCRIPTION_x000D_
UI Field Name: Description_x000D_
Type: Character _x000D_
Length: 80_x000D_
Default Value: None_x000D_
Valid Values: Alphanumeric and underscore_x000D_
Dependencies: None_x000D_
Required: Yes_x000D_
Editable: Yes_x000D_
</t>
  </si>
  <si>
    <t>Field Name: REFERENCE_NO_x000D_
UI Field Name: Reference Number_x000D_
Type: Character_x000D_
Length: 20_x000D_
Default Value: None_x000D_
Valid Values: Any_x000D_
Dependencies: None_x000D_
Required: No_x000D_
Editable: N/A_x000D_
Notes: You may not have duplicate numbers within any company. In MEGA companies, two entity companies may use the same number.</t>
  </si>
  <si>
    <t xml:space="preserve">Field Name: LINE_NO_x000D_
UI Field Name: No field name as such. These are the line numbers on the left side of the transaction area._x000D_
Type: Number_x000D_
Length: Any_x000D_
Default Value: None_x000D_
Valid Values: Positive integer_x000D_
Dependencies: Start with 1 for the first line of a transaction, and increment by one for each subsequent line_x000D_
Required: Yes_x000D_
Editable: No_x000D_
</t>
  </si>
  <si>
    <t xml:space="preserve">Field Name: ACCT_NO_x000D_
UI Field Name: Account_x000D_
Type: Character _x000D_
Length: 24_x000D_
Default Value: None_x000D_
Valid Values: Any; Must conform to primary/sub account specification in Company &gt; Setup: Company Info_x000D_
Dependencies: None_x000D_
Required: Yes_x000D_
Editable: Yes_x000D_
</t>
  </si>
  <si>
    <t xml:space="preserve">Field Name: LOCATION_ID_x000D_
UI Field Name: Location_x000D_
Type: Character _x000D_
Length: 20_x000D_
Default Value: None_x000D_
Valid Values: Alphanumeric and underscore_x000D_
Dependencies: Refers to a valid location_x000D_
Required: No_x000D_
Editable: Yes_x000D_
</t>
  </si>
  <si>
    <t xml:space="preserve">Field Name: DEPT_ID_x000D_
UI Field Name: Department_x000D_
Type: Character _x000D_
Length: 20_x000D_
Default Value: None_x000D_
Valid Values: Alphanumeric and underscore_x000D_
Dependencies: Refers to a valid department_x000D_
Required: No_x000D_
Editable: Yes_x000D_
</t>
  </si>
  <si>
    <t xml:space="preserve">Field Name: DOCUMENT_x000D_
UI Field Name: Document_x000D_
Type: Character _x000D_
Length: 30_x000D_
Default Value: None_x000D_
Valid Values: Any_x000D_
Dependencies: None_x000D_
Required: No_x000D_
Editable: Yes_x000D_
</t>
  </si>
  <si>
    <t xml:space="preserve">Field Name: MEMO_x000D_
UI Field Name: Memo_x000D_
Type: Character _x000D_
Length: 1000_x000D_
Default Value: None_x000D_
Valid Values: Any_x000D_
Dependencies: None_x000D_
Required: No_x000D_
Editable: Yes_x000D_
</t>
  </si>
  <si>
    <t xml:space="preserve">Field Name: DEBIT_x000D_
UI Field Name: Debit_x000D_
Type: NUMBER _x000D_
Length: 38,2_x000D_
Default Value: None_x000D_
Valid Values: Any number_x000D_
Dependencies: None_x000D_
Required: Yes, if CREDIT amount not present_x000D_
Editable: Yes_x000D_
Notes: A negative number is treated as a credit._x000D_
</t>
  </si>
  <si>
    <t xml:space="preserve">Field Name: CREDIT_x000D_
UI Field Name: Credit_x000D_
Type: NUMBER _x000D_
Length: 38,2_x000D_
Default Value: None_x000D_
Valid Values: Any number_x000D_
Dependencies: None_x000D_
Required: Yes, if DEBIT amount is not present_x000D_
Editable: Yes_x000D_
Notes: A negative number is treated as a debit._x000D_
</t>
  </si>
  <si>
    <t xml:space="preserve">Field Name: SOURCEENTITY_x000D_
UI Field Name: Source Entity_x000D_
Type: Character _x000D_
Length: 20_x000D_
Default Value: None_x000D_
Valid Values: Alphanumeric and underscore_x000D_
Dependencies: Refers to a valid location_x000D_
Required: Only when the option to auto-create inter-entity transactions is enabled for journal entries and the  journal entry is not balanced by location._x000D_
Editable: Yes_x000D_
</t>
  </si>
  <si>
    <t>Field Name: CURRENCY_x000D_
UI Field Name: Currency_x000D_
Type: Character_x000D_
Length: 3_x000D_
Default Value: Base Currency_x000D_
Valid Values: Any defined currency, such as USD or EUR; blank denotes base currency_x000D_
Dependencies: Must reference a previously defined currency_x000D_
Required: No_x000D_
Editable: Yes_x000D_
Notes: Use only in multi-currency companies. This field defines the transaction currency. If no field is defined here, the system uses base currency.</t>
  </si>
  <si>
    <t>Field Name: EXCH_RATE_DATE_x000D_
UI Field Name: Exchange Rate Date_x000D_
Type: Date_x000D_
Length: 10_x000D_
Default Value: Today_x000D_
Valid Values: Any valid date format_x000D_
Dependencies: None_x000D_
Required: Yes, unless you provide the EXCHANGE_RATE_x000D_
Editable: Yes_x000D_
Notes: Use only in multi-currency companies. This field determines the exchange rate as of this date.</t>
  </si>
  <si>
    <t>Field Name: EXCH_RATE_TYPE_ID_x000D_
UI Field Name: Exchange Rate Type_x000D_
Type: Character_x000D_
Length: 40_x000D_
Default Value: Intacct Daily Rate, unless a custom exchange rate is defined as the default_x000D_
Valid Values: Alphanumeric and underscore_x000D_
Dependencies: Must reference a previously defined exchange rate type_x000D_
Required: No_x000D_
Editable: Yes_x000D_
Notes: Use only in multi-currency companies. Defines an optional custom exchange rate type. The system uses the Intacct Daily rate if no optional one is defined here.</t>
  </si>
  <si>
    <t>Field Name: EXCHANGE_RATE_x000D_
UI Field Name: Exchange Rate_x000D_
Type: Number_x000D_
Length: 17, not including decimal point_x000D_
Default Value: Defaults to the exchange rate of the CURRENCY on the EXCH_RATE_DATE for the EXCH_RATE_TYPE_x000D_
Valid Values: Positive integers_x000D_
Dependencies: None_x000D_
Required: No_x000D_
Editable: Yes_x000D_
Notes: Use only in multi-currency companies. Overrides the default exchange rate, which is the product of the CURRENCY, EXCH_RATE_DATE and EXCH_RATE_TYPE.</t>
  </si>
  <si>
    <t xml:space="preserve">Field name: STATE_x000D_
UI Field Name: State_x000D_
Field Type: Character_x000D_
Length: 6_x000D_
Valid Values: Draft, Posted_x000D_
Required: No_x000D_
Editable: Only if state = Draft_x000D_
Note: If left blank, State will be set to Posted_x000D_
</t>
  </si>
  <si>
    <t>Field Name: ALLOCATION ID_x000D_
UI Field Name: Allocation_x000D_
Type: Character _x000D_
Length: 50_x000D_
Default Value: None_x000D_
Valid Values: An existing valid Allocation_x000D_
Dependencies: None_x000D_
Required: No_x000D_
Editable: No</t>
  </si>
  <si>
    <t>Field Name: BILLABLE_x000D_
UI Field Name: BILLABLE_x000D_
Type: Character _x000D_
Length: 1_x000D_
Default Value: F_x000D_
Valid Values: T or F_x000D_
Dependencies: CUSTOMER and ITEM (as per UI)_x000D_
Required: No_x000D_
Editable: YES</t>
  </si>
  <si>
    <t>Field name: UNITNUM_x000D_
UI Field Name: Unit key_x000D_
Field Type: Number_x000D_
Length: 8_x000D_
Valid Values: Digits 0-9_x000D_
Required: No</t>
  </si>
  <si>
    <t>Field name: JOB_NAME</t>
  </si>
  <si>
    <t>Field name: COST_CODE</t>
  </si>
  <si>
    <t>Field name: UNIT</t>
  </si>
  <si>
    <t>Field name: CF_GLENTRY_WSTOKEN_x000D_
UI Field Name: Token_x000D_
Field Type: Character_x000D_
Length: 80_x000D_
Required: No_x000D_
Description: Web service token.</t>
  </si>
  <si>
    <t>Field name: CF_GLENTRY_PMCID_x000D_
UI Field Name: PMC ID_x000D_
Field Type: Character_x000D_
Length: 80_x000D_
Required: No_x000D_
Description: PMC ID.</t>
  </si>
  <si>
    <t>Field name: CF_GLENTRY_SITEID_x000D_
UI Field Name: Site ID_x000D_
Field Type: Character_x000D_
Length: 80_x000D_
Required: No_x000D_
Description: Site ID.</t>
  </si>
  <si>
    <t>Field name: CF_GLENTRY_SUMID_x000D_
UI Field Name: Summary ID_x000D_
Field Type: Character_x000D_
Length: 80_x000D_
Required: No_x000D_
Description: Summary ID.</t>
  </si>
  <si>
    <t>Field name: GLENTRY_EMPLOYEEID_x000D_
UI Field Name: Employee_x000D_
Field Type: Character_x000D_
Length: 20_x000D_
Dependencies: A valid Employee_x000D_
Required: No</t>
  </si>
  <si>
    <t xml:space="preserve">Field Name: (Segment Type)_x000D_
UI Field Name: Segment Type_x000D_
Type: Character_x000D_
Length: 20_x000D_
Default Value: None_x000D_
Valid Values: Valid Segment Type_x000D_
Required: No_x000D_
Notes: </t>
  </si>
  <si>
    <t xml:space="preserve">Field Name: (Segment Value)_x000D_
UI Field Name: Locations/Location groups_x000D_
Type: Character_x000D_
Length: 20_x000D_
Default Value: None_x000D_
Valid Values: Valid Segment Value_x000D_
Required: No_x000D_
Notes: </t>
  </si>
  <si>
    <t xml:space="preserve">Field Name: (Balance IC Segment)_x000D_
Default Value: true_x000D_
Valid Values: true, false_x000D_
Required: No_x000D_
Notes: </t>
  </si>
  <si>
    <t>GJ</t>
  </si>
  <si>
    <t>HUD Guidelines</t>
  </si>
  <si>
    <t xml:space="preserve">HUD Project Manager Name: </t>
  </si>
  <si>
    <t>HUD Project Number:</t>
  </si>
  <si>
    <t>Email:</t>
  </si>
  <si>
    <t>HUD Project Start Date:</t>
  </si>
  <si>
    <t>Phone:</t>
  </si>
  <si>
    <t>Paste HUD Regulatory Agreement Here 
(Request from Client)</t>
  </si>
  <si>
    <t>Paste HUD Correspondence Here</t>
  </si>
  <si>
    <t>Guideline 1</t>
  </si>
  <si>
    <t>Security Deposit Funds</t>
  </si>
  <si>
    <r>
      <t xml:space="preserve">Cash held must equal or exceed liability balance on the last </t>
    </r>
    <r>
      <rPr>
        <b/>
        <i/>
        <u/>
        <sz val="14"/>
        <rFont val="Avenir Next LT Pro"/>
        <family val="2"/>
      </rPr>
      <t xml:space="preserve">CALENDAR </t>
    </r>
    <r>
      <rPr>
        <b/>
        <sz val="14"/>
        <rFont val="Avenir Next LT Pro"/>
        <family val="2"/>
      </rPr>
      <t>day of every month</t>
    </r>
  </si>
  <si>
    <t>Balance in 11040-000 Cash-Security Deposit on last day of month</t>
  </si>
  <si>
    <t>Balance in 23030-000 Security Deposits on last day of month</t>
  </si>
  <si>
    <t>Guideline 2</t>
  </si>
  <si>
    <t>Replacement Reserve Funding</t>
  </si>
  <si>
    <t>Are replacement reserve deposits being made in accordance with HUD Regulatory Agreement?</t>
  </si>
  <si>
    <t>Required Monthly RR Deposit per Regulatory Agreement</t>
  </si>
  <si>
    <t>through what date?</t>
  </si>
  <si>
    <t>Replacement reserve payment made in current month</t>
  </si>
  <si>
    <t>Guideline 3</t>
  </si>
  <si>
    <t>Replacement Reserve Balance</t>
  </si>
  <si>
    <t>Analyze replacement reserve balance; if significant and not being spent, consider submitting a written request to HUD requesting reduction in monthly deposit requirement (with client approval)</t>
  </si>
  <si>
    <t>Current replacement reserve balance</t>
  </si>
  <si>
    <t>Guideline 4</t>
  </si>
  <si>
    <t>Replacement Reserve Interest</t>
  </si>
  <si>
    <t>Interest earned on replacement reserve account must be isolated in a separate GL account and can't be combined with any other interest income.  Use account 43127-000</t>
  </si>
  <si>
    <t xml:space="preserve">Does project earn interest on replacement reserve balance? </t>
  </si>
  <si>
    <t xml:space="preserve">If yes, what GL account is replacement reserve interest being recorded in (format as 431XX-000)? </t>
  </si>
  <si>
    <t>Guideline 5</t>
  </si>
  <si>
    <t>Distributions</t>
  </si>
  <si>
    <t>Distributions can only be paid 1-2 times per year as per regulatory agreement, typically 6/30 and/or 12/31, and you must use HUD's surplus cash calculation to calculate the amount allowable</t>
  </si>
  <si>
    <t>6/30 Distribution allowable per Regulatory Agreement?</t>
  </si>
  <si>
    <t>12/31 Distribution allowable per Regulatory Agreement?</t>
  </si>
  <si>
    <t>Guideline 6</t>
  </si>
  <si>
    <t>Surplus Cash Calculation</t>
  </si>
  <si>
    <t>There are currently three different versions of the HUD Regulatory Agreement and each requires line #13 be completed differently.  Locate the regulatory agreement form number at the bottom of the agreement and match to the table below to determine what to report in line #13 of the surplus cash calculation</t>
  </si>
  <si>
    <t>Regulatory Agreement Form</t>
  </si>
  <si>
    <t>HUD-92466 (2011 &amp; Prior)</t>
  </si>
  <si>
    <t>HUD-92466M (Rev 04/11) or 
HUD-92466M-11</t>
  </si>
  <si>
    <t>HUD-92466M (Rev 06/14)</t>
  </si>
  <si>
    <t>Include in current obligations
Line #13 Other</t>
  </si>
  <si>
    <t>Interest</t>
  </si>
  <si>
    <t>Principle</t>
  </si>
  <si>
    <t>Reserve</t>
  </si>
  <si>
    <t>Taxes</t>
  </si>
  <si>
    <t>Insurance</t>
  </si>
  <si>
    <t xml:space="preserve">HUD SURPLUS CASH CALCULATION </t>
  </si>
  <si>
    <t>NOTES</t>
  </si>
  <si>
    <t>Computation of Surplus Cash, Distributions and Residual Receipts</t>
  </si>
  <si>
    <t xml:space="preserve">U.S. Department of Housing </t>
  </si>
  <si>
    <t>OMB Approval No. 9999-9999</t>
  </si>
  <si>
    <t>Section 232</t>
  </si>
  <si>
    <t>and Urban Development</t>
  </si>
  <si>
    <t>(exp. mm/dd/yyyy)</t>
  </si>
  <si>
    <t xml:space="preserve">Office of Residential </t>
  </si>
  <si>
    <t>Care Facilities</t>
  </si>
  <si>
    <t>Project Name:</t>
  </si>
  <si>
    <t>Fiscal Period Ended:      ___/___/___</t>
  </si>
  <si>
    <t>FHA Project Number:</t>
  </si>
  <si>
    <t>PART A – Compute Surplus Cash</t>
  </si>
  <si>
    <t>Cash</t>
  </si>
  <si>
    <t>1. Cash (Accounts 1120, 1170, 1191)</t>
  </si>
  <si>
    <t>$</t>
  </si>
  <si>
    <t xml:space="preserve">Do not include escrow deposits, HUD required reserves or entity/construction cash balances </t>
  </si>
  <si>
    <r>
      <t>2.</t>
    </r>
    <r>
      <rPr>
        <sz val="7"/>
        <rFont val="Avenir Next LT Pro"/>
        <family val="2"/>
      </rPr>
      <t xml:space="preserve">       </t>
    </r>
    <r>
      <rPr>
        <sz val="11"/>
        <rFont val="Avenir Next LT Pro"/>
        <family val="2"/>
      </rPr>
      <t xml:space="preserve">Medicare/Medicaid Receivables to be received within 60 days and not encumbered by Accounts Receivable Financing (optional for non-profit projects) </t>
    </r>
  </si>
  <si>
    <t>Leave blank</t>
  </si>
  <si>
    <t>3. Other (describe)</t>
  </si>
  <si>
    <t>Include replacement reserve draws approved by HUD but not yet reimbursed by lender</t>
  </si>
  <si>
    <r>
      <t>(a)</t>
    </r>
    <r>
      <rPr>
        <sz val="7"/>
        <rFont val="Avenir Next LT Pro"/>
        <family val="2"/>
      </rPr>
      <t xml:space="preserve">    </t>
    </r>
    <r>
      <rPr>
        <b/>
        <sz val="11"/>
        <rFont val="Avenir Next LT Pro"/>
        <family val="2"/>
      </rPr>
      <t>Total Cash</t>
    </r>
    <r>
      <rPr>
        <sz val="11"/>
        <rFont val="Avenir Next LT Pro"/>
        <family val="2"/>
      </rPr>
      <t xml:space="preserve"> (Add Lines 1, 2 and 3)</t>
    </r>
  </si>
  <si>
    <t xml:space="preserve">Current Obligations </t>
  </si>
  <si>
    <t>4. Accrued Mortgage Interest Payable</t>
  </si>
  <si>
    <t>Include interest due the first of the next month; interest is paid in arrears, i.e. for the month of December is payable January 1</t>
  </si>
  <si>
    <t>5. Delinquent Mortgage Principal Payments</t>
  </si>
  <si>
    <t>Include principal delinquent under the mortgage, if applicable</t>
  </si>
  <si>
    <t>6. Delinquent Deposits to Reserve for Replacements</t>
  </si>
  <si>
    <t>Include any delinquent deposits to the reserve for replacment account, if applicable</t>
  </si>
  <si>
    <t>7. Accounts Payable (due within 30 days)</t>
  </si>
  <si>
    <t>Should tie to A/P Aging; exclude AP related to RR draws that were approved by HUD prior to year end but not yet reimbursed by lender</t>
  </si>
  <si>
    <t>8. Loans and Notes Payable (due within 30 days)</t>
  </si>
  <si>
    <t>Include loans or notes due within next 30 days, if applicable</t>
  </si>
  <si>
    <t>9. Deficient Tax Insurance or MIP Escrow Deposits</t>
  </si>
  <si>
    <t>Include any deficiency reported in the mortgage escrow deposits (not RR included in #6) schedule of the supplemental data to the financial statement, if applicable</t>
  </si>
  <si>
    <r>
      <t>10.</t>
    </r>
    <r>
      <rPr>
        <sz val="7"/>
        <rFont val="Avenir Next LT Pro"/>
        <family val="2"/>
      </rPr>
      <t xml:space="preserve">      </t>
    </r>
    <r>
      <rPr>
        <sz val="11"/>
        <rFont val="Avenir Next LT Pro"/>
        <family val="2"/>
      </rPr>
      <t>Accrued Expenses (not escrowed)</t>
    </r>
  </si>
  <si>
    <t>If taxes are escrowed, you do not need to include</t>
  </si>
  <si>
    <r>
      <t>11.</t>
    </r>
    <r>
      <rPr>
        <sz val="7"/>
        <rFont val="Avenir Next LT Pro"/>
        <family val="2"/>
      </rPr>
      <t xml:space="preserve">      </t>
    </r>
    <r>
      <rPr>
        <sz val="11"/>
        <rFont val="Avenir Next LT Pro"/>
        <family val="2"/>
      </rPr>
      <t>Prepaid Revenue (Account 2210)</t>
    </r>
  </si>
  <si>
    <t>Should tie to Prepaid Rent on the A/R Aging</t>
  </si>
  <si>
    <r>
      <t>12.</t>
    </r>
    <r>
      <rPr>
        <sz val="7"/>
        <rFont val="Avenir Next LT Pro"/>
        <family val="2"/>
      </rPr>
      <t xml:space="preserve">      </t>
    </r>
    <r>
      <rPr>
        <sz val="11"/>
        <rFont val="Avenir Next LT Pro"/>
        <family val="2"/>
      </rPr>
      <t>Tenant Security Deposits Liability (Account 2191)</t>
    </r>
  </si>
  <si>
    <t>Should tie to Security Deposit Subledger</t>
  </si>
  <si>
    <r>
      <t>13.</t>
    </r>
    <r>
      <rPr>
        <sz val="7"/>
        <rFont val="Avenir Next LT Pro"/>
        <family val="2"/>
      </rPr>
      <t xml:space="preserve">      </t>
    </r>
    <r>
      <rPr>
        <sz val="11"/>
        <rFont val="Avenir Next LT Pro"/>
        <family val="2"/>
      </rPr>
      <t>Other (describe)</t>
    </r>
  </si>
  <si>
    <t>What is included in this line item is determined based on the version of the regulatory agreement (see table above)</t>
  </si>
  <si>
    <r>
      <t>(b)</t>
    </r>
    <r>
      <rPr>
        <sz val="7"/>
        <rFont val="Avenir Next LT Pro"/>
        <family val="2"/>
      </rPr>
      <t xml:space="preserve">    </t>
    </r>
    <r>
      <rPr>
        <b/>
        <sz val="11"/>
        <rFont val="Avenir Next LT Pro"/>
        <family val="2"/>
      </rPr>
      <t>Total Current Obligations</t>
    </r>
    <r>
      <rPr>
        <sz val="11"/>
        <rFont val="Avenir Next LT Pro"/>
        <family val="2"/>
      </rPr>
      <t xml:space="preserve"> (add Lines 4 through 13)</t>
    </r>
  </si>
  <si>
    <r>
      <t>(c)</t>
    </r>
    <r>
      <rPr>
        <sz val="7"/>
        <rFont val="Avenir Next LT Pro"/>
        <family val="2"/>
      </rPr>
      <t xml:space="preserve">    </t>
    </r>
    <r>
      <rPr>
        <b/>
        <sz val="11"/>
        <rFont val="Avenir Next LT Pro"/>
        <family val="2"/>
      </rPr>
      <t>Surplus Cash</t>
    </r>
    <r>
      <rPr>
        <sz val="11"/>
        <rFont val="Avenir Next LT Pro"/>
        <family val="2"/>
      </rPr>
      <t xml:space="preserve"> (</t>
    </r>
    <r>
      <rPr>
        <b/>
        <sz val="11"/>
        <rFont val="Avenir Next LT Pro"/>
        <family val="2"/>
      </rPr>
      <t>Deficiency</t>
    </r>
    <r>
      <rPr>
        <sz val="11"/>
        <rFont val="Avenir Next LT Pro"/>
        <family val="2"/>
      </rPr>
      <t xml:space="preserve">) (Line 3(a) minus Line 13(b)) </t>
    </r>
  </si>
  <si>
    <t>PART B – Compute Distribution to Owners and Required Deposit to Residual Receipts</t>
  </si>
  <si>
    <r>
      <t>1.</t>
    </r>
    <r>
      <rPr>
        <sz val="7"/>
        <rFont val="Avenir Next LT Pro"/>
        <family val="2"/>
      </rPr>
      <t xml:space="preserve">       </t>
    </r>
    <r>
      <rPr>
        <b/>
        <sz val="11"/>
        <rFont val="Avenir Next LT Pro"/>
        <family val="2"/>
      </rPr>
      <t>Surplus Cash</t>
    </r>
    <r>
      <rPr>
        <sz val="11"/>
        <rFont val="Avenir Next LT Pro"/>
        <family val="2"/>
      </rPr>
      <t xml:space="preserve"> (</t>
    </r>
    <r>
      <rPr>
        <b/>
        <sz val="11"/>
        <rFont val="Avenir Next LT Pro"/>
        <family val="2"/>
      </rPr>
      <t>Deficiency</t>
    </r>
    <r>
      <rPr>
        <sz val="11"/>
        <rFont val="Avenir Next LT Pro"/>
        <family val="2"/>
      </rPr>
      <t xml:space="preserve">).  (For-profit projects)  </t>
    </r>
  </si>
  <si>
    <r>
      <t xml:space="preserve">2. Residual Receipts </t>
    </r>
    <r>
      <rPr>
        <sz val="11"/>
        <rFont val="Avenir Next LT Pro"/>
        <family val="2"/>
      </rPr>
      <t>(Non-profit projects)</t>
    </r>
    <r>
      <rPr>
        <b/>
        <sz val="11"/>
        <rFont val="Avenir Next LT Pro"/>
        <family val="2"/>
      </rPr>
      <t xml:space="preserve"> </t>
    </r>
    <r>
      <rPr>
        <sz val="11"/>
        <rFont val="Avenir Next LT Pro"/>
        <family val="2"/>
      </rPr>
      <t>(must be deposited with Lender within 60 days after Fiscal Period ends, as governed by applicable Regulatory Agreement)</t>
    </r>
  </si>
  <si>
    <t>Loan Technician</t>
  </si>
  <si>
    <t>Loan Servicer</t>
  </si>
  <si>
    <t>This calculation must be approved by the owner in writing before being submitted to HUD</t>
  </si>
  <si>
    <t>Account Name</t>
  </si>
  <si>
    <t>ASSETS</t>
  </si>
  <si>
    <t>Current Assets</t>
  </si>
  <si>
    <t>Cash - Depository</t>
  </si>
  <si>
    <t>Cash - Depository 2nd</t>
  </si>
  <si>
    <t>Cash - Depository 3rd</t>
  </si>
  <si>
    <t>Cash - Depository - Lender</t>
  </si>
  <si>
    <t>Cash - Camp Hope</t>
  </si>
  <si>
    <t>Cash - Operating</t>
  </si>
  <si>
    <t>Cash - Operating 2nd</t>
  </si>
  <si>
    <t>Cash - Operating 3rd</t>
  </si>
  <si>
    <t>Cash - Master</t>
  </si>
  <si>
    <t>Cash - Prior Management Co</t>
  </si>
  <si>
    <t>Cash - Owner</t>
  </si>
  <si>
    <t>Cash - General American</t>
  </si>
  <si>
    <t>Cash - Forensic</t>
  </si>
  <si>
    <t>Cash - Debtor in Possession - Operating</t>
  </si>
  <si>
    <t>Cash - Debtor in Possession - Sec Dep</t>
  </si>
  <si>
    <t>Cash - Debtor in Possession - Collateral</t>
  </si>
  <si>
    <t>Cash - General American - Reserve</t>
  </si>
  <si>
    <t>Cash - Escrow</t>
  </si>
  <si>
    <t>Cash - Escrow 2nd</t>
  </si>
  <si>
    <t>Cash - Escrow 3rd</t>
  </si>
  <si>
    <t>Cash - Escrow 4th</t>
  </si>
  <si>
    <t>Cash - TDM</t>
  </si>
  <si>
    <t>Cash - TDM Remedy</t>
  </si>
  <si>
    <t>Cash - TDM Incentive</t>
  </si>
  <si>
    <t>Cash - TDM Penalty</t>
  </si>
  <si>
    <t>Cash - Security Deposit</t>
  </si>
  <si>
    <t>Cash - Security Deposit 2nd</t>
  </si>
  <si>
    <t>Cash - Security Deposit 3rd</t>
  </si>
  <si>
    <t>Cash - Money Market</t>
  </si>
  <si>
    <t>Cash - Money Market 2nd</t>
  </si>
  <si>
    <t>Cash - Money Market 3rd</t>
  </si>
  <si>
    <t>Cash - Money Market 4th</t>
  </si>
  <si>
    <t>Cash - Money Market 5th</t>
  </si>
  <si>
    <t>Cash - Money Market 6th</t>
  </si>
  <si>
    <t>Cash - Money Market 7th</t>
  </si>
  <si>
    <t>Cash - Certificate of Deposits</t>
  </si>
  <si>
    <t>Cash - Other 1</t>
  </si>
  <si>
    <t>Cash  Other 2</t>
  </si>
  <si>
    <t>Cash  Other 3</t>
  </si>
  <si>
    <t>Cash - Payroll</t>
  </si>
  <si>
    <t>Cash - Payroll 2nd</t>
  </si>
  <si>
    <t>Cash - Payroll 3rd</t>
  </si>
  <si>
    <t>Cash - Construction / Rehab</t>
  </si>
  <si>
    <t>Cash - Construction / Rehab 2nd</t>
  </si>
  <si>
    <t>Cash - Renovation Reserve</t>
  </si>
  <si>
    <t>Cash - Reserve</t>
  </si>
  <si>
    <t>Cash - Retail / Commercial</t>
  </si>
  <si>
    <t>Cash-Retail/Commercial Security Deposit</t>
  </si>
  <si>
    <t>Petty Cash</t>
  </si>
  <si>
    <t>Cash - Activity Funds</t>
  </si>
  <si>
    <t>IM Cash Clearing</t>
  </si>
  <si>
    <t>Deposits In Transit</t>
  </si>
  <si>
    <t>Summit CRA Investment</t>
  </si>
  <si>
    <t>Utility Deposits</t>
  </si>
  <si>
    <t>Electric Deposits</t>
  </si>
  <si>
    <t>Gas Deposits</t>
  </si>
  <si>
    <t>Payroll Deposits</t>
  </si>
  <si>
    <t>Water / Sewer Deposits</t>
  </si>
  <si>
    <t>Telephone Deposits</t>
  </si>
  <si>
    <t>Other Deposits</t>
  </si>
  <si>
    <t>Escrow Deposits</t>
  </si>
  <si>
    <t>1031 Escrow</t>
  </si>
  <si>
    <t>Tax Escrow</t>
  </si>
  <si>
    <t>Tax &amp; Insurance Escrow</t>
  </si>
  <si>
    <t>Insurance Escrow</t>
  </si>
  <si>
    <t>Legal Escrow</t>
  </si>
  <si>
    <t>Mortgage Escrow</t>
  </si>
  <si>
    <t>MIP Escrow</t>
  </si>
  <si>
    <t>Renovation/Capital Improvement Escrow</t>
  </si>
  <si>
    <t>Replacement / Rehab Escrow</t>
  </si>
  <si>
    <t>Replacement / Rehab Escrow 2nd</t>
  </si>
  <si>
    <t>Replacement / Rehab Escrow 3rd</t>
  </si>
  <si>
    <t>Payroll Reserve Escrow</t>
  </si>
  <si>
    <t>Completion Repair Escrow</t>
  </si>
  <si>
    <t>Earnout Reserve</t>
  </si>
  <si>
    <t>Polybutylene Escrow</t>
  </si>
  <si>
    <t>New Completion Repair Escrow</t>
  </si>
  <si>
    <t>Working Capital Escrow</t>
  </si>
  <si>
    <t>Lien Escrows</t>
  </si>
  <si>
    <t>Immediate Repair Escrow-30 days</t>
  </si>
  <si>
    <t>Immediate Repair Escrow - 60 Days</t>
  </si>
  <si>
    <t>Immediate Repair Escrow</t>
  </si>
  <si>
    <t>Immediate Repair Escrow-90 Days</t>
  </si>
  <si>
    <t>Immediate Repair Escrow-120 Days</t>
  </si>
  <si>
    <t>Immediate Repair Escrow-180 Days</t>
  </si>
  <si>
    <t>Immediate Repair Escrow-270 Days</t>
  </si>
  <si>
    <t>Operating Deficit Escrow</t>
  </si>
  <si>
    <t>Pilot Rent Escrow</t>
  </si>
  <si>
    <t>Escrow - Other</t>
  </si>
  <si>
    <t>Other Reserves</t>
  </si>
  <si>
    <t>Escrow  Other Cash</t>
  </si>
  <si>
    <t>Investment Securities</t>
  </si>
  <si>
    <t>Interest Reserves</t>
  </si>
  <si>
    <t>Interest Reserves 2nd</t>
  </si>
  <si>
    <t>Interest Reserves 3rd</t>
  </si>
  <si>
    <t>Interest Reserves 4th</t>
  </si>
  <si>
    <t>Interest Reserves 5th</t>
  </si>
  <si>
    <t>Investment Securities 2nd</t>
  </si>
  <si>
    <t>Investment Securities 3rd</t>
  </si>
  <si>
    <t>Trustee Fee Escrow</t>
  </si>
  <si>
    <t>Rate Cap Escrow</t>
  </si>
  <si>
    <t>Insurance Loss Escrow</t>
  </si>
  <si>
    <t>Bond Fund</t>
  </si>
  <si>
    <t>Bond Fund A</t>
  </si>
  <si>
    <t>Bond Fund B</t>
  </si>
  <si>
    <t>Bond Interest</t>
  </si>
  <si>
    <t>Budgeted Third Party Ex</t>
  </si>
  <si>
    <t>Capitalized Interest A</t>
  </si>
  <si>
    <t>Clearing Fund A</t>
  </si>
  <si>
    <t>Debt Service Fund</t>
  </si>
  <si>
    <t>Debt Svc Fund - Taxable</t>
  </si>
  <si>
    <t>Debt Service Reserve Fu</t>
  </si>
  <si>
    <t>Debt Svc Fund ? Tax Exm</t>
  </si>
  <si>
    <t>Issuance Cost Fund A</t>
  </si>
  <si>
    <t>Operating Expense Fund</t>
  </si>
  <si>
    <t>Project Fund A</t>
  </si>
  <si>
    <t>Redemption Fund</t>
  </si>
  <si>
    <t>Repair &amp; Replacement Re</t>
  </si>
  <si>
    <t>Revenue Fund</t>
  </si>
  <si>
    <t>Surplus Fund</t>
  </si>
  <si>
    <t>Accounts Receivable</t>
  </si>
  <si>
    <t>Input VAT Taxes</t>
  </si>
  <si>
    <t>A/R - Mixed Use/Suspense</t>
  </si>
  <si>
    <t>HAP Overpayment</t>
  </si>
  <si>
    <t>Dividends Receivable</t>
  </si>
  <si>
    <t>A/R - Corporate Apartments</t>
  </si>
  <si>
    <t>A/R - Development Fee Receivable</t>
  </si>
  <si>
    <t>Contract Asset/AR</t>
  </si>
  <si>
    <t>A/R - Staff</t>
  </si>
  <si>
    <t>A/R - Capital Projects</t>
  </si>
  <si>
    <t>A/R - Regional Payroll</t>
  </si>
  <si>
    <t>A/R - Regional Payroll 2nd</t>
  </si>
  <si>
    <t>A/R - Due from ADP</t>
  </si>
  <si>
    <t>A/R - Related Parties 2nd</t>
  </si>
  <si>
    <t>A/R - Cost in Excess of Billings</t>
  </si>
  <si>
    <t>A/R - Yardi</t>
  </si>
  <si>
    <t>A/R - Risk Management Fees</t>
  </si>
  <si>
    <t>A/R - Clearing Account</t>
  </si>
  <si>
    <t>A/R - Insurance Claim</t>
  </si>
  <si>
    <t>A/R - Insurance</t>
  </si>
  <si>
    <t>A/R - Other Insurance</t>
  </si>
  <si>
    <t>A/R - Investor Rent</t>
  </si>
  <si>
    <t>A/R - Etopa</t>
  </si>
  <si>
    <t>AR - GDG Cost Overrun Funding</t>
  </si>
  <si>
    <t>A/R - Previous Management Company</t>
  </si>
  <si>
    <t>A/R - HOA Assessments</t>
  </si>
  <si>
    <t>A/R - HOA Special Assessments</t>
  </si>
  <si>
    <t>A/R - HOA Late Fees</t>
  </si>
  <si>
    <t>A/R - HOA Fines</t>
  </si>
  <si>
    <t>A/R - Other</t>
  </si>
  <si>
    <t>A/R - Other 2nd</t>
  </si>
  <si>
    <t>A/R - Other 3rd</t>
  </si>
  <si>
    <t>A/R - Other 4th</t>
  </si>
  <si>
    <t>A/R - Quality Control</t>
  </si>
  <si>
    <t>Intra-Company A/R - A/P</t>
  </si>
  <si>
    <t>Intra-Company - A/R Clearing</t>
  </si>
  <si>
    <t>Intra-Region</t>
  </si>
  <si>
    <t>Intra-Company - International</t>
  </si>
  <si>
    <t>NR - Due from Riverstone</t>
  </si>
  <si>
    <t>Constr Billings Receivable</t>
  </si>
  <si>
    <t>Intra-Company</t>
  </si>
  <si>
    <t>Intra-Company Non-Cash Settled</t>
  </si>
  <si>
    <t>Deferred Management Fee Rec</t>
  </si>
  <si>
    <t>Accrued Receivables</t>
  </si>
  <si>
    <t>Due from Aff. (Pyble Trans)</t>
  </si>
  <si>
    <t>Due From Owner</t>
  </si>
  <si>
    <t>Due From Owner 2nd</t>
  </si>
  <si>
    <t>Due from Corporate (Property)</t>
  </si>
  <si>
    <t>Due to Corporate (Property)</t>
  </si>
  <si>
    <t>Allowance for Doubtful Accounts</t>
  </si>
  <si>
    <t>Advances Made on Behalf of Certain Non-Controlling Interest</t>
  </si>
  <si>
    <t>Distributions Received on Behalf of Investors</t>
  </si>
  <si>
    <t>Due from Affiliate - FX Fluctuation</t>
  </si>
  <si>
    <t>Prepaids &amp; Other Current Assets</t>
  </si>
  <si>
    <t>Earnest Money Deposits</t>
  </si>
  <si>
    <t>Predevelopment Costs</t>
  </si>
  <si>
    <t>Pursuit Reimbursement</t>
  </si>
  <si>
    <t>Pursuit Reimbursement - GDCV</t>
  </si>
  <si>
    <t>Pursuit Reimbursement - GCVI</t>
  </si>
  <si>
    <t>Pursuit Reimbursement - GDCV II</t>
  </si>
  <si>
    <t>Allowance for Unrecoverable Pursuit</t>
  </si>
  <si>
    <t>Pursuit Reimbursement-GCVII</t>
  </si>
  <si>
    <t>Pursuit Reimbursement-Carlyle</t>
  </si>
  <si>
    <t>Pursuit Reimbursement - GCIX</t>
  </si>
  <si>
    <t>Pursuit Reimbursement - Other</t>
  </si>
  <si>
    <t>Retainage Receivable</t>
  </si>
  <si>
    <t>Pursuit Reimbursement GCX</t>
  </si>
  <si>
    <t>Pursuit Reimbursement - TRS</t>
  </si>
  <si>
    <t>Pursuit Reimbursement - COX</t>
  </si>
  <si>
    <t>Pursuit Reimbursement GCVIIC</t>
  </si>
  <si>
    <t>Accrued Interest Receivable</t>
  </si>
  <si>
    <t>Prepaid Water / Sewer</t>
  </si>
  <si>
    <t>Prepaid Insurance</t>
  </si>
  <si>
    <t>Prepaid MIP</t>
  </si>
  <si>
    <t>Prepaid Rent</t>
  </si>
  <si>
    <t>Prepaid Real Property Taxes</t>
  </si>
  <si>
    <t>Prepaid Personal Property Tax</t>
  </si>
  <si>
    <t>Prepaid Interest</t>
  </si>
  <si>
    <t>Prepaid Workers Comp</t>
  </si>
  <si>
    <t>Prepaid - Other 2nd</t>
  </si>
  <si>
    <t>Prepaid - Other 3rd</t>
  </si>
  <si>
    <t>Upfront Concessions</t>
  </si>
  <si>
    <t>Accumulated Amortization - Upfront Concessions</t>
  </si>
  <si>
    <t>Current Assets - Other</t>
  </si>
  <si>
    <t>Current Deferred Tax Asset</t>
  </si>
  <si>
    <t>Inventory</t>
  </si>
  <si>
    <t>Foreign Currency Gain</t>
  </si>
  <si>
    <t>Fixed Assets</t>
  </si>
  <si>
    <t>Land</t>
  </si>
  <si>
    <t>Land - Trading</t>
  </si>
  <si>
    <t>Land  Other</t>
  </si>
  <si>
    <t>Land Improvements</t>
  </si>
  <si>
    <t>Land Improvements  Other</t>
  </si>
  <si>
    <t>Industrial Multifamily Land Held</t>
  </si>
  <si>
    <t>Accum Depr - Land Improvements</t>
  </si>
  <si>
    <t>Maj. Repairs - Landscape</t>
  </si>
  <si>
    <t>Maj. Repairs - Pool</t>
  </si>
  <si>
    <t>Maj. Repairs - Tennis Court</t>
  </si>
  <si>
    <t>Maj. Repairs - Parking Lot</t>
  </si>
  <si>
    <t>Maj. Repairs - Pollution Cleanup Oil</t>
  </si>
  <si>
    <t>Accum Depr - Maj. Land Rprs.</t>
  </si>
  <si>
    <t>Construction in Progress</t>
  </si>
  <si>
    <t>Construction in Progress - Deferred</t>
  </si>
  <si>
    <t>Construction in Progress - Adjustments</t>
  </si>
  <si>
    <t>Construction in Progress - Transfer To</t>
  </si>
  <si>
    <t>Construction in Progress - PreDevelopment</t>
  </si>
  <si>
    <t>Construction in Progress - 5 Year</t>
  </si>
  <si>
    <t>Construction in Progress - 7 Year</t>
  </si>
  <si>
    <t>Construction in Progress - 15 Year</t>
  </si>
  <si>
    <t>Construction in Progress - 27.5 Year</t>
  </si>
  <si>
    <t>CIP - Trading</t>
  </si>
  <si>
    <t>Building &amp; Improvements</t>
  </si>
  <si>
    <t>Buildings</t>
  </si>
  <si>
    <t>Accum Depr - Buildings</t>
  </si>
  <si>
    <t>Real Estate Held For Sale</t>
  </si>
  <si>
    <t>Building Improvements</t>
  </si>
  <si>
    <t>Accum Depr - Bldg Improvements</t>
  </si>
  <si>
    <t>Capitalized Property Tax</t>
  </si>
  <si>
    <t>Capitalized Development Costs</t>
  </si>
  <si>
    <t>Facade</t>
  </si>
  <si>
    <t>Elevator</t>
  </si>
  <si>
    <t>Upgrades - Hallways / Lobbies</t>
  </si>
  <si>
    <t>Building Equip Fixed</t>
  </si>
  <si>
    <t>Accum Depr Bldg Equip Fixed</t>
  </si>
  <si>
    <t>Major Repairs - Roof</t>
  </si>
  <si>
    <t>Major Repairs - Exterior Paint</t>
  </si>
  <si>
    <t>Major Repairs - Model / Office</t>
  </si>
  <si>
    <t>Major Repairs - Electrical</t>
  </si>
  <si>
    <t>Major Repairs - Garage / Carport</t>
  </si>
  <si>
    <t>Major Repairs - Interior Upgrades</t>
  </si>
  <si>
    <t>Major Repairs  -  Common Areas</t>
  </si>
  <si>
    <t>Major Repairs  -  Asbestos Cleanup</t>
  </si>
  <si>
    <t>Major Repairs  -  Fire Damage</t>
  </si>
  <si>
    <t>Major Repairs - Other</t>
  </si>
  <si>
    <t>Accum Depr - Maj. Bldg. Repairs</t>
  </si>
  <si>
    <t>Renovation Costs</t>
  </si>
  <si>
    <t>Renovation Costs – Capitalization Contra</t>
  </si>
  <si>
    <t>Excess Insurance Recovery</t>
  </si>
  <si>
    <t>Tenant Improvements</t>
  </si>
  <si>
    <t>Tenant Improvements - Retail</t>
  </si>
  <si>
    <t>Accum Depr - Tenant Improvements</t>
  </si>
  <si>
    <t>Accum Depr - LR Tenant Improvements</t>
  </si>
  <si>
    <t>Leasehold Improvements</t>
  </si>
  <si>
    <t>Accum Depr - Leasehold Improvements</t>
  </si>
  <si>
    <t>Leasing Commissions</t>
  </si>
  <si>
    <t>Accum Amort - Leasing Commissions</t>
  </si>
  <si>
    <t>Capitalized Lease Costs</t>
  </si>
  <si>
    <t>Accum Amort  - Lease Costs</t>
  </si>
  <si>
    <t>Computer Software</t>
  </si>
  <si>
    <t>Accum Depr - Computer Software</t>
  </si>
  <si>
    <t>Computer Hardware</t>
  </si>
  <si>
    <t>Accum Depr - Computer Hardware</t>
  </si>
  <si>
    <t>Furniture Fixtures and Equip</t>
  </si>
  <si>
    <t>Accum Depr - Furn Fix &amp; Equip</t>
  </si>
  <si>
    <t>Boiler</t>
  </si>
  <si>
    <t>Accum Depr - Boiler</t>
  </si>
  <si>
    <t>Access Gates</t>
  </si>
  <si>
    <t>Accum Depr - Access Gates</t>
  </si>
  <si>
    <t>Appliances</t>
  </si>
  <si>
    <t>Accum Depr - Appliances</t>
  </si>
  <si>
    <t>Carpet</t>
  </si>
  <si>
    <t>Accum Depr - Carpet</t>
  </si>
  <si>
    <t>Electrical Equipment</t>
  </si>
  <si>
    <t>Accum Depr - Electrical</t>
  </si>
  <si>
    <t>Floor / Tile</t>
  </si>
  <si>
    <t>Accum Depr - Floor / Tile</t>
  </si>
  <si>
    <t>HVAC Equipment</t>
  </si>
  <si>
    <t>Accum Depr - HVAC</t>
  </si>
  <si>
    <t>Mini Blinds / Drapes</t>
  </si>
  <si>
    <t>Accum Depr - Blinds / Drapes</t>
  </si>
  <si>
    <t>Plumbing - Major</t>
  </si>
  <si>
    <t>Accum Depr - Plumbing</t>
  </si>
  <si>
    <t>Signage</t>
  </si>
  <si>
    <t>Accum Depr - Signage</t>
  </si>
  <si>
    <t>Property &amp; Equipment - Other</t>
  </si>
  <si>
    <t>Vehicles</t>
  </si>
  <si>
    <t>Accumulated Dep - Vehicles</t>
  </si>
  <si>
    <t>Accum Depr - P &amp; E - Other</t>
  </si>
  <si>
    <t>Accum Depr - Other</t>
  </si>
  <si>
    <t>Accrued Capital Assets</t>
  </si>
  <si>
    <t>Unrealized Appreciation</t>
  </si>
  <si>
    <t>Capital Renovation</t>
  </si>
  <si>
    <t>Architect</t>
  </si>
  <si>
    <t>Appliances - Refrigerators</t>
  </si>
  <si>
    <t>Appliances - Stoves / Microwaves</t>
  </si>
  <si>
    <t>Appliances - Dishwashers</t>
  </si>
  <si>
    <t>Appliances - Water Heaters</t>
  </si>
  <si>
    <t>Appliances - Washers / Dryers</t>
  </si>
  <si>
    <t>Engineering Fees</t>
  </si>
  <si>
    <t>Balconies and Decks</t>
  </si>
  <si>
    <t>Bathroom Fixtures/Medicine Cabinets</t>
  </si>
  <si>
    <t>Backsplashes</t>
  </si>
  <si>
    <t>Building - Exterior</t>
  </si>
  <si>
    <t>Building - Interior</t>
  </si>
  <si>
    <t>BBQ Area/Picnic Facilities</t>
  </si>
  <si>
    <t>Building - Completion Guarantee</t>
  </si>
  <si>
    <t>Scaffolding</t>
  </si>
  <si>
    <t>Expeditor Fees</t>
  </si>
  <si>
    <t>Cabinets</t>
  </si>
  <si>
    <t>Carpentry</t>
  </si>
  <si>
    <t>Carpets</t>
  </si>
  <si>
    <t>Clubhouse</t>
  </si>
  <si>
    <t>Design Fees</t>
  </si>
  <si>
    <t>Fencing</t>
  </si>
  <si>
    <t>Fitness Center</t>
  </si>
  <si>
    <t>Carports</t>
  </si>
  <si>
    <t>Garages</t>
  </si>
  <si>
    <t>Gutters &amp; Downspouts</t>
  </si>
  <si>
    <t>Cert of Occupancy / Life Safety</t>
  </si>
  <si>
    <t>Concrete Work / Foundation</t>
  </si>
  <si>
    <t>Contingency Fees</t>
  </si>
  <si>
    <t>Construction Fees</t>
  </si>
  <si>
    <t>Down Units</t>
  </si>
  <si>
    <t>Electrical</t>
  </si>
  <si>
    <t>Furniture</t>
  </si>
  <si>
    <t>Equipment</t>
  </si>
  <si>
    <t>HVAC</t>
  </si>
  <si>
    <t>Landscape</t>
  </si>
  <si>
    <t>Make Ready-Cleaning Service</t>
  </si>
  <si>
    <t>Sidewalks</t>
  </si>
  <si>
    <t>Mirrors</t>
  </si>
  <si>
    <t>Miscellaneous</t>
  </si>
  <si>
    <t>Models</t>
  </si>
  <si>
    <t>Office Renovation</t>
  </si>
  <si>
    <t>Painting - Exterior</t>
  </si>
  <si>
    <t>Painting - Interior</t>
  </si>
  <si>
    <t>Paving / Driveway</t>
  </si>
  <si>
    <t>Payroll - Maintenance</t>
  </si>
  <si>
    <t>Payroll - Manager</t>
  </si>
  <si>
    <t>Payroll - Supervisor</t>
  </si>
  <si>
    <t>Consulting / Admin</t>
  </si>
  <si>
    <t>Plumbing</t>
  </si>
  <si>
    <t>Pool</t>
  </si>
  <si>
    <t>Pool Resurfacing</t>
  </si>
  <si>
    <t>Tennis Courts</t>
  </si>
  <si>
    <t>Recreation Facilities - Other</t>
  </si>
  <si>
    <t>Roof Repairs</t>
  </si>
  <si>
    <t>Security System</t>
  </si>
  <si>
    <t>Siding</t>
  </si>
  <si>
    <t>Stairs</t>
  </si>
  <si>
    <t>Sprinkler System</t>
  </si>
  <si>
    <t>Trees/Pruning</t>
  </si>
  <si>
    <t>Stucco/Masonry</t>
  </si>
  <si>
    <t>Subfloor / Lightweight</t>
  </si>
  <si>
    <t>Tenant Improvements 2nd Gen</t>
  </si>
  <si>
    <t>Termite Treatment</t>
  </si>
  <si>
    <t>Unit Renovations</t>
  </si>
  <si>
    <t>Windows</t>
  </si>
  <si>
    <t>Accum Depr - Capital Renovation in Progress</t>
  </si>
  <si>
    <t>Accumulated Depreciation - Applicances</t>
  </si>
  <si>
    <t>Accumulated Depreciation - Flooring</t>
  </si>
  <si>
    <t>Accumulated Depreciation - Construction / Engineering Fees</t>
  </si>
  <si>
    <t>Investment In Partnerships</t>
  </si>
  <si>
    <t>Investment in Greystar 2018 Investors (Contributions)</t>
  </si>
  <si>
    <t>Investment in GS 445 Meeting Owner, LLC (Contributions)</t>
  </si>
  <si>
    <t>Investment In Partnerships 2nd</t>
  </si>
  <si>
    <t>Investment In Partnerships 3rd (Contributions)</t>
  </si>
  <si>
    <t>Investment In Partnerships 4th</t>
  </si>
  <si>
    <t>Investment In Partnerships 5th</t>
  </si>
  <si>
    <t>Investment in Courier Square Project (Contributions)</t>
  </si>
  <si>
    <t>Investment in Orange House ZC</t>
  </si>
  <si>
    <t>Investment in GDCV</t>
  </si>
  <si>
    <t>Investment in GDCV II</t>
  </si>
  <si>
    <t>Investment in Orange House ZC (Contributions)</t>
  </si>
  <si>
    <t>Invest Portefeuille de develop residentiels PG(Contributions</t>
  </si>
  <si>
    <t>Investment in Columbia Multifamily Holdings</t>
  </si>
  <si>
    <t>Investment in GMS National</t>
  </si>
  <si>
    <t>Investment in GDCV Residential Portfolio, LP (Contributions)</t>
  </si>
  <si>
    <t>Investm. in GDCV Resid. Portf. II, LP (Contributions)</t>
  </si>
  <si>
    <t>Investment in GSHA, LLC (Contributions)</t>
  </si>
  <si>
    <t>Investment in GREP - South</t>
  </si>
  <si>
    <t>Investm. in GS Fund 8 Lmtd Prtnr, LLC (Contrib.)</t>
  </si>
  <si>
    <t>Investm. in GS Multifamily GP 8, LLC (Contributions)</t>
  </si>
  <si>
    <t>Investment in GREP - Southeast</t>
  </si>
  <si>
    <t>Investment in GREP - Southwest</t>
  </si>
  <si>
    <t>Investment in Greystar - Central</t>
  </si>
  <si>
    <t>Investment in GIA</t>
  </si>
  <si>
    <t>Investment in Greystar International</t>
  </si>
  <si>
    <t>Investment in Greystar Mexico Holdings</t>
  </si>
  <si>
    <t>Investment in Greystar Europe Holdings</t>
  </si>
  <si>
    <t>Investment in Greystar Construction West</t>
  </si>
  <si>
    <t>Investment in UNITE</t>
  </si>
  <si>
    <t>Investment in Titan Construction</t>
  </si>
  <si>
    <t>Investment in GREP - Dallas</t>
  </si>
  <si>
    <t>Investment in Greystar Investment Group</t>
  </si>
  <si>
    <t>Investment in Capital Projects Group</t>
  </si>
  <si>
    <t>Investment in GREP Atlantic LLC</t>
  </si>
  <si>
    <t>Investment in GEP LP</t>
  </si>
  <si>
    <t>Investment in Greystar Columbia Partners</t>
  </si>
  <si>
    <t>Investment in Greystar CoInvestments (Contributions)</t>
  </si>
  <si>
    <t>Investment in Greystar CoInvestments (Distributions)</t>
  </si>
  <si>
    <t>Investment in Greystar CoInvestments (Income)</t>
  </si>
  <si>
    <t>Investment in Greystar Promote</t>
  </si>
  <si>
    <t>Investment in Sonterra Coinvestment</t>
  </si>
  <si>
    <t>Investment in GS CoInvestment II (Contributions)</t>
  </si>
  <si>
    <t>Investment in GS CoInvestment II (Distributions)</t>
  </si>
  <si>
    <t>Investment in GS CoInvestment II (Income)</t>
  </si>
  <si>
    <t>Investment in Greystar Atlantic</t>
  </si>
  <si>
    <t>Investment in GREP West</t>
  </si>
  <si>
    <t>Investment in GREP Interests</t>
  </si>
  <si>
    <t>Investment in Greystar Real Estate Partners LLC</t>
  </si>
  <si>
    <t>Investment in Greystar Advisors</t>
  </si>
  <si>
    <t>Investment in GREP Charleston</t>
  </si>
  <si>
    <t>Investment in Greystar Management Services</t>
  </si>
  <si>
    <t>Investment in Greystar SP Portfolio</t>
  </si>
  <si>
    <t>Investment in Greystar GP</t>
  </si>
  <si>
    <t>Investment in Greystar Real Estate Advisors LLC</t>
  </si>
  <si>
    <t>Investment in Harbor Hospitality I LLC (Contributions)</t>
  </si>
  <si>
    <t>Investment in Harbor Hospitality I LLC (Distributions)</t>
  </si>
  <si>
    <t>Investment in Harbor Hospitality I LLC (Income)</t>
  </si>
  <si>
    <t>Investment in GDG II</t>
  </si>
  <si>
    <t>Investment in GDC Ground Up</t>
  </si>
  <si>
    <t>Investment in Harbor Hospitality II LLC(Contributions)</t>
  </si>
  <si>
    <t>Investment in Harbor Hospitality II LLC (Distributions)</t>
  </si>
  <si>
    <t>Investment in Harbor Hospitality II LLC (Income)</t>
  </si>
  <si>
    <t>Investment in Concrete Dimensions</t>
  </si>
  <si>
    <t>Investment in Greystar Development Group</t>
  </si>
  <si>
    <t>Investment in Island Club (Contributions)</t>
  </si>
  <si>
    <t>Investment in Island Club (Distributions)</t>
  </si>
  <si>
    <t>Investment in Oxnard Apts (Contributions)</t>
  </si>
  <si>
    <t>Investment in Oxnard Apts (Distributions)</t>
  </si>
  <si>
    <t>Investment in Cherrywood (Contributions)</t>
  </si>
  <si>
    <t>Investment in Cherrywood (Distributions)</t>
  </si>
  <si>
    <t>Investment in Ranchstone (Contributions)</t>
  </si>
  <si>
    <t>Investment in Rachstone (Distributions)</t>
  </si>
  <si>
    <t>Investment in River Communities (Contributions)</t>
  </si>
  <si>
    <t>Investment in River Communities (Distributions)</t>
  </si>
  <si>
    <t>Investment in GS Red River (Contributions)</t>
  </si>
  <si>
    <t>Investment in GS Red River (Distributions)</t>
  </si>
  <si>
    <t>Investment in Edinborough (Contributions)</t>
  </si>
  <si>
    <t>Investment in Edinborough (Distributions)</t>
  </si>
  <si>
    <t>Investment in Ironhorse (Contributions)</t>
  </si>
  <si>
    <t>Investment in Ironhorse (Distributions)</t>
  </si>
  <si>
    <t>Investment in GEP IV (Contributions)</t>
  </si>
  <si>
    <t>Investment in GEP IV (Distributions)</t>
  </si>
  <si>
    <t>Investment in GEP IV (Income)</t>
  </si>
  <si>
    <t>Investment in Bridgeport Coinvest (Contributions)</t>
  </si>
  <si>
    <t>Investment in Bridgeport Coinvest (Dist)</t>
  </si>
  <si>
    <t>Investment in Bridgeport Coinvest (Income)</t>
  </si>
  <si>
    <t>Investment in Oxnard Hotels (Contr)</t>
  </si>
  <si>
    <t>Investment in Oxnard Hotels (Distr)</t>
  </si>
  <si>
    <t>Investment in Oxnard Hotels (Income)</t>
  </si>
  <si>
    <t>Investment in GS / Aimbridge LLC (Contr)</t>
  </si>
  <si>
    <t>Investment in GS / Aimbridge LLC (Distr)</t>
  </si>
  <si>
    <t>Investment in GS / Aimbridge LLC (Income)</t>
  </si>
  <si>
    <t>Investment in Carmel (Contr)</t>
  </si>
  <si>
    <t>Investment in Carmel (Dist)</t>
  </si>
  <si>
    <t>Investment in Carmel (Income)</t>
  </si>
  <si>
    <t>Investment in Carnes Crossroads (Contr)</t>
  </si>
  <si>
    <t>Investment in Carnes Crossroads (Distr)</t>
  </si>
  <si>
    <t>Investment in Carnes Crossroads (Income)</t>
  </si>
  <si>
    <t>Investment in Retreat (Contributions)</t>
  </si>
  <si>
    <t>Investment in Retreat (Distributions)</t>
  </si>
  <si>
    <t>Investment in Retreat (Income)</t>
  </si>
  <si>
    <t>Investment in The Village (Contributions)</t>
  </si>
  <si>
    <t>Investment in The Village (Distributions)</t>
  </si>
  <si>
    <t>Investment in The Village Inc(Loss)</t>
  </si>
  <si>
    <t>Investment in Soco Apts (Contributions)</t>
  </si>
  <si>
    <t>Investment in Soco Apts (Distribution)</t>
  </si>
  <si>
    <t>Investment in Soco Apts (Income)</t>
  </si>
  <si>
    <t>Investment in Soco Condos (Contributions)</t>
  </si>
  <si>
    <t>Investment in Soco Condos (Distributions)</t>
  </si>
  <si>
    <t>Investment in Soco Condos (Income)</t>
  </si>
  <si>
    <t>Investment in Hassell (Contributions)</t>
  </si>
  <si>
    <t>Investment in Hassell (Distributions)</t>
  </si>
  <si>
    <t>Investment in Hassell (Income)</t>
  </si>
  <si>
    <t>Investment in GTP Charleston 1 LLC (Contributions)</t>
  </si>
  <si>
    <t>Investment in GTP Charleston 1 LLC (Distributions)</t>
  </si>
  <si>
    <t>Investment in GTP Charleston 1 LLC (Income)</t>
  </si>
  <si>
    <t>Investment in Hassell Tract Associates (Contributions)</t>
  </si>
  <si>
    <t>Investment in Hassell Tract Associates (Distributions)</t>
  </si>
  <si>
    <t>Investment in Hassell Tract Associates (Income)</t>
  </si>
  <si>
    <t>Investment in GS International Centers LLC (Contr)</t>
  </si>
  <si>
    <t>Investment in GS International Centers LLC (Dist)</t>
  </si>
  <si>
    <t>Investment in GS International Centers LLC (Income)</t>
  </si>
  <si>
    <t>Investment In Timberlake/Glades (Contributions)</t>
  </si>
  <si>
    <t>Investment in Timberlake/Glades (Distributions)</t>
  </si>
  <si>
    <t>Investment in Timberlake/Glades(Income)</t>
  </si>
  <si>
    <t>Investment in Aventine (Contributions)</t>
  </si>
  <si>
    <t>Investment in Aventine (Distributions)</t>
  </si>
  <si>
    <t>Investment in Aventine (Income)</t>
  </si>
  <si>
    <t>Investment in San Jacinto</t>
  </si>
  <si>
    <t>Investment in GDC - Red River</t>
  </si>
  <si>
    <t>Investment in GDG - Belle Foret</t>
  </si>
  <si>
    <t>Investment in GDG - SoCo Apartments</t>
  </si>
  <si>
    <t>Investment in GDG - SoCo Condos</t>
  </si>
  <si>
    <t>Investment in GDG - HHS Belle Foret</t>
  </si>
  <si>
    <t>Investment in GST South Congress</t>
  </si>
  <si>
    <t>Investment in GS Symphony (Contributions)</t>
  </si>
  <si>
    <t>Investment in GS Symphony (Distributions)</t>
  </si>
  <si>
    <t>Investment in GS Symphony (Income)</t>
  </si>
  <si>
    <t>Investment in GS Mirage (Contributions)</t>
  </si>
  <si>
    <t>Investment in GS Mirage (Distributions)</t>
  </si>
  <si>
    <t>Investment in GS Mirage (Income)</t>
  </si>
  <si>
    <t>Investment in Quarry Lake (Contributions)</t>
  </si>
  <si>
    <t>Investment in Quarry Lake (Distributions)</t>
  </si>
  <si>
    <t>Investment in Quarry Lake (Income)</t>
  </si>
  <si>
    <t>Investment in Chastain Terrace (Contributions)</t>
  </si>
  <si>
    <t>Investment in Chastain Terrace (Distributions)</t>
  </si>
  <si>
    <t>Investment in Chastain Terrace (Income)</t>
  </si>
  <si>
    <t>Investment in Main Hotel (Contributions)</t>
  </si>
  <si>
    <t>Investment in Main Hotel (Distributions)</t>
  </si>
  <si>
    <t>Investment in Main Hotel (Income)</t>
  </si>
  <si>
    <t>Investment in Hampton Inn (Contributions)</t>
  </si>
  <si>
    <t>Investment in Hampton Inn (Distributions)</t>
  </si>
  <si>
    <t>Investment in Hampton Inn (Income)</t>
  </si>
  <si>
    <t>Investment in Oak Forest (Contributions)</t>
  </si>
  <si>
    <t>Investment in Oak Forest (Distributions)</t>
  </si>
  <si>
    <t>Investment in Oak Forest (Income)</t>
  </si>
  <si>
    <t>Investment in Belle Marais</t>
  </si>
  <si>
    <t>Investment in The Waterford (Contributions)</t>
  </si>
  <si>
    <t>Investment in The Waterford (Distributions)</t>
  </si>
  <si>
    <t>Investment in The Waterford (Income)</t>
  </si>
  <si>
    <t>Investment in Saratoga Ridge (Contributions)</t>
  </si>
  <si>
    <t>Investment in Saratoga Ridge (Distributions)</t>
  </si>
  <si>
    <t>Investment in Saratoga Ridge (Income)</t>
  </si>
  <si>
    <t>Investment in Beacon Lakes (Contributions)</t>
  </si>
  <si>
    <t>Investment in Beacon Lakes (Distributions)</t>
  </si>
  <si>
    <t>Investment in Beacon Lakes (Income)</t>
  </si>
  <si>
    <t>Investment in Plantation Lakes (Contributions)</t>
  </si>
  <si>
    <t>Investment in Plantation Lakes (Distributions)</t>
  </si>
  <si>
    <t>Investment in Plantation Lakes (Income)</t>
  </si>
  <si>
    <t>Investment in Briarcliff (Contributions)</t>
  </si>
  <si>
    <t>Investment in Briarcliff (Distributions)</t>
  </si>
  <si>
    <t>Investment in Briarcliff (Income)</t>
  </si>
  <si>
    <t>Investment in Gwinnett Place (Contributions)</t>
  </si>
  <si>
    <t>Investment in Gwinnett Place (Distributions)</t>
  </si>
  <si>
    <t>Investment in Gwinnett Place (Income)</t>
  </si>
  <si>
    <t>Investment in Hamptons (Contributions)</t>
  </si>
  <si>
    <t>Investment in Hamptons (Distributions)</t>
  </si>
  <si>
    <t>Investment in Hamptons (Income)</t>
  </si>
  <si>
    <t>Investment in GS Beacon Lakes</t>
  </si>
  <si>
    <t>Investment in Kirby Place (Contributions)</t>
  </si>
  <si>
    <t>Investment in Kirby Place (Distributions)</t>
  </si>
  <si>
    <t>Investment in Kirby Place (Income)</t>
  </si>
  <si>
    <t>Investment In GEP VII</t>
  </si>
  <si>
    <t>Investment in Alexander</t>
  </si>
  <si>
    <t>Investment in Eastern</t>
  </si>
  <si>
    <t>Investment in Oakey</t>
  </si>
  <si>
    <t>Investment in Pueblo</t>
  </si>
  <si>
    <t>Investment in Pebble</t>
  </si>
  <si>
    <t>Investment in Sandhill</t>
  </si>
  <si>
    <t>Investment in Spring Valley</t>
  </si>
  <si>
    <t>Investment in Valley View</t>
  </si>
  <si>
    <t>Investment in Winterhaven</t>
  </si>
  <si>
    <t>Investment in GDG - Beacon Lakes</t>
  </si>
  <si>
    <t>Investment in Cypress Park (Contributions)</t>
  </si>
  <si>
    <t>Investment in Cypress Park (Distributions)</t>
  </si>
  <si>
    <t>Investment in Cypress Park (Income)</t>
  </si>
  <si>
    <t>Investment in GEP V (Contributions)</t>
  </si>
  <si>
    <t>Investment in GEP V (Distributions)</t>
  </si>
  <si>
    <t>Investment in GEP V (Income)</t>
  </si>
  <si>
    <t>Investment in GEP VI (Contributions)</t>
  </si>
  <si>
    <t>Investment in GEP VI (Distributions)</t>
  </si>
  <si>
    <t>Investment in GEP VI (Income)</t>
  </si>
  <si>
    <t>Investment in Plantation Point (Contributions)</t>
  </si>
  <si>
    <t>Investment in Plantation Point (Distributions)</t>
  </si>
  <si>
    <t>Investment in Plantation Point (Income)</t>
  </si>
  <si>
    <t>Investment in Scarpo (Contributions)</t>
  </si>
  <si>
    <t>Investment in Scarpo (Distributions)</t>
  </si>
  <si>
    <t>Investment in Scarpo (Income)</t>
  </si>
  <si>
    <t>Investment in Summit Multifamily</t>
  </si>
  <si>
    <t>Investment in Summit Office I</t>
  </si>
  <si>
    <t>Investment in Summit Office II</t>
  </si>
  <si>
    <t>Investment in Swallow Hill</t>
  </si>
  <si>
    <t>Investment in Courtlandt Square</t>
  </si>
  <si>
    <t>Investment in Arbrook</t>
  </si>
  <si>
    <t>Investment in Flagler</t>
  </si>
  <si>
    <t>Investment in Rosslyn Coinvestment</t>
  </si>
  <si>
    <t>Investment in 400 Mass Ave</t>
  </si>
  <si>
    <t>Investment in GS Mass Ave</t>
  </si>
  <si>
    <t>Investment in Paz Mar (Contributions)</t>
  </si>
  <si>
    <t>Investment in Paz Mar (Distributions)</t>
  </si>
  <si>
    <t>Investment in GST South Congress GP LLC</t>
  </si>
  <si>
    <t>Investment in Post Ashford (Contributions)</t>
  </si>
  <si>
    <t>Investment in Post Ashford (Distribution)</t>
  </si>
  <si>
    <t>Investment in Post Ashford (Income)</t>
  </si>
  <si>
    <t>Investment in Post Vinings (Contributions)</t>
  </si>
  <si>
    <t>Investment in Post Vinings (Distributions)</t>
  </si>
  <si>
    <t>Investment in Post Vinings (Income)</t>
  </si>
  <si>
    <t>Investment in GDG - Cypress Park &amp; Ride</t>
  </si>
  <si>
    <t>Investment in USA Sonterra Leaseco LLC</t>
  </si>
  <si>
    <t>Investment in Grosvenor (Contributions)</t>
  </si>
  <si>
    <t>Investment in Grosvenor (Distributions)</t>
  </si>
  <si>
    <t>Investment in Providence (Contributions)</t>
  </si>
  <si>
    <t>Investment in Providence (Distributions)</t>
  </si>
  <si>
    <t>Investment in Summit (Contributions)</t>
  </si>
  <si>
    <t>Investment in Summit (Distributions)</t>
  </si>
  <si>
    <t>Investment in McKinney Ranch (Contributions)</t>
  </si>
  <si>
    <t>Investment in McKinney Ranch (Distributions)</t>
  </si>
  <si>
    <t>Investment in McKinney Ranch (Income)</t>
  </si>
  <si>
    <t>Investment in GDG - Tampa Apartments</t>
  </si>
  <si>
    <t>Investment in GDG - McKinney Ranch</t>
  </si>
  <si>
    <t>Investment in GDG - Lover's Lane</t>
  </si>
  <si>
    <t>Investment in DI Investors (Contributions)</t>
  </si>
  <si>
    <t>Investment in Creekstone (Contributions)</t>
  </si>
  <si>
    <t>Investment in Creekstone (Distributions)</t>
  </si>
  <si>
    <t>Investment in Creekstone (Income)</t>
  </si>
  <si>
    <t>Investment in Woodbridge (Contributions)</t>
  </si>
  <si>
    <t>Investment in Woodbridge (Distributions)</t>
  </si>
  <si>
    <t>Investment in Woodbridge (Income)</t>
  </si>
  <si>
    <t>Investment in GDG - Woodbridge</t>
  </si>
  <si>
    <t>Investment in GDG - Plantation Point</t>
  </si>
  <si>
    <t>Investment in GS Carnes (Contributions)</t>
  </si>
  <si>
    <t>Investment in Chase Ridge (Contributions)</t>
  </si>
  <si>
    <t>Investment in Chase Ridge (Distributions)</t>
  </si>
  <si>
    <t>Investment in GS Shadows (Contributions)</t>
  </si>
  <si>
    <t>Investment in GS Shadows (Distributions)</t>
  </si>
  <si>
    <t>Investment in GS Fund 6 Inv (Contributions)</t>
  </si>
  <si>
    <t>Investment in GS Fund 6 Inv (Distributions)</t>
  </si>
  <si>
    <t>Investment in GS Fund 6 Inv (Income)</t>
  </si>
  <si>
    <t>Investment in GS Assoc 6 (Contributions)</t>
  </si>
  <si>
    <t>Investment in GS Assoc 6 (Distributions)</t>
  </si>
  <si>
    <t>Investment in GS Assoc 6 (Income)</t>
  </si>
  <si>
    <t>Investment in GS Assoc 7 (Contributions)</t>
  </si>
  <si>
    <t>Investment in GS Assoc 7 (Distributions)</t>
  </si>
  <si>
    <t>Investment in GS Assoc 7 (Income)</t>
  </si>
  <si>
    <t>Investment in Museo (Contributions)</t>
  </si>
  <si>
    <t>Investment in Museo (Distributions)</t>
  </si>
  <si>
    <t>Investment in Museo (Income)</t>
  </si>
  <si>
    <t>Investment in GS Shadows (Income)</t>
  </si>
  <si>
    <t>Investment in Yorktown</t>
  </si>
  <si>
    <t>Investment in Champions</t>
  </si>
  <si>
    <t>Investment in GDC-Champions</t>
  </si>
  <si>
    <t>Investment in Greystar Acquisitions LLC</t>
  </si>
  <si>
    <t>Investment in JPI Management Services LP</t>
  </si>
  <si>
    <t>Investment in JPI California Management Services Inc.</t>
  </si>
  <si>
    <t>Investment in JPI Apartment Management  LP</t>
  </si>
  <si>
    <t>Investment in JPI Colorado Management Inc.</t>
  </si>
  <si>
    <t>Investment in Champions (Income)</t>
  </si>
  <si>
    <t>Investment in Yorktown (Income)</t>
  </si>
  <si>
    <t>Investment in GS Beach Club (Contributions)</t>
  </si>
  <si>
    <t>Investment in GS Beach Club LLC (Distributions)</t>
  </si>
  <si>
    <t>Investment in GS Beach Club LLC (Income)</t>
  </si>
  <si>
    <t>Investment in GS Red River LP</t>
  </si>
  <si>
    <t>Investment in GS Beacon Lakes LP</t>
  </si>
  <si>
    <t>Investment in GS Cypress Park LP</t>
  </si>
  <si>
    <t>Investment in GS / TPFR II Woodbridge LP</t>
  </si>
  <si>
    <t>Investment in GS Lovers Lane LP</t>
  </si>
  <si>
    <t>Investment in GS Tampa Apartments LP</t>
  </si>
  <si>
    <t>Investment in GS Plantation Point LP</t>
  </si>
  <si>
    <t>Investment in GS Yorktown LP</t>
  </si>
  <si>
    <t>Investment in GS Champions LP</t>
  </si>
  <si>
    <t>Investment in Lincoln Shores Coinvestment</t>
  </si>
  <si>
    <t>Investment in Lincoln Shores Associates (Contributions)</t>
  </si>
  <si>
    <t>Investment in Lincoln Shores Associates (Distributions)</t>
  </si>
  <si>
    <t>Investment in Lincoln Shores Associates (Income)</t>
  </si>
  <si>
    <t>Investment in GS South Congress Parent LLC</t>
  </si>
  <si>
    <t>Investment in GS Daniel Island (Contributions)</t>
  </si>
  <si>
    <t>Investment in GS Daniel Island (Distributions)</t>
  </si>
  <si>
    <t>Investment in GS Daniel Island (Income</t>
  </si>
  <si>
    <t>Investment in GS Promote (Contributions)</t>
  </si>
  <si>
    <t>Investment in GS Promote (Distributions)</t>
  </si>
  <si>
    <t>Investment in GS Promote (Income)</t>
  </si>
  <si>
    <t>Investment in Daniel Island Associates (Contributions)</t>
  </si>
  <si>
    <t>Investment in Daniel Island Associates (Distributions)</t>
  </si>
  <si>
    <t>Investment in Daniel Island Associates (Income)</t>
  </si>
  <si>
    <t>Investment in San Marino Apartments (Contributions)</t>
  </si>
  <si>
    <t>Investment in San Marino Apartments (Distributions)</t>
  </si>
  <si>
    <t>Investment in San Marino Apartments (Income)</t>
  </si>
  <si>
    <t>Investment Income - San Marino Apartment Associates</t>
  </si>
  <si>
    <t>Investment in WGS Lakewood</t>
  </si>
  <si>
    <t>Investment in GS Woodlands</t>
  </si>
  <si>
    <t>Investment in WGS Lakewood Holdings (Contributions)</t>
  </si>
  <si>
    <t>Investment in H-G Beach Club Coinvestment</t>
  </si>
  <si>
    <t>Investment in Philly Portfolio</t>
  </si>
  <si>
    <t>Investment in Broadstone (Contributions)</t>
  </si>
  <si>
    <t>Investment in Sunset View (Contributions)</t>
  </si>
  <si>
    <t>Investment in Park on the Creek</t>
  </si>
  <si>
    <t>Investment in Lakewood Development</t>
  </si>
  <si>
    <t>Investment in Ave at Lind (Contributions)</t>
  </si>
  <si>
    <t>Investment in Ave at Lind (Distributions)</t>
  </si>
  <si>
    <t>Investment in Ave at Lind (Income)</t>
  </si>
  <si>
    <t>Investment in Yorktown (Distributions</t>
  </si>
  <si>
    <t>Investment in Ft Totten (Contributions)</t>
  </si>
  <si>
    <t>Investment in Ft Totten (Distributions)</t>
  </si>
  <si>
    <t>Investment in Ft Totten (Income)</t>
  </si>
  <si>
    <t>Investment in Sunset View (Distributions)</t>
  </si>
  <si>
    <t>Investment in Sunset View (Income)</t>
  </si>
  <si>
    <t>Investment in Mallard Crossing Associates (Contributions)</t>
  </si>
  <si>
    <t>Investment in Mallard Crossing Associates (Distributions)</t>
  </si>
  <si>
    <t>Investment in Mallard Crossing Associates (Income)</t>
  </si>
  <si>
    <t>Investment in WGS Lakewood Holdings(Distributions)</t>
  </si>
  <si>
    <t>Investment in WGS Lakewood Holdings (Income)</t>
  </si>
  <si>
    <t>Investment in Broadstone (Distributions)</t>
  </si>
  <si>
    <t>Investment in Broadstone (Income)</t>
  </si>
  <si>
    <t>Investment in Park on the Creek (Distributions)</t>
  </si>
  <si>
    <t>Investment in Park on the Creek (Income)</t>
  </si>
  <si>
    <t>Investment in Philly Portfolio (Distributions)</t>
  </si>
  <si>
    <t>Investment in Philly Portfolio (Income)</t>
  </si>
  <si>
    <t>Investment in Real Estate (Contributions</t>
  </si>
  <si>
    <t>Investment in Real Estate - FMV Adj</t>
  </si>
  <si>
    <t>Investment in South Lamar Plaza (Contributions)</t>
  </si>
  <si>
    <t>Investment in Elan Huntington Beach (Contributions)</t>
  </si>
  <si>
    <t>Investment in GUGV</t>
  </si>
  <si>
    <t>Investment in Coinv VIII (Contributions)</t>
  </si>
  <si>
    <t>Investment in GS Portfolio Investors II (Contributions)</t>
  </si>
  <si>
    <t>Investment in 1130 Kifer Property (Contributions)</t>
  </si>
  <si>
    <t>Investment In GS Five Points</t>
  </si>
  <si>
    <t>Investment in Athena</t>
  </si>
  <si>
    <t>Investment in Chestnut Place II (Contributions)</t>
  </si>
  <si>
    <t>Investment in GDCV II BP Village (Contributions)</t>
  </si>
  <si>
    <t>Investment In Greystar Nido Portfolio</t>
  </si>
  <si>
    <t>Investment in Mueblos to Go</t>
  </si>
  <si>
    <t>Investment In Mexico Management</t>
  </si>
  <si>
    <t>Investment In Mexico Investment</t>
  </si>
  <si>
    <t>Investment In Mexico Rehab</t>
  </si>
  <si>
    <t>Investment In Mexico Development</t>
  </si>
  <si>
    <t>Investment In Mexico CGU</t>
  </si>
  <si>
    <t>Investment In Mexico Functions</t>
  </si>
  <si>
    <t>Investment In PLA Operadora</t>
  </si>
  <si>
    <t>Investment In PLA Servicios</t>
  </si>
  <si>
    <t>Investment In Mueblos to go</t>
  </si>
  <si>
    <t>Investment In Europe Management</t>
  </si>
  <si>
    <t>Investment In Europe Management - US Based</t>
  </si>
  <si>
    <t>Investment In Europe Investment</t>
  </si>
  <si>
    <t>Investment In Europe Investment - US Based</t>
  </si>
  <si>
    <t>Investment In Europe Rehab</t>
  </si>
  <si>
    <t>Investment In Europe Rehab - US Based</t>
  </si>
  <si>
    <t>Investment In Europe Development</t>
  </si>
  <si>
    <t>Investment In Europe Development - US Based</t>
  </si>
  <si>
    <t>Investment In Europe CGU</t>
  </si>
  <si>
    <t>Investment In Europe CGU - US Based</t>
  </si>
  <si>
    <t>Investment In Europe Functions</t>
  </si>
  <si>
    <t>Investment In Europe Functions - US Based</t>
  </si>
  <si>
    <t>Investment In London Management</t>
  </si>
  <si>
    <t>Investment In London Management - US Based</t>
  </si>
  <si>
    <t>Investment In London Investment</t>
  </si>
  <si>
    <t>Investment In London Investment - US Based</t>
  </si>
  <si>
    <t>Investment In London Rehab</t>
  </si>
  <si>
    <t>Investment In London Rehab - US Based</t>
  </si>
  <si>
    <t>Investment In London Development</t>
  </si>
  <si>
    <t>Investment In London Development - US Based</t>
  </si>
  <si>
    <t>Investment In London CGU</t>
  </si>
  <si>
    <t>Investment In London CGU - US Based</t>
  </si>
  <si>
    <t>Investment In London Functions</t>
  </si>
  <si>
    <t>Investment In London Functions - US Based</t>
  </si>
  <si>
    <t>Investment In Netherlands Investment</t>
  </si>
  <si>
    <t>Investment In Netherlands Investment - US Based</t>
  </si>
  <si>
    <t>PLA Operadora de Usos Mixtos</t>
  </si>
  <si>
    <t>Investment In GS Fund IX (Contributions)</t>
  </si>
  <si>
    <t>Investment in Administrative Services</t>
  </si>
  <si>
    <t>Investment In GREP</t>
  </si>
  <si>
    <t>Investment in GMS PM</t>
  </si>
  <si>
    <t>Investment in GMS CORP</t>
  </si>
  <si>
    <t>Investment in CL 5184</t>
  </si>
  <si>
    <t>Investment in Greystar CA Inc</t>
  </si>
  <si>
    <t>Investment in Coinvestment 8 (Contributions)</t>
  </si>
  <si>
    <t>Investment in Coinvestment 9 (Contributions)</t>
  </si>
  <si>
    <t>Investment In Elan Riverwalk</t>
  </si>
  <si>
    <t>Investment in GS/PR II Artwalk Holdings, LLC</t>
  </si>
  <si>
    <t>Investment In Greystar UK Portfolio I Investors</t>
  </si>
  <si>
    <t>Investment In Greystar Nido Portfolio Investors, LLC</t>
  </si>
  <si>
    <t>Investment In Greystar Assam Place Investors, LLC</t>
  </si>
  <si>
    <t>Investment in GS Netherlands I Co Investment, LLC</t>
  </si>
  <si>
    <t>CPI-GREP AA I, L.L.C.</t>
  </si>
  <si>
    <t>Investment In UrbanDoor</t>
  </si>
  <si>
    <t>Investment in GEP IX</t>
  </si>
  <si>
    <t>Investment in GS Greenford Investor, LLC</t>
  </si>
  <si>
    <t>Investment in GS Sherwood Court Investor, LLC</t>
  </si>
  <si>
    <t>Investment In Netherlands Management</t>
  </si>
  <si>
    <t>Investment in Netherlands Rehab</t>
  </si>
  <si>
    <t>Investment in Netherlands Development</t>
  </si>
  <si>
    <t>Investment in Netherlands Construction Ground Up</t>
  </si>
  <si>
    <t>Investment in GS Chelsea GP, LLC</t>
  </si>
  <si>
    <t>Investment in Greystar Chelsea Investor, LLC</t>
  </si>
  <si>
    <t>Investment in CRP West 7th (Distributions)</t>
  </si>
  <si>
    <t>Investment in Millharbour</t>
  </si>
  <si>
    <t>Investment in GS Netherlands Manco BV</t>
  </si>
  <si>
    <t>Investment in GREP Oldco</t>
  </si>
  <si>
    <t>Investment in GREP NewCo</t>
  </si>
  <si>
    <t>Investment in GSIC Totten LP (Contributions)</t>
  </si>
  <si>
    <t>Investment in Overture Flower Mound (Contributions)</t>
  </si>
  <si>
    <t>Investment in GS Sherwood Court Unit Trust (Contributions)</t>
  </si>
  <si>
    <t>Investment in Millharbour Master Unit Trust (Contributions)</t>
  </si>
  <si>
    <t>Investment in GS Millharbour Co-Investment, LLC</t>
  </si>
  <si>
    <t>Investment in GS Midtown Hotel Holdings, LLC</t>
  </si>
  <si>
    <t>Investment in GS Midtown Hotel, LLC</t>
  </si>
  <si>
    <t>Investment in GS Mexico Portfolio Investors, LLC</t>
  </si>
  <si>
    <t>Investment in GS Mexico General Partner, LLC</t>
  </si>
  <si>
    <t>Investment In GS Netherlands CDZ Expansion GP BV</t>
  </si>
  <si>
    <t>Investment In GS Netherlands CDZ Parking GP BV</t>
  </si>
  <si>
    <t>Investment In GS Netherlands AMC GP BV</t>
  </si>
  <si>
    <t>Investment In GS Netherlands AMC Student GP BV</t>
  </si>
  <si>
    <t>Investment In GS Netherlands Bright GP BV</t>
  </si>
  <si>
    <t>Investment In GS Netherlands Manco BV</t>
  </si>
  <si>
    <t>Investment In GS Netherlands GP BV</t>
  </si>
  <si>
    <t>Investment in GS Netherlands CDZ GP BV</t>
  </si>
  <si>
    <t>Investment in GS Midtown Hotel Owner LLC</t>
  </si>
  <si>
    <t>Investment in Greystar UK Portfolio II Investors, LLC</t>
  </si>
  <si>
    <t>Investment in GS London Portfolio I Trust(Contributions)</t>
  </si>
  <si>
    <t>Investment in Greystar 2016 Investors, LLC (Contributions)</t>
  </si>
  <si>
    <t>Investment in GS UTA Holdings, LLC</t>
  </si>
  <si>
    <t>Investment in UTA Student Living LP</t>
  </si>
  <si>
    <t>Investment in Netherlands Management - US Based</t>
  </si>
  <si>
    <t>Investment in Europe Functions</t>
  </si>
  <si>
    <t>Investment in GEHL Corp</t>
  </si>
  <si>
    <t>Investment in Netherlands Rehab US Based</t>
  </si>
  <si>
    <t>Invest Netherlands Development B.V. (Contributions)</t>
  </si>
  <si>
    <t>Investment in GS University View Member, LLC</t>
  </si>
  <si>
    <t>Investment in University View Venture LLC (Contributions)</t>
  </si>
  <si>
    <t>Investment in GS HTA Investors, LLC (Contributions)</t>
  </si>
  <si>
    <t>Investment in Fund VII Investors, LLC (Contributions)</t>
  </si>
  <si>
    <t>Invest in GS PK Employee Coinvest (Contributions)</t>
  </si>
  <si>
    <t>Investment in GEP Coinvestment IX, LLC</t>
  </si>
  <si>
    <t>Investment in GEP IX Investors, LLC (Contributions)</t>
  </si>
  <si>
    <t>Investment in Greystar Multifamily GP IX, LLC</t>
  </si>
  <si>
    <t>Invest in GEX Holdings, Inc. (Contributions)</t>
  </si>
  <si>
    <t>Investment in GEX 9026, LLC</t>
  </si>
  <si>
    <t>Invest Fondo de Inversion Credicorp Resident (Contributions)</t>
  </si>
  <si>
    <t>Investment in GS Chile Portfolio Investors</t>
  </si>
  <si>
    <t>Investment in GS AFN Investor, LLC</t>
  </si>
  <si>
    <t>Investment in GS AFN Master Unit Trust (Contributions)</t>
  </si>
  <si>
    <t>Investment in GS Freedom Circle Holdings, LLC</t>
  </si>
  <si>
    <t>Investment in Freedom Circle Venture, LLC (Contributions)</t>
  </si>
  <si>
    <t>Investment in Savoy Circus Investor LLC</t>
  </si>
  <si>
    <t>Investment in CPI GREP AA I Destinations Venture II, LLC</t>
  </si>
  <si>
    <t>Investment in CPI GREP AA I Destinations Venture, LLC</t>
  </si>
  <si>
    <t>Investment in GS Mexico CKD Investor, LLC</t>
  </si>
  <si>
    <t>Investment in GS Totten LP, LLC</t>
  </si>
  <si>
    <t>Investment in GS Totten GP, LLC</t>
  </si>
  <si>
    <t>Investment in Greystar Chelsea Investors, LLC</t>
  </si>
  <si>
    <t>Investment in Greystar Chelsea GP, LLC</t>
  </si>
  <si>
    <t>Investment in GS N247 N7th Williamsburg Investor, LLC</t>
  </si>
  <si>
    <t>Investment in GS N247 N7th Williamsburg GP, LLC</t>
  </si>
  <si>
    <t>Investment in GS Quill Investor, LLC Acct</t>
  </si>
  <si>
    <t>Investment in GS Quill Master Trust Acct (Contributions)</t>
  </si>
  <si>
    <t>Investment in GS Savoy Circus Master Trust (Contributions)</t>
  </si>
  <si>
    <t>Investment in Active Adult Acquisitions, LLC (Contributions)</t>
  </si>
  <si>
    <t>Investment in GREP Oldco Carried Interest, LLC</t>
  </si>
  <si>
    <t>Investment in GREP Newco Capital Members, LLC(Contributions)</t>
  </si>
  <si>
    <t>Investment in GREP Management CI Holdings, LLC</t>
  </si>
  <si>
    <t>Investment in GREP</t>
  </si>
  <si>
    <t>Investment in JMI - GREP Holdings, LLC</t>
  </si>
  <si>
    <t>Investment in WP - GREP Holdings, LLC</t>
  </si>
  <si>
    <t>Investment in GDCV GP</t>
  </si>
  <si>
    <t>Investment in Greystar California</t>
  </si>
  <si>
    <t>Investment in Greystar Chile Investment</t>
  </si>
  <si>
    <t>Investment in GS Netherlands II Co-Inv LLC</t>
  </si>
  <si>
    <t>Investment in PLA Operadora Investment</t>
  </si>
  <si>
    <t>Investment in Riverstone</t>
  </si>
  <si>
    <t>Investment in Greystar Chile Management</t>
  </si>
  <si>
    <t>Investment in CPR-GREP AA Vallecitos, LLC</t>
  </si>
  <si>
    <t>Investment in GS Memorial Park Phase II, LLC</t>
  </si>
  <si>
    <t>GS NE Investor LLC</t>
  </si>
  <si>
    <t>GS UK Multifamily Investor LLC</t>
  </si>
  <si>
    <t>Investment In Greystar Chile - Construction</t>
  </si>
  <si>
    <t>Investment In Greystar Chile - Development</t>
  </si>
  <si>
    <t>Investment in GS UK Multifamily Investor, LLC</t>
  </si>
  <si>
    <t>Investment in GS UK Multifamily Unit Trust (Contributions)</t>
  </si>
  <si>
    <t>Invest in GS London Portfolio II Unit Trust (Contributions)</t>
  </si>
  <si>
    <t>Investment in GS Chelsea Coinvestment</t>
  </si>
  <si>
    <t>Invest 247 N7th Williams Coinvestment LP</t>
  </si>
  <si>
    <t>Investment in CLPF GRP Sunnyvale Kifer LLC (Contributions)</t>
  </si>
  <si>
    <t>Investment In Greystar TT, LP (Contributions)</t>
  </si>
  <si>
    <t>Investment In Greystar TT Limited Partner, LLC</t>
  </si>
  <si>
    <t>Investment In Greystar TT GP, LLC</t>
  </si>
  <si>
    <t>Investment In GS Sunnyvale Holdings, LLC</t>
  </si>
  <si>
    <t>Investment in Greystar Coinvestment X, LLC (Contributions)</t>
  </si>
  <si>
    <t>Investment in GS Spain Investor, LLC</t>
  </si>
  <si>
    <t>Investment in GS Holloway Road Investor, LLC</t>
  </si>
  <si>
    <t>Investment in Greystar Growth and Income Fund, LP (Contribut</t>
  </si>
  <si>
    <t>Investment in Greystar Growth and Income GP, LLC</t>
  </si>
  <si>
    <t>Investment in GS NE Investor, LLC (Contributions)</t>
  </si>
  <si>
    <t>Investment in GS NE Master Unit Trust (Contributions)</t>
  </si>
  <si>
    <t>Investment in Mirtocan Spain SL (Contributions)</t>
  </si>
  <si>
    <t>Invest GS Holloway Road Master Trust (Contributions)</t>
  </si>
  <si>
    <t>Invest in GS Diller  Holdings, LLC (Contributions)</t>
  </si>
  <si>
    <t>Investment in BIT GRP Unity, LLC</t>
  </si>
  <si>
    <t>Investment in CPI GREP AA I Buena Vida, LLC</t>
  </si>
  <si>
    <t>Investment in RESA</t>
  </si>
  <si>
    <t>Investment in Germany</t>
  </si>
  <si>
    <t>Investment in Greystar Spain SL</t>
  </si>
  <si>
    <t>Investment in GS PK Employee Coinvest (Contributions)</t>
  </si>
  <si>
    <t>Investment in GS Rockoff Holdings, LLC (Contributions)</t>
  </si>
  <si>
    <t>Investment in GS-B3 Rockoff Venture,LLC (Contributions)</t>
  </si>
  <si>
    <t>Investment In GS Netherlands I Promote, LLC</t>
  </si>
  <si>
    <t>Investment In GS Netherlands Promote II, LLC</t>
  </si>
  <si>
    <t>Investment In GS Mexico CKD Manager</t>
  </si>
  <si>
    <t>Investment in GREP Uptown Holdings, LLC</t>
  </si>
  <si>
    <t>Investment in Uptown Joint Venture, LLC (Contributions)</t>
  </si>
  <si>
    <t>Investment in Greystar Growth and Income LTP, LP</t>
  </si>
  <si>
    <t>Invest in Greenford Investor 2, LLC (Contributions)</t>
  </si>
  <si>
    <t>Invest in Moderne Ventures Fund I, LP  (Contributions)</t>
  </si>
  <si>
    <t>Investment-In BREIT JV</t>
  </si>
  <si>
    <t>Investment In -BREIT GSHJV, LLC</t>
  </si>
  <si>
    <t>Investment In -Dist on 5th</t>
  </si>
  <si>
    <t>Investment In -Province Kent</t>
  </si>
  <si>
    <t>Investment In -The Retreat</t>
  </si>
  <si>
    <t>Investment In -Dist on Apache</t>
  </si>
  <si>
    <t>Investment In -Ret Louisville</t>
  </si>
  <si>
    <t>Investment In -Ret Blacksburg</t>
  </si>
  <si>
    <t>Investment In -Province Boulde</t>
  </si>
  <si>
    <t>Investment In -Pointe, St Coll</t>
  </si>
  <si>
    <t>Investment In -Lofts Orlando</t>
  </si>
  <si>
    <t>Investment In - The Province</t>
  </si>
  <si>
    <t>Investment In - GrandMarc</t>
  </si>
  <si>
    <t>Investment In - Wertland Sq</t>
  </si>
  <si>
    <t>Investment In - Jefferson Com</t>
  </si>
  <si>
    <t>Investment In - East Edge</t>
  </si>
  <si>
    <t>Investment In - The Berk</t>
  </si>
  <si>
    <t>Investment In - The Lotus</t>
  </si>
  <si>
    <t>Investment In - Univ Village T</t>
  </si>
  <si>
    <t>Investment In - Urbane</t>
  </si>
  <si>
    <t>Investment In - 319 Bragg</t>
  </si>
  <si>
    <t>Investment In - Georgia Heights</t>
  </si>
  <si>
    <t>Investment In - GSHGI OP, LP</t>
  </si>
  <si>
    <t>Investment In - Michigan St. - Campus Village</t>
  </si>
  <si>
    <t>Investment In - Players Club</t>
  </si>
  <si>
    <t>Investment In - The Suites</t>
  </si>
  <si>
    <t>Investment In - The Centre</t>
  </si>
  <si>
    <t>Investment In - FIU -109 Tower</t>
  </si>
  <si>
    <t>Investment In - Storrs - Phase II</t>
  </si>
  <si>
    <t>Investment In - The Varsity at Ann Arbor</t>
  </si>
  <si>
    <t>Investment In - University Towers</t>
  </si>
  <si>
    <t>Investment In - Storrs - Phase III</t>
  </si>
  <si>
    <t>Investment In - TX State - The Local</t>
  </si>
  <si>
    <t>Investment In - OK State - One on 4th</t>
  </si>
  <si>
    <t>Investment In - BSU - Sawtooth Hall</t>
  </si>
  <si>
    <t>Investment In - Mich St. - SkyVUE</t>
  </si>
  <si>
    <t>Investment In - Pura Vida Place</t>
  </si>
  <si>
    <t>Investment In - Carriage House</t>
  </si>
  <si>
    <t>Investment In - Reserve on Perkins</t>
  </si>
  <si>
    <t>Investment In - Reserve at Columbia</t>
  </si>
  <si>
    <t>Investment In - U of Miss. - Campus Creek</t>
  </si>
  <si>
    <t>Investment In - Raleigh Services</t>
  </si>
  <si>
    <t>Investment In -  Reserve at Saluki Pointe</t>
  </si>
  <si>
    <t>Investment In - University Village on Colvin</t>
  </si>
  <si>
    <t>Investment In - Lokal</t>
  </si>
  <si>
    <t>Investment In - 2400 Neuces - UT Austin</t>
  </si>
  <si>
    <t>Investment In - Storrs</t>
  </si>
  <si>
    <t>Investment In - Syracuse - Campus West</t>
  </si>
  <si>
    <t>Investment In - ASU Phoenix - Roosevelt Point</t>
  </si>
  <si>
    <t>Investment In - Irish Row</t>
  </si>
  <si>
    <t>Investment In - TCU - Grandmarc</t>
  </si>
  <si>
    <t>Investment In - 3949 Apartments</t>
  </si>
  <si>
    <t>Investment In - U of Miss. - Retreat at Oxford</t>
  </si>
  <si>
    <t>Investment In - UK - Johnson Hall</t>
  </si>
  <si>
    <t>Investment In - UK - Blazer Hall</t>
  </si>
  <si>
    <t>Investment In - UK - Haggin Hall</t>
  </si>
  <si>
    <t>Investment In - UK - Jewell Hall</t>
  </si>
  <si>
    <t>Investment In - UK - Chellgren Hall</t>
  </si>
  <si>
    <t>Investment In - UK - Woodland Glen III</t>
  </si>
  <si>
    <t>Investment In - UK - Holmes Hall</t>
  </si>
  <si>
    <t>Investment In - UK - University Flats</t>
  </si>
  <si>
    <t>Investment In - UK - Lewis Hall</t>
  </si>
  <si>
    <t>Investment In - Hub Madison</t>
  </si>
  <si>
    <t>Investment In - NMU - The Woods</t>
  </si>
  <si>
    <t>Investment In - CSU - Union on Plum</t>
  </si>
  <si>
    <t>Investment In - Pitts - One on Centre</t>
  </si>
  <si>
    <t>Investment In - Cornell - Maplewood</t>
  </si>
  <si>
    <t>Investment In - Hawaii - Hale Mahana</t>
  </si>
  <si>
    <t>Investment In - AZ - Union Tempe</t>
  </si>
  <si>
    <t>Investment In - MN - Hub Minneapolis</t>
  </si>
  <si>
    <t>Investment In - Iowa - Union on Lincoln Way</t>
  </si>
  <si>
    <t>Investment In - Retreat at Corvallis</t>
  </si>
  <si>
    <t>Investment In - CSU - Elizabeth Street</t>
  </si>
  <si>
    <t>Investment In - Lehigh - Southside Commons</t>
  </si>
  <si>
    <t>Investment In - MS State - College View</t>
  </si>
  <si>
    <t>Investment In - USF Tampa - Union on Fletcher</t>
  </si>
  <si>
    <t>Investment In - The Marshall</t>
  </si>
  <si>
    <t>Investment In - FIU - Union on Sweetwater</t>
  </si>
  <si>
    <t>Investment In - EdR OP Development</t>
  </si>
  <si>
    <t>Investment In - EdR Investment Fund</t>
  </si>
  <si>
    <t>Investment In - GSHGI TRS</t>
  </si>
  <si>
    <t>Investment In - U Towers - Raleigh Food Service</t>
  </si>
  <si>
    <t>Investment In - EdR Tech</t>
  </si>
  <si>
    <t>Investment In - EdR Development, LLC</t>
  </si>
  <si>
    <t>Investment In - Greenlink</t>
  </si>
  <si>
    <t>Investment in PEP-CMU, LLC</t>
  </si>
  <si>
    <t>Unrealized Appreciation / Depreciation</t>
  </si>
  <si>
    <t>Investment in Elimination</t>
  </si>
  <si>
    <t>Notes Receivable</t>
  </si>
  <si>
    <t>Notes Receivable - Other</t>
  </si>
  <si>
    <t>Notes Receivable - Other 1</t>
  </si>
  <si>
    <t>Notes Receivable - Other 2</t>
  </si>
  <si>
    <t>Notes Receivable - Other 3</t>
  </si>
  <si>
    <t>Notes Receivable - Other 4</t>
  </si>
  <si>
    <t>Interest on Notes Receivable</t>
  </si>
  <si>
    <t>Interest Receivable - Other</t>
  </si>
  <si>
    <t>Interest Receivable - Other 1</t>
  </si>
  <si>
    <t>Interest Receivable - Other 2</t>
  </si>
  <si>
    <t>Interest Receivable - Other 3</t>
  </si>
  <si>
    <t>Intangible Assets</t>
  </si>
  <si>
    <t>Management Contracts</t>
  </si>
  <si>
    <t>Accum Amort - Mgmt Contracts</t>
  </si>
  <si>
    <t>Closing Costs</t>
  </si>
  <si>
    <t>Accum Amort - Closing Costs</t>
  </si>
  <si>
    <t>Deferred Financing</t>
  </si>
  <si>
    <t>Capitalized Operating Deficit</t>
  </si>
  <si>
    <t>Capitalized Development Fees</t>
  </si>
  <si>
    <t>Development Advisor</t>
  </si>
  <si>
    <t>Organization Costs</t>
  </si>
  <si>
    <t>Accum Amort - Organization Costs</t>
  </si>
  <si>
    <t>Start-Up Costs</t>
  </si>
  <si>
    <t>Accum Amort - Start-Up Costs</t>
  </si>
  <si>
    <t>Derivative Instrument - Asset</t>
  </si>
  <si>
    <t>Syndication Costs</t>
  </si>
  <si>
    <t>Accum Amort - Syndication Costs</t>
  </si>
  <si>
    <t>Loan Costs</t>
  </si>
  <si>
    <t>Loan Costs  Other</t>
  </si>
  <si>
    <t>Accum Amort - Loan Costs</t>
  </si>
  <si>
    <t>Multifamily Capital Expenditures</t>
  </si>
  <si>
    <t>Accum Depreciation - Multifamily Capital Expenditures</t>
  </si>
  <si>
    <t>Normalized Capital Items</t>
  </si>
  <si>
    <t>Accumulated Depreciation - Normalized Cap Ex</t>
  </si>
  <si>
    <t>Refinancing Costs</t>
  </si>
  <si>
    <t>Accum Amort - Refinancing Costs</t>
  </si>
  <si>
    <t>Acquisition Cost</t>
  </si>
  <si>
    <t>Accum Amort - Acquisition Cost</t>
  </si>
  <si>
    <t>Trademark</t>
  </si>
  <si>
    <t>Accum Amort - Trademark</t>
  </si>
  <si>
    <t>Tax Credit Fees</t>
  </si>
  <si>
    <t>Accum Amort - Tax Credit Fees</t>
  </si>
  <si>
    <t>Bond Fees</t>
  </si>
  <si>
    <t>Accum Amort - Bond Fees</t>
  </si>
  <si>
    <t>Refinance Cost - Rate Cap</t>
  </si>
  <si>
    <t>Accum Amort - Refi Cost Cap</t>
  </si>
  <si>
    <t>Value of In-Place Leases</t>
  </si>
  <si>
    <t>Accum Amort - Value of In-Place Leases</t>
  </si>
  <si>
    <t>Tenant Relationship Value</t>
  </si>
  <si>
    <t>Accum Amort - Tenant Relationship Value</t>
  </si>
  <si>
    <t>Above / Below Market Value</t>
  </si>
  <si>
    <t>Accum Amort - Above / Below Market Value</t>
  </si>
  <si>
    <t>Accum Amort - Other</t>
  </si>
  <si>
    <t>Acc Amort Mkt to Mkt</t>
  </si>
  <si>
    <t>Finance Fee - RF MV Only</t>
  </si>
  <si>
    <t>Capitalized Legal/Professional Fees</t>
  </si>
  <si>
    <t>Goodwill</t>
  </si>
  <si>
    <t>Goodwill - 2nd</t>
  </si>
  <si>
    <t>Other Assets</t>
  </si>
  <si>
    <t>Rent Deposits</t>
  </si>
  <si>
    <t>Deferred Executive Insurance</t>
  </si>
  <si>
    <t>Capitalized Interest</t>
  </si>
  <si>
    <t>Accum Amort - Capitalized Interest</t>
  </si>
  <si>
    <t>Capital Reserves</t>
  </si>
  <si>
    <t>Loan Discount</t>
  </si>
  <si>
    <t>Replacement Reserves</t>
  </si>
  <si>
    <t>LTV Earnout</t>
  </si>
  <si>
    <t>Group Insurance Reserve</t>
  </si>
  <si>
    <t>Unrealized Apprec. on Int. Rate Derivatives</t>
  </si>
  <si>
    <t>Intercompany / GE</t>
  </si>
  <si>
    <t>Accumulated Depreciation - Other Assets</t>
  </si>
  <si>
    <t>Right of Use Assets - Ground Leases</t>
  </si>
  <si>
    <t>Right of Use Assets - Ground Leases - Unreal</t>
  </si>
  <si>
    <t>LIABILITIES AND OWNER'S EQUITY</t>
  </si>
  <si>
    <t>LIABILITIES</t>
  </si>
  <si>
    <t>Current Liabilities</t>
  </si>
  <si>
    <t>Accounts Payable</t>
  </si>
  <si>
    <t>Trade Accounts Payable</t>
  </si>
  <si>
    <t>Output VAT Taxes</t>
  </si>
  <si>
    <t>CIS Payable (UK)</t>
  </si>
  <si>
    <t>Construction Industry Scheme (CIS) Withholding - UK</t>
  </si>
  <si>
    <t>Renovation Accounts Payable</t>
  </si>
  <si>
    <t>Development/Operations Clearing</t>
  </si>
  <si>
    <t>Resident Forced Placed Ins Payable</t>
  </si>
  <si>
    <t>Resident Point of Lease Ins Payable</t>
  </si>
  <si>
    <t>RenterProtection Insurance Payable</t>
  </si>
  <si>
    <t>A/P - Takeover Delinquency</t>
  </si>
  <si>
    <t>Corporate Housing Commission</t>
  </si>
  <si>
    <t>Reps and Warranties Expense Payable</t>
  </si>
  <si>
    <t>Distributions Payable</t>
  </si>
  <si>
    <t>Tax Withholding Payable</t>
  </si>
  <si>
    <t>Related Party A/P</t>
  </si>
  <si>
    <t>A/P - Regional Payroll</t>
  </si>
  <si>
    <t>AD&amp;D Insurance Payable</t>
  </si>
  <si>
    <t>Group Insurance Payable</t>
  </si>
  <si>
    <t>Payroll Accural - Burden</t>
  </si>
  <si>
    <t>Payroll Clearing Account</t>
  </si>
  <si>
    <t>AP - Childcare Vouchers</t>
  </si>
  <si>
    <t>Intercompany A/P</t>
  </si>
  <si>
    <t>Accts Payable - Ground Lease</t>
  </si>
  <si>
    <t>Due To Affiliate</t>
  </si>
  <si>
    <t>NP - Due to GREP</t>
  </si>
  <si>
    <t>Due To Owner</t>
  </si>
  <si>
    <t>Due To Owner 2nd</t>
  </si>
  <si>
    <t>Due To Corporate (Property)</t>
  </si>
  <si>
    <t>Due To Corporate (Property) 2nd</t>
  </si>
  <si>
    <t>Income Tax Payable</t>
  </si>
  <si>
    <t>A/P - Other</t>
  </si>
  <si>
    <t>A/P - Other 2nd</t>
  </si>
  <si>
    <t>Dividends Payable</t>
  </si>
  <si>
    <t>Stars in Need</t>
  </si>
  <si>
    <t>Greystar Scholars</t>
  </si>
  <si>
    <t>Camp Hope (DO NOT USE)</t>
  </si>
  <si>
    <t>Advances Made on Behalf of Investors</t>
  </si>
  <si>
    <t>Distrib Received on Behalf of Certain Non-Controlling Intere</t>
  </si>
  <si>
    <t>Due to Affiliate - FX Fluctuation</t>
  </si>
  <si>
    <t>Accrued Liabilities</t>
  </si>
  <si>
    <t>Accrued Management Fees</t>
  </si>
  <si>
    <t>Accrued Expenses - Asset Management</t>
  </si>
  <si>
    <t>Accrued Expense</t>
  </si>
  <si>
    <t>Accrued Expense 2nd</t>
  </si>
  <si>
    <t>Accrued Expense 3rd</t>
  </si>
  <si>
    <t>Accrued Expense 4th</t>
  </si>
  <si>
    <t>Accrued Expense 5th</t>
  </si>
  <si>
    <t>Accrued Expense Deferred Fee</t>
  </si>
  <si>
    <t>Accrued Expense Deferred Fee 2nd</t>
  </si>
  <si>
    <t>Accrued Capital Asset</t>
  </si>
  <si>
    <t>Renovations Accruals</t>
  </si>
  <si>
    <t>Accrued Real Property Taxes</t>
  </si>
  <si>
    <t>Accrued Personal Property Taxes</t>
  </si>
  <si>
    <t>Accrued Franchise Taxes Payable</t>
  </si>
  <si>
    <t>Accrued Insurance</t>
  </si>
  <si>
    <t>Accrued Audit Fee</t>
  </si>
  <si>
    <t>Accrued Trustee Fees</t>
  </si>
  <si>
    <t>Accrued Payroll</t>
  </si>
  <si>
    <t>Accrued Incentive - Asset Sale</t>
  </si>
  <si>
    <t>Accrued Incentives</t>
  </si>
  <si>
    <t>Occupancy Tax Payable</t>
  </si>
  <si>
    <t>Current Deferred Tax Liability</t>
  </si>
  <si>
    <t>Sales Tax Payable</t>
  </si>
  <si>
    <t>Interest payable - Note</t>
  </si>
  <si>
    <t>Interest Payable - 1st Mortgage</t>
  </si>
  <si>
    <t>Interest Payable - 2nd Mortgage</t>
  </si>
  <si>
    <t>Interest Payable - 3rd Mortgage</t>
  </si>
  <si>
    <t>Interest Payable - 4th Mortgage</t>
  </si>
  <si>
    <t>Interest Payable - 5th Mortgage</t>
  </si>
  <si>
    <t>Interest payable - Subscription Line</t>
  </si>
  <si>
    <t>Accrued Interest Expense</t>
  </si>
  <si>
    <t>Intra-Company - A/P Clearing (Do Not Use)</t>
  </si>
  <si>
    <t>Accrued Interest 2nd</t>
  </si>
  <si>
    <t>Accrued Interest 3rd</t>
  </si>
  <si>
    <t>Deferred Interest</t>
  </si>
  <si>
    <t>Accrued Expenses - Other</t>
  </si>
  <si>
    <t>Equity Partner Accrued Interest Payable</t>
  </si>
  <si>
    <t>Employee Deduction Payable</t>
  </si>
  <si>
    <t>401k Payable</t>
  </si>
  <si>
    <t>401k Company Funding Payable</t>
  </si>
  <si>
    <t>Payroll Taxes Payable</t>
  </si>
  <si>
    <t>Worker's Compensation Payable</t>
  </si>
  <si>
    <t>Group Insurance Payable - Defferals</t>
  </si>
  <si>
    <t>Group Insurance Payable - Claims</t>
  </si>
  <si>
    <t>Group Insurance Payable - Deferral GDG</t>
  </si>
  <si>
    <t>Group Insurance Payable - Claims GDG</t>
  </si>
  <si>
    <t>General Liability Payable</t>
  </si>
  <si>
    <t>Property Insurance Payable</t>
  </si>
  <si>
    <t>Group Insurance Payable - OCIP Deductible Payable</t>
  </si>
  <si>
    <t>Long Term Disability Insurance Payable</t>
  </si>
  <si>
    <t>Short Term Disability</t>
  </si>
  <si>
    <t>Life Insurance Payable</t>
  </si>
  <si>
    <t>Prepaid Legal Payable</t>
  </si>
  <si>
    <t>Provision For Loss</t>
  </si>
  <si>
    <t>Unrealized Current Gain / Loss</t>
  </si>
  <si>
    <t>Effect of Accounting Change</t>
  </si>
  <si>
    <t>Unrealized Derivative Debt Value</t>
  </si>
  <si>
    <t>Deferred Revenue</t>
  </si>
  <si>
    <t>Development Fee Payable</t>
  </si>
  <si>
    <t>Foreign Currency Loss</t>
  </si>
  <si>
    <t>Working Capital Fund</t>
  </si>
  <si>
    <t>Contributions - Greystar Deferred Fee</t>
  </si>
  <si>
    <t>Contributions - Symcox Deferred Fee</t>
  </si>
  <si>
    <t>Deferred GC Fee - Initial</t>
  </si>
  <si>
    <t>Deferred GC Fee - Additional</t>
  </si>
  <si>
    <t>Condo Association Reserve Fund</t>
  </si>
  <si>
    <t>St. Jude Liability</t>
  </si>
  <si>
    <t>Charity Liability</t>
  </si>
  <si>
    <t>Food Bank</t>
  </si>
  <si>
    <t>Other Current Liabilities</t>
  </si>
  <si>
    <t>Prepaid Rent - HAP</t>
  </si>
  <si>
    <t>Prepaid Rent - Subsidy</t>
  </si>
  <si>
    <t>Prepaid Condo Fees</t>
  </si>
  <si>
    <t>Prepaid Revenues - Other</t>
  </si>
  <si>
    <t>Straightline Ground Rent</t>
  </si>
  <si>
    <t>Payroll Reserve</t>
  </si>
  <si>
    <t>Placeholder</t>
  </si>
  <si>
    <t>Security Deposits</t>
  </si>
  <si>
    <t>Security Deposits - Commercial</t>
  </si>
  <si>
    <t>Security Deposits - Retail</t>
  </si>
  <si>
    <t>Security Deposits - Interest</t>
  </si>
  <si>
    <t>Security Deposits - Clearing</t>
  </si>
  <si>
    <t>Security Deposits - Beginning Balance</t>
  </si>
  <si>
    <t>Security Deposits - Other</t>
  </si>
  <si>
    <t>Uncollected Security Deposits</t>
  </si>
  <si>
    <t>Pet Deposits</t>
  </si>
  <si>
    <t>Unit Upgrade Deposits</t>
  </si>
  <si>
    <t>Partner Reimbursement Deposits</t>
  </si>
  <si>
    <t>Key Deposits</t>
  </si>
  <si>
    <t>Remote Deposits</t>
  </si>
  <si>
    <t>Retainage Payable</t>
  </si>
  <si>
    <t>Billings in Excess of Costs</t>
  </si>
  <si>
    <t>Casualty Reserve</t>
  </si>
  <si>
    <t>Notes Payable - Current</t>
  </si>
  <si>
    <t>Notes Payable 2nd</t>
  </si>
  <si>
    <t>Mortgage Payable - Current</t>
  </si>
  <si>
    <t>Unrealized Deprec. on Int. Rate Derivatives</t>
  </si>
  <si>
    <t>Unclaimed Property Payable</t>
  </si>
  <si>
    <t>Suspense Account</t>
  </si>
  <si>
    <t>Tenant Refunds at Close (Clearing)</t>
  </si>
  <si>
    <t>Transit Account A/P</t>
  </si>
  <si>
    <t>Transit Account A/R</t>
  </si>
  <si>
    <t>Long Term Liabilities</t>
  </si>
  <si>
    <t>1st Mortgage Payable</t>
  </si>
  <si>
    <t>Principal Reduction - 1st Mortgage</t>
  </si>
  <si>
    <t>2nd Mortgage Payable</t>
  </si>
  <si>
    <t>Principal Reduction - 2nd Mortgage</t>
  </si>
  <si>
    <t>3rd Mortgage Payable</t>
  </si>
  <si>
    <t>Principal Reduction - 3rd Mortgage</t>
  </si>
  <si>
    <t>Construction Loan Payable</t>
  </si>
  <si>
    <t>Unrealized App/Depr on Debt</t>
  </si>
  <si>
    <t>Loan Payable</t>
  </si>
  <si>
    <t>Loan Payable 2nd</t>
  </si>
  <si>
    <t>Note Payable - Seller</t>
  </si>
  <si>
    <t>Note payable - Placement fees</t>
  </si>
  <si>
    <t>1st Mezzanine Loan Payable</t>
  </si>
  <si>
    <t>2nd Mezzanine Loan Payable</t>
  </si>
  <si>
    <t>3rd Mezzanine Loan Payable</t>
  </si>
  <si>
    <t>Note payable - Subscription Line</t>
  </si>
  <si>
    <t>Note Payable</t>
  </si>
  <si>
    <t>Note Payable 2nd</t>
  </si>
  <si>
    <t>Hurricane Repair Fund Payable</t>
  </si>
  <si>
    <t>Bond Payable</t>
  </si>
  <si>
    <t>Bond Discount</t>
  </si>
  <si>
    <t>Deferred Developer Fee</t>
  </si>
  <si>
    <t>Capitalized Lease</t>
  </si>
  <si>
    <t>Equity Partner Note Payable</t>
  </si>
  <si>
    <t>Due To / From Entity</t>
  </si>
  <si>
    <t>Operating Deficit Loans</t>
  </si>
  <si>
    <t>Accrued ODL Interest</t>
  </si>
  <si>
    <t>Prepaid Vendor Commissions</t>
  </si>
  <si>
    <t>Long Term Liabilities - Other</t>
  </si>
  <si>
    <t>Long Term Liability - Debt Valuation ADJ</t>
  </si>
  <si>
    <t>Deferred Gain</t>
  </si>
  <si>
    <t>Participation Liability</t>
  </si>
  <si>
    <t>Debt Issuance Costs</t>
  </si>
  <si>
    <t>Loan Issuance Costs</t>
  </si>
  <si>
    <t>Amortization - Debt Issuance Costs</t>
  </si>
  <si>
    <t>Deferred Issuance Costs - Bond Obl</t>
  </si>
  <si>
    <t>Accum Amort Debt Iss - Bond Obl</t>
  </si>
  <si>
    <t>Unamortized Debt Prem/Disc</t>
  </si>
  <si>
    <t>Unamortized Bond Prem/Disc</t>
  </si>
  <si>
    <t>Lease Liabilities - Ground Leases</t>
  </si>
  <si>
    <t>Lease Liabilities - Ground Leases - Unreal</t>
  </si>
  <si>
    <t>Student Prepaid Rent</t>
  </si>
  <si>
    <t>Prepaid Rents - Guest</t>
  </si>
  <si>
    <t>Prepaid Rents - Commercial</t>
  </si>
  <si>
    <t>Unearned Contr Inc-Summ</t>
  </si>
  <si>
    <t>Unearned Contr Rev-Futu</t>
  </si>
  <si>
    <t>Unearned Contract Incom</t>
  </si>
  <si>
    <t>Deferred Parking Revenue</t>
  </si>
  <si>
    <t>Straight-Line Adj Gross Revenue</t>
  </si>
  <si>
    <t>Unearned Transient Inco</t>
  </si>
  <si>
    <t>Unearned Rev Debit Card</t>
  </si>
  <si>
    <t>Unearned Internet Tech</t>
  </si>
  <si>
    <t>Owner's Equity</t>
  </si>
  <si>
    <t>Common Stock</t>
  </si>
  <si>
    <t>Minority Interest - Equity</t>
  </si>
  <si>
    <t>Preferred SH - Non-Controlling Interest</t>
  </si>
  <si>
    <t>Capital Stock</t>
  </si>
  <si>
    <t>Syndication</t>
  </si>
  <si>
    <t>Due To/From Owner</t>
  </si>
  <si>
    <t>Additional Paid in Capital</t>
  </si>
  <si>
    <t>Seized Cash - Receiver</t>
  </si>
  <si>
    <t>Seized SD Cash - Rcvr</t>
  </si>
  <si>
    <t>Other Transfer of Funds</t>
  </si>
  <si>
    <t>Capital</t>
  </si>
  <si>
    <t>Capital - Partner</t>
  </si>
  <si>
    <t>Capital - Partner 2nd</t>
  </si>
  <si>
    <t>Capital - Partner 3rd</t>
  </si>
  <si>
    <t>Capital - Member</t>
  </si>
  <si>
    <t>Capital - Member 2nd</t>
  </si>
  <si>
    <t>Capital - Member 3rd</t>
  </si>
  <si>
    <t>Capital - Columbia Multifamily</t>
  </si>
  <si>
    <t>Capital - Alliance Corp TN</t>
  </si>
  <si>
    <t>Capital - RL Foote</t>
  </si>
  <si>
    <t>Capital - Daniel Elstein</t>
  </si>
  <si>
    <t>Capital - Adam Elstein</t>
  </si>
  <si>
    <t>Capital - David Togut</t>
  </si>
  <si>
    <t>Capital - Lynn Joyce Elstein</t>
  </si>
  <si>
    <t>Capital - Jason Togut Trust</t>
  </si>
  <si>
    <t>Capital - Tracy Elstein</t>
  </si>
  <si>
    <t>Capital - CFH New Orleans</t>
  </si>
  <si>
    <t>Capital - GS New Orleans LP</t>
  </si>
  <si>
    <t>Capital - Greystar MF New Orleans LLC</t>
  </si>
  <si>
    <t>Capital - JMI Investments MF</t>
  </si>
  <si>
    <t>Capital - GE</t>
  </si>
  <si>
    <t>Capital - GS Coinvest</t>
  </si>
  <si>
    <t>Capital - GEP IV</t>
  </si>
  <si>
    <t>Capital - Edison Equity Contribution</t>
  </si>
  <si>
    <t>Capital - Preferred Return</t>
  </si>
  <si>
    <t>Capital - Nat'l Comm. Ventures LLC</t>
  </si>
  <si>
    <t>Capital - Colich</t>
  </si>
  <si>
    <t>Capital - LEM Funding VII LP</t>
  </si>
  <si>
    <t>Capital - LEM Parallel VII LP</t>
  </si>
  <si>
    <t>Capital - 1031 Exchange</t>
  </si>
  <si>
    <t>Capital - AIG</t>
  </si>
  <si>
    <t>Capital - GEP VI</t>
  </si>
  <si>
    <t>Capital - Greystar Investment Group</t>
  </si>
  <si>
    <t>Capital - MetLife</t>
  </si>
  <si>
    <t>Capital - GS Coinvestment II</t>
  </si>
  <si>
    <t>Capital - GS Coinvestment III</t>
  </si>
  <si>
    <t>Capital - Buchanan</t>
  </si>
  <si>
    <t>Capital - Carlyle</t>
  </si>
  <si>
    <t>Capital - GEP V</t>
  </si>
  <si>
    <t>Capital - GSREP</t>
  </si>
  <si>
    <t>Capital - Fund III Investors</t>
  </si>
  <si>
    <t>Capital - US GAAP Only</t>
  </si>
  <si>
    <t>Equity - PEP Cactus Investor</t>
  </si>
  <si>
    <t>Equity - PEP Student Housing</t>
  </si>
  <si>
    <t>Equity - Promote Equity (Available Cash)</t>
  </si>
  <si>
    <t>Equity - Promote Equity (Adj Amount)</t>
  </si>
  <si>
    <t>Equity - Incentive Allocation</t>
  </si>
  <si>
    <t>Equity Crystalization Adj #1</t>
  </si>
  <si>
    <t>Equity Crystalization Adj #2</t>
  </si>
  <si>
    <t>Equity Crystalization Adj #3</t>
  </si>
  <si>
    <t>Equity Crystalization Adj #4</t>
  </si>
  <si>
    <t>Contributions</t>
  </si>
  <si>
    <t>Contributions - Partner</t>
  </si>
  <si>
    <t>Contributions - Partner 2nd</t>
  </si>
  <si>
    <t>Contributions - Partner 3rd</t>
  </si>
  <si>
    <t>Contributions - Partner 4th</t>
  </si>
  <si>
    <t>Contributions - Member</t>
  </si>
  <si>
    <t>Contributions - Member 2nd</t>
  </si>
  <si>
    <t>Contributions - Member 3rd</t>
  </si>
  <si>
    <t>Contributions - Management Fees</t>
  </si>
  <si>
    <t>Contributions - Allocated G&amp;A Exp.</t>
  </si>
  <si>
    <t>Contributions - Land Adjustment</t>
  </si>
  <si>
    <t>Contributions - Unrecorded Pref Offset</t>
  </si>
  <si>
    <t>Contributions - General Partner - Completion Guarantee</t>
  </si>
  <si>
    <t>Contributions - MLP</t>
  </si>
  <si>
    <t>Contributions - C.H.</t>
  </si>
  <si>
    <t>Contributions - P.L.</t>
  </si>
  <si>
    <t>Contributions - A.L.</t>
  </si>
  <si>
    <t>Contributions - G.F.</t>
  </si>
  <si>
    <t>Contributions - L.A.</t>
  </si>
  <si>
    <t>Contributions - I.T.</t>
  </si>
  <si>
    <t>Contributions - D.B.</t>
  </si>
  <si>
    <t>Contributions - I.S.</t>
  </si>
  <si>
    <t>Contributions - G.H.</t>
  </si>
  <si>
    <t>Contributions - CR Biscayne Beach LLC</t>
  </si>
  <si>
    <t>Contributions - CK Biscayne Beach LLC</t>
  </si>
  <si>
    <t>Contributions - MACA Holdings LLC</t>
  </si>
  <si>
    <t>Contributions - Bisc. Beach Prop. Inv. LLC</t>
  </si>
  <si>
    <t>Contributions - CFH 95 Investments</t>
  </si>
  <si>
    <t>Contributions - Pursuit</t>
  </si>
  <si>
    <t>Contributions - Mission Center LLC</t>
  </si>
  <si>
    <t>Contributions - Braden Lakes</t>
  </si>
  <si>
    <t>Contributions - Cornerstone</t>
  </si>
  <si>
    <t>Contributions - CC Port Richey Apts. LLC</t>
  </si>
  <si>
    <t>Contributions - Cypress Springs</t>
  </si>
  <si>
    <t>Contributions - Caribe</t>
  </si>
  <si>
    <t>Contributions - CFLP Management</t>
  </si>
  <si>
    <t>Contributions - Marj Holdings III LLC</t>
  </si>
  <si>
    <t>Contributions - 1010 Scott Street</t>
  </si>
  <si>
    <t>Contributions - YI</t>
  </si>
  <si>
    <t>Contributions - TC</t>
  </si>
  <si>
    <t>Contributions - Passco Villa Toscana H LP</t>
  </si>
  <si>
    <t>Contributions - Passco Four Winds S LLC (P.C. LLC)</t>
  </si>
  <si>
    <t>Contributions - Passco Four Winds R LLC (REIT) (4.00%)</t>
  </si>
  <si>
    <t>Contributions - Passco Four Winds R LLC (REIT) (6.30%)</t>
  </si>
  <si>
    <t>Contributions - Passco Moorings H LLC (1%)</t>
  </si>
  <si>
    <t>Contributions - Passco Moorings S LLC (51.9%)</t>
  </si>
  <si>
    <t>Contributions - Passco Alanza Brook H LLC</t>
  </si>
  <si>
    <t>Contributions - Passco Alanza Brook S LLC</t>
  </si>
  <si>
    <t>Contributions - TIC</t>
  </si>
  <si>
    <t>Contributions - TIC 1 - 19620 Sherman Way - Fredda Rose Mem</t>
  </si>
  <si>
    <t>Contributions - TIC 1 - Bales LP</t>
  </si>
  <si>
    <t>Contributions - TIC 1 - John &amp; Charlene Baskin</t>
  </si>
  <si>
    <t>Contributions - TIC 1 - Weldon C. Alexander Jr</t>
  </si>
  <si>
    <t>Contributions - TIC 2 - M. Bennet Inv LLC</t>
  </si>
  <si>
    <t>Contributions - TIC 2 - Vivian Bellini Trustee</t>
  </si>
  <si>
    <t>Contributions - TIC 2 - W.Slater &amp; Tamara Burroughs</t>
  </si>
  <si>
    <t>Contributions - TIC 2 - Brooks Family Trust / Lewis &amp; Rosema</t>
  </si>
  <si>
    <t>Contributions - TIC 3 - DCKLLC - Leonard Kraisel</t>
  </si>
  <si>
    <t>Contributions - TIC 3 - Donna Baughman Trustee</t>
  </si>
  <si>
    <t>Contributions - TIC 3 - William A. &amp; Mary L. Cassidy</t>
  </si>
  <si>
    <t>Contributions - TIC 3 - Engstrom 1991 Family Trust / John &amp;</t>
  </si>
  <si>
    <t>Contributions - TIC 4 - Britt Asset Managements LLC</t>
  </si>
  <si>
    <t>Contributions - TIC 4 - Jerome Ettinger</t>
  </si>
  <si>
    <t>Contributions - TIC 4 - Joan Elizabeth Emerson</t>
  </si>
  <si>
    <t>Contributions - TIC 4 - Fonata Investors LLP / Hok P. Leung</t>
  </si>
  <si>
    <t>Contributions - TIC 5 - Hemmat Family LLC - Amir &amp; Selma He</t>
  </si>
  <si>
    <t>Contributions - TIC 5 - Jensen Enterprises - Richard Jensen</t>
  </si>
  <si>
    <t>Contributions - TIC 5 - Sylvia Brown</t>
  </si>
  <si>
    <t>Contributions - TIC 5 - Keith &amp; Margaret Harrison</t>
  </si>
  <si>
    <t>Contributions - TIC 6 - Hynes Revocable Trust - Gray B. Hyne</t>
  </si>
  <si>
    <t>Contributions - TIC 6 - Kenneth Roland &amp; Lisa Lee</t>
  </si>
  <si>
    <t>Contributions - TIC 6 - Kuang Yu &amp; Anna C. Change Trustees</t>
  </si>
  <si>
    <t>Contributions - TIC 6 - Meaglia Family Trust / James &amp; Cathe</t>
  </si>
  <si>
    <t>Contributions - TIC 7 - Adrienne Medalie</t>
  </si>
  <si>
    <t>Contributions - TIC 7 - Helio Cordeiro Trustee</t>
  </si>
  <si>
    <t>Contributions - TIC 7 - M.C.Mckittrick Family LLC - James &amp;</t>
  </si>
  <si>
    <t>Contributions - TIC 7 - Paul V. &amp; Wendy D. Monaci</t>
  </si>
  <si>
    <t>Contributions - TIC 8 - Cottage Landing - J. Stephen Ivey M</t>
  </si>
  <si>
    <t>Contributions - TIC 8 - North State Mini Marts Inc. - Howar</t>
  </si>
  <si>
    <t>Contributions - TIC 8 - Park Ridge Apt. LLC - Victoria M. V</t>
  </si>
  <si>
    <t>Contributions - TIC 8 - ROland A. Chassang Trustee</t>
  </si>
  <si>
    <t>Contributions - TIC 9 - C &amp; C Hirata Family Trust - Clyde Y.</t>
  </si>
  <si>
    <t>Contributions - TIC 9 - Deters Properties LLC</t>
  </si>
  <si>
    <t>Contributions - TIC 9 - Star Diamond Properties - Webb Morro</t>
  </si>
  <si>
    <t>Contributions - TIC 9 - Mark White</t>
  </si>
  <si>
    <t>Contributions - TIC 10 - Chelsea &amp; Enrichetta Dykier Truste</t>
  </si>
  <si>
    <t>Contributions - TIC 10 - Gregory K. &amp; Meredeth L. Young</t>
  </si>
  <si>
    <t>Contributions - TIC 10 - Robert A. &amp; Marilyn G. Steele</t>
  </si>
  <si>
    <t>Contributions - TIC 10 - Paul A. &amp; Diane M. Clemensen</t>
  </si>
  <si>
    <t>Contributions - TIC 11 - David S. &amp; Evangelina R. Choo</t>
  </si>
  <si>
    <t>Contributions - TIC 11 - Jay W. Farley</t>
  </si>
  <si>
    <t>Contributions - TIC 11 - Robert H. Wulf Trustee</t>
  </si>
  <si>
    <t>Contributions - TIC 11 - Arleigh R. &amp; Diane M. Kerr</t>
  </si>
  <si>
    <t>Contributions - TIC 12 - Frank L. &amp; Charlene J. Constantino</t>
  </si>
  <si>
    <t>Contributions - TIC 12 - John Owen &amp; Barbara Jean Jones Tru</t>
  </si>
  <si>
    <t>Contributions - TIC 12 - Gregory Alan Lindell</t>
  </si>
  <si>
    <t>Contributions - TIC 13 - Charlene K. Getz</t>
  </si>
  <si>
    <t>Contributions - TIC 13 - Goroco Inc - Dennis B. Royal</t>
  </si>
  <si>
    <t>Contributions - TIC 13 - Sadler Living Trust - Mary Miller S</t>
  </si>
  <si>
    <t>Contributions - TIC 13 - Gerhard D. &amp; Mary Muerle</t>
  </si>
  <si>
    <t>Contributions - TIC 14 - Dennis P. Straford</t>
  </si>
  <si>
    <t>Contributions - TIC 14 - Gino &amp; Brenda Gaspari</t>
  </si>
  <si>
    <t>Contributions - TIC 14 - Nadine Grosso</t>
  </si>
  <si>
    <t>Contributions - TIC 14 - Ted &amp; Yvonne Neal Trustees</t>
  </si>
  <si>
    <t>Contributions - TIC 15 - David L. Cummings and Janet L. Self</t>
  </si>
  <si>
    <t>Contributions - TIC 15 - David W. &amp; Mai P. Guerdat Trustees</t>
  </si>
  <si>
    <t>Contributions - TIC 15 - Livingston Holdings LLC</t>
  </si>
  <si>
    <t>Contributions - TIC 15 - Timothy E. Roberts</t>
  </si>
  <si>
    <t>Contributions - TIC 16 - Dolores Heeb Trustee</t>
  </si>
  <si>
    <t>Contributions - TIC 16 - Peeranant &amp; Chaveang</t>
  </si>
  <si>
    <t>Contributions - TIC 16 - Peters Family Trust - Leroy C. &amp; Er</t>
  </si>
  <si>
    <t>Contributions - TIC 16 - Frank Randall</t>
  </si>
  <si>
    <t>Contributions - TIC 17 - Howard C. &amp; June M. Hubbard Truste</t>
  </si>
  <si>
    <t>Contributions - TIC 17 - RIMA Associates Inc.</t>
  </si>
  <si>
    <t>Contributions - TIC 17 - Steele Family Trust -Robert A. &amp; Ma</t>
  </si>
  <si>
    <t>Contributions - TIC 17 - J.L. &amp; Shirley L. Bryan</t>
  </si>
  <si>
    <t>Contributions - TIC 18 - Biscay Family Trust - Richard C. &amp;</t>
  </si>
  <si>
    <t>Contributions - TIC 18 - George H. &amp; Sandra S. Kimber</t>
  </si>
  <si>
    <t>Contributions - TIC 18 - Marjorie Leaming</t>
  </si>
  <si>
    <t>Contributions - TIC 18 - Joseph Ryan Cavalletto</t>
  </si>
  <si>
    <t>Contributions - TIC 19 - Michael T. &amp; Charlottem. Ledbetter</t>
  </si>
  <si>
    <t>Contributions - TIC 19 - Mittman Associates Inc. - Ellen S.</t>
  </si>
  <si>
    <t>Contributions - TIC 19 - ZEV Corp. / Claire Slobodski Presi</t>
  </si>
  <si>
    <t>Contributions - TIC 19 - Nathaniel Ryan Cavalletto</t>
  </si>
  <si>
    <t>Contributions - TIC 20 - Dexter K. Lee</t>
  </si>
  <si>
    <t>Contributions - TIC 20 - Man Bun &amp; Michelle Wong</t>
  </si>
  <si>
    <t>Contributions - TIC 20 - Steven M. &amp; Joan W. Feleay</t>
  </si>
  <si>
    <t>Contributions - TIC 21 - King &amp; Associates LLC - Elizabeth</t>
  </si>
  <si>
    <t>Contributions - TIC 21 - Patricia McGrath Lott Trustee</t>
  </si>
  <si>
    <t>Contributions - TIC 21 - Thomas K. Watzka &amp; Elise S. Pomeran</t>
  </si>
  <si>
    <t>Contributions - TIC 21 - Donald &amp; Elaine Mahaffey</t>
  </si>
  <si>
    <t>Contributions - TIC 22 - Chooch &amp; Son LLC - Richard R. Batt</t>
  </si>
  <si>
    <t>Contributions - TIC 22 - Gary J. Gray</t>
  </si>
  <si>
    <t>Contributions - TIC 22 - Webb B. Morrow Jr. Trustee</t>
  </si>
  <si>
    <t>Contributions - TIC 22 - James Tazwell &amp; Nicole Morrow</t>
  </si>
  <si>
    <t>Contributions - TIC 23 - Sakoda Family L.P.</t>
  </si>
  <si>
    <t>Contributions - TIC 23 - Sunny Prospects LLC - Katherine L.</t>
  </si>
  <si>
    <t>Contributions - TIC 23 - Supino Realty Trust - John Supino</t>
  </si>
  <si>
    <t>Contributions - TIC 24 - Larr J. Samarron &amp; Ceslynn F. Regal</t>
  </si>
  <si>
    <t>Contributions - TIC 24 - Thomas F. Scheidt</t>
  </si>
  <si>
    <t>Contributions - TIC 24 - Robert &amp; Hiyam Abbo Van der Wilde</t>
  </si>
  <si>
    <t>Contributions - TIC 25 - Imran Syed</t>
  </si>
  <si>
    <t>Contributions - TIC 25 - Jerome Ettinger Living Trust - Jero</t>
  </si>
  <si>
    <t>Contributions - TIC 25 - Giuseppe &amp; Constance Alongi</t>
  </si>
  <si>
    <t>Contributions - TIC 26 - Ellen B. Friedman</t>
  </si>
  <si>
    <t>Contributions - TIC 26 - Stewart's Body Shop Inc. - Jerry L</t>
  </si>
  <si>
    <t>Contributions - TIC 26 - James H. &amp; Carole L. Brown</t>
  </si>
  <si>
    <t>Contributions - TIC 27 - Donald J. &amp; Theresa F. Rago</t>
  </si>
  <si>
    <t>Contributions - TIC 27 - William B. Wylie Trustee</t>
  </si>
  <si>
    <t>Contributions - TIC 27 - Donald &amp; Barbara Burklew</t>
  </si>
  <si>
    <t>Contributions - TIC 28 - Bryan &amp; Genevieve H. Chapman Trust</t>
  </si>
  <si>
    <t>Contributions - TIC 28 - William J. DeMarkey Trustee</t>
  </si>
  <si>
    <t>Contributions - TIC 28 - Isras Chatkeon &amp; Rasamee Chatkeonpa</t>
  </si>
  <si>
    <t>Contributions - TIC 29 - Helena Growth Inc. - Helena Pai P</t>
  </si>
  <si>
    <t>Contributions - TIC 29 - Shelger Family Trust - Kurt S. &amp; Sh</t>
  </si>
  <si>
    <t>Contributions - TIC 29 - Steven B. John &amp; Nancy Brayton - Jo</t>
  </si>
  <si>
    <t>Contributions - TIC 30 - John Wiley Lauterbach Trustee</t>
  </si>
  <si>
    <t>Contributions - TIC 30 - Shirley Shelger Trust - Shirley She</t>
  </si>
  <si>
    <t>Contributions - TIC 30 - Los Alamos LLC - Walter &amp; Vivian W</t>
  </si>
  <si>
    <t>Contributions - TIC 31 - Jacob Hildebrandt</t>
  </si>
  <si>
    <t>Contributions - TIC 31 - John F. and Marie T. Logan Trustee</t>
  </si>
  <si>
    <t>Contributions - TIC 31 - Jose Jesus Perez &amp; Maria Angela Mun</t>
  </si>
  <si>
    <t>Contributions - TIC 32 - Steven Douglas &amp; Lisa Elizabeth Smi</t>
  </si>
  <si>
    <t>Contributions - TIC 32 - William C. &amp; Diane Kennedy Mathers</t>
  </si>
  <si>
    <t>Contributions - TIC 32 - Jerome I. &amp; Helen M. Steinman</t>
  </si>
  <si>
    <t>Contributions - TIC 33 - Canal 8 LLC - Stephen Ramich &amp; Tho</t>
  </si>
  <si>
    <t>Contributions - TIC 33 - North State Mini Marts Inc - Howar</t>
  </si>
  <si>
    <t>Contributions - TIC 33 - Doris W. Tilmont</t>
  </si>
  <si>
    <t>Contributions - TIC 34</t>
  </si>
  <si>
    <t>Contributions - TIC 35</t>
  </si>
  <si>
    <t>Contributions - TIC 36</t>
  </si>
  <si>
    <t>Contributions - TIC 37</t>
  </si>
  <si>
    <t>Contributions - Chukly</t>
  </si>
  <si>
    <t>Contributions - Montego Bay</t>
  </si>
  <si>
    <t>Contributions - Trust 11204</t>
  </si>
  <si>
    <t>Corporate Settlement Account</t>
  </si>
  <si>
    <t>Distributions - Deemed</t>
  </si>
  <si>
    <t>Distribution - Preferred Dividends</t>
  </si>
  <si>
    <t>Distributions - Current Year</t>
  </si>
  <si>
    <t>Distributions - Partner</t>
  </si>
  <si>
    <t>Distributions - Partner 2nd</t>
  </si>
  <si>
    <t>Distributions - Partner 3rd</t>
  </si>
  <si>
    <t>Distribution - Fund</t>
  </si>
  <si>
    <t>Distributions - Member</t>
  </si>
  <si>
    <t>Distributions - Member 2nd</t>
  </si>
  <si>
    <t>Distributions - Member 3rd</t>
  </si>
  <si>
    <t>Distributions - Capital</t>
  </si>
  <si>
    <t>Distributions - Preferred Return</t>
  </si>
  <si>
    <t>Distributions - Residual</t>
  </si>
  <si>
    <t>Distributions - Current: Columbia MultiFamily</t>
  </si>
  <si>
    <t>Distributions - Cumulative: Col. MultiFamily</t>
  </si>
  <si>
    <t>Distributions - Nat'l Comm. Ventures LLC</t>
  </si>
  <si>
    <t>Distributions - LEM Funding 0.11</t>
  </si>
  <si>
    <t>Distributions - LEM Funding 0.035</t>
  </si>
  <si>
    <t>Distributions - LEM Funding 0.035 (Payable)</t>
  </si>
  <si>
    <t>Distributions - LEM Parallel 0.11</t>
  </si>
  <si>
    <t>Distributions - LEM Parallel 0.035</t>
  </si>
  <si>
    <t>Distributions - LEM Parallel 0.035 (Payable)</t>
  </si>
  <si>
    <t>Distributions - Colich</t>
  </si>
  <si>
    <t>Distributions - IS Corporation 1.00%</t>
  </si>
  <si>
    <t>Distributions - Equity - TICs</t>
  </si>
  <si>
    <t>Distributions - Equity - CEG</t>
  </si>
  <si>
    <t>Distributions - Equity - Titan</t>
  </si>
  <si>
    <t>Distributions - MLP</t>
  </si>
  <si>
    <t>Distributions - C.H.</t>
  </si>
  <si>
    <t>Distributions - P.L.</t>
  </si>
  <si>
    <t>Distributions - A.L.</t>
  </si>
  <si>
    <t>Distributions - G.F.</t>
  </si>
  <si>
    <t>Distributions - L.A.</t>
  </si>
  <si>
    <t>Distributions - I.T.</t>
  </si>
  <si>
    <t>Distributions - D.B</t>
  </si>
  <si>
    <t>Distributions - I.S.</t>
  </si>
  <si>
    <t>Distributions - RL Foote</t>
  </si>
  <si>
    <t>Distributions - CR Biscayne Beach LLC</t>
  </si>
  <si>
    <t>Distributions - CK Biscayne Beach LLC</t>
  </si>
  <si>
    <t>Distributions - MACA Holdings LLC</t>
  </si>
  <si>
    <t>Distributions - Bisc. Beach Prop. Inv. LLC</t>
  </si>
  <si>
    <t>Distributions - CFH 95 Investments</t>
  </si>
  <si>
    <t>Distributions - TC</t>
  </si>
  <si>
    <t>Distributions - Mission Center LLC</t>
  </si>
  <si>
    <t>Distributions - Braden Lakes</t>
  </si>
  <si>
    <t>Distributions - Cornerstone</t>
  </si>
  <si>
    <t>Distributions - CC Port Richey Apts. LLC</t>
  </si>
  <si>
    <t>Distributions - Caribe</t>
  </si>
  <si>
    <t>Distributions - CFLP Management</t>
  </si>
  <si>
    <t>Distributions - Marj Holdings III LLC</t>
  </si>
  <si>
    <t>Distributions - 1010 Scott Street</t>
  </si>
  <si>
    <t>Distributions - YI</t>
  </si>
  <si>
    <t>Distributions - Passco Moorings H LLC (1%)</t>
  </si>
  <si>
    <t>Distributions - Passco Moorings S LLC (51.9%)</t>
  </si>
  <si>
    <t>Distributions - Passco Villa Toscana H LP (1%)</t>
  </si>
  <si>
    <t>Distributions - Passco Villa Toscana S LP</t>
  </si>
  <si>
    <t>Distributions - Passco Alanza Brook H TIC</t>
  </si>
  <si>
    <t>Distributions - Passco Alanza Brook S TIC</t>
  </si>
  <si>
    <t>Distributions - TIC</t>
  </si>
  <si>
    <t>Distributions - TIC 1 - 19620 Sherman Way - Fredda Rose Mem</t>
  </si>
  <si>
    <t>Distributions - TIC 1 - Bales Limited Partnership-George H.B</t>
  </si>
  <si>
    <t>Distributions - TIC 1 - Charles Bailey</t>
  </si>
  <si>
    <t>Distributions - TIC 1 - John &amp; Charlene Baskin</t>
  </si>
  <si>
    <t>Distributions - TIC 1 - Weldon C. Alexander Jr.</t>
  </si>
  <si>
    <t>Distributions - TIC 2 - M.Bennett Investments LLC-H.Michael</t>
  </si>
  <si>
    <t>Distributions - TIC 2 - Robert &amp; Roberta Barons</t>
  </si>
  <si>
    <t>Distributions - TIC 2 - Vivian Bellini Trustee</t>
  </si>
  <si>
    <t>Distributions - TIC 2 - W.Slater &amp; Tamara Burroughs</t>
  </si>
  <si>
    <t>Distributions - TIC 2 - The Brooks Family Trust</t>
  </si>
  <si>
    <t>Distributions - TIC 3 - DCKLLC - Leonard Kraisel</t>
  </si>
  <si>
    <t>Distributions - TIC 3 - Donna Baughman Blakemore Trustee</t>
  </si>
  <si>
    <t>Distributions - TIC 3 - William A. &amp; Mary L. Cassidy</t>
  </si>
  <si>
    <t>Distributions - TIC 3 - Engstrom 1991 Family Trust</t>
  </si>
  <si>
    <t>Distributions - TIC 4 - Britt Asset Managements LLC - Edgar</t>
  </si>
  <si>
    <t>Distributions - TIC 4 - Jerome Ettinger</t>
  </si>
  <si>
    <t>Distributions - TIC 4 - Joan Elizabeth Emerson</t>
  </si>
  <si>
    <t>Distributions - TIC 4 - Fontana Investors</t>
  </si>
  <si>
    <t>Distributions - TIC 5 - Hemmat Family LLC - Amir &amp; Selma He</t>
  </si>
  <si>
    <t>Distributions - TIC 5 - J&amp;P Warehouse LLC</t>
  </si>
  <si>
    <t>Distributions - TIC 5 - Jensen Enterprises - Richard Jensen</t>
  </si>
  <si>
    <t>Distributions - TIC 5 - Slyvia Brown</t>
  </si>
  <si>
    <t>Distributions - TIC 5 - Keith J. Harrison</t>
  </si>
  <si>
    <t>Distributions - TIC 6 - Hynes Revocable Trust-Gray B Hynes</t>
  </si>
  <si>
    <t>Distributions - TIC 6 - Kenneth Roland &amp; Lisa Lee</t>
  </si>
  <si>
    <t>Distributions - TIC 6 - Kuang Yu &amp; Anna C. Chang Trustees</t>
  </si>
  <si>
    <t>Distributions - TIC 6 - The Meaglia Family Trust</t>
  </si>
  <si>
    <t>Distributions - TIC 7 - Adrienne Medalie</t>
  </si>
  <si>
    <t>Distributions - TIC 7 - Helio Cordeiro Trustee</t>
  </si>
  <si>
    <t>Distributions - TIC 7 - M.C.Mckittrick Family LLC - James M</t>
  </si>
  <si>
    <t>Distributions - TIC 7 - Paul V. &amp; Wendy D. Monac</t>
  </si>
  <si>
    <t>Distributions - TIC 8 - Cottage Landing - J.Stephen Ivey Ma</t>
  </si>
  <si>
    <t>Distributions - TIC 8 - Jack O. Barbee Jr</t>
  </si>
  <si>
    <t>Distributions - TIC 8 - North State Mini Marts Inc. - Howar</t>
  </si>
  <si>
    <t>Distributions - TIC 8 - Park Ridge Apt. LLC - Victoria M. V</t>
  </si>
  <si>
    <t>Distributions - TIC 8 - Roland A. Chassang Trustee</t>
  </si>
  <si>
    <t>Distributions - TIC 9 - C&amp;C Hirata Family Trust - Clyde Y. &amp;</t>
  </si>
  <si>
    <t>Distributions - TIC 9 - Deters Properties LLC-Carol A. Deter</t>
  </si>
  <si>
    <t>Distributions - TIC 9 - Espenschied Living Trust</t>
  </si>
  <si>
    <t>Distributions - TIC 9 - Star Diamond Properties - Webb Morro</t>
  </si>
  <si>
    <t>Distributions - TIC 9 - Mark White</t>
  </si>
  <si>
    <t>Distributions - TIC 10 - Chelsea &amp; Enrichetta Dykier Truste</t>
  </si>
  <si>
    <t>Distributions - TIC 10 - Gregory K. &amp; Meredyth L. Young</t>
  </si>
  <si>
    <t>Distributions - TIC 10 - Hadi Ghafouri</t>
  </si>
  <si>
    <t>Distributions - TIC 10 - Robert A. &amp; Marilyn G. Steele</t>
  </si>
  <si>
    <t>Distributions - TIC 10 - Paul A. &amp; Diane M. Clemmensen</t>
  </si>
  <si>
    <t>Distributions - TIC 11 - David S. Choo</t>
  </si>
  <si>
    <t>Distributions - TIC 11 - Jay W. Farley</t>
  </si>
  <si>
    <t>Distributions - TIC 11 - Robert A. Good</t>
  </si>
  <si>
    <t>Distributions - TIC 11 - Robert H. Wulf Trustee</t>
  </si>
  <si>
    <t>Distributions - TIC 11 - Arleigh R. &amp; Diane M. Kerr</t>
  </si>
  <si>
    <t>Distributions - TIC 12 - Frank L. &amp; Charlene J.Constantino</t>
  </si>
  <si>
    <t>Distributions - TIC 12 - John Owen &amp; Barbara Jean Jones Tru</t>
  </si>
  <si>
    <t>Distributions - TIC 12 - The Keller Family Trust</t>
  </si>
  <si>
    <t>Distributions - TIC 12 - Gregory Alan Lindell</t>
  </si>
  <si>
    <t>Distributions - TIC 13 - Charlene K. Getz</t>
  </si>
  <si>
    <t>Distributions - TIC 13 - Goroco Inc.-Dennis B. Royal c/o Lor</t>
  </si>
  <si>
    <t>Distributions - TIC 13 - Sadler Living Trust - Mary Miller S</t>
  </si>
  <si>
    <t>Distributions - TIC 13 - Gerhard D. &amp; Mary C. Muerle</t>
  </si>
  <si>
    <t>Distributions - TIC 14 - Anthony &amp; Maria Maxwell</t>
  </si>
  <si>
    <t>Distributions - TIC 14 - Dennis P. Straford</t>
  </si>
  <si>
    <t>Distributions - TIC 14 - Gino &amp; Brenda Gaspari</t>
  </si>
  <si>
    <t>Distributions - TIC 14 - Nadine Grosso</t>
  </si>
  <si>
    <t>Distributions - TIC 14 - Ted &amp; Yvonne Neal Trustees</t>
  </si>
  <si>
    <t>Distributions - TIC 15 - David L. Cummings &amp; Janet L. Self</t>
  </si>
  <si>
    <t>Distributions - TIC 15 - David W. &amp; Mai P. Guerdat Trustee</t>
  </si>
  <si>
    <t>Distributions - TIC 15 - Livingston Holdings LLC</t>
  </si>
  <si>
    <t>Distributions - TIC 15 - Mary Ellen Morrow Living Trust</t>
  </si>
  <si>
    <t>Distributions - TIC 15 - Timothy E. Roberts</t>
  </si>
  <si>
    <t>Distributions - TIC 16 - Dolores Heeb Trustee (D.E.H. Trust</t>
  </si>
  <si>
    <t>Distributions - TIC 16 - Peeranant &amp; Chaveang Rat</t>
  </si>
  <si>
    <t>Distributions - TIC 16 - Peters Family Trust-Leroy C. &amp; Erna</t>
  </si>
  <si>
    <t>Distributions - TIC 16 - The Nancy E. Morrow Living Trust</t>
  </si>
  <si>
    <t>Distributions - TIC 16 - Frank R Randall Living Trust</t>
  </si>
  <si>
    <t>Distributions - TIC 17 - Howard C. &amp; June M. Hubbard Truste</t>
  </si>
  <si>
    <t>Distributions - TIC 17 - Rima Associates Inc.</t>
  </si>
  <si>
    <t>Distributions - TIC 17 - Steele Family Trust - Robert A. &amp; M</t>
  </si>
  <si>
    <t>Distributions - TIC 17 - The Joan M. Paulin 2000 Living Trus</t>
  </si>
  <si>
    <t>Distributions - TIC 17 - J.L. &amp; Shirley L. Bryan</t>
  </si>
  <si>
    <t>Distributions - TIC 18 - Biscay Family Trust-Richard C. &amp; Br</t>
  </si>
  <si>
    <t>Distributions - TIC 18 - George H. &amp; Sandra S. Kimber</t>
  </si>
  <si>
    <t>Distributions - TIC 18 - Marjorie Leaming</t>
  </si>
  <si>
    <t>Distributions - TIC 18 - Joseph Ryan Cavalletto</t>
  </si>
  <si>
    <t>Distributions - TIC 19 - Michael G. Phelps</t>
  </si>
  <si>
    <t>Distributions - TIC 19 - Michael T. &amp; Charlotte M. Ledbetter</t>
  </si>
  <si>
    <t>Distributions - TIC 19 - Mittman Associates Inc - Ellen S.</t>
  </si>
  <si>
    <t>Distributions - TIC 19 - ZEV Corp. Claire Slobodski Presid</t>
  </si>
  <si>
    <t>Distributions - TIC 19 - Nathaniel Ryan Cavalletto</t>
  </si>
  <si>
    <t>Distributions - TIC 20 - Declar of Trust of Garfield</t>
  </si>
  <si>
    <t>Distributions - TIC 20 - Dexter K. Lee</t>
  </si>
  <si>
    <t>Distributions - TIC 20 - Man Bun Wong</t>
  </si>
  <si>
    <t>Distributions - TIC 20 - Steven M. &amp; Joan W. Feleay</t>
  </si>
  <si>
    <t>Distributions - TIC 21 - King &amp; Associates LLC - Elizabeth</t>
  </si>
  <si>
    <t>Distributions - TIC 21 - Patricia McGrath Lott Trustee</t>
  </si>
  <si>
    <t>Distributions - TIC 21 - Thomas K. &amp; Elise S. Pomerantz Watz</t>
  </si>
  <si>
    <t>Distributions - TIC 21 - Donald &amp; Elaine Mahaffey</t>
  </si>
  <si>
    <t>Distributions - TIC 22 - Chooch &amp; Son LLC - Richard R. Batt</t>
  </si>
  <si>
    <t>Distributions - TIC 22 - Gary J. Gray</t>
  </si>
  <si>
    <t>Distributions - TIC 22 - Webb B. Morrow Jr. Trustee</t>
  </si>
  <si>
    <t>Distributions - TIC 22 - James Tazwell &amp; Nicole Morrow</t>
  </si>
  <si>
    <t>Distributions - TIC 23 - Sakoda Family L.P. James H. Sakoda</t>
  </si>
  <si>
    <t>Distributions - TIC 23 - Sunny Prospect LLC - Katherine L.</t>
  </si>
  <si>
    <t>Distributions - TIC 23 - Supino Realty Trust - John Supino</t>
  </si>
  <si>
    <t>Distributions - TIC 24 - Larry J. Samarron &amp; Ceslynn F. Rega</t>
  </si>
  <si>
    <t>Distributions - TIC 24 - Thomas F. Scheidt</t>
  </si>
  <si>
    <t>Distributions - TIC 24 - Robert &amp; Hiyam Abbo Van der Wilde</t>
  </si>
  <si>
    <t>Distributions - TIC 25 - Imran Syed</t>
  </si>
  <si>
    <t>Distributions - TIC 25 - Jerome Ettinger Living Trust - Jero</t>
  </si>
  <si>
    <t>Distributions - TIC 25 - Giuseppe &amp; Constance Alongi</t>
  </si>
  <si>
    <t>Distributions - TIC 26 - Ellen B. Friedman</t>
  </si>
  <si>
    <t>Distributions - TIC 26 - Stewart's Body Shop Inc. - Jerry L.</t>
  </si>
  <si>
    <t>Distributions - TIC 26 - James H. &amp; Carol L. Brown</t>
  </si>
  <si>
    <t>Distributions - TIC 27 - Donald J. &amp; Theresa F. Rago</t>
  </si>
  <si>
    <t>Distributions - TIC 27 - William B. Wylie Trustee</t>
  </si>
  <si>
    <t>Distributions - TIC 27 - Donald &amp; Barbara Burklew</t>
  </si>
  <si>
    <t>Distributions - TIC 28 - Bryan &amp; Genevieve H. Chapman Trust</t>
  </si>
  <si>
    <t>Distributions - TIC 28 - William J. DeMarkey Trustee</t>
  </si>
  <si>
    <t>Distributions - TIC 28 - Isras Chatkeon &amp; Rasamee Chatkeonpa</t>
  </si>
  <si>
    <t>Distributions - TIC 29 - Helena Growth Inc. Helena Pai Pre</t>
  </si>
  <si>
    <t>Distributions - TIC 29 - Shelger Family Trust - Kurt S. &amp; Sh</t>
  </si>
  <si>
    <t>Distributions - TIC 29 - Steven B. John &amp; Nancy Brayton - Jo</t>
  </si>
  <si>
    <t>Distributions - TIC 30 - John Wiley Lauterbach Trustee</t>
  </si>
  <si>
    <t>Distributions - TIC 30 - Shirley Shelger Trust - Shirley She</t>
  </si>
  <si>
    <t>Distributions - TIC 30 - Los Alamos LLC - Walter &amp; Vivian W</t>
  </si>
  <si>
    <t>Distributions - TIC 31 - Jacob Hildebrandt</t>
  </si>
  <si>
    <t>Distributions - TIC 31 - John F. and Marie T. Logan Trustee</t>
  </si>
  <si>
    <t>Distributions - TIC 31 - Jose Jesus Perez &amp; Maria Angela Mun</t>
  </si>
  <si>
    <t>Distributions - TIC 32 - Steven Douglas &amp; Lisa Elizabeth Smi</t>
  </si>
  <si>
    <t>Distributions - TIC 32 - William C. &amp; Diane Kennedy Mathers</t>
  </si>
  <si>
    <t>Distributions - TIC 32 - Jerome I. &amp; Helen M. Steinman</t>
  </si>
  <si>
    <t>Distributions - TIC 33 - Canal 8 LLC-Stephen Ramich &amp; Thoma</t>
  </si>
  <si>
    <t>Distributions - TIC 33 - North State Mini Marts Inc. - Howa</t>
  </si>
  <si>
    <t>Distributions - TIC 33 - Doris W. Tilmont</t>
  </si>
  <si>
    <t>Distributions - TIC 34 - Passco Four Winds S LLC (P.C. LLC</t>
  </si>
  <si>
    <t>Distributions - TIC 34 - Passco Raveneaux H LLC</t>
  </si>
  <si>
    <t>Distributions - TIC 35 - Passco Four Winds R LLC (REIT) (4.</t>
  </si>
  <si>
    <t>Distributions - TIC 35 - Passco Raveneaux S LLC</t>
  </si>
  <si>
    <t>Distributions - TIC 36 - Passco Four Winds R LLC (REIT) (6.</t>
  </si>
  <si>
    <t>Distribution - GS Coinvest</t>
  </si>
  <si>
    <t>Distribution - GS Associates</t>
  </si>
  <si>
    <t>Distributions - GE</t>
  </si>
  <si>
    <t>Distributions - AIG</t>
  </si>
  <si>
    <t>Distributions - Met Life</t>
  </si>
  <si>
    <t>Distributions - BlackRock</t>
  </si>
  <si>
    <t>Distributions - Buchanan</t>
  </si>
  <si>
    <t>Distributions - Carlyle</t>
  </si>
  <si>
    <t>Distributions - Greystar Investment Group</t>
  </si>
  <si>
    <t>Distributions - GSREP</t>
  </si>
  <si>
    <t>Distributions - Fund III Investors</t>
  </si>
  <si>
    <t>Accrual Preference</t>
  </si>
  <si>
    <t>Contra Preference</t>
  </si>
  <si>
    <t>Deferred Units</t>
  </si>
  <si>
    <t>Retained Earnings</t>
  </si>
  <si>
    <t>Current Year Earnings</t>
  </si>
  <si>
    <t>Prior Year Tax Adjustments</t>
  </si>
  <si>
    <t>Prior Year Adjustments</t>
  </si>
  <si>
    <t>Unrealized Gain</t>
  </si>
  <si>
    <t>Foreign Currency Translation Adjustments</t>
  </si>
  <si>
    <t>Non-Deductible Items</t>
  </si>
  <si>
    <t>Syndication costs</t>
  </si>
  <si>
    <t>Syndication costs - Placement fees</t>
  </si>
  <si>
    <t>Non-Controlling Interests</t>
  </si>
  <si>
    <t>INCOME</t>
  </si>
  <si>
    <t>Rental Income - Residential</t>
  </si>
  <si>
    <t>Market Rent</t>
  </si>
  <si>
    <t>Market Rent - Furnished</t>
  </si>
  <si>
    <t>Base Rent</t>
  </si>
  <si>
    <t>Prior Period Rent Adjustment</t>
  </si>
  <si>
    <t>Base Rent Vatable Reduced Rate - (EU Only)</t>
  </si>
  <si>
    <t>Rent Premiums</t>
  </si>
  <si>
    <t>HAP Rent</t>
  </si>
  <si>
    <t>Section 8 Rent</t>
  </si>
  <si>
    <t>Subsidy Rent</t>
  </si>
  <si>
    <t>Excess Income</t>
  </si>
  <si>
    <t>Gain / Loss To Lease</t>
  </si>
  <si>
    <t>Gain to Lease (Do Not Use)</t>
  </si>
  <si>
    <t>Loss to Lease</t>
  </si>
  <si>
    <t>Loss to Lease - Furnished</t>
  </si>
  <si>
    <t>Down Unit Loss</t>
  </si>
  <si>
    <t>Controlled Rent Loss</t>
  </si>
  <si>
    <t>Stabilized Rent Loss (Do Not Use)</t>
  </si>
  <si>
    <t>Preferential Rent Credit</t>
  </si>
  <si>
    <t>Retail Income</t>
  </si>
  <si>
    <t>Takeover / Prorated Rents</t>
  </si>
  <si>
    <t>August Installment (Do Not Use)</t>
  </si>
  <si>
    <t>Other Rental Income - Residential</t>
  </si>
  <si>
    <t>Res. Rent Concessions</t>
  </si>
  <si>
    <t>One-Time Concessions</t>
  </si>
  <si>
    <t>Renewal Concessions</t>
  </si>
  <si>
    <t>Recurring Concessions</t>
  </si>
  <si>
    <t>Preferred Employer Discount</t>
  </si>
  <si>
    <t>Subsidy / HAP Rent Credit</t>
  </si>
  <si>
    <t>Lease Concessions - Gift Cards</t>
  </si>
  <si>
    <t>HUD Utility Reimbursements</t>
  </si>
  <si>
    <t>Construction Concession</t>
  </si>
  <si>
    <t>Vacancy Loss</t>
  </si>
  <si>
    <t>Vacancy Loss - Furnished(Do Not Use)</t>
  </si>
  <si>
    <t>Vacancy Loss - Down / Rehab</t>
  </si>
  <si>
    <t>Vacancy Loss - Rehab / Not Leased(Do Not Use)</t>
  </si>
  <si>
    <t>Employee Units</t>
  </si>
  <si>
    <t>Courtesy Officer Units</t>
  </si>
  <si>
    <t>Model &amp; Storage Units</t>
  </si>
  <si>
    <t>Office Units</t>
  </si>
  <si>
    <t>Guest Suite</t>
  </si>
  <si>
    <t>Accelerated Rent</t>
  </si>
  <si>
    <t>Delinquent Rent</t>
  </si>
  <si>
    <t>Prepaid HAP Rent</t>
  </si>
  <si>
    <t>Prepaid Subsidy Rent</t>
  </si>
  <si>
    <t>Bad Debt - Rent</t>
  </si>
  <si>
    <t>Bad Debt - Payment Plan</t>
  </si>
  <si>
    <t>Bad Debt - Accelerated Rent</t>
  </si>
  <si>
    <t>Bad Debt - Allowance</t>
  </si>
  <si>
    <t>Bad Debt Recovery - Rent</t>
  </si>
  <si>
    <t>Tax Recovery</t>
  </si>
  <si>
    <t>Insurance Recovery</t>
  </si>
  <si>
    <t>Summer Camp Revenue</t>
  </si>
  <si>
    <t>Corporate Housing Income</t>
  </si>
  <si>
    <t>Corporate Unit Premiums</t>
  </si>
  <si>
    <t>Corporate Unit Vacancy</t>
  </si>
  <si>
    <t>Corporate Unit Furnishings</t>
  </si>
  <si>
    <t>Corporate Unit Utilities</t>
  </si>
  <si>
    <t>Corporate Unit Housekeeping/Linen Service</t>
  </si>
  <si>
    <t>Corporate Unit Market Rent</t>
  </si>
  <si>
    <t>Corporate Unit Market RentContra Account</t>
  </si>
  <si>
    <t>Corporate Unit Other</t>
  </si>
  <si>
    <t>Corporate Unit Damages</t>
  </si>
  <si>
    <t>Corporate Unit Short Term Premiums</t>
  </si>
  <si>
    <t>Corporate Unit Incentives</t>
  </si>
  <si>
    <t>Rental Income - Commercial</t>
  </si>
  <si>
    <t>Market Rent - Commercial</t>
  </si>
  <si>
    <t>Base Rent - Commercial</t>
  </si>
  <si>
    <t>Market Rent - Commercial Furnished</t>
  </si>
  <si>
    <t>Base Rent - Commercial Furnished (Do Not Use)</t>
  </si>
  <si>
    <t>Grocery</t>
  </si>
  <si>
    <t>Restaurant</t>
  </si>
  <si>
    <t>Bank</t>
  </si>
  <si>
    <t>Fitness</t>
  </si>
  <si>
    <t>Other Rental Income - Commercial</t>
  </si>
  <si>
    <t>Commercial-Service Charge (Do Not Use)</t>
  </si>
  <si>
    <t>Roof Rent - Commercial</t>
  </si>
  <si>
    <t>Percentage Rent - Commercial</t>
  </si>
  <si>
    <t>Cell Tower Income - Commercial</t>
  </si>
  <si>
    <t>Rent Concessions - Commercial</t>
  </si>
  <si>
    <t>Turnover Rent Income</t>
  </si>
  <si>
    <t>Vacancy Loss - Commercial</t>
  </si>
  <si>
    <t>Delinquent Rent - Commercial</t>
  </si>
  <si>
    <t>Prepaid - Commercial</t>
  </si>
  <si>
    <t>Prior Year Delinquent Rent - Commercial</t>
  </si>
  <si>
    <t>Prior Year Prepaid Rent - Commercial</t>
  </si>
  <si>
    <t>Bad Debt - Commercial</t>
  </si>
  <si>
    <t>S/L Rent Adjustment - Commercial</t>
  </si>
  <si>
    <t>Other Rent Revenue - Commercial</t>
  </si>
  <si>
    <t>Signage Revenue - Commercial</t>
  </si>
  <si>
    <t>Parking Income - Commercial</t>
  </si>
  <si>
    <t>Other Income - Residential</t>
  </si>
  <si>
    <t>Access Gate Remote Income</t>
  </si>
  <si>
    <t>Additional Occupant Fee</t>
  </si>
  <si>
    <t>Administrative Fees</t>
  </si>
  <si>
    <t>Alarm Income</t>
  </si>
  <si>
    <t>Application Fees</t>
  </si>
  <si>
    <t>Application Fees - Guarantor</t>
  </si>
  <si>
    <t>Appliance Income</t>
  </si>
  <si>
    <t>Assignment Fees</t>
  </si>
  <si>
    <t>Bad Debt - Other Income</t>
  </si>
  <si>
    <t>Bad Debt - Liquidated Damages</t>
  </si>
  <si>
    <t>Bad Debt - Lease Termination Fees</t>
  </si>
  <si>
    <t>Bad Debt Recovery - Other Income</t>
  </si>
  <si>
    <t>Bedding &amp; Kitchen Packs - Student</t>
  </si>
  <si>
    <t>Beauty / Spa Income</t>
  </si>
  <si>
    <t>Bike Rental Income</t>
  </si>
  <si>
    <t>Boat Slips</t>
  </si>
  <si>
    <t>Cable TV Commissions</t>
  </si>
  <si>
    <t>Cable TV Commission - Upfront / Bulk</t>
  </si>
  <si>
    <t>Car Services</t>
  </si>
  <si>
    <t>Carport Income</t>
  </si>
  <si>
    <t>Club Room Rental Fees</t>
  </si>
  <si>
    <t>Community Fees</t>
  </si>
  <si>
    <t>Concierge Services</t>
  </si>
  <si>
    <t>Res Credit Builder Program</t>
  </si>
  <si>
    <t>Res Credit Building Program Rebill</t>
  </si>
  <si>
    <t>Credit Card Fee</t>
  </si>
  <si>
    <t>Subscription Income</t>
  </si>
  <si>
    <t>Damages</t>
  </si>
  <si>
    <t>Liquidated Damages</t>
  </si>
  <si>
    <t>Deposit Forfeitures</t>
  </si>
  <si>
    <t>Early Move in Fees</t>
  </si>
  <si>
    <t>Dual Occupancy Fee (EU Only)</t>
  </si>
  <si>
    <t>Electric Commissions</t>
  </si>
  <si>
    <t>Eviction Fees</t>
  </si>
  <si>
    <t>Filming Income-TV/Movies</t>
  </si>
  <si>
    <t>Furniture Rental - Office</t>
  </si>
  <si>
    <t>Furniture Rental - Units</t>
  </si>
  <si>
    <t>Garage Income</t>
  </si>
  <si>
    <t>Hourly Garage Parking</t>
  </si>
  <si>
    <t>Guest Services</t>
  </si>
  <si>
    <t>Guest Suite Income</t>
  </si>
  <si>
    <t>HOA Assessments</t>
  </si>
  <si>
    <t>HOA Special Assessment</t>
  </si>
  <si>
    <t>HOA Working Capital</t>
  </si>
  <si>
    <t>HOA Fees Reimbursement</t>
  </si>
  <si>
    <t>HOA Reserve Contribution</t>
  </si>
  <si>
    <t>Fines</t>
  </si>
  <si>
    <t>Developer Subsidy</t>
  </si>
  <si>
    <t>Insufficient Notice Fees</t>
  </si>
  <si>
    <t>Interest Income</t>
  </si>
  <si>
    <t>Interest - Escrows</t>
  </si>
  <si>
    <t>Interest - Overnight Investments</t>
  </si>
  <si>
    <t>Interest Paid - Security Deposits</t>
  </si>
  <si>
    <t>Late Charge Fees</t>
  </si>
  <si>
    <t>Late Charges Furniture - Mexico Only (Do Not Use)</t>
  </si>
  <si>
    <t>Late Charges Parking - Mexico Only (Do Not Use)</t>
  </si>
  <si>
    <t>Laundry Collections</t>
  </si>
  <si>
    <t>Lease Cancellation Fee</t>
  </si>
  <si>
    <t>Lease Satisfaction Guaranty</t>
  </si>
  <si>
    <t>Legal Fees</t>
  </si>
  <si>
    <t>Liability Insurance Fees</t>
  </si>
  <si>
    <t>Lifeguard Income</t>
  </si>
  <si>
    <t>Lockout Services Fee Income</t>
  </si>
  <si>
    <t>Locks / Key Income</t>
  </si>
  <si>
    <t>Room Cleaning (EU Only)</t>
  </si>
  <si>
    <t>Express Move Out Cleaning Income</t>
  </si>
  <si>
    <t>Housekeeper Service</t>
  </si>
  <si>
    <t>Maintenance Fee</t>
  </si>
  <si>
    <t>Meal Services - Guests - DO NOT USE</t>
  </si>
  <si>
    <t>Meal Services - Residents - DO NOT USE</t>
  </si>
  <si>
    <t>Month-to-Month Premiums</t>
  </si>
  <si>
    <t>NSF Fees</t>
  </si>
  <si>
    <t>Package Concierge/Locker Income</t>
  </si>
  <si>
    <t>Non-resident Parking Income</t>
  </si>
  <si>
    <t>Parking / Carport Income</t>
  </si>
  <si>
    <t>Parking Income with VAT (EU Only)</t>
  </si>
  <si>
    <t>Parking / Carport Concession</t>
  </si>
  <si>
    <t>Reserved Parking Income</t>
  </si>
  <si>
    <t>Pet Care</t>
  </si>
  <si>
    <t>Pet Fees - Non-Refundable</t>
  </si>
  <si>
    <t>Pet Rent</t>
  </si>
  <si>
    <t>Refurbishing Fees</t>
  </si>
  <si>
    <t>Reletting Fee / Accelerated Rent</t>
  </si>
  <si>
    <t>Resident Host Income</t>
  </si>
  <si>
    <t>Airbnb Resident Hosting Income</t>
  </si>
  <si>
    <t>Renter's Insurance Fees</t>
  </si>
  <si>
    <t>Satellite / Internet Fees</t>
  </si>
  <si>
    <t>SCEP Fee</t>
  </si>
  <si>
    <t>Security Deposit Waiver Fee</t>
  </si>
  <si>
    <t>Short Term Premiums</t>
  </si>
  <si>
    <t>Smart Tech Income</t>
  </si>
  <si>
    <t>Smoker's Fee</t>
  </si>
  <si>
    <t>Storage Rent</t>
  </si>
  <si>
    <t>Storage Income - Wine</t>
  </si>
  <si>
    <t>TRS Storage/Bike Cages</t>
  </si>
  <si>
    <t>Sublet Fee</t>
  </si>
  <si>
    <t>Sundries Shop Income</t>
  </si>
  <si>
    <t>Tax Surcharge</t>
  </si>
  <si>
    <t>Telephone Commissions</t>
  </si>
  <si>
    <t>Transfer Fee</t>
  </si>
  <si>
    <t>Transportation Fee Income</t>
  </si>
  <si>
    <t>TRS Income - Markup</t>
  </si>
  <si>
    <t>Cable Rebill</t>
  </si>
  <si>
    <t>Electric Rebill</t>
  </si>
  <si>
    <t>Gas Rebill</t>
  </si>
  <si>
    <t>Utility Reimbursement</t>
  </si>
  <si>
    <t>Pest Control Rebill</t>
  </si>
  <si>
    <t>Trash Rebill</t>
  </si>
  <si>
    <t>Trash Remove Rebill-Door to Door Pickup</t>
  </si>
  <si>
    <t>Stockwell/Vending Income</t>
  </si>
  <si>
    <t>ATM Fee Income</t>
  </si>
  <si>
    <t>Vendor Rebates</t>
  </si>
  <si>
    <t>Washer / Dryer Rental Income</t>
  </si>
  <si>
    <t>Washer / Dryer Concession</t>
  </si>
  <si>
    <t>Utility Set Up / Admin Fee</t>
  </si>
  <si>
    <t>Building Sales Proceeds</t>
  </si>
  <si>
    <t>Gain on Sale</t>
  </si>
  <si>
    <t>Prior Month Rent Charges</t>
  </si>
  <si>
    <t>Miscellaneous Income</t>
  </si>
  <si>
    <t>Miscellaneous Income 2nd</t>
  </si>
  <si>
    <t>Passthru Income</t>
  </si>
  <si>
    <t>Passthru-Painting-Parkmerced (Do not Use)</t>
  </si>
  <si>
    <t>Passthru-Roofing-Parkmerced (Do not Use)</t>
  </si>
  <si>
    <t>Passthru-Piping-Parkmerced (Do not Use)</t>
  </si>
  <si>
    <t>Passthru-Tower Renovation-Parkmerced (Do not Use)</t>
  </si>
  <si>
    <t>Passthru-Utility-Parkmerced (Do not Use)</t>
  </si>
  <si>
    <t>Other Income - Commercial</t>
  </si>
  <si>
    <t>CAM Reimbursement - Commercial</t>
  </si>
  <si>
    <t>CAM Reimbursement - Estimated</t>
  </si>
  <si>
    <t>CAM Reimbursement - Reconciliation</t>
  </si>
  <si>
    <t>CAM/Maint Income - Retail</t>
  </si>
  <si>
    <t>Bad Debt - CAM - Commercial</t>
  </si>
  <si>
    <t>Real Estate Tax Reimbursement - Commercial</t>
  </si>
  <si>
    <t>Sales Tax - Commercial(Do Not Use)</t>
  </si>
  <si>
    <t>Insurance Reimbursement - Commercial</t>
  </si>
  <si>
    <t>Insurance Reimbursement - Admin Recovery(Do Not Use)</t>
  </si>
  <si>
    <t>Escalations - Commercial(Do Not Use)</t>
  </si>
  <si>
    <t>Prior Year Recovery - Commercial</t>
  </si>
  <si>
    <t>Tenant Improvement Reimbursement - Commercial</t>
  </si>
  <si>
    <t>Maintenance Reimbursements - Commercial</t>
  </si>
  <si>
    <t>Utility Reimb. - Commercial</t>
  </si>
  <si>
    <t>Late Fees - Commercial</t>
  </si>
  <si>
    <t>Retail Storage Income</t>
  </si>
  <si>
    <t>Leasing Commissions(Do Not Use)</t>
  </si>
  <si>
    <t>Food Service - Full Service / Meal</t>
  </si>
  <si>
    <t>Food Service - Guest Meals</t>
  </si>
  <si>
    <t>Food Service - Resident Vouchers</t>
  </si>
  <si>
    <t>Food Service - Catering</t>
  </si>
  <si>
    <t>Misc. Income - Commercial</t>
  </si>
  <si>
    <t>EXPENSES</t>
  </si>
  <si>
    <t>Payroll &amp; Benefits</t>
  </si>
  <si>
    <t>Senior Manager</t>
  </si>
  <si>
    <t>Management - Salaries</t>
  </si>
  <si>
    <t>Assistant Management - Salaries</t>
  </si>
  <si>
    <t>Leasing Manager</t>
  </si>
  <si>
    <t>CSA Salaries</t>
  </si>
  <si>
    <t>Gym Staff</t>
  </si>
  <si>
    <t>Leasing - Salaries</t>
  </si>
  <si>
    <t>Leasing  Overtime</t>
  </si>
  <si>
    <t>Concierge - Salaries</t>
  </si>
  <si>
    <t>Other Admin Salaries</t>
  </si>
  <si>
    <t>Maintenance - Salaries</t>
  </si>
  <si>
    <t>Assistant Maintenance - Salaries</t>
  </si>
  <si>
    <t>Grounds - Salaries</t>
  </si>
  <si>
    <t>Maintenance Salaries  Other</t>
  </si>
  <si>
    <t>Housekeeper - Salaries</t>
  </si>
  <si>
    <t>Painter Salaries</t>
  </si>
  <si>
    <t>Drivers - Salaries</t>
  </si>
  <si>
    <t>Courtesy / Patrol / Security Officer - Salaries</t>
  </si>
  <si>
    <t>Payroll Taxes</t>
  </si>
  <si>
    <t>401k Contributions</t>
  </si>
  <si>
    <t>Workers Compensation</t>
  </si>
  <si>
    <t>Employee Burden</t>
  </si>
  <si>
    <t>Payroll Administrative Expense</t>
  </si>
  <si>
    <t>Group Insurance</t>
  </si>
  <si>
    <t>Corp Salary Allocation - Central Sales - (EU Only)</t>
  </si>
  <si>
    <t>Corp Salary Allocation - Group Sales - (EU Only)</t>
  </si>
  <si>
    <t>Corp Salary Allocation - Marketing - (EU Only)</t>
  </si>
  <si>
    <t>Corp Salary Allocation - Graphic Design - (EU Only)</t>
  </si>
  <si>
    <t>Corp Salary Allocation - Social Media - (EU Only)</t>
  </si>
  <si>
    <t>Corp Salary Allocation - Digital Marketing - (EU Only)</t>
  </si>
  <si>
    <t>Corp Salary Allocation - Public Relations - (EU Only)</t>
  </si>
  <si>
    <t>Centralization Fees - Resource Center</t>
  </si>
  <si>
    <t>Contract Staffing - Admin</t>
  </si>
  <si>
    <t>Contract Staffing - Maintenance</t>
  </si>
  <si>
    <t>Payroll Reimbursement</t>
  </si>
  <si>
    <t>Tuition Reimbursement</t>
  </si>
  <si>
    <t>Union Benefits</t>
  </si>
  <si>
    <t>General Maintenance Expense</t>
  </si>
  <si>
    <t>Repairs &amp; Maintenance</t>
  </si>
  <si>
    <t>Access Gate Expense</t>
  </si>
  <si>
    <t>Animal/Pest Control Supplies</t>
  </si>
  <si>
    <t>Appliance Repairs</t>
  </si>
  <si>
    <t>Backflow Inspections</t>
  </si>
  <si>
    <t>Boiler Repairs</t>
  </si>
  <si>
    <t>Cabinet &amp; Closet Repairs / Supplies</t>
  </si>
  <si>
    <t>Carpet Cleaning Repairs - Occupied</t>
  </si>
  <si>
    <t>Cleaning &amp; Supplies</t>
  </si>
  <si>
    <t>Common Area Repairs</t>
  </si>
  <si>
    <t>Compactor Repairs/Maintenance</t>
  </si>
  <si>
    <t>Dog Park/Washing Station</t>
  </si>
  <si>
    <t>Door Repair / Replacement</t>
  </si>
  <si>
    <t>Electrical Supplies / Repairs</t>
  </si>
  <si>
    <t>Elevator Repairs</t>
  </si>
  <si>
    <t>Equipment Supplies &amp; Repairs</t>
  </si>
  <si>
    <t>Exterior Paint Maintenance</t>
  </si>
  <si>
    <t>Exterior Wall / Fence Repair</t>
  </si>
  <si>
    <t>Exterior Window Cleaning</t>
  </si>
  <si>
    <t>Interior Paint / Wallpaper</t>
  </si>
  <si>
    <t>Fireplace Repair</t>
  </si>
  <si>
    <t>Fuel &amp; Propane</t>
  </si>
  <si>
    <t>Garage Repairs &amp; Maintenance</t>
  </si>
  <si>
    <t>Garbage Disposals</t>
  </si>
  <si>
    <t>Hazardous Materials Removal</t>
  </si>
  <si>
    <t>Gutters</t>
  </si>
  <si>
    <t>HVAC Supplies / Repairs</t>
  </si>
  <si>
    <t>HVAC Maintenance / Repairs</t>
  </si>
  <si>
    <t>Interior Plant Maintenance</t>
  </si>
  <si>
    <t>Intrusion Alarm Supplies / Repairs</t>
  </si>
  <si>
    <t>Landscape Supplies &amp; Maintenance</t>
  </si>
  <si>
    <t>Lighting Supplies / Repairs</t>
  </si>
  <si>
    <t>Locks &amp; Keys</t>
  </si>
  <si>
    <t>Mechanic Installation</t>
  </si>
  <si>
    <t>Painting Supplies</t>
  </si>
  <si>
    <t>Parking Lot Maint / Repairs</t>
  </si>
  <si>
    <t>Plumbing Supplies / Repairs</t>
  </si>
  <si>
    <t>Preventative Maintenance</t>
  </si>
  <si>
    <t>Property Auto - Repairs / Maint</t>
  </si>
  <si>
    <t>Property Auto - Gas / Oil</t>
  </si>
  <si>
    <t>Retention Pond Maintenance</t>
  </si>
  <si>
    <t>Re-Inspection</t>
  </si>
  <si>
    <t>Roof Supplies / Repairs</t>
  </si>
  <si>
    <t>(PV) Panels</t>
  </si>
  <si>
    <t>Radios (Do Not Use)</t>
  </si>
  <si>
    <t>Pest Control - UK (EU Only)</t>
  </si>
  <si>
    <t>Trash Removal - (EU Only)</t>
  </si>
  <si>
    <t>Safety &amp; Fire Supplies / Maint</t>
  </si>
  <si>
    <t>Safety &amp; Fire - CO2 Alarms</t>
  </si>
  <si>
    <t>Hydrofoor Installation (EU Only)</t>
  </si>
  <si>
    <t>Signage Supplies / Repairs</t>
  </si>
  <si>
    <t>Small Tools &amp; Equipment</t>
  </si>
  <si>
    <t>Smart Tech Supplies/Repairs</t>
  </si>
  <si>
    <t>Sprinkler / Irrigation Supplies / Repairs</t>
  </si>
  <si>
    <t>Union Labor- R&amp;M</t>
  </si>
  <si>
    <t>Vinyl / Tile Repairs - Occupied</t>
  </si>
  <si>
    <t>Water Feature Maintenance</t>
  </si>
  <si>
    <t>Water Penetration Repairs</t>
  </si>
  <si>
    <t>Window / Screen / Glass Repair</t>
  </si>
  <si>
    <t>Miscellaneous Supplies / Repairs</t>
  </si>
  <si>
    <t>Miscellaneous R&amp;M Reimbursement</t>
  </si>
  <si>
    <t>Routine Replacement (Do Not Use)</t>
  </si>
  <si>
    <t>Access Gates (Do Not Use)</t>
  </si>
  <si>
    <t>Appliances (Do Not Use)</t>
  </si>
  <si>
    <t>Appliances - Dishwashers (Do Not Use)</t>
  </si>
  <si>
    <t>Appliances - Garbage Disposals (Do Not Use)</t>
  </si>
  <si>
    <t>Appliances - Refrigerators (Do Not Use)</t>
  </si>
  <si>
    <t>Appliances - Stoves / Microwaves (Do Not Use)</t>
  </si>
  <si>
    <t>Appliances - Washers / Dryers (Do Not Use)</t>
  </si>
  <si>
    <t>Appliances - Water Heaters (Do Not Use)</t>
  </si>
  <si>
    <t>Building - Exterior (Do Not Use)</t>
  </si>
  <si>
    <t>Building - Interior (Do Not Use)</t>
  </si>
  <si>
    <t>Carpets (Do Not Use)</t>
  </si>
  <si>
    <t>Computer Hardware / Software (Do Not Use)</t>
  </si>
  <si>
    <t>Concrete Work (Do Not Use)</t>
  </si>
  <si>
    <t>Golf Carts / Vehicles (Do Not Use)</t>
  </si>
  <si>
    <t>HVAC (Do Not Use)</t>
  </si>
  <si>
    <t>Landscaping (Do Not Use)</t>
  </si>
  <si>
    <t>Licenses &amp; Fees (Do Not Use)</t>
  </si>
  <si>
    <t>Mini-Blinds / Drapes (Do Not Use)</t>
  </si>
  <si>
    <t>Plumbing (Do Not Use)</t>
  </si>
  <si>
    <t>Vinyl / Tile (Do Not Use)</t>
  </si>
  <si>
    <t>Miscellaneous Routine Replacements (Do Not Use)</t>
  </si>
  <si>
    <t>Student Turnover Expense</t>
  </si>
  <si>
    <t>Student Turnover - Appliance Repair</t>
  </si>
  <si>
    <t>Student Turnover - Carpet Cleaning</t>
  </si>
  <si>
    <t>Student Turnover - Carpet Reimbursement</t>
  </si>
  <si>
    <t>Student Turnover - Carpet Replacement</t>
  </si>
  <si>
    <t>Student Turnover - General Cleaning</t>
  </si>
  <si>
    <t>Student Turnover - Gen. Cleaning Reimbursement</t>
  </si>
  <si>
    <t>Student Turnover - Interior Paint</t>
  </si>
  <si>
    <t>Student Turnover - Interior Paint Reimbursement</t>
  </si>
  <si>
    <t>Student Turnover - Interior Light Bulb</t>
  </si>
  <si>
    <t>Student Turnover - Interior Repairs</t>
  </si>
  <si>
    <t>Student Turnover - Int. Repairs Reimbursement</t>
  </si>
  <si>
    <t>Student Turnover - Locks / Keys</t>
  </si>
  <si>
    <t>Student Turnover - Window Coverings</t>
  </si>
  <si>
    <t>Student Turnover - Miscellaneous</t>
  </si>
  <si>
    <t>Student Turnover - Resident Reimbursement</t>
  </si>
  <si>
    <t>Student Turnover - Countertops (EU Only)</t>
  </si>
  <si>
    <t>Student Turnover - W/O Resident Reimbursement</t>
  </si>
  <si>
    <t>Student Turnover - Contract Services Reimbursements</t>
  </si>
  <si>
    <t>Make - Ready / Redecorating</t>
  </si>
  <si>
    <t>Student Turnover - Group Cleaning - (EU Only)</t>
  </si>
  <si>
    <t>Student Turnover - Cleaning Supplies (EU Only)</t>
  </si>
  <si>
    <t>Student Turnover - General Cleaning (EU Only)</t>
  </si>
  <si>
    <t>Student Turnover Waste / Bulk Waste Collection (Do Not Use)</t>
  </si>
  <si>
    <t>Appliance Repair</t>
  </si>
  <si>
    <t>Bike Rental Expense</t>
  </si>
  <si>
    <t>Blinds / Drapes Repair</t>
  </si>
  <si>
    <t>Carpet Repair</t>
  </si>
  <si>
    <t>Ceiling Fans / Fixtures</t>
  </si>
  <si>
    <t>Cleaning Supplies</t>
  </si>
  <si>
    <t>Electrical Supplies - Vacant</t>
  </si>
  <si>
    <t>Express Move Out Cleaning</t>
  </si>
  <si>
    <t>Drywall Repairs</t>
  </si>
  <si>
    <t>Keys / Locks - Vacant</t>
  </si>
  <si>
    <t>Plumbing - Vacant</t>
  </si>
  <si>
    <t>Resurfacing - Fixtures / Counters</t>
  </si>
  <si>
    <t>Resurfacing - Tub / Shower</t>
  </si>
  <si>
    <t>Vinyl / Tile Repair</t>
  </si>
  <si>
    <t>Other Make-Ready Expenses</t>
  </si>
  <si>
    <t>Recreational Amenities</t>
  </si>
  <si>
    <t>Business Center</t>
  </si>
  <si>
    <t>Bicycle Maintenance</t>
  </si>
  <si>
    <t>Club Room</t>
  </si>
  <si>
    <t>Exercise / Weight Room</t>
  </si>
  <si>
    <t>Playground</t>
  </si>
  <si>
    <t>Sauna / Hot Tub / Jacuzzi</t>
  </si>
  <si>
    <t>Sauna/Hot tub/Jacuzzi Rebill</t>
  </si>
  <si>
    <t>Pool Furniture Repairs</t>
  </si>
  <si>
    <t>Pool Repairs</t>
  </si>
  <si>
    <t>Pool Supplies / Maint</t>
  </si>
  <si>
    <t>Video Library</t>
  </si>
  <si>
    <t>Other Recreational Amenities</t>
  </si>
  <si>
    <t>Contract Services</t>
  </si>
  <si>
    <t>Subletting Contract (EU Only)</t>
  </si>
  <si>
    <t>Access Gate Contract</t>
  </si>
  <si>
    <t>Appliance Rental Contract</t>
  </si>
  <si>
    <t>Aquarium Maintenance Contract</t>
  </si>
  <si>
    <t>Boiler Contract</t>
  </si>
  <si>
    <t>Boiler Rebill</t>
  </si>
  <si>
    <t>Copy Machine - Usage Fees (Do Not Use)</t>
  </si>
  <si>
    <t>Chill Water Contract</t>
  </si>
  <si>
    <t>Chill Water Contract Rebill</t>
  </si>
  <si>
    <t>Elevator Contract</t>
  </si>
  <si>
    <t>Equipment Contract</t>
  </si>
  <si>
    <t>Fire Alarm Contract</t>
  </si>
  <si>
    <t>Fire Protection / Life Safety Contract</t>
  </si>
  <si>
    <t>General Maintenance Contract</t>
  </si>
  <si>
    <t>Golf Cart Rental</t>
  </si>
  <si>
    <t>HOA Management</t>
  </si>
  <si>
    <t>HVAC Contract</t>
  </si>
  <si>
    <t>Intrusion Alarm Contract</t>
  </si>
  <si>
    <t>Janitorial Contract</t>
  </si>
  <si>
    <t>Lake Maintenance Contract</t>
  </si>
  <si>
    <t>Landscape - Seasonal Contract</t>
  </si>
  <si>
    <t>Landscape Maintenance Contract</t>
  </si>
  <si>
    <t>Laundry Maintenance Contract</t>
  </si>
  <si>
    <t>Laundry electricity &amp; water expenses</t>
  </si>
  <si>
    <t>Lift Station Maintenance Contract</t>
  </si>
  <si>
    <t>Music/TV/Video Services</t>
  </si>
  <si>
    <t>Meal Services - China / Glass / Tableware - DO NOT USE</t>
  </si>
  <si>
    <t>Meal Services - Food - DO NOT USE</t>
  </si>
  <si>
    <t>Parking Attendant Contract</t>
  </si>
  <si>
    <t>Parking Lot Sweeping Contract</t>
  </si>
  <si>
    <t>Patrol / Courtesy Officer Contract</t>
  </si>
  <si>
    <t>Lifeguard Expense</t>
  </si>
  <si>
    <t>Pet Waste DNA Screening</t>
  </si>
  <si>
    <t>Pet Waste DNA reimbursement</t>
  </si>
  <si>
    <t>Pool &amp; Spa Contract</t>
  </si>
  <si>
    <t>Retail Rental Contract</t>
  </si>
  <si>
    <t>Satellite / Internet Expense Contract</t>
  </si>
  <si>
    <t>Shuttle Service Contract</t>
  </si>
  <si>
    <t>Smart Home Contract</t>
  </si>
  <si>
    <t>Smart Tech Contract</t>
  </si>
  <si>
    <t>Snow Removal</t>
  </si>
  <si>
    <t>Health &amp; Safety Contract - (EU Only)</t>
  </si>
  <si>
    <t>Gym Equipment Contract - (EU Only)</t>
  </si>
  <si>
    <t>Window Clean Contract - UK</t>
  </si>
  <si>
    <t>Sprinklers / Irrigation Contract</t>
  </si>
  <si>
    <t>Storm Water Management Contract</t>
  </si>
  <si>
    <t>Door Lock Contract (EU) (Do Not Use)</t>
  </si>
  <si>
    <t>Electrical Contract - Do Not Use</t>
  </si>
  <si>
    <t>Food Service Contract -(EU Only)</t>
  </si>
  <si>
    <t>Termite Contract</t>
  </si>
  <si>
    <t>IT Support Contract - (EU Only)</t>
  </si>
  <si>
    <t>AV Equipment Contract (Do Not Use)</t>
  </si>
  <si>
    <t>Building Mgmt Systems Contract (Do Not Use)</t>
  </si>
  <si>
    <t>Copier Contract (Do Not Use)</t>
  </si>
  <si>
    <t>Telephone Contract - (EU Only)</t>
  </si>
  <si>
    <t>Trash Removal - Door to Door Pickup</t>
  </si>
  <si>
    <t>Trash Remove Rebill - Door To Door Pickup</t>
  </si>
  <si>
    <t>Consulting Contract (EU Only)</t>
  </si>
  <si>
    <t>Trash Removal Rebill</t>
  </si>
  <si>
    <t>Trash Removal Rebill NC (Do not Use)</t>
  </si>
  <si>
    <t>Garbage Collection (Do Not Use)</t>
  </si>
  <si>
    <t>Garbage Collection Rebill (Do Not Use)</t>
  </si>
  <si>
    <t>Group Cleaning Contract (Do Not Use)</t>
  </si>
  <si>
    <t>Uniform Cleaning Contract</t>
  </si>
  <si>
    <t>Washer / Dryer Rental Contract</t>
  </si>
  <si>
    <t>Contract Rebill Write Off</t>
  </si>
  <si>
    <t>TRS Exp - Fetch Delivery</t>
  </si>
  <si>
    <t>TRS Reimb -  Fetch Delivery</t>
  </si>
  <si>
    <t>Asbestos Safety (EU Only)</t>
  </si>
  <si>
    <t>TRS Exp - Lease Lock Services</t>
  </si>
  <si>
    <t>Roof Access &amp; Mansafe (EU Only)</t>
  </si>
  <si>
    <t>CCTV Contract (EU Only)</t>
  </si>
  <si>
    <t>Vehicle Hire (EU Only)</t>
  </si>
  <si>
    <t>Other Contract Services</t>
  </si>
  <si>
    <t>Corporate Housing Expense</t>
  </si>
  <si>
    <t>Corporate Apartment Expense - Other</t>
  </si>
  <si>
    <t>Corporate Apt Expense - Appliance Rental</t>
  </si>
  <si>
    <t>Corporate Apt Expense - Cable TV/Internet</t>
  </si>
  <si>
    <t>Corporate Apt Expense - Electricity</t>
  </si>
  <si>
    <t>Corporate Apt Expense - Set up</t>
  </si>
  <si>
    <t>Corporate Apt Expense - Furniture Rental</t>
  </si>
  <si>
    <t>Corporate Apt Expense - Gas (Do not Use)</t>
  </si>
  <si>
    <t>Corporate Apt Expense  Housekeeping/Linen Service</t>
  </si>
  <si>
    <t>Corp. Apt. Housekeeping/Linen Service B/W Stay</t>
  </si>
  <si>
    <t>Corporate Apt Expense  Renters Insurance (Do Not Use)</t>
  </si>
  <si>
    <t>Corporate Apt Expense  Damages</t>
  </si>
  <si>
    <t>Corporate Apt Expense  Taxes</t>
  </si>
  <si>
    <t>Corporate Apt Expense  Water Sewer</t>
  </si>
  <si>
    <t>Guest Suite Expense</t>
  </si>
  <si>
    <t>Guest Suite Expense Cable TV/Internet</t>
  </si>
  <si>
    <t>Guest Suite Expense Utilities</t>
  </si>
  <si>
    <t>Guest Suite Expense  Furniture</t>
  </si>
  <si>
    <t>Guest Suite Expense Linen Service</t>
  </si>
  <si>
    <t>Guest Suite Expense Other</t>
  </si>
  <si>
    <t>Food Service Expense</t>
  </si>
  <si>
    <t>Food Service - Payroll</t>
  </si>
  <si>
    <t>FS Chef Salary</t>
  </si>
  <si>
    <t>FS Kitchen Staff</t>
  </si>
  <si>
    <t>FS Dining Room Staff</t>
  </si>
  <si>
    <t>FS Bonus</t>
  </si>
  <si>
    <t>FS 401K Contributions</t>
  </si>
  <si>
    <t>FS Employee Burden</t>
  </si>
  <si>
    <t>FS Group Insurance</t>
  </si>
  <si>
    <t>Food Service - Personnel Other</t>
  </si>
  <si>
    <t>FS Contract Staffing</t>
  </si>
  <si>
    <t>FS Employee Meals</t>
  </si>
  <si>
    <t>FS Employee Recruiting</t>
  </si>
  <si>
    <t>FS Employee Relations</t>
  </si>
  <si>
    <t>FS Employee Training</t>
  </si>
  <si>
    <t>FS Membership / Professional Dues</t>
  </si>
  <si>
    <t>FS Pager / Cell Phones</t>
  </si>
  <si>
    <t>Food Service - Food</t>
  </si>
  <si>
    <t>Food &amp; Bev Expense (EU Only)</t>
  </si>
  <si>
    <t>FS Bakery</t>
  </si>
  <si>
    <t>FS Beverage - Alcohol</t>
  </si>
  <si>
    <t>FS Beverage - Non-Alcohol</t>
  </si>
  <si>
    <t>FS Dairy</t>
  </si>
  <si>
    <t>FS Food - Other</t>
  </si>
  <si>
    <t>FS Grocery</t>
  </si>
  <si>
    <t>FS Meat</t>
  </si>
  <si>
    <t>FS Produce</t>
  </si>
  <si>
    <t>FS Seafood</t>
  </si>
  <si>
    <t>Food Service - Other / Supplies</t>
  </si>
  <si>
    <t>FS Catering - Travel / Other</t>
  </si>
  <si>
    <t>FS China / Glass / Silver</t>
  </si>
  <si>
    <t>FS Cleaning Supplies</t>
  </si>
  <si>
    <t>FS Cooking Equipment</t>
  </si>
  <si>
    <t>FS Kitchen Supplies</t>
  </si>
  <si>
    <t>FS Linens</t>
  </si>
  <si>
    <t>FS Office Supplies</t>
  </si>
  <si>
    <t>FS Permits / Licenses</t>
  </si>
  <si>
    <t>FS Pest Control</t>
  </si>
  <si>
    <t>FS Repairs / Maintenance</t>
  </si>
  <si>
    <t>FS Safety Supplies</t>
  </si>
  <si>
    <t>FS Trash / Grease Pickup</t>
  </si>
  <si>
    <t>FS Uniforms</t>
  </si>
  <si>
    <t>Advertising / Marketing / Promotions</t>
  </si>
  <si>
    <t>Multi-Asset Brand Maintenance Fee</t>
  </si>
  <si>
    <t>Ad Performance Fees (Do not Use)</t>
  </si>
  <si>
    <t>Visual and Creative Services</t>
  </si>
  <si>
    <t>Visual Media - (Do Not Use)</t>
  </si>
  <si>
    <t>Digital Marketing (EU Only)</t>
  </si>
  <si>
    <t>Paid Email</t>
  </si>
  <si>
    <t>Advertising - Other Sources (Do Not Use)</t>
  </si>
  <si>
    <t>Property Website &amp; Online Presence</t>
  </si>
  <si>
    <t>Organic Online Presence</t>
  </si>
  <si>
    <t>Advertising - Trade Publications (Do Not Use)</t>
  </si>
  <si>
    <t>Advertising - Apartment Blue Book (Do not Use)</t>
  </si>
  <si>
    <t>Social Media</t>
  </si>
  <si>
    <t>Print Publications - (Do Not Use)</t>
  </si>
  <si>
    <t>Reputation Management</t>
  </si>
  <si>
    <t>Traditional - Printing Costs</t>
  </si>
  <si>
    <t>Traditional - Publications</t>
  </si>
  <si>
    <t>Traditional - Mail</t>
  </si>
  <si>
    <t>Traditional - Outreach &amp; Events</t>
  </si>
  <si>
    <t>Contact Center Services - (Do Not Use)</t>
  </si>
  <si>
    <t>Traditional - Promotional Signage</t>
  </si>
  <si>
    <t>Concierge Service Expense - (Do Not Use)</t>
  </si>
  <si>
    <t>Concierge Service Reimbursement - (Do Not Use)</t>
  </si>
  <si>
    <t>Locator and Broker Referrals</t>
  </si>
  <si>
    <t>Referral Fees</t>
  </si>
  <si>
    <t>Guest Suite Expense - Other (Do Not Use)</t>
  </si>
  <si>
    <t>Interactive Marketing Technology (Do Not Use)</t>
  </si>
  <si>
    <t>Interactive Media Productions (Do Not Use)</t>
  </si>
  <si>
    <t>Lease-Up Expenses</t>
  </si>
  <si>
    <t>Active Adult - Senior Directory</t>
  </si>
  <si>
    <t>Active Adult - Magazine</t>
  </si>
  <si>
    <t>Active Adult - Newspaper</t>
  </si>
  <si>
    <t>Active Adult - Radio</t>
  </si>
  <si>
    <t>Active Adult - TV Advertisement</t>
  </si>
  <si>
    <t>Active Adult - Outreach</t>
  </si>
  <si>
    <t>Active Adult - Prospect Events</t>
  </si>
  <si>
    <t>Active Adult - ILS</t>
  </si>
  <si>
    <t>Locator Fees (Do Not Use)</t>
  </si>
  <si>
    <t>Advertising - Radio/TV (Do Not Use)</t>
  </si>
  <si>
    <t>Marketing  Automation Tools (Do Not Use)</t>
  </si>
  <si>
    <t>Student - Outreach &amp; Events</t>
  </si>
  <si>
    <t>Student - ILS</t>
  </si>
  <si>
    <t>Strategic Marketing Services Fee</t>
  </si>
  <si>
    <t>Marketing - China (Do Not Use)</t>
  </si>
  <si>
    <t>Marketing - Campus Events (Do Not Use)</t>
  </si>
  <si>
    <t>Outdoor Advertising (Do Not Use)</t>
  </si>
  <si>
    <t>Marketing - Printing Expenses (Do Not Use)</t>
  </si>
  <si>
    <t>Marketing - Trade Shows (Do Not Use)</t>
  </si>
  <si>
    <t>Other Advertising</t>
  </si>
  <si>
    <t>Tour Experience</t>
  </si>
  <si>
    <t>Model Furniture - Rent</t>
  </si>
  <si>
    <t>Printing - Marketing (Do Not Use)</t>
  </si>
  <si>
    <t>Prospect Refreshments</t>
  </si>
  <si>
    <t>Concierge Service Expense</t>
  </si>
  <si>
    <t>Concierge Service Reimbursement</t>
  </si>
  <si>
    <t>Resident Activities - Marketing (EU Only)</t>
  </si>
  <si>
    <t>BSB Events - (EU Only)</t>
  </si>
  <si>
    <t>Resident Referral Fees (Do Not Use)</t>
  </si>
  <si>
    <t>Resident Retention</t>
  </si>
  <si>
    <t>Student - Community Building Program</t>
  </si>
  <si>
    <t>Shopping Reports (Do Not Use)</t>
  </si>
  <si>
    <t>Satisfaction Survey</t>
  </si>
  <si>
    <t>Self-Guided Tour Software</t>
  </si>
  <si>
    <t>Signage (Do Not Use)</t>
  </si>
  <si>
    <t>General &amp; Administrative</t>
  </si>
  <si>
    <t>Office Expenses</t>
  </si>
  <si>
    <t>Business and Leasing Automation</t>
  </si>
  <si>
    <t>Revenue Management Expense</t>
  </si>
  <si>
    <t>Leasing Automation Tools</t>
  </si>
  <si>
    <t>Copy Machine Contract</t>
  </si>
  <si>
    <t>Copy Machine - Usage Fees</t>
  </si>
  <si>
    <t>Forms</t>
  </si>
  <si>
    <t>Office Equipment - Rental / Repair</t>
  </si>
  <si>
    <t>Office Equipment - Rental</t>
  </si>
  <si>
    <t>Office Supplies</t>
  </si>
  <si>
    <t>Cellular Phones / Pagers / Radios</t>
  </si>
  <si>
    <t>Postage &amp; Delivery</t>
  </si>
  <si>
    <t>Application Fee Expense</t>
  </si>
  <si>
    <t>Resource Center</t>
  </si>
  <si>
    <t>Telephone Expense</t>
  </si>
  <si>
    <t>Telephone Expense - Long Distance</t>
  </si>
  <si>
    <t>Software Licenses / Maintenance Fees</t>
  </si>
  <si>
    <t>Toner</t>
  </si>
  <si>
    <t>Storage</t>
  </si>
  <si>
    <t>Supplies - Gift Shop</t>
  </si>
  <si>
    <t>Other General &amp; Administrative</t>
  </si>
  <si>
    <t>Administrative / Accounting Fees</t>
  </si>
  <si>
    <t>Architectural Services</t>
  </si>
  <si>
    <t>Assoc. Fees / Membership Dues</t>
  </si>
  <si>
    <t>Bad Debt Expense</t>
  </si>
  <si>
    <t>Bad Debt Termination Fees</t>
  </si>
  <si>
    <t>Other Bad Debt Expense</t>
  </si>
  <si>
    <t>Homeowner's Assoc. Dues</t>
  </si>
  <si>
    <t>Bank Charges</t>
  </si>
  <si>
    <t>Bond - Other Exp - Govt Fee</t>
  </si>
  <si>
    <t>Bond - Other Exp - Issuer Fee</t>
  </si>
  <si>
    <t>Bond - Other Exp - LOC Fee</t>
  </si>
  <si>
    <t>Bond - Other Exp - Rating Agency Fee</t>
  </si>
  <si>
    <t>Bond - Other Exp - Remarketing Fee</t>
  </si>
  <si>
    <t>Bond - Other Exp - Trustee Fee</t>
  </si>
  <si>
    <t>Bond - Other Exp - Draw Fee</t>
  </si>
  <si>
    <t>Bond - Other Expense - Audit / Bond Fees</t>
  </si>
  <si>
    <t>Compliance Fees</t>
  </si>
  <si>
    <t>Computer Expense</t>
  </si>
  <si>
    <t>Consulting / Professional Fees</t>
  </si>
  <si>
    <t>COVID-19 Expense</t>
  </si>
  <si>
    <t>Donations</t>
  </si>
  <si>
    <t>Data Storage</t>
  </si>
  <si>
    <t>Development Costs - Operating</t>
  </si>
  <si>
    <t>Employee Recruitment</t>
  </si>
  <si>
    <t>Employee Recognition</t>
  </si>
  <si>
    <t>Entertainment Expense</t>
  </si>
  <si>
    <t>Fines / Violations</t>
  </si>
  <si>
    <t>Green - Consulting Fees</t>
  </si>
  <si>
    <t>Green - Consumption Track Costs</t>
  </si>
  <si>
    <t>Green - Property Cert Costs</t>
  </si>
  <si>
    <t>Green - Supplies &amp; Equipment</t>
  </si>
  <si>
    <t>Internet Access</t>
  </si>
  <si>
    <t>Interest Expense - Security Deposits</t>
  </si>
  <si>
    <t>Late Charge Fees - Administration</t>
  </si>
  <si>
    <t>Legal Settlements- Parkmerced (Do not Use)</t>
  </si>
  <si>
    <t>Music/TV/Video Licensing</t>
  </si>
  <si>
    <t>Licenses / Fees / Permits</t>
  </si>
  <si>
    <t>Mileage Expense</t>
  </si>
  <si>
    <t>Parking Tolls and Fees</t>
  </si>
  <si>
    <t>Payment Processing Charges (CC / ACH)</t>
  </si>
  <si>
    <t>Publications &amp; Subscriptions</t>
  </si>
  <si>
    <t>Rent - Land Lease</t>
  </si>
  <si>
    <t>Summer Camp Expense</t>
  </si>
  <si>
    <t>Training / Seminars</t>
  </si>
  <si>
    <t>Tax Preparation Fees</t>
  </si>
  <si>
    <t>Travel Expense</t>
  </si>
  <si>
    <t>Resident Activities - Operations (EU Only)</t>
  </si>
  <si>
    <t>Prospect Refreshments - Operations</t>
  </si>
  <si>
    <t>Uniform Rental / Purchase</t>
  </si>
  <si>
    <t>Miscellaneous General / Admin</t>
  </si>
  <si>
    <t>TRS Expense</t>
  </si>
  <si>
    <t>Utilities</t>
  </si>
  <si>
    <t>Electric - Clubhouse</t>
  </si>
  <si>
    <t>Electric - Models</t>
  </si>
  <si>
    <t>Electric - Occupied Units</t>
  </si>
  <si>
    <t>Electric - Retail</t>
  </si>
  <si>
    <t>Electric - Vacant Units</t>
  </si>
  <si>
    <t>Electric - Well</t>
  </si>
  <si>
    <t>Electric - Unit Refunds</t>
  </si>
  <si>
    <t>Electric Rebill - NC (Do not Use)</t>
  </si>
  <si>
    <t>Gas - Laundry Rooms</t>
  </si>
  <si>
    <t>Gas - Models</t>
  </si>
  <si>
    <t>Gas - Occupied Units</t>
  </si>
  <si>
    <t>Gas - Pool</t>
  </si>
  <si>
    <t>Gas - Vacant Units</t>
  </si>
  <si>
    <t>Gas Rebill - NC (Do not Use)</t>
  </si>
  <si>
    <t>Heating Oil</t>
  </si>
  <si>
    <t>Internet Reimbursements</t>
  </si>
  <si>
    <t>Resident Telephone</t>
  </si>
  <si>
    <t>Utility Rebill Service Fee Reimbursement</t>
  </si>
  <si>
    <t>Utility Rebill Write Off</t>
  </si>
  <si>
    <t>Water - Irrigation</t>
  </si>
  <si>
    <t>Water - Drainage / Street Service Fee</t>
  </si>
  <si>
    <t>Water / Sewer Rebill</t>
  </si>
  <si>
    <t>Water / Sewer Rebill - NC</t>
  </si>
  <si>
    <t>Water (only)</t>
  </si>
  <si>
    <t>Sewer (only)</t>
  </si>
  <si>
    <t>Water - Non Reimbursable</t>
  </si>
  <si>
    <t>Sewer - Non Reimbursable</t>
  </si>
  <si>
    <t>Other Utilities</t>
  </si>
  <si>
    <t>Other Utilities Rebill</t>
  </si>
  <si>
    <t>Management Fees</t>
  </si>
  <si>
    <t>Asset Management Fees</t>
  </si>
  <si>
    <t>Sponsor Fees</t>
  </si>
  <si>
    <t>Receiver Fees</t>
  </si>
  <si>
    <t>Lease-Up Fees</t>
  </si>
  <si>
    <t>Incentive Management Fees</t>
  </si>
  <si>
    <t>Retail Management Fees</t>
  </si>
  <si>
    <t>Partnership Management Fees (Do Not Use)</t>
  </si>
  <si>
    <t>Subordinate Management Fees (Do Not Use)</t>
  </si>
  <si>
    <t>Security Deposits (Lofts)</t>
  </si>
  <si>
    <t>Landlord Liability</t>
  </si>
  <si>
    <t>Franchise Taxes</t>
  </si>
  <si>
    <t>Ground Lease</t>
  </si>
  <si>
    <t>Income Taxes</t>
  </si>
  <si>
    <t>Other Taxes</t>
  </si>
  <si>
    <t>Special Assessments</t>
  </si>
  <si>
    <t>Personal Property Taxes</t>
  </si>
  <si>
    <t>Real Estate Tax - Development</t>
  </si>
  <si>
    <t>Sales and Use Taxes</t>
  </si>
  <si>
    <t>Tax Consultant Fees</t>
  </si>
  <si>
    <t>Tax Penalties and Interest</t>
  </si>
  <si>
    <t>Property Insurance</t>
  </si>
  <si>
    <t>Furniture Insurance</t>
  </si>
  <si>
    <t>General Liability Insurance</t>
  </si>
  <si>
    <t>Umbrella Liability Insurance</t>
  </si>
  <si>
    <t>Environmental Liability Insurance</t>
  </si>
  <si>
    <t>Boiler Insurance</t>
  </si>
  <si>
    <t>Builder's Risk Insurance</t>
  </si>
  <si>
    <t>Directors &amp; Officers Insurance</t>
  </si>
  <si>
    <t>Earthquake Insurance</t>
  </si>
  <si>
    <t>Flood Insurance</t>
  </si>
  <si>
    <t>Pollution/Mold Insurance</t>
  </si>
  <si>
    <t>Mortgage Insurance Premium (MIP)</t>
  </si>
  <si>
    <t>Renter's Insurance</t>
  </si>
  <si>
    <t>Surety Bond</t>
  </si>
  <si>
    <t>Other Insurance</t>
  </si>
  <si>
    <t>Recoverable Operating Expenses</t>
  </si>
  <si>
    <t>Recoverable Payroll</t>
  </si>
  <si>
    <t>REC Administrative - Salary</t>
  </si>
  <si>
    <t>REC Administrative - Benefits</t>
  </si>
  <si>
    <t>REC Administrative - Taxes</t>
  </si>
  <si>
    <t>REC Administrative - Rent(Do Not Use)</t>
  </si>
  <si>
    <t>REC Administrative - Bonus(Do Not Use)</t>
  </si>
  <si>
    <t>REC Maintenance - Salary</t>
  </si>
  <si>
    <t>REC Maintenance - Benefits</t>
  </si>
  <si>
    <t>REC Maintenance - Taxes</t>
  </si>
  <si>
    <t>REC Maintenance - Rent(Do Not Use)</t>
  </si>
  <si>
    <t>REC Maintenance - Bonus(Do Not Use)</t>
  </si>
  <si>
    <t>REC Training &amp; Education(Do Not Use)</t>
  </si>
  <si>
    <t>REC Other Bonus(Do Not Use)</t>
  </si>
  <si>
    <t>REC Leasing Commissions</t>
  </si>
  <si>
    <t>REC Other Commissions(Do Not Use)</t>
  </si>
  <si>
    <t>REC 401K Contributions</t>
  </si>
  <si>
    <t>REC Workers Compensation</t>
  </si>
  <si>
    <t>REC Short Term Disability(Do Not Use)</t>
  </si>
  <si>
    <t>REC Temporary Help</t>
  </si>
  <si>
    <t>REC Payroll Reimbursements</t>
  </si>
  <si>
    <t>REC Payroll Services(Do Not Use)</t>
  </si>
  <si>
    <t>REC Other Payroll</t>
  </si>
  <si>
    <t>Recoverable Marketing</t>
  </si>
  <si>
    <t>REC Advertising</t>
  </si>
  <si>
    <t>REC Ad Production/Artwork(Do Not Use)</t>
  </si>
  <si>
    <t>REC Apartment Guide(Do Not Use)</t>
  </si>
  <si>
    <t>REC Collateral Materials(Do Not Use)</t>
  </si>
  <si>
    <t>REC Direct Mail(Do Not Use)</t>
  </si>
  <si>
    <t>REC For Rent Magazine(Do Not Use)</t>
  </si>
  <si>
    <t>REC Internet Advertising</t>
  </si>
  <si>
    <t>REC Laundry Equipment(Do Not Use)</t>
  </si>
  <si>
    <t>REC Locator Fees</t>
  </si>
  <si>
    <t>REC Market Research(Do Not Use)</t>
  </si>
  <si>
    <t>REC Model Unit(Do Not Use)</t>
  </si>
  <si>
    <t>REC Corporate Suite(Do Not Use)</t>
  </si>
  <si>
    <t>REC Newsletter(Do Not Use)</t>
  </si>
  <si>
    <t>REC Newspaper(Do Not Use)</t>
  </si>
  <si>
    <t>REC Other Marketing</t>
  </si>
  <si>
    <t>REC Other Media(Do Not Use)</t>
  </si>
  <si>
    <t>REC Promotional Events</t>
  </si>
  <si>
    <t>REC Prospect Refreshments(Do Not Use)</t>
  </si>
  <si>
    <t>REC Resident Referrals(Do Not Use)</t>
  </si>
  <si>
    <t>REC Resident Retention(Do Not Use)</t>
  </si>
  <si>
    <t>REC Signage Expense</t>
  </si>
  <si>
    <t>REC Promotions</t>
  </si>
  <si>
    <t>Recoverable Repairs &amp; Maintenance</t>
  </si>
  <si>
    <t>Recoverable Landscaping</t>
  </si>
  <si>
    <t>REC Landscape - Contract</t>
  </si>
  <si>
    <t>REC Landscape - Supplies</t>
  </si>
  <si>
    <t>REC Landscape - Other</t>
  </si>
  <si>
    <t>REC Mulch</t>
  </si>
  <si>
    <t>REC Plants &amp; Flowers</t>
  </si>
  <si>
    <t>REC Tree Service</t>
  </si>
  <si>
    <t>REC Parking Lot Maintenance</t>
  </si>
  <si>
    <t>Recoverable Unit Turn Expense</t>
  </si>
  <si>
    <t>REC Carpet Cleaning - T(Do Not Use)</t>
  </si>
  <si>
    <t>REC Carpet &amp; Vinyl Replacement - T(Do Not Use)</t>
  </si>
  <si>
    <t>REC Cleaning Service - T</t>
  </si>
  <si>
    <t>REC Cleaning Supplies - T</t>
  </si>
  <si>
    <t>REC Millwork / Doors / Hardware - T(Do Not Use)</t>
  </si>
  <si>
    <t>REC Kitchen/Bath Hardware - T(Do Not Use)</t>
  </si>
  <si>
    <t>REC Resurfacing - T(Do Not Use)</t>
  </si>
  <si>
    <t>REC Painting Service - T</t>
  </si>
  <si>
    <t>REC Painting Supplies - T</t>
  </si>
  <si>
    <t>REC Window Coverings - T(Do Not Use)</t>
  </si>
  <si>
    <t>REC Interior Repair - T(Do Not Use)</t>
  </si>
  <si>
    <t>REC Lock &amp; Key - T(Do Not Use)</t>
  </si>
  <si>
    <t>REC Other Turn Expense - T</t>
  </si>
  <si>
    <t>Recoverable General Repairs &amp; Maintenance</t>
  </si>
  <si>
    <t>REC Appliance Service - G</t>
  </si>
  <si>
    <t>REC Appliance Supplies - G</t>
  </si>
  <si>
    <t>REC Common Area Expense - G</t>
  </si>
  <si>
    <t>REC Electrical Service - G</t>
  </si>
  <si>
    <t>REC Electrical Supplies - G</t>
  </si>
  <si>
    <t>REC Elevator Expense - G</t>
  </si>
  <si>
    <t>REC Equipment Expense - G(Do Not Use)</t>
  </si>
  <si>
    <t>REC Fire/Life Safety - G</t>
  </si>
  <si>
    <t>REC Fuel Expense - G(Do Not Use)</t>
  </si>
  <si>
    <t>REC Gate &amp; Access Expense - G(Do Not Use)</t>
  </si>
  <si>
    <t>REC General Cleaning - G</t>
  </si>
  <si>
    <t>REC General Supplies - G</t>
  </si>
  <si>
    <t>REC Carpet Cleaning - G</t>
  </si>
  <si>
    <t>REC Glass &amp; Screen Expense - G(Do Not Use)</t>
  </si>
  <si>
    <t>REC HVAC Expense - G</t>
  </si>
  <si>
    <t>REC Janitorial Expense - G</t>
  </si>
  <si>
    <t>REC Light Bulbs - G</t>
  </si>
  <si>
    <t>REC Locks &amp; Keys - G</t>
  </si>
  <si>
    <t>REC Maintenance Uniforms - G</t>
  </si>
  <si>
    <t>REC Paint Service - G</t>
  </si>
  <si>
    <t>REC Paint Supplies - G</t>
  </si>
  <si>
    <t>REC Parking Lot Expense - G</t>
  </si>
  <si>
    <t>REC Pest Control - G</t>
  </si>
  <si>
    <t>REC Plumbing Service - G</t>
  </si>
  <si>
    <t>REC Plumbing Supplies - G</t>
  </si>
  <si>
    <t>REC Pool &amp; Spa Service - G(Do Not Use)</t>
  </si>
  <si>
    <t>REC Pool &amp; Spa Supplies - G(Do Not Use)</t>
  </si>
  <si>
    <t>REC Roof Repairs - G</t>
  </si>
  <si>
    <t>REC Sidewalk Expense - G(Do Not Use)</t>
  </si>
  <si>
    <t>REC Signage Expense - G</t>
  </si>
  <si>
    <t>REC Security Repair - G</t>
  </si>
  <si>
    <t>REC Tools &amp; Equipment - G</t>
  </si>
  <si>
    <t>REc Trash Compactor Expense - G</t>
  </si>
  <si>
    <t>REC Trash Removal - G</t>
  </si>
  <si>
    <t>REC Vehicle Expense - G</t>
  </si>
  <si>
    <t>REC Window &amp; Door Expense - G</t>
  </si>
  <si>
    <t>REC Window Cleaning - G</t>
  </si>
  <si>
    <t>REC Other R&amp;M Expense - G</t>
  </si>
  <si>
    <t>Recoverable Utilities</t>
  </si>
  <si>
    <t>REC Electricity - Common Area</t>
  </si>
  <si>
    <t>REC Electricity - Vacant</t>
  </si>
  <si>
    <t>REC Electricity - Other</t>
  </si>
  <si>
    <t>REC Gas - Common Area</t>
  </si>
  <si>
    <t>REC Gas - Vacant(Do Not Use)</t>
  </si>
  <si>
    <t>REC Gas - Other(Do Not Use)</t>
  </si>
  <si>
    <t>REC Water - Building</t>
  </si>
  <si>
    <t>REC Water - Vacant</t>
  </si>
  <si>
    <t>REC Water - Other</t>
  </si>
  <si>
    <t>REC Sewer - Building(Do Not Use)</t>
  </si>
  <si>
    <t>REC Sewer - Vacant</t>
  </si>
  <si>
    <t>REC Sewer - Other</t>
  </si>
  <si>
    <t>REC Cable &amp; Broadband Service</t>
  </si>
  <si>
    <t>REC Garbage</t>
  </si>
  <si>
    <t>REC Other Utilities</t>
  </si>
  <si>
    <t>Recoverable Management Fees</t>
  </si>
  <si>
    <t>REC Property Management Fees</t>
  </si>
  <si>
    <t>REC Construction Management Fees</t>
  </si>
  <si>
    <t>REC Management Fee - Adjustments(Do Not Use)</t>
  </si>
  <si>
    <t>REC Management Fee - Incentives(Do Not Use)</t>
  </si>
  <si>
    <t>REC Other Management Fees</t>
  </si>
  <si>
    <t>Recoverable General &amp; Administration</t>
  </si>
  <si>
    <t>REC Accounting Fees</t>
  </si>
  <si>
    <t>REC Bank Charges</t>
  </si>
  <si>
    <t>REC Computer Software</t>
  </si>
  <si>
    <t>REC Computer Supplies</t>
  </si>
  <si>
    <t>REC Computer Support(Do Not Use)</t>
  </si>
  <si>
    <t>REC Dues &amp; Subscriptions</t>
  </si>
  <si>
    <t>REC Furniture &amp; Equipment Expense(Do Not Use)</t>
  </si>
  <si>
    <t>REC Internet Access</t>
  </si>
  <si>
    <t>REC Legal Costs - Evictions</t>
  </si>
  <si>
    <t>REC Mileage Reimbursement</t>
  </si>
  <si>
    <t>REC Office Forms</t>
  </si>
  <si>
    <t>REC Office Supplies</t>
  </si>
  <si>
    <t>REC Pagers (Do Not Use)</t>
  </si>
  <si>
    <t>REC Payroll Administration(Do Not Use)</t>
  </si>
  <si>
    <t>REC Permits &amp; License</t>
  </si>
  <si>
    <t>REC Photocopy &amp; Fax</t>
  </si>
  <si>
    <t>REC Postage</t>
  </si>
  <si>
    <t>REC Recruiting (Do Not Use)</t>
  </si>
  <si>
    <t>REC Resident Screening (Do Not Use)</t>
  </si>
  <si>
    <t>REC Security - Alarm Monitoring</t>
  </si>
  <si>
    <t>REC Security - Services</t>
  </si>
  <si>
    <t>REC Storage Expense (Do Not Use)</t>
  </si>
  <si>
    <t>REC Telephone - Answering Service</t>
  </si>
  <si>
    <t>REC Telephone - Office</t>
  </si>
  <si>
    <t>REC Telephone - Other</t>
  </si>
  <si>
    <t>REC Theft (Do Not Use)</t>
  </si>
  <si>
    <t>REC Training &amp; Education (Do Not Use)</t>
  </si>
  <si>
    <t>REC Other Administrative</t>
  </si>
  <si>
    <t>REC Rental Expense</t>
  </si>
  <si>
    <t>Recoverable Insurance</t>
  </si>
  <si>
    <t>REC Insurance Premiums</t>
  </si>
  <si>
    <t>REC Other Insurance</t>
  </si>
  <si>
    <t>Recoverable Taxes</t>
  </si>
  <si>
    <t>REC Real Estate Taxes</t>
  </si>
  <si>
    <t>REC Tax Service</t>
  </si>
  <si>
    <t>REC Personal Property Taxes</t>
  </si>
  <si>
    <t>REC Other Taxes (Do Not Use)</t>
  </si>
  <si>
    <t>Routine Replacement Expense</t>
  </si>
  <si>
    <t>Appliances - Garbage Disposals</t>
  </si>
  <si>
    <t>Appliances - Stove / Microwaves / Range Hoods</t>
  </si>
  <si>
    <t>Computer Hardware / Software</t>
  </si>
  <si>
    <t>Countertops</t>
  </si>
  <si>
    <t>Door Replacement</t>
  </si>
  <si>
    <t>Structural</t>
  </si>
  <si>
    <t>Exterior Improvements</t>
  </si>
  <si>
    <t>Exterior Painting</t>
  </si>
  <si>
    <t>Fire / Security Alarm</t>
  </si>
  <si>
    <t>Fire Loss</t>
  </si>
  <si>
    <t>Fitness Room</t>
  </si>
  <si>
    <t>Flood Loss</t>
  </si>
  <si>
    <t>Furniture / Equipment</t>
  </si>
  <si>
    <t>Hurricane Damage</t>
  </si>
  <si>
    <t>Interior Improvements</t>
  </si>
  <si>
    <t>Landscape Upgrades</t>
  </si>
  <si>
    <t>Light Fixtures</t>
  </si>
  <si>
    <t>Major Make-Ready (Down Units)</t>
  </si>
  <si>
    <t>Mattresses</t>
  </si>
  <si>
    <t>Mini-Blinds / Drapes</t>
  </si>
  <si>
    <t>Misc Non-Routine Maintenance</t>
  </si>
  <si>
    <t>New Construction - Marketing</t>
  </si>
  <si>
    <t>New Construction - Start Up Cost</t>
  </si>
  <si>
    <t>New Construction - Start Up Costs 2nd</t>
  </si>
  <si>
    <t>New Construction - Start Up 3rd</t>
  </si>
  <si>
    <t>Parking Lot / Sidewalks</t>
  </si>
  <si>
    <t>Plumbing Repairs - Major</t>
  </si>
  <si>
    <t>Pool Furniture</t>
  </si>
  <si>
    <t>Prior Management Expenses</t>
  </si>
  <si>
    <t>Property Enhancement</t>
  </si>
  <si>
    <t>Retention Pond</t>
  </si>
  <si>
    <t>Roof Repairs - Major</t>
  </si>
  <si>
    <t>Storm Damage</t>
  </si>
  <si>
    <t>Vinyl / Tile</t>
  </si>
  <si>
    <t>Wallpaper</t>
  </si>
  <si>
    <t>Wood Flooring</t>
  </si>
  <si>
    <t>Other Routine Replacement (EU Only)</t>
  </si>
  <si>
    <t>Administrative / Supervision Fees</t>
  </si>
  <si>
    <t>Reserve for Replacements</t>
  </si>
  <si>
    <t>Capital / Renovation Expense</t>
  </si>
  <si>
    <t>Boilers</t>
  </si>
  <si>
    <t>Multi-Asset Brand Fee</t>
  </si>
  <si>
    <t>Brochures</t>
  </si>
  <si>
    <t>Building - Common Areas</t>
  </si>
  <si>
    <t>Building Demolition</t>
  </si>
  <si>
    <t>Stairs &amp; Landings</t>
  </si>
  <si>
    <t>Carpets - Common Area</t>
  </si>
  <si>
    <t>Carpets  Unit</t>
  </si>
  <si>
    <t>Chiller</t>
  </si>
  <si>
    <t>Cleaning Service</t>
  </si>
  <si>
    <t>Community Outreach</t>
  </si>
  <si>
    <t>Concrete Work</t>
  </si>
  <si>
    <t>Doors</t>
  </si>
  <si>
    <t>Entitlements</t>
  </si>
  <si>
    <t>Fire</t>
  </si>
  <si>
    <t>Flood Damage</t>
  </si>
  <si>
    <t>Gates / Fencing</t>
  </si>
  <si>
    <t>Glass &amp; Screen</t>
  </si>
  <si>
    <t>Golf Carts / Vehicles</t>
  </si>
  <si>
    <t>Hardware</t>
  </si>
  <si>
    <t>Improvements</t>
  </si>
  <si>
    <t>Kitchen/Bath Fixtures</t>
  </si>
  <si>
    <t>Landscape - Tree Removal</t>
  </si>
  <si>
    <t>Marketing</t>
  </si>
  <si>
    <t>New Construction - Start-up Costs</t>
  </si>
  <si>
    <t>Payroll</t>
  </si>
  <si>
    <t>Picnic Facilities</t>
  </si>
  <si>
    <t>Roof</t>
  </si>
  <si>
    <t>Sports Courts</t>
  </si>
  <si>
    <t>Subfloor</t>
  </si>
  <si>
    <t>Unit Turns (Turnkey)</t>
  </si>
  <si>
    <t>Cap / Renovation Contra</t>
  </si>
  <si>
    <t>Capital / Renovation - Other</t>
  </si>
  <si>
    <t>Awnings</t>
  </si>
  <si>
    <t>Decking</t>
  </si>
  <si>
    <t>Pest Control</t>
  </si>
  <si>
    <t>Power Wash</t>
  </si>
  <si>
    <t>Theater</t>
  </si>
  <si>
    <t>Tubs/Showers</t>
  </si>
  <si>
    <t>Other Capital/Renovation Exp (EU Only)</t>
  </si>
  <si>
    <t>Corp Salary Allocation - Central Sales</t>
  </si>
  <si>
    <t>Corp Salary Allocation - Group Sales</t>
  </si>
  <si>
    <t>Corp Salary Allocation - Marketing</t>
  </si>
  <si>
    <t>Corp Salary Allocation - Graphic Design</t>
  </si>
  <si>
    <t>Corp Allocation - Other</t>
  </si>
  <si>
    <t>Reimbursable Expense Fees</t>
  </si>
  <si>
    <t>Property Mgmt Fees</t>
  </si>
  <si>
    <t>VAT - PMF (EU Only)</t>
  </si>
  <si>
    <t>VAT - Salaries (EU Only)</t>
  </si>
  <si>
    <t>VAT Adjustments (EU Only)</t>
  </si>
  <si>
    <t>Corporate Tax</t>
  </si>
  <si>
    <t>Contract Optimization</t>
  </si>
  <si>
    <t>Software Optimization</t>
  </si>
  <si>
    <t>Startup Costs</t>
  </si>
  <si>
    <t>TRS Expense - Markup</t>
  </si>
  <si>
    <t>Consulting Costs - Venture</t>
  </si>
  <si>
    <t>Audit Fees</t>
  </si>
  <si>
    <t>Tax Prep / Tax Consulting</t>
  </si>
  <si>
    <t>Trustee Fees</t>
  </si>
  <si>
    <t>Legal Fees - Venture</t>
  </si>
  <si>
    <t>Other Capital Expense</t>
  </si>
  <si>
    <t>Capital Budget Expense</t>
  </si>
  <si>
    <t>Non Recur Major Repairs/Losses</t>
  </si>
  <si>
    <t>Make Ready for Sale</t>
  </si>
  <si>
    <t>TRS Exp - Hello Alfred Services</t>
  </si>
  <si>
    <t>Prior Period Adjustments - Income</t>
  </si>
  <si>
    <t>Prior Period Adjustments - Expense</t>
  </si>
  <si>
    <t>Turnover Rent Expense</t>
  </si>
  <si>
    <t>Intercompany Lease Expense</t>
  </si>
  <si>
    <t>Intercompany Loan Interest - (EU Only)</t>
  </si>
  <si>
    <t>Non-Operating Expenses</t>
  </si>
  <si>
    <t>Condominium Sales Expense</t>
  </si>
  <si>
    <t>Electric - Owner Units</t>
  </si>
  <si>
    <t>Housekeeping - Owner Units (Do Not Use)</t>
  </si>
  <si>
    <t>Internet Access - Owner Units</t>
  </si>
  <si>
    <t>Rent - Owner Units</t>
  </si>
  <si>
    <t>Telephone - Owner Units (Do Not Use)</t>
  </si>
  <si>
    <t>Water - Owner Units</t>
  </si>
  <si>
    <t>Marketing / Sales Expense</t>
  </si>
  <si>
    <t>Move Out Incentive</t>
  </si>
  <si>
    <t>Owner Expense - Other</t>
  </si>
  <si>
    <t>Sales Office - Cleaning</t>
  </si>
  <si>
    <t>Sales Office - Copier / Fax</t>
  </si>
  <si>
    <t>Sales Office - Postage &amp; Delivery</t>
  </si>
  <si>
    <t>Sales Office - Golf Cart</t>
  </si>
  <si>
    <t>Sales Office - Model Electric</t>
  </si>
  <si>
    <t>Sales Office - Model Rent</t>
  </si>
  <si>
    <t>Sales Office - Office / Clubhouse Electric</t>
  </si>
  <si>
    <t>Sales Office - Office Supplies</t>
  </si>
  <si>
    <t>Sales Office - Refreshments</t>
  </si>
  <si>
    <t>Sales Office - Telephone</t>
  </si>
  <si>
    <t>Sales Office - Temp Labor</t>
  </si>
  <si>
    <t>Sales Office - Towing</t>
  </si>
  <si>
    <t>Sales Office - Other</t>
  </si>
  <si>
    <t>Condominium Rehab Expense</t>
  </si>
  <si>
    <t>Condo Rehab - Cleaning</t>
  </si>
  <si>
    <t>Condo Rehab - Counter / Tub Resurfacing</t>
  </si>
  <si>
    <t>Condo Rehab - Flooring</t>
  </si>
  <si>
    <t>Condo Rehab - Garage Maint / Repairs</t>
  </si>
  <si>
    <t>Condo Rehab - Glass Replacement</t>
  </si>
  <si>
    <t>Condo Rehab - Hardware &amp; Supplies</t>
  </si>
  <si>
    <t>Condo Rehab - Paint</t>
  </si>
  <si>
    <t>Condo Rehab - Paint Vendor</t>
  </si>
  <si>
    <t>Condo Rehab - Temp Labor</t>
  </si>
  <si>
    <t>Condo Rehab - Vacant Electric</t>
  </si>
  <si>
    <t>Non-Operating Lease Up Expense</t>
  </si>
  <si>
    <t>Lease Up - Advertising / Internet</t>
  </si>
  <si>
    <t>Lease Up  - SEO/PPC Campaign</t>
  </si>
  <si>
    <t>Lease Up - Advertising / Other Sources</t>
  </si>
  <si>
    <t>Lease Up - Advertising / Trade Publications</t>
  </si>
  <si>
    <t>Lease Up - Brochures / Floor Plans</t>
  </si>
  <si>
    <t>Lease Up - Concierge Expense</t>
  </si>
  <si>
    <t>Lease Up - Leasing Bonuses</t>
  </si>
  <si>
    <t>Lease Up - Marketing / Promotions</t>
  </si>
  <si>
    <t>Lease Up - Resident Referral Fees</t>
  </si>
  <si>
    <t>Lease Up - Signage</t>
  </si>
  <si>
    <t>Lease Up - Other Expense</t>
  </si>
  <si>
    <t>Other Non-Operating Expense</t>
  </si>
  <si>
    <t>Partnership / Owner Expenses</t>
  </si>
  <si>
    <t>Accounting / Tax Prep Fee</t>
  </si>
  <si>
    <t>Allocated G &amp; A Expenses</t>
  </si>
  <si>
    <t>Third party valuation services</t>
  </si>
  <si>
    <t>Appraisal Fees</t>
  </si>
  <si>
    <t>Political Contributions</t>
  </si>
  <si>
    <t>Construction Management Fees</t>
  </si>
  <si>
    <t>Cost of Building Sales</t>
  </si>
  <si>
    <t>Forensic Expense</t>
  </si>
  <si>
    <t>Forensic Expense Reimbursement</t>
  </si>
  <si>
    <t>Subscription/Membership fees</t>
  </si>
  <si>
    <t>Gain on Casualty</t>
  </si>
  <si>
    <t>Loss on Casualty</t>
  </si>
  <si>
    <t>Third Party Research</t>
  </si>
  <si>
    <t>Gain / Alternate Currency AP</t>
  </si>
  <si>
    <t>Insurance D&amp;O</t>
  </si>
  <si>
    <t>Gain / Loss on Disposition</t>
  </si>
  <si>
    <t>Organization costs</t>
  </si>
  <si>
    <t>Pursuit - Pre Close</t>
  </si>
  <si>
    <t>Pursuit - Terminated</t>
  </si>
  <si>
    <t>Hurricane Recovery</t>
  </si>
  <si>
    <t>Hurricane Recovery Reimbursement</t>
  </si>
  <si>
    <t>Land Lease</t>
  </si>
  <si>
    <t>Partnership Income</t>
  </si>
  <si>
    <t>Dividend Income</t>
  </si>
  <si>
    <t>Dividend Paid</t>
  </si>
  <si>
    <t>Turnover Rent Cost</t>
  </si>
  <si>
    <t>Legal Fees - Partnership / Owner</t>
  </si>
  <si>
    <t>Master Tenant Rent</t>
  </si>
  <si>
    <t>SWAP Cost</t>
  </si>
  <si>
    <t>Gain / Loss Derivative</t>
  </si>
  <si>
    <t>Gain / Loss on Extinguishment Debt</t>
  </si>
  <si>
    <t>Non-Operating Gain / Loss</t>
  </si>
  <si>
    <t>Post Disposition Revenue</t>
  </si>
  <si>
    <t>Post Disposition Expense</t>
  </si>
  <si>
    <t>Refinance Fees</t>
  </si>
  <si>
    <t>Renovation Compensation</t>
  </si>
  <si>
    <t>Travel</t>
  </si>
  <si>
    <t>Other Fee</t>
  </si>
  <si>
    <t>Special Programs</t>
  </si>
  <si>
    <t>Partnership / Owner Expense - Other</t>
  </si>
  <si>
    <t>Partnership / Owner Expense - Other 2nd</t>
  </si>
  <si>
    <t>Partnership / Owner Expense - Other 3rd</t>
  </si>
  <si>
    <t>Miscellaneous Audit Entries</t>
  </si>
  <si>
    <t>Prior Period Adjustment</t>
  </si>
  <si>
    <t>Prior Period Adjustment - Tax Exp</t>
  </si>
  <si>
    <t>Prior Year Expenses</t>
  </si>
  <si>
    <t>Protest Expense</t>
  </si>
  <si>
    <t>Impairments</t>
  </si>
  <si>
    <t>IM Rollup Rounding</t>
  </si>
  <si>
    <t>Deferred Withholding Tax Expense</t>
  </si>
  <si>
    <t>Annual Meeting</t>
  </si>
  <si>
    <t>Income Taxes - Other</t>
  </si>
  <si>
    <t>Net Worth Taxes</t>
  </si>
  <si>
    <t>Consulting Fees</t>
  </si>
  <si>
    <t>License Fees</t>
  </si>
  <si>
    <t>Capex Expense</t>
  </si>
  <si>
    <t>Acquisition Fee</t>
  </si>
  <si>
    <t>Organizational Structure Costs</t>
  </si>
  <si>
    <t>Value Added Tax</t>
  </si>
  <si>
    <t>Turnover Rent Revenue</t>
  </si>
  <si>
    <t>Intercompany Loan Interest</t>
  </si>
  <si>
    <t>Intercompany Lease Revenue</t>
  </si>
  <si>
    <t>Financial Audit</t>
  </si>
  <si>
    <t>Environmental Reports</t>
  </si>
  <si>
    <t>Survey</t>
  </si>
  <si>
    <t>Title Insurance</t>
  </si>
  <si>
    <t>Legal</t>
  </si>
  <si>
    <t>Broker Comm/Fees</t>
  </si>
  <si>
    <t>Title Fees/Recording</t>
  </si>
  <si>
    <t>Transaction Tax</t>
  </si>
  <si>
    <t>Appraisal</t>
  </si>
  <si>
    <t>Zoning</t>
  </si>
  <si>
    <t>Termite</t>
  </si>
  <si>
    <t>Closing Cost Other</t>
  </si>
  <si>
    <t>Real Estate Tax Consulting</t>
  </si>
  <si>
    <t>Debt Service</t>
  </si>
  <si>
    <t>Interest Expense - 1st Mortgage</t>
  </si>
  <si>
    <t>Interest Expense - 2nd Mortgage</t>
  </si>
  <si>
    <t>Interest Expense - 3rd Mortgage</t>
  </si>
  <si>
    <t>Interest Expense - Bond</t>
  </si>
  <si>
    <t>Interest Expense - Line of Credit</t>
  </si>
  <si>
    <t>Interest Expense - CHS</t>
  </si>
  <si>
    <t>Interest Expense - Home Loan</t>
  </si>
  <si>
    <t>Interest Expense - 1st Mezzanine</t>
  </si>
  <si>
    <t>Interest Expense - 2nd Mezzanine</t>
  </si>
  <si>
    <t>Interest Expense - 3rd Mezzanine</t>
  </si>
  <si>
    <t>Interest Expense - Swaps / Permanent</t>
  </si>
  <si>
    <t>Interest Expense - Swaps / Cons</t>
  </si>
  <si>
    <t>Interest Expense - Capitalized</t>
  </si>
  <si>
    <t>Interest Develop Fee</t>
  </si>
  <si>
    <t>Interest Expense - Other</t>
  </si>
  <si>
    <t>Interest Expense  Other 2nd</t>
  </si>
  <si>
    <t>Interest Expense  Other 3rd</t>
  </si>
  <si>
    <t>Deferred Financing Expense</t>
  </si>
  <si>
    <t>Deferred Financing Expense 2nd</t>
  </si>
  <si>
    <t>Subscription Line Debt Service</t>
  </si>
  <si>
    <t>Principal Reduction - Other</t>
  </si>
  <si>
    <t>Mortgage Insurance Premium</t>
  </si>
  <si>
    <t>Replacement Reserve Draws</t>
  </si>
  <si>
    <t>Replacement Reserve Escrow</t>
  </si>
  <si>
    <t>Co-Invest Interest Expense</t>
  </si>
  <si>
    <t>GAAP Adjustment - Loan Payable</t>
  </si>
  <si>
    <t>Ground Lease Fee</t>
  </si>
  <si>
    <t>Below Mkt Ground Lease</t>
  </si>
  <si>
    <t>Ground Lease Fixed</t>
  </si>
  <si>
    <t>Interest Rate Cap Exp-1st 5 Yrs</t>
  </si>
  <si>
    <t>Interest - CHFA Historic Loan(Do Not Use)</t>
  </si>
  <si>
    <t>Issuer Fees</t>
  </si>
  <si>
    <t>Administration Fees</t>
  </si>
  <si>
    <t>Extension Fees</t>
  </si>
  <si>
    <t>Other Financing Fees</t>
  </si>
  <si>
    <t>Loan Exit Fees</t>
  </si>
  <si>
    <t>Loan Cost Amortization</t>
  </si>
  <si>
    <t>Depreciation &amp; Amortization</t>
  </si>
  <si>
    <t>Amort - Value of In-Place Leases</t>
  </si>
  <si>
    <t>Amort - Deferred Ground Lease</t>
  </si>
  <si>
    <t>Amortization</t>
  </si>
  <si>
    <t>Depreciation</t>
  </si>
  <si>
    <t>HOA - Reserves</t>
  </si>
  <si>
    <t>General - Reserves</t>
  </si>
  <si>
    <t>Unrealized Appreciation (Depr.) of R.E.</t>
  </si>
  <si>
    <t>Change in Unrealized Apprec. of R.E.</t>
  </si>
  <si>
    <t>Realized Appec of R.E.</t>
  </si>
  <si>
    <t>Change in Unrealized Appreciation of Debt</t>
  </si>
  <si>
    <t>Unrealized G/L from unconsol. JV</t>
  </si>
  <si>
    <t>Realized Apprec of Unconsol JV</t>
  </si>
  <si>
    <t>Unrealized Appreciation (Depr.) of Derivative</t>
  </si>
  <si>
    <t>G/L: Unreal (I/S) - Right of Use Assets</t>
  </si>
  <si>
    <t>G/L: Unreal (I/S) - Lease Liabilities</t>
  </si>
  <si>
    <t>GAAP Gain/Loss</t>
  </si>
  <si>
    <t>Gain/Loss on Disposal of Assets</t>
  </si>
  <si>
    <t>Income Attributable to Non-Controlling Interest</t>
  </si>
  <si>
    <t>11000-000</t>
  </si>
  <si>
    <t>11010-000</t>
  </si>
  <si>
    <t>11011-000</t>
  </si>
  <si>
    <t>11012-000</t>
  </si>
  <si>
    <t>11013-000</t>
  </si>
  <si>
    <t>11014-000</t>
  </si>
  <si>
    <t>11020-000</t>
  </si>
  <si>
    <t>11021-000</t>
  </si>
  <si>
    <t>11022-000</t>
  </si>
  <si>
    <t>11023-000</t>
  </si>
  <si>
    <t>11024-000</t>
  </si>
  <si>
    <t>11025-000</t>
  </si>
  <si>
    <t>11026-000</t>
  </si>
  <si>
    <t>11027-000</t>
  </si>
  <si>
    <t>11028-000</t>
  </si>
  <si>
    <t>11029-000</t>
  </si>
  <si>
    <t>11030-000</t>
  </si>
  <si>
    <t>11031-000</t>
  </si>
  <si>
    <t>11032-000</t>
  </si>
  <si>
    <t>11033-000</t>
  </si>
  <si>
    <t>11034-000</t>
  </si>
  <si>
    <t>11035-000</t>
  </si>
  <si>
    <t>11036-000</t>
  </si>
  <si>
    <t>11037-000</t>
  </si>
  <si>
    <t>11038-000</t>
  </si>
  <si>
    <t>11039-000</t>
  </si>
  <si>
    <t>11040-000</t>
  </si>
  <si>
    <t>11041-000</t>
  </si>
  <si>
    <t>11042-000</t>
  </si>
  <si>
    <t>11050-000</t>
  </si>
  <si>
    <t>11051-000</t>
  </si>
  <si>
    <t>11052-000</t>
  </si>
  <si>
    <t>11053-000</t>
  </si>
  <si>
    <t>11054-000</t>
  </si>
  <si>
    <t>11055-000</t>
  </si>
  <si>
    <t>11056-000</t>
  </si>
  <si>
    <t>11057-000</t>
  </si>
  <si>
    <t>11060-000</t>
  </si>
  <si>
    <t>11061-000</t>
  </si>
  <si>
    <t>11062-000</t>
  </si>
  <si>
    <t>11063-000</t>
  </si>
  <si>
    <t>11065-000</t>
  </si>
  <si>
    <t>11066-000</t>
  </si>
  <si>
    <t>11067-000</t>
  </si>
  <si>
    <t>11070-000</t>
  </si>
  <si>
    <t>11071-000</t>
  </si>
  <si>
    <t>11075-000</t>
  </si>
  <si>
    <t>11080-000</t>
  </si>
  <si>
    <t>11081-000</t>
  </si>
  <si>
    <t>11082-000</t>
  </si>
  <si>
    <t>11085-000</t>
  </si>
  <si>
    <t>11090-000</t>
  </si>
  <si>
    <t>11100-000</t>
  </si>
  <si>
    <t>11101-000</t>
  </si>
  <si>
    <t>11500-000</t>
  </si>
  <si>
    <t>11500-001</t>
  </si>
  <si>
    <t>CBB Operating</t>
  </si>
  <si>
    <t>11500-002</t>
  </si>
  <si>
    <t>CBB Owner</t>
  </si>
  <si>
    <t>11500-003</t>
  </si>
  <si>
    <t>CBB Renovation</t>
  </si>
  <si>
    <t>11599-999</t>
  </si>
  <si>
    <t>Total Cash</t>
  </si>
  <si>
    <t>11600-000</t>
  </si>
  <si>
    <t>11610-000</t>
  </si>
  <si>
    <t>11615-000</t>
  </si>
  <si>
    <t>11620-000</t>
  </si>
  <si>
    <t>11625-000</t>
  </si>
  <si>
    <t>11630-000</t>
  </si>
  <si>
    <t>11640-000</t>
  </si>
  <si>
    <t>11650-000</t>
  </si>
  <si>
    <t>11699-999</t>
  </si>
  <si>
    <t>Total Utility Deposits</t>
  </si>
  <si>
    <t>11700-000</t>
  </si>
  <si>
    <t>11710-000</t>
  </si>
  <si>
    <t>11715-000</t>
  </si>
  <si>
    <t>11720-000</t>
  </si>
  <si>
    <t>11720-001</t>
  </si>
  <si>
    <t>Contra - Tax Escrow</t>
  </si>
  <si>
    <t>11722-000</t>
  </si>
  <si>
    <t>11725-000</t>
  </si>
  <si>
    <t>11725-001</t>
  </si>
  <si>
    <t>Contra - Insurance Escrow</t>
  </si>
  <si>
    <t>11726-000</t>
  </si>
  <si>
    <t>11730-000</t>
  </si>
  <si>
    <t>11735-000</t>
  </si>
  <si>
    <t>11739-000</t>
  </si>
  <si>
    <t>11740-000</t>
  </si>
  <si>
    <t>11741-000</t>
  </si>
  <si>
    <t>11742-000</t>
  </si>
  <si>
    <t>11755-000</t>
  </si>
  <si>
    <t>11760-000</t>
  </si>
  <si>
    <t>11765-000</t>
  </si>
  <si>
    <t>11770-000</t>
  </si>
  <si>
    <t>11775-000</t>
  </si>
  <si>
    <t>11780-000</t>
  </si>
  <si>
    <t>11785-000</t>
  </si>
  <si>
    <t>11788-000</t>
  </si>
  <si>
    <t>11789-000</t>
  </si>
  <si>
    <t>11790-000</t>
  </si>
  <si>
    <t>11791-000</t>
  </si>
  <si>
    <t>11792-000</t>
  </si>
  <si>
    <t>11793-000</t>
  </si>
  <si>
    <t>11794-000</t>
  </si>
  <si>
    <t>11795-000</t>
  </si>
  <si>
    <t>11796-000</t>
  </si>
  <si>
    <t>11797-000</t>
  </si>
  <si>
    <t>11798-000</t>
  </si>
  <si>
    <t>11799-000</t>
  </si>
  <si>
    <t>11799-999</t>
  </si>
  <si>
    <t>Total Escrow Deposits</t>
  </si>
  <si>
    <t>11800-000</t>
  </si>
  <si>
    <t>11805-000</t>
  </si>
  <si>
    <t>11806-000</t>
  </si>
  <si>
    <t>11807-000</t>
  </si>
  <si>
    <t>11808-000</t>
  </si>
  <si>
    <t>11809-000</t>
  </si>
  <si>
    <t>11810-000</t>
  </si>
  <si>
    <t>11811-000</t>
  </si>
  <si>
    <t>11812-000</t>
  </si>
  <si>
    <t>11830-000</t>
  </si>
  <si>
    <t>11835-000</t>
  </si>
  <si>
    <t>11840-000</t>
  </si>
  <si>
    <t>11845-000</t>
  </si>
  <si>
    <t>11899-999</t>
  </si>
  <si>
    <t>Total Investment Securities</t>
  </si>
  <si>
    <t>11901-000</t>
  </si>
  <si>
    <t>11902-000</t>
  </si>
  <si>
    <t>11903-000</t>
  </si>
  <si>
    <t>11904-000</t>
  </si>
  <si>
    <t>11905-000</t>
  </si>
  <si>
    <t>11906-000</t>
  </si>
  <si>
    <t>11907-000</t>
  </si>
  <si>
    <t>11908-000</t>
  </si>
  <si>
    <t>11909-000</t>
  </si>
  <si>
    <t>11910-000</t>
  </si>
  <si>
    <t>11911-000</t>
  </si>
  <si>
    <t>11912-000</t>
  </si>
  <si>
    <t>11913-000</t>
  </si>
  <si>
    <t>11914-000</t>
  </si>
  <si>
    <t>11915-000</t>
  </si>
  <si>
    <t>11916-000</t>
  </si>
  <si>
    <t>11917-000</t>
  </si>
  <si>
    <t>11999-999</t>
  </si>
  <si>
    <t>Bond Funds</t>
  </si>
  <si>
    <t>12000-000</t>
  </si>
  <si>
    <t>12010-000</t>
  </si>
  <si>
    <t>12010-001</t>
  </si>
  <si>
    <t>Accounts Receivable - Contra</t>
  </si>
  <si>
    <t>12010-002</t>
  </si>
  <si>
    <t>Accounts Receivable - Retail/Commercial</t>
  </si>
  <si>
    <t>12011-000</t>
  </si>
  <si>
    <t>12011-001</t>
  </si>
  <si>
    <t>Input VAT Taxes - Intermediate (Unpaid)</t>
  </si>
  <si>
    <t>12011-002</t>
  </si>
  <si>
    <t>Input VAT Taxes - Exempt</t>
  </si>
  <si>
    <t>12011-003</t>
  </si>
  <si>
    <t>Input VAT Taxes - Mixed Use</t>
  </si>
  <si>
    <t>12011-004</t>
  </si>
  <si>
    <t>Input VAT Taxes - Submitted For</t>
  </si>
  <si>
    <t>12012-000</t>
  </si>
  <si>
    <t>12014-000</t>
  </si>
  <si>
    <t>12015-000</t>
  </si>
  <si>
    <t>12016-000</t>
  </si>
  <si>
    <t>12017-000</t>
  </si>
  <si>
    <t>12020-000</t>
  </si>
  <si>
    <t>12021-000</t>
  </si>
  <si>
    <t>12025-000</t>
  </si>
  <si>
    <t>12026-000</t>
  </si>
  <si>
    <t>12030-000</t>
  </si>
  <si>
    <t>12036-000</t>
  </si>
  <si>
    <t>12040-000</t>
  </si>
  <si>
    <t>12045-000</t>
  </si>
  <si>
    <t>12050-000</t>
  </si>
  <si>
    <t>12055-000</t>
  </si>
  <si>
    <t>12060-000</t>
  </si>
  <si>
    <t>12061-000</t>
  </si>
  <si>
    <t>12062-000</t>
  </si>
  <si>
    <t>12063-000</t>
  </si>
  <si>
    <t>12065-000</t>
  </si>
  <si>
    <t>12066-000</t>
  </si>
  <si>
    <t>12070-000</t>
  </si>
  <si>
    <t>12071-000</t>
  </si>
  <si>
    <t>12072-000</t>
  </si>
  <si>
    <t>12073-000</t>
  </si>
  <si>
    <t>12074-000</t>
  </si>
  <si>
    <t>12076-000</t>
  </si>
  <si>
    <t>12076-001</t>
  </si>
  <si>
    <t>AR Other National Partners</t>
  </si>
  <si>
    <t>12076-002</t>
  </si>
  <si>
    <t>AR Other Collections</t>
  </si>
  <si>
    <t>12076-003</t>
  </si>
  <si>
    <t>AR Other Portals and Leasing</t>
  </si>
  <si>
    <t>12076-004</t>
  </si>
  <si>
    <t>AR Other Energy Services</t>
  </si>
  <si>
    <t>12076-005</t>
  </si>
  <si>
    <t>AR Other Renters Insurance</t>
  </si>
  <si>
    <t>12077-000</t>
  </si>
  <si>
    <t>12078-000</t>
  </si>
  <si>
    <t>12079-000</t>
  </si>
  <si>
    <t>12080-000</t>
  </si>
  <si>
    <t>12080-001</t>
  </si>
  <si>
    <t>Intra-Company - GREP Client Services</t>
  </si>
  <si>
    <t>12080-002</t>
  </si>
  <si>
    <t>Intra-Company - JPI Client Services</t>
  </si>
  <si>
    <t>12080-003</t>
  </si>
  <si>
    <t>Intra-Company - National Mgmt - National</t>
  </si>
  <si>
    <t>12080-004</t>
  </si>
  <si>
    <t>Intra-Company - National Mgmt - Eash</t>
  </si>
  <si>
    <t>12080-005</t>
  </si>
  <si>
    <t>Intra-Company - National Mgmt - Central</t>
  </si>
  <si>
    <t>12080-006</t>
  </si>
  <si>
    <t>Intra-Company - National Mgmt - West</t>
  </si>
  <si>
    <t>12080-007</t>
  </si>
  <si>
    <t>Intra-Company - National Mgmt - JPI</t>
  </si>
  <si>
    <t>12080-008</t>
  </si>
  <si>
    <t>Intra-Company - Talent Mgmt - National</t>
  </si>
  <si>
    <t>12080-009</t>
  </si>
  <si>
    <t>Intra-Company - Talent Mgmt - East</t>
  </si>
  <si>
    <t>12080-010</t>
  </si>
  <si>
    <t>Intra-Company - Talent Mgmt - Central</t>
  </si>
  <si>
    <t>12080-011</t>
  </si>
  <si>
    <t>Intra-Company - Talent Mgmt - West</t>
  </si>
  <si>
    <t>12080-012</t>
  </si>
  <si>
    <t>Intra-Company - Talent Mgmt - JPI</t>
  </si>
  <si>
    <t>12080-013</t>
  </si>
  <si>
    <t>Intra-Company - IT - National</t>
  </si>
  <si>
    <t>12080-014</t>
  </si>
  <si>
    <t>Intra-Company - IT - East</t>
  </si>
  <si>
    <t>12080-015</t>
  </si>
  <si>
    <t>Intra-Company - IT - Central</t>
  </si>
  <si>
    <t>12080-016</t>
  </si>
  <si>
    <t>Intra-Company - IT - West</t>
  </si>
  <si>
    <t>12080-017</t>
  </si>
  <si>
    <t>Intra-Company - IT - JPI</t>
  </si>
  <si>
    <t>12080-018</t>
  </si>
  <si>
    <t>Intra-Company - Fin Svcs - National</t>
  </si>
  <si>
    <t>12080-019</t>
  </si>
  <si>
    <t>Intra-Company - Fin Svcs - East</t>
  </si>
  <si>
    <t>12080-020</t>
  </si>
  <si>
    <t>Intra-Company - Fin Svcs - Houston</t>
  </si>
  <si>
    <t>12080-021</t>
  </si>
  <si>
    <t>Intra-Company - Fin Svcs - Dallas</t>
  </si>
  <si>
    <t>12080-022</t>
  </si>
  <si>
    <t>Intra-Company - Fin Svcs - West</t>
  </si>
  <si>
    <t>12080-023</t>
  </si>
  <si>
    <t>Intra-Company - Fin Svcs - JPI</t>
  </si>
  <si>
    <t>12080-024</t>
  </si>
  <si>
    <t>Intra-Company - GREP SE Tampa</t>
  </si>
  <si>
    <t>12080-025</t>
  </si>
  <si>
    <t>Intra-Company - GREP SE Orlando</t>
  </si>
  <si>
    <t>12080-026</t>
  </si>
  <si>
    <t>Intra-Company - GREP SE South Florida</t>
  </si>
  <si>
    <t>12080-027</t>
  </si>
  <si>
    <t>Intra-Company - GREP SE Georgia</t>
  </si>
  <si>
    <t>12080-028</t>
  </si>
  <si>
    <t>Intra-Company - GREP SE Carolinas</t>
  </si>
  <si>
    <t>12080-029</t>
  </si>
  <si>
    <t>Intra-Company - JPI Tampa</t>
  </si>
  <si>
    <t>12080-030</t>
  </si>
  <si>
    <t>Intra-Company - JPI Orlando</t>
  </si>
  <si>
    <t>12080-031</t>
  </si>
  <si>
    <t>Intra-Company - JPI South Florida</t>
  </si>
  <si>
    <t>12080-032</t>
  </si>
  <si>
    <t>Intra-Company - JPI Georgia</t>
  </si>
  <si>
    <t>12080-033</t>
  </si>
  <si>
    <t>Intra-Company - JPI Carolinas</t>
  </si>
  <si>
    <t>12080-034</t>
  </si>
  <si>
    <t>Intra-Company - GREP Dallas LP</t>
  </si>
  <si>
    <t>12080-035</t>
  </si>
  <si>
    <t>Intra-Company - GREP South LP (Midwest)</t>
  </si>
  <si>
    <t>12080-036</t>
  </si>
  <si>
    <t>Intra-Company - GREP Washington DC</t>
  </si>
  <si>
    <t>12080-037</t>
  </si>
  <si>
    <t>Intra-Company - Student</t>
  </si>
  <si>
    <t>12080-038</t>
  </si>
  <si>
    <t>Intra-Company - JPI Dallas</t>
  </si>
  <si>
    <t>12080-039</t>
  </si>
  <si>
    <t>Intra-Company - JPI Midwest</t>
  </si>
  <si>
    <t>12080-040</t>
  </si>
  <si>
    <t>Intra-Company - JPI Washington DC</t>
  </si>
  <si>
    <t>12080-041</t>
  </si>
  <si>
    <t>Intra-Company - JPI Student</t>
  </si>
  <si>
    <t>12080-042</t>
  </si>
  <si>
    <t>Intra-Company - GREP South LP</t>
  </si>
  <si>
    <t>12080-043</t>
  </si>
  <si>
    <t>Intra-Company - GREP Austin LP</t>
  </si>
  <si>
    <t>12080-044</t>
  </si>
  <si>
    <t>Intra-Company - GREP South LP (SA)</t>
  </si>
  <si>
    <t>12080-045</t>
  </si>
  <si>
    <t>Intra-Company - JPI Houston</t>
  </si>
  <si>
    <t>12080-046</t>
  </si>
  <si>
    <t>Intra-Company - JPI Austin</t>
  </si>
  <si>
    <t>12080-047</t>
  </si>
  <si>
    <t>Intra-Company - JPI San Antonio</t>
  </si>
  <si>
    <t>12080-048</t>
  </si>
  <si>
    <t>Intra-Company - SW Phoenix SubRegion</t>
  </si>
  <si>
    <t>12080-049</t>
  </si>
  <si>
    <t>Intra-Company - SW Denver SubRegion</t>
  </si>
  <si>
    <t>12080-050</t>
  </si>
  <si>
    <t>Intra-Company - SW Las Vegas  SubRegion</t>
  </si>
  <si>
    <t>12080-051</t>
  </si>
  <si>
    <t>Intra-Company - SW Los Angeles SubRegion</t>
  </si>
  <si>
    <t>12080-052</t>
  </si>
  <si>
    <t>Intra-Company - SW Seattle SubRegion</t>
  </si>
  <si>
    <t>12080-053</t>
  </si>
  <si>
    <t>Intra-Company - JPI Phoenix</t>
  </si>
  <si>
    <t>12080-054</t>
  </si>
  <si>
    <t>Intra-Company - JPI Denver</t>
  </si>
  <si>
    <t>12080-055</t>
  </si>
  <si>
    <t>Intra-Company - JPI Las Vegas</t>
  </si>
  <si>
    <t>12080-056</t>
  </si>
  <si>
    <t>Intra-Company - JPI Los Angeles</t>
  </si>
  <si>
    <t>12080-057</t>
  </si>
  <si>
    <t>Intra-Company - JPI Seattle</t>
  </si>
  <si>
    <t>12080-058</t>
  </si>
  <si>
    <t>Intra-Company - GIG</t>
  </si>
  <si>
    <t>12080-059</t>
  </si>
  <si>
    <t>Intra-Company - Holding Company</t>
  </si>
  <si>
    <t>12080-060</t>
  </si>
  <si>
    <t>Intra-Company - GDG</t>
  </si>
  <si>
    <t>12080-061</t>
  </si>
  <si>
    <t>Intra-Company - Greystar Acquisition</t>
  </si>
  <si>
    <t>12081-000</t>
  </si>
  <si>
    <t>12081-001</t>
  </si>
  <si>
    <t>Intra-Company - Northeast</t>
  </si>
  <si>
    <t>12081-002</t>
  </si>
  <si>
    <t>Intra-Company - Southeast</t>
  </si>
  <si>
    <t>12081-003</t>
  </si>
  <si>
    <t>Intra-Company - Central North</t>
  </si>
  <si>
    <t>12081-004</t>
  </si>
  <si>
    <t>Intra-Company - Central South</t>
  </si>
  <si>
    <t>12081-005</t>
  </si>
  <si>
    <t>Intra-Company - Austin</t>
  </si>
  <si>
    <t>12081-006</t>
  </si>
  <si>
    <t>Intra-Company - Southwest</t>
  </si>
  <si>
    <t>12081-007</t>
  </si>
  <si>
    <t>Intra-Company - West</t>
  </si>
  <si>
    <t>12081-008</t>
  </si>
  <si>
    <t>Intra-Company - Investment</t>
  </si>
  <si>
    <t>12081-009</t>
  </si>
  <si>
    <t>Intra-Company - Development</t>
  </si>
  <si>
    <t>12081-010</t>
  </si>
  <si>
    <t>Intra-Company- Ground Up Construction</t>
  </si>
  <si>
    <t>12081-011</t>
  </si>
  <si>
    <t>Intra-Company - Rehab</t>
  </si>
  <si>
    <t>12081-012</t>
  </si>
  <si>
    <t>Intra-Company - National Procurement</t>
  </si>
  <si>
    <t>12081-013</t>
  </si>
  <si>
    <t>Intra-Company - Information Technology</t>
  </si>
  <si>
    <t>12081-014</t>
  </si>
  <si>
    <t>Intra-Company - National Marketing</t>
  </si>
  <si>
    <t>12081-015</t>
  </si>
  <si>
    <t>Intra-Company - Market Principal</t>
  </si>
  <si>
    <t>12081-016</t>
  </si>
  <si>
    <t>Intra-Company - Talent Management</t>
  </si>
  <si>
    <t>12081-017</t>
  </si>
  <si>
    <t>Intra-Company - Headquarters</t>
  </si>
  <si>
    <t>12081-018</t>
  </si>
  <si>
    <t>Intra-Company - Risk Management</t>
  </si>
  <si>
    <t>12081-019</t>
  </si>
  <si>
    <t>Intra-Company - Administrative Services</t>
  </si>
  <si>
    <t>12081-020</t>
  </si>
  <si>
    <t>Intra-Company - Financial Services</t>
  </si>
  <si>
    <t>12081-021</t>
  </si>
  <si>
    <t>Intra-Company - Maintenance</t>
  </si>
  <si>
    <t>12081-022</t>
  </si>
  <si>
    <t>Intra-Company - Treasury Services</t>
  </si>
  <si>
    <t>12081-023</t>
  </si>
  <si>
    <t>Intra-Company - Acquisitions</t>
  </si>
  <si>
    <t>12081-024</t>
  </si>
  <si>
    <t>Intra-Company - JPI Acquisition</t>
  </si>
  <si>
    <t>12081-025</t>
  </si>
  <si>
    <t>Intra-Company GIA</t>
  </si>
  <si>
    <t>12081-026</t>
  </si>
  <si>
    <t>Intra-Company GREP</t>
  </si>
  <si>
    <t>12081-027</t>
  </si>
  <si>
    <t>Intra-Comapny - Florida</t>
  </si>
  <si>
    <t>12081-028</t>
  </si>
  <si>
    <t>GIG/Asset Management Services</t>
  </si>
  <si>
    <t>12081-029</t>
  </si>
  <si>
    <t>12081-030</t>
  </si>
  <si>
    <t>Intercompany A/R Cash Settled</t>
  </si>
  <si>
    <t>12081-031</t>
  </si>
  <si>
    <t>Intercompany A/P Cash Settled</t>
  </si>
  <si>
    <t>12081-032</t>
  </si>
  <si>
    <t>US UK Management</t>
  </si>
  <si>
    <t>12081-033</t>
  </si>
  <si>
    <t>Cash Settled Clearing</t>
  </si>
  <si>
    <t>12081-034</t>
  </si>
  <si>
    <t>Intra-Company A/P - Continental Europe</t>
  </si>
  <si>
    <t>12081-035</t>
  </si>
  <si>
    <t>Intra-Company A/R - Continental Europe</t>
  </si>
  <si>
    <t>12081-040</t>
  </si>
  <si>
    <t>Intercompany - A/R Capital Projects</t>
  </si>
  <si>
    <t>12081-041</t>
  </si>
  <si>
    <t>Intercompany - A/P Capital Projects</t>
  </si>
  <si>
    <t>12081-075</t>
  </si>
  <si>
    <t>IC Rent and G&amp;A Allocations</t>
  </si>
  <si>
    <t>12082-000</t>
  </si>
  <si>
    <t>12082-001</t>
  </si>
  <si>
    <t>Intra-Region/Line 1</t>
  </si>
  <si>
    <t>12082-002</t>
  </si>
  <si>
    <t>Intra-Region/Line 2</t>
  </si>
  <si>
    <t>12082-003</t>
  </si>
  <si>
    <t>Intra-Region/Line 3</t>
  </si>
  <si>
    <t>12082-004</t>
  </si>
  <si>
    <t>Intra-Region/Line 4</t>
  </si>
  <si>
    <t>12082-005</t>
  </si>
  <si>
    <t>Intra-Region/Line 5</t>
  </si>
  <si>
    <t>12082-006</t>
  </si>
  <si>
    <t>Intra-Region/Line 6</t>
  </si>
  <si>
    <t>12082-008</t>
  </si>
  <si>
    <t>Intercompany 2nd</t>
  </si>
  <si>
    <t>12083-000</t>
  </si>
  <si>
    <t>12083-001</t>
  </si>
  <si>
    <t>Intra-Company UK Management</t>
  </si>
  <si>
    <t>12083-002</t>
  </si>
  <si>
    <t>Intra-Company UK Investment</t>
  </si>
  <si>
    <t>12083-003</t>
  </si>
  <si>
    <t>Intra-Company UK Rehab</t>
  </si>
  <si>
    <t>12083-004</t>
  </si>
  <si>
    <t>Intra-Company UK Development</t>
  </si>
  <si>
    <t>12083-005</t>
  </si>
  <si>
    <t>Intra-Company UK Ground Up Construction</t>
  </si>
  <si>
    <t>12084-000</t>
  </si>
  <si>
    <t>12085-000</t>
  </si>
  <si>
    <t>12086-001</t>
  </si>
  <si>
    <t>Intra-Company - Central North GMS</t>
  </si>
  <si>
    <t>12086-002</t>
  </si>
  <si>
    <t>Intra-Company - Central Mountain GMS</t>
  </si>
  <si>
    <t>12086-003</t>
  </si>
  <si>
    <t>Intra-Company - Central West GMS</t>
  </si>
  <si>
    <t>12086-004</t>
  </si>
  <si>
    <t>Intra-Company - Central South GMS</t>
  </si>
  <si>
    <t>12086-005</t>
  </si>
  <si>
    <t>Intra-Company - Northeast GMS</t>
  </si>
  <si>
    <t>12086-006</t>
  </si>
  <si>
    <t>Intra-Company - Southeast GMS</t>
  </si>
  <si>
    <t>12086-007</t>
  </si>
  <si>
    <t>Intra-Company - Florida GMS</t>
  </si>
  <si>
    <t>12086-008</t>
  </si>
  <si>
    <t>Intra-Company - West GMS</t>
  </si>
  <si>
    <t>12086-009</t>
  </si>
  <si>
    <t>Intra-Company - Pacific Northwest GMS</t>
  </si>
  <si>
    <t>12086-010</t>
  </si>
  <si>
    <t>Intra-Company - Corporate Housing GMS</t>
  </si>
  <si>
    <t>12086-011</t>
  </si>
  <si>
    <t>Intra-Company - Hawaii GMS</t>
  </si>
  <si>
    <t>12086-012</t>
  </si>
  <si>
    <t>Intra-Company - US UK GMS</t>
  </si>
  <si>
    <t>12086-030</t>
  </si>
  <si>
    <t>IC HR Services - Talent Management - National</t>
  </si>
  <si>
    <t>12086-031</t>
  </si>
  <si>
    <t>IC Education and Training - Talent Management - National</t>
  </si>
  <si>
    <t>12086-032</t>
  </si>
  <si>
    <t>IC Corporate Marketing - Marketing - National</t>
  </si>
  <si>
    <t>12086-033</t>
  </si>
  <si>
    <t>IC Property Marketing - Marketing - National</t>
  </si>
  <si>
    <t>12086-034</t>
  </si>
  <si>
    <t>IC Corporate Communications - Marketing - National</t>
  </si>
  <si>
    <t>12086-035</t>
  </si>
  <si>
    <t>IC Information Technology - IT - National</t>
  </si>
  <si>
    <t>12086-036</t>
  </si>
  <si>
    <t>IC Performance Analytics - IT - National</t>
  </si>
  <si>
    <t>12086-037</t>
  </si>
  <si>
    <t>IC Fin Services Corp - Financial Services - National</t>
  </si>
  <si>
    <t>12086-038</t>
  </si>
  <si>
    <t>IC Treasury Services - Financial Services- National</t>
  </si>
  <si>
    <t>12086-039</t>
  </si>
  <si>
    <t>IC Fin Services Property - Financial Services- National</t>
  </si>
  <si>
    <t>12086-040</t>
  </si>
  <si>
    <t>IC Renovation Services - Renovations - National</t>
  </si>
  <si>
    <t>12086-041</t>
  </si>
  <si>
    <t>IC Maintenance Services - Maintenance - National</t>
  </si>
  <si>
    <t>12086-042</t>
  </si>
  <si>
    <t>IC Collections - Advantage Services - National</t>
  </si>
  <si>
    <t>12086-043</t>
  </si>
  <si>
    <t>IC Energy Services - Advantage Services - National</t>
  </si>
  <si>
    <t>12086-044</t>
  </si>
  <si>
    <t>IC Portals and Leasing - Advantage Services - National</t>
  </si>
  <si>
    <t>12086-045</t>
  </si>
  <si>
    <t>IC Renters Insurance - Advantage Services - National</t>
  </si>
  <si>
    <t>12086-046</t>
  </si>
  <si>
    <t>IC National Partners - Advantage Services - National</t>
  </si>
  <si>
    <t>12086-047</t>
  </si>
  <si>
    <t>IC Client Services - Client Services - National</t>
  </si>
  <si>
    <t>12086-048</t>
  </si>
  <si>
    <t>IC Legal Services - Headquarters - National</t>
  </si>
  <si>
    <t>12086-049</t>
  </si>
  <si>
    <t>IC Compliance Services - Compliance Services - National</t>
  </si>
  <si>
    <t>12086-050</t>
  </si>
  <si>
    <t>IC Strategic Services - Strategic Services - GMS</t>
  </si>
  <si>
    <t>12086-051</t>
  </si>
  <si>
    <t>IC Real Estate Strategic Services - GMS</t>
  </si>
  <si>
    <t>12086-052</t>
  </si>
  <si>
    <t>IC Greystar Transition</t>
  </si>
  <si>
    <t>12086-053</t>
  </si>
  <si>
    <t>IC Riverstone Transition</t>
  </si>
  <si>
    <t>12086-054</t>
  </si>
  <si>
    <t>Riverstone Operating Company</t>
  </si>
  <si>
    <t>12086-055</t>
  </si>
  <si>
    <t>IC Guaranty Direct</t>
  </si>
  <si>
    <t>12086-056</t>
  </si>
  <si>
    <t>IC Technology Services - GMS</t>
  </si>
  <si>
    <t>12086-057</t>
  </si>
  <si>
    <t>IntraCompany  Greystar Transfer Pricing</t>
  </si>
  <si>
    <t>12086-058</t>
  </si>
  <si>
    <t>IC Revenue Management - National</t>
  </si>
  <si>
    <t>12087-000</t>
  </si>
  <si>
    <t>12087-001</t>
  </si>
  <si>
    <t>Intra-Company - Central North RRG</t>
  </si>
  <si>
    <t>12087-002</t>
  </si>
  <si>
    <t>Intra-Company - Central Mountain RRG</t>
  </si>
  <si>
    <t>12087-003</t>
  </si>
  <si>
    <t>Intra-Company - Central West RRG</t>
  </si>
  <si>
    <t>12087-004</t>
  </si>
  <si>
    <t>Intra-Company - Central South RRG</t>
  </si>
  <si>
    <t>12087-005</t>
  </si>
  <si>
    <t>Intra-Company - Northeast RRG</t>
  </si>
  <si>
    <t>12087-006</t>
  </si>
  <si>
    <t>Intra-Company - Southeast RRG</t>
  </si>
  <si>
    <t>12087-007</t>
  </si>
  <si>
    <t>Intra-Company - Florida RRG</t>
  </si>
  <si>
    <t>12087-008</t>
  </si>
  <si>
    <t>Intra-Company - West RRG</t>
  </si>
  <si>
    <t>12087-009</t>
  </si>
  <si>
    <t>Intra-Company - Pacific Northwest RRG</t>
  </si>
  <si>
    <t>12087-011</t>
  </si>
  <si>
    <t>Intra-Company - Southwest RRG</t>
  </si>
  <si>
    <t>12087-053</t>
  </si>
  <si>
    <t>12087-054</t>
  </si>
  <si>
    <t>12087-055</t>
  </si>
  <si>
    <t>12087-056</t>
  </si>
  <si>
    <t>Riverstone Insurance, Inc. Overhead</t>
  </si>
  <si>
    <t>12089-000</t>
  </si>
  <si>
    <t>12090-000</t>
  </si>
  <si>
    <t>12095-000</t>
  </si>
  <si>
    <t>12100-000</t>
  </si>
  <si>
    <t>12105-000</t>
  </si>
  <si>
    <t>12105-001</t>
  </si>
  <si>
    <t>Due from Aff. (TRS)</t>
  </si>
  <si>
    <t>12110-000</t>
  </si>
  <si>
    <t>12115-000</t>
  </si>
  <si>
    <t>12120-000</t>
  </si>
  <si>
    <t>12122-000</t>
  </si>
  <si>
    <t>12125-001</t>
  </si>
  <si>
    <t>Allowance for Doubtful Accounts - Retail</t>
  </si>
  <si>
    <t>12126-000</t>
  </si>
  <si>
    <t>12127-000</t>
  </si>
  <si>
    <t>12128-000</t>
  </si>
  <si>
    <t>12999-999</t>
  </si>
  <si>
    <t>Total Accounts Receivable</t>
  </si>
  <si>
    <t>13000-000</t>
  </si>
  <si>
    <t>13010-000</t>
  </si>
  <si>
    <t>13020-000</t>
  </si>
  <si>
    <t>13021-000</t>
  </si>
  <si>
    <t>13022-000</t>
  </si>
  <si>
    <t>13023-000</t>
  </si>
  <si>
    <t>13024-000</t>
  </si>
  <si>
    <t>13025-000</t>
  </si>
  <si>
    <t>13026-000</t>
  </si>
  <si>
    <t>13027-000</t>
  </si>
  <si>
    <t>13028-000</t>
  </si>
  <si>
    <t>13029-000</t>
  </si>
  <si>
    <t>13030-000</t>
  </si>
  <si>
    <t>13031-000</t>
  </si>
  <si>
    <t>13032-000</t>
  </si>
  <si>
    <t>13033-000</t>
  </si>
  <si>
    <t>13034-000</t>
  </si>
  <si>
    <t>13040-000</t>
  </si>
  <si>
    <t>13045-000</t>
  </si>
  <si>
    <t>13055-000</t>
  </si>
  <si>
    <t>13065-000</t>
  </si>
  <si>
    <t>13075-000</t>
  </si>
  <si>
    <t>13080-000</t>
  </si>
  <si>
    <t>13081-000</t>
  </si>
  <si>
    <t>13085-600</t>
  </si>
  <si>
    <t>Prepaid Ground Lease</t>
  </si>
  <si>
    <t>13086-000</t>
  </si>
  <si>
    <t>13087-000</t>
  </si>
  <si>
    <t>13088-000</t>
  </si>
  <si>
    <t>13088-002</t>
  </si>
  <si>
    <t>S/L Adj Concs Curr Term</t>
  </si>
  <si>
    <t>13088-004</t>
  </si>
  <si>
    <t>S/L Adj Conc Future Ter</t>
  </si>
  <si>
    <t>13088-006</t>
  </si>
  <si>
    <t>S/L Adj Concs Bdgt/Fcst</t>
  </si>
  <si>
    <t>13089-000</t>
  </si>
  <si>
    <t>13090-000</t>
  </si>
  <si>
    <t>13090-600</t>
  </si>
  <si>
    <t>Deferred Income Rec FASB 13</t>
  </si>
  <si>
    <t>13091-000</t>
  </si>
  <si>
    <t>13092-000</t>
  </si>
  <si>
    <t>13095-000</t>
  </si>
  <si>
    <t>13998-999</t>
  </si>
  <si>
    <t>Total Prepaids &amp; Other Current Assets</t>
  </si>
  <si>
    <t>13999-999</t>
  </si>
  <si>
    <t>Total Current Assets</t>
  </si>
  <si>
    <t>14000-000</t>
  </si>
  <si>
    <t>14010-000</t>
  </si>
  <si>
    <t>14020-000</t>
  </si>
  <si>
    <t>14021-000</t>
  </si>
  <si>
    <t>14022-000</t>
  </si>
  <si>
    <t>14022-600</t>
  </si>
  <si>
    <t>Land Write-Off</t>
  </si>
  <si>
    <t>14025-600</t>
  </si>
  <si>
    <t>REDEV Land Improvements</t>
  </si>
  <si>
    <t>14025-700</t>
  </si>
  <si>
    <t>OpCapX-Land Improvments</t>
  </si>
  <si>
    <t>14026-000</t>
  </si>
  <si>
    <t>14026-600</t>
  </si>
  <si>
    <t>W/O Land Improvements</t>
  </si>
  <si>
    <t>14026-700</t>
  </si>
  <si>
    <t>AstPrsv &amp; Dsctnry -Land Improvemens</t>
  </si>
  <si>
    <t>14027-000</t>
  </si>
  <si>
    <t>14027-600</t>
  </si>
  <si>
    <t>ACQ Land Improvements</t>
  </si>
  <si>
    <t>14027-700</t>
  </si>
  <si>
    <t>Aquisition-Land Improvements</t>
  </si>
  <si>
    <t>14028-700</t>
  </si>
  <si>
    <t>Place in Service-Land Improvements</t>
  </si>
  <si>
    <t>14030-000</t>
  </si>
  <si>
    <t>14030-013</t>
  </si>
  <si>
    <t>A/D Land Improvements Construction</t>
  </si>
  <si>
    <t>14030-014</t>
  </si>
  <si>
    <t>A/D Grading/Drainage</t>
  </si>
  <si>
    <t>14030-015</t>
  </si>
  <si>
    <t>A/D Grading/Drainage Construction</t>
  </si>
  <si>
    <t>14030-016</t>
  </si>
  <si>
    <t>A/D Landscape design/installation</t>
  </si>
  <si>
    <t>14030-017</t>
  </si>
  <si>
    <t>A/D Landscape design/installation Construction</t>
  </si>
  <si>
    <t>14030-018</t>
  </si>
  <si>
    <t>A/D Sidewalk</t>
  </si>
  <si>
    <t>14030-019</t>
  </si>
  <si>
    <t>A/D Sidewalk Construction</t>
  </si>
  <si>
    <t>14030-020</t>
  </si>
  <si>
    <t>A/D Signage Construction</t>
  </si>
  <si>
    <t>14030-021</t>
  </si>
  <si>
    <t>A/D Parking Lot/Tennis Court</t>
  </si>
  <si>
    <t>14030-022</t>
  </si>
  <si>
    <t>A/D Parking Lot/Tennis Court Construction</t>
  </si>
  <si>
    <t>14030-023</t>
  </si>
  <si>
    <t>A/D Fencing</t>
  </si>
  <si>
    <t>14030-024</t>
  </si>
  <si>
    <t>A/D Fencing Construction</t>
  </si>
  <si>
    <t>14030-025</t>
  </si>
  <si>
    <t>A/D Pool</t>
  </si>
  <si>
    <t>14030-026</t>
  </si>
  <si>
    <t>A/D Pool Construction</t>
  </si>
  <si>
    <t>14030-027</t>
  </si>
  <si>
    <t>A/D Site Lighting</t>
  </si>
  <si>
    <t>14030-028</t>
  </si>
  <si>
    <t>A/D Site Lighting Construction</t>
  </si>
  <si>
    <t>14030-029</t>
  </si>
  <si>
    <t>A/D Building Construction</t>
  </si>
  <si>
    <t>14030-030</t>
  </si>
  <si>
    <t>A/D Building Improvements</t>
  </si>
  <si>
    <t>14030-031</t>
  </si>
  <si>
    <t>A/D Building Improvements Construction</t>
  </si>
  <si>
    <t>14030-032</t>
  </si>
  <si>
    <t>A/D Exterior Painting</t>
  </si>
  <si>
    <t>14030-033</t>
  </si>
  <si>
    <t>A/D Exterior Painting Construction</t>
  </si>
  <si>
    <t>14030-034</t>
  </si>
  <si>
    <t>A/D Interior Painting</t>
  </si>
  <si>
    <t>14030-035</t>
  </si>
  <si>
    <t>A/D Interior Painting Construction</t>
  </si>
  <si>
    <t>14030-036</t>
  </si>
  <si>
    <t>A/D Carpentry</t>
  </si>
  <si>
    <t>14030-037</t>
  </si>
  <si>
    <t>A/D Carpentry Construction</t>
  </si>
  <si>
    <t>14030-038</t>
  </si>
  <si>
    <t>A/D Roofing/Guttering</t>
  </si>
  <si>
    <t>14030-039</t>
  </si>
  <si>
    <t>A/D Roofing/Guttering Construction</t>
  </si>
  <si>
    <t>14030-040</t>
  </si>
  <si>
    <t>A/D Doors</t>
  </si>
  <si>
    <t>14030-041</t>
  </si>
  <si>
    <t>A/D Doors Construction</t>
  </si>
  <si>
    <t>14030-042</t>
  </si>
  <si>
    <t>A/D Windows</t>
  </si>
  <si>
    <t>14030-043</t>
  </si>
  <si>
    <t>A/D Windows Construction</t>
  </si>
  <si>
    <t>14030-044</t>
  </si>
  <si>
    <t>A/D Plumbing Construction</t>
  </si>
  <si>
    <t>14030-045</t>
  </si>
  <si>
    <t>A/D Electrical Construction</t>
  </si>
  <si>
    <t>14030-046</t>
  </si>
  <si>
    <t>A/D Elevators</t>
  </si>
  <si>
    <t>14030-047</t>
  </si>
  <si>
    <t>A/D Elevators Construction</t>
  </si>
  <si>
    <t>14030-048</t>
  </si>
  <si>
    <t>A/D Kitchen Cabinets</t>
  </si>
  <si>
    <t>14030-049</t>
  </si>
  <si>
    <t>A/D Kitchen Cabinets Construction</t>
  </si>
  <si>
    <t>14030-050</t>
  </si>
  <si>
    <t>A/D Bathroom Cabinets</t>
  </si>
  <si>
    <t>14030-051</t>
  </si>
  <si>
    <t>A/D Bathroom Cabinets Construction</t>
  </si>
  <si>
    <t>14030-052</t>
  </si>
  <si>
    <t>A/D Tub/Shower</t>
  </si>
  <si>
    <t>14030-053</t>
  </si>
  <si>
    <t>A/D Tub/Shower Construction</t>
  </si>
  <si>
    <t>14030-054</t>
  </si>
  <si>
    <t>A/D Carports/Garages</t>
  </si>
  <si>
    <t>14030-055</t>
  </si>
  <si>
    <t>A/D Carports/Garages Construction</t>
  </si>
  <si>
    <t>14030-056</t>
  </si>
  <si>
    <t>A/D Balcony Repair</t>
  </si>
  <si>
    <t>14030-057</t>
  </si>
  <si>
    <t>A/D Balcony Repair Construction</t>
  </si>
  <si>
    <t>14030-058</t>
  </si>
  <si>
    <t>A/D Stairways</t>
  </si>
  <si>
    <t>14030-059</t>
  </si>
  <si>
    <t>A/D Stairways Construction</t>
  </si>
  <si>
    <t>14030-060</t>
  </si>
  <si>
    <t>A/D Termite Treatment</t>
  </si>
  <si>
    <t>14030-061</t>
  </si>
  <si>
    <t>A/D Termite Treatment Construction</t>
  </si>
  <si>
    <t>14030-062</t>
  </si>
  <si>
    <t>A/D Life Safety</t>
  </si>
  <si>
    <t>14030-063</t>
  </si>
  <si>
    <t>A/D Life Safety Construction</t>
  </si>
  <si>
    <t>14030-064</t>
  </si>
  <si>
    <t>A/D ADA</t>
  </si>
  <si>
    <t>14030-065</t>
  </si>
  <si>
    <t>A/D ADA Construction</t>
  </si>
  <si>
    <t>14030-066</t>
  </si>
  <si>
    <t>A/D Rehab Units</t>
  </si>
  <si>
    <t>14030-067</t>
  </si>
  <si>
    <t>A/D Rehab Units Construction</t>
  </si>
  <si>
    <t>14030-068</t>
  </si>
  <si>
    <t>A/D Clubhouse Improvements Construction</t>
  </si>
  <si>
    <t>14030-600</t>
  </si>
  <si>
    <t>Acc Depr W/O Land Improv-INA</t>
  </si>
  <si>
    <t>14031-600</t>
  </si>
  <si>
    <t>MAJ Concrete Work</t>
  </si>
  <si>
    <t>14032-000</t>
  </si>
  <si>
    <t>14032-600</t>
  </si>
  <si>
    <t>MAJ Entitlements</t>
  </si>
  <si>
    <t>14032-700</t>
  </si>
  <si>
    <t>AstPrsv &amp; Dsctnry -Turf Replacement</t>
  </si>
  <si>
    <t>14033-000</t>
  </si>
  <si>
    <t>14033-013</t>
  </si>
  <si>
    <t>Pool Equipment Construction</t>
  </si>
  <si>
    <t>14033-014</t>
  </si>
  <si>
    <t>Pool Furniture Construction</t>
  </si>
  <si>
    <t>14033-600</t>
  </si>
  <si>
    <t>MAJ Structural</t>
  </si>
  <si>
    <t>14034-000</t>
  </si>
  <si>
    <t>14034-600</t>
  </si>
  <si>
    <t>MAJ ADA Upgrades</t>
  </si>
  <si>
    <t>14035-000</t>
  </si>
  <si>
    <t>14035-600</t>
  </si>
  <si>
    <t>MAJ Casualty Loss</t>
  </si>
  <si>
    <t>14036-000</t>
  </si>
  <si>
    <t>14036-600</t>
  </si>
  <si>
    <t>MAJ Remediation</t>
  </si>
  <si>
    <t>14037-600</t>
  </si>
  <si>
    <t>MAJ Trash Removal</t>
  </si>
  <si>
    <t>14038-000</t>
  </si>
  <si>
    <t>14038-600</t>
  </si>
  <si>
    <t>MAJ Pet Stations</t>
  </si>
  <si>
    <t>14039-600</t>
  </si>
  <si>
    <t>MAJ Mailbox</t>
  </si>
  <si>
    <t>14039-999</t>
  </si>
  <si>
    <t>Total Land</t>
  </si>
  <si>
    <t>14040-000</t>
  </si>
  <si>
    <t>14040-600</t>
  </si>
  <si>
    <t>SC CIP Building</t>
  </si>
  <si>
    <t>14041-600</t>
  </si>
  <si>
    <t>CIP Dev Demolition ACM Removal</t>
  </si>
  <si>
    <t>14041-601</t>
  </si>
  <si>
    <t>CIP Nonrecurring - REDEV</t>
  </si>
  <si>
    <t>14042-600</t>
  </si>
  <si>
    <t>CIP Dev Landscaping/Art</t>
  </si>
  <si>
    <t>14042-601</t>
  </si>
  <si>
    <t>CIP Nonrecurring - REHAB</t>
  </si>
  <si>
    <t>14043-600</t>
  </si>
  <si>
    <t>CIP DEV - Shell/Core Constr</t>
  </si>
  <si>
    <t>14043-601</t>
  </si>
  <si>
    <t>CIP Nonrecurring - ROI</t>
  </si>
  <si>
    <t>14044-600</t>
  </si>
  <si>
    <t>CIP DEV - Architecture</t>
  </si>
  <si>
    <t>14044-601</t>
  </si>
  <si>
    <t>CIP Nonrecurring - ACQ</t>
  </si>
  <si>
    <t>14045-000</t>
  </si>
  <si>
    <t>14045-600</t>
  </si>
  <si>
    <t>CIP DEV - Mgmt Fee/Costs</t>
  </si>
  <si>
    <t>14045-601</t>
  </si>
  <si>
    <t>CIP Nonrecurring - CODE</t>
  </si>
  <si>
    <t>14046-000</t>
  </si>
  <si>
    <t>14046-600</t>
  </si>
  <si>
    <t>CIP DEV - FF&amp;E</t>
  </si>
  <si>
    <t>14046-601</t>
  </si>
  <si>
    <t>CIP Recurring - REPLACE</t>
  </si>
  <si>
    <t>14047-000</t>
  </si>
  <si>
    <t>14047-600</t>
  </si>
  <si>
    <t>CIP DEV - Tsting. Insp</t>
  </si>
  <si>
    <t>14047-601</t>
  </si>
  <si>
    <t>CIP Recurring - COMMON</t>
  </si>
  <si>
    <t>14048-000</t>
  </si>
  <si>
    <t>14048-600</t>
  </si>
  <si>
    <t>CIP DEV - Permits/Muni Fees</t>
  </si>
  <si>
    <t>14048-601</t>
  </si>
  <si>
    <t>Contra CIP Nonrecurring</t>
  </si>
  <si>
    <t>14049-000</t>
  </si>
  <si>
    <t>14049-600</t>
  </si>
  <si>
    <t>CIP DEV - Cap'd Interest</t>
  </si>
  <si>
    <t>14049-601</t>
  </si>
  <si>
    <t>Contra CIP Recurring</t>
  </si>
  <si>
    <t>14050-000</t>
  </si>
  <si>
    <t>14050-600</t>
  </si>
  <si>
    <t>SC CIP Siding</t>
  </si>
  <si>
    <t>14051-000</t>
  </si>
  <si>
    <t>14051-600</t>
  </si>
  <si>
    <t>SC CIP Window</t>
  </si>
  <si>
    <t>14052-000</t>
  </si>
  <si>
    <t>14052-600</t>
  </si>
  <si>
    <t>SC CIP Roof</t>
  </si>
  <si>
    <t>14053-000</t>
  </si>
  <si>
    <t>14053-600</t>
  </si>
  <si>
    <t>CIP DEV - Cap'd Oper Costs</t>
  </si>
  <si>
    <t>14054-000</t>
  </si>
  <si>
    <t>14054-600</t>
  </si>
  <si>
    <t>CIP DEV - Costs Contra</t>
  </si>
  <si>
    <t>14055-600</t>
  </si>
  <si>
    <t>CIP DEV -  Engineers</t>
  </si>
  <si>
    <t>14056-600</t>
  </si>
  <si>
    <t>CIP DEV - Misc Costs</t>
  </si>
  <si>
    <t>14057-600</t>
  </si>
  <si>
    <t>SC CIP Bldg Imprvmnts</t>
  </si>
  <si>
    <t>14058-600</t>
  </si>
  <si>
    <t>SC CIP FF&amp;E</t>
  </si>
  <si>
    <t>14058-601</t>
  </si>
  <si>
    <t>SC CIP Contra-Curr Yr</t>
  </si>
  <si>
    <t>14058-602</t>
  </si>
  <si>
    <t>SC CIP Contra-Prior Yr</t>
  </si>
  <si>
    <t>14059-999</t>
  </si>
  <si>
    <t>Total Construction in Progress</t>
  </si>
  <si>
    <t>14060-000</t>
  </si>
  <si>
    <t>14063-600</t>
  </si>
  <si>
    <t>SC Building</t>
  </si>
  <si>
    <t>14064-600</t>
  </si>
  <si>
    <t>SC Building-Prior Yr</t>
  </si>
  <si>
    <t>14064-700</t>
  </si>
  <si>
    <t>Buildings - Development</t>
  </si>
  <si>
    <t>14065-000</t>
  </si>
  <si>
    <t>14065-002</t>
  </si>
  <si>
    <t>Buildings  Other</t>
  </si>
  <si>
    <t>14065-003</t>
  </si>
  <si>
    <t>Buildings  Other - Post Acq</t>
  </si>
  <si>
    <t>14065-004</t>
  </si>
  <si>
    <t>Buildings  Other - Transaction Costs</t>
  </si>
  <si>
    <t>14065-600</t>
  </si>
  <si>
    <t>Bldgs Acqd - FAS 141 Step</t>
  </si>
  <si>
    <t>14065-700</t>
  </si>
  <si>
    <t>Buildings- Development SB</t>
  </si>
  <si>
    <t>14066-000</t>
  </si>
  <si>
    <t>14066-600</t>
  </si>
  <si>
    <t>W/O Building</t>
  </si>
  <si>
    <t>14067-000</t>
  </si>
  <si>
    <t>14067-600</t>
  </si>
  <si>
    <t>Acc Depr W/O Building</t>
  </si>
  <si>
    <t>14068-600</t>
  </si>
  <si>
    <t>Acc Depr W/O Bldg Improvement</t>
  </si>
  <si>
    <t>14069-600</t>
  </si>
  <si>
    <t>Building-Fair Value Adjustment</t>
  </si>
  <si>
    <t>14070-600</t>
  </si>
  <si>
    <t>Building Improvements Non-Recurring</t>
  </si>
  <si>
    <t>14070-700</t>
  </si>
  <si>
    <t>Oper CapX-Building and Improvements</t>
  </si>
  <si>
    <t>14071-000</t>
  </si>
  <si>
    <t>14071-600</t>
  </si>
  <si>
    <t>W/O Building Improvements</t>
  </si>
  <si>
    <t>14071-700</t>
  </si>
  <si>
    <t>AstPrsv &amp; Dsctnry -Building And Improvements</t>
  </si>
  <si>
    <t>14072-600</t>
  </si>
  <si>
    <t>Accm Depr BldgImpr FAS 141</t>
  </si>
  <si>
    <t>14073-000</t>
  </si>
  <si>
    <t>14073-001</t>
  </si>
  <si>
    <t>Accumulated Depreciation - Property Tax</t>
  </si>
  <si>
    <t>14073-600</t>
  </si>
  <si>
    <t>ACQ Building Improvements</t>
  </si>
  <si>
    <t>14074-000</t>
  </si>
  <si>
    <t>14074-600</t>
  </si>
  <si>
    <t>REDEV Building Improvements</t>
  </si>
  <si>
    <t>14075-000</t>
  </si>
  <si>
    <t>14075-600</t>
  </si>
  <si>
    <t>REDEV MAJ Facade</t>
  </si>
  <si>
    <t>14075-700</t>
  </si>
  <si>
    <t>Op CapX-Elevator</t>
  </si>
  <si>
    <t>14076-000</t>
  </si>
  <si>
    <t>14076-600</t>
  </si>
  <si>
    <t>REDEV MAJ Elevator</t>
  </si>
  <si>
    <t>14076-700</t>
  </si>
  <si>
    <t>AstPrsv &amp; Dsctnry -Elevator</t>
  </si>
  <si>
    <t>14077-000</t>
  </si>
  <si>
    <t>14077-013</t>
  </si>
  <si>
    <t>Carpet- Hallway Construction</t>
  </si>
  <si>
    <t>14079-000</t>
  </si>
  <si>
    <t>14080-000</t>
  </si>
  <si>
    <t>14081-000</t>
  </si>
  <si>
    <t>14081-700</t>
  </si>
  <si>
    <t>AstPrsv &amp; Dsctnry -Painters</t>
  </si>
  <si>
    <t>14082-000</t>
  </si>
  <si>
    <t>14083-000</t>
  </si>
  <si>
    <t>14083-700</t>
  </si>
  <si>
    <t>AstPrsv &amp; Dsctnry -Fuse Box Repl</t>
  </si>
  <si>
    <t>14084-000</t>
  </si>
  <si>
    <t>14085-000</t>
  </si>
  <si>
    <t>14085-600</t>
  </si>
  <si>
    <t>REDEV Common Area</t>
  </si>
  <si>
    <t>14085-700</t>
  </si>
  <si>
    <t>Op CapX-Storage Room Improvements</t>
  </si>
  <si>
    <t>14086-000</t>
  </si>
  <si>
    <t>14086-600</t>
  </si>
  <si>
    <t>REHAB Common Area</t>
  </si>
  <si>
    <t>14086-700</t>
  </si>
  <si>
    <t>AstPrsv &amp; Dsctnry -Plumbing - Building</t>
  </si>
  <si>
    <t>14087-000</t>
  </si>
  <si>
    <t>14087-700</t>
  </si>
  <si>
    <t>AstPrsv &amp; Dsctnry -Storage Room Improvements</t>
  </si>
  <si>
    <t>14088-000</t>
  </si>
  <si>
    <t>14089-000</t>
  </si>
  <si>
    <t>14089-001</t>
  </si>
  <si>
    <t>Golf Cart Maintenance</t>
  </si>
  <si>
    <t>14089-013</t>
  </si>
  <si>
    <t>Golf Cart Construction</t>
  </si>
  <si>
    <t>14089-600</t>
  </si>
  <si>
    <t>REDEV MAJ Other</t>
  </si>
  <si>
    <t>14089-700</t>
  </si>
  <si>
    <t>AstPrsv &amp; Dsctnry -Utility Infrastructure</t>
  </si>
  <si>
    <t>14090-000</t>
  </si>
  <si>
    <t>14091-000</t>
  </si>
  <si>
    <t>14091-001</t>
  </si>
  <si>
    <t>Accumulated Depr. - Renovation Costs</t>
  </si>
  <si>
    <t>14091-010</t>
  </si>
  <si>
    <t>Reno Costs - Land Improvements</t>
  </si>
  <si>
    <t>14091-011</t>
  </si>
  <si>
    <t>Reno Costs - Building Improvements</t>
  </si>
  <si>
    <t>14091-012</t>
  </si>
  <si>
    <t>Reno Costs - Tenant Improvements - Retail</t>
  </si>
  <si>
    <t>14091-013</t>
  </si>
  <si>
    <t>Reno Costs - Leasing Commissions</t>
  </si>
  <si>
    <t>14091-014</t>
  </si>
  <si>
    <t>Reno Costs - Computer Software</t>
  </si>
  <si>
    <t>14091-015</t>
  </si>
  <si>
    <t>Reno Costs - Computer Hardware</t>
  </si>
  <si>
    <t>14091-016</t>
  </si>
  <si>
    <t>Reno Costs - Appliances</t>
  </si>
  <si>
    <t>14091-017</t>
  </si>
  <si>
    <t>Reno Costs - Property &amp; Equipment - Other</t>
  </si>
  <si>
    <t>14091-018</t>
  </si>
  <si>
    <t>Reno Costs - Capital Expense</t>
  </si>
  <si>
    <t>14091-019</t>
  </si>
  <si>
    <t>Reno Costs - Construction Management Fees</t>
  </si>
  <si>
    <t>14091-040</t>
  </si>
  <si>
    <t>Reno Costs - Accruals</t>
  </si>
  <si>
    <t>14091-041</t>
  </si>
  <si>
    <t>Reno Costs - CM Fee Accruals</t>
  </si>
  <si>
    <t>14092-000</t>
  </si>
  <si>
    <t>14092-001</t>
  </si>
  <si>
    <t>Reno Costs - Capitalization Contra - CM Fees</t>
  </si>
  <si>
    <t>14093-000</t>
  </si>
  <si>
    <t>14094-700</t>
  </si>
  <si>
    <t>Environmental Remediation</t>
  </si>
  <si>
    <t>14095-700</t>
  </si>
  <si>
    <t>Op CapX-Environmental Remediation</t>
  </si>
  <si>
    <t>14096-700</t>
  </si>
  <si>
    <t>AstPrsv &amp; Dsctnry -Environmental Remediation</t>
  </si>
  <si>
    <t>14097-600</t>
  </si>
  <si>
    <t>SC Bldg Imprvmnts</t>
  </si>
  <si>
    <t>14098-600</t>
  </si>
  <si>
    <t>SC Bldg Imprvmnts-Prior Yr</t>
  </si>
  <si>
    <t>14099-999</t>
  </si>
  <si>
    <t>Total Building &amp; Improvements</t>
  </si>
  <si>
    <t>14100-000</t>
  </si>
  <si>
    <t>LR - Painting</t>
  </si>
  <si>
    <t>LR - Electrical</t>
  </si>
  <si>
    <t>LR - Plumbing</t>
  </si>
  <si>
    <t>LR - Flooring</t>
  </si>
  <si>
    <t>LR - Countertops / Cabinets</t>
  </si>
  <si>
    <t>LR - Appliances</t>
  </si>
  <si>
    <t>LR - Hardware</t>
  </si>
  <si>
    <t>LR - Carpentry</t>
  </si>
  <si>
    <t>LR - Other</t>
  </si>
  <si>
    <t>14106-700</t>
  </si>
  <si>
    <t>Op CapX-Retail Costs</t>
  </si>
  <si>
    <t>14107-000</t>
  </si>
  <si>
    <t>14107-700</t>
  </si>
  <si>
    <t>Op CapX-Retail Costs-Consultants</t>
  </si>
  <si>
    <t>14110-000</t>
  </si>
  <si>
    <t>14110-600</t>
  </si>
  <si>
    <t>Acc Depr W/O Tnt Improve</t>
  </si>
  <si>
    <t>14111-000</t>
  </si>
  <si>
    <t>14111-600</t>
  </si>
  <si>
    <t>Accum Depr Ten Impr FAS 141</t>
  </si>
  <si>
    <t>14112-600</t>
  </si>
  <si>
    <t>Lease Right of Use Asset - Operating Lease</t>
  </si>
  <si>
    <t>14113-600</t>
  </si>
  <si>
    <t>Lease Right/Use Asset Op Lease Accum Amort</t>
  </si>
  <si>
    <t>14114-600</t>
  </si>
  <si>
    <t>Building - Additions Non-recurring</t>
  </si>
  <si>
    <t>14115-600</t>
  </si>
  <si>
    <t>Building - CIP Non-recurring</t>
  </si>
  <si>
    <t>14116-600</t>
  </si>
  <si>
    <t>Building - Contra Non-recurring</t>
  </si>
  <si>
    <t>14117-600</t>
  </si>
  <si>
    <t>Building - Disposition</t>
  </si>
  <si>
    <t>14118-600</t>
  </si>
  <si>
    <t>Building - Impairment</t>
  </si>
  <si>
    <t>14119-600</t>
  </si>
  <si>
    <t>Land Improvements - Contra Recurring</t>
  </si>
  <si>
    <t>14119-999</t>
  </si>
  <si>
    <t>Total Tenant Improvements</t>
  </si>
  <si>
    <t>14120-000</t>
  </si>
  <si>
    <t>14120-600</t>
  </si>
  <si>
    <t>Land Improvements - Contra Non-recurring</t>
  </si>
  <si>
    <t>14121-600</t>
  </si>
  <si>
    <t>Land Improvements - Disposition</t>
  </si>
  <si>
    <t>14121-700</t>
  </si>
  <si>
    <t>BI-Site Improvements</t>
  </si>
  <si>
    <t>14122-600</t>
  </si>
  <si>
    <t>Site Improvements - CIP Recurring</t>
  </si>
  <si>
    <t>14122-700</t>
  </si>
  <si>
    <t>BI-Carports &amp; Garages</t>
  </si>
  <si>
    <t>14123-600</t>
  </si>
  <si>
    <t>Site Improvements - CIP Non-recurring</t>
  </si>
  <si>
    <t>14123-700</t>
  </si>
  <si>
    <t>BI-Building Exterior</t>
  </si>
  <si>
    <t>14124-600</t>
  </si>
  <si>
    <t>Site Improvements - Contra Recurring</t>
  </si>
  <si>
    <t>14124-700</t>
  </si>
  <si>
    <t>BI-Bldg Common Area Improvements</t>
  </si>
  <si>
    <t>14125-000</t>
  </si>
  <si>
    <t>14125-600</t>
  </si>
  <si>
    <t>Site Improvements - Contra Non-recurring</t>
  </si>
  <si>
    <t>14125-700</t>
  </si>
  <si>
    <t>BI-Building Systems</t>
  </si>
  <si>
    <t>14126-600</t>
  </si>
  <si>
    <t>Site Improvements - Disposition</t>
  </si>
  <si>
    <t>14126-700</t>
  </si>
  <si>
    <t>BI-Interior Improvements</t>
  </si>
  <si>
    <t>14127-600</t>
  </si>
  <si>
    <t>Site Improvements - Write-Off</t>
  </si>
  <si>
    <t>14127-700</t>
  </si>
  <si>
    <t>BI-Amenities</t>
  </si>
  <si>
    <t>14128-600</t>
  </si>
  <si>
    <t>Building Improvements - CIP Non-recurring</t>
  </si>
  <si>
    <t>14128-700</t>
  </si>
  <si>
    <t>BI-Clubhouse/Lobby/Leasing Center</t>
  </si>
  <si>
    <t>14129-600</t>
  </si>
  <si>
    <t>Building Improvements - Contra Recurring</t>
  </si>
  <si>
    <t>14129-700</t>
  </si>
  <si>
    <t>BI-General Conditions</t>
  </si>
  <si>
    <t>14130-000</t>
  </si>
  <si>
    <t>14130-600</t>
  </si>
  <si>
    <t>Building Improvements - Contra Non-recurring</t>
  </si>
  <si>
    <t>14130-700</t>
  </si>
  <si>
    <t>BI-Marketing</t>
  </si>
  <si>
    <t>14131-600</t>
  </si>
  <si>
    <t>Building Improvements - Disposition</t>
  </si>
  <si>
    <t>14131-700</t>
  </si>
  <si>
    <t>BI-Architects/Engineers/Consultants</t>
  </si>
  <si>
    <t>14132-600</t>
  </si>
  <si>
    <t>Building Improvements - Tenant CIP Recurring</t>
  </si>
  <si>
    <t>14132-700</t>
  </si>
  <si>
    <t>BI-Remediation</t>
  </si>
  <si>
    <t>14133-600</t>
  </si>
  <si>
    <t>Building Improvements - Tenant CIP non-recurring</t>
  </si>
  <si>
    <t>14133-700</t>
  </si>
  <si>
    <t>BI-Contractor Fee</t>
  </si>
  <si>
    <t>14134-600</t>
  </si>
  <si>
    <t>Building Improvements - Tenant Contra Recurring</t>
  </si>
  <si>
    <t>14134-700</t>
  </si>
  <si>
    <t>BI-In-Lieu Management Fee</t>
  </si>
  <si>
    <t>14135-600</t>
  </si>
  <si>
    <t>Building Improvements - Tenant Contra Non-recurring</t>
  </si>
  <si>
    <t>14135-700</t>
  </si>
  <si>
    <t>BI-Contingency</t>
  </si>
  <si>
    <t>14136-600</t>
  </si>
  <si>
    <t>Building Improvements - Tenant Dispositions</t>
  </si>
  <si>
    <t>14136-700</t>
  </si>
  <si>
    <t>Solar-Rebates</t>
  </si>
  <si>
    <t>14137-600</t>
  </si>
  <si>
    <t>FFE - CIP Non-recurring</t>
  </si>
  <si>
    <t>14138-600</t>
  </si>
  <si>
    <t>FFE - Contra Recurring</t>
  </si>
  <si>
    <t>14139-600</t>
  </si>
  <si>
    <t>FFE - Contra Non-recurring</t>
  </si>
  <si>
    <t>14139-999</t>
  </si>
  <si>
    <t>Total Leasehold Improvements</t>
  </si>
  <si>
    <t>14140-000</t>
  </si>
  <si>
    <t>14140-600</t>
  </si>
  <si>
    <t>FFE - Dispositions</t>
  </si>
  <si>
    <t>14141-600</t>
  </si>
  <si>
    <t>Leasing Commissions - Dispositions</t>
  </si>
  <si>
    <t>14142-600</t>
  </si>
  <si>
    <t>Lease In Place - Disposition (Commercial)</t>
  </si>
  <si>
    <t>14145-000</t>
  </si>
  <si>
    <t>14150-000</t>
  </si>
  <si>
    <t>14159-999</t>
  </si>
  <si>
    <t>Total Leasing Commissions</t>
  </si>
  <si>
    <t>14160-000</t>
  </si>
  <si>
    <t>14165-000</t>
  </si>
  <si>
    <t>14165-600</t>
  </si>
  <si>
    <t>Lease Costs Writeoffs</t>
  </si>
  <si>
    <t>14170-000</t>
  </si>
  <si>
    <t>14179-999</t>
  </si>
  <si>
    <t>Total Capitalized Lease Costs</t>
  </si>
  <si>
    <t>14180-000</t>
  </si>
  <si>
    <t>14185-000</t>
  </si>
  <si>
    <t>14185-700</t>
  </si>
  <si>
    <t>Op CapX-Software Purchase</t>
  </si>
  <si>
    <t>14186-700</t>
  </si>
  <si>
    <t>AstPrsv &amp; Dsctnry -Software Purchase</t>
  </si>
  <si>
    <t>14187-700</t>
  </si>
  <si>
    <t>Accounting/Conversion/Software</t>
  </si>
  <si>
    <t>14188-700</t>
  </si>
  <si>
    <t>Op CapX-Acctg/Cnvrsn/Software</t>
  </si>
  <si>
    <t>14190-000</t>
  </si>
  <si>
    <t>14199-999</t>
  </si>
  <si>
    <t>Total Computer Software</t>
  </si>
  <si>
    <t>14200-000</t>
  </si>
  <si>
    <t>14200-700</t>
  </si>
  <si>
    <t>Computer Purchase</t>
  </si>
  <si>
    <t>14201-700</t>
  </si>
  <si>
    <t>Op CapX-Computer Purch</t>
  </si>
  <si>
    <t>14202-700</t>
  </si>
  <si>
    <t>AstPrsv &amp; Dsctnry -Computer Purchase</t>
  </si>
  <si>
    <t>14204-700</t>
  </si>
  <si>
    <t>Acquisition - Computer</t>
  </si>
  <si>
    <t>14205-000</t>
  </si>
  <si>
    <t>14205-013</t>
  </si>
  <si>
    <t>Computer Equipment Construction</t>
  </si>
  <si>
    <t>14205-700</t>
  </si>
  <si>
    <t>Op CapX-Computers Hardware</t>
  </si>
  <si>
    <t>14206-700</t>
  </si>
  <si>
    <t>AstPrsv &amp; Dsctnry-Computers Hardware</t>
  </si>
  <si>
    <t>14207-700</t>
  </si>
  <si>
    <t>Acquisition-Computer hardware</t>
  </si>
  <si>
    <t>14208-700</t>
  </si>
  <si>
    <t>Clubhouse/Lobby/Leasing-Computer Eq</t>
  </si>
  <si>
    <t>14210-000</t>
  </si>
  <si>
    <t>14219-999</t>
  </si>
  <si>
    <t>Total Computer Hardware</t>
  </si>
  <si>
    <t>14250-000</t>
  </si>
  <si>
    <t>14260-001</t>
  </si>
  <si>
    <t>Furniture Fixtures and Equip Post Acq</t>
  </si>
  <si>
    <t>14260-600</t>
  </si>
  <si>
    <t>ACQ FF&amp;E</t>
  </si>
  <si>
    <t>14260-700</t>
  </si>
  <si>
    <t>Op CapX-Furniture</t>
  </si>
  <si>
    <t>14261-000</t>
  </si>
  <si>
    <t>14262-600</t>
  </si>
  <si>
    <t>FF+E Nonrecurring</t>
  </si>
  <si>
    <t>14262-700</t>
  </si>
  <si>
    <t>AstPrsv &amp; Dsctnry -Furniture</t>
  </si>
  <si>
    <t>14264-700</t>
  </si>
  <si>
    <t>Acquisition-Furniture</t>
  </si>
  <si>
    <t>14265-000</t>
  </si>
  <si>
    <t>14265-700</t>
  </si>
  <si>
    <t>AstPrsv &amp; Dsctnry -Boilers</t>
  </si>
  <si>
    <t>14266-000</t>
  </si>
  <si>
    <t>14270-000</t>
  </si>
  <si>
    <t>14271-000</t>
  </si>
  <si>
    <t>14274-700</t>
  </si>
  <si>
    <t>Place in Service-Appliances</t>
  </si>
  <si>
    <t>14275-700</t>
  </si>
  <si>
    <t>Op CapX-Appliances</t>
  </si>
  <si>
    <t>14276-700</t>
  </si>
  <si>
    <t>AstPrsv &amp; Dsctnry -Appliances</t>
  </si>
  <si>
    <t>14278-700</t>
  </si>
  <si>
    <t>Acquisition-Appliance</t>
  </si>
  <si>
    <t>14279-700</t>
  </si>
  <si>
    <t>Clubhouse/Lobby/Leasing-Appliances</t>
  </si>
  <si>
    <t>14280-000</t>
  </si>
  <si>
    <t>14281-000</t>
  </si>
  <si>
    <t>14282-700</t>
  </si>
  <si>
    <t>Op CapX-Carpets Non Residnt/Pet</t>
  </si>
  <si>
    <t>14283-700</t>
  </si>
  <si>
    <t>AstPrsv &amp; Dsctnry -Carpets</t>
  </si>
  <si>
    <t>14285-700</t>
  </si>
  <si>
    <t>Op CapX-Carpet Resident</t>
  </si>
  <si>
    <t>14286-700</t>
  </si>
  <si>
    <t>Carpet Damages - Residents</t>
  </si>
  <si>
    <t>14286-713</t>
  </si>
  <si>
    <t>Carpet - Unit Construction</t>
  </si>
  <si>
    <t>14287-700</t>
  </si>
  <si>
    <t>Op CapX-Carpet Pets</t>
  </si>
  <si>
    <t>14288-700</t>
  </si>
  <si>
    <t>Carpet Damages - Pets</t>
  </si>
  <si>
    <t>14289-700</t>
  </si>
  <si>
    <t>Bad Debt - Carpet</t>
  </si>
  <si>
    <t>14290-000</t>
  </si>
  <si>
    <t>14290-013</t>
  </si>
  <si>
    <t>Carpet Construction</t>
  </si>
  <si>
    <t>14291-000</t>
  </si>
  <si>
    <t>14295-000</t>
  </si>
  <si>
    <t>14296-000</t>
  </si>
  <si>
    <t>14301-000</t>
  </si>
  <si>
    <t>14301-700</t>
  </si>
  <si>
    <t>Op CapX-Flooring/Linoleum</t>
  </si>
  <si>
    <t>14302-700</t>
  </si>
  <si>
    <t>AstPrsv &amp; Dsctnry -Flooring/Linoleum</t>
  </si>
  <si>
    <t>14307-700</t>
  </si>
  <si>
    <t>Op CapX-HVAC</t>
  </si>
  <si>
    <t>14308-700</t>
  </si>
  <si>
    <t>AstPrsv &amp; Dsctnry -HVAC</t>
  </si>
  <si>
    <t>14310-000</t>
  </si>
  <si>
    <t>14310-600</t>
  </si>
  <si>
    <t>SC HVAC Project</t>
  </si>
  <si>
    <t>14311-000</t>
  </si>
  <si>
    <t>14320-000</t>
  </si>
  <si>
    <t>14321-000</t>
  </si>
  <si>
    <t>14322-700</t>
  </si>
  <si>
    <t>Op CapX-Drapes/Blinds</t>
  </si>
  <si>
    <t>14323-700</t>
  </si>
  <si>
    <t>AstPrsv &amp; Dsctnry -Drapes/Blinds</t>
  </si>
  <si>
    <t>14325-700</t>
  </si>
  <si>
    <t>Clubhouse Furn &amp; Fixtures</t>
  </si>
  <si>
    <t>14326-700</t>
  </si>
  <si>
    <t>Op CapX-Clubhouse Furn &amp; Fixtures</t>
  </si>
  <si>
    <t>14327-700</t>
  </si>
  <si>
    <t>AstPrsrv &amp; Dsctnry -Clubhouse Furn &amp; Fixtures</t>
  </si>
  <si>
    <t>14330-000</t>
  </si>
  <si>
    <t>14330-700</t>
  </si>
  <si>
    <t>AstPrsv &amp; Dsctnry -Plumbing - Interior</t>
  </si>
  <si>
    <t>14331-000</t>
  </si>
  <si>
    <t>14340-000</t>
  </si>
  <si>
    <t>14340-600</t>
  </si>
  <si>
    <t>REDEV MAJ Signage</t>
  </si>
  <si>
    <t>14341-000</t>
  </si>
  <si>
    <t>14341-700</t>
  </si>
  <si>
    <t>Op CapX-Signs</t>
  </si>
  <si>
    <t>14342-700</t>
  </si>
  <si>
    <t>AstPrsv &amp; Dsctnry -Signs</t>
  </si>
  <si>
    <t>14347-700</t>
  </si>
  <si>
    <t>Acquisition-Personal Property</t>
  </si>
  <si>
    <t>14349-700</t>
  </si>
  <si>
    <t>AstPrsv &amp; Dsctnry -Personal Property</t>
  </si>
  <si>
    <t>14350-000</t>
  </si>
  <si>
    <t>14350-013</t>
  </si>
  <si>
    <t>Playground Equipment Construction</t>
  </si>
  <si>
    <t>14350-700</t>
  </si>
  <si>
    <t>Op CapX-Personal Property</t>
  </si>
  <si>
    <t>14351-000</t>
  </si>
  <si>
    <t>14352-000</t>
  </si>
  <si>
    <t>14352-700</t>
  </si>
  <si>
    <t>Op CapX-Vehicles</t>
  </si>
  <si>
    <t>14353-700</t>
  </si>
  <si>
    <t>AstPrsv &amp; Dsctnry -Vehicles</t>
  </si>
  <si>
    <t>14355-700</t>
  </si>
  <si>
    <t>Op CapX-Artwork</t>
  </si>
  <si>
    <t>14356-700</t>
  </si>
  <si>
    <t>AstPrsv &amp; Dsctnry-Artwork</t>
  </si>
  <si>
    <t>14360-000</t>
  </si>
  <si>
    <t>14361-000</t>
  </si>
  <si>
    <t>14362-700</t>
  </si>
  <si>
    <t>Clubhouse/Lobby/Leasing-F&amp;F</t>
  </si>
  <si>
    <t>14363-700</t>
  </si>
  <si>
    <t>Place in Service-Furniture</t>
  </si>
  <si>
    <t>14364-700</t>
  </si>
  <si>
    <t>Fixtures</t>
  </si>
  <si>
    <t>14365-000</t>
  </si>
  <si>
    <t>14365-600</t>
  </si>
  <si>
    <t>Acquisition Deferred Maintenance Capital</t>
  </si>
  <si>
    <t>14365-700</t>
  </si>
  <si>
    <t>Op CapX-Fixtures</t>
  </si>
  <si>
    <t>14366-600</t>
  </si>
  <si>
    <t>Income Strategy - CapEx</t>
  </si>
  <si>
    <t>14366-601</t>
  </si>
  <si>
    <t>Income Strategy - CapEx (Do not Use)</t>
  </si>
  <si>
    <t>14366-602</t>
  </si>
  <si>
    <t>Income Strategy - CapEx (Do Not Use)</t>
  </si>
  <si>
    <t>14366-700</t>
  </si>
  <si>
    <t>AstPrsv &amp; Dsctnry -Fixtures</t>
  </si>
  <si>
    <t>14367-600</t>
  </si>
  <si>
    <t>Sustainability-Capex</t>
  </si>
  <si>
    <t>14368-600</t>
  </si>
  <si>
    <t>Income Strategy-Smart Home</t>
  </si>
  <si>
    <t>14368-700</t>
  </si>
  <si>
    <t>Place in Service-Fixtures</t>
  </si>
  <si>
    <t>14369-600</t>
  </si>
  <si>
    <t>Income Strategy-Package Locker</t>
  </si>
  <si>
    <t>14369-700</t>
  </si>
  <si>
    <t>Op CapX-Website Designs</t>
  </si>
  <si>
    <t>14370-700</t>
  </si>
  <si>
    <t>AstPrsv &amp; Dsctnry -Website Designs</t>
  </si>
  <si>
    <t>14371-600</t>
  </si>
  <si>
    <t>Write Offs-FF+E</t>
  </si>
  <si>
    <t>14372-600</t>
  </si>
  <si>
    <t>Acc Depr W/O-FF+E</t>
  </si>
  <si>
    <t>14373-600</t>
  </si>
  <si>
    <t>SC FF&amp;E</t>
  </si>
  <si>
    <t>14374-600</t>
  </si>
  <si>
    <t>SC FF&amp;E-Prior Yr</t>
  </si>
  <si>
    <t>14375-600</t>
  </si>
  <si>
    <t>Income Strategy - Smart Home Alloy Access</t>
  </si>
  <si>
    <t>14376-600</t>
  </si>
  <si>
    <t>Income Strategy - Smart Home SensiPredict</t>
  </si>
  <si>
    <t>14377-600</t>
  </si>
  <si>
    <t>Income Strategy - Smart Home WiFi</t>
  </si>
  <si>
    <t>14399-999</t>
  </si>
  <si>
    <t>Total Furniture Fixtures and Equip</t>
  </si>
  <si>
    <t>14400-000</t>
  </si>
  <si>
    <t>14410-000</t>
  </si>
  <si>
    <t>14490-013</t>
  </si>
  <si>
    <t>Other-General</t>
  </si>
  <si>
    <t>14490-014</t>
  </si>
  <si>
    <t>Other Construction</t>
  </si>
  <si>
    <t>14499-999</t>
  </si>
  <si>
    <t>Total Unrealized Appreciation</t>
  </si>
  <si>
    <t>14599-999</t>
  </si>
  <si>
    <t>Total Fixed Assets</t>
  </si>
  <si>
    <t>14600-000</t>
  </si>
  <si>
    <t>14603-700</t>
  </si>
  <si>
    <t>General Conditions</t>
  </si>
  <si>
    <t>14604-700</t>
  </si>
  <si>
    <t>Op CapX-General Conditions</t>
  </si>
  <si>
    <t>14605-700</t>
  </si>
  <si>
    <t>AstPrsv &amp; Dsctnry -General Conditions</t>
  </si>
  <si>
    <t>14607-700</t>
  </si>
  <si>
    <t>Op CapX-Awnings</t>
  </si>
  <si>
    <t>14608-700</t>
  </si>
  <si>
    <t>AstPrsv &amp; Dsctnry -Awnings</t>
  </si>
  <si>
    <t>14610-000</t>
  </si>
  <si>
    <t>14610-700</t>
  </si>
  <si>
    <t>Op CapX-Gate</t>
  </si>
  <si>
    <t>14611-700</t>
  </si>
  <si>
    <t>AstPrsv &amp; Dsctnry -Gate</t>
  </si>
  <si>
    <t>14615-000</t>
  </si>
  <si>
    <t>14615-700</t>
  </si>
  <si>
    <t>Architech &amp; Engineering-Asst Prsrvt</t>
  </si>
  <si>
    <t>14616-700</t>
  </si>
  <si>
    <t>AstPrsv Dsctnry-Architects &amp; Engineering</t>
  </si>
  <si>
    <t>14617-700</t>
  </si>
  <si>
    <t>Op CapX-Fair Housg Rehab Units</t>
  </si>
  <si>
    <t>14618-700</t>
  </si>
  <si>
    <t>Fair Housing Rehab Units-Asst Prsrv</t>
  </si>
  <si>
    <t>14620-000</t>
  </si>
  <si>
    <t>14620-013</t>
  </si>
  <si>
    <t>Appliances Construction</t>
  </si>
  <si>
    <t>14621-000</t>
  </si>
  <si>
    <t>14621-013</t>
  </si>
  <si>
    <t>A/D Furniture Fixtures and Equipment Construction</t>
  </si>
  <si>
    <t>14621-014</t>
  </si>
  <si>
    <t>A/D Office/Clubhouse furnishing</t>
  </si>
  <si>
    <t>14621-015</t>
  </si>
  <si>
    <t>A/D Office/Clubhouse furnishing Construction</t>
  </si>
  <si>
    <t>14621-016</t>
  </si>
  <si>
    <t>A/D Model Furniture</t>
  </si>
  <si>
    <t>14621-017</t>
  </si>
  <si>
    <t>A/D Model Furniture Construction</t>
  </si>
  <si>
    <t>14621-018</t>
  </si>
  <si>
    <t>A/D Excercise Equipment</t>
  </si>
  <si>
    <t>14621-019</t>
  </si>
  <si>
    <t>A/D Excercise Equipment Construction</t>
  </si>
  <si>
    <t>14621-020</t>
  </si>
  <si>
    <t>A/D Maintenance Equipment</t>
  </si>
  <si>
    <t>14621-021</t>
  </si>
  <si>
    <t>A/D Maintenance Equipment Construction</t>
  </si>
  <si>
    <t>14621-022</t>
  </si>
  <si>
    <t>A/D Pool Equipment</t>
  </si>
  <si>
    <t>14621-023</t>
  </si>
  <si>
    <t>A/D Pool Equipment Construction</t>
  </si>
  <si>
    <t>14621-024</t>
  </si>
  <si>
    <t>A/D Pool Furniture</t>
  </si>
  <si>
    <t>14621-025</t>
  </si>
  <si>
    <t>A/D Pool Furniture Construction</t>
  </si>
  <si>
    <t>14621-026</t>
  </si>
  <si>
    <t>A/D Key Track</t>
  </si>
  <si>
    <t>14621-027</t>
  </si>
  <si>
    <t>A/D Key Track Construction</t>
  </si>
  <si>
    <t>14621-028</t>
  </si>
  <si>
    <t>A/D Golf Cart</t>
  </si>
  <si>
    <t>14621-029</t>
  </si>
  <si>
    <t>A/D Playground Equipment</t>
  </si>
  <si>
    <t>14621-030</t>
  </si>
  <si>
    <t>A/D Playground Equipment Construction</t>
  </si>
  <si>
    <t>14621-031</t>
  </si>
  <si>
    <t>A/D Security System</t>
  </si>
  <si>
    <t>14621-032</t>
  </si>
  <si>
    <t>A/D Security System Construction</t>
  </si>
  <si>
    <t>14621-033</t>
  </si>
  <si>
    <t>A/D Copier</t>
  </si>
  <si>
    <t>14621-034</t>
  </si>
  <si>
    <t>A/D Computer Equipment Construction</t>
  </si>
  <si>
    <t>14621-035</t>
  </si>
  <si>
    <t>A/D Carpet Construction</t>
  </si>
  <si>
    <t>14621-036</t>
  </si>
  <si>
    <t>A/D Carpet - Unit</t>
  </si>
  <si>
    <t>14621-037</t>
  </si>
  <si>
    <t>A/D Carpet - Unit Construction</t>
  </si>
  <si>
    <t>14621-038</t>
  </si>
  <si>
    <t>A/D Carpet- Hallway</t>
  </si>
  <si>
    <t>14621-039</t>
  </si>
  <si>
    <t>A/D Carpet- Hallway Construction</t>
  </si>
  <si>
    <t>14621-040</t>
  </si>
  <si>
    <t>A/D Carpet - Office/Clubhouse</t>
  </si>
  <si>
    <t>14621-041</t>
  </si>
  <si>
    <t>A/D Carpet - Office/Clubhouse Construction</t>
  </si>
  <si>
    <t>14621-042</t>
  </si>
  <si>
    <t>A/D Vinyl</t>
  </si>
  <si>
    <t>14621-043</t>
  </si>
  <si>
    <t>A/D Vinyl Construction</t>
  </si>
  <si>
    <t>14621-044</t>
  </si>
  <si>
    <t>A/D Vinyl - Unit</t>
  </si>
  <si>
    <t>14621-045</t>
  </si>
  <si>
    <t>A/D Vinyl - Unit Construction</t>
  </si>
  <si>
    <t>14621-046</t>
  </si>
  <si>
    <t>A/D Vinyl - Hallway</t>
  </si>
  <si>
    <t>14621-047</t>
  </si>
  <si>
    <t>A/D Vinyl - Office/Clubhouse</t>
  </si>
  <si>
    <t>14621-048</t>
  </si>
  <si>
    <t>A/D Vinyl - Office/Clubhouse Construction</t>
  </si>
  <si>
    <t>14621-049</t>
  </si>
  <si>
    <t>A/D Wood Flooring Construction</t>
  </si>
  <si>
    <t>14621-050</t>
  </si>
  <si>
    <t>A/D Wood Flooring-Unit</t>
  </si>
  <si>
    <t>14621-051</t>
  </si>
  <si>
    <t>A/D Wood Flooring-Unit Construction</t>
  </si>
  <si>
    <t>14621-052</t>
  </si>
  <si>
    <t>A/D Wood Flooring-Office/Clubhouse Construction</t>
  </si>
  <si>
    <t>14621-053</t>
  </si>
  <si>
    <t>A/D Appliances Construction</t>
  </si>
  <si>
    <t>14621-054</t>
  </si>
  <si>
    <t>A/D Refrigerators</t>
  </si>
  <si>
    <t>14621-055</t>
  </si>
  <si>
    <t>A/D Refrigerators Construction</t>
  </si>
  <si>
    <t>14621-056</t>
  </si>
  <si>
    <t>A/D Stove</t>
  </si>
  <si>
    <t>14621-057</t>
  </si>
  <si>
    <t>A/D Stove Construction</t>
  </si>
  <si>
    <t>14621-058</t>
  </si>
  <si>
    <t>A/D Dishwasher</t>
  </si>
  <si>
    <t>14621-059</t>
  </si>
  <si>
    <t>A/D Dishwasher Construction</t>
  </si>
  <si>
    <t>14621-060</t>
  </si>
  <si>
    <t>A/D Microwave oven</t>
  </si>
  <si>
    <t>14621-061</t>
  </si>
  <si>
    <t>A/D Microwave oven Construction</t>
  </si>
  <si>
    <t>14621-062</t>
  </si>
  <si>
    <t>A/D Washer/Dryer</t>
  </si>
  <si>
    <t>14621-063</t>
  </si>
  <si>
    <t>A/D Washer/Dryer Construction</t>
  </si>
  <si>
    <t>14621-064</t>
  </si>
  <si>
    <t>A/D Hot Water Heater</t>
  </si>
  <si>
    <t>14621-065</t>
  </si>
  <si>
    <t>A/D Hot Water Heater Construction</t>
  </si>
  <si>
    <t>14621-066</t>
  </si>
  <si>
    <t>A/D Range Hood</t>
  </si>
  <si>
    <t>14621-067</t>
  </si>
  <si>
    <t>A/D Range Hood Construction</t>
  </si>
  <si>
    <t>14621-068</t>
  </si>
  <si>
    <t>A/D HVAC Construction</t>
  </si>
  <si>
    <t>14621-069</t>
  </si>
  <si>
    <t>A/D Condensing Units</t>
  </si>
  <si>
    <t>14621-070</t>
  </si>
  <si>
    <t>A/D Condensing Units Construction</t>
  </si>
  <si>
    <t>14621-071</t>
  </si>
  <si>
    <t>A/D A/C Compressors</t>
  </si>
  <si>
    <t>14621-072</t>
  </si>
  <si>
    <t>A/D A/C Compressors Construction</t>
  </si>
  <si>
    <t>14621-073</t>
  </si>
  <si>
    <t>A/D Heating Units</t>
  </si>
  <si>
    <t>14621-074</t>
  </si>
  <si>
    <t>A/D Heating Units Construction</t>
  </si>
  <si>
    <t>14621-075</t>
  </si>
  <si>
    <t>A/D Payroll Construction</t>
  </si>
  <si>
    <t>14621-076</t>
  </si>
  <si>
    <t>A/D Other</t>
  </si>
  <si>
    <t>14621-077</t>
  </si>
  <si>
    <t>A/D Other Construction</t>
  </si>
  <si>
    <t>14622-000</t>
  </si>
  <si>
    <t>14622-001</t>
  </si>
  <si>
    <t>Appliances - Microwaves</t>
  </si>
  <si>
    <t>14622-013</t>
  </si>
  <si>
    <t>Stove Construction</t>
  </si>
  <si>
    <t>14622-014</t>
  </si>
  <si>
    <t>Microwave oven Construction</t>
  </si>
  <si>
    <t>14622-015</t>
  </si>
  <si>
    <t>Range Hood</t>
  </si>
  <si>
    <t>14622-016</t>
  </si>
  <si>
    <t>Range Hood Construction</t>
  </si>
  <si>
    <t>14623-000</t>
  </si>
  <si>
    <t>14623-013</t>
  </si>
  <si>
    <t>Dishwasher Construction</t>
  </si>
  <si>
    <t>14624-000</t>
  </si>
  <si>
    <t>14624-013</t>
  </si>
  <si>
    <t>Hot Water Heater Construction</t>
  </si>
  <si>
    <t>14624-700</t>
  </si>
  <si>
    <t>AstPrsv &amp; Dsctnry -Water Heaters</t>
  </si>
  <si>
    <t>14625-000</t>
  </si>
  <si>
    <t>14625-001</t>
  </si>
  <si>
    <t>Appliances - Dryers</t>
  </si>
  <si>
    <t>14625-002</t>
  </si>
  <si>
    <t>Appliances - Washers</t>
  </si>
  <si>
    <t>14625-003</t>
  </si>
  <si>
    <t>Asphalt</t>
  </si>
  <si>
    <t>14625-013</t>
  </si>
  <si>
    <t>Washer/Dryer Construction</t>
  </si>
  <si>
    <t>14626-000</t>
  </si>
  <si>
    <t>14627-000</t>
  </si>
  <si>
    <t>14628-000</t>
  </si>
  <si>
    <t>14628-600</t>
  </si>
  <si>
    <t>14629-000</t>
  </si>
  <si>
    <t>14630-000</t>
  </si>
  <si>
    <t>14630-600</t>
  </si>
  <si>
    <t>REDEV MAJ Exterior Improvements</t>
  </si>
  <si>
    <t>14630-700</t>
  </si>
  <si>
    <t>Op CapX-Building Exteriors</t>
  </si>
  <si>
    <t>14631-700</t>
  </si>
  <si>
    <t>AstPrsv &amp; Dsctnry -Building Exteriors</t>
  </si>
  <si>
    <t>14640-000</t>
  </si>
  <si>
    <t>14640-600</t>
  </si>
  <si>
    <t>REDEV MAJ Interior Improvements</t>
  </si>
  <si>
    <t>14641-000</t>
  </si>
  <si>
    <t>14641-600</t>
  </si>
  <si>
    <t>ACQ Interior Improvements</t>
  </si>
  <si>
    <t>14642-000</t>
  </si>
  <si>
    <t>14644-000</t>
  </si>
  <si>
    <t>14645-000</t>
  </si>
  <si>
    <t>14646-000</t>
  </si>
  <si>
    <t>14646-700</t>
  </si>
  <si>
    <t>Op CapX-Cabinets/Countertops</t>
  </si>
  <si>
    <t>14647-700</t>
  </si>
  <si>
    <t>AstPrsv &amp; Dsctnry -Cabinets/Countertops</t>
  </si>
  <si>
    <t>14649-700</t>
  </si>
  <si>
    <t>Oper CapX-DRCA Units</t>
  </si>
  <si>
    <t>14650-000</t>
  </si>
  <si>
    <t>14650-700</t>
  </si>
  <si>
    <t>Op CapX-Carpentry-Exterior</t>
  </si>
  <si>
    <t>14651-700</t>
  </si>
  <si>
    <t>AstPrsv &amp; Dsctnry -Carpentry-Exterior</t>
  </si>
  <si>
    <t>14653-700</t>
  </si>
  <si>
    <t>Carpentry-Interior</t>
  </si>
  <si>
    <t>14654-700</t>
  </si>
  <si>
    <t>Op CapX-Carpentry-Interior</t>
  </si>
  <si>
    <t>14655-700</t>
  </si>
  <si>
    <t>AstPrsv &amp; Dsctnry -Carpentry-Interior</t>
  </si>
  <si>
    <t>14660-000</t>
  </si>
  <si>
    <t>14660-001</t>
  </si>
  <si>
    <t>Ceiling Fans</t>
  </si>
  <si>
    <t>14660-700</t>
  </si>
  <si>
    <t>Op CapX-Clubhouse</t>
  </si>
  <si>
    <t>14661-000</t>
  </si>
  <si>
    <t>14661-001</t>
  </si>
  <si>
    <t>14661-013</t>
  </si>
  <si>
    <t>Carpet - Office/Clubhouse</t>
  </si>
  <si>
    <t>14661-014</t>
  </si>
  <si>
    <t>Carpet - Office/Clubhouse Construction</t>
  </si>
  <si>
    <t>14661-600</t>
  </si>
  <si>
    <t>REDEV MAJ Clubhouse / Office</t>
  </si>
  <si>
    <t>14661-700</t>
  </si>
  <si>
    <t>AstPrsv &amp; Dsctnry -Clubhouse</t>
  </si>
  <si>
    <t>14662-000</t>
  </si>
  <si>
    <t>14662-001</t>
  </si>
  <si>
    <t>Doors &amp; Hardware</t>
  </si>
  <si>
    <t>14662-002</t>
  </si>
  <si>
    <t>Elevators</t>
  </si>
  <si>
    <t>14663-000</t>
  </si>
  <si>
    <t>14664-000</t>
  </si>
  <si>
    <t>14664-600</t>
  </si>
  <si>
    <t>REDEV MAJ Fitness Room</t>
  </si>
  <si>
    <t>14665-000</t>
  </si>
  <si>
    <t>14665-001</t>
  </si>
  <si>
    <t>Floor / Vinyl</t>
  </si>
  <si>
    <t>14665-002</t>
  </si>
  <si>
    <t>Floor - Hardwood</t>
  </si>
  <si>
    <t>Floor - Rubber</t>
  </si>
  <si>
    <t>14665-013</t>
  </si>
  <si>
    <t>Vinyl Construction</t>
  </si>
  <si>
    <t>14665-014</t>
  </si>
  <si>
    <t>Vinyl - Unit</t>
  </si>
  <si>
    <t>14665-015</t>
  </si>
  <si>
    <t>Vinyl - Unit Construction</t>
  </si>
  <si>
    <t>14665-016</t>
  </si>
  <si>
    <t>Vinyl - Hallway</t>
  </si>
  <si>
    <t>14665-017</t>
  </si>
  <si>
    <t>Vinyl - Office/Clubhouse</t>
  </si>
  <si>
    <t>14665-018</t>
  </si>
  <si>
    <t>Vinyl - Office/Clubhouse Construction</t>
  </si>
  <si>
    <t>14665-019</t>
  </si>
  <si>
    <t>Wood Flooring Construction</t>
  </si>
  <si>
    <t>14665-020</t>
  </si>
  <si>
    <t>Wood Flooring-Unit Construction</t>
  </si>
  <si>
    <t>14665-021</t>
  </si>
  <si>
    <t>Wood Flooring-Office/Clubhouse Construction</t>
  </si>
  <si>
    <t>14666-700</t>
  </si>
  <si>
    <t>Op CapX-Fencing</t>
  </si>
  <si>
    <t>14667-700</t>
  </si>
  <si>
    <t>AstPrsv &amp; Dsctnry -Fencing</t>
  </si>
  <si>
    <t>14670-000</t>
  </si>
  <si>
    <t>14670-600</t>
  </si>
  <si>
    <t>REDEV MAJ Garage / Carport</t>
  </si>
  <si>
    <t>14670-700</t>
  </si>
  <si>
    <t>Op CapX-Carports</t>
  </si>
  <si>
    <t>14671-700</t>
  </si>
  <si>
    <t>AstPrsv &amp; Dsctnry -Carports</t>
  </si>
  <si>
    <t>14675-000</t>
  </si>
  <si>
    <t>14675-600</t>
  </si>
  <si>
    <t>14675-700</t>
  </si>
  <si>
    <t>Glass/Screens</t>
  </si>
  <si>
    <t>14676-000</t>
  </si>
  <si>
    <t>14676-700</t>
  </si>
  <si>
    <t>Op CapX-Glass/Screens</t>
  </si>
  <si>
    <t>14677-700</t>
  </si>
  <si>
    <t>AstPrsv &amp; Dsctnry -Glass/Screens</t>
  </si>
  <si>
    <t>14680-000</t>
  </si>
  <si>
    <t>14681-600</t>
  </si>
  <si>
    <t>REDEV MAJ Pet Parks</t>
  </si>
  <si>
    <t>14681-700</t>
  </si>
  <si>
    <t>Community Site Areas</t>
  </si>
  <si>
    <t>14682-700</t>
  </si>
  <si>
    <t>Op CapX-Community Site Areas</t>
  </si>
  <si>
    <t>14683-700</t>
  </si>
  <si>
    <t>AstPrsv &amp; Dsctnry -Community Site Areas</t>
  </si>
  <si>
    <t>14690-000</t>
  </si>
  <si>
    <t>14690-700</t>
  </si>
  <si>
    <t>AstPrsv &amp; Dsctnry -Seismic Improvements</t>
  </si>
  <si>
    <t>14700-000</t>
  </si>
  <si>
    <t>14710-000</t>
  </si>
  <si>
    <t>14720-000</t>
  </si>
  <si>
    <t>14720-700</t>
  </si>
  <si>
    <t>Op CapX-Vacancy Improv</t>
  </si>
  <si>
    <t>14721-700</t>
  </si>
  <si>
    <t>Development Costs</t>
  </si>
  <si>
    <t>14722-700</t>
  </si>
  <si>
    <t>Op CapX-Development Costs</t>
  </si>
  <si>
    <t>14723-700</t>
  </si>
  <si>
    <t>AstPrsv &amp; Dsctnry -Development Costs</t>
  </si>
  <si>
    <t>14724-600</t>
  </si>
  <si>
    <t>Drainage / Ponds / Fountains</t>
  </si>
  <si>
    <t>14730-000</t>
  </si>
  <si>
    <t>14730-700</t>
  </si>
  <si>
    <t>Op CapX-Electrical</t>
  </si>
  <si>
    <t>14731-700</t>
  </si>
  <si>
    <t>AstPrsv &amp; Dsctnry -Electrical</t>
  </si>
  <si>
    <t>14740-000</t>
  </si>
  <si>
    <t>14741-700</t>
  </si>
  <si>
    <t>Fire &amp; Life</t>
  </si>
  <si>
    <t>14742-700</t>
  </si>
  <si>
    <t>Op CapX-Fire &amp; Life</t>
  </si>
  <si>
    <t>14743-700</t>
  </si>
  <si>
    <t>AstPrsv &amp; Dsctnry -Fire &amp; Life</t>
  </si>
  <si>
    <t>14750-000</t>
  </si>
  <si>
    <t>14750-013</t>
  </si>
  <si>
    <t>Exercise Equipment Construction</t>
  </si>
  <si>
    <t>14750-700</t>
  </si>
  <si>
    <t>Op CapX-Office Equipment</t>
  </si>
  <si>
    <t>14751-700</t>
  </si>
  <si>
    <t>AstPrsv &amp; Dsctnry -Office Equipment</t>
  </si>
  <si>
    <t>14752-600</t>
  </si>
  <si>
    <t>Garbage Disposal</t>
  </si>
  <si>
    <t>14753-600</t>
  </si>
  <si>
    <t>14756-700</t>
  </si>
  <si>
    <t>Hot Water Tanks</t>
  </si>
  <si>
    <t>14757-700</t>
  </si>
  <si>
    <t>Op CapX-Hot Water Tanks</t>
  </si>
  <si>
    <t>14758-700</t>
  </si>
  <si>
    <t>AstPrsv &amp; Dsctnry -Hot Water Tanks</t>
  </si>
  <si>
    <t>14760-000</t>
  </si>
  <si>
    <t>14760-001</t>
  </si>
  <si>
    <t>HVAC - A/C Unit</t>
  </si>
  <si>
    <t>14760-002</t>
  </si>
  <si>
    <t>HVAC - A/C Condenser &amp; Compressor</t>
  </si>
  <si>
    <t>14760-003</t>
  </si>
  <si>
    <t>Interior Lighting</t>
  </si>
  <si>
    <t>14760-013</t>
  </si>
  <si>
    <t>Condensing Units Construction</t>
  </si>
  <si>
    <t>14760-014</t>
  </si>
  <si>
    <t>A/C Compressors Construction</t>
  </si>
  <si>
    <t>14760-015</t>
  </si>
  <si>
    <t>Heating Units</t>
  </si>
  <si>
    <t>14760-016</t>
  </si>
  <si>
    <t>Heating Units Construction</t>
  </si>
  <si>
    <t>14760-700</t>
  </si>
  <si>
    <t>Op CapX-Lighting</t>
  </si>
  <si>
    <t>14761-700</t>
  </si>
  <si>
    <t>AstPrsv &amp; Dsctnry -Lighting</t>
  </si>
  <si>
    <t>14763-700</t>
  </si>
  <si>
    <t>Apt. Interiors</t>
  </si>
  <si>
    <t>14764-700</t>
  </si>
  <si>
    <t>Op CapX-Apt. Interiors</t>
  </si>
  <si>
    <t>14765-700</t>
  </si>
  <si>
    <t>AstPrsv &amp; Dsctnry -Apt. Interiors</t>
  </si>
  <si>
    <t>14766-713</t>
  </si>
  <si>
    <t>Legal and Marketing Costs</t>
  </si>
  <si>
    <t>14770-000</t>
  </si>
  <si>
    <t>14770-600</t>
  </si>
  <si>
    <t>REDEV Landscape</t>
  </si>
  <si>
    <t>14770-700</t>
  </si>
  <si>
    <t>Op CapX-Landscaping/Irrigation</t>
  </si>
  <si>
    <t>14771-700</t>
  </si>
  <si>
    <t>AstPrsv &amp; Dsctnry -Lanscaping/Irrigation</t>
  </si>
  <si>
    <t>14774-000</t>
  </si>
  <si>
    <t>14775-000</t>
  </si>
  <si>
    <t>14776-700</t>
  </si>
  <si>
    <t>14777-700</t>
  </si>
  <si>
    <t>Op CapX-Marketing</t>
  </si>
  <si>
    <t>14778-700</t>
  </si>
  <si>
    <t>AstPrsv &amp; Dsctnry -Marketing</t>
  </si>
  <si>
    <t>14780-000</t>
  </si>
  <si>
    <t>14781-000</t>
  </si>
  <si>
    <t>14790-000</t>
  </si>
  <si>
    <t>14791-700</t>
  </si>
  <si>
    <t>Doors and Locks</t>
  </si>
  <si>
    <t>14791-713</t>
  </si>
  <si>
    <t>Key Track Construction</t>
  </si>
  <si>
    <t>14792-700</t>
  </si>
  <si>
    <t>Op CapX-Doors and Locks</t>
  </si>
  <si>
    <t>14793-700</t>
  </si>
  <si>
    <t>AstPrsv &amp; Dsctnry -Doors and Locks</t>
  </si>
  <si>
    <t>14800-000</t>
  </si>
  <si>
    <t>14800-013</t>
  </si>
  <si>
    <t>Model Furniture Construction</t>
  </si>
  <si>
    <t>14800-700</t>
  </si>
  <si>
    <t>AstPrsv &amp; Dsctnry -Models</t>
  </si>
  <si>
    <t>14801-700</t>
  </si>
  <si>
    <t>Op CapX-Models</t>
  </si>
  <si>
    <t>14810-000</t>
  </si>
  <si>
    <t>14810-700</t>
  </si>
  <si>
    <t>Op CapX-Leasing Office Interior</t>
  </si>
  <si>
    <t>14811-700</t>
  </si>
  <si>
    <t>AstPrsv &amp; Dsctnry -Leasing Office Interior</t>
  </si>
  <si>
    <t>14815-700</t>
  </si>
  <si>
    <t>Laundry Renovations</t>
  </si>
  <si>
    <t>14816-700</t>
  </si>
  <si>
    <t>Op CapX-Laundry Renovations</t>
  </si>
  <si>
    <t>14817-700</t>
  </si>
  <si>
    <t>AstPrsv &amp; Dsctnry -Laundry Renovations</t>
  </si>
  <si>
    <t>14820-000</t>
  </si>
  <si>
    <t>14820-600</t>
  </si>
  <si>
    <t>REDEV MAJ Painting - Exterior</t>
  </si>
  <si>
    <t>14820-700</t>
  </si>
  <si>
    <t>Op CapX-Painting - Exterior</t>
  </si>
  <si>
    <t>14821-700</t>
  </si>
  <si>
    <t>AstPrsv &amp; Dsctnry -Painting - Exterior</t>
  </si>
  <si>
    <t>14830-000</t>
  </si>
  <si>
    <t>14830-600</t>
  </si>
  <si>
    <t>REDEV MAJ Painting - Interior</t>
  </si>
  <si>
    <t>14830-700</t>
  </si>
  <si>
    <t>Op CapX-Painting - Interior</t>
  </si>
  <si>
    <t>14831-700</t>
  </si>
  <si>
    <t>AstPrsv &amp; Dsctnry -Painting - Interior</t>
  </si>
  <si>
    <t>14840-000</t>
  </si>
  <si>
    <t>14840-700</t>
  </si>
  <si>
    <t>Op CapX-Walks/Roads/Lots</t>
  </si>
  <si>
    <t>14841-700</t>
  </si>
  <si>
    <t>AstPrsv &amp; Dsctnry -Walks/Roads/Lots</t>
  </si>
  <si>
    <t>14850-000</t>
  </si>
  <si>
    <t>14860-000</t>
  </si>
  <si>
    <t>14870-000</t>
  </si>
  <si>
    <t>14871-700</t>
  </si>
  <si>
    <t>Permit/Fees</t>
  </si>
  <si>
    <t>14872-700</t>
  </si>
  <si>
    <t>Op CapX-Permit/Fees</t>
  </si>
  <si>
    <t>14873-700</t>
  </si>
  <si>
    <t>AstPrsv &amp; Dsctnry -Permit/Fees</t>
  </si>
  <si>
    <t>14875-000</t>
  </si>
  <si>
    <t>14875-700</t>
  </si>
  <si>
    <t>Op CapX-Consultants</t>
  </si>
  <si>
    <t>14876-700</t>
  </si>
  <si>
    <t>AstPrsv &amp; Dsctnry -Consultants</t>
  </si>
  <si>
    <t>14878-700</t>
  </si>
  <si>
    <t>Op CapX-Permits</t>
  </si>
  <si>
    <t>14879-700</t>
  </si>
  <si>
    <t>AstPrsv &amp; Dsctnry -Permits</t>
  </si>
  <si>
    <t>14880-000</t>
  </si>
  <si>
    <t>14880-700</t>
  </si>
  <si>
    <t>Op CapX-Plumbing</t>
  </si>
  <si>
    <t>14881-700</t>
  </si>
  <si>
    <t>AstPrsv &amp; Dsctnry -Plumbing</t>
  </si>
  <si>
    <t>14890-000</t>
  </si>
  <si>
    <t>14890-001</t>
  </si>
  <si>
    <t>Pool - Spa Heater</t>
  </si>
  <si>
    <t>14890-002</t>
  </si>
  <si>
    <t>14890-600</t>
  </si>
  <si>
    <t>REDEV Pool</t>
  </si>
  <si>
    <t>14890-700</t>
  </si>
  <si>
    <t>Op CapX-Pools &amp; Recreation</t>
  </si>
  <si>
    <t>14891-700</t>
  </si>
  <si>
    <t>AstPrsv &amp; Dsctnry -Pools &amp; Recreation</t>
  </si>
  <si>
    <t>14892-000</t>
  </si>
  <si>
    <t>14893-600</t>
  </si>
  <si>
    <t>Property Enhancements</t>
  </si>
  <si>
    <t>14894-600</t>
  </si>
  <si>
    <t>Other  Replacements</t>
  </si>
  <si>
    <t>14895-000</t>
  </si>
  <si>
    <t>14895-600</t>
  </si>
  <si>
    <t>REDEV Sports Courts</t>
  </si>
  <si>
    <t>14896-000</t>
  </si>
  <si>
    <t>14896-600</t>
  </si>
  <si>
    <t>REDEV MAJ Playground</t>
  </si>
  <si>
    <t>14896-700</t>
  </si>
  <si>
    <t>AstPrsv &amp; Dsctnry -Solar</t>
  </si>
  <si>
    <t>14897-700</t>
  </si>
  <si>
    <t>Op CapX-Roofing</t>
  </si>
  <si>
    <t>14898-700</t>
  </si>
  <si>
    <t>AstPrsv &amp; Dsctnry -Roofing</t>
  </si>
  <si>
    <t>14900-000</t>
  </si>
  <si>
    <t>14900-600</t>
  </si>
  <si>
    <t>SC Roof</t>
  </si>
  <si>
    <t>14900-700</t>
  </si>
  <si>
    <t>AstPrsv &amp; Dsctnry -Security Systems</t>
  </si>
  <si>
    <t>14901-000</t>
  </si>
  <si>
    <t>14901-700</t>
  </si>
  <si>
    <t>Op CapX-Security Systems</t>
  </si>
  <si>
    <t>14902-000</t>
  </si>
  <si>
    <t>14902-600</t>
  </si>
  <si>
    <t>SC Siding</t>
  </si>
  <si>
    <t>14903-700</t>
  </si>
  <si>
    <t>Sewer</t>
  </si>
  <si>
    <t>14904-700</t>
  </si>
  <si>
    <t>Op CapX-Sewer</t>
  </si>
  <si>
    <t>14905-700</t>
  </si>
  <si>
    <t>AstPrsv &amp; Dsctnry -Sewer</t>
  </si>
  <si>
    <t>14906-700</t>
  </si>
  <si>
    <t>Safety Equipment/Training</t>
  </si>
  <si>
    <t>14907-700</t>
  </si>
  <si>
    <t>Op CapX-Safety Equip/Training</t>
  </si>
  <si>
    <t>14908-700</t>
  </si>
  <si>
    <t>AstPrsv &amp; Dsctnry -Safety Equipment/Training</t>
  </si>
  <si>
    <t>14909-700</t>
  </si>
  <si>
    <t>Fair Market Value Adj - Assumed Loa</t>
  </si>
  <si>
    <t>14910-000</t>
  </si>
  <si>
    <t>14911-000</t>
  </si>
  <si>
    <t>14912-000</t>
  </si>
  <si>
    <t>14913-000</t>
  </si>
  <si>
    <t>14913-700</t>
  </si>
  <si>
    <t>Tools &amp; Equipment</t>
  </si>
  <si>
    <t>14914-700</t>
  </si>
  <si>
    <t>Op CapX-Tools &amp; Equipment</t>
  </si>
  <si>
    <t>14915-700</t>
  </si>
  <si>
    <t>AstPrsv &amp; Dsctnry -Tools &amp; Equipment</t>
  </si>
  <si>
    <t>14916-000</t>
  </si>
  <si>
    <t>14917-700</t>
  </si>
  <si>
    <t>Acquisition - Tool &amp; Equipment</t>
  </si>
  <si>
    <t>14918-700</t>
  </si>
  <si>
    <t>Op CapX-Clubhouse Equipment</t>
  </si>
  <si>
    <t>14919-700</t>
  </si>
  <si>
    <t>AstPrsv &amp; Dsctnry-Clubhouse Equipment</t>
  </si>
  <si>
    <t>14920-000</t>
  </si>
  <si>
    <t>14920-700</t>
  </si>
  <si>
    <t>Clubhouse Equipment</t>
  </si>
  <si>
    <t>14925-000</t>
  </si>
  <si>
    <t>14928-700</t>
  </si>
  <si>
    <t>Op CapX-Pest Proofing</t>
  </si>
  <si>
    <t>14929-700</t>
  </si>
  <si>
    <t>AstPrsv &amp; Dsctnry -Pest Proofing</t>
  </si>
  <si>
    <t>14930-000</t>
  </si>
  <si>
    <t>14930-700</t>
  </si>
  <si>
    <t>AstPrsv &amp; Dsctnry -Expo Rehab Units</t>
  </si>
  <si>
    <t>14931-000</t>
  </si>
  <si>
    <t>14931-700</t>
  </si>
  <si>
    <t>Op CapX-Expo Rehab Units</t>
  </si>
  <si>
    <t>14932-000</t>
  </si>
  <si>
    <t>14932-600</t>
  </si>
  <si>
    <t>SC Windows</t>
  </si>
  <si>
    <t>14932-700</t>
  </si>
  <si>
    <t>Op CapX-Windows</t>
  </si>
  <si>
    <t>14933-700</t>
  </si>
  <si>
    <t>AstPrsv &amp; Dsctnry -Windows</t>
  </si>
  <si>
    <t>14936-700</t>
  </si>
  <si>
    <t>Deck Repair</t>
  </si>
  <si>
    <t>14937-700</t>
  </si>
  <si>
    <t>Op CapX-Deck Repair</t>
  </si>
  <si>
    <t>14938-700</t>
  </si>
  <si>
    <t>AstPrsv &amp; Dsctnry -Deck Repair</t>
  </si>
  <si>
    <t>14939-700</t>
  </si>
  <si>
    <t>Balcony</t>
  </si>
  <si>
    <t>14940-700</t>
  </si>
  <si>
    <t>Op CapX-Balcony</t>
  </si>
  <si>
    <t>14941-700</t>
  </si>
  <si>
    <t>AstPrsv &amp; Dsctnry -Balcony</t>
  </si>
  <si>
    <t>14942-700</t>
  </si>
  <si>
    <t>Project Management</t>
  </si>
  <si>
    <t>14943-700</t>
  </si>
  <si>
    <t>Op CapX-Project Management</t>
  </si>
  <si>
    <t>14944-700</t>
  </si>
  <si>
    <t>AstPrsv &amp; Dsctnry -Project Management</t>
  </si>
  <si>
    <t>14945-700</t>
  </si>
  <si>
    <t>AstPrsv &amp; Dsctnry -Contractor Fee</t>
  </si>
  <si>
    <t>14946-700</t>
  </si>
  <si>
    <t>Project Mgt In House Labor</t>
  </si>
  <si>
    <t>14947-700</t>
  </si>
  <si>
    <t>Op CapX-Dumpster</t>
  </si>
  <si>
    <t>14948-700</t>
  </si>
  <si>
    <t>AstPrsv &amp; Dsctnry -Dumpster</t>
  </si>
  <si>
    <t>14949-700</t>
  </si>
  <si>
    <t>AstPrsv &amp; Dsctnry -Contingency</t>
  </si>
  <si>
    <t>14950-000</t>
  </si>
  <si>
    <t>14950-700</t>
  </si>
  <si>
    <t>Website Designs</t>
  </si>
  <si>
    <t>14951-700</t>
  </si>
  <si>
    <t>14952-700</t>
  </si>
  <si>
    <t>AstPrsv &amp; Dsctrny - Vacancy Improv</t>
  </si>
  <si>
    <t>14953-700</t>
  </si>
  <si>
    <t>Loan Draw Funding for Capital Exp.</t>
  </si>
  <si>
    <t>14955-000</t>
  </si>
  <si>
    <t>14960-000</t>
  </si>
  <si>
    <t>14965-000</t>
  </si>
  <si>
    <t>14966-700</t>
  </si>
  <si>
    <t>Solar-General</t>
  </si>
  <si>
    <t>14967-700</t>
  </si>
  <si>
    <t>Solar-Capitalized Interest</t>
  </si>
  <si>
    <t>14968-700</t>
  </si>
  <si>
    <t>Solar-Contractor Fees</t>
  </si>
  <si>
    <t>14969-600</t>
  </si>
  <si>
    <t>REHAB Condo Rehab</t>
  </si>
  <si>
    <t>14970-600</t>
  </si>
  <si>
    <t>REHAB Decking / Balcony</t>
  </si>
  <si>
    <t>14971-600</t>
  </si>
  <si>
    <t>REHAB Down Units</t>
  </si>
  <si>
    <t>14972-600</t>
  </si>
  <si>
    <t>REHAB Labor</t>
  </si>
  <si>
    <t>14973-600</t>
  </si>
  <si>
    <t>REHAB Other  Replacements</t>
  </si>
  <si>
    <t>14974-600</t>
  </si>
  <si>
    <t>REHAB Appliances</t>
  </si>
  <si>
    <t>14975-600</t>
  </si>
  <si>
    <t>REHAB Refrigerator</t>
  </si>
  <si>
    <t>14976-600</t>
  </si>
  <si>
    <t>REHAB Stove/Micro</t>
  </si>
  <si>
    <t>14977-600</t>
  </si>
  <si>
    <t>REHAB Dishwasher</t>
  </si>
  <si>
    <t>14978-600</t>
  </si>
  <si>
    <t>REHAB Water Heater</t>
  </si>
  <si>
    <t>14979-600</t>
  </si>
  <si>
    <t>REHAB - Washer/Dryer</t>
  </si>
  <si>
    <t>14980-600</t>
  </si>
  <si>
    <t>REHAB Garbage Disposal</t>
  </si>
  <si>
    <t>14981-600</t>
  </si>
  <si>
    <t>REHAB Awnings</t>
  </si>
  <si>
    <t>14982-600</t>
  </si>
  <si>
    <t>REHAB Boiler</t>
  </si>
  <si>
    <t>14983-600</t>
  </si>
  <si>
    <t>REHAB Carpet</t>
  </si>
  <si>
    <t>14984-600</t>
  </si>
  <si>
    <t>REHAB Ceiling Fans / Fixtures</t>
  </si>
  <si>
    <t>14985-600</t>
  </si>
  <si>
    <t>REHAB Light Fixtures</t>
  </si>
  <si>
    <t>14986-600</t>
  </si>
  <si>
    <t>REHAB Countertops</t>
  </si>
  <si>
    <t>14987-600</t>
  </si>
  <si>
    <t>REHAB Door Replacement</t>
  </si>
  <si>
    <t>14988-600</t>
  </si>
  <si>
    <t>REHAB Electrical</t>
  </si>
  <si>
    <t>14989-600</t>
  </si>
  <si>
    <t>REHAB Hardware</t>
  </si>
  <si>
    <t>14990-600</t>
  </si>
  <si>
    <t>REHAB Interior Unit</t>
  </si>
  <si>
    <t>14991-600</t>
  </si>
  <si>
    <t>REHAB Vinyl/Tile</t>
  </si>
  <si>
    <t>14992-600</t>
  </si>
  <si>
    <t>REHAB Flooring</t>
  </si>
  <si>
    <t>14993-600</t>
  </si>
  <si>
    <t>14994-600</t>
  </si>
  <si>
    <t>REHAB Glass &amp; Screen</t>
  </si>
  <si>
    <t>14995-600</t>
  </si>
  <si>
    <t>REHAB HVAC Equipment</t>
  </si>
  <si>
    <t>14996-600</t>
  </si>
  <si>
    <t>REHAB Cabinets</t>
  </si>
  <si>
    <t>14997-600</t>
  </si>
  <si>
    <t>REHAB Kitchen/Bath Fixtures</t>
  </si>
  <si>
    <t>14998-600</t>
  </si>
  <si>
    <t>REHAB Window Treatments</t>
  </si>
  <si>
    <t>14999-999</t>
  </si>
  <si>
    <t>Total Capital Renovation</t>
  </si>
  <si>
    <t>15000-000</t>
  </si>
  <si>
    <t>15001-000</t>
  </si>
  <si>
    <t>15001-001</t>
  </si>
  <si>
    <t>Investm. in Greystar 2018 Investors (Return of Distrib.)</t>
  </si>
  <si>
    <t>15001-002</t>
  </si>
  <si>
    <t>Investm. in Greystar 2018 Investors (Return on Distrib.)</t>
  </si>
  <si>
    <t>15001-003</t>
  </si>
  <si>
    <t>Investment in Greystar 2018 Investors (Income/Loss Pickups)</t>
  </si>
  <si>
    <t>15002-000</t>
  </si>
  <si>
    <t>15002-001</t>
  </si>
  <si>
    <t>Investm. in GS 445 Meeting Owner, LLC (Return of Distrib.)</t>
  </si>
  <si>
    <t>15002-002</t>
  </si>
  <si>
    <t>Investm. in GS 445 Meeting Owner, LLC (Return on Distrib.)</t>
  </si>
  <si>
    <t>15010-000</t>
  </si>
  <si>
    <t>15011-000</t>
  </si>
  <si>
    <t>15011-001</t>
  </si>
  <si>
    <t>Investment In Partnerships 3rd (Return of Distributions)</t>
  </si>
  <si>
    <t>15011-002</t>
  </si>
  <si>
    <t>Investment In Partnerships 3rd  (Return on Distributions)</t>
  </si>
  <si>
    <t>15011-003</t>
  </si>
  <si>
    <t>Investment In Partnerships 3rd (Income/Loss Pickups)</t>
  </si>
  <si>
    <t>15011-004</t>
  </si>
  <si>
    <t>Investment In Partnerships 3rd (Fx Adjustments)</t>
  </si>
  <si>
    <t>15012-000</t>
  </si>
  <si>
    <t>15013-000</t>
  </si>
  <si>
    <t>15014-000</t>
  </si>
  <si>
    <t>15014-001</t>
  </si>
  <si>
    <t>Invest Courier Square Project (Return of Distributions)</t>
  </si>
  <si>
    <t>15014-002</t>
  </si>
  <si>
    <t>Invest Courier Square Project (Return on Distributions)</t>
  </si>
  <si>
    <t>15014-003</t>
  </si>
  <si>
    <t>Investment in Courier Square Project (Income/Loss Pickups)</t>
  </si>
  <si>
    <t>15014-004</t>
  </si>
  <si>
    <t>Investment in Courier Square Project  (Fx Adjustments)</t>
  </si>
  <si>
    <t>15015-000</t>
  </si>
  <si>
    <t>15016-000</t>
  </si>
  <si>
    <t>15017-000</t>
  </si>
  <si>
    <t>15018-000</t>
  </si>
  <si>
    <t>15018-001</t>
  </si>
  <si>
    <t>Investment in Orange House ZC (Return of Distributions)</t>
  </si>
  <si>
    <t>15018-002</t>
  </si>
  <si>
    <t>Investment in Orange House ZC  (Return on Distributions)</t>
  </si>
  <si>
    <t>15018-003</t>
  </si>
  <si>
    <t>Investment in Orange House ZC (Income/Loss Pickups)</t>
  </si>
  <si>
    <t>15018-004</t>
  </si>
  <si>
    <t>Investment in Orange House ZC (Fx Adjustments)</t>
  </si>
  <si>
    <t>15019-000</t>
  </si>
  <si>
    <t>15019-001</t>
  </si>
  <si>
    <t>Invest Portefeuille de dev PG (Return of Distributions)</t>
  </si>
  <si>
    <t>15019-002</t>
  </si>
  <si>
    <t>Invest Portefeuille de dev PG (Return on Distributions)</t>
  </si>
  <si>
    <t>15019-003</t>
  </si>
  <si>
    <t>Investment in Portefeuille de dev PG (Income/Loss Pickups)</t>
  </si>
  <si>
    <t>15019-004</t>
  </si>
  <si>
    <t>Investment in Portefeuille de dev PG  (Fx Adjustments)</t>
  </si>
  <si>
    <t>15020-000</t>
  </si>
  <si>
    <t>15021-000</t>
  </si>
  <si>
    <t>15022-000</t>
  </si>
  <si>
    <t>15022-001</t>
  </si>
  <si>
    <t>Investm. in GDCV Res Portfolio, LP (Return of Distrib.)</t>
  </si>
  <si>
    <t>15022-002</t>
  </si>
  <si>
    <t>Investm. in GDCV Res. Portfolio, LP (Return on Distrib.)?</t>
  </si>
  <si>
    <t>15022-003</t>
  </si>
  <si>
    <t>Investm. in GDCV Res. Portfolio, LP (Income/Loss Pickups)</t>
  </si>
  <si>
    <t>15022-004</t>
  </si>
  <si>
    <t>Investm. in GDCV Res. Portfolio, LP (Fx Adj.)</t>
  </si>
  <si>
    <t>15023-000</t>
  </si>
  <si>
    <t>15023-001</t>
  </si>
  <si>
    <t>Investm.in GDCV Resid. Portf. II, LP (Return of Distr.)</t>
  </si>
  <si>
    <t>15023-002</t>
  </si>
  <si>
    <t>Investm. in GDCV Resid. Portf. II, LP (Return on Distr.)</t>
  </si>
  <si>
    <t>15023-003</t>
  </si>
  <si>
    <t>Investm. in GDCV Resid. Portf. II, LP (Inc./Loss Pickups)</t>
  </si>
  <si>
    <t>15024-000</t>
  </si>
  <si>
    <t>15024-001</t>
  </si>
  <si>
    <t>Investment in GSHA, LLC (Return of Distributions)</t>
  </si>
  <si>
    <t>15024-002</t>
  </si>
  <si>
    <t>Investment in GSHA, LLC (Return on Distributions)</t>
  </si>
  <si>
    <t>15024-003</t>
  </si>
  <si>
    <t>Investment in GSHA, LLC (Income/Loss Pickups)</t>
  </si>
  <si>
    <t>15025-000</t>
  </si>
  <si>
    <t>15026-000</t>
  </si>
  <si>
    <t>15026-001</t>
  </si>
  <si>
    <t>Investm. in GS Fund 8 Lmtd Prtnr, LLC (Ret. of Distrib.)</t>
  </si>
  <si>
    <t>15026-002</t>
  </si>
  <si>
    <t>Investm. in GS Fund 8 Lmtd Prtnr, LLC (Ret. on Distr.)</t>
  </si>
  <si>
    <t>15026-003</t>
  </si>
  <si>
    <t>Investm. in GS Fund 8 Lmtd Prtnr, LLC (Inc./Loss Pickups)</t>
  </si>
  <si>
    <t>15027-000</t>
  </si>
  <si>
    <t>15027-001</t>
  </si>
  <si>
    <t>Investm. in GS Multifamily GP 8, LLC (Ret. of Distrib)</t>
  </si>
  <si>
    <t>15027-002</t>
  </si>
  <si>
    <t>Investm. in GS Multifamily GP 8, LLC (Ret. on Distrib)</t>
  </si>
  <si>
    <t>15027-003</t>
  </si>
  <si>
    <t>Investm. in GS Multifamily GP 8, LLC (Inc./Loss Pickups)</t>
  </si>
  <si>
    <t>15030-000</t>
  </si>
  <si>
    <t>15035-000</t>
  </si>
  <si>
    <t>15040-000</t>
  </si>
  <si>
    <t>15041-000</t>
  </si>
  <si>
    <t>15042-000</t>
  </si>
  <si>
    <t>15043-000</t>
  </si>
  <si>
    <t>15044-000</t>
  </si>
  <si>
    <t>15045-000</t>
  </si>
  <si>
    <t>15046-000</t>
  </si>
  <si>
    <t>15050-000</t>
  </si>
  <si>
    <t>15055-000</t>
  </si>
  <si>
    <t>15060-000</t>
  </si>
  <si>
    <t>15061-000</t>
  </si>
  <si>
    <t>15065-000</t>
  </si>
  <si>
    <t>15070-000</t>
  </si>
  <si>
    <t>15075-000</t>
  </si>
  <si>
    <t>15080-000</t>
  </si>
  <si>
    <t>15081-000</t>
  </si>
  <si>
    <t>15082-000</t>
  </si>
  <si>
    <t>15085-000</t>
  </si>
  <si>
    <t>15090-000</t>
  </si>
  <si>
    <t>15095-000</t>
  </si>
  <si>
    <t>15096-000</t>
  </si>
  <si>
    <t>15097-000</t>
  </si>
  <si>
    <t>15100-000</t>
  </si>
  <si>
    <t>15105-000</t>
  </si>
  <si>
    <t>15110-000</t>
  </si>
  <si>
    <t>15115-000</t>
  </si>
  <si>
    <t>15120-000</t>
  </si>
  <si>
    <t>15125-000</t>
  </si>
  <si>
    <t>15130-000</t>
  </si>
  <si>
    <t>15135-000</t>
  </si>
  <si>
    <t>15140-000</t>
  </si>
  <si>
    <t>15145-000</t>
  </si>
  <si>
    <t>15150-000</t>
  </si>
  <si>
    <t>15151-000</t>
  </si>
  <si>
    <t>15152-000</t>
  </si>
  <si>
    <t>15153-000</t>
  </si>
  <si>
    <t>15154-000</t>
  </si>
  <si>
    <t>15155-000</t>
  </si>
  <si>
    <t>15156-000</t>
  </si>
  <si>
    <t>15157-000</t>
  </si>
  <si>
    <t>15158-000</t>
  </si>
  <si>
    <t>15160-000</t>
  </si>
  <si>
    <t>15161-000</t>
  </si>
  <si>
    <t>15162-000</t>
  </si>
  <si>
    <t>15163-000</t>
  </si>
  <si>
    <t>15164-000</t>
  </si>
  <si>
    <t>15165-000</t>
  </si>
  <si>
    <t>15166-000</t>
  </si>
  <si>
    <t>15167-000</t>
  </si>
  <si>
    <t>15168-000</t>
  </si>
  <si>
    <t>15169-000</t>
  </si>
  <si>
    <t>15170-000</t>
  </si>
  <si>
    <t>15171-000</t>
  </si>
  <si>
    <t>15172-000</t>
  </si>
  <si>
    <t>15173-000</t>
  </si>
  <si>
    <t>15174-000</t>
  </si>
  <si>
    <t>15175-000</t>
  </si>
  <si>
    <t>15176-000</t>
  </si>
  <si>
    <t>15177-000</t>
  </si>
  <si>
    <t>15178-000</t>
  </si>
  <si>
    <t>15179-000</t>
  </si>
  <si>
    <t>15180-000</t>
  </si>
  <si>
    <t>15181-000</t>
  </si>
  <si>
    <t>15182-000</t>
  </si>
  <si>
    <t>15183-000</t>
  </si>
  <si>
    <t>15184-000</t>
  </si>
  <si>
    <t>15185-000</t>
  </si>
  <si>
    <t>15186-000</t>
  </si>
  <si>
    <t>15187-000</t>
  </si>
  <si>
    <t>15188-000</t>
  </si>
  <si>
    <t>15189-000</t>
  </si>
  <si>
    <t>15190-000</t>
  </si>
  <si>
    <t>15191-000</t>
  </si>
  <si>
    <t>15192-000</t>
  </si>
  <si>
    <t>15193-000</t>
  </si>
  <si>
    <t>15194-000</t>
  </si>
  <si>
    <t>15195-000</t>
  </si>
  <si>
    <t>15196-000</t>
  </si>
  <si>
    <t>15197-000</t>
  </si>
  <si>
    <t>15198-000</t>
  </si>
  <si>
    <t>15199-000</t>
  </si>
  <si>
    <t>15200-000</t>
  </si>
  <si>
    <t>15201-000</t>
  </si>
  <si>
    <t>15202-000</t>
  </si>
  <si>
    <t>15203-000</t>
  </si>
  <si>
    <t>15204-000</t>
  </si>
  <si>
    <t>15205-000</t>
  </si>
  <si>
    <t>15206-000</t>
  </si>
  <si>
    <t>15207-000</t>
  </si>
  <si>
    <t>15207-001</t>
  </si>
  <si>
    <t>Investment in Hassell (Return of Distributions)</t>
  </si>
  <si>
    <t>15207-002</t>
  </si>
  <si>
    <t>Investment in Hassell (Return on Distributions)</t>
  </si>
  <si>
    <t>15207-003</t>
  </si>
  <si>
    <t>Investment in Hassell (Income/Loss Pickups)</t>
  </si>
  <si>
    <t>15207-004</t>
  </si>
  <si>
    <t>Investment in Hassell (Fx Adjustments)</t>
  </si>
  <si>
    <t>15208-000</t>
  </si>
  <si>
    <t>15209-000</t>
  </si>
  <si>
    <t>15210-000</t>
  </si>
  <si>
    <t>15211-000</t>
  </si>
  <si>
    <t>15212-000</t>
  </si>
  <si>
    <t>15213-000</t>
  </si>
  <si>
    <t>15214-000</t>
  </si>
  <si>
    <t>15215-000</t>
  </si>
  <si>
    <t>15216-000</t>
  </si>
  <si>
    <t>15217-000</t>
  </si>
  <si>
    <t>15218-000</t>
  </si>
  <si>
    <t>15219-000</t>
  </si>
  <si>
    <t>15220-000</t>
  </si>
  <si>
    <t>15221-000</t>
  </si>
  <si>
    <t>15222-000</t>
  </si>
  <si>
    <t>15223-000</t>
  </si>
  <si>
    <t>15224-000</t>
  </si>
  <si>
    <t>15225-000</t>
  </si>
  <si>
    <t>15226-000</t>
  </si>
  <si>
    <t>15227-000</t>
  </si>
  <si>
    <t>15228-000</t>
  </si>
  <si>
    <t>15229-000</t>
  </si>
  <si>
    <t>15230-000</t>
  </si>
  <si>
    <t>15231-000</t>
  </si>
  <si>
    <t>15232-000</t>
  </si>
  <si>
    <t>15233-000</t>
  </si>
  <si>
    <t>15234-000</t>
  </si>
  <si>
    <t>15235-000</t>
  </si>
  <si>
    <t>15236-000</t>
  </si>
  <si>
    <t>15237-000</t>
  </si>
  <si>
    <t>15238-000</t>
  </si>
  <si>
    <t>15239-000</t>
  </si>
  <si>
    <t>15240-000</t>
  </si>
  <si>
    <t>15241-000</t>
  </si>
  <si>
    <t>15242-000</t>
  </si>
  <si>
    <t>15243-000</t>
  </si>
  <si>
    <t>15244-000</t>
  </si>
  <si>
    <t>15245-000</t>
  </si>
  <si>
    <t>15246-000</t>
  </si>
  <si>
    <t>15247-000</t>
  </si>
  <si>
    <t>15248-000</t>
  </si>
  <si>
    <t>15249-000</t>
  </si>
  <si>
    <t>15250-000</t>
  </si>
  <si>
    <t>15251-000</t>
  </si>
  <si>
    <t>15252-000</t>
  </si>
  <si>
    <t>15253-000</t>
  </si>
  <si>
    <t>15254-000</t>
  </si>
  <si>
    <t>15255-000</t>
  </si>
  <si>
    <t>15256-000</t>
  </si>
  <si>
    <t>15257-000</t>
  </si>
  <si>
    <t>15258-000</t>
  </si>
  <si>
    <t>15259-000</t>
  </si>
  <si>
    <t>15260-000</t>
  </si>
  <si>
    <t>15261-000</t>
  </si>
  <si>
    <t>15262-000</t>
  </si>
  <si>
    <t>15263-000</t>
  </si>
  <si>
    <t>15264-000</t>
  </si>
  <si>
    <t>15265-000</t>
  </si>
  <si>
    <t>15266-000</t>
  </si>
  <si>
    <t>15267-000</t>
  </si>
  <si>
    <t>15268-000</t>
  </si>
  <si>
    <t>15269-000</t>
  </si>
  <si>
    <t>15270-000</t>
  </si>
  <si>
    <t>15271-000</t>
  </si>
  <si>
    <t>15272-000</t>
  </si>
  <si>
    <t>15273-000</t>
  </si>
  <si>
    <t>15274-000</t>
  </si>
  <si>
    <t>15275-000</t>
  </si>
  <si>
    <t>15276-000</t>
  </si>
  <si>
    <t>15277-000</t>
  </si>
  <si>
    <t>15278-000</t>
  </si>
  <si>
    <t>15279-000</t>
  </si>
  <si>
    <t>15280-000</t>
  </si>
  <si>
    <t>15281-000</t>
  </si>
  <si>
    <t>15282-000</t>
  </si>
  <si>
    <t>15283-000</t>
  </si>
  <si>
    <t>15284-000</t>
  </si>
  <si>
    <t>15285-000</t>
  </si>
  <si>
    <t>15286-000</t>
  </si>
  <si>
    <t>15287-000</t>
  </si>
  <si>
    <t>15288-000</t>
  </si>
  <si>
    <t>15289-000</t>
  </si>
  <si>
    <t>15290-000</t>
  </si>
  <si>
    <t>15291-000</t>
  </si>
  <si>
    <t>15292-000</t>
  </si>
  <si>
    <t>15293-000</t>
  </si>
  <si>
    <t>15294-000</t>
  </si>
  <si>
    <t>15295-000</t>
  </si>
  <si>
    <t>15296-000</t>
  </si>
  <si>
    <t>15297-000</t>
  </si>
  <si>
    <t>15298-000</t>
  </si>
  <si>
    <t>15299-000</t>
  </si>
  <si>
    <t>15300-000</t>
  </si>
  <si>
    <t>15301-000</t>
  </si>
  <si>
    <t>15302-000</t>
  </si>
  <si>
    <t>15303-000</t>
  </si>
  <si>
    <t>15304-000</t>
  </si>
  <si>
    <t>15305-000</t>
  </si>
  <si>
    <t>15306-000</t>
  </si>
  <si>
    <t>15307-000</t>
  </si>
  <si>
    <t>15308-000</t>
  </si>
  <si>
    <t>15309-000</t>
  </si>
  <si>
    <t>15310-000</t>
  </si>
  <si>
    <t>15311-000</t>
  </si>
  <si>
    <t>15312-000</t>
  </si>
  <si>
    <t>15313-000</t>
  </si>
  <si>
    <t>15314-000</t>
  </si>
  <si>
    <t>15315-000</t>
  </si>
  <si>
    <t>15316-000</t>
  </si>
  <si>
    <t>15317-000</t>
  </si>
  <si>
    <t>15318-000</t>
  </si>
  <si>
    <t>15319-000</t>
  </si>
  <si>
    <t>15320-000</t>
  </si>
  <si>
    <t>15321-000</t>
  </si>
  <si>
    <t>15322-000</t>
  </si>
  <si>
    <t>15323-000</t>
  </si>
  <si>
    <t>15324-000</t>
  </si>
  <si>
    <t>15325-000</t>
  </si>
  <si>
    <t>15326-000</t>
  </si>
  <si>
    <t>15327-000</t>
  </si>
  <si>
    <t>15328-000</t>
  </si>
  <si>
    <t>15329-000</t>
  </si>
  <si>
    <t>15330-000</t>
  </si>
  <si>
    <t>15331-000</t>
  </si>
  <si>
    <t>15332-000</t>
  </si>
  <si>
    <t>15333-000</t>
  </si>
  <si>
    <t>15334-000</t>
  </si>
  <si>
    <t>15335-000</t>
  </si>
  <si>
    <t>15336-000</t>
  </si>
  <si>
    <t>15337-000</t>
  </si>
  <si>
    <t>15338-000</t>
  </si>
  <si>
    <t>15338-001</t>
  </si>
  <si>
    <t>Investment in DI Investors (Return of Distributions)</t>
  </si>
  <si>
    <t>15338-002</t>
  </si>
  <si>
    <t>Investment in DI Investors (Return on Distributions)</t>
  </si>
  <si>
    <t>15338-003</t>
  </si>
  <si>
    <t>Investment in DI Investors (Income/Loss Pickups)</t>
  </si>
  <si>
    <t>15338-004</t>
  </si>
  <si>
    <t>Investment in DI Investors (Fx Adjustments)</t>
  </si>
  <si>
    <t>15339-000</t>
  </si>
  <si>
    <t>15340-000</t>
  </si>
  <si>
    <t>15341-000</t>
  </si>
  <si>
    <t>15342-000</t>
  </si>
  <si>
    <t>15343-000</t>
  </si>
  <si>
    <t>15344-000</t>
  </si>
  <si>
    <t>15345-000</t>
  </si>
  <si>
    <t>15346-000</t>
  </si>
  <si>
    <t>15347-000</t>
  </si>
  <si>
    <t>15347-001</t>
  </si>
  <si>
    <t>Investment in GS Carnes (Return of Distributions)</t>
  </si>
  <si>
    <t>15347-002</t>
  </si>
  <si>
    <t>Investment in GS Carnes (Return on Distributions)</t>
  </si>
  <si>
    <t>15347-003</t>
  </si>
  <si>
    <t>Investment in GS Carnes (Income/Loss Pickups)</t>
  </si>
  <si>
    <t>15347-004</t>
  </si>
  <si>
    <t>Investment in GS Carnes (Fx Adjustments)</t>
  </si>
  <si>
    <t>15348-000</t>
  </si>
  <si>
    <t>15349-000</t>
  </si>
  <si>
    <t>15350-000</t>
  </si>
  <si>
    <t>15351-000</t>
  </si>
  <si>
    <t>15352-000</t>
  </si>
  <si>
    <t>15353-000</t>
  </si>
  <si>
    <t>15354-000</t>
  </si>
  <si>
    <t>15355-000</t>
  </si>
  <si>
    <t>15356-000</t>
  </si>
  <si>
    <t>15357-000</t>
  </si>
  <si>
    <t>15358-000</t>
  </si>
  <si>
    <t>15359-000</t>
  </si>
  <si>
    <t>15360-000</t>
  </si>
  <si>
    <t>15361-000</t>
  </si>
  <si>
    <t>15362-000</t>
  </si>
  <si>
    <t>15363-000</t>
  </si>
  <si>
    <t>15364-000</t>
  </si>
  <si>
    <t>15365-000</t>
  </si>
  <si>
    <t>15366-000</t>
  </si>
  <si>
    <t>15366-100</t>
  </si>
  <si>
    <t>Investment in Champions (Distribution)</t>
  </si>
  <si>
    <t>15367-000</t>
  </si>
  <si>
    <t>15368-000</t>
  </si>
  <si>
    <t>15369-000</t>
  </si>
  <si>
    <t>15370-000</t>
  </si>
  <si>
    <t>15371-000</t>
  </si>
  <si>
    <t>15372-000</t>
  </si>
  <si>
    <t>15373-000</t>
  </si>
  <si>
    <t>15374-000</t>
  </si>
  <si>
    <t>15375-000</t>
  </si>
  <si>
    <t>15376-000</t>
  </si>
  <si>
    <t>15377-000</t>
  </si>
  <si>
    <t>15378-000</t>
  </si>
  <si>
    <t>15379-000</t>
  </si>
  <si>
    <t>15380-000</t>
  </si>
  <si>
    <t>15381-000</t>
  </si>
  <si>
    <t>15382-000</t>
  </si>
  <si>
    <t>15383-000</t>
  </si>
  <si>
    <t>15384-000</t>
  </si>
  <si>
    <t>15385-000</t>
  </si>
  <si>
    <t>15386-000</t>
  </si>
  <si>
    <t>15387-000</t>
  </si>
  <si>
    <t>15388-000</t>
  </si>
  <si>
    <t>15389-000</t>
  </si>
  <si>
    <t>15390-000</t>
  </si>
  <si>
    <t>15391-000</t>
  </si>
  <si>
    <t>15392-000</t>
  </si>
  <si>
    <t>15393-000</t>
  </si>
  <si>
    <t>15394-000</t>
  </si>
  <si>
    <t>15395-000</t>
  </si>
  <si>
    <t>15396-000</t>
  </si>
  <si>
    <t>15397-000</t>
  </si>
  <si>
    <t>15398-000</t>
  </si>
  <si>
    <t>15399-000</t>
  </si>
  <si>
    <t>15400-000</t>
  </si>
  <si>
    <t>15401-000</t>
  </si>
  <si>
    <t>15402-000</t>
  </si>
  <si>
    <t>15403-000</t>
  </si>
  <si>
    <t>15404-000</t>
  </si>
  <si>
    <t>15405-000</t>
  </si>
  <si>
    <t>15406-000</t>
  </si>
  <si>
    <t>15410-000</t>
  </si>
  <si>
    <t>15411-000</t>
  </si>
  <si>
    <t>15412-000</t>
  </si>
  <si>
    <t>15413-000</t>
  </si>
  <si>
    <t>15414-000</t>
  </si>
  <si>
    <t>15415-000</t>
  </si>
  <si>
    <t>15420-000</t>
  </si>
  <si>
    <t>15421-001</t>
  </si>
  <si>
    <t>Investment in Brightleaf ( Contributions)</t>
  </si>
  <si>
    <t>15421-002</t>
  </si>
  <si>
    <t>Investment in Brightleaf (Distributions)</t>
  </si>
  <si>
    <t>15421-003</t>
  </si>
  <si>
    <t>Investment in Brightleaf (Income)</t>
  </si>
  <si>
    <t>15422-001</t>
  </si>
  <si>
    <t>Investment in Maple (Contributions)</t>
  </si>
  <si>
    <t>15422-002</t>
  </si>
  <si>
    <t>Investment in Maple (Distributions)</t>
  </si>
  <si>
    <t>15422-003</t>
  </si>
  <si>
    <t>Investment in Maple (Income)</t>
  </si>
  <si>
    <t>15423-001</t>
  </si>
  <si>
    <t>Investment in Settlers Landing</t>
  </si>
  <si>
    <t>15423-002</t>
  </si>
  <si>
    <t>15423-003</t>
  </si>
  <si>
    <t>15424-000</t>
  </si>
  <si>
    <t>15425-000</t>
  </si>
  <si>
    <t>15426-000</t>
  </si>
  <si>
    <t>15427-000</t>
  </si>
  <si>
    <t>15428-000</t>
  </si>
  <si>
    <t>15429-000</t>
  </si>
  <si>
    <t>15430-000</t>
  </si>
  <si>
    <t>15431-000</t>
  </si>
  <si>
    <t>15432-000</t>
  </si>
  <si>
    <t>15433-000</t>
  </si>
  <si>
    <t>15434-000</t>
  </si>
  <si>
    <t>15435-000</t>
  </si>
  <si>
    <t>15436-000</t>
  </si>
  <si>
    <t>15437-000</t>
  </si>
  <si>
    <t>15438-000</t>
  </si>
  <si>
    <t>15439-000</t>
  </si>
  <si>
    <t>15440-000</t>
  </si>
  <si>
    <t>15441-000</t>
  </si>
  <si>
    <t>15442-000</t>
  </si>
  <si>
    <t>15443-000</t>
  </si>
  <si>
    <t>15444-001</t>
  </si>
  <si>
    <t>Investment in Daniel Island (Contributions)</t>
  </si>
  <si>
    <t>15444-002</t>
  </si>
  <si>
    <t>Investment in Daniel Island (Distributions)</t>
  </si>
  <si>
    <t>15444-003</t>
  </si>
  <si>
    <t>Investment in Daniel Island (Income)</t>
  </si>
  <si>
    <t>15500-000</t>
  </si>
  <si>
    <t>15500-001</t>
  </si>
  <si>
    <t>Investment in Real Estate (Return of Distributions)</t>
  </si>
  <si>
    <t>15500-002</t>
  </si>
  <si>
    <t>Investment in Real Estate  (Return on Distributions)</t>
  </si>
  <si>
    <t>15500-003</t>
  </si>
  <si>
    <t>Investment in Real Estate (Income/Loss Pickups)</t>
  </si>
  <si>
    <t>15500-004</t>
  </si>
  <si>
    <t>Investment in Real Estate (Fx Adjustments)</t>
  </si>
  <si>
    <t>15500-600</t>
  </si>
  <si>
    <t>Investment in Caiola</t>
  </si>
  <si>
    <t>15550-000</t>
  </si>
  <si>
    <t>15600-001</t>
  </si>
  <si>
    <t>Investment in South First (Contributions)</t>
  </si>
  <si>
    <t>15600-002</t>
  </si>
  <si>
    <t>Investment in South First (Distributions)</t>
  </si>
  <si>
    <t>15600-003</t>
  </si>
  <si>
    <t>Investment in South First (Income)</t>
  </si>
  <si>
    <t>15601-001</t>
  </si>
  <si>
    <t>Investment in Dallas Galleria (Contributions)</t>
  </si>
  <si>
    <t>15601-002</t>
  </si>
  <si>
    <t>Investment in Dallas Galleria (Distributions)</t>
  </si>
  <si>
    <t>15601-003</t>
  </si>
  <si>
    <t>Investment in Dallas Galleria (Income)</t>
  </si>
  <si>
    <t>15602-001</t>
  </si>
  <si>
    <t>Investment in Houston Galleria (Contributions)</t>
  </si>
  <si>
    <t>15602-002</t>
  </si>
  <si>
    <t>Investment in Houston Galleria (Distributions)</t>
  </si>
  <si>
    <t>15602-003</t>
  </si>
  <si>
    <t>Investment in Houston Galleria (Income)</t>
  </si>
  <si>
    <t>15603-001</t>
  </si>
  <si>
    <t>Investment in Potomac Heights (Contributions)</t>
  </si>
  <si>
    <t>15603-002</t>
  </si>
  <si>
    <t>Investment in Potomac Heights (Distributions)</t>
  </si>
  <si>
    <t>15603-003</t>
  </si>
  <si>
    <t>Investment in Potomac Heights (Income)</t>
  </si>
  <si>
    <t>15604-001</t>
  </si>
  <si>
    <t>Investment in Redmond (Contributions)</t>
  </si>
  <si>
    <t>15604-002</t>
  </si>
  <si>
    <t>Investment in Redmond (Distributions)</t>
  </si>
  <si>
    <t>15604-003</t>
  </si>
  <si>
    <t>Investment in Redmond (Income)</t>
  </si>
  <si>
    <t>15605-001</t>
  </si>
  <si>
    <t>Investment in Midtown (Contributions)</t>
  </si>
  <si>
    <t>15605-002</t>
  </si>
  <si>
    <t>Investment in Midtown (Distributions)</t>
  </si>
  <si>
    <t>15605-003</t>
  </si>
  <si>
    <t>Investment in Midtown (Income)</t>
  </si>
  <si>
    <t>15606-001</t>
  </si>
  <si>
    <t>Investment in GS MF GP Vii (Contributions)</t>
  </si>
  <si>
    <t>15606-002</t>
  </si>
  <si>
    <t>Investment in GS MF GP VII (Distributions)</t>
  </si>
  <si>
    <t>15606-003</t>
  </si>
  <si>
    <t>Investment in GS MF GP VII (Income)</t>
  </si>
  <si>
    <t>15607-001</t>
  </si>
  <si>
    <t>Investment in Uptown Minneapolis (Contributions)</t>
  </si>
  <si>
    <t>15607-002</t>
  </si>
  <si>
    <t>Investment in Uptown Minneapolis (Distributions)</t>
  </si>
  <si>
    <t>15607-003</t>
  </si>
  <si>
    <t>Investment in Uptown Minneapolis (Income)</t>
  </si>
  <si>
    <t>15608-001</t>
  </si>
  <si>
    <t>Investment in Houston Med Center (Contributions)</t>
  </si>
  <si>
    <t>15608-002</t>
  </si>
  <si>
    <t>Investment in Houston Med Center (Distributions)</t>
  </si>
  <si>
    <t>15608-003</t>
  </si>
  <si>
    <t>Investment in Houston Med Center (Income)</t>
  </si>
  <si>
    <t>15609-001</t>
  </si>
  <si>
    <t>Investment in Springhill, LLC (Contributions)</t>
  </si>
  <si>
    <t>15609-002</t>
  </si>
  <si>
    <t>Investment in Springhill, LLC (Distributions)</t>
  </si>
  <si>
    <t>15609-003</t>
  </si>
  <si>
    <t>Investment in Springhill, LLC (Income)</t>
  </si>
  <si>
    <t>15610-001</t>
  </si>
  <si>
    <t>Investment in Plano (Contributions)</t>
  </si>
  <si>
    <t>15610-002</t>
  </si>
  <si>
    <t>Investment in Plano (Distributions)</t>
  </si>
  <si>
    <t>15610-003</t>
  </si>
  <si>
    <t>Investment in Plano (Income)</t>
  </si>
  <si>
    <t>15611-001</t>
  </si>
  <si>
    <t>Investment in Gateway (Contributions)</t>
  </si>
  <si>
    <t>15611-002</t>
  </si>
  <si>
    <t>Investment in Gateway (Distributions)</t>
  </si>
  <si>
    <t>15611-003</t>
  </si>
  <si>
    <t>Investment in Gateway (Income)</t>
  </si>
  <si>
    <t>15612-001</t>
  </si>
  <si>
    <t>Investment in College Crossing (Contributions)</t>
  </si>
  <si>
    <t>15612-002</t>
  </si>
  <si>
    <t>Investment in College Crossing (Distributions)</t>
  </si>
  <si>
    <t>15612-003</t>
  </si>
  <si>
    <t>Investment in College Crossing (Income)</t>
  </si>
  <si>
    <t>15613-001</t>
  </si>
  <si>
    <t>Investment in Desert Ridge (Contributions)</t>
  </si>
  <si>
    <t>15613-002</t>
  </si>
  <si>
    <t>Investment in Desert Ridge (Distributions)</t>
  </si>
  <si>
    <t>15613-003</t>
  </si>
  <si>
    <t>Investment in Desert Ridge (Income)</t>
  </si>
  <si>
    <t>15614-000</t>
  </si>
  <si>
    <t>15614-001</t>
  </si>
  <si>
    <t>Investment in South Lamar Plaza (Return of Distributions)</t>
  </si>
  <si>
    <t>15614-002</t>
  </si>
  <si>
    <t>Investment in South Lamar Plaza (Return on Distributions)</t>
  </si>
  <si>
    <t>15614-003</t>
  </si>
  <si>
    <t>Investment in South Lamar Plaza (Income/Loss Pickups)</t>
  </si>
  <si>
    <t>15614-004</t>
  </si>
  <si>
    <t>Investment in South Lamar Plaza (Fx Adjustments)</t>
  </si>
  <si>
    <t>15615-001</t>
  </si>
  <si>
    <t>Investment in Westside Apartments (Contributions)</t>
  </si>
  <si>
    <t>15615-002</t>
  </si>
  <si>
    <t>Investment in Westside Apartments (Distributions)</t>
  </si>
  <si>
    <t>15615-003</t>
  </si>
  <si>
    <t>Investment in Westside Apartments (Income)</t>
  </si>
  <si>
    <t>15616-000</t>
  </si>
  <si>
    <t>15616-001</t>
  </si>
  <si>
    <t>Investment in Elan Huntington Beach(Return of Distributions)</t>
  </si>
  <si>
    <t>15616-002</t>
  </si>
  <si>
    <t>Investment in Elan Huntington Beach(Return on Distributions)</t>
  </si>
  <si>
    <t>15616-003</t>
  </si>
  <si>
    <t>Investment in Elan Huntington Beach (Income/Loss Pickups)</t>
  </si>
  <si>
    <t>15616-004</t>
  </si>
  <si>
    <t>Investment in Elan Huntington Beach (Fx Adjustments)</t>
  </si>
  <si>
    <t>15617-001</t>
  </si>
  <si>
    <t>Investment in 2900 Manor (Contributions)</t>
  </si>
  <si>
    <t>15617-002</t>
  </si>
  <si>
    <t>Investment in 2900 Manor (Distributions)</t>
  </si>
  <si>
    <t>15617-003</t>
  </si>
  <si>
    <t>Investment in 2900 Manor (Income)</t>
  </si>
  <si>
    <t>15618-000</t>
  </si>
  <si>
    <t>15618-001</t>
  </si>
  <si>
    <t>Investment in Uptown 2 (Contributions)</t>
  </si>
  <si>
    <t>15618-002</t>
  </si>
  <si>
    <t>Investment in Uptown 2 (Distributions)</t>
  </si>
  <si>
    <t>15618-003</t>
  </si>
  <si>
    <t>Investment in Uptown 2 (Income)</t>
  </si>
  <si>
    <t>15619-001</t>
  </si>
  <si>
    <t>Investment in Chestnut Place - Contributions</t>
  </si>
  <si>
    <t>15619-002</t>
  </si>
  <si>
    <t>Investment in Chestnut Place - Distributions</t>
  </si>
  <si>
    <t>15619-003</t>
  </si>
  <si>
    <t>Investment in Chestnut Place - Income</t>
  </si>
  <si>
    <t>15620-001</t>
  </si>
  <si>
    <t>Investment in Southgate (Contributions)</t>
  </si>
  <si>
    <t>15620-002</t>
  </si>
  <si>
    <t>Investment in Southgate (Distributions)</t>
  </si>
  <si>
    <t>15620-003</t>
  </si>
  <si>
    <t>Investment in Southgate (Income)</t>
  </si>
  <si>
    <t>15621-001</t>
  </si>
  <si>
    <t>Investment in Redwood City (Contributions)</t>
  </si>
  <si>
    <t>15621-002</t>
  </si>
  <si>
    <t>Investment in Readwood City (Distributions)</t>
  </si>
  <si>
    <t>15621-003</t>
  </si>
  <si>
    <t>Investment in Redwood City (Income)</t>
  </si>
  <si>
    <t>15622-001</t>
  </si>
  <si>
    <t>Investment in Briar Forest (Contributions)</t>
  </si>
  <si>
    <t>15622-002</t>
  </si>
  <si>
    <t>Investment in Briar Forest (Distributions)</t>
  </si>
  <si>
    <t>15622-003</t>
  </si>
  <si>
    <t>Investment in Briar Forest (Income)</t>
  </si>
  <si>
    <t>15623-001</t>
  </si>
  <si>
    <t>Investment in GS Coinvestment IV (Contributions)</t>
  </si>
  <si>
    <t>15623-002</t>
  </si>
  <si>
    <t>Investment in GS Coinvestment IV (Distributions)</t>
  </si>
  <si>
    <t>15623-003</t>
  </si>
  <si>
    <t>Investment in GS Coinvestment IV (Income)</t>
  </si>
  <si>
    <t>15624-001</t>
  </si>
  <si>
    <t>Investment in GSG Residential Portforlio LP (Contributions)</t>
  </si>
  <si>
    <t>15624-002</t>
  </si>
  <si>
    <t>Investment in GSG Residential Portforlio LP (distributions)</t>
  </si>
  <si>
    <t>15624-003</t>
  </si>
  <si>
    <t>Investment in GSG Residential Portforlio LP (Income)</t>
  </si>
  <si>
    <t>15625-001</t>
  </si>
  <si>
    <t>Investment in Elan South Lake Union (Contributions)</t>
  </si>
  <si>
    <t>15625-002</t>
  </si>
  <si>
    <t>Investment in South Lake Union (Distributions)</t>
  </si>
  <si>
    <t>15625-003</t>
  </si>
  <si>
    <t>Investment in Elan South Lake Union (Income)</t>
  </si>
  <si>
    <t>15626-001</t>
  </si>
  <si>
    <t>Investment in Elan Memorial Park Phase I (Contributions)</t>
  </si>
  <si>
    <t>15626-002</t>
  </si>
  <si>
    <t>Investment in Elan Memorial Park Phase I (Distributions)</t>
  </si>
  <si>
    <t>15626-003</t>
  </si>
  <si>
    <t>Investment in Elan Memorial Park Phase I (Income)</t>
  </si>
  <si>
    <t>15627-001</t>
  </si>
  <si>
    <t>Investment in Elan Memorial Park Phase II</t>
  </si>
  <si>
    <t>15627-002</t>
  </si>
  <si>
    <t>Investment in Elan Memorial Park Phase II (Distributions)</t>
  </si>
  <si>
    <t>15627-003</t>
  </si>
  <si>
    <t>Investment in Elan Memorial Park Phase II (Income)</t>
  </si>
  <si>
    <t>15628-001</t>
  </si>
  <si>
    <t>Investment in Elan Flower Mound (Contributions)</t>
  </si>
  <si>
    <t>15628-002</t>
  </si>
  <si>
    <t>Investment in Elan Flower Mound (Distributions)</t>
  </si>
  <si>
    <t>15628-003</t>
  </si>
  <si>
    <t>Investment in Elan Flower Mound (Income)</t>
  </si>
  <si>
    <t>15629-001</t>
  </si>
  <si>
    <t>Investment in GS Sunrise (Contributions)</t>
  </si>
  <si>
    <t>15629-002</t>
  </si>
  <si>
    <t>Investment in GS Sunrise (Distributions)</t>
  </si>
  <si>
    <t>15629-003</t>
  </si>
  <si>
    <t>Investment in GS Sunrise (Income)</t>
  </si>
  <si>
    <t>15630-001</t>
  </si>
  <si>
    <t>Investment in Elan Dallas City Lights (Contributions)</t>
  </si>
  <si>
    <t>15630-002</t>
  </si>
  <si>
    <t>Investment in Elan Dallas City Lights (Distributions)</t>
  </si>
  <si>
    <t>15630-003</t>
  </si>
  <si>
    <t>Investment in Elan Dallas City Lights (Income)</t>
  </si>
  <si>
    <t>15631-001</t>
  </si>
  <si>
    <t>Investment in Elan West 7th (Contributions)</t>
  </si>
  <si>
    <t>15631-002</t>
  </si>
  <si>
    <t>Investment in Elan West 7th (Distributions)</t>
  </si>
  <si>
    <t>15631-003</t>
  </si>
  <si>
    <t>Investment in Elan West 7th (Income)</t>
  </si>
  <si>
    <t>15632-001</t>
  </si>
  <si>
    <t>Investment in Elan Riverwalk (Contributions)</t>
  </si>
  <si>
    <t>15632-002</t>
  </si>
  <si>
    <t>Investment in Elan Riverwalk (Distributions)</t>
  </si>
  <si>
    <t>15632-003</t>
  </si>
  <si>
    <t>Investment in Elan Riverwalk (Income)</t>
  </si>
  <si>
    <t>15633-001</t>
  </si>
  <si>
    <t>Investment in GS MF GP VIII (Contributions)</t>
  </si>
  <si>
    <t>15633-002</t>
  </si>
  <si>
    <t>Investment in GS MF GP VIII (Distributions)</t>
  </si>
  <si>
    <t>15633-003</t>
  </si>
  <si>
    <t>Investment in GS MF GP VIII (Income)</t>
  </si>
  <si>
    <t>15634-000</t>
  </si>
  <si>
    <t>15634-001</t>
  </si>
  <si>
    <t>Investment in Coinv VIII (Return of Distributions)</t>
  </si>
  <si>
    <t>15634-002</t>
  </si>
  <si>
    <t>Investment in Coinv VIII (Return on Distributions)</t>
  </si>
  <si>
    <t>15634-003</t>
  </si>
  <si>
    <t>Investment in Coinv VIII (Income/Loss Pickups)</t>
  </si>
  <si>
    <t>15634-004</t>
  </si>
  <si>
    <t>Investment in Coinv VIII (Fx Adjustments)</t>
  </si>
  <si>
    <t>15635-001</t>
  </si>
  <si>
    <t>Investment in Elan Raleigh (Contributions)</t>
  </si>
  <si>
    <t>15635-002</t>
  </si>
  <si>
    <t>Investment in Elan Raleigh (Distributions)</t>
  </si>
  <si>
    <t>15635-003</t>
  </si>
  <si>
    <t>Investment in Elan Raleigh (Income)</t>
  </si>
  <si>
    <t>15636-000</t>
  </si>
  <si>
    <t>15636-001</t>
  </si>
  <si>
    <t>Investment in GS Portfolio Investors II(Return of Distribut</t>
  </si>
  <si>
    <t>15636-002</t>
  </si>
  <si>
    <t>Investment in GS Portfolio Investors II (Return on Distribut</t>
  </si>
  <si>
    <t>15636-003</t>
  </si>
  <si>
    <t>Investment in GS Portfolio Investors II(Income/Loss Pickups)</t>
  </si>
  <si>
    <t>15636-004</t>
  </si>
  <si>
    <t>Investment in GS Portfolio Investors II  (Fx Adjustments)</t>
  </si>
  <si>
    <t>15637-001</t>
  </si>
  <si>
    <t>Investment in Elan Lindbergh (Contributions)</t>
  </si>
  <si>
    <t>15637-002</t>
  </si>
  <si>
    <t>Investment in Elan Lindbergh (Distributions)</t>
  </si>
  <si>
    <t>15637-003</t>
  </si>
  <si>
    <t>Investment in Elan Lindbergh (Income)</t>
  </si>
  <si>
    <t>15638-000</t>
  </si>
  <si>
    <t>15638-001</t>
  </si>
  <si>
    <t>Investment in 1130 Kifer Property (Return of Distributions)</t>
  </si>
  <si>
    <t>15638-002</t>
  </si>
  <si>
    <t>Investment in 1130 Kifer Property (Return on Distributions)</t>
  </si>
  <si>
    <t>15638-003</t>
  </si>
  <si>
    <t>Investment in 1130 Kifer Property (Income/Loss Pickups)</t>
  </si>
  <si>
    <t>15638-004</t>
  </si>
  <si>
    <t>Investment in 1130 Kifer Property (Fx Adjustments)</t>
  </si>
  <si>
    <t>15639-000</t>
  </si>
  <si>
    <t>15640-000</t>
  </si>
  <si>
    <t>15640-001</t>
  </si>
  <si>
    <t>Investment in GS UK Portfolio I Inv (Contributions)</t>
  </si>
  <si>
    <t>15640-002</t>
  </si>
  <si>
    <t>Investment in GS UK Portfolio I Inv (Distributions)</t>
  </si>
  <si>
    <t>15640-003</t>
  </si>
  <si>
    <t>Investment in GS UK Portfolio I Inv (Income)</t>
  </si>
  <si>
    <t>15641-001</t>
  </si>
  <si>
    <t>Investment in Deer Valley (Contributions)</t>
  </si>
  <si>
    <t>15641-002</t>
  </si>
  <si>
    <t>Investment in Deer Valley (Distributions)</t>
  </si>
  <si>
    <t>15641-003</t>
  </si>
  <si>
    <t>Investment in Deer Valley (Income)</t>
  </si>
  <si>
    <t>15642-001</t>
  </si>
  <si>
    <t>Investment in BRE (Contributions)</t>
  </si>
  <si>
    <t>15642-002</t>
  </si>
  <si>
    <t>Investment in BRE (Distributions)</t>
  </si>
  <si>
    <t>15642-003</t>
  </si>
  <si>
    <t>Investment in BRE (Income)</t>
  </si>
  <si>
    <t>15643-001</t>
  </si>
  <si>
    <t>Investment in Coit Center (Contributions)</t>
  </si>
  <si>
    <t>15643-002</t>
  </si>
  <si>
    <t>Investment in Coit Center (Distributions)</t>
  </si>
  <si>
    <t>15643-003</t>
  </si>
  <si>
    <t>Investment in Coit Center (Income)</t>
  </si>
  <si>
    <t>15644-001</t>
  </si>
  <si>
    <t>Investment in Pasadena 173 (Contributions)</t>
  </si>
  <si>
    <t>15644-002</t>
  </si>
  <si>
    <t>Investment in Pasadena 173 (Distributions)</t>
  </si>
  <si>
    <t>15644-003</t>
  </si>
  <si>
    <t>Investment in Pasadena 173 (Income)</t>
  </si>
  <si>
    <t>15645-001</t>
  </si>
  <si>
    <t>Investment in Elan Heights (Contributions)</t>
  </si>
  <si>
    <t>15645-002</t>
  </si>
  <si>
    <t>Investment in Elan Heights (Distributions)</t>
  </si>
  <si>
    <t>15645-003</t>
  </si>
  <si>
    <t>Investment in Elan Heights (Income)</t>
  </si>
  <si>
    <t>15646-001</t>
  </si>
  <si>
    <t>Investment in GS Coinvestment VI (Contributions)</t>
  </si>
  <si>
    <t>15646-002</t>
  </si>
  <si>
    <t>Investment in GS Coinvestment VI (Distributions)</t>
  </si>
  <si>
    <t>15646-003</t>
  </si>
  <si>
    <t>Investment in GS Coinvestment VI (Income)</t>
  </si>
  <si>
    <t>15647-001</t>
  </si>
  <si>
    <t>Investment in GS Coinvestment VII (Contributions)</t>
  </si>
  <si>
    <t>15647-002</t>
  </si>
  <si>
    <t>Investment in GS Coinvestment VII (Distributions)</t>
  </si>
  <si>
    <t>15647-003</t>
  </si>
  <si>
    <t>Investment in GS Coinvestment VII (Income)</t>
  </si>
  <si>
    <t>15648-001</t>
  </si>
  <si>
    <t>Investment in Tysons West (Contributions)</t>
  </si>
  <si>
    <t>15648-002</t>
  </si>
  <si>
    <t>Investment in Tysons West (Distributions)</t>
  </si>
  <si>
    <t>15648-003</t>
  </si>
  <si>
    <t>Investment in Tysons West (Income)</t>
  </si>
  <si>
    <t>15648-004</t>
  </si>
  <si>
    <t>15649-001</t>
  </si>
  <si>
    <t>Investment in Elan Kennedy Flats (Contributions)</t>
  </si>
  <si>
    <t>15649-002</t>
  </si>
  <si>
    <t>Investment in Elan Kennedy Flats (Distributoins)</t>
  </si>
  <si>
    <t>15649-003</t>
  </si>
  <si>
    <t>Investment in Elan Kennedy Flats (Income)</t>
  </si>
  <si>
    <t>15650-001</t>
  </si>
  <si>
    <t>Investment in Elan 144 (Contributions)</t>
  </si>
  <si>
    <t>15650-002</t>
  </si>
  <si>
    <t>Investment in Elan 144 (Distributions)</t>
  </si>
  <si>
    <t>15650-003</t>
  </si>
  <si>
    <t>Investment in Elan 144 (Income)</t>
  </si>
  <si>
    <t>15651-001</t>
  </si>
  <si>
    <t>Investment in Palmetto Promenade (Contributions)</t>
  </si>
  <si>
    <t>15651-002</t>
  </si>
  <si>
    <t>Investment in Palmetto Promenade (Distributions)</t>
  </si>
  <si>
    <t>15651-003</t>
  </si>
  <si>
    <t>Investment in Palmetto Promenade (Income)</t>
  </si>
  <si>
    <t>15652-001</t>
  </si>
  <si>
    <t>Investment in Mountain View (Contributions)</t>
  </si>
  <si>
    <t>15652-002</t>
  </si>
  <si>
    <t>Investment in Mountain View (Distributions)</t>
  </si>
  <si>
    <t>15652-003</t>
  </si>
  <si>
    <t>Investment in Mountain View (Income)</t>
  </si>
  <si>
    <t>15653-001</t>
  </si>
  <si>
    <t>Investment in Elan Audubon (Contributions)</t>
  </si>
  <si>
    <t>15653-002</t>
  </si>
  <si>
    <t>Investment in Elan Audubon (Distributions)</t>
  </si>
  <si>
    <t>15653-003</t>
  </si>
  <si>
    <t>Investment in Elan Audubon (Income)</t>
  </si>
  <si>
    <t>15654-000</t>
  </si>
  <si>
    <t>15654-001</t>
  </si>
  <si>
    <t>Investment in Chestnut Place II (Return of Distributions)</t>
  </si>
  <si>
    <t>15654-002</t>
  </si>
  <si>
    <t>Investment in Chestnut Place II (Return on Distributions)</t>
  </si>
  <si>
    <t>15654-003</t>
  </si>
  <si>
    <t>Investment in Chestnut Place II (Income/Loss Pickups)</t>
  </si>
  <si>
    <t>15654-004</t>
  </si>
  <si>
    <t>Investment in Chestnut Place II (Fx Adjustments)</t>
  </si>
  <si>
    <t>15655-001</t>
  </si>
  <si>
    <t>Investment in Redwood City Jefferson (Contributions)</t>
  </si>
  <si>
    <t>15655-002</t>
  </si>
  <si>
    <t>Investment in Redwood City Jefferson (Distributions)</t>
  </si>
  <si>
    <t>15655-003</t>
  </si>
  <si>
    <t>Investment in Redwood City Jefferson (Income)</t>
  </si>
  <si>
    <t>15656-001</t>
  </si>
  <si>
    <t>Investment in Overture Plano (Contributions)</t>
  </si>
  <si>
    <t>15656-002</t>
  </si>
  <si>
    <t>Investment in Overture Plano (Distributions)</t>
  </si>
  <si>
    <t>15656-003</t>
  </si>
  <si>
    <t>Investment in Overture Plano (Income)</t>
  </si>
  <si>
    <t>15657-001</t>
  </si>
  <si>
    <t>Investment in Elan 99 (Contributions)</t>
  </si>
  <si>
    <t>15657-002</t>
  </si>
  <si>
    <t>Investment in Elan 99 (Distributions)</t>
  </si>
  <si>
    <t>15657-003</t>
  </si>
  <si>
    <t>Investment in Elan 99 (Income)</t>
  </si>
  <si>
    <t>15658-001</t>
  </si>
  <si>
    <t>Investment in Menlo Park (Contributions)</t>
  </si>
  <si>
    <t>15658-002</t>
  </si>
  <si>
    <t>Investment in Menlo Park (Distributions)</t>
  </si>
  <si>
    <t>15658-003</t>
  </si>
  <si>
    <t>Investment in Menlo Park (Income)</t>
  </si>
  <si>
    <t>15659-001</t>
  </si>
  <si>
    <t>Investment in 2622 West Lake (Contributions)</t>
  </si>
  <si>
    <t>15659-002</t>
  </si>
  <si>
    <t>Investment in 2622 West Lake (Distributions)</t>
  </si>
  <si>
    <t>15659-003</t>
  </si>
  <si>
    <t>Investment in 2622 West Lake (Income)</t>
  </si>
  <si>
    <t>15660-000</t>
  </si>
  <si>
    <t>15660-001</t>
  </si>
  <si>
    <t>Investment in GDCV II BP Village (Return of Distributions)</t>
  </si>
  <si>
    <t>15660-002</t>
  </si>
  <si>
    <t>Investment in GDCV II BP Village (Return on Distributions)</t>
  </si>
  <si>
    <t>15660-003</t>
  </si>
  <si>
    <t>Investment in GDV II BP Village (Income/Loss Pickups)</t>
  </si>
  <si>
    <t>15660-004</t>
  </si>
  <si>
    <t>Investment in GDV II BP Village (Fx Adjustments)</t>
  </si>
  <si>
    <t>15661-000</t>
  </si>
  <si>
    <t>15662-000</t>
  </si>
  <si>
    <t>15663-001</t>
  </si>
  <si>
    <t>Investment in SLU Fairview (Contributions)</t>
  </si>
  <si>
    <t>15663-002</t>
  </si>
  <si>
    <t>Investment in SLU Fairview (Distributions)</t>
  </si>
  <si>
    <t>15663-003</t>
  </si>
  <si>
    <t>Investment in SLU Fairview (Income)</t>
  </si>
  <si>
    <t>15664-001</t>
  </si>
  <si>
    <t>Investment in Victory Tower (Contributions)</t>
  </si>
  <si>
    <t>15664-002</t>
  </si>
  <si>
    <t>Investment in Victory Tower (Distributions)</t>
  </si>
  <si>
    <t>15664-003</t>
  </si>
  <si>
    <t>Investment in Victory Tower (Income)</t>
  </si>
  <si>
    <t>15665-000</t>
  </si>
  <si>
    <t>15665-001</t>
  </si>
  <si>
    <t>Investment in Overture Lindbergh (Contributions)</t>
  </si>
  <si>
    <t>15665-002</t>
  </si>
  <si>
    <t>Investment in Overture Lindbergh (Distributions)</t>
  </si>
  <si>
    <t>15665-003</t>
  </si>
  <si>
    <t>Investment in Overture Lindbergh (Income)</t>
  </si>
  <si>
    <t>15666-000</t>
  </si>
  <si>
    <t>15667-000</t>
  </si>
  <si>
    <t>15668-000</t>
  </si>
  <si>
    <t>15669-000</t>
  </si>
  <si>
    <t>15670-000</t>
  </si>
  <si>
    <t>15671-000</t>
  </si>
  <si>
    <t>15672-000</t>
  </si>
  <si>
    <t>15673-000</t>
  </si>
  <si>
    <t>15674-000</t>
  </si>
  <si>
    <t>15675-000</t>
  </si>
  <si>
    <t>15676-000</t>
  </si>
  <si>
    <t>15677-000</t>
  </si>
  <si>
    <t>15678-000</t>
  </si>
  <si>
    <t>15679-000</t>
  </si>
  <si>
    <t>15680-000</t>
  </si>
  <si>
    <t>15681-000</t>
  </si>
  <si>
    <t>15682-000</t>
  </si>
  <si>
    <t>15683-000</t>
  </si>
  <si>
    <t>15684-000</t>
  </si>
  <si>
    <t>15685-000</t>
  </si>
  <si>
    <t>15686-000</t>
  </si>
  <si>
    <t>15687-000</t>
  </si>
  <si>
    <t>15688-000</t>
  </si>
  <si>
    <t>15689-000</t>
  </si>
  <si>
    <t>15690-000</t>
  </si>
  <si>
    <t>15691-000</t>
  </si>
  <si>
    <t>15692-000</t>
  </si>
  <si>
    <t>15693-000</t>
  </si>
  <si>
    <t>15694-000</t>
  </si>
  <si>
    <t>15695-000</t>
  </si>
  <si>
    <t>15696-000</t>
  </si>
  <si>
    <t>15697-000</t>
  </si>
  <si>
    <t>15698-000</t>
  </si>
  <si>
    <t>15699-000</t>
  </si>
  <si>
    <t>15700-000</t>
  </si>
  <si>
    <t>15701-000</t>
  </si>
  <si>
    <t>15701-001</t>
  </si>
  <si>
    <t>Investment in GUGV Highland Austin (Return of Distributions)</t>
  </si>
  <si>
    <t>15701-002</t>
  </si>
  <si>
    <t>Investment in GUGV Highland Austin (Return on Distributions)</t>
  </si>
  <si>
    <t>15701-003</t>
  </si>
  <si>
    <t>Investment in GUGV Highland Austin (Income/Loss Pickups)</t>
  </si>
  <si>
    <t>15701-004</t>
  </si>
  <si>
    <t>Investment In GS Fund IX (Fx Adjustments)</t>
  </si>
  <si>
    <t>15702-001</t>
  </si>
  <si>
    <t>Investment in GS Fund 9 Inv (Contributions)</t>
  </si>
  <si>
    <t>15702-002</t>
  </si>
  <si>
    <t>Investment in GS Fund 9 Inv (Distributions)</t>
  </si>
  <si>
    <t>15702-003</t>
  </si>
  <si>
    <t>Investment in GS Fund 9 Inv (Income)</t>
  </si>
  <si>
    <t>15703-001</t>
  </si>
  <si>
    <t>Investment in GS Coinvestment VIIB (Contributions)</t>
  </si>
  <si>
    <t>15703-002</t>
  </si>
  <si>
    <t>Investment in GS Coinvestment VIIB (Distributions)</t>
  </si>
  <si>
    <t>15703-003</t>
  </si>
  <si>
    <t>Investment in GS Coinvestment VIIB (Income)</t>
  </si>
  <si>
    <t>15704-001</t>
  </si>
  <si>
    <t>Investment in GS Coinvestment IX (Contributions)</t>
  </si>
  <si>
    <t>15704-002</t>
  </si>
  <si>
    <t>Investment in GS Coinvestment IX (Distributions)</t>
  </si>
  <si>
    <t>15704-003</t>
  </si>
  <si>
    <t>Investment in GS Coinvestment IX (Income)</t>
  </si>
  <si>
    <t>15705-001</t>
  </si>
  <si>
    <t>Investment in RWC ECR (Contributions)</t>
  </si>
  <si>
    <t>15705-002</t>
  </si>
  <si>
    <t>Investment in RWC ECR (Distributions)</t>
  </si>
  <si>
    <t>15705-003</t>
  </si>
  <si>
    <t>Investment in RWC ECR (Income)</t>
  </si>
  <si>
    <t>15706-000</t>
  </si>
  <si>
    <t>15706-001</t>
  </si>
  <si>
    <t>Investment Investment in Overture Mueller (Contributions)</t>
  </si>
  <si>
    <t>15706-002</t>
  </si>
  <si>
    <t>Investment Investment in Overture Mueller (Distributions)</t>
  </si>
  <si>
    <t>15706-003</t>
  </si>
  <si>
    <t>Investment Investment in Overture Mueller (Income)</t>
  </si>
  <si>
    <t>15707-000</t>
  </si>
  <si>
    <t>15707-001</t>
  </si>
  <si>
    <t>Investment Investment in Overture Imperial (Contributions)</t>
  </si>
  <si>
    <t>15707-002</t>
  </si>
  <si>
    <t>Investment Investment in Overture Imperial (Distributions)</t>
  </si>
  <si>
    <t>15707-003</t>
  </si>
  <si>
    <t>Investment Investment in Overture Imperial (Income)</t>
  </si>
  <si>
    <t>15708-000</t>
  </si>
  <si>
    <t>15709-000</t>
  </si>
  <si>
    <t>15711-000</t>
  </si>
  <si>
    <t>15712-000</t>
  </si>
  <si>
    <t>15713-001</t>
  </si>
  <si>
    <t>Investment in Courier Square Project I (Contributions)</t>
  </si>
  <si>
    <t>15713-002</t>
  </si>
  <si>
    <t>Investment in Courier Square Project I (Distirbutions)</t>
  </si>
  <si>
    <t>15713-003</t>
  </si>
  <si>
    <t>Investment in Courier Square Project I (Income)</t>
  </si>
  <si>
    <t>15714-000</t>
  </si>
  <si>
    <t>15714-001</t>
  </si>
  <si>
    <t>Investment in Coinvestment 8 (Return of Distributions)</t>
  </si>
  <si>
    <t>15714-002</t>
  </si>
  <si>
    <t>Investment in Coinvestment 8 (Return on Distributions)</t>
  </si>
  <si>
    <t>15714-003</t>
  </si>
  <si>
    <t>Investment in Coinvestment 8 (Income/Loss Pickups)</t>
  </si>
  <si>
    <t>15714-004</t>
  </si>
  <si>
    <t>Investment in Coinvestment 8 (Fx Adjustments)</t>
  </si>
  <si>
    <t>15715-000</t>
  </si>
  <si>
    <t>15715-001</t>
  </si>
  <si>
    <t>Invest in CoInvest 9(Return of Distributions)</t>
  </si>
  <si>
    <t>15715-002</t>
  </si>
  <si>
    <t>Invest in CoInvest 9(Return on Distributions)</t>
  </si>
  <si>
    <t>15715-003</t>
  </si>
  <si>
    <t>Invest in CoInvest 9 (Income/Loss Pickups)</t>
  </si>
  <si>
    <t>15715-004</t>
  </si>
  <si>
    <t>Investment in Coinvestment 9  (Fx Adjustments)</t>
  </si>
  <si>
    <t>15716-000</t>
  </si>
  <si>
    <t>15716-001</t>
  </si>
  <si>
    <t>15717-000</t>
  </si>
  <si>
    <t>15718-000</t>
  </si>
  <si>
    <t>15718-001</t>
  </si>
  <si>
    <t>Investment in Overture Tanglewood (Contributions)</t>
  </si>
  <si>
    <t>15718-002</t>
  </si>
  <si>
    <t>Investment in Overture Tanglewood (Distributions)</t>
  </si>
  <si>
    <t>15718-003</t>
  </si>
  <si>
    <t>Investment in Overture Tanglewood (Income)</t>
  </si>
  <si>
    <t>15719-000</t>
  </si>
  <si>
    <t>15720-000</t>
  </si>
  <si>
    <t>15721-000</t>
  </si>
  <si>
    <t>15722-001</t>
  </si>
  <si>
    <t>Investment in Overture Fair Ridge (Contributions)</t>
  </si>
  <si>
    <t>15722-002</t>
  </si>
  <si>
    <t>Investment in Overture Fair Ridge (Distributions)</t>
  </si>
  <si>
    <t>15722-003</t>
  </si>
  <si>
    <t>Investment in Overture Fair Ridge (Income)</t>
  </si>
  <si>
    <t>15723-001</t>
  </si>
  <si>
    <t>Investment in Overture Chesapeake (Contributions)</t>
  </si>
  <si>
    <t>15723-002</t>
  </si>
  <si>
    <t>Investment in Overture Chesapeake (Distributions)</t>
  </si>
  <si>
    <t>15723-003</t>
  </si>
  <si>
    <t>Investment in Overture Chesapeake (Income)</t>
  </si>
  <si>
    <t>15724-001</t>
  </si>
  <si>
    <t>Investment in Overture Domain (Contributions)</t>
  </si>
  <si>
    <t>15724-002</t>
  </si>
  <si>
    <t>Investment in Overture Domain (Distributions)</t>
  </si>
  <si>
    <t>15724-003</t>
  </si>
  <si>
    <t>Investment in Overture Domain (Income)</t>
  </si>
  <si>
    <t>15725-001</t>
  </si>
  <si>
    <t>Investment in Overture Arlington Highlands (Contributions)</t>
  </si>
  <si>
    <t>15725-002</t>
  </si>
  <si>
    <t>Investment in Overture Arlington Highlands (Distributions)</t>
  </si>
  <si>
    <t>15725-003</t>
  </si>
  <si>
    <t>Investment in Overture Arlington Highlands (Income)</t>
  </si>
  <si>
    <t>15726-001</t>
  </si>
  <si>
    <t>Investment in Flower Mound Phase II (Contributions)</t>
  </si>
  <si>
    <t>15726-002</t>
  </si>
  <si>
    <t>Investment in Flower Mound Phase II (Distributions)</t>
  </si>
  <si>
    <t>15726-003</t>
  </si>
  <si>
    <t>Investment in Flower Mound Phase II (Income)</t>
  </si>
  <si>
    <t>15727-000</t>
  </si>
  <si>
    <t>15728-001</t>
  </si>
  <si>
    <t>Investment in Entity Name (Contributions)</t>
  </si>
  <si>
    <t>15728-002</t>
  </si>
  <si>
    <t>Investment in Entity Name (Distributions)</t>
  </si>
  <si>
    <t>15728-003</t>
  </si>
  <si>
    <t>Investment in Entity Name (Income)</t>
  </si>
  <si>
    <t>15729-000</t>
  </si>
  <si>
    <t>15730-000</t>
  </si>
  <si>
    <t>15731-000</t>
  </si>
  <si>
    <t>15732-000</t>
  </si>
  <si>
    <t>15733-001</t>
  </si>
  <si>
    <t>Investment in Med Center Highrise (Contributions)</t>
  </si>
  <si>
    <t>15733-002</t>
  </si>
  <si>
    <t>Investment in Med Center Highrise (Distributions)</t>
  </si>
  <si>
    <t>15733-003</t>
  </si>
  <si>
    <t>Investment in Med Center Highrise (Income)</t>
  </si>
  <si>
    <t>15734-001</t>
  </si>
  <si>
    <t>Investment in Overture Crabtree (Contributions)</t>
  </si>
  <si>
    <t>15734-002</t>
  </si>
  <si>
    <t>Investment in Overture Crabtree (Distributions)</t>
  </si>
  <si>
    <t>15734-003</t>
  </si>
  <si>
    <t>Investment in Overture Crabtree (Income)</t>
  </si>
  <si>
    <t>15735-001</t>
  </si>
  <si>
    <t>Investment in GS Davie II Project Owner, LLC (Contributions)</t>
  </si>
  <si>
    <t>15735-002</t>
  </si>
  <si>
    <t>Investment in GS Davie II Project Owner, LLC (Distributions)</t>
  </si>
  <si>
    <t>15735-003</t>
  </si>
  <si>
    <t>Investment in GS Davie II Project Owner, LLC (Income)</t>
  </si>
  <si>
    <t>15736-001</t>
  </si>
  <si>
    <t>Investment in Elan Rosemary (Constributions)</t>
  </si>
  <si>
    <t>15736-002</t>
  </si>
  <si>
    <t>Investment in Elan Rosemary (Distributions)</t>
  </si>
  <si>
    <t>15736-003</t>
  </si>
  <si>
    <t>Investment in Elan Rosemary (Income)</t>
  </si>
  <si>
    <t>15737-000</t>
  </si>
  <si>
    <t>15738-000</t>
  </si>
  <si>
    <t>15739-000</t>
  </si>
  <si>
    <t>15740-000</t>
  </si>
  <si>
    <t>15741-000</t>
  </si>
  <si>
    <t>15742-000</t>
  </si>
  <si>
    <t>15743-001</t>
  </si>
  <si>
    <t>Investment in GS River District  LP (Contributions)</t>
  </si>
  <si>
    <t>15743-002</t>
  </si>
  <si>
    <t>Investment in GS River District  LP (Distributions)</t>
  </si>
  <si>
    <t>15743-003</t>
  </si>
  <si>
    <t>Investment in GS River District  LP (Income)</t>
  </si>
  <si>
    <t>15744-001</t>
  </si>
  <si>
    <t>Investment in Overture Fairview (Contributions)</t>
  </si>
  <si>
    <t>15744-002</t>
  </si>
  <si>
    <t>Investment in Overture Fairview (Distributions)</t>
  </si>
  <si>
    <t>15744-003</t>
  </si>
  <si>
    <t>Investment in Overture Fairview (Income)</t>
  </si>
  <si>
    <t>15745-000</t>
  </si>
  <si>
    <t>15745-001</t>
  </si>
  <si>
    <t>Investment in CRP West 7th (Contributions)</t>
  </si>
  <si>
    <t>15745-003</t>
  </si>
  <si>
    <t>Investment in CRP West 7th (Income)</t>
  </si>
  <si>
    <t>15746-001</t>
  </si>
  <si>
    <t>Investment in Ascent Midtown MF (Contributions)</t>
  </si>
  <si>
    <t>15746-002</t>
  </si>
  <si>
    <t>Investment in Ascent Midtown MF (Distributions)</t>
  </si>
  <si>
    <t>15746-003</t>
  </si>
  <si>
    <t>Investment in Ascent Midtown MF (Income)</t>
  </si>
  <si>
    <t>15747-001</t>
  </si>
  <si>
    <t>Investment in Ascent Midtown Hotel (Contributions)</t>
  </si>
  <si>
    <t>15747-002</t>
  </si>
  <si>
    <t>Investment in Ascent Midtown Hotel (Distributions)</t>
  </si>
  <si>
    <t>15747-003</t>
  </si>
  <si>
    <t>Investment in Ascent Midtown Hotel (Income)</t>
  </si>
  <si>
    <t>15748-000</t>
  </si>
  <si>
    <t>15749-000</t>
  </si>
  <si>
    <t>15750-000</t>
  </si>
  <si>
    <t>15751-000</t>
  </si>
  <si>
    <t>15752-001</t>
  </si>
  <si>
    <t>Investment in Overture Barrett (Contributions)</t>
  </si>
  <si>
    <t>15752-002</t>
  </si>
  <si>
    <t>Investment in Overture Barrett (Distributions)</t>
  </si>
  <si>
    <t>15752-003</t>
  </si>
  <si>
    <t>Investment in Overture Barrett (Income)</t>
  </si>
  <si>
    <t>15753-000</t>
  </si>
  <si>
    <t>15753-001</t>
  </si>
  <si>
    <t>Investment in GSIC Totten LP (Return of Distributions)</t>
  </si>
  <si>
    <t>15753-002</t>
  </si>
  <si>
    <t>Investment in GSIC Totten LP  (Return on Distributions)</t>
  </si>
  <si>
    <t>15753-003</t>
  </si>
  <si>
    <t>Investment in GSIC Totten LP (Income/Loss Pickups)</t>
  </si>
  <si>
    <t>15753-004</t>
  </si>
  <si>
    <t>Investment in GSIC Totten LP  (Fx Adjustments)</t>
  </si>
  <si>
    <t>15754-001</t>
  </si>
  <si>
    <t>Investment in GS Diller Subsidiary, LLC (Contributions)</t>
  </si>
  <si>
    <t>15754-002</t>
  </si>
  <si>
    <t>Investment in GS Diller Subsidiary, LLC (Distributions)</t>
  </si>
  <si>
    <t>15754-003</t>
  </si>
  <si>
    <t>Investment in GS Diller Subsidiary, LLC (Income)</t>
  </si>
  <si>
    <t>15755-000</t>
  </si>
  <si>
    <t>15755-001</t>
  </si>
  <si>
    <t>Investment in Overture Flower Mound(Return of Distributions)</t>
  </si>
  <si>
    <t>15755-002</t>
  </si>
  <si>
    <t>Investment in Overture Flower Mound(Return on Distributions)</t>
  </si>
  <si>
    <t>15755-003</t>
  </si>
  <si>
    <t>Investment in Overture Flower Mound (Income/Loss Pickups)</t>
  </si>
  <si>
    <t>15755-004</t>
  </si>
  <si>
    <t>Investment in Overture Flower Mound (Fx Adjustments)</t>
  </si>
  <si>
    <t>15756-000</t>
  </si>
  <si>
    <t>15756-001</t>
  </si>
  <si>
    <t>Invest in GS Sherwood Court Trust (Return of Distributions)</t>
  </si>
  <si>
    <t>15756-002</t>
  </si>
  <si>
    <t>Invest in GS Sherwood Court Trust (Return on Distributions)</t>
  </si>
  <si>
    <t>15756-003</t>
  </si>
  <si>
    <t>Invest in GS Sherwood Court Unit Trust (Income/Loss Pickups)</t>
  </si>
  <si>
    <t>15756-004</t>
  </si>
  <si>
    <t>Invest in GS Sherwood Court Unit Trust (Fx Adjustments)</t>
  </si>
  <si>
    <t>15757-000</t>
  </si>
  <si>
    <t>15757-001</t>
  </si>
  <si>
    <t>Invest in Millharbour Master Trust (Return of Distributions)</t>
  </si>
  <si>
    <t>15757-002</t>
  </si>
  <si>
    <t>Invest in Millharbour Master (Return on Distributions)</t>
  </si>
  <si>
    <t>15757-003</t>
  </si>
  <si>
    <t>Invest in Millharbour Master  Trust (Income/Loss Pickups)</t>
  </si>
  <si>
    <t>15757-004</t>
  </si>
  <si>
    <t>Invest in Millharbour Master Unit Trust (Fx Adjustments)</t>
  </si>
  <si>
    <t>15758-000</t>
  </si>
  <si>
    <t>15759-000</t>
  </si>
  <si>
    <t>15760-000</t>
  </si>
  <si>
    <t>15761-000</t>
  </si>
  <si>
    <t>15762-000</t>
  </si>
  <si>
    <t>15763-001</t>
  </si>
  <si>
    <t>Investment in Overture Dadeland (Contributions)</t>
  </si>
  <si>
    <t>15763-002</t>
  </si>
  <si>
    <t>Investment in Overture Dadeland (Distributions)</t>
  </si>
  <si>
    <t>15763-003</t>
  </si>
  <si>
    <t>Investment in Overture Dadeland (Income)</t>
  </si>
  <si>
    <t>15764-000</t>
  </si>
  <si>
    <t>15765-000</t>
  </si>
  <si>
    <t>15766-000</t>
  </si>
  <si>
    <t>15767-000</t>
  </si>
  <si>
    <t>15768-000</t>
  </si>
  <si>
    <t>15769-000</t>
  </si>
  <si>
    <t>15770-000</t>
  </si>
  <si>
    <t>15771-000</t>
  </si>
  <si>
    <t>15772-000</t>
  </si>
  <si>
    <t>15773-000</t>
  </si>
  <si>
    <t>15774-000</t>
  </si>
  <si>
    <t>15774-001</t>
  </si>
  <si>
    <t>Invest GS London Portfolio I Trust (Return of Distributions)</t>
  </si>
  <si>
    <t>15774-002</t>
  </si>
  <si>
    <t>Invest GS London Portfolio I Trust (Return on Distributions)</t>
  </si>
  <si>
    <t>15774-003</t>
  </si>
  <si>
    <t>Invest in GS London Portfolio I Trust (Income/Loss Pickups)</t>
  </si>
  <si>
    <t>15774-004</t>
  </si>
  <si>
    <t>Invest in GS London Portfolio I Trust (Fx Adjustments)</t>
  </si>
  <si>
    <t>15775-000</t>
  </si>
  <si>
    <t>15775-001</t>
  </si>
  <si>
    <t>Investment in Highland Phase II (Return of Distributions)</t>
  </si>
  <si>
    <t>15775-002</t>
  </si>
  <si>
    <t>Investment in Highland Phase II (Distributions)</t>
  </si>
  <si>
    <t>15775-003</t>
  </si>
  <si>
    <t>Investment in Highland Phase II (Income)</t>
  </si>
  <si>
    <t>15775-004</t>
  </si>
  <si>
    <t>Investment in Highland Phase II (Fx Adjustments)</t>
  </si>
  <si>
    <t>15776-000</t>
  </si>
  <si>
    <t>15777-000</t>
  </si>
  <si>
    <t>15778-000</t>
  </si>
  <si>
    <t>15779-000</t>
  </si>
  <si>
    <t>15780-000</t>
  </si>
  <si>
    <t>15781-000</t>
  </si>
  <si>
    <t>15782-000</t>
  </si>
  <si>
    <t>15783-000</t>
  </si>
  <si>
    <t>15783-001</t>
  </si>
  <si>
    <t>Invest  Netherlands Development BV(Return of Distributions)</t>
  </si>
  <si>
    <t>15783-002</t>
  </si>
  <si>
    <t>Invest Netherlands Development BV(Return on Distributions)</t>
  </si>
  <si>
    <t>15783-003</t>
  </si>
  <si>
    <t>Invest Netherlands Development B.V. (Income/Loss Pickups)</t>
  </si>
  <si>
    <t>15783-004</t>
  </si>
  <si>
    <t>Invest Netherlands Development B.V. (Fx Adjustments)</t>
  </si>
  <si>
    <t>15784-001</t>
  </si>
  <si>
    <t>Investment in GS Neptune Marine Apartments, LLC (Contr)</t>
  </si>
  <si>
    <t>15784-002</t>
  </si>
  <si>
    <t>Investment in GS Neptune Marine Apartments, LLC (Dist)</t>
  </si>
  <si>
    <t>15784-003</t>
  </si>
  <si>
    <t>Investment in GS Neptune Marine Apartments, LLC (Income)</t>
  </si>
  <si>
    <t>15785-000</t>
  </si>
  <si>
    <t>15785-001</t>
  </si>
  <si>
    <t>Investment in Excelsior Parc Apartments, LLC (Contr.)</t>
  </si>
  <si>
    <t>15785-002</t>
  </si>
  <si>
    <t>Investment in Excelsior Parc Apartments, LLC (Distr.)</t>
  </si>
  <si>
    <t>15785-003</t>
  </si>
  <si>
    <t>Investment in Excelsior Parc Apartments, LLC (Income)</t>
  </si>
  <si>
    <t>15786-000</t>
  </si>
  <si>
    <t>15786-001</t>
  </si>
  <si>
    <t>Invest University View Venture LLC(Return of Distributions)</t>
  </si>
  <si>
    <t>15786-002</t>
  </si>
  <si>
    <t>Invest University View Venture LLC(Return on Distributions)</t>
  </si>
  <si>
    <t>15786-003</t>
  </si>
  <si>
    <t>Invest in University View Venture LLC (Income/Loss Pickups)</t>
  </si>
  <si>
    <t>15786-004</t>
  </si>
  <si>
    <t>Investment in University View Venture LLC (Fx Adjustments)</t>
  </si>
  <si>
    <t>15787-000</t>
  </si>
  <si>
    <t>15787-001</t>
  </si>
  <si>
    <t>Invest in GS HTA Investors, LLC (Return of Distributions)</t>
  </si>
  <si>
    <t>15787-002</t>
  </si>
  <si>
    <t>Invest in GS HTA Investors, LLC (Return on Distributions)</t>
  </si>
  <si>
    <t>15787-003</t>
  </si>
  <si>
    <t>Investment in GS HTA Investors, LLC (Income/Loss Pickups)</t>
  </si>
  <si>
    <t>15787-004</t>
  </si>
  <si>
    <t>Investment in GS HTA Investors, LLC  (Fx Adjustments)</t>
  </si>
  <si>
    <t>15788-000</t>
  </si>
  <si>
    <t>15788-001</t>
  </si>
  <si>
    <t>Investment in CRP NoHo (Return of Distributions)</t>
  </si>
  <si>
    <t>15788-002</t>
  </si>
  <si>
    <t>Investment in CRP NoHo (Return on Distributions)</t>
  </si>
  <si>
    <t>15788-003</t>
  </si>
  <si>
    <t>Investment in CRP NoHo (Income/Loss Pickups)</t>
  </si>
  <si>
    <t>15788-004</t>
  </si>
  <si>
    <t>Investment in CRP NoHo (Fx Adjustments)</t>
  </si>
  <si>
    <t>15789-000</t>
  </si>
  <si>
    <t>15789-001</t>
  </si>
  <si>
    <t>Invest in GS PK Employee Coinvest(Return of Distributions)</t>
  </si>
  <si>
    <t>15789-002</t>
  </si>
  <si>
    <t>Invest in GS PK Employee Coinvest(Return on Distributions)</t>
  </si>
  <si>
    <t>15789-003</t>
  </si>
  <si>
    <t>Invest GS PK Employee Coinvest (Income/Loss Pickups)</t>
  </si>
  <si>
    <t>15789-004</t>
  </si>
  <si>
    <t>Invest GS PK Employee Coinvest (Fx Adjustments)</t>
  </si>
  <si>
    <t>15790-000</t>
  </si>
  <si>
    <t>15791-000</t>
  </si>
  <si>
    <t>15791-001</t>
  </si>
  <si>
    <t>Invest in GEP IX Investors, LLC (Return of Distributions)</t>
  </si>
  <si>
    <t>15791-002</t>
  </si>
  <si>
    <t>Invest in GEP IX Investors, LLC (Return on Distributions)</t>
  </si>
  <si>
    <t>15791-003</t>
  </si>
  <si>
    <t>Investment in GEP IX Investors, LLC  (Income/Loss Pickups)</t>
  </si>
  <si>
    <t>15791-004</t>
  </si>
  <si>
    <t>Investment in GEP IX Investors, LLC (Fx Adjustments)</t>
  </si>
  <si>
    <t>15792-000</t>
  </si>
  <si>
    <t>15793-000</t>
  </si>
  <si>
    <t>15793-001</t>
  </si>
  <si>
    <t>Invest Freedom Circle Venture LLC (Return of Distributions)</t>
  </si>
  <si>
    <t>15793-002</t>
  </si>
  <si>
    <t>Invest Freedom Circle Venture LLC (Return on Distributions)</t>
  </si>
  <si>
    <t>15793-003</t>
  </si>
  <si>
    <t>Invest Freedom Circle Venture LLC  (Income/Loss Pickups)</t>
  </si>
  <si>
    <t>15793-004</t>
  </si>
  <si>
    <t>Invest Freedom Circle Venture LLC (Fx Adjustments)</t>
  </si>
  <si>
    <t>15794-000</t>
  </si>
  <si>
    <t>15795-000</t>
  </si>
  <si>
    <t>15795-001</t>
  </si>
  <si>
    <t>Invest Fondo de Inversion Credicorp(Return of Distributions)</t>
  </si>
  <si>
    <t>15795-002</t>
  </si>
  <si>
    <t>Invest Fondo de Inversion Credicorp(Return on Distributions)</t>
  </si>
  <si>
    <t>15795-003</t>
  </si>
  <si>
    <t>Invest Fondo de Inversion Credicorp (Income/Loss Pickups)</t>
  </si>
  <si>
    <t>15795-004</t>
  </si>
  <si>
    <t>Invest Fondo de Inversion Credicorp Renta (Fx Adjustments)</t>
  </si>
  <si>
    <t>15796-000</t>
  </si>
  <si>
    <t>15797-000</t>
  </si>
  <si>
    <t>15798-000</t>
  </si>
  <si>
    <t>15798-001</t>
  </si>
  <si>
    <t>Invest in GS AFN Master Trust (Return of Distributions)</t>
  </si>
  <si>
    <t>15798-002</t>
  </si>
  <si>
    <t>Invest in GS AFN Master Trust (Return on Distributions)</t>
  </si>
  <si>
    <t>15798-003</t>
  </si>
  <si>
    <t>Invest in GS AFN Master Trust (Income/Loss Pickups)</t>
  </si>
  <si>
    <t>15798-004</t>
  </si>
  <si>
    <t>Invest in GS AFN Master Trust (Fx Adjustments)</t>
  </si>
  <si>
    <t>15799-000</t>
  </si>
  <si>
    <t>15800-000</t>
  </si>
  <si>
    <t>15800-001</t>
  </si>
  <si>
    <t>Invest Freedom Circle Venture, LLC(Return of Distributions)</t>
  </si>
  <si>
    <t>15800-002</t>
  </si>
  <si>
    <t>Invest Freedom Circle Venture, LLC(Return on Distributions)</t>
  </si>
  <si>
    <t>15800-003</t>
  </si>
  <si>
    <t>Invest in Freedom Circle Venture, LLC (Income/Loss Pickups)</t>
  </si>
  <si>
    <t>15800-004</t>
  </si>
  <si>
    <t>Investment in Freedom Circle Venture, LLC (Fx Adjustments)</t>
  </si>
  <si>
    <t>15801-000</t>
  </si>
  <si>
    <t>15802-001</t>
  </si>
  <si>
    <t>Investment in CRP-GREP Overture Kierland Owner LLC (Contr)</t>
  </si>
  <si>
    <t>15802-002</t>
  </si>
  <si>
    <t>Investment in CRP-GREP Overture Kierland Owner LLC (Dist)</t>
  </si>
  <si>
    <t>15802-003</t>
  </si>
  <si>
    <t>Investment in CRP-GREP Overture Kierland Owner LLC (Income)</t>
  </si>
  <si>
    <t>15803-000</t>
  </si>
  <si>
    <t>15804-000</t>
  </si>
  <si>
    <t>15805-000</t>
  </si>
  <si>
    <t>15805-001</t>
  </si>
  <si>
    <t>Investment in CRP-GREP Overture Arboretum (Contributions)</t>
  </si>
  <si>
    <t>15805-002</t>
  </si>
  <si>
    <t>Investment in CRP-GREP Overture Arboretum (Distributions)</t>
  </si>
  <si>
    <t>15805-003</t>
  </si>
  <si>
    <t>Investment in CRP-GREP Overture Arboretum (Income)</t>
  </si>
  <si>
    <t>15806-000</t>
  </si>
  <si>
    <t>15807-000</t>
  </si>
  <si>
    <t>15808-000</t>
  </si>
  <si>
    <t>15809-000</t>
  </si>
  <si>
    <t>15810-000</t>
  </si>
  <si>
    <t>15811-000</t>
  </si>
  <si>
    <t>15812-000</t>
  </si>
  <si>
    <t>15813-000</t>
  </si>
  <si>
    <t>15813-001</t>
  </si>
  <si>
    <t>Invest GS Quill Master Trust Acct (Return of Distributions)</t>
  </si>
  <si>
    <t>15813-002</t>
  </si>
  <si>
    <t>Invest GS Quill Master Trust Acct (Return on Distributions)</t>
  </si>
  <si>
    <t>15813-003</t>
  </si>
  <si>
    <t>Invest GS Quill Master  Trust Acct (Income/Loss Pickups)</t>
  </si>
  <si>
    <t>15813-004</t>
  </si>
  <si>
    <t>Investment in GS Quill Master Trust Acct (Fx Adjustments)</t>
  </si>
  <si>
    <t>15814-000</t>
  </si>
  <si>
    <t>15814-001</t>
  </si>
  <si>
    <t>Invest GS Savoy Circus Master Trust (Return of Distributions</t>
  </si>
  <si>
    <t>15814-002</t>
  </si>
  <si>
    <t>Invest GS Savoy Circus Master Trust (Return on Distributions</t>
  </si>
  <si>
    <t>15814-003</t>
  </si>
  <si>
    <t>Invest in GS Savoy Circus Master Trust (Income/Loss Pickups)</t>
  </si>
  <si>
    <t>15814-004</t>
  </si>
  <si>
    <t>Invest in GS Savoy Circus Master Trust (Fx Adjustments)</t>
  </si>
  <si>
    <t>15815-000</t>
  </si>
  <si>
    <t>15815-001</t>
  </si>
  <si>
    <t>Invest Active Adult Acq, LLC  (Return of Distributions)</t>
  </si>
  <si>
    <t>15815-002</t>
  </si>
  <si>
    <t>Invest  Active Adult Acq, LLC (Return on Distributions)</t>
  </si>
  <si>
    <t>15815-003</t>
  </si>
  <si>
    <t>Invest  Active Adult Acquisitions, LLC (Income/Loss Pickups)</t>
  </si>
  <si>
    <t>15815-004</t>
  </si>
  <si>
    <t>Invest in Active Adult Acquisitions, LLC (Fx Adjustments)</t>
  </si>
  <si>
    <t>15816-000</t>
  </si>
  <si>
    <t>15817-000</t>
  </si>
  <si>
    <t>15817-001</t>
  </si>
  <si>
    <t>Invest in GREP Newco Capital , LLC (Return of Distributions)</t>
  </si>
  <si>
    <t>15817-002</t>
  </si>
  <si>
    <t>Invest in GREP Newco Capital , LLC (Return on Distributions)</t>
  </si>
  <si>
    <t>15817-003</t>
  </si>
  <si>
    <t>Investment in GREP Newco Capital , LLC (Income/Loss Pickups)</t>
  </si>
  <si>
    <t>15817-004</t>
  </si>
  <si>
    <t>Investment in GREP Newco Capital , LLC (Fx Adjustments)</t>
  </si>
  <si>
    <t>15818-000</t>
  </si>
  <si>
    <t>15819-000</t>
  </si>
  <si>
    <t>15820-000</t>
  </si>
  <si>
    <t>15821-000</t>
  </si>
  <si>
    <t>15822-000</t>
  </si>
  <si>
    <t>15823-001</t>
  </si>
  <si>
    <t>Investment in Overture Cotswold (Contributions)</t>
  </si>
  <si>
    <t>15823-002</t>
  </si>
  <si>
    <t>Investment in Overture Cotswold (Distributions)</t>
  </si>
  <si>
    <t>15823-003</t>
  </si>
  <si>
    <t>Investment in Overture Cotswold (Income)</t>
  </si>
  <si>
    <t>15824-001</t>
  </si>
  <si>
    <t>Investment in Overture Providence (Contributions)</t>
  </si>
  <si>
    <t>15824-002</t>
  </si>
  <si>
    <t>Investment in Overture Providence (Distributions)</t>
  </si>
  <si>
    <t>15824-003</t>
  </si>
  <si>
    <t>Investment in Overture Providence (Income)</t>
  </si>
  <si>
    <t>15825-000</t>
  </si>
  <si>
    <t>15826-000</t>
  </si>
  <si>
    <t>15827-000</t>
  </si>
  <si>
    <t>15828-000</t>
  </si>
  <si>
    <t>15829-000</t>
  </si>
  <si>
    <t>15830-000</t>
  </si>
  <si>
    <t>15831-000</t>
  </si>
  <si>
    <t>15832-000</t>
  </si>
  <si>
    <t>15833-000</t>
  </si>
  <si>
    <t>15834-001</t>
  </si>
  <si>
    <t>Investment in Elan Yorktown Apartments Owner LLC (Contr.)</t>
  </si>
  <si>
    <t>15834-002</t>
  </si>
  <si>
    <t>Investment in Elan Yorktown Apartments Owner LLC (Distr.)</t>
  </si>
  <si>
    <t>15834-003</t>
  </si>
  <si>
    <t>Investment in Elan Yorktown Apartments Owner LLC (Income)</t>
  </si>
  <si>
    <t>15835-001</t>
  </si>
  <si>
    <t>Investment in CRP- GREP Overture Yorktown Owner, LLC (Con)</t>
  </si>
  <si>
    <t>15835-002</t>
  </si>
  <si>
    <t>Investment in CRP- GREP Overture Yorktown Owner, LLC (Dis)</t>
  </si>
  <si>
    <t>15835-003</t>
  </si>
  <si>
    <t>Investment in CRP-GREP Overture Yorktown Owner, LLC (Income)</t>
  </si>
  <si>
    <t>15836-000</t>
  </si>
  <si>
    <t>15837-000</t>
  </si>
  <si>
    <t>15838-000</t>
  </si>
  <si>
    <t>15839-000</t>
  </si>
  <si>
    <t>15840-001</t>
  </si>
  <si>
    <t>Investment in GS Hillcrest Holdings LLC (Contributions)</t>
  </si>
  <si>
    <t>15840-002</t>
  </si>
  <si>
    <t>Investment in GS Hillcrest Holdings LLC (Distributions)</t>
  </si>
  <si>
    <t>15840-003</t>
  </si>
  <si>
    <t>Investment in GS Hillcrest Holdings LLC (Income)</t>
  </si>
  <si>
    <t>15841-000</t>
  </si>
  <si>
    <t>15842-000</t>
  </si>
  <si>
    <t>15842-001</t>
  </si>
  <si>
    <t>Invest GS UK Multifamily Unit Trust (Return of Distributions</t>
  </si>
  <si>
    <t>15842-002</t>
  </si>
  <si>
    <t>Invest GS UK Multifamily Unit Trust (Return on Distributions</t>
  </si>
  <si>
    <t>15842-003</t>
  </si>
  <si>
    <t>Invest in GS UK Multifamily Unit Trust (Income/Loss Pickups)</t>
  </si>
  <si>
    <t>15842-004</t>
  </si>
  <si>
    <t>Invest in GS UK Multifamily Unit Trust (Fx Adjustments)</t>
  </si>
  <si>
    <t>15843-001</t>
  </si>
  <si>
    <t>Investment in GS Barnstable AA Apartments, LLC (Contr)</t>
  </si>
  <si>
    <t>15843-002</t>
  </si>
  <si>
    <t>Investment in GS Barnstable AA Apartments, LLC (Distr)</t>
  </si>
  <si>
    <t>15843-003</t>
  </si>
  <si>
    <t>Investment in GS Barnstable AA Apartments, LLC (Incm)</t>
  </si>
  <si>
    <t>15844-001</t>
  </si>
  <si>
    <t>Investment in CRP-GREP Elan McFarland Owner (Contr)</t>
  </si>
  <si>
    <t>15844-002</t>
  </si>
  <si>
    <t>Investment in CRP-GREP Elan McFarland Owner (Distr)</t>
  </si>
  <si>
    <t>15844-003</t>
  </si>
  <si>
    <t>Investment in CRP-GREP Elan McFarland Owner (Incm)</t>
  </si>
  <si>
    <t>15845-001</t>
  </si>
  <si>
    <t>Investment in GS McFarland AA Apartments (Contr)</t>
  </si>
  <si>
    <t>15845-002</t>
  </si>
  <si>
    <t>Investment in GS McFarland AA Apartments (Distr)</t>
  </si>
  <si>
    <t>15845-003</t>
  </si>
  <si>
    <t>Investment in GS McFarland AA Apartments (Income)</t>
  </si>
  <si>
    <t>15846-000</t>
  </si>
  <si>
    <t>15846-001</t>
  </si>
  <si>
    <t>Invest in GS London Portfolio II (Return of Distributions)</t>
  </si>
  <si>
    <t>15846-002</t>
  </si>
  <si>
    <t>Invest in GS London Portfolio II (Return on Distributions)</t>
  </si>
  <si>
    <t>15846-003</t>
  </si>
  <si>
    <t>Invest in GS London Portfolio II (Income/Loss Pickups)</t>
  </si>
  <si>
    <t>15846-004</t>
  </si>
  <si>
    <t>Invest in GS London Portfolio II Unit Trust (Fx Adjustments)</t>
  </si>
  <si>
    <t>15847-000</t>
  </si>
  <si>
    <t>15847-001</t>
  </si>
  <si>
    <t>Invest GS Chelsea Coinvestment (Return of Distributions)</t>
  </si>
  <si>
    <t>15847-002</t>
  </si>
  <si>
    <t>Invest GS Chelsea Coinvestment (Return on Distributions)</t>
  </si>
  <si>
    <t>15847-003</t>
  </si>
  <si>
    <t>Invest GS Chelsea Coinvestment (Income/Loss Pickups)</t>
  </si>
  <si>
    <t>15847-004</t>
  </si>
  <si>
    <t>Investment in GS Chelsea Coinvestment (Fx Adjustments)</t>
  </si>
  <si>
    <t>15848-000</t>
  </si>
  <si>
    <t>15848-001</t>
  </si>
  <si>
    <t>Invest 247 N7th Williams Coinvest (Contributions)</t>
  </si>
  <si>
    <t>15848-002</t>
  </si>
  <si>
    <t>Invest 247 N7th Williams Coinvest (Return of Distributions)</t>
  </si>
  <si>
    <t>15848-003</t>
  </si>
  <si>
    <t>Invest 247 N7th Williams Coinvest (Return on Distributions)</t>
  </si>
  <si>
    <t>15848-004</t>
  </si>
  <si>
    <t>Invest 247 N7th Williams Coinvest (Fx Adjustments)</t>
  </si>
  <si>
    <t>15849-000</t>
  </si>
  <si>
    <t>15849-001</t>
  </si>
  <si>
    <t>Investment in CLPF GRP Sunnyvale Kifer LLC (Return of Distri</t>
  </si>
  <si>
    <t>15849-002</t>
  </si>
  <si>
    <t>Investment in CLPF GRP Sunnyvale Kifer LLC (Return on Distri</t>
  </si>
  <si>
    <t>15849-003</t>
  </si>
  <si>
    <t>Investment in CLPF GRP Sunnyvale Kifer LLC (Income/Loss Pick</t>
  </si>
  <si>
    <t>15849-004</t>
  </si>
  <si>
    <t>Investment in CLPF GRP Sunnyvale Kifer LLC (Fx Adjustments)</t>
  </si>
  <si>
    <t>15850-001</t>
  </si>
  <si>
    <t>Investment in CRPGREP Overture Coburg Owner, LLC (Contr)</t>
  </si>
  <si>
    <t>15850-002</t>
  </si>
  <si>
    <t>Investment in CRPGREP Overture Coburg Owner, LLC (Distr)</t>
  </si>
  <si>
    <t>15850-003</t>
  </si>
  <si>
    <t>Investment in CRPGREP Overture Coburg Owner, LLC (Income)</t>
  </si>
  <si>
    <t>15851-001</t>
  </si>
  <si>
    <t>Investment in CRPGREP Overture Dr. Phillips Owner, LLC (Cont</t>
  </si>
  <si>
    <t>15851-002</t>
  </si>
  <si>
    <t>Investment in CRPGREP Overture Dr. Phillips Owner, LLC (Dist</t>
  </si>
  <si>
    <t>15851-003</t>
  </si>
  <si>
    <t>Investment in CRPGREP Overture Dr. Phillips Owner, LLC (Inc)</t>
  </si>
  <si>
    <t>15852-001</t>
  </si>
  <si>
    <t>Investment in Greystar Coinvestment X  LLC (Contributions)</t>
  </si>
  <si>
    <t>15852-002</t>
  </si>
  <si>
    <t>Investment in Greystar Coinvestment X LLC (Distributions)</t>
  </si>
  <si>
    <t>15852-003</t>
  </si>
  <si>
    <t>Investment in Greystar Coinvestment X LLC (Income)</t>
  </si>
  <si>
    <t>15853-001</t>
  </si>
  <si>
    <t>Investment in Elan Williamsburg Apartments Owner, LLC (Cont)</t>
  </si>
  <si>
    <t>15853-002</t>
  </si>
  <si>
    <t>Investment in Elan Williamsburg Apartments Owner, LLC (Dist)</t>
  </si>
  <si>
    <t>15853-003</t>
  </si>
  <si>
    <t>Investment in Elan Williamsburg Apartments Owner, LLC (Inc)</t>
  </si>
  <si>
    <t>15854-000</t>
  </si>
  <si>
    <t>15854-001</t>
  </si>
  <si>
    <t>Investment In Greystar TT, LP (Return of Distributions)</t>
  </si>
  <si>
    <t>15854-002</t>
  </si>
  <si>
    <t>Investment In Greystar TT, LP (Return on Distributions)</t>
  </si>
  <si>
    <t>15854-003</t>
  </si>
  <si>
    <t>Investment In Greystar TT, LP (Income/Loss Pickups)</t>
  </si>
  <si>
    <t>15854-004</t>
  </si>
  <si>
    <t>Investment In Greystar TT, LP (Fx Adjustments)</t>
  </si>
  <si>
    <t>15855-000</t>
  </si>
  <si>
    <t>15856-000</t>
  </si>
  <si>
    <t>15857-000</t>
  </si>
  <si>
    <t>15858-000</t>
  </si>
  <si>
    <t>15858-001</t>
  </si>
  <si>
    <t>Invest in Greystar CoInvest X, LLC (Return of Distributions)</t>
  </si>
  <si>
    <t>15858-002</t>
  </si>
  <si>
    <t>Invest in Greystar CoInvest X, LLC (Return on Distributions)</t>
  </si>
  <si>
    <t>15858-003</t>
  </si>
  <si>
    <t>Investment in Greystar CoInvest X, LLC (Income/Loss Pickups)</t>
  </si>
  <si>
    <t>15858-004</t>
  </si>
  <si>
    <t>Investment in Greystar CoInvest X, LLC (Fx Adjustments)</t>
  </si>
  <si>
    <t>15859-000</t>
  </si>
  <si>
    <t>15860-000</t>
  </si>
  <si>
    <t>15861-001</t>
  </si>
  <si>
    <t>Investment in CRP-GREP Overture 9CO Owner (Contributions)</t>
  </si>
  <si>
    <t>15861-002</t>
  </si>
  <si>
    <t>Investment in CRP-GREP Overture 9CO Owner (Distributions)</t>
  </si>
  <si>
    <t>15861-003</t>
  </si>
  <si>
    <t>Investment in CRP-GREP Overture 9CO Owner (Income)</t>
  </si>
  <si>
    <t>15862-000</t>
  </si>
  <si>
    <t>15862-001</t>
  </si>
  <si>
    <t>Invest GS Growth and Income Fund LP(Return of Distributions)</t>
  </si>
  <si>
    <t>15862-002</t>
  </si>
  <si>
    <t>Invest GS Growth and Income Fund LP(Return on Distributions)</t>
  </si>
  <si>
    <t>15862-003</t>
  </si>
  <si>
    <t>Invest in GSGrowth and Income Fund, LP(Income/Loss Pickups)</t>
  </si>
  <si>
    <t>15862-004</t>
  </si>
  <si>
    <t>Invest GS Growth and Income Fund, LP (Fx Adjustments)</t>
  </si>
  <si>
    <t>15863-000</t>
  </si>
  <si>
    <t>15864-000</t>
  </si>
  <si>
    <t>15864-001</t>
  </si>
  <si>
    <t>Investment in GS NE Investor, LLC (Return of Distributions)</t>
  </si>
  <si>
    <t>15864-002</t>
  </si>
  <si>
    <t>Investment in GS NE Investor, LLC (Return on Distributions)</t>
  </si>
  <si>
    <t>15864-003</t>
  </si>
  <si>
    <t>Investment in GS NE Investor, LLC (Income/Loss Pickups)</t>
  </si>
  <si>
    <t>15864-004</t>
  </si>
  <si>
    <t>Investment in GS NE Investor, LLC (Fx Adjustments)</t>
  </si>
  <si>
    <t>15865-000</t>
  </si>
  <si>
    <t>15865-001</t>
  </si>
  <si>
    <t>Investment in GS NE Master Unit Trust (Return of Distrib)</t>
  </si>
  <si>
    <t>15865-002</t>
  </si>
  <si>
    <t>Investment in GS NE Master Unit Trust (Return on Distrib)</t>
  </si>
  <si>
    <t>15865-003</t>
  </si>
  <si>
    <t>Investment in GS NE Master Unit Trust (Income/Loss Pickups)</t>
  </si>
  <si>
    <t>15865-004</t>
  </si>
  <si>
    <t>Investment in GS NE Master Unit Trust (Fx Adjustments)</t>
  </si>
  <si>
    <t>15866-000</t>
  </si>
  <si>
    <t>15866-001</t>
  </si>
  <si>
    <t>Investment in Mirtocan Spain SL (Return of Distributions)</t>
  </si>
  <si>
    <t>15866-002</t>
  </si>
  <si>
    <t>Investment in Mirtocan Spain SL (Return on Distributions)</t>
  </si>
  <si>
    <t>15866-003</t>
  </si>
  <si>
    <t>Investment in Mirtocan Spain SL (Income/Loss Pickups)</t>
  </si>
  <si>
    <t>15866-004</t>
  </si>
  <si>
    <t>Investment in Mirtocan Spain SL  (Fx Adjustments)</t>
  </si>
  <si>
    <t>15867-000</t>
  </si>
  <si>
    <t>15867-001</t>
  </si>
  <si>
    <t>Invest GS Holloway Road Master Trust(Return of Distribution</t>
  </si>
  <si>
    <t>15867-002</t>
  </si>
  <si>
    <t>Invest  GS Holloway Road Master Trust(Return on Distribution</t>
  </si>
  <si>
    <t>15867-003</t>
  </si>
  <si>
    <t>Invest GS Holloway Road Master Trust (Income/Loss Pickups)</t>
  </si>
  <si>
    <t>15867-004</t>
  </si>
  <si>
    <t>Invest GS Holloway Road Master Trust (Fx Adjustments)</t>
  </si>
  <si>
    <t>15868-000</t>
  </si>
  <si>
    <t>15868-001</t>
  </si>
  <si>
    <t>Invest in GS Diller Holdings, LLC (Return of Distributions)</t>
  </si>
  <si>
    <t>15868-002</t>
  </si>
  <si>
    <t>Invest in GS Diller Holdings, LLC (Return on Distributions)</t>
  </si>
  <si>
    <t>15868-003</t>
  </si>
  <si>
    <t>Invest in GS Diller Holdings, LLC (Income/Loss Pickups)</t>
  </si>
  <si>
    <t>15868-004</t>
  </si>
  <si>
    <t>Invest in GS Diller Holdings, LLC (Fx Adjustments)</t>
  </si>
  <si>
    <t>15869-000</t>
  </si>
  <si>
    <t>15870-001</t>
  </si>
  <si>
    <t>Investment in Gabriella Tower LLC (Contributions)</t>
  </si>
  <si>
    <t>15870-002</t>
  </si>
  <si>
    <t>Investment in Gabriella Tower LLC (Distributions)</t>
  </si>
  <si>
    <t>15870-003</t>
  </si>
  <si>
    <t>Investment in Gabriella Tower LLC (Income)</t>
  </si>
  <si>
    <t>15871-001</t>
  </si>
  <si>
    <t>Investment in CV U Village, LLC (Contributions)</t>
  </si>
  <si>
    <t>15871-002</t>
  </si>
  <si>
    <t>Investment in CV U Village, LLC (Distributions)</t>
  </si>
  <si>
    <t>15871-003</t>
  </si>
  <si>
    <t>Investment in CV U Village, LLC (Income)</t>
  </si>
  <si>
    <t>15872-000</t>
  </si>
  <si>
    <t>15873-001</t>
  </si>
  <si>
    <t>Investment in GS Lakeline AA Apartments, LLC (Contr.)</t>
  </si>
  <si>
    <t>15873-002</t>
  </si>
  <si>
    <t>Investment in GS Lakeline AA Apartments, LLC (Distr.)</t>
  </si>
  <si>
    <t>15873-003</t>
  </si>
  <si>
    <t>Investment in GS Lakeline AA Apartments, LLC (Income)</t>
  </si>
  <si>
    <t>15874-001</t>
  </si>
  <si>
    <t>Investment in Elan Inwood LLC (Contributions)</t>
  </si>
  <si>
    <t>15874-002</t>
  </si>
  <si>
    <t>Investment in Elan Inwood LLC (Distributions)</t>
  </si>
  <si>
    <t>15874-003</t>
  </si>
  <si>
    <t>Investment in Elan Inwood LLC (Income)</t>
  </si>
  <si>
    <t>15875-000</t>
  </si>
  <si>
    <t>15876-000</t>
  </si>
  <si>
    <t>15877-000</t>
  </si>
  <si>
    <t>15877-001</t>
  </si>
  <si>
    <t>Investment in 19th Street Property, LLC (Contributions)</t>
  </si>
  <si>
    <t>15877-002</t>
  </si>
  <si>
    <t>Investment in 19th Street Property, LLC (Distributions)</t>
  </si>
  <si>
    <t>15877-003</t>
  </si>
  <si>
    <t>Investment in 19th Street Property, LLC (Income)</t>
  </si>
  <si>
    <t>15878-001</t>
  </si>
  <si>
    <t>Investment in Overture Doral (Contributions)</t>
  </si>
  <si>
    <t>15878-002</t>
  </si>
  <si>
    <t>Investment in Overture Doral (Distributions)</t>
  </si>
  <si>
    <t>15878-003</t>
  </si>
  <si>
    <t>Investment in Overture Doral (Income)</t>
  </si>
  <si>
    <t>15879-000</t>
  </si>
  <si>
    <t>15879-001</t>
  </si>
  <si>
    <t>15879-002</t>
  </si>
  <si>
    <t>15879-003</t>
  </si>
  <si>
    <t>Investment in GS PK Employee Coinvest (Income/Loss Pickups)</t>
  </si>
  <si>
    <t>15879-004</t>
  </si>
  <si>
    <t>Investment in GS PK Employee Coinvest (Fx Adjustments)</t>
  </si>
  <si>
    <t>15880-000</t>
  </si>
  <si>
    <t>15881-000</t>
  </si>
  <si>
    <t>15881-001</t>
  </si>
  <si>
    <t>Invest  GS-B3 Rockoff Venture,LLC (Return of Distributions)</t>
  </si>
  <si>
    <t>15881-002</t>
  </si>
  <si>
    <t>Invest  GS-B3 Rockoff Venture,LLC (Return on Distributions)</t>
  </si>
  <si>
    <t>15881-003</t>
  </si>
  <si>
    <t>Invest in GS-B3 Rockoff Venture,LLC (Income/Loss Pickups)</t>
  </si>
  <si>
    <t>15881-004</t>
  </si>
  <si>
    <t>Invest in GS-B3 Rockoff Venture,LLC (Fx Adjustments)</t>
  </si>
  <si>
    <t>15882-001</t>
  </si>
  <si>
    <t>Investment in GS Elan Addison Grove Apartments Owner, LP (Co</t>
  </si>
  <si>
    <t>15882-002</t>
  </si>
  <si>
    <t>Investment in GS Elan Addison Grove Apartments Owner, LP (Di</t>
  </si>
  <si>
    <t>15882-003</t>
  </si>
  <si>
    <t>Investment in GS Elan Addison Grove Apartments Owner, LP (In</t>
  </si>
  <si>
    <t>15883-000</t>
  </si>
  <si>
    <t>15884-000</t>
  </si>
  <si>
    <t>15885-000</t>
  </si>
  <si>
    <t>15886-001</t>
  </si>
  <si>
    <t>Investment in CRP-GREP Overture Greenville, LLC (Contr.)</t>
  </si>
  <si>
    <t>15886-002</t>
  </si>
  <si>
    <t>Investment in CRP-GREP Overture Greenville, LLC (Distr.)</t>
  </si>
  <si>
    <t>15886-003</t>
  </si>
  <si>
    <t>Investment in CRP-GREP Overture Greenville, LLC (Income)</t>
  </si>
  <si>
    <t>15887-000</t>
  </si>
  <si>
    <t>15888-000</t>
  </si>
  <si>
    <t>15888-001</t>
  </si>
  <si>
    <t>Invest  Uptown Joint Venture, LLC (Return of Distributions)</t>
  </si>
  <si>
    <t>15888-002</t>
  </si>
  <si>
    <t>Invest  Uptown Joint Venture, LLC (Return on Distributions)</t>
  </si>
  <si>
    <t>15888-003</t>
  </si>
  <si>
    <t>Invest in Uptown Joint Venture, LLC (Income/Loss Pickups)</t>
  </si>
  <si>
    <t>15888-004</t>
  </si>
  <si>
    <t>Investment in Uptown Joint Venture, LLC (Fx Adjustments)</t>
  </si>
  <si>
    <t>15889-000</t>
  </si>
  <si>
    <t>15890-001</t>
  </si>
  <si>
    <t>Investment in CRP-GREP Overture Centennial Owner, LLC (Con)</t>
  </si>
  <si>
    <t>15890-002</t>
  </si>
  <si>
    <t>Investment in CRP-GREP Overture Centennial Owner, LLC (Dist)</t>
  </si>
  <si>
    <t>15890-003</t>
  </si>
  <si>
    <t>Investment in CRP-GREP Overture Centennial Owner, LLC (Inc)</t>
  </si>
  <si>
    <t>15890-004</t>
  </si>
  <si>
    <t>Investment in Greystar Credit Partners GP I, LLC</t>
  </si>
  <si>
    <t>15890-005</t>
  </si>
  <si>
    <t>Investment in GCP Coinvestment I, LLC</t>
  </si>
  <si>
    <t>15890-006</t>
  </si>
  <si>
    <t>Investment in Greystar Credit Partners I, LP</t>
  </si>
  <si>
    <t>15890-007</t>
  </si>
  <si>
    <t>Investment in GDG Grove Park, LLC (Contributions)</t>
  </si>
  <si>
    <t>15890-008</t>
  </si>
  <si>
    <t>Investment in GDG Grove Park, LLC (Distributions)</t>
  </si>
  <si>
    <t>15890-009</t>
  </si>
  <si>
    <t>Investment in GDG Grove Park, LLC (Income)</t>
  </si>
  <si>
    <t>15890-010</t>
  </si>
  <si>
    <t>Investment In Alfred Club Inc.</t>
  </si>
  <si>
    <t>15890-011</t>
  </si>
  <si>
    <t>Investment In Greystar Investment Management Limited</t>
  </si>
  <si>
    <t>15890-012</t>
  </si>
  <si>
    <t>Investment in Uptown Menlo Park Venture, LLC (Contributions)</t>
  </si>
  <si>
    <t>15890-013</t>
  </si>
  <si>
    <t>Investment in Uptown Menlo Park Venture, LLC (Distributions)</t>
  </si>
  <si>
    <t>15890-014</t>
  </si>
  <si>
    <t>Investment in Uptown Menlo Park Venture, LLC (Income)</t>
  </si>
  <si>
    <t>15890-015</t>
  </si>
  <si>
    <t>Investment in CRP-GREP Elan Grapevine (Contributions)</t>
  </si>
  <si>
    <t>15890-016</t>
  </si>
  <si>
    <t>Investment in CRP-GREP Elan Grapevine (Distributions)</t>
  </si>
  <si>
    <t>15890-017</t>
  </si>
  <si>
    <t>Investment in CRP-GREP Elan Grapevine (Income)</t>
  </si>
  <si>
    <t>15890-018</t>
  </si>
  <si>
    <t>Investment in GS Diller Holdings, LLC</t>
  </si>
  <si>
    <t>15890-019</t>
  </si>
  <si>
    <t>Investment in GS Diller Subsidiary, LLC</t>
  </si>
  <si>
    <t>15890-020</t>
  </si>
  <si>
    <t>Investment in Greystar BCS Holdings, LLC</t>
  </si>
  <si>
    <t>15890-021</t>
  </si>
  <si>
    <t>Investment in Greystar Project BCS, LLC</t>
  </si>
  <si>
    <t>15890-022</t>
  </si>
  <si>
    <t>Investment in Uptown Series I Holdings, LLC (Contributions)</t>
  </si>
  <si>
    <t>15890-023</t>
  </si>
  <si>
    <t>Investment in Uptown Series I Holdings, LLC (Distributions)</t>
  </si>
  <si>
    <t>15890-024</t>
  </si>
  <si>
    <t>Investment in Uptown Series I Holdings, LLC (Income)?</t>
  </si>
  <si>
    <t>15890-025</t>
  </si>
  <si>
    <t>Investment in GS Lakeline AA Apartments LLC (Contributions)</t>
  </si>
  <si>
    <t>15890-026</t>
  </si>
  <si>
    <t>Investment in GS Lakeline AA Apartments LLC (Distributions)</t>
  </si>
  <si>
    <t>15890-027</t>
  </si>
  <si>
    <t>Investment in GS Lakeline AA Apartments LLC (Income)</t>
  </si>
  <si>
    <t>15890-028</t>
  </si>
  <si>
    <t>Investment in BCS Project JV, LLC (Contributions)</t>
  </si>
  <si>
    <t>15890-029</t>
  </si>
  <si>
    <t>Investment in BCS Project JV, LLC (Return of Distributions)</t>
  </si>
  <si>
    <t>15890-030</t>
  </si>
  <si>
    <t>Investmentin BCS Project JV, LLC (Return on Distributions)</t>
  </si>
  <si>
    <t>15890-031</t>
  </si>
  <si>
    <t>Investment in BCS Project JV, LLC (Income/Loss Pickups)</t>
  </si>
  <si>
    <t>15891-000</t>
  </si>
  <si>
    <t>15891-001</t>
  </si>
  <si>
    <t>Invest in Greenford Investor 2 LLC (Return of Distributions)</t>
  </si>
  <si>
    <t>15891-002</t>
  </si>
  <si>
    <t>Invest in Greenford Investor 2 LLC(Return on Distributions)</t>
  </si>
  <si>
    <t>15891-003</t>
  </si>
  <si>
    <t>Invest in Greenford Investor 2, LLC (Income/Loss Pickups)</t>
  </si>
  <si>
    <t>15891-004</t>
  </si>
  <si>
    <t>Invest in Greenford Investor 2, LLC (FX Adjustments)</t>
  </si>
  <si>
    <t>15892-000</t>
  </si>
  <si>
    <t>15892-001</t>
  </si>
  <si>
    <t>Invest in Moderne Venture Fund I LP(Return of Distributions)</t>
  </si>
  <si>
    <t>15892-002</t>
  </si>
  <si>
    <t>Invest in Moderne Venture Fund I LP(Return on Distributions)</t>
  </si>
  <si>
    <t>15892-003</t>
  </si>
  <si>
    <t>Invest in Moderne Ventures Fund I, LP  (Income/Loss Pickups)</t>
  </si>
  <si>
    <t>15892-004</t>
  </si>
  <si>
    <t>Invest in Moderne Ventures Fund I, LP  (FX Adjustments)</t>
  </si>
  <si>
    <t>15893-001</t>
  </si>
  <si>
    <t>Investment in CRP-GREP O.CHESAPEAKE LAND PARCEL (Contr)</t>
  </si>
  <si>
    <t>15894-001</t>
  </si>
  <si>
    <t>Investment in CRP-GREP Overture Alqbuquerque Owner,LLC (Con)</t>
  </si>
  <si>
    <t>15896-001</t>
  </si>
  <si>
    <t>Investment in GS Short Pump Owner AA Owner, LLC (Con)</t>
  </si>
  <si>
    <t>15901-000</t>
  </si>
  <si>
    <t>15902-000</t>
  </si>
  <si>
    <t>15903-000</t>
  </si>
  <si>
    <t>15904-000</t>
  </si>
  <si>
    <t>15905-000</t>
  </si>
  <si>
    <t>15906-000</t>
  </si>
  <si>
    <t>15907-000</t>
  </si>
  <si>
    <t>15908-000</t>
  </si>
  <si>
    <t>15909-000</t>
  </si>
  <si>
    <t>15910-000</t>
  </si>
  <si>
    <t>15911-000</t>
  </si>
  <si>
    <t>15912-000</t>
  </si>
  <si>
    <t>15913-000</t>
  </si>
  <si>
    <t>15914-000</t>
  </si>
  <si>
    <t>15915-000</t>
  </si>
  <si>
    <t>15916-000</t>
  </si>
  <si>
    <t>15917-000</t>
  </si>
  <si>
    <t>15918-000</t>
  </si>
  <si>
    <t>15919-000</t>
  </si>
  <si>
    <t>15920-000</t>
  </si>
  <si>
    <t>15921-000</t>
  </si>
  <si>
    <t>15922-000</t>
  </si>
  <si>
    <t>15923-000</t>
  </si>
  <si>
    <t>15924-000</t>
  </si>
  <si>
    <t>15925-000</t>
  </si>
  <si>
    <t>15926-000</t>
  </si>
  <si>
    <t>15927-000</t>
  </si>
  <si>
    <t>15928-000</t>
  </si>
  <si>
    <t>15929-000</t>
  </si>
  <si>
    <t>15930-000</t>
  </si>
  <si>
    <t>15931-000</t>
  </si>
  <si>
    <t>15932-000</t>
  </si>
  <si>
    <t>15933-000</t>
  </si>
  <si>
    <t>15934-000</t>
  </si>
  <si>
    <t>15935-000</t>
  </si>
  <si>
    <t>15936-000</t>
  </si>
  <si>
    <t>15937-000</t>
  </si>
  <si>
    <t>15938-000</t>
  </si>
  <si>
    <t>15939-000</t>
  </si>
  <si>
    <t>15940-000</t>
  </si>
  <si>
    <t>15941-000</t>
  </si>
  <si>
    <t>15942-000</t>
  </si>
  <si>
    <t>15943-000</t>
  </si>
  <si>
    <t>15944-000</t>
  </si>
  <si>
    <t>15945-000</t>
  </si>
  <si>
    <t>15946-000</t>
  </si>
  <si>
    <t>15947-000</t>
  </si>
  <si>
    <t>15948-000</t>
  </si>
  <si>
    <t>15949-000</t>
  </si>
  <si>
    <t>15950-000</t>
  </si>
  <si>
    <t>15951-000</t>
  </si>
  <si>
    <t>15952-000</t>
  </si>
  <si>
    <t>15953-000</t>
  </si>
  <si>
    <t>15954-000</t>
  </si>
  <si>
    <t>15955-000</t>
  </si>
  <si>
    <t>15956-000</t>
  </si>
  <si>
    <t>15957-000</t>
  </si>
  <si>
    <t>15958-000</t>
  </si>
  <si>
    <t>15959-000</t>
  </si>
  <si>
    <t>15960-000</t>
  </si>
  <si>
    <t>15961-000</t>
  </si>
  <si>
    <t>15962-000</t>
  </si>
  <si>
    <t>15963-000</t>
  </si>
  <si>
    <t>15964-000</t>
  </si>
  <si>
    <t>15965-000</t>
  </si>
  <si>
    <t>15966-000</t>
  </si>
  <si>
    <t>15967-000</t>
  </si>
  <si>
    <t>15968-000</t>
  </si>
  <si>
    <t>15969-000</t>
  </si>
  <si>
    <t>15970-000</t>
  </si>
  <si>
    <t>15971-000</t>
  </si>
  <si>
    <t>15972-000</t>
  </si>
  <si>
    <t>15973-000</t>
  </si>
  <si>
    <t>15974-000</t>
  </si>
  <si>
    <t>15975-000</t>
  </si>
  <si>
    <t>15976-000</t>
  </si>
  <si>
    <t>15977-000</t>
  </si>
  <si>
    <t>15978-000</t>
  </si>
  <si>
    <t>15979-000</t>
  </si>
  <si>
    <t>15980-000</t>
  </si>
  <si>
    <t>15981-000</t>
  </si>
  <si>
    <t>15982-000</t>
  </si>
  <si>
    <t>15983-000</t>
  </si>
  <si>
    <t>15984-000</t>
  </si>
  <si>
    <t>15985-000</t>
  </si>
  <si>
    <t>15986-000</t>
  </si>
  <si>
    <t>15986-001</t>
  </si>
  <si>
    <t>Investment in PEP-Oxford OH, LLC</t>
  </si>
  <si>
    <t>15986-002</t>
  </si>
  <si>
    <t>Investment in PEP-KU, LLC</t>
  </si>
  <si>
    <t>15986-003</t>
  </si>
  <si>
    <t>Investment in PEP-USC, LLC</t>
  </si>
  <si>
    <t>15986-004</t>
  </si>
  <si>
    <t>Investment in PEP-GT, LLC</t>
  </si>
  <si>
    <t>15986-005</t>
  </si>
  <si>
    <t>Investment in PEP-OSU, LLC</t>
  </si>
  <si>
    <t>15986-006</t>
  </si>
  <si>
    <t>Investment in PEP-WVU, LLC</t>
  </si>
  <si>
    <t>15986-007</t>
  </si>
  <si>
    <t>Investment in PEP-Ball State, LLC</t>
  </si>
  <si>
    <t>15986-008</t>
  </si>
  <si>
    <t>Investment in PEP-Iowa State, LLC</t>
  </si>
  <si>
    <t>15986-009</t>
  </si>
  <si>
    <t>Investment in PEP-WKU, LLC</t>
  </si>
  <si>
    <t>15986-010</t>
  </si>
  <si>
    <t>Investment in PEP-ECU, LLC</t>
  </si>
  <si>
    <t>15986-011</t>
  </si>
  <si>
    <t>Investment in PEP-SHSU, LLC</t>
  </si>
  <si>
    <t>15986-012</t>
  </si>
  <si>
    <t>Investment in CCC-New Mexico, LLC</t>
  </si>
  <si>
    <t>15986-013</t>
  </si>
  <si>
    <t>Investment in PEP-UF, LLC</t>
  </si>
  <si>
    <t>15986-014</t>
  </si>
  <si>
    <t>Investment in PEP-FSU, LLC</t>
  </si>
  <si>
    <t>15986-015</t>
  </si>
  <si>
    <t>Investment in PEP-UGA, LLC</t>
  </si>
  <si>
    <t>15986-016</t>
  </si>
  <si>
    <t>Investment in PEP-UVA, LLC</t>
  </si>
  <si>
    <t>15986-017</t>
  </si>
  <si>
    <t>Investment in PEP-UN, LLC</t>
  </si>
  <si>
    <t>15997-000</t>
  </si>
  <si>
    <t>15998-000</t>
  </si>
  <si>
    <t>15999-999</t>
  </si>
  <si>
    <t>Total Investment In Partnerships</t>
  </si>
  <si>
    <t>16000-000</t>
  </si>
  <si>
    <t>16010-000</t>
  </si>
  <si>
    <t>16011-000</t>
  </si>
  <si>
    <t>16012-000</t>
  </si>
  <si>
    <t>16013-000</t>
  </si>
  <si>
    <t>16014-000</t>
  </si>
  <si>
    <t>16015-000</t>
  </si>
  <si>
    <t>16020-000</t>
  </si>
  <si>
    <t>16021-000</t>
  </si>
  <si>
    <t>16022-000</t>
  </si>
  <si>
    <t>16023-000</t>
  </si>
  <si>
    <t>16024-000</t>
  </si>
  <si>
    <t>16030-000</t>
  </si>
  <si>
    <t>16999-999</t>
  </si>
  <si>
    <t>Total Notes Receivable</t>
  </si>
  <si>
    <t>17000-000</t>
  </si>
  <si>
    <t>17010-000</t>
  </si>
  <si>
    <t>17030-000</t>
  </si>
  <si>
    <t>17040-000</t>
  </si>
  <si>
    <t>17050-000</t>
  </si>
  <si>
    <t>17055-000</t>
  </si>
  <si>
    <t>17055-001</t>
  </si>
  <si>
    <t>Accumulated Amortization - Deferred Financing</t>
  </si>
  <si>
    <t>17055-013</t>
  </si>
  <si>
    <t>A/D - Leasing Commissions</t>
  </si>
  <si>
    <t>17055-014</t>
  </si>
  <si>
    <t>A/D - Legal and Marketing Costs</t>
  </si>
  <si>
    <t>17057-000</t>
  </si>
  <si>
    <t>17057-001</t>
  </si>
  <si>
    <t>Accumulated Amortization - Operating Deficit</t>
  </si>
  <si>
    <t>17058-000</t>
  </si>
  <si>
    <t>17058-700</t>
  </si>
  <si>
    <t>Capitalized HOA Fees</t>
  </si>
  <si>
    <t>17059-000</t>
  </si>
  <si>
    <t>17060-000</t>
  </si>
  <si>
    <t>17070-000</t>
  </si>
  <si>
    <t>17080-000</t>
  </si>
  <si>
    <t>17090-000</t>
  </si>
  <si>
    <t>17093-000</t>
  </si>
  <si>
    <t>17095-000</t>
  </si>
  <si>
    <t>17096-000</t>
  </si>
  <si>
    <t>17100-000</t>
  </si>
  <si>
    <t>17102-000</t>
  </si>
  <si>
    <t>17103-700</t>
  </si>
  <si>
    <t>Loan Costs-Sub.Line</t>
  </si>
  <si>
    <t>17104-600</t>
  </si>
  <si>
    <t>Loan Costs Writeoffs</t>
  </si>
  <si>
    <t>17105-000</t>
  </si>
  <si>
    <t>17105-600</t>
  </si>
  <si>
    <t>Acc Amort Loan Costs W/O</t>
  </si>
  <si>
    <t>17106-600</t>
  </si>
  <si>
    <t>Mark to Market Adjustment</t>
  </si>
  <si>
    <t>17107-600</t>
  </si>
  <si>
    <t>Mark to Market Adj W/O</t>
  </si>
  <si>
    <t>17108-600</t>
  </si>
  <si>
    <t>Acc Amort Mark to Market</t>
  </si>
  <si>
    <t>17109-600</t>
  </si>
  <si>
    <t>Acc Amort Mark to Mkt W/O</t>
  </si>
  <si>
    <t>17110-000</t>
  </si>
  <si>
    <t>17111-000</t>
  </si>
  <si>
    <t>17112-000</t>
  </si>
  <si>
    <t>17113-000</t>
  </si>
  <si>
    <t>17120-000</t>
  </si>
  <si>
    <t>17121-600</t>
  </si>
  <si>
    <t>Revolving Line of Credit</t>
  </si>
  <si>
    <t>17130-000</t>
  </si>
  <si>
    <t>17160-000</t>
  </si>
  <si>
    <t>17170-000</t>
  </si>
  <si>
    <t>17180-000</t>
  </si>
  <si>
    <t>17185-000</t>
  </si>
  <si>
    <t>17190-000</t>
  </si>
  <si>
    <t>17190-600</t>
  </si>
  <si>
    <t>Tax Abatement Asset</t>
  </si>
  <si>
    <t>17191-600</t>
  </si>
  <si>
    <t>Tax Abatement Accum Amort</t>
  </si>
  <si>
    <t>17195-000</t>
  </si>
  <si>
    <t>17200-000</t>
  </si>
  <si>
    <t>17201-000</t>
  </si>
  <si>
    <t>17210-000</t>
  </si>
  <si>
    <t>17220-000</t>
  </si>
  <si>
    <t>17220-013</t>
  </si>
  <si>
    <t>Interest Rate Caps/Swaps</t>
  </si>
  <si>
    <t>17230-000</t>
  </si>
  <si>
    <t>17240-000</t>
  </si>
  <si>
    <t>17240-600</t>
  </si>
  <si>
    <t>Lse In Place Retail</t>
  </si>
  <si>
    <t>17250-000</t>
  </si>
  <si>
    <t>17251-600</t>
  </si>
  <si>
    <t>Lease In-Place Val FAS 141 WOs</t>
  </si>
  <si>
    <t>17252-600</t>
  </si>
  <si>
    <t>Acc Amt Lse in Plc Val W/O</t>
  </si>
  <si>
    <t>17253-600</t>
  </si>
  <si>
    <t>AccmAmort Lse/Lgl FAS 141</t>
  </si>
  <si>
    <t>17254-600</t>
  </si>
  <si>
    <t>FAS 141 Ground Rent</t>
  </si>
  <si>
    <t>17255-600</t>
  </si>
  <si>
    <t>FAS 141 Ground Rent Acc Depr</t>
  </si>
  <si>
    <t>17256-600</t>
  </si>
  <si>
    <t>Accum Depr W/O Contra Basis</t>
  </si>
  <si>
    <t>17257-600</t>
  </si>
  <si>
    <t>Above Mkt Lse Val FAS 141 W/Os</t>
  </si>
  <si>
    <t>17258-600</t>
  </si>
  <si>
    <t>Acc Amt Above Mkt Lse Val W/O</t>
  </si>
  <si>
    <t>17260-000</t>
  </si>
  <si>
    <t>17270-000</t>
  </si>
  <si>
    <t>17280-000</t>
  </si>
  <si>
    <t>17290-000</t>
  </si>
  <si>
    <t>17291-000</t>
  </si>
  <si>
    <t>17292-000</t>
  </si>
  <si>
    <t>17300-000</t>
  </si>
  <si>
    <t>17310-000</t>
  </si>
  <si>
    <t>17500-000</t>
  </si>
  <si>
    <t>17510-000</t>
  </si>
  <si>
    <t>17999-999</t>
  </si>
  <si>
    <t>Total Intangible Assets</t>
  </si>
  <si>
    <t>18000-000</t>
  </si>
  <si>
    <t>18010-000</t>
  </si>
  <si>
    <t>18010-700</t>
  </si>
  <si>
    <t>Public Service Deposit</t>
  </si>
  <si>
    <t>18020-000</t>
  </si>
  <si>
    <t>18020-700</t>
  </si>
  <si>
    <t>Damage Deposit</t>
  </si>
  <si>
    <t>18030-000</t>
  </si>
  <si>
    <t>18040-000</t>
  </si>
  <si>
    <t>18041-700</t>
  </si>
  <si>
    <t>Capitalized Insurance</t>
  </si>
  <si>
    <t>18042-700</t>
  </si>
  <si>
    <t>Capitalized Subline Interest</t>
  </si>
  <si>
    <t>18043-700</t>
  </si>
  <si>
    <t>Place in Service Offset</t>
  </si>
  <si>
    <t>18044-700</t>
  </si>
  <si>
    <t>Cost of Sales Offset</t>
  </si>
  <si>
    <t>18045-000</t>
  </si>
  <si>
    <t>18050-000</t>
  </si>
  <si>
    <t>18055-000</t>
  </si>
  <si>
    <t>18060-000</t>
  </si>
  <si>
    <t>18070-000</t>
  </si>
  <si>
    <t>18080-000</t>
  </si>
  <si>
    <t>18085-000</t>
  </si>
  <si>
    <t>18086-000</t>
  </si>
  <si>
    <t>18090-000</t>
  </si>
  <si>
    <t>18095-000</t>
  </si>
  <si>
    <t>18096-000</t>
  </si>
  <si>
    <t>18097-000</t>
  </si>
  <si>
    <t>18098-000</t>
  </si>
  <si>
    <t>18999-999</t>
  </si>
  <si>
    <t>Total Other Assets</t>
  </si>
  <si>
    <t>19999-999</t>
  </si>
  <si>
    <t>TOTAL ASSETS</t>
  </si>
  <si>
    <t>20000-000</t>
  </si>
  <si>
    <t>20001-000</t>
  </si>
  <si>
    <t>20100-000</t>
  </si>
  <si>
    <t>21000-000</t>
  </si>
  <si>
    <t>21010-000</t>
  </si>
  <si>
    <t>21011-000</t>
  </si>
  <si>
    <t>21011-001</t>
  </si>
  <si>
    <t>Output VAT Taxes - Intermediate (Uncollected)</t>
  </si>
  <si>
    <t>21011-002</t>
  </si>
  <si>
    <t>Output VAT Taxes - Prepaids</t>
  </si>
  <si>
    <t>21011-003</t>
  </si>
  <si>
    <t>Output VAT Taxes - Unpaid</t>
  </si>
  <si>
    <t>21011-004</t>
  </si>
  <si>
    <t>Output VAT Taxes - EC Purchase</t>
  </si>
  <si>
    <t>21011-009</t>
  </si>
  <si>
    <t>VAT Control</t>
  </si>
  <si>
    <t>21012-000</t>
  </si>
  <si>
    <t>21014-000</t>
  </si>
  <si>
    <t>21015-000</t>
  </si>
  <si>
    <t>21016-000</t>
  </si>
  <si>
    <t>21017-000</t>
  </si>
  <si>
    <t>21018-000</t>
  </si>
  <si>
    <t>21019-000</t>
  </si>
  <si>
    <t>21020-000</t>
  </si>
  <si>
    <t>21025-000</t>
  </si>
  <si>
    <t>21026-000</t>
  </si>
  <si>
    <t>21027-000</t>
  </si>
  <si>
    <t>21028-000</t>
  </si>
  <si>
    <t>21040-000</t>
  </si>
  <si>
    <t>21045-000</t>
  </si>
  <si>
    <t>21046-000</t>
  </si>
  <si>
    <t>21047-000</t>
  </si>
  <si>
    <t>21048-000</t>
  </si>
  <si>
    <t>21049-000</t>
  </si>
  <si>
    <t>21050-000</t>
  </si>
  <si>
    <t>21052-000</t>
  </si>
  <si>
    <t>21055-000</t>
  </si>
  <si>
    <t>21057-000</t>
  </si>
  <si>
    <t>21058-000</t>
  </si>
  <si>
    <t>21058-001</t>
  </si>
  <si>
    <t>Due To Affiliate UK Cash Transfers</t>
  </si>
  <si>
    <t>21058-002</t>
  </si>
  <si>
    <t>Due To Affiliate Other</t>
  </si>
  <si>
    <t>21059-000</t>
  </si>
  <si>
    <t>21060-000</t>
  </si>
  <si>
    <t>21060-001</t>
  </si>
  <si>
    <t>Due To GP</t>
  </si>
  <si>
    <t>21060-002</t>
  </si>
  <si>
    <t>Due To LP</t>
  </si>
  <si>
    <t>21061-000</t>
  </si>
  <si>
    <t>21062-000</t>
  </si>
  <si>
    <t>21063-000</t>
  </si>
  <si>
    <t>21063-002</t>
  </si>
  <si>
    <t>Due To Housing Authority</t>
  </si>
  <si>
    <t>21064-000</t>
  </si>
  <si>
    <t>21066-000</t>
  </si>
  <si>
    <t>21067-000</t>
  </si>
  <si>
    <t>21068-000</t>
  </si>
  <si>
    <t>21069-000</t>
  </si>
  <si>
    <t>21070-000</t>
  </si>
  <si>
    <t>21070-002</t>
  </si>
  <si>
    <t>Other Liabilities</t>
  </si>
  <si>
    <t>21071-000</t>
  </si>
  <si>
    <t>21072-000</t>
  </si>
  <si>
    <t>21073-000</t>
  </si>
  <si>
    <t>21999-999</t>
  </si>
  <si>
    <t>Total Accounts Payable</t>
  </si>
  <si>
    <t>22000-000</t>
  </si>
  <si>
    <t>22005-600</t>
  </si>
  <si>
    <t>Accrued Affiliated Mgmt Fee</t>
  </si>
  <si>
    <t>22006-002</t>
  </si>
  <si>
    <t>Accrued Expenses - Asset Management 2nd</t>
  </si>
  <si>
    <t>22006-003</t>
  </si>
  <si>
    <t>Accrued Expense - Asset Management 3rd</t>
  </si>
  <si>
    <t>22006-004</t>
  </si>
  <si>
    <t>Accrued Expense - Asset Management 4th</t>
  </si>
  <si>
    <t>22006-005</t>
  </si>
  <si>
    <t>Accrued Expense - Asset Management 5th</t>
  </si>
  <si>
    <t>22006-006</t>
  </si>
  <si>
    <t>Accrued Expense - Asset Management 6th</t>
  </si>
  <si>
    <t>22006-007</t>
  </si>
  <si>
    <t>Accrued Expense - Asset Management 7th</t>
  </si>
  <si>
    <t>22006-008</t>
  </si>
  <si>
    <t>Accrued Expense - Asset Management 8th</t>
  </si>
  <si>
    <t>22006-600</t>
  </si>
  <si>
    <t>Accrued CapEx</t>
  </si>
  <si>
    <t>22011-000</t>
  </si>
  <si>
    <t>22012-000</t>
  </si>
  <si>
    <t>22013-000</t>
  </si>
  <si>
    <t>22015-000</t>
  </si>
  <si>
    <t>22016-000</t>
  </si>
  <si>
    <t>22017-000</t>
  </si>
  <si>
    <t>22019-000</t>
  </si>
  <si>
    <t>22021-000</t>
  </si>
  <si>
    <t>22022-000</t>
  </si>
  <si>
    <t>22026-000</t>
  </si>
  <si>
    <t>22028-000</t>
  </si>
  <si>
    <t>22031-000</t>
  </si>
  <si>
    <t>22032-000</t>
  </si>
  <si>
    <t>22033-000</t>
  </si>
  <si>
    <t>22034-000</t>
  </si>
  <si>
    <t>22035-000</t>
  </si>
  <si>
    <t>22036-000</t>
  </si>
  <si>
    <t>22040-000</t>
  </si>
  <si>
    <t>22041-000</t>
  </si>
  <si>
    <t>22042-000</t>
  </si>
  <si>
    <t>22043-000</t>
  </si>
  <si>
    <t>22044-000</t>
  </si>
  <si>
    <t>22045-000</t>
  </si>
  <si>
    <t>22081-000</t>
  </si>
  <si>
    <t>22082-000</t>
  </si>
  <si>
    <t>22083-000</t>
  </si>
  <si>
    <t>22085-000</t>
  </si>
  <si>
    <t>22087-000</t>
  </si>
  <si>
    <t>22089-001</t>
  </si>
  <si>
    <t>Intracompany A/P Non-Cash Settled</t>
  </si>
  <si>
    <t>22089-009</t>
  </si>
  <si>
    <t>Yardi Clearing Account</t>
  </si>
  <si>
    <t>22090-000</t>
  </si>
  <si>
    <t>22095-000</t>
  </si>
  <si>
    <t>22110-000</t>
  </si>
  <si>
    <t>22120-000</t>
  </si>
  <si>
    <t>22122-000</t>
  </si>
  <si>
    <t>22130-000</t>
  </si>
  <si>
    <t>22140-000</t>
  </si>
  <si>
    <t>22150-000</t>
  </si>
  <si>
    <t>22152-000</t>
  </si>
  <si>
    <t>22154-000</t>
  </si>
  <si>
    <t>22155-000</t>
  </si>
  <si>
    <t>22156-000</t>
  </si>
  <si>
    <t>22157-000</t>
  </si>
  <si>
    <t>22158-000</t>
  </si>
  <si>
    <t>22159-000</t>
  </si>
  <si>
    <t>22160-000</t>
  </si>
  <si>
    <t>22161-000</t>
  </si>
  <si>
    <t>22170-000</t>
  </si>
  <si>
    <t>22180-000</t>
  </si>
  <si>
    <t>22210-000</t>
  </si>
  <si>
    <t>22215-000</t>
  </si>
  <si>
    <t>22216-000</t>
  </si>
  <si>
    <t>22217-000</t>
  </si>
  <si>
    <t>22220-000</t>
  </si>
  <si>
    <t>22225-000</t>
  </si>
  <si>
    <t>22228-000</t>
  </si>
  <si>
    <t>22230-000</t>
  </si>
  <si>
    <t>22235-000</t>
  </si>
  <si>
    <t>22236-000</t>
  </si>
  <si>
    <t>22237-000</t>
  </si>
  <si>
    <t>22238-000</t>
  </si>
  <si>
    <t>22300-000</t>
  </si>
  <si>
    <t>22400-000</t>
  </si>
  <si>
    <t>22403-000</t>
  </si>
  <si>
    <t>22410-000</t>
  </si>
  <si>
    <t>22999-999</t>
  </si>
  <si>
    <t>Total Accrued Liabilities</t>
  </si>
  <si>
    <t>23000-000</t>
  </si>
  <si>
    <t>23010-000</t>
  </si>
  <si>
    <t>23010-001</t>
  </si>
  <si>
    <t>Prepaid Rent - Contra</t>
  </si>
  <si>
    <t>23010-002</t>
  </si>
  <si>
    <t>Prepaid Rent - Retail/Commerical</t>
  </si>
  <si>
    <t>23010-003</t>
  </si>
  <si>
    <t>Advance Payment Taxable - UK</t>
  </si>
  <si>
    <t>23010-004</t>
  </si>
  <si>
    <t>Advance Payment Non-Taxable</t>
  </si>
  <si>
    <t>23010-005</t>
  </si>
  <si>
    <t>Advance Payment Furniture - Mexico Only</t>
  </si>
  <si>
    <t>23010-006</t>
  </si>
  <si>
    <t>Prepaid Rent - Last Month Rent</t>
  </si>
  <si>
    <t>23010-007</t>
  </si>
  <si>
    <t>Advance Payment Parking - Mexico Only</t>
  </si>
  <si>
    <t>23010-008</t>
  </si>
  <si>
    <t>Prepaid Garage</t>
  </si>
  <si>
    <t>23010-009</t>
  </si>
  <si>
    <t>Prepaid Carport</t>
  </si>
  <si>
    <t>23010-010</t>
  </si>
  <si>
    <t>Deposits Unidentified - Mexico Only</t>
  </si>
  <si>
    <t>23011-000</t>
  </si>
  <si>
    <t>23012-000</t>
  </si>
  <si>
    <t>23015-000</t>
  </si>
  <si>
    <t>23020-000</t>
  </si>
  <si>
    <t>23023-000</t>
  </si>
  <si>
    <t>23025-000</t>
  </si>
  <si>
    <t>23028-000</t>
  </si>
  <si>
    <t>23030-000</t>
  </si>
  <si>
    <t>23030-005</t>
  </si>
  <si>
    <t>Key Deposits - Mexico Only</t>
  </si>
  <si>
    <t>23030-006</t>
  </si>
  <si>
    <t>Security Deposit - Furniture-Mexico Only</t>
  </si>
  <si>
    <t>23030-007</t>
  </si>
  <si>
    <t>Secuirty Deposit - Parking-Mexico Only</t>
  </si>
  <si>
    <t>23030-008</t>
  </si>
  <si>
    <t>Security Deposit - Garage Mexico only</t>
  </si>
  <si>
    <t>23030-009</t>
  </si>
  <si>
    <t>Security Deposit - Carport</t>
  </si>
  <si>
    <t>23032-000</t>
  </si>
  <si>
    <t>23033-000</t>
  </si>
  <si>
    <t>23040-000</t>
  </si>
  <si>
    <t>23042-000</t>
  </si>
  <si>
    <t>23043-000</t>
  </si>
  <si>
    <t>23044-000</t>
  </si>
  <si>
    <t>23045-000</t>
  </si>
  <si>
    <t>23046-005</t>
  </si>
  <si>
    <t>Holding Deposits-Parkmerced (Do not Use)</t>
  </si>
  <si>
    <t>23050-000</t>
  </si>
  <si>
    <t>23055-000</t>
  </si>
  <si>
    <t>23056-000</t>
  </si>
  <si>
    <t>23057-000</t>
  </si>
  <si>
    <t>23060-000</t>
  </si>
  <si>
    <t>23070-000</t>
  </si>
  <si>
    <t>23075-000</t>
  </si>
  <si>
    <t>23080-000</t>
  </si>
  <si>
    <t>23082-000</t>
  </si>
  <si>
    <t>23085-000</t>
  </si>
  <si>
    <t>23086-000</t>
  </si>
  <si>
    <t>23090-000</t>
  </si>
  <si>
    <t>23100-000</t>
  </si>
  <si>
    <t>23105-000</t>
  </si>
  <si>
    <t>23110-000</t>
  </si>
  <si>
    <t>23115-000</t>
  </si>
  <si>
    <t>23120-000</t>
  </si>
  <si>
    <t>23130-000</t>
  </si>
  <si>
    <t>23131-000</t>
  </si>
  <si>
    <t>23500-011</t>
  </si>
  <si>
    <t>SC (Adv) Heating</t>
  </si>
  <si>
    <t>23500-012</t>
  </si>
  <si>
    <t>SC (Adv) Electricity</t>
  </si>
  <si>
    <t>23500-013</t>
  </si>
  <si>
    <t>SC (Adv) Other Servicecharges</t>
  </si>
  <si>
    <t>23500-014</t>
  </si>
  <si>
    <t>SC (Adv) Servicecharges Settlement</t>
  </si>
  <si>
    <t>23500-021</t>
  </si>
  <si>
    <t>SC (Adv) Heating  (Commercial)</t>
  </si>
  <si>
    <t>23500-022</t>
  </si>
  <si>
    <t>SC (Adv) Electricity (Commercial)</t>
  </si>
  <si>
    <t>23500-023</t>
  </si>
  <si>
    <t>SC (Adv) Other Servicecharges (Commercial)</t>
  </si>
  <si>
    <t>23500-024</t>
  </si>
  <si>
    <t>SC (Adv) Servicecharges Settlement Commercial</t>
  </si>
  <si>
    <t>23500-100</t>
  </si>
  <si>
    <t>SC (Exp) Heating</t>
  </si>
  <si>
    <t>23500-104</t>
  </si>
  <si>
    <t>SC (Exp) Heating (EU Only) (Do Not Use)</t>
  </si>
  <si>
    <t>23500-105</t>
  </si>
  <si>
    <t>SC (Exp) Electricity</t>
  </si>
  <si>
    <t>23500-107</t>
  </si>
  <si>
    <t>SC (Exp) Water (UK Only)</t>
  </si>
  <si>
    <t>23500-110</t>
  </si>
  <si>
    <t>SC (Exp) Security</t>
  </si>
  <si>
    <t>23500-111</t>
  </si>
  <si>
    <t>SC (Exp) Security Residential</t>
  </si>
  <si>
    <t>23500-112</t>
  </si>
  <si>
    <t>SC (Exp) Security Commercial</t>
  </si>
  <si>
    <t>23500-115</t>
  </si>
  <si>
    <t>SC (Exp) Window Insurance</t>
  </si>
  <si>
    <t>23500-120</t>
  </si>
  <si>
    <t>SC (Exp) Ventilation / Airco</t>
  </si>
  <si>
    <t>23500-125</t>
  </si>
  <si>
    <t>SC (Exp) Replacing lamps inside</t>
  </si>
  <si>
    <t>23500-130</t>
  </si>
  <si>
    <t>SC (Exp) Replacing lamps outside</t>
  </si>
  <si>
    <t>23500-135</t>
  </si>
  <si>
    <t>SC (Exp) Elevators</t>
  </si>
  <si>
    <t>23500-140</t>
  </si>
  <si>
    <t>SC (Exp) Tourniquets</t>
  </si>
  <si>
    <t>23500-145</t>
  </si>
  <si>
    <t>SC (Exp) Small Maintenance</t>
  </si>
  <si>
    <t>23500-150</t>
  </si>
  <si>
    <t>SC (Exp) Boiler Rental Charge</t>
  </si>
  <si>
    <t>23500-155</t>
  </si>
  <si>
    <t>SC (Exp) Cleaning common Area inside</t>
  </si>
  <si>
    <t>23500-157</t>
  </si>
  <si>
    <t>SC (Exp) Landscaping (UK Only)</t>
  </si>
  <si>
    <t>23500-160</t>
  </si>
  <si>
    <t>SC (Exp) Cleaning common Area outside</t>
  </si>
  <si>
    <t>23500-165</t>
  </si>
  <si>
    <t>SC (Exp) Drain cleaning</t>
  </si>
  <si>
    <t>23500-170</t>
  </si>
  <si>
    <t>SC (Exp) Waste removal</t>
  </si>
  <si>
    <t>23500-175</t>
  </si>
  <si>
    <t>SC (Exp) Pest Control</t>
  </si>
  <si>
    <t>23500-180</t>
  </si>
  <si>
    <t>SC (Exp) Window cleaning</t>
  </si>
  <si>
    <t>23500-182</t>
  </si>
  <si>
    <t>SC (Exp) Other Service (UK Only)</t>
  </si>
  <si>
    <t>23500-185</t>
  </si>
  <si>
    <t>SC (Exp) Adm fee 1%</t>
  </si>
  <si>
    <t>23500-190</t>
  </si>
  <si>
    <t>SC (Exp) Adm fee 2%</t>
  </si>
  <si>
    <t>23500-195</t>
  </si>
  <si>
    <t>SC (Exp) Adm fee 5%</t>
  </si>
  <si>
    <t>23899-999</t>
  </si>
  <si>
    <t>Total Other Current Liabilities</t>
  </si>
  <si>
    <t>23999-999</t>
  </si>
  <si>
    <t>Total Current Liabilities</t>
  </si>
  <si>
    <t>24000-000</t>
  </si>
  <si>
    <t>24010-000</t>
  </si>
  <si>
    <t>24015-000</t>
  </si>
  <si>
    <t>24015-600</t>
  </si>
  <si>
    <t>Principal Refi - 1st Mortgage</t>
  </si>
  <si>
    <t>24020-000</t>
  </si>
  <si>
    <t>24025-000</t>
  </si>
  <si>
    <t>24025-600</t>
  </si>
  <si>
    <t>Principal Refi - 2nd Mortgage</t>
  </si>
  <si>
    <t>24030-000</t>
  </si>
  <si>
    <t>24035-000</t>
  </si>
  <si>
    <t>24035-600</t>
  </si>
  <si>
    <t>Principal Refi - 3rd Mortgage</t>
  </si>
  <si>
    <t>24036-000</t>
  </si>
  <si>
    <t>24037-000</t>
  </si>
  <si>
    <t>24040-000</t>
  </si>
  <si>
    <t>24041-000</t>
  </si>
  <si>
    <t>24045-000</t>
  </si>
  <si>
    <t>24046-000</t>
  </si>
  <si>
    <t>24050-000</t>
  </si>
  <si>
    <t>24050-600</t>
  </si>
  <si>
    <t>Principal Refi - Mezz Debt</t>
  </si>
  <si>
    <t>24051-000</t>
  </si>
  <si>
    <t>24051-600</t>
  </si>
  <si>
    <t>Principal Red 2nd Mezz Debt</t>
  </si>
  <si>
    <t>24051-601</t>
  </si>
  <si>
    <t>Principal Refi - 2nd Mezz Debt</t>
  </si>
  <si>
    <t>24052-000</t>
  </si>
  <si>
    <t>24052-600</t>
  </si>
  <si>
    <t>Principal Red Mezz Debt</t>
  </si>
  <si>
    <t>24055-000</t>
  </si>
  <si>
    <t>24060-000</t>
  </si>
  <si>
    <t>24061-000</t>
  </si>
  <si>
    <t>24065-000</t>
  </si>
  <si>
    <t>24070-000</t>
  </si>
  <si>
    <t>24071-000</t>
  </si>
  <si>
    <t>24072-000</t>
  </si>
  <si>
    <t>24073-000</t>
  </si>
  <si>
    <t>24075-000</t>
  </si>
  <si>
    <t>24080-000</t>
  </si>
  <si>
    <t>24085-000</t>
  </si>
  <si>
    <t>24090-000</t>
  </si>
  <si>
    <t>24095-000</t>
  </si>
  <si>
    <t>24100-000</t>
  </si>
  <si>
    <t>24100-600</t>
  </si>
  <si>
    <t>Below Mrk FAS 141</t>
  </si>
  <si>
    <t>24101-000</t>
  </si>
  <si>
    <t>24101-600</t>
  </si>
  <si>
    <t>Below Mkt Lse Val FAS 141</t>
  </si>
  <si>
    <t>24102-600</t>
  </si>
  <si>
    <t>Lease Payable - Initial</t>
  </si>
  <si>
    <t>24103-600</t>
  </si>
  <si>
    <t>Lease Payable Accretion</t>
  </si>
  <si>
    <t>24104-600</t>
  </si>
  <si>
    <t>Lease Payable Payment</t>
  </si>
  <si>
    <t>24105-000</t>
  </si>
  <si>
    <t>24110-000</t>
  </si>
  <si>
    <t>24111-000</t>
  </si>
  <si>
    <t>24112-000</t>
  </si>
  <si>
    <t>24113-000</t>
  </si>
  <si>
    <t>24114-000</t>
  </si>
  <si>
    <t>24115-000</t>
  </si>
  <si>
    <t>24116-000</t>
  </si>
  <si>
    <t>24117-000</t>
  </si>
  <si>
    <t>24118-000</t>
  </si>
  <si>
    <t>24119-000</t>
  </si>
  <si>
    <t>24999-999</t>
  </si>
  <si>
    <t>Total Long Term Liabilities</t>
  </si>
  <si>
    <t>25101-000</t>
  </si>
  <si>
    <t>25102-000</t>
  </si>
  <si>
    <t>25103-000</t>
  </si>
  <si>
    <t>25104-000</t>
  </si>
  <si>
    <t>25105-000</t>
  </si>
  <si>
    <t>25106-000</t>
  </si>
  <si>
    <t>25108-000</t>
  </si>
  <si>
    <t>25108-001</t>
  </si>
  <si>
    <t>Deferred Parking Revenue SL - Current Term</t>
  </si>
  <si>
    <t>25108-002</t>
  </si>
  <si>
    <t>Deferred Parking Revenue SL - Future Term</t>
  </si>
  <si>
    <t>25109-000</t>
  </si>
  <si>
    <t>25109-001</t>
  </si>
  <si>
    <t>Straight-Line Adj Gross Rev - Cur Term</t>
  </si>
  <si>
    <t>25109-002</t>
  </si>
  <si>
    <t>Straight-Line Adj Gross Rev - Fut Term</t>
  </si>
  <si>
    <t>25110-001</t>
  </si>
  <si>
    <t>Straight-Line Adj Svc Fee - Cur Term</t>
  </si>
  <si>
    <t>25110-002</t>
  </si>
  <si>
    <t>Straight-Line Adj Svc Fee - Fut Term</t>
  </si>
  <si>
    <t>25111-001</t>
  </si>
  <si>
    <t>Straight-Line Adj Misc - Cur Term</t>
  </si>
  <si>
    <t>25111-002</t>
  </si>
  <si>
    <t>Straight-Line Adj Misc - Fut Term</t>
  </si>
  <si>
    <t>25112-000</t>
  </si>
  <si>
    <t>25113-000</t>
  </si>
  <si>
    <t>25114-000</t>
  </si>
  <si>
    <t>25199-999</t>
  </si>
  <si>
    <t>Student Deferred Revenue</t>
  </si>
  <si>
    <t>29999-999</t>
  </si>
  <si>
    <t>TOTAL LIABILITIES</t>
  </si>
  <si>
    <t>30000-000</t>
  </si>
  <si>
    <t>31011-000</t>
  </si>
  <si>
    <t>31011-100</t>
  </si>
  <si>
    <t>Minority Interest - Preferred SH</t>
  </si>
  <si>
    <t>31015-000</t>
  </si>
  <si>
    <t>31016-000</t>
  </si>
  <si>
    <t>31017-000</t>
  </si>
  <si>
    <t>31018-001</t>
  </si>
  <si>
    <t>Investments - Ordinary Shares</t>
  </si>
  <si>
    <t>31018-002</t>
  </si>
  <si>
    <t>Investments - Preference Shares</t>
  </si>
  <si>
    <t>31018-003</t>
  </si>
  <si>
    <t>Investments - Share Premium</t>
  </si>
  <si>
    <t>31018-004</t>
  </si>
  <si>
    <t>Investments - Ordinary Units</t>
  </si>
  <si>
    <t>31018-005</t>
  </si>
  <si>
    <t>Investments - Carried Interest Units</t>
  </si>
  <si>
    <t>31019-001</t>
  </si>
  <si>
    <t>Revaluation Reserve</t>
  </si>
  <si>
    <t>31019-002</t>
  </si>
  <si>
    <t>Other Reserve</t>
  </si>
  <si>
    <t>31020-000</t>
  </si>
  <si>
    <t>31021-000</t>
  </si>
  <si>
    <t>31022-000</t>
  </si>
  <si>
    <t>31023-000</t>
  </si>
  <si>
    <t>31024-000</t>
  </si>
  <si>
    <t>31024-001</t>
  </si>
  <si>
    <t>Capital 1</t>
  </si>
  <si>
    <t>31024-002</t>
  </si>
  <si>
    <t>Capital 2</t>
  </si>
  <si>
    <t>31024-003</t>
  </si>
  <si>
    <t>Capital 3</t>
  </si>
  <si>
    <t>31024-004</t>
  </si>
  <si>
    <t>Capital 4</t>
  </si>
  <si>
    <t>31024-005</t>
  </si>
  <si>
    <t>Capital 5</t>
  </si>
  <si>
    <t>31030-000</t>
  </si>
  <si>
    <t>31031-000</t>
  </si>
  <si>
    <t>31032-000</t>
  </si>
  <si>
    <t>31035-000</t>
  </si>
  <si>
    <t>31036-000</t>
  </si>
  <si>
    <t>31037-000</t>
  </si>
  <si>
    <t>31038-000</t>
  </si>
  <si>
    <t>31039-000</t>
  </si>
  <si>
    <t>31040-000</t>
  </si>
  <si>
    <t>31041-000</t>
  </si>
  <si>
    <t>31042-000</t>
  </si>
  <si>
    <t>31043-000</t>
  </si>
  <si>
    <t>31044-000</t>
  </si>
  <si>
    <t>31045-000</t>
  </si>
  <si>
    <t>31046-000</t>
  </si>
  <si>
    <t>31047-000</t>
  </si>
  <si>
    <t>31048-000</t>
  </si>
  <si>
    <t>31049-000</t>
  </si>
  <si>
    <t>31050-000</t>
  </si>
  <si>
    <t>31051-000</t>
  </si>
  <si>
    <t>31052-000</t>
  </si>
  <si>
    <t>31053-000</t>
  </si>
  <si>
    <t>31054-000</t>
  </si>
  <si>
    <t>31056-000</t>
  </si>
  <si>
    <t>31057-000</t>
  </si>
  <si>
    <t>31058-000</t>
  </si>
  <si>
    <t>31059-000</t>
  </si>
  <si>
    <t>31060-000</t>
  </si>
  <si>
    <t>31061-000</t>
  </si>
  <si>
    <t>31062-000</t>
  </si>
  <si>
    <t>31063-000</t>
  </si>
  <si>
    <t>31064-000</t>
  </si>
  <si>
    <t>31065-000</t>
  </si>
  <si>
    <t>31066-000</t>
  </si>
  <si>
    <t>31067-000</t>
  </si>
  <si>
    <t>31068-000</t>
  </si>
  <si>
    <t>31069-000</t>
  </si>
  <si>
    <t>31070-000</t>
  </si>
  <si>
    <t>31071-000</t>
  </si>
  <si>
    <t>31072-000</t>
  </si>
  <si>
    <t>31073-000</t>
  </si>
  <si>
    <t>31074-000</t>
  </si>
  <si>
    <t>31075-000</t>
  </si>
  <si>
    <t>31076-000</t>
  </si>
  <si>
    <t>31077-000</t>
  </si>
  <si>
    <t>31078-000</t>
  </si>
  <si>
    <t>31079-000</t>
  </si>
  <si>
    <t>31080-000</t>
  </si>
  <si>
    <t>31081-000</t>
  </si>
  <si>
    <t>31082-000</t>
  </si>
  <si>
    <t>32000-001</t>
  </si>
  <si>
    <t>Contributions  Current Year</t>
  </si>
  <si>
    <t>32010-000</t>
  </si>
  <si>
    <t>32011-000</t>
  </si>
  <si>
    <t>32012-000</t>
  </si>
  <si>
    <t>32013-000</t>
  </si>
  <si>
    <t>32015-000</t>
  </si>
  <si>
    <t>32016-000</t>
  </si>
  <si>
    <t>32017-000</t>
  </si>
  <si>
    <t>32020-000</t>
  </si>
  <si>
    <t>32025-000</t>
  </si>
  <si>
    <t>32026-000</t>
  </si>
  <si>
    <t>32027-000</t>
  </si>
  <si>
    <t>32030-000</t>
  </si>
  <si>
    <t>32040-000</t>
  </si>
  <si>
    <t>32041-000</t>
  </si>
  <si>
    <t>32042-000</t>
  </si>
  <si>
    <t>32043-000</t>
  </si>
  <si>
    <t>32044-000</t>
  </si>
  <si>
    <t>32045-000</t>
  </si>
  <si>
    <t>32046-000</t>
  </si>
  <si>
    <t>32047-000</t>
  </si>
  <si>
    <t>32048-000</t>
  </si>
  <si>
    <t>32049-000</t>
  </si>
  <si>
    <t>32050-000</t>
  </si>
  <si>
    <t>32051-000</t>
  </si>
  <si>
    <t>32052-000</t>
  </si>
  <si>
    <t>32053-000</t>
  </si>
  <si>
    <t>32054-000</t>
  </si>
  <si>
    <t>32056-000</t>
  </si>
  <si>
    <t>32057-000</t>
  </si>
  <si>
    <t>32058-000</t>
  </si>
  <si>
    <t>32059-000</t>
  </si>
  <si>
    <t>32060-000</t>
  </si>
  <si>
    <t>32061-000</t>
  </si>
  <si>
    <t>32062-000</t>
  </si>
  <si>
    <t>32063-000</t>
  </si>
  <si>
    <t>32064-000</t>
  </si>
  <si>
    <t>32065-000</t>
  </si>
  <si>
    <t>32066-000</t>
  </si>
  <si>
    <t>32067-000</t>
  </si>
  <si>
    <t>32068-000</t>
  </si>
  <si>
    <t>32069-000</t>
  </si>
  <si>
    <t>32070-000</t>
  </si>
  <si>
    <t>32071-000</t>
  </si>
  <si>
    <t>32072-000</t>
  </si>
  <si>
    <t>32073-000</t>
  </si>
  <si>
    <t>32074-000</t>
  </si>
  <si>
    <t>32075-000</t>
  </si>
  <si>
    <t>32075-001</t>
  </si>
  <si>
    <t>Contributions - TIC 1</t>
  </si>
  <si>
    <t>32075-002</t>
  </si>
  <si>
    <t>Contributions - TIC 2</t>
  </si>
  <si>
    <t>32075-003</t>
  </si>
  <si>
    <t>Contributions - TIC 3</t>
  </si>
  <si>
    <t>32075-004</t>
  </si>
  <si>
    <t>Contributions - TIC 4</t>
  </si>
  <si>
    <t>32075-005</t>
  </si>
  <si>
    <t>Contributions - TIC 5</t>
  </si>
  <si>
    <t>32075-006</t>
  </si>
  <si>
    <t>Contributions - TIC 6</t>
  </si>
  <si>
    <t>32075-007</t>
  </si>
  <si>
    <t>Contributions - TIC 7</t>
  </si>
  <si>
    <t>32075-008</t>
  </si>
  <si>
    <t>Contributions - TIC 8</t>
  </si>
  <si>
    <t>32075-009</t>
  </si>
  <si>
    <t>Contributions - TIC 9</t>
  </si>
  <si>
    <t>32075-010</t>
  </si>
  <si>
    <t>Contributions - TIC 10</t>
  </si>
  <si>
    <t>32075-011</t>
  </si>
  <si>
    <t>Contributions - TIC 11</t>
  </si>
  <si>
    <t>32075-012</t>
  </si>
  <si>
    <t>Contributions - TIC 12</t>
  </si>
  <si>
    <t>32075-013</t>
  </si>
  <si>
    <t>Contributions - TIC 13</t>
  </si>
  <si>
    <t>32075-014</t>
  </si>
  <si>
    <t>Contributions - TIC 14</t>
  </si>
  <si>
    <t>32075-015</t>
  </si>
  <si>
    <t>Contributions - TIC 15</t>
  </si>
  <si>
    <t>32075-016</t>
  </si>
  <si>
    <t>Contributions - TIC 16</t>
  </si>
  <si>
    <t>32075-017</t>
  </si>
  <si>
    <t>Contributions - TIC 17</t>
  </si>
  <si>
    <t>32075-018</t>
  </si>
  <si>
    <t>Contributions - TIC 18</t>
  </si>
  <si>
    <t>32075-019</t>
  </si>
  <si>
    <t>Contributions - TIC 19</t>
  </si>
  <si>
    <t>32075-020</t>
  </si>
  <si>
    <t>Contributions - TIC 20</t>
  </si>
  <si>
    <t>32075-021</t>
  </si>
  <si>
    <t>Contributions - TIC 21</t>
  </si>
  <si>
    <t>32075-022</t>
  </si>
  <si>
    <t>Contributions - TIC 22</t>
  </si>
  <si>
    <t>32075-023</t>
  </si>
  <si>
    <t>Contributions - TIC 23</t>
  </si>
  <si>
    <t>32075-024</t>
  </si>
  <si>
    <t>Contributions - TIC 24</t>
  </si>
  <si>
    <t>32075-025</t>
  </si>
  <si>
    <t>Contributions - TIC 25</t>
  </si>
  <si>
    <t>32075-026</t>
  </si>
  <si>
    <t>Contributions - TIC 26</t>
  </si>
  <si>
    <t>32075-027</t>
  </si>
  <si>
    <t>Contributions - TIC 27</t>
  </si>
  <si>
    <t>32075-028</t>
  </si>
  <si>
    <t>Contributions - TIC 28</t>
  </si>
  <si>
    <t>32075-029</t>
  </si>
  <si>
    <t>Contributions - TIC 29</t>
  </si>
  <si>
    <t>32075-030</t>
  </si>
  <si>
    <t>Contributions - TIC 30</t>
  </si>
  <si>
    <t>32075-031</t>
  </si>
  <si>
    <t>Contributions - TIC 31</t>
  </si>
  <si>
    <t>32075-032</t>
  </si>
  <si>
    <t>Contributions - TIC 32</t>
  </si>
  <si>
    <t>32075-033</t>
  </si>
  <si>
    <t>Contributions - TIC 33</t>
  </si>
  <si>
    <t>32075-034</t>
  </si>
  <si>
    <t>32075-035</t>
  </si>
  <si>
    <t>32075-036</t>
  </si>
  <si>
    <t>32075-037</t>
  </si>
  <si>
    <t>32075-038</t>
  </si>
  <si>
    <t>Contributions - TIC 38</t>
  </si>
  <si>
    <t>32075-039</t>
  </si>
  <si>
    <t>Contributions - TIC 39</t>
  </si>
  <si>
    <t>32075-040</t>
  </si>
  <si>
    <t>Contributions - TIC 40</t>
  </si>
  <si>
    <t>32075-041</t>
  </si>
  <si>
    <t>Contributions - TIC 41</t>
  </si>
  <si>
    <t>32075-042</t>
  </si>
  <si>
    <t>Contributions - TIC 42</t>
  </si>
  <si>
    <t>32075-043</t>
  </si>
  <si>
    <t>Contributions - TIC 43</t>
  </si>
  <si>
    <t>32075-044</t>
  </si>
  <si>
    <t>Contributions - TIC 44</t>
  </si>
  <si>
    <t>32075-045</t>
  </si>
  <si>
    <t>Contributions - TIC 45</t>
  </si>
  <si>
    <t>32075-046</t>
  </si>
  <si>
    <t>Contributions - TIC 46</t>
  </si>
  <si>
    <t>32075-047</t>
  </si>
  <si>
    <t>Contributions - TIC 47</t>
  </si>
  <si>
    <t>32075-048</t>
  </si>
  <si>
    <t>Contributions - TIC 48</t>
  </si>
  <si>
    <t>32075-049</t>
  </si>
  <si>
    <t>Contributions - TIC 49</t>
  </si>
  <si>
    <t>32075-050</t>
  </si>
  <si>
    <t>Contributions - TIC 50</t>
  </si>
  <si>
    <t>32075-051</t>
  </si>
  <si>
    <t>Contributions - TIC 51</t>
  </si>
  <si>
    <t>32075-052</t>
  </si>
  <si>
    <t>Contributions - TIC 52</t>
  </si>
  <si>
    <t>32075-053</t>
  </si>
  <si>
    <t>Contributions - TIC 53</t>
  </si>
  <si>
    <t>32075-054</t>
  </si>
  <si>
    <t>Contributions - TIC 54</t>
  </si>
  <si>
    <t>32075-055</t>
  </si>
  <si>
    <t>Contributions - TIC 55</t>
  </si>
  <si>
    <t>32075-056</t>
  </si>
  <si>
    <t>Contributions - TIC 56</t>
  </si>
  <si>
    <t>32075-057</t>
  </si>
  <si>
    <t>Contributions - TIC 57</t>
  </si>
  <si>
    <t>32075-058</t>
  </si>
  <si>
    <t>Contributions - TIC 58</t>
  </si>
  <si>
    <t>32075-059</t>
  </si>
  <si>
    <t>Contributions - TIC 59</t>
  </si>
  <si>
    <t>32075-060</t>
  </si>
  <si>
    <t>Contributions - TIC 60</t>
  </si>
  <si>
    <t>32075-061</t>
  </si>
  <si>
    <t>Contributions - TIC 61</t>
  </si>
  <si>
    <t>32075-062</t>
  </si>
  <si>
    <t>Contributions - TIC 62</t>
  </si>
  <si>
    <t>32075-063</t>
  </si>
  <si>
    <t>Contributions - TIC 63</t>
  </si>
  <si>
    <t>32075-064</t>
  </si>
  <si>
    <t>Contributions - TIC 64</t>
  </si>
  <si>
    <t>32075-065</t>
  </si>
  <si>
    <t>Contributions - TIC 65</t>
  </si>
  <si>
    <t>32075-066</t>
  </si>
  <si>
    <t>Contributions - TIC 66</t>
  </si>
  <si>
    <t>32075-067</t>
  </si>
  <si>
    <t>Contributions - TIC 67</t>
  </si>
  <si>
    <t>32075-068</t>
  </si>
  <si>
    <t>Contributions - TIC 68</t>
  </si>
  <si>
    <t>32075-069</t>
  </si>
  <si>
    <t>Contributions - TIC 69</t>
  </si>
  <si>
    <t>32075-070</t>
  </si>
  <si>
    <t>Contributions - TIC 70</t>
  </si>
  <si>
    <t>32075-071</t>
  </si>
  <si>
    <t>Contributions - TIC 71</t>
  </si>
  <si>
    <t>32075-072</t>
  </si>
  <si>
    <t>Contributions - TIC 72</t>
  </si>
  <si>
    <t>32075-073</t>
  </si>
  <si>
    <t>Contributions - TIC 73</t>
  </si>
  <si>
    <t>32075-074</t>
  </si>
  <si>
    <t>Contributions - TIC 74</t>
  </si>
  <si>
    <t>32075-075</t>
  </si>
  <si>
    <t>Contributions - TIC 75</t>
  </si>
  <si>
    <t>32075-076</t>
  </si>
  <si>
    <t>Contributions - TIC 76</t>
  </si>
  <si>
    <t>32075-077</t>
  </si>
  <si>
    <t>Contributions - TIC 77</t>
  </si>
  <si>
    <t>32075-078</t>
  </si>
  <si>
    <t>Contributions - TIC 78</t>
  </si>
  <si>
    <t>32075-079</t>
  </si>
  <si>
    <t>Contributions - TIC 79</t>
  </si>
  <si>
    <t>32075-080</t>
  </si>
  <si>
    <t>Contributions - TIC 80</t>
  </si>
  <si>
    <t>32075-081</t>
  </si>
  <si>
    <t>Contributions - TIC 81</t>
  </si>
  <si>
    <t>32075-082</t>
  </si>
  <si>
    <t>Contributions - TIC 82</t>
  </si>
  <si>
    <t>32075-083</t>
  </si>
  <si>
    <t>Contributions - TIC 83</t>
  </si>
  <si>
    <t>32075-084</t>
  </si>
  <si>
    <t>Contributions - TIC 84</t>
  </si>
  <si>
    <t>32075-085</t>
  </si>
  <si>
    <t>Contributions - TIC 85</t>
  </si>
  <si>
    <t>32075-086</t>
  </si>
  <si>
    <t>Contributions - TIC 86</t>
  </si>
  <si>
    <t>32075-087</t>
  </si>
  <si>
    <t>Contributions - TIC 87</t>
  </si>
  <si>
    <t>32075-088</t>
  </si>
  <si>
    <t>Contributions - TIC 88</t>
  </si>
  <si>
    <t>32075-089</t>
  </si>
  <si>
    <t>Contributions - TIC 89</t>
  </si>
  <si>
    <t>32075-090</t>
  </si>
  <si>
    <t>Contributions - TIC 90</t>
  </si>
  <si>
    <t>32075-091</t>
  </si>
  <si>
    <t>Contributions - TIC 91</t>
  </si>
  <si>
    <t>32075-092</t>
  </si>
  <si>
    <t>Contributions - TIC 92</t>
  </si>
  <si>
    <t>32075-093</t>
  </si>
  <si>
    <t>Contributions - TIC 93</t>
  </si>
  <si>
    <t>32076-000</t>
  </si>
  <si>
    <t>32077-000</t>
  </si>
  <si>
    <t>32078-000</t>
  </si>
  <si>
    <t>32079-000</t>
  </si>
  <si>
    <t>32080-000</t>
  </si>
  <si>
    <t>32081-000</t>
  </si>
  <si>
    <t>32082-000</t>
  </si>
  <si>
    <t>32083-000</t>
  </si>
  <si>
    <t>32084-000</t>
  </si>
  <si>
    <t>32085-000</t>
  </si>
  <si>
    <t>32086-000</t>
  </si>
  <si>
    <t>32087-000</t>
  </si>
  <si>
    <t>32088-000</t>
  </si>
  <si>
    <t>32089-000</t>
  </si>
  <si>
    <t>32090-000</t>
  </si>
  <si>
    <t>32091-000</t>
  </si>
  <si>
    <t>32092-000</t>
  </si>
  <si>
    <t>32093-000</t>
  </si>
  <si>
    <t>32094-000</t>
  </si>
  <si>
    <t>32095-000</t>
  </si>
  <si>
    <t>32096-000</t>
  </si>
  <si>
    <t>32097-000</t>
  </si>
  <si>
    <t>32098-000</t>
  </si>
  <si>
    <t>32099-000</t>
  </si>
  <si>
    <t>32100-000</t>
  </si>
  <si>
    <t>32101-000</t>
  </si>
  <si>
    <t>32102-000</t>
  </si>
  <si>
    <t>32103-000</t>
  </si>
  <si>
    <t>32104-000</t>
  </si>
  <si>
    <t>32105-000</t>
  </si>
  <si>
    <t>32106-000</t>
  </si>
  <si>
    <t>32107-000</t>
  </si>
  <si>
    <t>32108-000</t>
  </si>
  <si>
    <t>32109-000</t>
  </si>
  <si>
    <t>32110-000</t>
  </si>
  <si>
    <t>32111-000</t>
  </si>
  <si>
    <t>32112-000</t>
  </si>
  <si>
    <t>32113-000</t>
  </si>
  <si>
    <t>32114-000</t>
  </si>
  <si>
    <t>32115-000</t>
  </si>
  <si>
    <t>32116-000</t>
  </si>
  <si>
    <t>32117-000</t>
  </si>
  <si>
    <t>32118-000</t>
  </si>
  <si>
    <t>32119-000</t>
  </si>
  <si>
    <t>32120-000</t>
  </si>
  <si>
    <t>32121-000</t>
  </si>
  <si>
    <t>32122-000</t>
  </si>
  <si>
    <t>32123-000</t>
  </si>
  <si>
    <t>32124-000</t>
  </si>
  <si>
    <t>32125-000</t>
  </si>
  <si>
    <t>32126-000</t>
  </si>
  <si>
    <t>32127-000</t>
  </si>
  <si>
    <t>32128-000</t>
  </si>
  <si>
    <t>32129-000</t>
  </si>
  <si>
    <t>32130-000</t>
  </si>
  <si>
    <t>32131-000</t>
  </si>
  <si>
    <t>32132-000</t>
  </si>
  <si>
    <t>32133-000</t>
  </si>
  <si>
    <t>32134-000</t>
  </si>
  <si>
    <t>32135-000</t>
  </si>
  <si>
    <t>32136-000</t>
  </si>
  <si>
    <t>32137-000</t>
  </si>
  <si>
    <t>32138-000</t>
  </si>
  <si>
    <t>32139-000</t>
  </si>
  <si>
    <t>32140-000</t>
  </si>
  <si>
    <t>32141-000</t>
  </si>
  <si>
    <t>32142-000</t>
  </si>
  <si>
    <t>32143-000</t>
  </si>
  <si>
    <t>32144-000</t>
  </si>
  <si>
    <t>32145-000</t>
  </si>
  <si>
    <t>32146-000</t>
  </si>
  <si>
    <t>32147-000</t>
  </si>
  <si>
    <t>32148-000</t>
  </si>
  <si>
    <t>32149-000</t>
  </si>
  <si>
    <t>32150-000</t>
  </si>
  <si>
    <t>32151-000</t>
  </si>
  <si>
    <t>32152-000</t>
  </si>
  <si>
    <t>32153-000</t>
  </si>
  <si>
    <t>32154-000</t>
  </si>
  <si>
    <t>32155-000</t>
  </si>
  <si>
    <t>32156-000</t>
  </si>
  <si>
    <t>32157-000</t>
  </si>
  <si>
    <t>32158-000</t>
  </si>
  <si>
    <t>32159-000</t>
  </si>
  <si>
    <t>32160-000</t>
  </si>
  <si>
    <t>32161-000</t>
  </si>
  <si>
    <t>32162-000</t>
  </si>
  <si>
    <t>32163-000</t>
  </si>
  <si>
    <t>32164-000</t>
  </si>
  <si>
    <t>32165-000</t>
  </si>
  <si>
    <t>32166-000</t>
  </si>
  <si>
    <t>32167-000</t>
  </si>
  <si>
    <t>32168-000</t>
  </si>
  <si>
    <t>32169-000</t>
  </si>
  <si>
    <t>32170-000</t>
  </si>
  <si>
    <t>32171-000</t>
  </si>
  <si>
    <t>32172-000</t>
  </si>
  <si>
    <t>32173-000</t>
  </si>
  <si>
    <t>32174-000</t>
  </si>
  <si>
    <t>32175-000</t>
  </si>
  <si>
    <t>32176-000</t>
  </si>
  <si>
    <t>32177-000</t>
  </si>
  <si>
    <t>32178-000</t>
  </si>
  <si>
    <t>32179-000</t>
  </si>
  <si>
    <t>32180-000</t>
  </si>
  <si>
    <t>32181-000</t>
  </si>
  <si>
    <t>32182-000</t>
  </si>
  <si>
    <t>32183-000</t>
  </si>
  <si>
    <t>32184-000</t>
  </si>
  <si>
    <t>32185-000</t>
  </si>
  <si>
    <t>32186-000</t>
  </si>
  <si>
    <t>32187-000</t>
  </si>
  <si>
    <t>32188-000</t>
  </si>
  <si>
    <t>32189-000</t>
  </si>
  <si>
    <t>32190-000</t>
  </si>
  <si>
    <t>32191-000</t>
  </si>
  <si>
    <t>32192-000</t>
  </si>
  <si>
    <t>32193-000</t>
  </si>
  <si>
    <t>32194-000</t>
  </si>
  <si>
    <t>32195-000</t>
  </si>
  <si>
    <t>32196-000</t>
  </si>
  <si>
    <t>32197-000</t>
  </si>
  <si>
    <t>32198-000</t>
  </si>
  <si>
    <t>32199-000</t>
  </si>
  <si>
    <t>32199-001</t>
  </si>
  <si>
    <t>32199-002</t>
  </si>
  <si>
    <t>32199-003</t>
  </si>
  <si>
    <t>32199-004</t>
  </si>
  <si>
    <t>32199-005</t>
  </si>
  <si>
    <t>32199-006</t>
  </si>
  <si>
    <t>32199-007</t>
  </si>
  <si>
    <t>32199-008</t>
  </si>
  <si>
    <t>32199-009</t>
  </si>
  <si>
    <t>32199-010</t>
  </si>
  <si>
    <t>32199-011</t>
  </si>
  <si>
    <t>32199-012</t>
  </si>
  <si>
    <t>32199-013</t>
  </si>
  <si>
    <t>32199-014</t>
  </si>
  <si>
    <t>Contributuions - CAP ACCT</t>
  </si>
  <si>
    <t>32199-015</t>
  </si>
  <si>
    <t>Contributions - CAP ACCT 2</t>
  </si>
  <si>
    <t>32199-016</t>
  </si>
  <si>
    <t>Contributions-CAP ACCT 3</t>
  </si>
  <si>
    <t>32199-017</t>
  </si>
  <si>
    <t>Contributions - CAP ACCT 4</t>
  </si>
  <si>
    <t>32199-018</t>
  </si>
  <si>
    <t>Contributions - CAP ACCT 5</t>
  </si>
  <si>
    <t>32199-019</t>
  </si>
  <si>
    <t>Contributions - CAP ACCT 6</t>
  </si>
  <si>
    <t>32199-020</t>
  </si>
  <si>
    <t>Contributions - CAP ACCT 7</t>
  </si>
  <si>
    <t>32199-021</t>
  </si>
  <si>
    <t>Contributions - CAP ACCT 8</t>
  </si>
  <si>
    <t>32199-022</t>
  </si>
  <si>
    <t>Contributions - CAP ACCT 9</t>
  </si>
  <si>
    <t>32199-023</t>
  </si>
  <si>
    <t>Contributions - CAP ACCT 10</t>
  </si>
  <si>
    <t>32199-024</t>
  </si>
  <si>
    <t>Contributions - CAP ACCT 11</t>
  </si>
  <si>
    <t>32199-025</t>
  </si>
  <si>
    <t>Contributions - CAP ACCT 12</t>
  </si>
  <si>
    <t>32199-026</t>
  </si>
  <si>
    <t>Contributions - CAP ACCT 13</t>
  </si>
  <si>
    <t>32199-027</t>
  </si>
  <si>
    <t>Contributions - CAP ACCT 14</t>
  </si>
  <si>
    <t>32199-028</t>
  </si>
  <si>
    <t>Contributions - CAP ACCT 15</t>
  </si>
  <si>
    <t>32199-029</t>
  </si>
  <si>
    <t>Contributions - CAP ACCT 16</t>
  </si>
  <si>
    <t>32199-030</t>
  </si>
  <si>
    <t>Contributions - CAP ACCT 17</t>
  </si>
  <si>
    <t>32199-031</t>
  </si>
  <si>
    <t>Contributions - CAP ACCT 18</t>
  </si>
  <si>
    <t>32199-032</t>
  </si>
  <si>
    <t>Contributions - CAP ACCT 19</t>
  </si>
  <si>
    <t>32199-033</t>
  </si>
  <si>
    <t>Contributions - CAP ACCT 20</t>
  </si>
  <si>
    <t>32199-034</t>
  </si>
  <si>
    <t>Contributions - CAP ACCT 21</t>
  </si>
  <si>
    <t>32199-035</t>
  </si>
  <si>
    <t>Contributions - CAP ACCT 22</t>
  </si>
  <si>
    <t>32199-036</t>
  </si>
  <si>
    <t>Contributions - CAP ACCT 23</t>
  </si>
  <si>
    <t>32199-500</t>
  </si>
  <si>
    <t>32199-501</t>
  </si>
  <si>
    <t>32199-502</t>
  </si>
  <si>
    <t>32205-000</t>
  </si>
  <si>
    <t>32210-000</t>
  </si>
  <si>
    <t>32215-000</t>
  </si>
  <si>
    <t>32900-000</t>
  </si>
  <si>
    <t>33001-000</t>
  </si>
  <si>
    <t>33001-100</t>
  </si>
  <si>
    <t>Distributions - Deemed REIT AMF</t>
  </si>
  <si>
    <t>33002-000</t>
  </si>
  <si>
    <t>33003-000</t>
  </si>
  <si>
    <t>33005-000</t>
  </si>
  <si>
    <t>33006-000</t>
  </si>
  <si>
    <t>33007-000</t>
  </si>
  <si>
    <t>33008-000</t>
  </si>
  <si>
    <t>33010-000</t>
  </si>
  <si>
    <t>33011-000</t>
  </si>
  <si>
    <t>33012-000</t>
  </si>
  <si>
    <t>33015-000</t>
  </si>
  <si>
    <t>33016-000</t>
  </si>
  <si>
    <t>33017-000</t>
  </si>
  <si>
    <t>33018-000</t>
  </si>
  <si>
    <t>33019-000</t>
  </si>
  <si>
    <t>33020-000</t>
  </si>
  <si>
    <t>33021-000</t>
  </si>
  <si>
    <t>33022-000</t>
  </si>
  <si>
    <t>33023-000</t>
  </si>
  <si>
    <t>33024-000</t>
  </si>
  <si>
    <t>33025-000</t>
  </si>
  <si>
    <t>33026-000</t>
  </si>
  <si>
    <t>33027-000</t>
  </si>
  <si>
    <t>33028-000</t>
  </si>
  <si>
    <t>33029-000</t>
  </si>
  <si>
    <t>33030-000</t>
  </si>
  <si>
    <t>33031-000</t>
  </si>
  <si>
    <t>33032-000</t>
  </si>
  <si>
    <t>33033-000</t>
  </si>
  <si>
    <t>33034-000</t>
  </si>
  <si>
    <t>33035-000</t>
  </si>
  <si>
    <t>33036-000</t>
  </si>
  <si>
    <t>33037-000</t>
  </si>
  <si>
    <t>33038-000</t>
  </si>
  <si>
    <t>33039-000</t>
  </si>
  <si>
    <t>33040-000</t>
  </si>
  <si>
    <t>33041-000</t>
  </si>
  <si>
    <t>33042-000</t>
  </si>
  <si>
    <t>33043-000</t>
  </si>
  <si>
    <t>33044-000</t>
  </si>
  <si>
    <t>33045-000</t>
  </si>
  <si>
    <t>33046-000</t>
  </si>
  <si>
    <t>33047-000</t>
  </si>
  <si>
    <t>33048-000</t>
  </si>
  <si>
    <t>33049-000</t>
  </si>
  <si>
    <t>33050-000</t>
  </si>
  <si>
    <t>33051-000</t>
  </si>
  <si>
    <t>33052-000</t>
  </si>
  <si>
    <t>33053-000</t>
  </si>
  <si>
    <t>33054-000</t>
  </si>
  <si>
    <t>33055-000</t>
  </si>
  <si>
    <t>33056-000</t>
  </si>
  <si>
    <t>33057-000</t>
  </si>
  <si>
    <t>33058-000</t>
  </si>
  <si>
    <t>33059-000</t>
  </si>
  <si>
    <t>33060-000</t>
  </si>
  <si>
    <t>33061-000</t>
  </si>
  <si>
    <t>33062-000</t>
  </si>
  <si>
    <t>33063-000</t>
  </si>
  <si>
    <t>33064-000</t>
  </si>
  <si>
    <t>33065-000</t>
  </si>
  <si>
    <t>33067-000</t>
  </si>
  <si>
    <t>33068-000</t>
  </si>
  <si>
    <t>33069-000</t>
  </si>
  <si>
    <t>33070-000</t>
  </si>
  <si>
    <t>33071-000</t>
  </si>
  <si>
    <t>33072-000</t>
  </si>
  <si>
    <t>33073-000</t>
  </si>
  <si>
    <t>33074-000</t>
  </si>
  <si>
    <t>33075-000</t>
  </si>
  <si>
    <t>33075-001</t>
  </si>
  <si>
    <t>Distributions - TIC 1</t>
  </si>
  <si>
    <t>33075-002</t>
  </si>
  <si>
    <t>Distributions - TIC 2</t>
  </si>
  <si>
    <t>33075-003</t>
  </si>
  <si>
    <t>Distributions - TIC 3</t>
  </si>
  <si>
    <t>33075-004</t>
  </si>
  <si>
    <t>Distributions - TIC 4</t>
  </si>
  <si>
    <t>33075-005</t>
  </si>
  <si>
    <t>Distributions - TIC 5</t>
  </si>
  <si>
    <t>33075-006</t>
  </si>
  <si>
    <t>Distributions - TIC 6</t>
  </si>
  <si>
    <t>33075-007</t>
  </si>
  <si>
    <t>Distributions - TIC 7</t>
  </si>
  <si>
    <t>33075-008</t>
  </si>
  <si>
    <t>Distributions - TIC 8</t>
  </si>
  <si>
    <t>33075-009</t>
  </si>
  <si>
    <t>Distributions - TIC 9</t>
  </si>
  <si>
    <t>33075-010</t>
  </si>
  <si>
    <t>Distributions - TIC 10</t>
  </si>
  <si>
    <t>33075-011</t>
  </si>
  <si>
    <t>Distributions - TIC 11</t>
  </si>
  <si>
    <t>33075-012</t>
  </si>
  <si>
    <t>Distributions - TIC 12</t>
  </si>
  <si>
    <t>33075-013</t>
  </si>
  <si>
    <t>Distributions - TIC 13</t>
  </si>
  <si>
    <t>33075-014</t>
  </si>
  <si>
    <t>Distributions - TIC 14</t>
  </si>
  <si>
    <t>33075-015</t>
  </si>
  <si>
    <t>Distributions - TIC 15</t>
  </si>
  <si>
    <t>33075-016</t>
  </si>
  <si>
    <t>Distributions - TIC 16</t>
  </si>
  <si>
    <t>33075-017</t>
  </si>
  <si>
    <t>Distributions - TIC 17</t>
  </si>
  <si>
    <t>33075-018</t>
  </si>
  <si>
    <t>Distributions - TIC 18</t>
  </si>
  <si>
    <t>33075-019</t>
  </si>
  <si>
    <t>Distributions - TIC 19</t>
  </si>
  <si>
    <t>33075-020</t>
  </si>
  <si>
    <t>Distributions - TIC 20</t>
  </si>
  <si>
    <t>33075-021</t>
  </si>
  <si>
    <t>Distributions - TIC 21</t>
  </si>
  <si>
    <t>33075-022</t>
  </si>
  <si>
    <t>Distributions - TIC 22</t>
  </si>
  <si>
    <t>33075-023</t>
  </si>
  <si>
    <t>Distributions - TIC 23</t>
  </si>
  <si>
    <t>33075-024</t>
  </si>
  <si>
    <t>Distributions - TIC 24</t>
  </si>
  <si>
    <t>33075-025</t>
  </si>
  <si>
    <t>Distributions - TIC 25</t>
  </si>
  <si>
    <t>33075-026</t>
  </si>
  <si>
    <t>Distributions - TIC 26</t>
  </si>
  <si>
    <t>33075-027</t>
  </si>
  <si>
    <t>Distributions - TIC 27</t>
  </si>
  <si>
    <t>33075-028</t>
  </si>
  <si>
    <t>Distributions - TIC 28</t>
  </si>
  <si>
    <t>33075-029</t>
  </si>
  <si>
    <t>Distributions - TIC 29</t>
  </si>
  <si>
    <t>33075-030</t>
  </si>
  <si>
    <t>Distributions - TIC 30</t>
  </si>
  <si>
    <t>33075-031</t>
  </si>
  <si>
    <t>Distributions - TIC 31</t>
  </si>
  <si>
    <t>33075-032</t>
  </si>
  <si>
    <t>Distributions - TIC 32</t>
  </si>
  <si>
    <t>33075-033</t>
  </si>
  <si>
    <t>Distributions - TIC 33</t>
  </si>
  <si>
    <t>33075-034</t>
  </si>
  <si>
    <t>Distributions - TIC 34</t>
  </si>
  <si>
    <t>33075-035</t>
  </si>
  <si>
    <t>Distributions - TIC 35</t>
  </si>
  <si>
    <t>33075-036</t>
  </si>
  <si>
    <t>Distributions - TIC 36</t>
  </si>
  <si>
    <t>33075-037</t>
  </si>
  <si>
    <t>Distributions - TIC 37</t>
  </si>
  <si>
    <t>33075-038</t>
  </si>
  <si>
    <t>Distributions - TIC 38</t>
  </si>
  <si>
    <t>33075-039</t>
  </si>
  <si>
    <t>Distributions - TIC 39</t>
  </si>
  <si>
    <t>33075-040</t>
  </si>
  <si>
    <t>Distributions - TIC 40</t>
  </si>
  <si>
    <t>33076-000</t>
  </si>
  <si>
    <t>33077-000</t>
  </si>
  <si>
    <t>33078-000</t>
  </si>
  <si>
    <t>33079-000</t>
  </si>
  <si>
    <t>33080-000</t>
  </si>
  <si>
    <t>33081-000</t>
  </si>
  <si>
    <t>33082-000</t>
  </si>
  <si>
    <t>33083-000</t>
  </si>
  <si>
    <t>33084-000</t>
  </si>
  <si>
    <t>33085-000</t>
  </si>
  <si>
    <t>33086-000</t>
  </si>
  <si>
    <t>33087-000</t>
  </si>
  <si>
    <t>33088-000</t>
  </si>
  <si>
    <t>33089-000</t>
  </si>
  <si>
    <t>33090-000</t>
  </si>
  <si>
    <t>33091-000</t>
  </si>
  <si>
    <t>33092-000</t>
  </si>
  <si>
    <t>33093-000</t>
  </si>
  <si>
    <t>33094-000</t>
  </si>
  <si>
    <t>33095-000</t>
  </si>
  <si>
    <t>33096-000</t>
  </si>
  <si>
    <t>33097-000</t>
  </si>
  <si>
    <t>33098-000</t>
  </si>
  <si>
    <t>33099-000</t>
  </si>
  <si>
    <t>33100-000</t>
  </si>
  <si>
    <t>33101-000</t>
  </si>
  <si>
    <t>33102-000</t>
  </si>
  <si>
    <t>33103-000</t>
  </si>
  <si>
    <t>33104-000</t>
  </si>
  <si>
    <t>33105-000</t>
  </si>
  <si>
    <t>33106-000</t>
  </si>
  <si>
    <t>33107-000</t>
  </si>
  <si>
    <t>33108-000</t>
  </si>
  <si>
    <t>33109-000</t>
  </si>
  <si>
    <t>33110-000</t>
  </si>
  <si>
    <t>33111-000</t>
  </si>
  <si>
    <t>33112-000</t>
  </si>
  <si>
    <t>33113-000</t>
  </si>
  <si>
    <t>33114-000</t>
  </si>
  <si>
    <t>33115-000</t>
  </si>
  <si>
    <t>33116-000</t>
  </si>
  <si>
    <t>33117-000</t>
  </si>
  <si>
    <t>33118-000</t>
  </si>
  <si>
    <t>33119-000</t>
  </si>
  <si>
    <t>33120-000</t>
  </si>
  <si>
    <t>33121-000</t>
  </si>
  <si>
    <t>33122-000</t>
  </si>
  <si>
    <t>33123-000</t>
  </si>
  <si>
    <t>33124-000</t>
  </si>
  <si>
    <t>33125-000</t>
  </si>
  <si>
    <t>33126-000</t>
  </si>
  <si>
    <t>33127-000</t>
  </si>
  <si>
    <t>33128-000</t>
  </si>
  <si>
    <t>33129-000</t>
  </si>
  <si>
    <t>33130-000</t>
  </si>
  <si>
    <t>33131-000</t>
  </si>
  <si>
    <t>33132-000</t>
  </si>
  <si>
    <t>33133-000</t>
  </si>
  <si>
    <t>33134-000</t>
  </si>
  <si>
    <t>33135-000</t>
  </si>
  <si>
    <t>33136-000</t>
  </si>
  <si>
    <t>33137-000</t>
  </si>
  <si>
    <t>33138-000</t>
  </si>
  <si>
    <t>33139-000</t>
  </si>
  <si>
    <t>33140-000</t>
  </si>
  <si>
    <t>33141-000</t>
  </si>
  <si>
    <t>33142-000</t>
  </si>
  <si>
    <t>33143-000</t>
  </si>
  <si>
    <t>33144-000</t>
  </si>
  <si>
    <t>33145-000</t>
  </si>
  <si>
    <t>33146-000</t>
  </si>
  <si>
    <t>33147-000</t>
  </si>
  <si>
    <t>33148-000</t>
  </si>
  <si>
    <t>33149-000</t>
  </si>
  <si>
    <t>33150-000</t>
  </si>
  <si>
    <t>33151-000</t>
  </si>
  <si>
    <t>33152-000</t>
  </si>
  <si>
    <t>33153-000</t>
  </si>
  <si>
    <t>33154-000</t>
  </si>
  <si>
    <t>33155-000</t>
  </si>
  <si>
    <t>33156-000</t>
  </si>
  <si>
    <t>33157-000</t>
  </si>
  <si>
    <t>33158-000</t>
  </si>
  <si>
    <t>33159-000</t>
  </si>
  <si>
    <t>33160-000</t>
  </si>
  <si>
    <t>33161-000</t>
  </si>
  <si>
    <t>33162-000</t>
  </si>
  <si>
    <t>33163-000</t>
  </si>
  <si>
    <t>33164-000</t>
  </si>
  <si>
    <t>33165-000</t>
  </si>
  <si>
    <t>33166-000</t>
  </si>
  <si>
    <t>33167-000</t>
  </si>
  <si>
    <t>33168-000</t>
  </si>
  <si>
    <t>33169-000</t>
  </si>
  <si>
    <t>33170-000</t>
  </si>
  <si>
    <t>33171-000</t>
  </si>
  <si>
    <t>33172-000</t>
  </si>
  <si>
    <t>33173-000</t>
  </si>
  <si>
    <t>33174-000</t>
  </si>
  <si>
    <t>33175-000</t>
  </si>
  <si>
    <t>33176-000</t>
  </si>
  <si>
    <t>33177-000</t>
  </si>
  <si>
    <t>33178-000</t>
  </si>
  <si>
    <t>33179-000</t>
  </si>
  <si>
    <t>33180-000</t>
  </si>
  <si>
    <t>33181-000</t>
  </si>
  <si>
    <t>33182-000</t>
  </si>
  <si>
    <t>33183-000</t>
  </si>
  <si>
    <t>33184-000</t>
  </si>
  <si>
    <t>33185-000</t>
  </si>
  <si>
    <t>33186-000</t>
  </si>
  <si>
    <t>33187-000</t>
  </si>
  <si>
    <t>33188-000</t>
  </si>
  <si>
    <t>33189-000</t>
  </si>
  <si>
    <t>33190-000</t>
  </si>
  <si>
    <t>33191-000</t>
  </si>
  <si>
    <t>33192-000</t>
  </si>
  <si>
    <t>33193-000</t>
  </si>
  <si>
    <t>33194-000</t>
  </si>
  <si>
    <t>33195-000</t>
  </si>
  <si>
    <t>33196-000</t>
  </si>
  <si>
    <t>33197-000</t>
  </si>
  <si>
    <t>33198-000</t>
  </si>
  <si>
    <t>33199-000</t>
  </si>
  <si>
    <t>33200-000</t>
  </si>
  <si>
    <t>33201-000</t>
  </si>
  <si>
    <t>33202-000</t>
  </si>
  <si>
    <t>33203-000</t>
  </si>
  <si>
    <t>33204-000</t>
  </si>
  <si>
    <t>33205-000</t>
  </si>
  <si>
    <t>33206-000</t>
  </si>
  <si>
    <t>33207-000</t>
  </si>
  <si>
    <t>33208-000</t>
  </si>
  <si>
    <t>33209-000</t>
  </si>
  <si>
    <t>33210-000</t>
  </si>
  <si>
    <t>33211-000</t>
  </si>
  <si>
    <t>33212-000</t>
  </si>
  <si>
    <t>33213-000</t>
  </si>
  <si>
    <t>33500-000</t>
  </si>
  <si>
    <t>33505-000</t>
  </si>
  <si>
    <t>33600-000</t>
  </si>
  <si>
    <t>34000-000</t>
  </si>
  <si>
    <t>34010-000</t>
  </si>
  <si>
    <t>35000-000</t>
  </si>
  <si>
    <t>35010-000</t>
  </si>
  <si>
    <t>36000-000</t>
  </si>
  <si>
    <t>36005-000</t>
  </si>
  <si>
    <t>37000-000</t>
  </si>
  <si>
    <t>38000-000</t>
  </si>
  <si>
    <t>38010-000</t>
  </si>
  <si>
    <t>39000-000</t>
  </si>
  <si>
    <t>39998-999</t>
  </si>
  <si>
    <t>TOTAL OWNER'S EQUITY</t>
  </si>
  <si>
    <t>39999-999</t>
  </si>
  <si>
    <t>TOTAL LIABILITIES AND OWNER'S EQUITY</t>
  </si>
  <si>
    <t>40000-000</t>
  </si>
  <si>
    <t>40000-250</t>
  </si>
  <si>
    <t>Income Before Allocations</t>
  </si>
  <si>
    <t>40000-350</t>
  </si>
  <si>
    <t>OI After Replacements</t>
  </si>
  <si>
    <t>40000-500</t>
  </si>
  <si>
    <t>Income Before Non-Operating Expense</t>
  </si>
  <si>
    <t>40000-625</t>
  </si>
  <si>
    <t>Operating Income</t>
  </si>
  <si>
    <t>40000-750</t>
  </si>
  <si>
    <t>40000-999</t>
  </si>
  <si>
    <t>Residential &amp; Commercial Income</t>
  </si>
  <si>
    <t>40001-000</t>
  </si>
  <si>
    <t>40001-001</t>
  </si>
  <si>
    <t>Potential Rent</t>
  </si>
  <si>
    <t>41000-000</t>
  </si>
  <si>
    <t>41001-000</t>
  </si>
  <si>
    <t>41002-000</t>
  </si>
  <si>
    <t>41003-000</t>
  </si>
  <si>
    <t>41004-000</t>
  </si>
  <si>
    <t>41005-000</t>
  </si>
  <si>
    <t>41006-000</t>
  </si>
  <si>
    <t>41006-001</t>
  </si>
  <si>
    <t>HAP Rent Adjustments</t>
  </si>
  <si>
    <t>41007-000</t>
  </si>
  <si>
    <t>41008-000</t>
  </si>
  <si>
    <t>41009-000</t>
  </si>
  <si>
    <t>41010-000</t>
  </si>
  <si>
    <t>41015-000</t>
  </si>
  <si>
    <t>41020-000</t>
  </si>
  <si>
    <t>41021-000</t>
  </si>
  <si>
    <t>41023-000</t>
  </si>
  <si>
    <t>41024-000</t>
  </si>
  <si>
    <t>41024-001</t>
  </si>
  <si>
    <t>Controlled Rent</t>
  </si>
  <si>
    <t>41025-000</t>
  </si>
  <si>
    <t>41025-001</t>
  </si>
  <si>
    <t>Stabilized Rent</t>
  </si>
  <si>
    <t>41026-000</t>
  </si>
  <si>
    <t>41027-000</t>
  </si>
  <si>
    <t>41028-000</t>
  </si>
  <si>
    <t>41029-000</t>
  </si>
  <si>
    <t>41029-099</t>
  </si>
  <si>
    <t>41030-000</t>
  </si>
  <si>
    <t>41040-010</t>
  </si>
  <si>
    <t>Gross Rent Straight-Lin</t>
  </si>
  <si>
    <t>41040-015</t>
  </si>
  <si>
    <t>Gross Rent S-L Cur Term</t>
  </si>
  <si>
    <t>41040-020</t>
  </si>
  <si>
    <t>Gross Rent S-L Bdgt/Fcs</t>
  </si>
  <si>
    <t>41090-000</t>
  </si>
  <si>
    <t>41091-000</t>
  </si>
  <si>
    <t>41092-000</t>
  </si>
  <si>
    <t>41092-600</t>
  </si>
  <si>
    <t>Concessions - one-time renewal</t>
  </si>
  <si>
    <t>41093-000</t>
  </si>
  <si>
    <t>41093-002</t>
  </si>
  <si>
    <t>Other Concessions</t>
  </si>
  <si>
    <t>41093-005</t>
  </si>
  <si>
    <t>COVID-19</t>
  </si>
  <si>
    <t>41093-010</t>
  </si>
  <si>
    <t>Concessions - Prior Sea</t>
  </si>
  <si>
    <t>41093-015</t>
  </si>
  <si>
    <t>Concessions - Current S</t>
  </si>
  <si>
    <t>41093-020</t>
  </si>
  <si>
    <t>Concess S/L Curr Term D</t>
  </si>
  <si>
    <t>41093-025</t>
  </si>
  <si>
    <t>Concess S/L Future Term</t>
  </si>
  <si>
    <t>41093-030</t>
  </si>
  <si>
    <t>Concess S/L Bdgt/Fcst D</t>
  </si>
  <si>
    <t>41093-600</t>
  </si>
  <si>
    <t>Move in Fee-Concessions</t>
  </si>
  <si>
    <t>41094-000</t>
  </si>
  <si>
    <t>41094-600</t>
  </si>
  <si>
    <t>Other Income-Concessions</t>
  </si>
  <si>
    <t>41095-000</t>
  </si>
  <si>
    <t>41096-000</t>
  </si>
  <si>
    <t>41097-000</t>
  </si>
  <si>
    <t>41098-000</t>
  </si>
  <si>
    <t>41100-000</t>
  </si>
  <si>
    <t>41101-000</t>
  </si>
  <si>
    <t>41102-000</t>
  </si>
  <si>
    <t>41103-000</t>
  </si>
  <si>
    <t>41104-700</t>
  </si>
  <si>
    <t>REIT Rental Income</t>
  </si>
  <si>
    <t>41110-000</t>
  </si>
  <si>
    <t>41115-000</t>
  </si>
  <si>
    <t>41120-000</t>
  </si>
  <si>
    <t>41121-000</t>
  </si>
  <si>
    <t>41125-000</t>
  </si>
  <si>
    <t>41127-000</t>
  </si>
  <si>
    <t>41130-000</t>
  </si>
  <si>
    <t>41140-000</t>
  </si>
  <si>
    <t>41141-000</t>
  </si>
  <si>
    <t>41142-000</t>
  </si>
  <si>
    <t>41148-000</t>
  </si>
  <si>
    <t>41150-000</t>
  </si>
  <si>
    <t>41151-000</t>
  </si>
  <si>
    <t>41152-000</t>
  </si>
  <si>
    <t>41153-000</t>
  </si>
  <si>
    <t>41153-700</t>
  </si>
  <si>
    <t>Miscellaneous Write Off</t>
  </si>
  <si>
    <t>41155-000</t>
  </si>
  <si>
    <t>41155-700</t>
  </si>
  <si>
    <t>Bad Dbt Rcvry - Agency Fee</t>
  </si>
  <si>
    <t>41156-700</t>
  </si>
  <si>
    <t>Collections - In House</t>
  </si>
  <si>
    <t>41157-000</t>
  </si>
  <si>
    <t>41159-000</t>
  </si>
  <si>
    <t>41160-000</t>
  </si>
  <si>
    <t>41999-098</t>
  </si>
  <si>
    <t>Total Other Rental Inc. - Residential</t>
  </si>
  <si>
    <t>41999-099</t>
  </si>
  <si>
    <t>Total Rental Inc. - Residential</t>
  </si>
  <si>
    <t>42000-000</t>
  </si>
  <si>
    <t>42010-000</t>
  </si>
  <si>
    <t>42020-000</t>
  </si>
  <si>
    <t>42030-000</t>
  </si>
  <si>
    <t>42040-000</t>
  </si>
  <si>
    <t>42050-000</t>
  </si>
  <si>
    <t>42060-000</t>
  </si>
  <si>
    <t>42070-000</t>
  </si>
  <si>
    <t>42075-000</t>
  </si>
  <si>
    <t>42080-000</t>
  </si>
  <si>
    <t>42085-000</t>
  </si>
  <si>
    <t>42090-000</t>
  </si>
  <si>
    <t>42099-099</t>
  </si>
  <si>
    <t>Total Corporate Housing Income</t>
  </si>
  <si>
    <t>42100-000</t>
  </si>
  <si>
    <t>42100-001</t>
  </si>
  <si>
    <t>42200-000</t>
  </si>
  <si>
    <t>42201-000</t>
  </si>
  <si>
    <t>42201-002</t>
  </si>
  <si>
    <t>Base Rent Commercial Contra</t>
  </si>
  <si>
    <t>42201-005</t>
  </si>
  <si>
    <t>Contractual Rent- Satellite - Mexico Only</t>
  </si>
  <si>
    <t>42202-000</t>
  </si>
  <si>
    <t>42203-000</t>
  </si>
  <si>
    <t>42204-000</t>
  </si>
  <si>
    <t>42205-000</t>
  </si>
  <si>
    <t>42206-000</t>
  </si>
  <si>
    <t>42207-000</t>
  </si>
  <si>
    <t>42259-099</t>
  </si>
  <si>
    <t>Total Rental Income - Commercial</t>
  </si>
  <si>
    <t>42300-000</t>
  </si>
  <si>
    <t>42305-000</t>
  </si>
  <si>
    <t>42310-000</t>
  </si>
  <si>
    <t>42320-000</t>
  </si>
  <si>
    <t>42325-000</t>
  </si>
  <si>
    <t>42330-000</t>
  </si>
  <si>
    <t>42335-000</t>
  </si>
  <si>
    <t>42340-000</t>
  </si>
  <si>
    <t>42343-000</t>
  </si>
  <si>
    <t>42345-000</t>
  </si>
  <si>
    <t>42346-000</t>
  </si>
  <si>
    <t>42347-000</t>
  </si>
  <si>
    <t>42350-000</t>
  </si>
  <si>
    <t>42390-000</t>
  </si>
  <si>
    <t>42395-000</t>
  </si>
  <si>
    <t>42396-000</t>
  </si>
  <si>
    <t>42397-000</t>
  </si>
  <si>
    <t>42397-002</t>
  </si>
  <si>
    <t>Parking Income - Commercial Contra</t>
  </si>
  <si>
    <t>42999-098</t>
  </si>
  <si>
    <t>Total Other Rental Inc. - Commercial</t>
  </si>
  <si>
    <t>42999-099</t>
  </si>
  <si>
    <t>Total Rental Inc. - Commercial</t>
  </si>
  <si>
    <t>43000-000</t>
  </si>
  <si>
    <t>43004-700</t>
  </si>
  <si>
    <t>A/C Rental Income</t>
  </si>
  <si>
    <t>43005-000</t>
  </si>
  <si>
    <t>43008-000</t>
  </si>
  <si>
    <t>43010-000</t>
  </si>
  <si>
    <t>43010-010</t>
  </si>
  <si>
    <t>Admin Fees S/L Curr Term</t>
  </si>
  <si>
    <t>43010-015</t>
  </si>
  <si>
    <t>Admin Fees S/L Future Term</t>
  </si>
  <si>
    <t>43010-020</t>
  </si>
  <si>
    <t>Admin Fees S/L Bdgt/Fcst</t>
  </si>
  <si>
    <t>43015-000</t>
  </si>
  <si>
    <t>43016-600</t>
  </si>
  <si>
    <t>Amenity Fees</t>
  </si>
  <si>
    <t>43017-600</t>
  </si>
  <si>
    <t>Parcel Locker Fee</t>
  </si>
  <si>
    <t>43018-600</t>
  </si>
  <si>
    <t>Smart Home Income</t>
  </si>
  <si>
    <t>43020-000</t>
  </si>
  <si>
    <t>43020-005</t>
  </si>
  <si>
    <t>Application Fees-Parkmerced (Do not Use)</t>
  </si>
  <si>
    <t>43020-010</t>
  </si>
  <si>
    <t>App Fees S/L Curr Term</t>
  </si>
  <si>
    <t>43020-015</t>
  </si>
  <si>
    <t>App Fees S/L Future Ter</t>
  </si>
  <si>
    <t>43020-020</t>
  </si>
  <si>
    <t>App Fees S/L Bdgt/Fcst</t>
  </si>
  <si>
    <t>43021-000</t>
  </si>
  <si>
    <t>43025-000</t>
  </si>
  <si>
    <t>43030-000</t>
  </si>
  <si>
    <t>43035-000</t>
  </si>
  <si>
    <t>43036-000</t>
  </si>
  <si>
    <t>43037-000</t>
  </si>
  <si>
    <t>43038-700</t>
  </si>
  <si>
    <t>Bad Debt Loss - Other recurring</t>
  </si>
  <si>
    <t>43040-000</t>
  </si>
  <si>
    <t>43041-000</t>
  </si>
  <si>
    <t>43043-000</t>
  </si>
  <si>
    <t>43044-000</t>
  </si>
  <si>
    <t>43045-000</t>
  </si>
  <si>
    <t>43054-700</t>
  </si>
  <si>
    <t>Cancellation Fees</t>
  </si>
  <si>
    <t>43055-000</t>
  </si>
  <si>
    <t>43056-000</t>
  </si>
  <si>
    <t>43057-000</t>
  </si>
  <si>
    <t>43058-000</t>
  </si>
  <si>
    <t>43060-000</t>
  </si>
  <si>
    <t>43063-000</t>
  </si>
  <si>
    <t>43065-000</t>
  </si>
  <si>
    <t>43070-000</t>
  </si>
  <si>
    <t>43071-000</t>
  </si>
  <si>
    <t>43075-000</t>
  </si>
  <si>
    <t>43076-600</t>
  </si>
  <si>
    <t>Patrol/Courtesy Officer Rebill</t>
  </si>
  <si>
    <t>43077-000</t>
  </si>
  <si>
    <t>43080-000</t>
  </si>
  <si>
    <t>43080-001</t>
  </si>
  <si>
    <t>Damage Fees-Carpet Cln/Rpr</t>
  </si>
  <si>
    <t>43080-002</t>
  </si>
  <si>
    <t>Damage Fees-Carpet Replace</t>
  </si>
  <si>
    <t>43080-003</t>
  </si>
  <si>
    <t>Damage Fees-Other</t>
  </si>
  <si>
    <t>43080-004</t>
  </si>
  <si>
    <t>Damage Fees-Painting</t>
  </si>
  <si>
    <t>43080-005</t>
  </si>
  <si>
    <t>Damages-Parkmerced (Do not Use)</t>
  </si>
  <si>
    <t>43080-006</t>
  </si>
  <si>
    <t>Damages - Furniture-Mexico Only (Do Not Use)</t>
  </si>
  <si>
    <t>43080-007</t>
  </si>
  <si>
    <t>Damages - Parking - Mexico Only (Do Not Use)</t>
  </si>
  <si>
    <t>43080-008</t>
  </si>
  <si>
    <t>Damages - Garage-Mexico Only (Do Not Use)</t>
  </si>
  <si>
    <t>43080-009</t>
  </si>
  <si>
    <t>Damages - Carport - Mexico Only (Do Not Use)</t>
  </si>
  <si>
    <t>43080-045</t>
  </si>
  <si>
    <t>Damage Fees - Write Offs</t>
  </si>
  <si>
    <t>43080-600</t>
  </si>
  <si>
    <t>Damage Fees-Cleaning</t>
  </si>
  <si>
    <t>43083-000</t>
  </si>
  <si>
    <t>43084-600</t>
  </si>
  <si>
    <t>43085-600</t>
  </si>
  <si>
    <t>Rental Inc FAS 141 Below Mkt</t>
  </si>
  <si>
    <t>43086-600</t>
  </si>
  <si>
    <t>Rental Inc FAS 141 Above Mkt</t>
  </si>
  <si>
    <t>43090-000</t>
  </si>
  <si>
    <t>43092-000</t>
  </si>
  <si>
    <t>43093-000</t>
  </si>
  <si>
    <t>43095-000</t>
  </si>
  <si>
    <t>43097-000</t>
  </si>
  <si>
    <t>43098-000</t>
  </si>
  <si>
    <t>43099-000</t>
  </si>
  <si>
    <t>43100-000</t>
  </si>
  <si>
    <t>43100-001</t>
  </si>
  <si>
    <t>Furniture Concessions - Mexico Only (Do Not Use)</t>
  </si>
  <si>
    <t>43105-000</t>
  </si>
  <si>
    <t>43105-001</t>
  </si>
  <si>
    <t>Garage Concession</t>
  </si>
  <si>
    <t>43106-000</t>
  </si>
  <si>
    <t>43108-000</t>
  </si>
  <si>
    <t>43110-000</t>
  </si>
  <si>
    <t>43112-000</t>
  </si>
  <si>
    <t>43113-000</t>
  </si>
  <si>
    <t>43114-000</t>
  </si>
  <si>
    <t>43115-000</t>
  </si>
  <si>
    <t>43116-000</t>
  </si>
  <si>
    <t>43117-000</t>
  </si>
  <si>
    <t>43118-000</t>
  </si>
  <si>
    <t>43120-000</t>
  </si>
  <si>
    <t>43125-000</t>
  </si>
  <si>
    <t>43127-000</t>
  </si>
  <si>
    <t>43128-000</t>
  </si>
  <si>
    <t>43130-000</t>
  </si>
  <si>
    <t>43135-000</t>
  </si>
  <si>
    <t>43135-005</t>
  </si>
  <si>
    <t>Late Charge Fees-Parkmerced (Do not Use)</t>
  </si>
  <si>
    <t>43136-000</t>
  </si>
  <si>
    <t>43137-000</t>
  </si>
  <si>
    <t>43140-000</t>
  </si>
  <si>
    <t>43145-000</t>
  </si>
  <si>
    <t>43147-000</t>
  </si>
  <si>
    <t>43150-000</t>
  </si>
  <si>
    <t>43155-000</t>
  </si>
  <si>
    <t>43157-000</t>
  </si>
  <si>
    <t>43159-000</t>
  </si>
  <si>
    <t>43160-000</t>
  </si>
  <si>
    <t>43161-000</t>
  </si>
  <si>
    <t>43164-000</t>
  </si>
  <si>
    <t>43165-000</t>
  </si>
  <si>
    <t>43166-000</t>
  </si>
  <si>
    <t>43167-000</t>
  </si>
  <si>
    <t>43168-000</t>
  </si>
  <si>
    <t>43169-700</t>
  </si>
  <si>
    <t>Membership Dues</t>
  </si>
  <si>
    <t>43170-000</t>
  </si>
  <si>
    <t>43171-700</t>
  </si>
  <si>
    <t>Non-Refundable Deposit</t>
  </si>
  <si>
    <t>43180-000</t>
  </si>
  <si>
    <t>43180-005</t>
  </si>
  <si>
    <t>NSF Fees-Parkmerced (Do not Use)</t>
  </si>
  <si>
    <t>43185-000</t>
  </si>
  <si>
    <t>43189-000</t>
  </si>
  <si>
    <t>43190-000</t>
  </si>
  <si>
    <t>43190-010</t>
  </si>
  <si>
    <t>Parking Fees - Straightline</t>
  </si>
  <si>
    <t>43190-015</t>
  </si>
  <si>
    <t>43190-020</t>
  </si>
  <si>
    <t>Parking S/L Current Term</t>
  </si>
  <si>
    <t>43194-000</t>
  </si>
  <si>
    <t>43195-000</t>
  </si>
  <si>
    <t>43196-000</t>
  </si>
  <si>
    <t>43196-001</t>
  </si>
  <si>
    <t>Carport Concession - Mexico Only (Do Not Use)</t>
  </si>
  <si>
    <t>43196-700</t>
  </si>
  <si>
    <t>Premium Services Income - TRS Costs</t>
  </si>
  <si>
    <t>43197-700</t>
  </si>
  <si>
    <t>Premium Services Income 1st</t>
  </si>
  <si>
    <t>43198-000</t>
  </si>
  <si>
    <t>43198-700</t>
  </si>
  <si>
    <t>Premium Services Income 2nd</t>
  </si>
  <si>
    <t>43199-700</t>
  </si>
  <si>
    <t>Premium Services Income 3rd</t>
  </si>
  <si>
    <t>43200-000</t>
  </si>
  <si>
    <t>43201-000</t>
  </si>
  <si>
    <t>43205-000</t>
  </si>
  <si>
    <t>43210-000</t>
  </si>
  <si>
    <t>43211-000</t>
  </si>
  <si>
    <t>43213-000</t>
  </si>
  <si>
    <t>43215-000</t>
  </si>
  <si>
    <t>43225-000</t>
  </si>
  <si>
    <t>43226-000</t>
  </si>
  <si>
    <t>43227-000</t>
  </si>
  <si>
    <t>43230-000</t>
  </si>
  <si>
    <t>43231-000</t>
  </si>
  <si>
    <t>43231-001</t>
  </si>
  <si>
    <t>43232-000</t>
  </si>
  <si>
    <t>43235-000</t>
  </si>
  <si>
    <t>43236-000</t>
  </si>
  <si>
    <t>43237-000</t>
  </si>
  <si>
    <t>43240-000</t>
  </si>
  <si>
    <t>43240-002</t>
  </si>
  <si>
    <t>43241-000</t>
  </si>
  <si>
    <t>43243-000</t>
  </si>
  <si>
    <t>43245-000</t>
  </si>
  <si>
    <t>43250-000</t>
  </si>
  <si>
    <t>43255-000</t>
  </si>
  <si>
    <t>43256-000</t>
  </si>
  <si>
    <t>43257-000</t>
  </si>
  <si>
    <t>43258-000</t>
  </si>
  <si>
    <t>43259-000</t>
  </si>
  <si>
    <t>43259-010</t>
  </si>
  <si>
    <t>Landscape Rebill</t>
  </si>
  <si>
    <t>43260-000</t>
  </si>
  <si>
    <t>43260-001</t>
  </si>
  <si>
    <t>UP - Rebill</t>
  </si>
  <si>
    <t>43261-000</t>
  </si>
  <si>
    <t>43262-000</t>
  </si>
  <si>
    <t>43263-000</t>
  </si>
  <si>
    <t>43264-001</t>
  </si>
  <si>
    <t>Water/Sewer Rebill</t>
  </si>
  <si>
    <t>43264-010</t>
  </si>
  <si>
    <t>Sewer Rebill</t>
  </si>
  <si>
    <t>43264-600</t>
  </si>
  <si>
    <t>Utility Rebill Write-Off</t>
  </si>
  <si>
    <t>43265-000</t>
  </si>
  <si>
    <t>43266-000</t>
  </si>
  <si>
    <t>43267-000</t>
  </si>
  <si>
    <t>43270-000</t>
  </si>
  <si>
    <t>43271-000</t>
  </si>
  <si>
    <t>43277-000</t>
  </si>
  <si>
    <t>43280-000</t>
  </si>
  <si>
    <t>43285-000</t>
  </si>
  <si>
    <t>43287-000</t>
  </si>
  <si>
    <t>43290-000</t>
  </si>
  <si>
    <t>43291-000</t>
  </si>
  <si>
    <t>43292-000</t>
  </si>
  <si>
    <t>43293-000</t>
  </si>
  <si>
    <t>43294-000</t>
  </si>
  <si>
    <t>43295-000</t>
  </si>
  <si>
    <t>43296-000</t>
  </si>
  <si>
    <t>43297-000</t>
  </si>
  <si>
    <t>43599-099</t>
  </si>
  <si>
    <t>Total Other Inc. - Residential</t>
  </si>
  <si>
    <t>43600-000</t>
  </si>
  <si>
    <t>43610-000</t>
  </si>
  <si>
    <t>43611-000</t>
  </si>
  <si>
    <t>43612-000</t>
  </si>
  <si>
    <t>43613-000</t>
  </si>
  <si>
    <t>43615-000</t>
  </si>
  <si>
    <t>43620-000</t>
  </si>
  <si>
    <t>43625-000</t>
  </si>
  <si>
    <t>43626-000</t>
  </si>
  <si>
    <t>43630-000</t>
  </si>
  <si>
    <t>43635-000</t>
  </si>
  <si>
    <t>43640-000</t>
  </si>
  <si>
    <t>43650-000</t>
  </si>
  <si>
    <t>43660-000</t>
  </si>
  <si>
    <t>43670-000</t>
  </si>
  <si>
    <t>43680-000</t>
  </si>
  <si>
    <t>43690-000</t>
  </si>
  <si>
    <t>43695-000</t>
  </si>
  <si>
    <t>43700-000</t>
  </si>
  <si>
    <t>43710-000</t>
  </si>
  <si>
    <t>43720-000</t>
  </si>
  <si>
    <t>43730-000</t>
  </si>
  <si>
    <t>43740-000</t>
  </si>
  <si>
    <t>43790-000</t>
  </si>
  <si>
    <t>43799-099</t>
  </si>
  <si>
    <t>Total Other Inc. - Commercial</t>
  </si>
  <si>
    <t>43999-099</t>
  </si>
  <si>
    <t>Total Residential &amp; Commercial Income</t>
  </si>
  <si>
    <t>44000-100</t>
  </si>
  <si>
    <t>44001-100</t>
  </si>
  <si>
    <t>Investment Income-GS 445 Meeting Owner, LLC</t>
  </si>
  <si>
    <t>44002-100</t>
  </si>
  <si>
    <t>Investment Income -Greystar 2018 Investors</t>
  </si>
  <si>
    <t>44005-100</t>
  </si>
  <si>
    <t>Investment Income</t>
  </si>
  <si>
    <t>44010-100</t>
  </si>
  <si>
    <t>Rental Real Estate Inc(Loss)</t>
  </si>
  <si>
    <t>44020-100</t>
  </si>
  <si>
    <t>Investment Interest Inc(Loss)</t>
  </si>
  <si>
    <t>44030-100</t>
  </si>
  <si>
    <t>Ordinary Income (Loss)</t>
  </si>
  <si>
    <t>44040-100</t>
  </si>
  <si>
    <t>Capital Gains (Loss)</t>
  </si>
  <si>
    <t>44050-100</t>
  </si>
  <si>
    <t>Depreciation / Amortization</t>
  </si>
  <si>
    <t>44060-100</t>
  </si>
  <si>
    <t>Investm. income in GDCV Residential Portfolio II, LP</t>
  </si>
  <si>
    <t>44061-100</t>
  </si>
  <si>
    <t>Investment income in GSHA, LLC</t>
  </si>
  <si>
    <t>44062-100</t>
  </si>
  <si>
    <t>Investment income in GS Fund 8 Limited Partner, LLC</t>
  </si>
  <si>
    <t>44063-100</t>
  </si>
  <si>
    <t>Investment income in GS Multifamily GP 8, LLC</t>
  </si>
  <si>
    <t>44100-100</t>
  </si>
  <si>
    <t>Investment Income - GEP</t>
  </si>
  <si>
    <t>44110-100</t>
  </si>
  <si>
    <t>Investment Income - GS CoInvestment</t>
  </si>
  <si>
    <t>44120-100</t>
  </si>
  <si>
    <t>Investment Income - GMS</t>
  </si>
  <si>
    <t>44121-100</t>
  </si>
  <si>
    <t>Investment Income - GMS National</t>
  </si>
  <si>
    <t>44130-100</t>
  </si>
  <si>
    <t>Investment Income - GREP South</t>
  </si>
  <si>
    <t>44140-100</t>
  </si>
  <si>
    <t>Investment Income - GREP Southeast</t>
  </si>
  <si>
    <t>44150-100</t>
  </si>
  <si>
    <t>Investment Income - GREP Southwest</t>
  </si>
  <si>
    <t>44160-100</t>
  </si>
  <si>
    <t>Investment Income - GREP Dallas</t>
  </si>
  <si>
    <t>44170-100</t>
  </si>
  <si>
    <t>Investment Income - GREP Central</t>
  </si>
  <si>
    <t>44180-100</t>
  </si>
  <si>
    <t>Investment Income - GIG</t>
  </si>
  <si>
    <t>44181-100</t>
  </si>
  <si>
    <t>Investment Income - Capital Projects Group</t>
  </si>
  <si>
    <t>44182-100</t>
  </si>
  <si>
    <t>Investment Income - Millharbour Master Unit Trust</t>
  </si>
  <si>
    <t>44183-100</t>
  </si>
  <si>
    <t>Investment Income - GS Sherwood Court Unit Trust</t>
  </si>
  <si>
    <t>44184-100</t>
  </si>
  <si>
    <t>Investment Income - GS London Portfolio I Unit Trust</t>
  </si>
  <si>
    <t>44185-100</t>
  </si>
  <si>
    <t>Investment Income - GS London Portfolio II Unit Trust</t>
  </si>
  <si>
    <t>44190-100</t>
  </si>
  <si>
    <t>Investment Income - GREP Atlantic</t>
  </si>
  <si>
    <t>44200-100</t>
  </si>
  <si>
    <t>Investment Income - Greystar SP Port</t>
  </si>
  <si>
    <t>44210-100</t>
  </si>
  <si>
    <t>Investment Income - GREP West</t>
  </si>
  <si>
    <t>44220-100</t>
  </si>
  <si>
    <t>Investment Income - GCC</t>
  </si>
  <si>
    <t>44230-100</t>
  </si>
  <si>
    <t>Investment Income - GREP Charleston</t>
  </si>
  <si>
    <t>44240-100</t>
  </si>
  <si>
    <t>Investment Income - Titan</t>
  </si>
  <si>
    <t>44250-100</t>
  </si>
  <si>
    <t>Investment Income - GREP Interests</t>
  </si>
  <si>
    <t>44260-100</t>
  </si>
  <si>
    <t>Investment Income - GS Advisors</t>
  </si>
  <si>
    <t>44270-100</t>
  </si>
  <si>
    <t>Investment Income - GS Columbia</t>
  </si>
  <si>
    <t>44290-100</t>
  </si>
  <si>
    <t>Investment Income - GS Atlantic</t>
  </si>
  <si>
    <t>44300-100</t>
  </si>
  <si>
    <t>Investment Income - Greystar GP</t>
  </si>
  <si>
    <t>44310-100</t>
  </si>
  <si>
    <t>Investment Income - GREA</t>
  </si>
  <si>
    <t>44320-100</t>
  </si>
  <si>
    <t>Investment Income - Sonterra CoInvestment</t>
  </si>
  <si>
    <t>44330-100</t>
  </si>
  <si>
    <t>Investment Income - GS CoInvestment II</t>
  </si>
  <si>
    <t>44335-100</t>
  </si>
  <si>
    <t>Investment Income - Greystar Development Group</t>
  </si>
  <si>
    <t>44336-100</t>
  </si>
  <si>
    <t>Inv Inc - GDG II</t>
  </si>
  <si>
    <t>44337-100</t>
  </si>
  <si>
    <t>Inv Inc - GDC Ground Up</t>
  </si>
  <si>
    <t>44338-100</t>
  </si>
  <si>
    <t>Investment Income - International</t>
  </si>
  <si>
    <t>44340-100</t>
  </si>
  <si>
    <t>Investment Income - Bridgeport CoInvestment</t>
  </si>
  <si>
    <t>44345-100</t>
  </si>
  <si>
    <t>Investment Income - Greystar California</t>
  </si>
  <si>
    <t>44350-100</t>
  </si>
  <si>
    <t>Investment Income - GS Ambridge</t>
  </si>
  <si>
    <t>44360-100</t>
  </si>
  <si>
    <t>Investment Income - GS Carmel</t>
  </si>
  <si>
    <t>44370-100</t>
  </si>
  <si>
    <t>Investment Income - The Village</t>
  </si>
  <si>
    <t>44380-100</t>
  </si>
  <si>
    <t>Investment Income - Soco Apts</t>
  </si>
  <si>
    <t>44390-100</t>
  </si>
  <si>
    <t>Investment Income - Soco Condos</t>
  </si>
  <si>
    <t>44400-100</t>
  </si>
  <si>
    <t>Investment Income - Hassell</t>
  </si>
  <si>
    <t>44405-100</t>
  </si>
  <si>
    <t>Investment Income - GIA</t>
  </si>
  <si>
    <t>44410-100</t>
  </si>
  <si>
    <t>Investment Income - GTP Charleston 1 LLC</t>
  </si>
  <si>
    <t>44420-100</t>
  </si>
  <si>
    <t>Investment Income - Hassell Tract Associates</t>
  </si>
  <si>
    <t>44430-100</t>
  </si>
  <si>
    <t>Investment Income - GS International Centers LLC</t>
  </si>
  <si>
    <t>44450-100</t>
  </si>
  <si>
    <t>Investment Income - Aventine</t>
  </si>
  <si>
    <t>44465-100</t>
  </si>
  <si>
    <t>Investment Income - Timberlake / Glades</t>
  </si>
  <si>
    <t>44467-100</t>
  </si>
  <si>
    <t>Investment Income - Carnes</t>
  </si>
  <si>
    <t>44470-100</t>
  </si>
  <si>
    <t>Investment Income - GS Mirage</t>
  </si>
  <si>
    <t>44480-100</t>
  </si>
  <si>
    <t>Investment Income - GS Symphony</t>
  </si>
  <si>
    <t>44485-100</t>
  </si>
  <si>
    <t>Investment Income - Quarry Lake</t>
  </si>
  <si>
    <t>44487-100</t>
  </si>
  <si>
    <t>Investment Income - Chastain Terrace</t>
  </si>
  <si>
    <t>44489-100</t>
  </si>
  <si>
    <t>Investment Income - Main Hotel</t>
  </si>
  <si>
    <t>44491-100</t>
  </si>
  <si>
    <t>Investment Income - Hampton Inn</t>
  </si>
  <si>
    <t>44493-100</t>
  </si>
  <si>
    <t>Investment Income - Oak Forest</t>
  </si>
  <si>
    <t>44495-100</t>
  </si>
  <si>
    <t>Investment Income - Belle Marais</t>
  </si>
  <si>
    <t>44496-100</t>
  </si>
  <si>
    <t>Investment Income - The Waterford</t>
  </si>
  <si>
    <t>44497-100</t>
  </si>
  <si>
    <t>Investment Income - Saratoga Ridge</t>
  </si>
  <si>
    <t>44498-100</t>
  </si>
  <si>
    <t>Investment Income - Beacon Lakes</t>
  </si>
  <si>
    <t>44499-100</t>
  </si>
  <si>
    <t>Investment Income - Plantation Lakes</t>
  </si>
  <si>
    <t>44500-100</t>
  </si>
  <si>
    <t>Investment Income - GEP V</t>
  </si>
  <si>
    <t>44501-100</t>
  </si>
  <si>
    <t>Investment Income - GEP VI</t>
  </si>
  <si>
    <t>44502-100</t>
  </si>
  <si>
    <t>Investment Income - Swallow Hill</t>
  </si>
  <si>
    <t>44503-100</t>
  </si>
  <si>
    <t>Investment Income - Rosslyn Coinvestment</t>
  </si>
  <si>
    <t>44504-100</t>
  </si>
  <si>
    <t>Investment Income - Summit MF</t>
  </si>
  <si>
    <t>44505-100</t>
  </si>
  <si>
    <t>Investment Income - 400 Mass Ave</t>
  </si>
  <si>
    <t>44506-100</t>
  </si>
  <si>
    <t>Investment Income - GS Mass Ave</t>
  </si>
  <si>
    <t>44507-100</t>
  </si>
  <si>
    <t>Investment Income - Courtlandt Square</t>
  </si>
  <si>
    <t>44508-100</t>
  </si>
  <si>
    <t>44509-100</t>
  </si>
  <si>
    <t>Investment Income - Flagler</t>
  </si>
  <si>
    <t>44510-100</t>
  </si>
  <si>
    <t>Investment Income - Arbrook Park</t>
  </si>
  <si>
    <t>44511-100</t>
  </si>
  <si>
    <t>Investment Income (Loss) - Consolidated Subs</t>
  </si>
  <si>
    <t>44512-100</t>
  </si>
  <si>
    <t>Investment Income - Scarpo</t>
  </si>
  <si>
    <t>44513-100</t>
  </si>
  <si>
    <t>Investment Income - Woodbridge</t>
  </si>
  <si>
    <t>44514-100</t>
  </si>
  <si>
    <t>Investment Income - GS Shadow</t>
  </si>
  <si>
    <t>44515-100</t>
  </si>
  <si>
    <t>Investment Income in Museo</t>
  </si>
  <si>
    <t>44516-100</t>
  </si>
  <si>
    <t>Investment Income in JPI Management Services LP</t>
  </si>
  <si>
    <t>44517-100</t>
  </si>
  <si>
    <t>Investment Income in JPI California Management Services</t>
  </si>
  <si>
    <t>44518-100</t>
  </si>
  <si>
    <t>Investment Income in JPI Apartment Management LP</t>
  </si>
  <si>
    <t>44519-100</t>
  </si>
  <si>
    <t>Investment Income in JPI Colorado Management Inc.</t>
  </si>
  <si>
    <t>44520-100</t>
  </si>
  <si>
    <t>Investment Income - Champions</t>
  </si>
  <si>
    <t>44521-100</t>
  </si>
  <si>
    <t>Investment Income - Yorktown</t>
  </si>
  <si>
    <t>44522-100</t>
  </si>
  <si>
    <t>Investment Income - GS Beach Club</t>
  </si>
  <si>
    <t>44523-100</t>
  </si>
  <si>
    <t>Investment Income - Lincoln Shores Associates</t>
  </si>
  <si>
    <t>44524-100</t>
  </si>
  <si>
    <t>Investment Income in GS Daniel Island</t>
  </si>
  <si>
    <t>44525-100</t>
  </si>
  <si>
    <t>Investment Income in GS Promote</t>
  </si>
  <si>
    <t>44526-100</t>
  </si>
  <si>
    <t>Investment Income in Daniel Island Associates</t>
  </si>
  <si>
    <t>44527-100</t>
  </si>
  <si>
    <t>Investment Income - San Marino Apartments</t>
  </si>
  <si>
    <t>44528-100</t>
  </si>
  <si>
    <t>Investment Income-Fort Totten</t>
  </si>
  <si>
    <t>44529-100</t>
  </si>
  <si>
    <t>Investment Income - Sunset View</t>
  </si>
  <si>
    <t>44530-100</t>
  </si>
  <si>
    <t>Investment Income - Mallard Crossing Associates</t>
  </si>
  <si>
    <t>44531-100</t>
  </si>
  <si>
    <t>Investment Income (WGS Lakewood Holdings)</t>
  </si>
  <si>
    <t>44532-100</t>
  </si>
  <si>
    <t>Investment Income(Broadstone)</t>
  </si>
  <si>
    <t>44533-100</t>
  </si>
  <si>
    <t>Investment Income (Park on the Creek)</t>
  </si>
  <si>
    <t>44534-100</t>
  </si>
  <si>
    <t>Investment Income (Philly Portfolio)</t>
  </si>
  <si>
    <t>44535-100</t>
  </si>
  <si>
    <t>Investment Income (Ave at Lindbergh)</t>
  </si>
  <si>
    <t>44536-100</t>
  </si>
  <si>
    <t>Investment Income (GS MF GP VII)</t>
  </si>
  <si>
    <t>44537-100</t>
  </si>
  <si>
    <t>Investment Income (GS Portfolio Investors)</t>
  </si>
  <si>
    <t>44538-100</t>
  </si>
  <si>
    <t>Investment Income (GS MF GP VIII)</t>
  </si>
  <si>
    <t>44539-100</t>
  </si>
  <si>
    <t>Investment Income (Coinv VIII)</t>
  </si>
  <si>
    <t>44540-100</t>
  </si>
  <si>
    <t>Investment Income (GS Portfolio Investors II)</t>
  </si>
  <si>
    <t>44541-100</t>
  </si>
  <si>
    <t>Investment Income (GS UK Portfolio I Inv)</t>
  </si>
  <si>
    <t>44542-100</t>
  </si>
  <si>
    <t>Investment Income (BRE)</t>
  </si>
  <si>
    <t>44543-100</t>
  </si>
  <si>
    <t>Investment Income - Partnerships 2nd (Athena)</t>
  </si>
  <si>
    <t>44544-100</t>
  </si>
  <si>
    <t>Investment Income - Partnerships 4th (UT Arlington)</t>
  </si>
  <si>
    <t>44545-100</t>
  </si>
  <si>
    <t>Investment Income – GEX 9026, LLC</t>
  </si>
  <si>
    <t>44546-100</t>
  </si>
  <si>
    <t>Investment Income - UNITE</t>
  </si>
  <si>
    <t>44547-100</t>
  </si>
  <si>
    <t>44548-100</t>
  </si>
  <si>
    <t>Investment Income - GEP VII</t>
  </si>
  <si>
    <t>44549-100</t>
  </si>
  <si>
    <t>Investment Income - GS Carnes</t>
  </si>
  <si>
    <t>44550-100</t>
  </si>
  <si>
    <t>Investment Income - South Lamar Plaza</t>
  </si>
  <si>
    <t>44551-100</t>
  </si>
  <si>
    <t>Investment Income - Huntington</t>
  </si>
  <si>
    <t>44552-100</t>
  </si>
  <si>
    <t>Investment Income - GUGV</t>
  </si>
  <si>
    <t>44553-100</t>
  </si>
  <si>
    <t>Investment Income - GSG Residential Portfolio</t>
  </si>
  <si>
    <t>44554-100</t>
  </si>
  <si>
    <t>Investment Income - GEP VIII</t>
  </si>
  <si>
    <t>44555-100</t>
  </si>
  <si>
    <t>Investment Income - GS Portfolio Investors II</t>
  </si>
  <si>
    <t>44556-100</t>
  </si>
  <si>
    <t>Investment Income - Kifer</t>
  </si>
  <si>
    <t>44557-100</t>
  </si>
  <si>
    <t>Investment Income - Palmetto Promenade</t>
  </si>
  <si>
    <t>44558-100</t>
  </si>
  <si>
    <t>Investment Income - Chestnut Phase II</t>
  </si>
  <si>
    <t>44559-100</t>
  </si>
  <si>
    <t>Investment Income - Greystar DI Investors</t>
  </si>
  <si>
    <t>44560-100</t>
  </si>
  <si>
    <t>Investment Income – GEX Holdings</t>
  </si>
  <si>
    <t>44561-100</t>
  </si>
  <si>
    <t>Investment Income Mueblos to Go</t>
  </si>
  <si>
    <t>44562-100</t>
  </si>
  <si>
    <t>Investment Income - Mexico Management</t>
  </si>
  <si>
    <t>44563-100</t>
  </si>
  <si>
    <t>Investment Income - Mexico Investment</t>
  </si>
  <si>
    <t>44564-100</t>
  </si>
  <si>
    <t>Investment Income - Mexico Rehab</t>
  </si>
  <si>
    <t>44565-100</t>
  </si>
  <si>
    <t>Investment Income - Mexico Development</t>
  </si>
  <si>
    <t>44566-100</t>
  </si>
  <si>
    <t>Investment Income - Mexico CGU</t>
  </si>
  <si>
    <t>44567-100</t>
  </si>
  <si>
    <t>Investment Income - Mexico Functions</t>
  </si>
  <si>
    <t>44568-100</t>
  </si>
  <si>
    <t>Investment Income - PLA Operadora</t>
  </si>
  <si>
    <t>44569-100</t>
  </si>
  <si>
    <t>Investment Income - PLA Servicios</t>
  </si>
  <si>
    <t>44570-100</t>
  </si>
  <si>
    <t>Investment Income - Mueblos to go</t>
  </si>
  <si>
    <t>44571-100</t>
  </si>
  <si>
    <t>Investment Income - Europe Management</t>
  </si>
  <si>
    <t>44572-100</t>
  </si>
  <si>
    <t>Investment Income - Europe Management - US Based</t>
  </si>
  <si>
    <t>44573-100</t>
  </si>
  <si>
    <t>Investment Income - Europe Investment</t>
  </si>
  <si>
    <t>44574-100</t>
  </si>
  <si>
    <t>Investment Income - Europe Investment - US Based</t>
  </si>
  <si>
    <t>44575-100</t>
  </si>
  <si>
    <t>Investment Income - Europe Rehab</t>
  </si>
  <si>
    <t>44576-100</t>
  </si>
  <si>
    <t>Investment Income - Europe Rehab - US Based</t>
  </si>
  <si>
    <t>44577-100</t>
  </si>
  <si>
    <t>Investment Income - Europe Development</t>
  </si>
  <si>
    <t>44578-100</t>
  </si>
  <si>
    <t>Investment Income - Europe Development - US Based</t>
  </si>
  <si>
    <t>44579-100</t>
  </si>
  <si>
    <t>Investment Income - Europe CGU</t>
  </si>
  <si>
    <t>44580-100</t>
  </si>
  <si>
    <t>Investment Income - Europe CGU - US Based</t>
  </si>
  <si>
    <t>44581-100</t>
  </si>
  <si>
    <t>Investment Income - Europe Functions</t>
  </si>
  <si>
    <t>44582-100</t>
  </si>
  <si>
    <t>Investment Income - Europe Functions - US Based</t>
  </si>
  <si>
    <t>44583-100</t>
  </si>
  <si>
    <t>Investment Income - London Management</t>
  </si>
  <si>
    <t>44584-100</t>
  </si>
  <si>
    <t>Investment Income - London Management - US Based</t>
  </si>
  <si>
    <t>44585-100</t>
  </si>
  <si>
    <t>Investment Income - London Investment</t>
  </si>
  <si>
    <t>44586-100</t>
  </si>
  <si>
    <t>Investment Income - London Investment - US Based</t>
  </si>
  <si>
    <t>44587-100</t>
  </si>
  <si>
    <t>Investment Income - London Rehab</t>
  </si>
  <si>
    <t>44588-100</t>
  </si>
  <si>
    <t>Investment Income - London Rehab - US Based</t>
  </si>
  <si>
    <t>44589-100</t>
  </si>
  <si>
    <t>Investment Income - London Development</t>
  </si>
  <si>
    <t>44590-100</t>
  </si>
  <si>
    <t>Investment Income - London Development - US Based</t>
  </si>
  <si>
    <t>44591-100</t>
  </si>
  <si>
    <t>Investment Income - London CGU</t>
  </si>
  <si>
    <t>44592-100</t>
  </si>
  <si>
    <t>Investment Income - London CGU - US Based</t>
  </si>
  <si>
    <t>44593-100</t>
  </si>
  <si>
    <t>Investment Income - London Functions</t>
  </si>
  <si>
    <t>44594-100</t>
  </si>
  <si>
    <t>Investment Income - London Functions - US Based</t>
  </si>
  <si>
    <t>44595-100</t>
  </si>
  <si>
    <t>Investment Income - Netherlands Investment</t>
  </si>
  <si>
    <t>44596-100</t>
  </si>
  <si>
    <t>Investment Income - Netherlands Investment - US Based</t>
  </si>
  <si>
    <t>44597-100</t>
  </si>
  <si>
    <t>Investment Income - Riverstone</t>
  </si>
  <si>
    <t>44598-100</t>
  </si>
  <si>
    <t>Investment Income - Nido</t>
  </si>
  <si>
    <t>44599-100</t>
  </si>
  <si>
    <t>Investment Income - Assam</t>
  </si>
  <si>
    <t>44600-100</t>
  </si>
  <si>
    <t>Investment Income - Administrative Services</t>
  </si>
  <si>
    <t>44601-100</t>
  </si>
  <si>
    <t>Investment Income - GDCV</t>
  </si>
  <si>
    <t>44602-100</t>
  </si>
  <si>
    <t>Investment Income- GDCV II</t>
  </si>
  <si>
    <t>44603-100</t>
  </si>
  <si>
    <t>44604-100</t>
  </si>
  <si>
    <t>Investment Income - GS Fund IX</t>
  </si>
  <si>
    <t>44605-100</t>
  </si>
  <si>
    <t>Investment Income - GREP</t>
  </si>
  <si>
    <t>44606-100</t>
  </si>
  <si>
    <t>Investment Income - GMS PM</t>
  </si>
  <si>
    <t>44607-100</t>
  </si>
  <si>
    <t>Investment Income - GMS CORP</t>
  </si>
  <si>
    <t>44608-100</t>
  </si>
  <si>
    <t>Investment Income- Courier Square Project</t>
  </si>
  <si>
    <t>44609-100</t>
  </si>
  <si>
    <t>Investment Income - Orange House ZC</t>
  </si>
  <si>
    <t>44610-100</t>
  </si>
  <si>
    <t>Investment Income-Courier Square Project</t>
  </si>
  <si>
    <t>44611-100</t>
  </si>
  <si>
    <t>Investment Income-Portefeuille de developpements residentie</t>
  </si>
  <si>
    <t>44612-100</t>
  </si>
  <si>
    <t>44613-100</t>
  </si>
  <si>
    <t>Investment Income - Elan Riverwalk</t>
  </si>
  <si>
    <t>44614-100</t>
  </si>
  <si>
    <t>Investment Income - GS/PR II Artwalk Holdings, LLC</t>
  </si>
  <si>
    <t>44615-100</t>
  </si>
  <si>
    <t>Investment Income- Greystar UK Portfolio I Investors</t>
  </si>
  <si>
    <t>44616-100</t>
  </si>
  <si>
    <t>Investment Income- Greystar Nido Portfolio Investors, LLC</t>
  </si>
  <si>
    <t>44617-100</t>
  </si>
  <si>
    <t>Investment Income- Greystar Assam Place Investors, LLC</t>
  </si>
  <si>
    <t>44618-100</t>
  </si>
  <si>
    <t>Investment Income- GS Netherlands I Co Investment, LLC</t>
  </si>
  <si>
    <t>44619-100</t>
  </si>
  <si>
    <t>Investment Income - CPI-GREP AA I, L.L.C.</t>
  </si>
  <si>
    <t>44620-100</t>
  </si>
  <si>
    <t>Investment Income - GS Fort Totten Manager</t>
  </si>
  <si>
    <t>44621-100</t>
  </si>
  <si>
    <t>Investment Income- UrbanDoor</t>
  </si>
  <si>
    <t>44622-100</t>
  </si>
  <si>
    <t>Investment Income - GEP IX</t>
  </si>
  <si>
    <t>44623-100</t>
  </si>
  <si>
    <t>Investment Income - GS Greenford Investor, LLC</t>
  </si>
  <si>
    <t>44624-100</t>
  </si>
  <si>
    <t>Investment Income - GS Sherwood Court Investor, LLC</t>
  </si>
  <si>
    <t>44625-100</t>
  </si>
  <si>
    <t>Investment Income- Netherlands Management</t>
  </si>
  <si>
    <t>44626-100</t>
  </si>
  <si>
    <t>Investment Income- Netherlands Rehab</t>
  </si>
  <si>
    <t>44627-100</t>
  </si>
  <si>
    <t>Investment Income- Netherlands Development</t>
  </si>
  <si>
    <t>44628-100</t>
  </si>
  <si>
    <t>Investment Income - Netherlands Construction Ground Up</t>
  </si>
  <si>
    <t>44629-100</t>
  </si>
  <si>
    <t>Investment Income GS Chelsea GP, LLC</t>
  </si>
  <si>
    <t>44630-100</t>
  </si>
  <si>
    <t>Investment Income- Greystar Chelsea Investor, LLC</t>
  </si>
  <si>
    <t>44631-100</t>
  </si>
  <si>
    <t>Investment Income - Coinvestment 9</t>
  </si>
  <si>
    <t>44632-100</t>
  </si>
  <si>
    <t>Investment Income - Coinvestment 8</t>
  </si>
  <si>
    <t>44633-100</t>
  </si>
  <si>
    <t>Investment Income - Millharbour</t>
  </si>
  <si>
    <t>44634-100</t>
  </si>
  <si>
    <t>Investment Income  GS Netherlands Manco BV</t>
  </si>
  <si>
    <t>44635-100</t>
  </si>
  <si>
    <t>Investment Income GREP OldCo</t>
  </si>
  <si>
    <t>44636-100</t>
  </si>
  <si>
    <t>Investment Income GREP NewCo</t>
  </si>
  <si>
    <t>44637-100</t>
  </si>
  <si>
    <t>Investment Income GSIC Totten LP</t>
  </si>
  <si>
    <t>44638-100</t>
  </si>
  <si>
    <t>Investment income - Investment in GS Greenford Unit Trust</t>
  </si>
  <si>
    <t>44639-100</t>
  </si>
  <si>
    <t>Investment income - Investment in GS Sherwood Court Unit T</t>
  </si>
  <si>
    <t>44640-100</t>
  </si>
  <si>
    <t>Investment income - Investment in Millharbour Master Unit T</t>
  </si>
  <si>
    <t>44641-100</t>
  </si>
  <si>
    <t>Investment income - Investment in GS Millharbour Co-Invest</t>
  </si>
  <si>
    <t>44642-100</t>
  </si>
  <si>
    <t>Investment income - Investment in GS Midtown Hotel Holdin</t>
  </si>
  <si>
    <t>44643-100</t>
  </si>
  <si>
    <t>Investment income - Investment in GS Midtown Hotel, LLC</t>
  </si>
  <si>
    <t>44644-100</t>
  </si>
  <si>
    <t>Investment income - Investment in GS Mexico Portfolio Invest</t>
  </si>
  <si>
    <t>44645-100</t>
  </si>
  <si>
    <t>Investment income - GS Mexico General Partner, LLC</t>
  </si>
  <si>
    <t>44646-100</t>
  </si>
  <si>
    <t>Investment Income GS Netherlands CDZ Expansion GP BV</t>
  </si>
  <si>
    <t>44647-100</t>
  </si>
  <si>
    <t>Investment Income GS Netherlands CDZ Parking GP BV</t>
  </si>
  <si>
    <t>44648-100</t>
  </si>
  <si>
    <t>Investment Income GS Netherlands AMC GP BV</t>
  </si>
  <si>
    <t>44649-100</t>
  </si>
  <si>
    <t>Investment Income GS Netherlands AMC Student GP BV</t>
  </si>
  <si>
    <t>44650-100</t>
  </si>
  <si>
    <t>Investment Income GS Netherlands Bright GP BV</t>
  </si>
  <si>
    <t>44651-100</t>
  </si>
  <si>
    <t>Investment Income GS Netherlands Manco BV</t>
  </si>
  <si>
    <t>44652-100</t>
  </si>
  <si>
    <t>Investment Income GS Netherlands GP BV</t>
  </si>
  <si>
    <t>44653-100</t>
  </si>
  <si>
    <t>Investment Income GS Netherlands CDZ GP BV</t>
  </si>
  <si>
    <t>44654-100</t>
  </si>
  <si>
    <t>Investment Income GS Midtown Hotel Owner LLC</t>
  </si>
  <si>
    <t>44655-100</t>
  </si>
  <si>
    <t>Investment Income - Greystar UK Portfolio II Investors, LLC</t>
  </si>
  <si>
    <t>44656-100</t>
  </si>
  <si>
    <t>Investment income - GS London Portfolio II Unit Trust</t>
  </si>
  <si>
    <t>44657-100</t>
  </si>
  <si>
    <t>Investment Income Greystar 2016 Investors, LLC</t>
  </si>
  <si>
    <t>44658-100</t>
  </si>
  <si>
    <t>Investment Income - GS UTA Holdings, LLC</t>
  </si>
  <si>
    <t>44659-100</t>
  </si>
  <si>
    <t>Investment Income - UTA Student Living LP</t>
  </si>
  <si>
    <t>44660-100</t>
  </si>
  <si>
    <t>Investment Income - Greystar Mexico Holdings LLC - Investmen</t>
  </si>
  <si>
    <t>44661-100</t>
  </si>
  <si>
    <t>Investment Income - GS UK Portfolio II Investors, LLC</t>
  </si>
  <si>
    <t>44662-100</t>
  </si>
  <si>
    <t>Investment Income - GEHL Corp</t>
  </si>
  <si>
    <t>44663-100</t>
  </si>
  <si>
    <t>Investment Income - Netherlands Management US Based</t>
  </si>
  <si>
    <t>44664-100</t>
  </si>
  <si>
    <t>Investment Income Netherlands Development B.V.</t>
  </si>
  <si>
    <t>44665-100</t>
  </si>
  <si>
    <t>Investment income GS University View Member LLC</t>
  </si>
  <si>
    <t>44666-100</t>
  </si>
  <si>
    <t>Investment Income University View Venture LLC</t>
  </si>
  <si>
    <t>44667-100</t>
  </si>
  <si>
    <t>Investment Income - GS HTA Investors, LLC</t>
  </si>
  <si>
    <t>44668-100</t>
  </si>
  <si>
    <t>Investment income- Fund VII Investors, LLC</t>
  </si>
  <si>
    <t>44669-100</t>
  </si>
  <si>
    <t>Investment income- UTA Student Living, LP</t>
  </si>
  <si>
    <t>44670-100</t>
  </si>
  <si>
    <t>Investment income- GEP Coinvestment IX, LLC</t>
  </si>
  <si>
    <t>44671-100</t>
  </si>
  <si>
    <t>Investment income- GEP IX Investors, LLC</t>
  </si>
  <si>
    <t>44672-100</t>
  </si>
  <si>
    <t>Investment income- Greystar Multifamily GP IX, LLC</t>
  </si>
  <si>
    <t>44673-100</t>
  </si>
  <si>
    <t>Investment Income - Fondo de Inversion Credicorp Renta Resid</t>
  </si>
  <si>
    <t>44674-100</t>
  </si>
  <si>
    <t>Investment Income - GS Chile Portfolio Investors</t>
  </si>
  <si>
    <t>44675-100</t>
  </si>
  <si>
    <t>Investment Income - GS AFN Investor, LLC</t>
  </si>
  <si>
    <t>44676-100</t>
  </si>
  <si>
    <t>Investment Income - GS AFN Master Unit Trust</t>
  </si>
  <si>
    <t>44677-100</t>
  </si>
  <si>
    <t>Investment Income - GS Freedom Circle Holdings, LLC</t>
  </si>
  <si>
    <t>44678-100</t>
  </si>
  <si>
    <t>Investment Income - Freedom Circle Venture, LLC</t>
  </si>
  <si>
    <t>44679-100</t>
  </si>
  <si>
    <t>Investment Income in Savoy Circus Investor LLC</t>
  </si>
  <si>
    <t>44680-100</t>
  </si>
  <si>
    <t>Investment Income-CPI GREP AA I Destinations Venture II, LLC</t>
  </si>
  <si>
    <t>44681-100</t>
  </si>
  <si>
    <t>Investment Income - CPI GREP AA I Destinations Venture, LLC</t>
  </si>
  <si>
    <t>44682-100</t>
  </si>
  <si>
    <t>Investment Income - GS Mexico CKD Investor, LLC</t>
  </si>
  <si>
    <t>44683-100</t>
  </si>
  <si>
    <t>Investment Income- GS Totten LP, LLC</t>
  </si>
  <si>
    <t>44684-100</t>
  </si>
  <si>
    <t>Investment Income - GS Totten GP, LLC</t>
  </si>
  <si>
    <t>44685-100</t>
  </si>
  <si>
    <t>44686-100</t>
  </si>
  <si>
    <t>44687-100</t>
  </si>
  <si>
    <t>44688-100</t>
  </si>
  <si>
    <t>44689-100</t>
  </si>
  <si>
    <t>Investment Income in GS Quill Investor, LLC Acct</t>
  </si>
  <si>
    <t>44690-100</t>
  </si>
  <si>
    <t>Investment Income in GS Quill Master Unit Trust Acct</t>
  </si>
  <si>
    <t>44691-100</t>
  </si>
  <si>
    <t>Investment Income - GS Savoy Circus Master Unit Trust</t>
  </si>
  <si>
    <t>44692-100</t>
  </si>
  <si>
    <t>Investment Income - Active Adult Acquisitions, LLC</t>
  </si>
  <si>
    <t>44693-100</t>
  </si>
  <si>
    <t>Investment Income - GREP Oldco Carried Interest, LLC</t>
  </si>
  <si>
    <t>44694-100</t>
  </si>
  <si>
    <t>Investment Income - GREP Newco Capital Members, LLC</t>
  </si>
  <si>
    <t>44695-100</t>
  </si>
  <si>
    <t>Investment Income - GREP Management CI Holdings, LLC</t>
  </si>
  <si>
    <t>44696-100</t>
  </si>
  <si>
    <t>44697-100</t>
  </si>
  <si>
    <t>44698-100</t>
  </si>
  <si>
    <t>Investment Income - JMI - GREP Holdings, LLC</t>
  </si>
  <si>
    <t>44699-100</t>
  </si>
  <si>
    <t>Investment Income - WP - GREP Holdings, LLC</t>
  </si>
  <si>
    <t>44700-100</t>
  </si>
  <si>
    <t>Investment Income - GDCV GP</t>
  </si>
  <si>
    <t>44701-100</t>
  </si>
  <si>
    <t>Investment Income - GMS Property</t>
  </si>
  <si>
    <t>44702-100</t>
  </si>
  <si>
    <t>Investment Income - Greystar Acquisitions</t>
  </si>
  <si>
    <t>44703-100</t>
  </si>
  <si>
    <t>Investment Income - Greystar Chile Investment</t>
  </si>
  <si>
    <t>44704-100</t>
  </si>
  <si>
    <t>Investment Income - GS Chile Portfolio Investors LLC</t>
  </si>
  <si>
    <t>44705-100</t>
  </si>
  <si>
    <t>Investment Income - GS Netherlands II Co-Inv LLC</t>
  </si>
  <si>
    <t>44706-100</t>
  </si>
  <si>
    <t>Investment Income - Netherlands Rehab ? US Based</t>
  </si>
  <si>
    <t>44707-100</t>
  </si>
  <si>
    <t>Investment Income - PLA Operadora Investment</t>
  </si>
  <si>
    <t>44708-100</t>
  </si>
  <si>
    <t>Investment Income - Greystar Chile Management</t>
  </si>
  <si>
    <t>44709-100</t>
  </si>
  <si>
    <t>Investment Income - CPR-GREP AA Vallecitos, LLC</t>
  </si>
  <si>
    <t>44710-100</t>
  </si>
  <si>
    <t>Investment Income in GS Memorial Park Phase II, LLC</t>
  </si>
  <si>
    <t>44711-100</t>
  </si>
  <si>
    <t>44712-100</t>
  </si>
  <si>
    <t>44713-100</t>
  </si>
  <si>
    <t>Investment Income - Greystar Chile - Construction</t>
  </si>
  <si>
    <t>44714-100</t>
  </si>
  <si>
    <t>Investment Income - Greystar Chile - Development</t>
  </si>
  <si>
    <t>44715-100</t>
  </si>
  <si>
    <t>Investment Income - GS UK Multifamily Investor, LLC</t>
  </si>
  <si>
    <t>44716-100</t>
  </si>
  <si>
    <t>Investment Income - GS UK Multifamily Unit Trust</t>
  </si>
  <si>
    <t>44717-100</t>
  </si>
  <si>
    <t>44718-100</t>
  </si>
  <si>
    <t>Investment Income - GS Chelsea Coinvestment LP</t>
  </si>
  <si>
    <t>44719-100</t>
  </si>
  <si>
    <t>Investment Income - GS 247 N7th Williamsburg Coinvestment LP</t>
  </si>
  <si>
    <t>44720-100</t>
  </si>
  <si>
    <t>Investment Income in Greystar TT, LP</t>
  </si>
  <si>
    <t>44721-100</t>
  </si>
  <si>
    <t>Investment Income in Greystar TT Limited Partner, LLC</t>
  </si>
  <si>
    <t>44722-100</t>
  </si>
  <si>
    <t>Investment Income in Greystar TT GP, LLC</t>
  </si>
  <si>
    <t>44723-100</t>
  </si>
  <si>
    <t>Investment Income in GS Sunnyvale Holdings, LLC</t>
  </si>
  <si>
    <t>44724-100</t>
  </si>
  <si>
    <t>Investment Income in Greystar Coinvestment X, LLC</t>
  </si>
  <si>
    <t>44725-100</t>
  </si>
  <si>
    <t>Investment Income - GS Spain Investor, LLC</t>
  </si>
  <si>
    <t>44726-100</t>
  </si>
  <si>
    <t>Investment Income - GS Holloway Road Investor, LLC</t>
  </si>
  <si>
    <t>44727-100</t>
  </si>
  <si>
    <t>Investment Income in Greystar Growth and Income Fund, LP</t>
  </si>
  <si>
    <t>44728-100</t>
  </si>
  <si>
    <t>Investment Income in Greystar Growth and Income GP, LLC</t>
  </si>
  <si>
    <t>44729-100</t>
  </si>
  <si>
    <t>Investment Income in GS NE Investor, LLC</t>
  </si>
  <si>
    <t>44730-100</t>
  </si>
  <si>
    <t>Investment Income in GS NE Master Unit Trust</t>
  </si>
  <si>
    <t>44731-100</t>
  </si>
  <si>
    <t>Investment Income - Mirtocan Spain SL</t>
  </si>
  <si>
    <t>44732-100</t>
  </si>
  <si>
    <t>Investment Income - GS Holloway Road Master Unit Trust</t>
  </si>
  <si>
    <t>44733-100</t>
  </si>
  <si>
    <t>Investment Income - GS Unity Holdings, LLC</t>
  </si>
  <si>
    <t>44734-100</t>
  </si>
  <si>
    <t>Investment Income - BIT GRP Unity, LLC</t>
  </si>
  <si>
    <t>44735-100</t>
  </si>
  <si>
    <t>Investment income in CPI GREP AA I Buena Vida, LLC</t>
  </si>
  <si>
    <t>44735-101</t>
  </si>
  <si>
    <t>Investment income in CPI GREP AA I Buena Vida,(Do Not Use)</t>
  </si>
  <si>
    <t>44736-100</t>
  </si>
  <si>
    <t>Investment Income in RESA</t>
  </si>
  <si>
    <t>44737-100</t>
  </si>
  <si>
    <t>Investment Income in Germany</t>
  </si>
  <si>
    <t>44738-100</t>
  </si>
  <si>
    <t>Investment Income in GS Rockoff Holdings, LLC</t>
  </si>
  <si>
    <t>44739-100</t>
  </si>
  <si>
    <t>Investment Income in GS-B3 Rockoff Venture, LLC</t>
  </si>
  <si>
    <t>44740-100</t>
  </si>
  <si>
    <t>Investment Income in Elan Memorial Park Phase II</t>
  </si>
  <si>
    <t>44741-100</t>
  </si>
  <si>
    <t>Investment Income In GS Netherlands I Promote, LLC</t>
  </si>
  <si>
    <t>44742-100</t>
  </si>
  <si>
    <t>Investment Income In GS Netherlands Promote II, LLC</t>
  </si>
  <si>
    <t>44743-100</t>
  </si>
  <si>
    <t>Investment Income In GS Mexico CKD Manager</t>
  </si>
  <si>
    <t>44744-100</t>
  </si>
  <si>
    <t>Investment Income - GREP Uptown Holdings, LLC</t>
  </si>
  <si>
    <t>44745-100</t>
  </si>
  <si>
    <t>Investment income in Uptown Joint Venture, LLC</t>
  </si>
  <si>
    <t>44746-100</t>
  </si>
  <si>
    <t>Investment Income - Greystar Growth and Income LTP, LP</t>
  </si>
  <si>
    <t>44747-100</t>
  </si>
  <si>
    <t>Investment Income - Greystar Credit Partners I, LP</t>
  </si>
  <si>
    <t>44748-100</t>
  </si>
  <si>
    <t>Investment Income - Alfred Club Inc.</t>
  </si>
  <si>
    <t>44749-100</t>
  </si>
  <si>
    <t>Investment Income - GS PK Employee Coinvestment, LLC</t>
  </si>
  <si>
    <t>44750-100</t>
  </si>
  <si>
    <t>Investment Income - Greystar Investment Management Limited</t>
  </si>
  <si>
    <t>44751-100</t>
  </si>
  <si>
    <t>Investment Income - GS Diller Holdings, LLC</t>
  </si>
  <si>
    <t>44752-100</t>
  </si>
  <si>
    <t>Investment Income - GS Diller Subsidiary, LLC</t>
  </si>
  <si>
    <t>44753-100</t>
  </si>
  <si>
    <t>Investment Income Greystar BCS Holdings, LLC</t>
  </si>
  <si>
    <t>44754-100</t>
  </si>
  <si>
    <t>Investment Income - Greystar Project BCS, LLC</t>
  </si>
  <si>
    <t>44755-100</t>
  </si>
  <si>
    <t>Investment Income BCS Project JV, LLC</t>
  </si>
  <si>
    <t>44756-100</t>
  </si>
  <si>
    <t>Invest income in Greenford Investor 2, LLC</t>
  </si>
  <si>
    <t>44757-100</t>
  </si>
  <si>
    <t>Invest income in Moderne Ventures Fund I, LP</t>
  </si>
  <si>
    <t>44758-100</t>
  </si>
  <si>
    <t>Investment Income - Greystar 2018 Investors, LLC</t>
  </si>
  <si>
    <t>44999-199</t>
  </si>
  <si>
    <t>Total Investment Income</t>
  </si>
  <si>
    <t>45000-100</t>
  </si>
  <si>
    <t>Miscellaneous Rental Income</t>
  </si>
  <si>
    <t>45010-100</t>
  </si>
  <si>
    <t>Rental Income - Office Tenants</t>
  </si>
  <si>
    <t>45020-100</t>
  </si>
  <si>
    <t>Rental Income - Furn Fix &amp; Equip</t>
  </si>
  <si>
    <t>45030-100</t>
  </si>
  <si>
    <t>Other Rental Income</t>
  </si>
  <si>
    <t>45999-199</t>
  </si>
  <si>
    <t>Total Miscellaneous Rental Income</t>
  </si>
  <si>
    <t>46000-100</t>
  </si>
  <si>
    <t>Operational Fees</t>
  </si>
  <si>
    <t>46010-100</t>
  </si>
  <si>
    <t>46011-100</t>
  </si>
  <si>
    <t>Asset Management Fees - 3rd Party</t>
  </si>
  <si>
    <t>46012-100</t>
  </si>
  <si>
    <t>Asset Management Fees - Reserved</t>
  </si>
  <si>
    <t>46015-100</t>
  </si>
  <si>
    <t>46020-100</t>
  </si>
  <si>
    <t>Property Management Fees</t>
  </si>
  <si>
    <t>46022-100</t>
  </si>
  <si>
    <t>Property Management Fees - Internal Allocation</t>
  </si>
  <si>
    <t>46025-100</t>
  </si>
  <si>
    <t>Investor Management Fees</t>
  </si>
  <si>
    <t>46026-100</t>
  </si>
  <si>
    <t>Investment Mgmt Fee Offset</t>
  </si>
  <si>
    <t>46027-100</t>
  </si>
  <si>
    <t>Commercial Management Fee</t>
  </si>
  <si>
    <t>46028-100</t>
  </si>
  <si>
    <t>Coinvestment Fees</t>
  </si>
  <si>
    <t>46029-100</t>
  </si>
  <si>
    <t>Corporate Housing</t>
  </si>
  <si>
    <t>46030-100</t>
  </si>
  <si>
    <t>Lease Up Fees</t>
  </si>
  <si>
    <t>46031-100</t>
  </si>
  <si>
    <t>Incentive Fees</t>
  </si>
  <si>
    <t>46032-100</t>
  </si>
  <si>
    <t>Investment Advisory Fee- Close Ended Funds</t>
  </si>
  <si>
    <t>46033-100</t>
  </si>
  <si>
    <t>Investment Advisory Fee- Open Ended Funds</t>
  </si>
  <si>
    <t>46034-100</t>
  </si>
  <si>
    <t>Investment Advisory Fee- JV and Separate Accounts</t>
  </si>
  <si>
    <t>46035-100</t>
  </si>
  <si>
    <t>Takeover / Disposition Fees</t>
  </si>
  <si>
    <t>46036-100</t>
  </si>
  <si>
    <t>Investment Advisory Fee- Debt Fund</t>
  </si>
  <si>
    <t>46040-100</t>
  </si>
  <si>
    <t>Due Diligence Fees</t>
  </si>
  <si>
    <t>46046-100</t>
  </si>
  <si>
    <t>Investment Mgmt Fees - Holiday</t>
  </si>
  <si>
    <t>46060-100</t>
  </si>
  <si>
    <t>Operational Fees / Rehab Fees</t>
  </si>
  <si>
    <t>46070-100</t>
  </si>
  <si>
    <t>Brokerage Fees</t>
  </si>
  <si>
    <t>46080-100</t>
  </si>
  <si>
    <t>46090-100</t>
  </si>
  <si>
    <t>Construction Fees - Sales</t>
  </si>
  <si>
    <t>46091-100</t>
  </si>
  <si>
    <t>Quality Control Income</t>
  </si>
  <si>
    <t>46092-100</t>
  </si>
  <si>
    <t>Quality Control Income - Offset</t>
  </si>
  <si>
    <t>46095-100</t>
  </si>
  <si>
    <t>HOA Fees</t>
  </si>
  <si>
    <t>46100-100</t>
  </si>
  <si>
    <t>Construction Fees - Cost of Sales</t>
  </si>
  <si>
    <t>46110-100</t>
  </si>
  <si>
    <t>After Completion Costs (Warranty)</t>
  </si>
  <si>
    <t>46120-100</t>
  </si>
  <si>
    <t>Development Fees</t>
  </si>
  <si>
    <t>46121-100</t>
  </si>
  <si>
    <t>Deferred Development Fees</t>
  </si>
  <si>
    <t>46122-100</t>
  </si>
  <si>
    <t>Deferred GC Fees</t>
  </si>
  <si>
    <t>46123-100</t>
  </si>
  <si>
    <t>Development Reimbursed Expenses</t>
  </si>
  <si>
    <t>46124-100</t>
  </si>
  <si>
    <t>GC IX Fee Distribution</t>
  </si>
  <si>
    <t>46125-100</t>
  </si>
  <si>
    <t>GC IV Fee Distribution</t>
  </si>
  <si>
    <t>46126-100</t>
  </si>
  <si>
    <t>Construction Savings Sharing</t>
  </si>
  <si>
    <t>46127-100</t>
  </si>
  <si>
    <t>GC VI Fee Distribution</t>
  </si>
  <si>
    <t>46128-100</t>
  </si>
  <si>
    <t>GC VII Fee Distribution</t>
  </si>
  <si>
    <t>46129-100</t>
  </si>
  <si>
    <t>Fee Distribution - Other</t>
  </si>
  <si>
    <t>46130-100</t>
  </si>
  <si>
    <t>Rehab Fees - Sales</t>
  </si>
  <si>
    <t>46132-100</t>
  </si>
  <si>
    <t>GC X Fee Distribution</t>
  </si>
  <si>
    <t>46140-100</t>
  </si>
  <si>
    <t>Rehab Fees - Cost of Sales</t>
  </si>
  <si>
    <t>46150-100</t>
  </si>
  <si>
    <t>Rehab Fees - Commissions</t>
  </si>
  <si>
    <t>46151-100</t>
  </si>
  <si>
    <t>Rehab Fees - Adjustments</t>
  </si>
  <si>
    <t>46180-100</t>
  </si>
  <si>
    <t>Other Income - Risk Management Fees</t>
  </si>
  <si>
    <t>46181-100</t>
  </si>
  <si>
    <t>Marsh Commission Rebate</t>
  </si>
  <si>
    <t>46182-100</t>
  </si>
  <si>
    <t>G/L Insurance</t>
  </si>
  <si>
    <t>46183-100</t>
  </si>
  <si>
    <t>Deductible Reimbursement</t>
  </si>
  <si>
    <t>46190-100</t>
  </si>
  <si>
    <t>Other Income - Floater Premium</t>
  </si>
  <si>
    <t>46200-100</t>
  </si>
  <si>
    <t>Other Income - Group Insurance</t>
  </si>
  <si>
    <t>46210-100</t>
  </si>
  <si>
    <t>Other Income - Accounting Fees</t>
  </si>
  <si>
    <t>46220-100</t>
  </si>
  <si>
    <t>Other Income - Miscellaneous Operational</t>
  </si>
  <si>
    <t>46225-100</t>
  </si>
  <si>
    <t>Other Income - Vendor Service</t>
  </si>
  <si>
    <t>46230-100</t>
  </si>
  <si>
    <t>Estimating Costs</t>
  </si>
  <si>
    <t>46240-100</t>
  </si>
  <si>
    <t>JV Fee 3rd Party Work</t>
  </si>
  <si>
    <t>46250-100</t>
  </si>
  <si>
    <t>Transaction Fees</t>
  </si>
  <si>
    <t>46260-100</t>
  </si>
  <si>
    <t>Construction Mgmt Fees</t>
  </si>
  <si>
    <t>46270-100</t>
  </si>
  <si>
    <t>Construction Mgmt Costs</t>
  </si>
  <si>
    <t>46280-100</t>
  </si>
  <si>
    <t>Cost Reimbursements Revenue</t>
  </si>
  <si>
    <t>46310-100</t>
  </si>
  <si>
    <t>Payroll Check Fees</t>
  </si>
  <si>
    <t>46311-100</t>
  </si>
  <si>
    <t>Payroll Check Fees - Loss</t>
  </si>
  <si>
    <t>46315-100</t>
  </si>
  <si>
    <t>Yieldstar Fees</t>
  </si>
  <si>
    <t>46320-100</t>
  </si>
  <si>
    <t>Training Reimbursement Fees</t>
  </si>
  <si>
    <t>46321-100</t>
  </si>
  <si>
    <t>Training Reimbursement Fees - Loss</t>
  </si>
  <si>
    <t>46330-100</t>
  </si>
  <si>
    <t>Software Reimbursement Fees</t>
  </si>
  <si>
    <t>46331-100</t>
  </si>
  <si>
    <t>Software Reimbursement Fees - Loss</t>
  </si>
  <si>
    <t>46340-100</t>
  </si>
  <si>
    <t>Premium Marketing Fees</t>
  </si>
  <si>
    <t>46341-100</t>
  </si>
  <si>
    <t>Premium Marketing Fees - Loss</t>
  </si>
  <si>
    <t>46350-100</t>
  </si>
  <si>
    <t>Technology and Communications Reimb Fees</t>
  </si>
  <si>
    <t>46351-100</t>
  </si>
  <si>
    <t>Technology and Communications Reimb Fees - Loss</t>
  </si>
  <si>
    <t>46360-100</t>
  </si>
  <si>
    <t>Administrative Reimbursement Fees</t>
  </si>
  <si>
    <t>46361-100</t>
  </si>
  <si>
    <t>Administrative Reimbursement Fees - Loss</t>
  </si>
  <si>
    <t>46365-100</t>
  </si>
  <si>
    <t>46366-100</t>
  </si>
  <si>
    <t>Compliance Fees - Loss</t>
  </si>
  <si>
    <t>46370-100</t>
  </si>
  <si>
    <t>Advantage Energy Services Fees</t>
  </si>
  <si>
    <t>46380-100</t>
  </si>
  <si>
    <t>Advantage Receivables Collections Fees</t>
  </si>
  <si>
    <t>46390-100</t>
  </si>
  <si>
    <t>Advantage Renters Insurance Fees</t>
  </si>
  <si>
    <t>46400-100</t>
  </si>
  <si>
    <t>Advantage Portal and Leasing Fees</t>
  </si>
  <si>
    <t>46410-100</t>
  </si>
  <si>
    <t>Advantage National Accounts</t>
  </si>
  <si>
    <t>46500-100</t>
  </si>
  <si>
    <t>Contribution Stars In Need - Internal</t>
  </si>
  <si>
    <t>46510-100</t>
  </si>
  <si>
    <t>Contribution Stars In Need - External</t>
  </si>
  <si>
    <t>46520-100</t>
  </si>
  <si>
    <t>Contribution Scholars</t>
  </si>
  <si>
    <t>46530-100</t>
  </si>
  <si>
    <t>Contribution Corporate Match</t>
  </si>
  <si>
    <t>46540-100</t>
  </si>
  <si>
    <t>Other Contributions - Miscellaneous</t>
  </si>
  <si>
    <t>46999-199</t>
  </si>
  <si>
    <t>Total Operational Fees</t>
  </si>
  <si>
    <t>47000-100</t>
  </si>
  <si>
    <t>Gain on Sales</t>
  </si>
  <si>
    <t>47010-100</t>
  </si>
  <si>
    <t>Asset Sales - Gross Sales</t>
  </si>
  <si>
    <t>47020-100</t>
  </si>
  <si>
    <t>Asset Sales - Cost Basis</t>
  </si>
  <si>
    <t>47030-100</t>
  </si>
  <si>
    <t>Office Equip - Gross Sales</t>
  </si>
  <si>
    <t>47040-100</t>
  </si>
  <si>
    <t>Office Equip - Cost Basis</t>
  </si>
  <si>
    <t>47050-100</t>
  </si>
  <si>
    <t>Investment Securities - Gross Sales</t>
  </si>
  <si>
    <t>47060-100</t>
  </si>
  <si>
    <t>Investment  Securities - Cost Basis</t>
  </si>
  <si>
    <t>47070-100</t>
  </si>
  <si>
    <t>Investment Securities - Unrealized Gains</t>
  </si>
  <si>
    <t>47080-100</t>
  </si>
  <si>
    <t>Gain on Sales - Other</t>
  </si>
  <si>
    <t>47999-199</t>
  </si>
  <si>
    <t>Total Gain on Sales</t>
  </si>
  <si>
    <t>48000-100</t>
  </si>
  <si>
    <t>Other Income</t>
  </si>
  <si>
    <t>48010-100</t>
  </si>
  <si>
    <t>48020-100</t>
  </si>
  <si>
    <t>48030-100</t>
  </si>
  <si>
    <t>Acquisition Fees</t>
  </si>
  <si>
    <t>48035-100</t>
  </si>
  <si>
    <t>Disposition Fees</t>
  </si>
  <si>
    <t>48040-100</t>
  </si>
  <si>
    <t>Other Income - Miscellaneous</t>
  </si>
  <si>
    <t>48041-100</t>
  </si>
  <si>
    <t>Other Income - Miscellaneous 2nd</t>
  </si>
  <si>
    <t>48099-100</t>
  </si>
  <si>
    <t>Budgeted FTE (Accountants: Do Not Use)</t>
  </si>
  <si>
    <t>48900-021</t>
  </si>
  <si>
    <t>Contribution Internet (EU Only)</t>
  </si>
  <si>
    <t>48900-022</t>
  </si>
  <si>
    <t>Contribution Fitness (EU Only)</t>
  </si>
  <si>
    <t>48900-023</t>
  </si>
  <si>
    <t>Contribution Study room (EU Only)</t>
  </si>
  <si>
    <t>48900-024</t>
  </si>
  <si>
    <t>Contribution Hospitalitydesk (EU Only)</t>
  </si>
  <si>
    <t>48900-025</t>
  </si>
  <si>
    <t>Contribution Bike Storage (EU Only)</t>
  </si>
  <si>
    <t>48900-026</t>
  </si>
  <si>
    <t>Contribution Community Room (EU Only)</t>
  </si>
  <si>
    <t>48999-199</t>
  </si>
  <si>
    <t>Total Other Income</t>
  </si>
  <si>
    <t>49999-199</t>
  </si>
  <si>
    <t>Total Income</t>
  </si>
  <si>
    <t>49999-999</t>
  </si>
  <si>
    <t>500-000</t>
  </si>
  <si>
    <t>50000-000</t>
  </si>
  <si>
    <t>50000-050</t>
  </si>
  <si>
    <t>Operating Expenses</t>
  </si>
  <si>
    <t>50001-000</t>
  </si>
  <si>
    <t>510-000</t>
  </si>
  <si>
    <t>51005-000</t>
  </si>
  <si>
    <t>51010-000</t>
  </si>
  <si>
    <t>51010-001</t>
  </si>
  <si>
    <t>Management - Overtime</t>
  </si>
  <si>
    <t>51015-000</t>
  </si>
  <si>
    <t>51017-000</t>
  </si>
  <si>
    <t>51018-000</t>
  </si>
  <si>
    <t>51019-000</t>
  </si>
  <si>
    <t>51020-000</t>
  </si>
  <si>
    <t>51024-000</t>
  </si>
  <si>
    <t>51025-000</t>
  </si>
  <si>
    <t>51025-001</t>
  </si>
  <si>
    <t>Concierge - Salaries Rebill</t>
  </si>
  <si>
    <t>51026-000</t>
  </si>
  <si>
    <t>51030-001</t>
  </si>
  <si>
    <t>Quarterly Bonuses</t>
  </si>
  <si>
    <t>51030-008</t>
  </si>
  <si>
    <t>Accrued Bonus Expense</t>
  </si>
  <si>
    <t>51030-600</t>
  </si>
  <si>
    <t>Leasing Bonuses</t>
  </si>
  <si>
    <t>51030-700</t>
  </si>
  <si>
    <t>Admin Transitional Bonus/Incentives</t>
  </si>
  <si>
    <t>51040-000</t>
  </si>
  <si>
    <t>51040-001</t>
  </si>
  <si>
    <t>Maintenance - Overtime</t>
  </si>
  <si>
    <t>51040-600</t>
  </si>
  <si>
    <t>Maintenance Manager</t>
  </si>
  <si>
    <t>51041-700</t>
  </si>
  <si>
    <t>Maintenance Bonuses</t>
  </si>
  <si>
    <t>51042-700</t>
  </si>
  <si>
    <t>Mainte Incentives/Trns Bonus</t>
  </si>
  <si>
    <t>51045-000</t>
  </si>
  <si>
    <t>51050-000</t>
  </si>
  <si>
    <t>51055-000</t>
  </si>
  <si>
    <t>51060-000</t>
  </si>
  <si>
    <t>51060-001</t>
  </si>
  <si>
    <t>Housekeeper - Overtime</t>
  </si>
  <si>
    <t>51063-000</t>
  </si>
  <si>
    <t>51065-000</t>
  </si>
  <si>
    <t>51067-000</t>
  </si>
  <si>
    <t>51070-000</t>
  </si>
  <si>
    <t>51071-700</t>
  </si>
  <si>
    <t>Mainte Payroll Taxes</t>
  </si>
  <si>
    <t>51090-000</t>
  </si>
  <si>
    <t>51100-000</t>
  </si>
  <si>
    <t>51110-000</t>
  </si>
  <si>
    <t>51115-000</t>
  </si>
  <si>
    <t>51120-000</t>
  </si>
  <si>
    <t>51121-000</t>
  </si>
  <si>
    <t>51122-000</t>
  </si>
  <si>
    <t>51123-000</t>
  </si>
  <si>
    <t>51124-000</t>
  </si>
  <si>
    <t>51125-000</t>
  </si>
  <si>
    <t>51126-000</t>
  </si>
  <si>
    <t>51127-000</t>
  </si>
  <si>
    <t>51140-000</t>
  </si>
  <si>
    <t>51140-001</t>
  </si>
  <si>
    <t>Centralization Fees - Area Maintenance Manager</t>
  </si>
  <si>
    <t>51140-002</t>
  </si>
  <si>
    <t>Centralization Fees - Leasing Center</t>
  </si>
  <si>
    <t>51150-000</t>
  </si>
  <si>
    <t>51160-000</t>
  </si>
  <si>
    <t>51163-000</t>
  </si>
  <si>
    <t>51165-000</t>
  </si>
  <si>
    <t>51170-000</t>
  </si>
  <si>
    <t>51171-700</t>
  </si>
  <si>
    <t>Roving Mainte Salary &amp; Wages</t>
  </si>
  <si>
    <t>51172-700</t>
  </si>
  <si>
    <t>Roving Mainte Pyrll Taxes</t>
  </si>
  <si>
    <t>51173-700</t>
  </si>
  <si>
    <t>3rd Party Payroll</t>
  </si>
  <si>
    <t>51174-700</t>
  </si>
  <si>
    <t>Fees - Flexplan</t>
  </si>
  <si>
    <t>51175-700</t>
  </si>
  <si>
    <t>Background Checks</t>
  </si>
  <si>
    <t>51176-700</t>
  </si>
  <si>
    <t>Other - Payroll</t>
  </si>
  <si>
    <t>51177-700</t>
  </si>
  <si>
    <t>HOA Management Payroll</t>
  </si>
  <si>
    <t>51178-700</t>
  </si>
  <si>
    <t>HOA Payroll Reimbursement</t>
  </si>
  <si>
    <t>51179-700</t>
  </si>
  <si>
    <t>2006 Maintenance Pre Employ (Do Not Use)</t>
  </si>
  <si>
    <t>51180-700</t>
  </si>
  <si>
    <t>2006 Housekeeping Payroll</t>
  </si>
  <si>
    <t>51181-700</t>
  </si>
  <si>
    <t>2006 Roving Mtnce Temp Help(Do Not Use)</t>
  </si>
  <si>
    <t>51182-700</t>
  </si>
  <si>
    <t>Legal Salaries</t>
  </si>
  <si>
    <t>51183-700</t>
  </si>
  <si>
    <t>Time Sheet Fees</t>
  </si>
  <si>
    <t>51184-700</t>
  </si>
  <si>
    <t>Payroll Severance</t>
  </si>
  <si>
    <t>51185-600</t>
  </si>
  <si>
    <t>Payroll Other</t>
  </si>
  <si>
    <t>51599-099</t>
  </si>
  <si>
    <t>Total Payroll &amp; Benefits</t>
  </si>
  <si>
    <t>51600-100</t>
  </si>
  <si>
    <t>Non Recoverable Operating Expenses</t>
  </si>
  <si>
    <t>51605-100</t>
  </si>
  <si>
    <t>Payroll &amp; Related</t>
  </si>
  <si>
    <t>51610-100</t>
  </si>
  <si>
    <t>Salaries</t>
  </si>
  <si>
    <t>51612-100</t>
  </si>
  <si>
    <t>Salaries - Maintenance</t>
  </si>
  <si>
    <t>51614-100</t>
  </si>
  <si>
    <t>Salaries - Renovations</t>
  </si>
  <si>
    <t>51620-100</t>
  </si>
  <si>
    <t>Incentives</t>
  </si>
  <si>
    <t>51621-100</t>
  </si>
  <si>
    <t>Incentives - Asset Sale</t>
  </si>
  <si>
    <t>51622-100</t>
  </si>
  <si>
    <t>Incentives - New Business</t>
  </si>
  <si>
    <t>51625-100</t>
  </si>
  <si>
    <t>Minority Partner Profit Sharing</t>
  </si>
  <si>
    <t>51630-100</t>
  </si>
  <si>
    <t>Broker Commissions</t>
  </si>
  <si>
    <t>51640-100</t>
  </si>
  <si>
    <t>51650-100</t>
  </si>
  <si>
    <t>51660-100</t>
  </si>
  <si>
    <t>51670-100</t>
  </si>
  <si>
    <t>Life Insurance</t>
  </si>
  <si>
    <t>51680-100</t>
  </si>
  <si>
    <t>401k Match</t>
  </si>
  <si>
    <t>51690-100</t>
  </si>
  <si>
    <t>Contract Labor</t>
  </si>
  <si>
    <t>51700-100</t>
  </si>
  <si>
    <t>Auto Allowance</t>
  </si>
  <si>
    <t>51701-100</t>
  </si>
  <si>
    <t>Childcare Vouchers</t>
  </si>
  <si>
    <t>51702-100</t>
  </si>
  <si>
    <t>Cycle to Work</t>
  </si>
  <si>
    <t>51710-100</t>
  </si>
  <si>
    <t>Vehicle Leasing - Projects</t>
  </si>
  <si>
    <t>51720-100</t>
  </si>
  <si>
    <t>Mileage - Projects</t>
  </si>
  <si>
    <t>51730-100</t>
  </si>
  <si>
    <t>Payroll VAT Taxes</t>
  </si>
  <si>
    <t>51740-100</t>
  </si>
  <si>
    <t>Payroll Reimbursements</t>
  </si>
  <si>
    <t>51750-100</t>
  </si>
  <si>
    <t>Capex - Payroll &amp; Related</t>
  </si>
  <si>
    <t>51799-199</t>
  </si>
  <si>
    <t>Total Payroll &amp; Related</t>
  </si>
  <si>
    <t>51800-100</t>
  </si>
  <si>
    <t>Other Personnel Expenses</t>
  </si>
  <si>
    <t>51810-100</t>
  </si>
  <si>
    <t>Cellular Phones</t>
  </si>
  <si>
    <t>51820-100</t>
  </si>
  <si>
    <t>Employee Recruiting</t>
  </si>
  <si>
    <t>51830-100</t>
  </si>
  <si>
    <t>Employee Training</t>
  </si>
  <si>
    <t>51840-100</t>
  </si>
  <si>
    <t>Employee Relations</t>
  </si>
  <si>
    <t>51841-100</t>
  </si>
  <si>
    <t>Employee Relocation PSA</t>
  </si>
  <si>
    <t>51845-100</t>
  </si>
  <si>
    <t>ExPat Tax Equalization Expense</t>
  </si>
  <si>
    <t>51846-100</t>
  </si>
  <si>
    <t>ExPat - Fringe Benefits</t>
  </si>
  <si>
    <t>51850-100</t>
  </si>
  <si>
    <t>Employee Relocations</t>
  </si>
  <si>
    <t>51860-100</t>
  </si>
  <si>
    <t>Meals - In house</t>
  </si>
  <si>
    <t>51865-100</t>
  </si>
  <si>
    <t>Employee Related Entertainment (UK Only)</t>
  </si>
  <si>
    <t>51870-100</t>
  </si>
  <si>
    <t>51880-100</t>
  </si>
  <si>
    <t>Pagers</t>
  </si>
  <si>
    <t>51890-100</t>
  </si>
  <si>
    <t>Professional Dues</t>
  </si>
  <si>
    <t>51895-100</t>
  </si>
  <si>
    <t>Other Personnel Reimbursement</t>
  </si>
  <si>
    <t>51898-100</t>
  </si>
  <si>
    <t>Capex - Other Personnel Expense</t>
  </si>
  <si>
    <t>51899-199</t>
  </si>
  <si>
    <t>Total Other Personnel Expense</t>
  </si>
  <si>
    <t>52000-000</t>
  </si>
  <si>
    <t>52001-000</t>
  </si>
  <si>
    <t>52010-000</t>
  </si>
  <si>
    <t>52015-000</t>
  </si>
  <si>
    <t>52020-000</t>
  </si>
  <si>
    <t>52020-600</t>
  </si>
  <si>
    <t>Appliance Parts</t>
  </si>
  <si>
    <t>52025-000</t>
  </si>
  <si>
    <t>52030-000</t>
  </si>
  <si>
    <t>52040-000</t>
  </si>
  <si>
    <t>52040-150</t>
  </si>
  <si>
    <t>Facade brickwork &amp; jointing (EU Only)</t>
  </si>
  <si>
    <t>52040-200</t>
  </si>
  <si>
    <t>Aluminium frames plinth (EU Only)</t>
  </si>
  <si>
    <t>52040-300</t>
  </si>
  <si>
    <t>Sealing facades / frames (EU Only)</t>
  </si>
  <si>
    <t>52040-700</t>
  </si>
  <si>
    <t>2007 Exterior Bldg Repairs (vinyl w (Do Not Use)</t>
  </si>
  <si>
    <t>52041-600</t>
  </si>
  <si>
    <t>R+M-Misc Exterior Repair-INA</t>
  </si>
  <si>
    <t>52042-600</t>
  </si>
  <si>
    <t>Exterior Cleaning</t>
  </si>
  <si>
    <t>52050-000</t>
  </si>
  <si>
    <t>52051-000</t>
  </si>
  <si>
    <t>52055-000</t>
  </si>
  <si>
    <t>52057-000</t>
  </si>
  <si>
    <t>52060-000</t>
  </si>
  <si>
    <t>52061-000</t>
  </si>
  <si>
    <t>52063-000</t>
  </si>
  <si>
    <t>52065-000</t>
  </si>
  <si>
    <t>52065-150</t>
  </si>
  <si>
    <t>Autom. Slidingdoors (EU Only)</t>
  </si>
  <si>
    <t>52065-200</t>
  </si>
  <si>
    <t>Doors inside shared area (EU Only)</t>
  </si>
  <si>
    <t>52065-300</t>
  </si>
  <si>
    <t>Doors outside (Aluminium) (EU Only)</t>
  </si>
  <si>
    <t>52065-400</t>
  </si>
  <si>
    <t>Hinges and locks (EU Only)</t>
  </si>
  <si>
    <t>52065-500</t>
  </si>
  <si>
    <t>Revolving Door (Outside) (EU Only)</t>
  </si>
  <si>
    <t>52066-700</t>
  </si>
  <si>
    <t>Draperies/Blinds</t>
  </si>
  <si>
    <t>52070-000</t>
  </si>
  <si>
    <t>52080-000</t>
  </si>
  <si>
    <t>52081-000</t>
  </si>
  <si>
    <t>52081-600</t>
  </si>
  <si>
    <t>Equipment Supplies</t>
  </si>
  <si>
    <t>52082-000</t>
  </si>
  <si>
    <t>52083-000</t>
  </si>
  <si>
    <t>52084-000</t>
  </si>
  <si>
    <t>52086-000</t>
  </si>
  <si>
    <t>52087-000</t>
  </si>
  <si>
    <t>52088-000</t>
  </si>
  <si>
    <t>52090-000</t>
  </si>
  <si>
    <t>52095-000</t>
  </si>
  <si>
    <t>52101-000</t>
  </si>
  <si>
    <t>52105-000</t>
  </si>
  <si>
    <t>52105-600</t>
  </si>
  <si>
    <t>Gutter Cleaning Contract</t>
  </si>
  <si>
    <t>52110-000</t>
  </si>
  <si>
    <t>52112-000</t>
  </si>
  <si>
    <t>52115-000</t>
  </si>
  <si>
    <t>52120-000</t>
  </si>
  <si>
    <t>52125-000</t>
  </si>
  <si>
    <t>52126-700</t>
  </si>
  <si>
    <t>Landscape - HOA</t>
  </si>
  <si>
    <t>52127-700</t>
  </si>
  <si>
    <t>Landscape Recovery</t>
  </si>
  <si>
    <t>52128-600</t>
  </si>
  <si>
    <t>Extr Landscaping Repairs</t>
  </si>
  <si>
    <t>52130-000</t>
  </si>
  <si>
    <t>52130-100</t>
  </si>
  <si>
    <t>LED Lighting (Do Not Use)</t>
  </si>
  <si>
    <t>52130-150</t>
  </si>
  <si>
    <t>LED Lighting</t>
  </si>
  <si>
    <t>52130-200</t>
  </si>
  <si>
    <t>Lighting - Security</t>
  </si>
  <si>
    <t>52140-000</t>
  </si>
  <si>
    <t>52151-000</t>
  </si>
  <si>
    <t>52151-700</t>
  </si>
  <si>
    <t>Maintenance Pagers</t>
  </si>
  <si>
    <t>52155-000</t>
  </si>
  <si>
    <t>52180-000</t>
  </si>
  <si>
    <t>52190-000</t>
  </si>
  <si>
    <t>52191-600</t>
  </si>
  <si>
    <t>Plumbing Repairs-INA</t>
  </si>
  <si>
    <t>52195-000</t>
  </si>
  <si>
    <t>52196-000</t>
  </si>
  <si>
    <t>52197-000</t>
  </si>
  <si>
    <t>52197-005</t>
  </si>
  <si>
    <t xml:space="preserve"> Resident Upgrade Expense</t>
  </si>
  <si>
    <t>52198-000</t>
  </si>
  <si>
    <t>52199-000</t>
  </si>
  <si>
    <t>52200-000</t>
  </si>
  <si>
    <t>52201-000</t>
  </si>
  <si>
    <t>52201-700</t>
  </si>
  <si>
    <t>Roving General Maintenance</t>
  </si>
  <si>
    <t>52202-700</t>
  </si>
  <si>
    <t>Roving Drive/Walk Repair</t>
  </si>
  <si>
    <t>52203-700</t>
  </si>
  <si>
    <t>Roving Elevators</t>
  </si>
  <si>
    <t>52205-000</t>
  </si>
  <si>
    <t>52206-000</t>
  </si>
  <si>
    <t>52207-000</t>
  </si>
  <si>
    <t>52210-000</t>
  </si>
  <si>
    <t>52210-150</t>
  </si>
  <si>
    <t>Fire Hose (EU Only)</t>
  </si>
  <si>
    <t>52210-200</t>
  </si>
  <si>
    <t>Waterworks Fire protection (EU Only)</t>
  </si>
  <si>
    <t>52210-300</t>
  </si>
  <si>
    <t>Smoke Detectors (EU Only)</t>
  </si>
  <si>
    <t>52211-000</t>
  </si>
  <si>
    <t>52212-700</t>
  </si>
  <si>
    <t>Security - HOA</t>
  </si>
  <si>
    <t>52215-000</t>
  </si>
  <si>
    <t>52220-000</t>
  </si>
  <si>
    <t>52230-000</t>
  </si>
  <si>
    <t>52231-000</t>
  </si>
  <si>
    <t>52231-600</t>
  </si>
  <si>
    <t>Snow and Ice Removal</t>
  </si>
  <si>
    <t>52240-000</t>
  </si>
  <si>
    <t>52241-000</t>
  </si>
  <si>
    <t>52242-000</t>
  </si>
  <si>
    <t>52245-000</t>
  </si>
  <si>
    <t>52247-000</t>
  </si>
  <si>
    <t>52250-000</t>
  </si>
  <si>
    <t>52260-000</t>
  </si>
  <si>
    <t>52265-000</t>
  </si>
  <si>
    <t>52266-700</t>
  </si>
  <si>
    <t>R&amp;M - HOA</t>
  </si>
  <si>
    <t>52267-700</t>
  </si>
  <si>
    <t>Allocated Operating Costs</t>
  </si>
  <si>
    <t>52268-700</t>
  </si>
  <si>
    <t>NR Operating-Land Improv</t>
  </si>
  <si>
    <t>52269-700</t>
  </si>
  <si>
    <t>NR Operating-Building</t>
  </si>
  <si>
    <t>52270-700</t>
  </si>
  <si>
    <t>NR Operating-Environmental</t>
  </si>
  <si>
    <t>52271-600</t>
  </si>
  <si>
    <t>Other Repairs + Maintenance</t>
  </si>
  <si>
    <t>52271-700</t>
  </si>
  <si>
    <t>NR Operating-Landscaping</t>
  </si>
  <si>
    <t>52299-099</t>
  </si>
  <si>
    <t>Total Repairs &amp; Maintenance</t>
  </si>
  <si>
    <t>52300-000</t>
  </si>
  <si>
    <t>52310-000</t>
  </si>
  <si>
    <t>52320-000</t>
  </si>
  <si>
    <t>52321-000</t>
  </si>
  <si>
    <t>52322-000</t>
  </si>
  <si>
    <t>52323-000</t>
  </si>
  <si>
    <t>52324-000</t>
  </si>
  <si>
    <t>52325-000</t>
  </si>
  <si>
    <t>52326-000</t>
  </si>
  <si>
    <t>52330-000</t>
  </si>
  <si>
    <t>52332-000</t>
  </si>
  <si>
    <t>52335-000</t>
  </si>
  <si>
    <t>52340-000</t>
  </si>
  <si>
    <t>52345-000</t>
  </si>
  <si>
    <t>52355-000</t>
  </si>
  <si>
    <t>52360-000</t>
  </si>
  <si>
    <t>52365-000</t>
  </si>
  <si>
    <t>52370-000</t>
  </si>
  <si>
    <t>52375-000</t>
  </si>
  <si>
    <t>52380-000</t>
  </si>
  <si>
    <t>52385-000</t>
  </si>
  <si>
    <t>52390-000</t>
  </si>
  <si>
    <t>52399-099</t>
  </si>
  <si>
    <t>Total Routine Replacement (Do Not Use)</t>
  </si>
  <si>
    <t>52400-000</t>
  </si>
  <si>
    <t>52405-000</t>
  </si>
  <si>
    <t>52410-000</t>
  </si>
  <si>
    <t>52415-000</t>
  </si>
  <si>
    <t>52420-000</t>
  </si>
  <si>
    <t>52425-000</t>
  </si>
  <si>
    <t>52430-000</t>
  </si>
  <si>
    <t>52435-000</t>
  </si>
  <si>
    <t>52440-000</t>
  </si>
  <si>
    <t>52445-000</t>
  </si>
  <si>
    <t>52450-000</t>
  </si>
  <si>
    <t>52455-000</t>
  </si>
  <si>
    <t>52460-000</t>
  </si>
  <si>
    <t>52465-000</t>
  </si>
  <si>
    <t>52470-000</t>
  </si>
  <si>
    <t>52475-000</t>
  </si>
  <si>
    <t>52478-000</t>
  </si>
  <si>
    <t>52480-000</t>
  </si>
  <si>
    <t>52490-000</t>
  </si>
  <si>
    <t>52499-099</t>
  </si>
  <si>
    <t>Total Student Turnover Expense</t>
  </si>
  <si>
    <t>52600-000</t>
  </si>
  <si>
    <t>52601-000</t>
  </si>
  <si>
    <t>52602-000</t>
  </si>
  <si>
    <t>52603-000</t>
  </si>
  <si>
    <t>52604-000</t>
  </si>
  <si>
    <t>52605-000</t>
  </si>
  <si>
    <t>52608-000</t>
  </si>
  <si>
    <t>52610-000</t>
  </si>
  <si>
    <t>52621-000</t>
  </si>
  <si>
    <t>52630-000</t>
  </si>
  <si>
    <t>52640-000</t>
  </si>
  <si>
    <t>52643-000</t>
  </si>
  <si>
    <t>52644-000</t>
  </si>
  <si>
    <t>52645-000</t>
  </si>
  <si>
    <t>52647-000</t>
  </si>
  <si>
    <t>52651-600</t>
  </si>
  <si>
    <t>Lighting/Ceiling Fans/Fixt</t>
  </si>
  <si>
    <t>52670-000</t>
  </si>
  <si>
    <t>52675-000</t>
  </si>
  <si>
    <t>52680-000</t>
  </si>
  <si>
    <t>52685-000</t>
  </si>
  <si>
    <t>52690-000</t>
  </si>
  <si>
    <t>52700-000</t>
  </si>
  <si>
    <t>52701-700</t>
  </si>
  <si>
    <t>Contract Cleaning/Janitorial - HOA</t>
  </si>
  <si>
    <t>52799-099</t>
  </si>
  <si>
    <t>Total Make - Ready / Redecorating</t>
  </si>
  <si>
    <t>52800-000</t>
  </si>
  <si>
    <t>52800-505</t>
  </si>
  <si>
    <t>Internet - Campus Contribution (EU Only)</t>
  </si>
  <si>
    <t>52800-510</t>
  </si>
  <si>
    <t>Fitness- Campus Contributions (EU Only)</t>
  </si>
  <si>
    <t>52800-515</t>
  </si>
  <si>
    <t>Study Room - Campus Contributions (EU Only)</t>
  </si>
  <si>
    <t>52800-520</t>
  </si>
  <si>
    <t>Hospitalitydesk- Campus Contributions (EU Only)</t>
  </si>
  <si>
    <t>52800-525</t>
  </si>
  <si>
    <t>Bike Storage - Campus Contributions (EU Only)</t>
  </si>
  <si>
    <t>52810-000</t>
  </si>
  <si>
    <t>52815-000</t>
  </si>
  <si>
    <t>52820-000</t>
  </si>
  <si>
    <t>52830-000</t>
  </si>
  <si>
    <t>52840-000</t>
  </si>
  <si>
    <t>52850-000</t>
  </si>
  <si>
    <t>52851-000</t>
  </si>
  <si>
    <t>52852-000</t>
  </si>
  <si>
    <t>52855-000</t>
  </si>
  <si>
    <t>52860-000</t>
  </si>
  <si>
    <t>52870-000</t>
  </si>
  <si>
    <t>52880-000</t>
  </si>
  <si>
    <t>52999-099</t>
  </si>
  <si>
    <t>Total Recreational Amenities</t>
  </si>
  <si>
    <t>53000-000</t>
  </si>
  <si>
    <t>53005-000</t>
  </si>
  <si>
    <t>53012-000</t>
  </si>
  <si>
    <t>53015-000</t>
  </si>
  <si>
    <t>53020-000</t>
  </si>
  <si>
    <t>53025-000</t>
  </si>
  <si>
    <t>53031-000</t>
  </si>
  <si>
    <t>53035-000</t>
  </si>
  <si>
    <t>53040-000</t>
  </si>
  <si>
    <t>53041-000</t>
  </si>
  <si>
    <t>53055-000</t>
  </si>
  <si>
    <t>53060-000</t>
  </si>
  <si>
    <t>53073-000</t>
  </si>
  <si>
    <t>53075-000</t>
  </si>
  <si>
    <t>53080-000</t>
  </si>
  <si>
    <t>53080-001</t>
  </si>
  <si>
    <t>HOA Management Rebill</t>
  </si>
  <si>
    <t>53081-000</t>
  </si>
  <si>
    <t>53085-000</t>
  </si>
  <si>
    <t>53090-000</t>
  </si>
  <si>
    <t>53095-000</t>
  </si>
  <si>
    <t>53100-000</t>
  </si>
  <si>
    <t>53105-000</t>
  </si>
  <si>
    <t>53105-001</t>
  </si>
  <si>
    <t>Landscape Maintenance Rebill</t>
  </si>
  <si>
    <t>53105-600</t>
  </si>
  <si>
    <t>Tree Trimming/Removal Contract</t>
  </si>
  <si>
    <t>53110-000</t>
  </si>
  <si>
    <t>53110-100</t>
  </si>
  <si>
    <t>Laundry Maintenance &amp; Cleaning (EU Only) (Do Not Use)</t>
  </si>
  <si>
    <t>53110-150</t>
  </si>
  <si>
    <t>Laundry Maintenance &amp; Cleaning (EU Only)</t>
  </si>
  <si>
    <t>53113-000</t>
  </si>
  <si>
    <t>53115-000</t>
  </si>
  <si>
    <t>53116-000</t>
  </si>
  <si>
    <t>53117-000</t>
  </si>
  <si>
    <t>53118-000</t>
  </si>
  <si>
    <t>53119-000</t>
  </si>
  <si>
    <t>53120-000</t>
  </si>
  <si>
    <t>53130-000</t>
  </si>
  <si>
    <t>53130-001</t>
  </si>
  <si>
    <t>Patrol / Courtesy Office Contract Rebill</t>
  </si>
  <si>
    <t>53130-700</t>
  </si>
  <si>
    <t>2006 Other Courtesy Patrol (Do Not Use)</t>
  </si>
  <si>
    <t>53131-700</t>
  </si>
  <si>
    <t>2006 Courtesy Patrol/Life Safety (Do Not Use)</t>
  </si>
  <si>
    <t>53144-000</t>
  </si>
  <si>
    <t>53145-000</t>
  </si>
  <si>
    <t>53147-000</t>
  </si>
  <si>
    <t>53148-000</t>
  </si>
  <si>
    <t>53150-000</t>
  </si>
  <si>
    <t>53153-000</t>
  </si>
  <si>
    <t>53155-000</t>
  </si>
  <si>
    <t>53160-000</t>
  </si>
  <si>
    <t>53161-000</t>
  </si>
  <si>
    <t>53162-000</t>
  </si>
  <si>
    <t>53165-000</t>
  </si>
  <si>
    <t>53166-000</t>
  </si>
  <si>
    <t>53167-000</t>
  </si>
  <si>
    <t>53169-000</t>
  </si>
  <si>
    <t>53170-000</t>
  </si>
  <si>
    <t>53171-000</t>
  </si>
  <si>
    <t>53172-000</t>
  </si>
  <si>
    <t>53173-000</t>
  </si>
  <si>
    <t>53174-000</t>
  </si>
  <si>
    <t>53175-000</t>
  </si>
  <si>
    <t>53175-600</t>
  </si>
  <si>
    <t>Termite Bond</t>
  </si>
  <si>
    <t>53176-000</t>
  </si>
  <si>
    <t>53177-000</t>
  </si>
  <si>
    <t>53178-000</t>
  </si>
  <si>
    <t>53179-000</t>
  </si>
  <si>
    <t>53181-000</t>
  </si>
  <si>
    <t>53182-000</t>
  </si>
  <si>
    <t>53183-000</t>
  </si>
  <si>
    <t>53184-000</t>
  </si>
  <si>
    <t>53184-700</t>
  </si>
  <si>
    <t>Trash - HOA</t>
  </si>
  <si>
    <t>53185-000</t>
  </si>
  <si>
    <t>53185-005</t>
  </si>
  <si>
    <t>Trash Removal Rebill-Parkmerced (Do not Use)</t>
  </si>
  <si>
    <t>53186-000</t>
  </si>
  <si>
    <t>53186-002</t>
  </si>
  <si>
    <t>Trash  Recycling</t>
  </si>
  <si>
    <t>53186-003</t>
  </si>
  <si>
    <t>Trash Recycling Rebill</t>
  </si>
  <si>
    <t>53187-000</t>
  </si>
  <si>
    <t>53188-000</t>
  </si>
  <si>
    <t>53189-000</t>
  </si>
  <si>
    <t>53190-000</t>
  </si>
  <si>
    <t>53210-000</t>
  </si>
  <si>
    <t>53222-000</t>
  </si>
  <si>
    <t>53223-000</t>
  </si>
  <si>
    <t>53224-000</t>
  </si>
  <si>
    <t>53225-000</t>
  </si>
  <si>
    <t>53226-000</t>
  </si>
  <si>
    <t>53227-000</t>
  </si>
  <si>
    <t>53228-000</t>
  </si>
  <si>
    <t>53229-000</t>
  </si>
  <si>
    <t>53230-000</t>
  </si>
  <si>
    <t>53286-700</t>
  </si>
  <si>
    <t>Premium Services Expense - TRS Costs</t>
  </si>
  <si>
    <t>53298-099</t>
  </si>
  <si>
    <t>Total Contract Services</t>
  </si>
  <si>
    <t>53300-000</t>
  </si>
  <si>
    <t>53305-000</t>
  </si>
  <si>
    <t>53310-000</t>
  </si>
  <si>
    <t>53315-000</t>
  </si>
  <si>
    <t>53320-000</t>
  </si>
  <si>
    <t>53325-000</t>
  </si>
  <si>
    <t>53330-000</t>
  </si>
  <si>
    <t>53335-000</t>
  </si>
  <si>
    <t>53340-000</t>
  </si>
  <si>
    <t>53345-000</t>
  </si>
  <si>
    <t>53350-000</t>
  </si>
  <si>
    <t>53355-000</t>
  </si>
  <si>
    <t>53360-000</t>
  </si>
  <si>
    <t>53365-000</t>
  </si>
  <si>
    <t>53399-099</t>
  </si>
  <si>
    <t>Total Corporate Housing Expense</t>
  </si>
  <si>
    <t>53400-000</t>
  </si>
  <si>
    <t>53405-000</t>
  </si>
  <si>
    <t>53410-000</t>
  </si>
  <si>
    <t>53415-000</t>
  </si>
  <si>
    <t>53420-000</t>
  </si>
  <si>
    <t>53425-000</t>
  </si>
  <si>
    <t>53499-999</t>
  </si>
  <si>
    <t>Total Guest Suite Expense</t>
  </si>
  <si>
    <t>53500-000</t>
  </si>
  <si>
    <t>53505-000</t>
  </si>
  <si>
    <t>53512-000</t>
  </si>
  <si>
    <t>53514-000</t>
  </si>
  <si>
    <t>53516-000</t>
  </si>
  <si>
    <t>53518-000</t>
  </si>
  <si>
    <t>53522-000</t>
  </si>
  <si>
    <t>53524-000</t>
  </si>
  <si>
    <t>53526-000</t>
  </si>
  <si>
    <t>53529-099</t>
  </si>
  <si>
    <t>Total Food Service - Payroll</t>
  </si>
  <si>
    <t>53530-000</t>
  </si>
  <si>
    <t>53532-000</t>
  </si>
  <si>
    <t>53534-000</t>
  </si>
  <si>
    <t>53536-000</t>
  </si>
  <si>
    <t>53538-000</t>
  </si>
  <si>
    <t>53540-000</t>
  </si>
  <si>
    <t>53542-000</t>
  </si>
  <si>
    <t>53544-000</t>
  </si>
  <si>
    <t>53549-099</t>
  </si>
  <si>
    <t>Total Food Service - Personnel Other</t>
  </si>
  <si>
    <t>53550-000</t>
  </si>
  <si>
    <t>53555-000</t>
  </si>
  <si>
    <t>53560-000</t>
  </si>
  <si>
    <t>53562-000</t>
  </si>
  <si>
    <t>53564-000</t>
  </si>
  <si>
    <t>53566-000</t>
  </si>
  <si>
    <t>53568-000</t>
  </si>
  <si>
    <t>53570-000</t>
  </si>
  <si>
    <t>53572-000</t>
  </si>
  <si>
    <t>53574-000</t>
  </si>
  <si>
    <t>53576-000</t>
  </si>
  <si>
    <t>53579-099</t>
  </si>
  <si>
    <t>Total Food Service - Food</t>
  </si>
  <si>
    <t>53600-000</t>
  </si>
  <si>
    <t>53608-000</t>
  </si>
  <si>
    <t>53610-000</t>
  </si>
  <si>
    <t>53612-000</t>
  </si>
  <si>
    <t>53614-000</t>
  </si>
  <si>
    <t>53616-000</t>
  </si>
  <si>
    <t>53618-000</t>
  </si>
  <si>
    <t>53620-000</t>
  </si>
  <si>
    <t>53622-000</t>
  </si>
  <si>
    <t>53624-000</t>
  </si>
  <si>
    <t>53628-000</t>
  </si>
  <si>
    <t>53630-000</t>
  </si>
  <si>
    <t>53632-000</t>
  </si>
  <si>
    <t>53634-000</t>
  </si>
  <si>
    <t>53639-099</t>
  </si>
  <si>
    <t>Total Food Service - Other / Supplies</t>
  </si>
  <si>
    <t>53799-099</t>
  </si>
  <si>
    <t>Total Food Service Expense</t>
  </si>
  <si>
    <t>53999-099</t>
  </si>
  <si>
    <t>Total General Maintenance Expenses</t>
  </si>
  <si>
    <t>54000-000</t>
  </si>
  <si>
    <t>54002-000</t>
  </si>
  <si>
    <t>54003-000</t>
  </si>
  <si>
    <t>54005-000</t>
  </si>
  <si>
    <t>54007-000</t>
  </si>
  <si>
    <t>54008-000</t>
  </si>
  <si>
    <t>54011-000</t>
  </si>
  <si>
    <t>54013-000</t>
  </si>
  <si>
    <t>54020-000</t>
  </si>
  <si>
    <t>54028-000</t>
  </si>
  <si>
    <t>54030-000</t>
  </si>
  <si>
    <t>54030-001</t>
  </si>
  <si>
    <t>Advertising - Apartment Guide / Magazine (Do not Use)</t>
  </si>
  <si>
    <t>54030-002</t>
  </si>
  <si>
    <t>Advertising - For Rent Magazine (Do not Use)</t>
  </si>
  <si>
    <t>54032-000</t>
  </si>
  <si>
    <t>54037-000</t>
  </si>
  <si>
    <t>54038-000</t>
  </si>
  <si>
    <t>54038-600</t>
  </si>
  <si>
    <t>Advert-Resident Newsletter</t>
  </si>
  <si>
    <t>54040-000</t>
  </si>
  <si>
    <t>54041-000</t>
  </si>
  <si>
    <t>54042-000</t>
  </si>
  <si>
    <t>54044-000</t>
  </si>
  <si>
    <t>54045-000</t>
  </si>
  <si>
    <t>54046-000</t>
  </si>
  <si>
    <t>54048-000</t>
  </si>
  <si>
    <t>54048-600</t>
  </si>
  <si>
    <t>Concierge Service Contract</t>
  </si>
  <si>
    <t>54049-000</t>
  </si>
  <si>
    <t>54050-000</t>
  </si>
  <si>
    <t>54050-007</t>
  </si>
  <si>
    <t>Corporate Apt Expense - Internet (Do not Use)</t>
  </si>
  <si>
    <t>54050-008</t>
  </si>
  <si>
    <t>Corporate Apt Expense - Telephone / Local (Do not Use)</t>
  </si>
  <si>
    <t>54050-009</t>
  </si>
  <si>
    <t>Corporate Apt Expense - Telephone / Long Distance (DO NOT US</t>
  </si>
  <si>
    <t>54051-600</t>
  </si>
  <si>
    <t>Event &amp; Decorative Expense</t>
  </si>
  <si>
    <t>54055-000</t>
  </si>
  <si>
    <t>54060-000</t>
  </si>
  <si>
    <t>54060-002</t>
  </si>
  <si>
    <t>Guest Suite Expense  Housekeeping/Linen Services (Do Not Use</t>
  </si>
  <si>
    <t>54065-000</t>
  </si>
  <si>
    <t>54066-000</t>
  </si>
  <si>
    <t>54070-000</t>
  </si>
  <si>
    <t>54071-000</t>
  </si>
  <si>
    <t>54072-000</t>
  </si>
  <si>
    <t>54073-000</t>
  </si>
  <si>
    <t>54074-000</t>
  </si>
  <si>
    <t>54075-000</t>
  </si>
  <si>
    <t>54076-000</t>
  </si>
  <si>
    <t>54077-000</t>
  </si>
  <si>
    <t>54078-000</t>
  </si>
  <si>
    <t>54080-000</t>
  </si>
  <si>
    <t>54083-000</t>
  </si>
  <si>
    <t>54083-600</t>
  </si>
  <si>
    <t>Advertising - Digital Strategy</t>
  </si>
  <si>
    <t>54084-600</t>
  </si>
  <si>
    <t>Advertising Programs &amp; Marketing Systems</t>
  </si>
  <si>
    <t>54085-000</t>
  </si>
  <si>
    <t>54086-000</t>
  </si>
  <si>
    <t>54088-000</t>
  </si>
  <si>
    <t>54090-000</t>
  </si>
  <si>
    <t>54091-000</t>
  </si>
  <si>
    <t>54091-100</t>
  </si>
  <si>
    <t>Marketing - China</t>
  </si>
  <si>
    <t>54092-000</t>
  </si>
  <si>
    <t>54093-000</t>
  </si>
  <si>
    <t>54095-000</t>
  </si>
  <si>
    <t>54097-000</t>
  </si>
  <si>
    <t>54098-000</t>
  </si>
  <si>
    <t>54100-000</t>
  </si>
  <si>
    <t>54101-000</t>
  </si>
  <si>
    <t>54102-000</t>
  </si>
  <si>
    <t>54103-600</t>
  </si>
  <si>
    <t>Promo Products/Print Materials</t>
  </si>
  <si>
    <t>54105-000</t>
  </si>
  <si>
    <t>54108-000</t>
  </si>
  <si>
    <t>54109-000</t>
  </si>
  <si>
    <t>54110-001</t>
  </si>
  <si>
    <t>Res Act - Happy Hours (Do Not Use)</t>
  </si>
  <si>
    <t>54110-002</t>
  </si>
  <si>
    <t>Res Act - Arts and Crafts Suppliers (Do Not Use)</t>
  </si>
  <si>
    <t>54110-003</t>
  </si>
  <si>
    <t>Res Act - Bartender (Do Not Use)</t>
  </si>
  <si>
    <t>54110-004</t>
  </si>
  <si>
    <t>TRS Exp  - Resident Food and Refreshments</t>
  </si>
  <si>
    <t>54110-005</t>
  </si>
  <si>
    <t>Res Act - Continental Breakfast (Do Not Use)</t>
  </si>
  <si>
    <t>54110-006</t>
  </si>
  <si>
    <t>Res Act - Fitness Director (Do Not Use)</t>
  </si>
  <si>
    <t>54110-007</t>
  </si>
  <si>
    <t>Res Act - Gaming / Social Clubs (Do Not Use)</t>
  </si>
  <si>
    <t>54110-008</t>
  </si>
  <si>
    <t>TRS Exp - Transportation and Parking</t>
  </si>
  <si>
    <t>54110-009</t>
  </si>
  <si>
    <t>TRS Exp - Coffee Café</t>
  </si>
  <si>
    <t>54110-010</t>
  </si>
  <si>
    <t>TRS Exp - Arts and Crafts</t>
  </si>
  <si>
    <t>54110-011</t>
  </si>
  <si>
    <t>TRS Exp - Classes for Tenants</t>
  </si>
  <si>
    <t>54110-012</t>
  </si>
  <si>
    <t>TRS Exp - Reimbursements</t>
  </si>
  <si>
    <t>54110-013</t>
  </si>
  <si>
    <t>TRS Exp - Community Dinner Night</t>
  </si>
  <si>
    <t>54110-014</t>
  </si>
  <si>
    <t>TRS Exp - Other Contracted Services</t>
  </si>
  <si>
    <t>54110-015</t>
  </si>
  <si>
    <t>TRS Exp - Fitness and Tanning</t>
  </si>
  <si>
    <t>54110-016</t>
  </si>
  <si>
    <t>TRS Exp  - Concierge Salaries</t>
  </si>
  <si>
    <t>54110-017</t>
  </si>
  <si>
    <t>TRS Exp - Resident Retention</t>
  </si>
  <si>
    <t>54110-018</t>
  </si>
  <si>
    <t>TRS Exp - Games for Residents</t>
  </si>
  <si>
    <t>54110-019</t>
  </si>
  <si>
    <t>TRS Exp - Cleaning/Maintenance</t>
  </si>
  <si>
    <t>54110-020</t>
  </si>
  <si>
    <t>TRS Exp - Sporting Events</t>
  </si>
  <si>
    <t>54110-021</t>
  </si>
  <si>
    <t>TRS Exp - Happy Hour</t>
  </si>
  <si>
    <t>54110-022</t>
  </si>
  <si>
    <t>TRS Exp - Matinee/Movie Night</t>
  </si>
  <si>
    <t>54110-023</t>
  </si>
  <si>
    <t>TRS Exp - Continental Breakfast</t>
  </si>
  <si>
    <t>54110-024</t>
  </si>
  <si>
    <t>TRS Exp - Prospective Resident Expenses</t>
  </si>
  <si>
    <t>54110-025</t>
  </si>
  <si>
    <t>TRS Exp - Pet Services</t>
  </si>
  <si>
    <t>54110-026</t>
  </si>
  <si>
    <t>TRS Exp - Shuttle Service</t>
  </si>
  <si>
    <t>54110-027</t>
  </si>
  <si>
    <t>TRS Exp - Tenant Events</t>
  </si>
  <si>
    <t>54110-028</t>
  </si>
  <si>
    <t>TRS Exp - Bike Expenses</t>
  </si>
  <si>
    <t>54110-029</t>
  </si>
  <si>
    <t>TRS Exp - Towel Service</t>
  </si>
  <si>
    <t>54110-040</t>
  </si>
  <si>
    <t>TRS Exp - Pool Expenses</t>
  </si>
  <si>
    <t>54110-041</t>
  </si>
  <si>
    <t>TRS Exp - Contract Staffing</t>
  </si>
  <si>
    <t>54110-042</t>
  </si>
  <si>
    <t>Res Act - Community Dinner Night Reimbursement</t>
  </si>
  <si>
    <t>54110-043</t>
  </si>
  <si>
    <t>Res Act - Fitness/Yoga Class Reimbursement</t>
  </si>
  <si>
    <t>54110-044</t>
  </si>
  <si>
    <t>Res Act - Catered Brunch Reimbursement</t>
  </si>
  <si>
    <t>54110-045</t>
  </si>
  <si>
    <t>Res Act - Shuttle Service Reimbursement</t>
  </si>
  <si>
    <t>54110-046</t>
  </si>
  <si>
    <t>Res Act - Tenant Events Reimbursement</t>
  </si>
  <si>
    <t>54111-000</t>
  </si>
  <si>
    <t>54112-000</t>
  </si>
  <si>
    <t>54120-000</t>
  </si>
  <si>
    <t>54122-000</t>
  </si>
  <si>
    <t>54123-000</t>
  </si>
  <si>
    <t>54125-000</t>
  </si>
  <si>
    <t>54125-600</t>
  </si>
  <si>
    <t>Shopping Reports - Competitors</t>
  </si>
  <si>
    <t>54126-000</t>
  </si>
  <si>
    <t>54127-000</t>
  </si>
  <si>
    <t>54130-000</t>
  </si>
  <si>
    <t>54131-700</t>
  </si>
  <si>
    <t>RS Print Collateral- Admin</t>
  </si>
  <si>
    <t>54132-700</t>
  </si>
  <si>
    <t>RS Print Collateral -Marktg</t>
  </si>
  <si>
    <t>54133-700</t>
  </si>
  <si>
    <t>Non-Resident Promotions - Events</t>
  </si>
  <si>
    <t>54134-700</t>
  </si>
  <si>
    <t>Non-Resident Promotions - Outreach</t>
  </si>
  <si>
    <t>54135-700</t>
  </si>
  <si>
    <t>Newsletters</t>
  </si>
  <si>
    <t>54136-700</t>
  </si>
  <si>
    <t>Gift Cards-New Leases</t>
  </si>
  <si>
    <t>54137-700</t>
  </si>
  <si>
    <t>Gift Card-Renewals</t>
  </si>
  <si>
    <t>54138-700</t>
  </si>
  <si>
    <t>Resident Recovery</t>
  </si>
  <si>
    <t>54139-700</t>
  </si>
  <si>
    <t>Signage/Displays-Perm Prop Signage</t>
  </si>
  <si>
    <t>54140-700</t>
  </si>
  <si>
    <t>Signage/Displays-MrktngProp Signage</t>
  </si>
  <si>
    <t>54141-700</t>
  </si>
  <si>
    <t>Special Media - Shuttle Bus Wraps</t>
  </si>
  <si>
    <t>54142-700</t>
  </si>
  <si>
    <t>Student Housing</t>
  </si>
  <si>
    <t>54161-700</t>
  </si>
  <si>
    <t>Web Initiatives Other</t>
  </si>
  <si>
    <t>54170-600</t>
  </si>
  <si>
    <t>Marketing General &amp; Non Specific</t>
  </si>
  <si>
    <t>54171-600</t>
  </si>
  <si>
    <t>ApartmentList</t>
  </si>
  <si>
    <t>54172-600</t>
  </si>
  <si>
    <t>CoStar Network</t>
  </si>
  <si>
    <t>54173-600</t>
  </si>
  <si>
    <t>RentPath Network</t>
  </si>
  <si>
    <t>54174-600</t>
  </si>
  <si>
    <t>For Rent</t>
  </si>
  <si>
    <t>54175-600</t>
  </si>
  <si>
    <t>Zillow Network</t>
  </si>
  <si>
    <t>54176-600</t>
  </si>
  <si>
    <t>Craigslist Posting Tool</t>
  </si>
  <si>
    <t>54177-600</t>
  </si>
  <si>
    <t>Zumper Fee</t>
  </si>
  <si>
    <t>54182-700</t>
  </si>
  <si>
    <t>National Branding/Promotion</t>
  </si>
  <si>
    <t>54188-700</t>
  </si>
  <si>
    <t>Marketing Support</t>
  </si>
  <si>
    <t>54189-700</t>
  </si>
  <si>
    <t>Other Leasing &amp; Marketing-Scent</t>
  </si>
  <si>
    <t>54190-700</t>
  </si>
  <si>
    <t>Other L&amp;M - Leasing Office Music</t>
  </si>
  <si>
    <t>54191-700</t>
  </si>
  <si>
    <t>Other Leasing&amp; Marketing - Surveys</t>
  </si>
  <si>
    <t>54192-700</t>
  </si>
  <si>
    <t>LRO system Costs</t>
  </si>
  <si>
    <t>54193-700</t>
  </si>
  <si>
    <t>Revenue ManagerAlloc</t>
  </si>
  <si>
    <t>54194-700</t>
  </si>
  <si>
    <t>Marketing Support Alloc</t>
  </si>
  <si>
    <t>54195-700</t>
  </si>
  <si>
    <t>NR Operating-Marketing</t>
  </si>
  <si>
    <t>54196-600</t>
  </si>
  <si>
    <t>Visual Media / Photography</t>
  </si>
  <si>
    <t>54999-099</t>
  </si>
  <si>
    <t>Total Advertising / Marketing / Promotions</t>
  </si>
  <si>
    <t>55000-100</t>
  </si>
  <si>
    <t>55010-100</t>
  </si>
  <si>
    <t>Rent - Base Rent</t>
  </si>
  <si>
    <t>55020-100</t>
  </si>
  <si>
    <t>Rent - Expense Stop</t>
  </si>
  <si>
    <t>55030-100</t>
  </si>
  <si>
    <t>Rent - Parking</t>
  </si>
  <si>
    <t>55040-100</t>
  </si>
  <si>
    <t>Rent - Furniture &amp; Equipment</t>
  </si>
  <si>
    <t>55050-100</t>
  </si>
  <si>
    <t>Rent - Copier</t>
  </si>
  <si>
    <t>55060-100</t>
  </si>
  <si>
    <t>Rent - Fax</t>
  </si>
  <si>
    <t>55070-100</t>
  </si>
  <si>
    <t>Rent - Computers</t>
  </si>
  <si>
    <t>55080-100</t>
  </si>
  <si>
    <t>Rent - Postage Machine</t>
  </si>
  <si>
    <t>55090-100</t>
  </si>
  <si>
    <t>Rent - Telephone</t>
  </si>
  <si>
    <t>55100-100</t>
  </si>
  <si>
    <t>Rent - Other</t>
  </si>
  <si>
    <t>55200-100</t>
  </si>
  <si>
    <t>Sub Lease Income</t>
  </si>
  <si>
    <t>55900-100</t>
  </si>
  <si>
    <t>Rent Reimbursement</t>
  </si>
  <si>
    <t>55905-100</t>
  </si>
  <si>
    <t>Capex - Rent</t>
  </si>
  <si>
    <t>55999-199</t>
  </si>
  <si>
    <t>Total Rent</t>
  </si>
  <si>
    <t>56000-100</t>
  </si>
  <si>
    <t>Professional Fees</t>
  </si>
  <si>
    <t>56010-100</t>
  </si>
  <si>
    <t>Consulting</t>
  </si>
  <si>
    <t>56015-100</t>
  </si>
  <si>
    <t>Consulting - Other</t>
  </si>
  <si>
    <t>56020-100</t>
  </si>
  <si>
    <t>56021-100</t>
  </si>
  <si>
    <t>Legal - Corporate</t>
  </si>
  <si>
    <t>56030-100</t>
  </si>
  <si>
    <t>Tax Fees</t>
  </si>
  <si>
    <t>56040-100</t>
  </si>
  <si>
    <t>56050-100</t>
  </si>
  <si>
    <t>56900-100</t>
  </si>
  <si>
    <t>Professional Fees Reimbursement</t>
  </si>
  <si>
    <t>56905-100</t>
  </si>
  <si>
    <t>Capex - Consulting</t>
  </si>
  <si>
    <t>56910-100</t>
  </si>
  <si>
    <t>Capex - Legal</t>
  </si>
  <si>
    <t>56915-100</t>
  </si>
  <si>
    <t>Capex - Tax</t>
  </si>
  <si>
    <t>56920-100</t>
  </si>
  <si>
    <t>Capex - Auditing</t>
  </si>
  <si>
    <t>56999-199</t>
  </si>
  <si>
    <t>Total Professional Fees</t>
  </si>
  <si>
    <t>57000-100</t>
  </si>
  <si>
    <t>Technology &amp; Communications</t>
  </si>
  <si>
    <t>57010-100</t>
  </si>
  <si>
    <t>Computer Leasing</t>
  </si>
  <si>
    <t>57020-100</t>
  </si>
  <si>
    <t>Computer Supplies</t>
  </si>
  <si>
    <t>57030-100</t>
  </si>
  <si>
    <t>IT Consulting</t>
  </si>
  <si>
    <t>57032-100</t>
  </si>
  <si>
    <t>IT Consulting - Reimbursement</t>
  </si>
  <si>
    <t>57040-100</t>
  </si>
  <si>
    <t>Internet - Data Lines</t>
  </si>
  <si>
    <t>57045-100</t>
  </si>
  <si>
    <t>E-Mail Account Maintenance</t>
  </si>
  <si>
    <t>57047-100</t>
  </si>
  <si>
    <t>E-Mail Account Reimbursement</t>
  </si>
  <si>
    <t>57050-100</t>
  </si>
  <si>
    <t>ISP Service Fee</t>
  </si>
  <si>
    <t>57060-100</t>
  </si>
  <si>
    <t>Printer Toner Cartridges</t>
  </si>
  <si>
    <t>57080-100</t>
  </si>
  <si>
    <t>Repair &amp; Maint - Computers</t>
  </si>
  <si>
    <t>57090-100</t>
  </si>
  <si>
    <t>Repair &amp; Maint - Laptops</t>
  </si>
  <si>
    <t>57100-100</t>
  </si>
  <si>
    <t>Repair &amp; Maint - Printers</t>
  </si>
  <si>
    <t>57110-100</t>
  </si>
  <si>
    <t>Repair &amp; Maint - Projectors</t>
  </si>
  <si>
    <t>57120-100</t>
  </si>
  <si>
    <t>Repair &amp; Maint - Servers</t>
  </si>
  <si>
    <t>57130-100</t>
  </si>
  <si>
    <t>Repair &amp; Maint - Telephones</t>
  </si>
  <si>
    <t>57140-100</t>
  </si>
  <si>
    <t>Repair &amp; Maint - Other</t>
  </si>
  <si>
    <t>57170-100</t>
  </si>
  <si>
    <t>Software Support - MRI</t>
  </si>
  <si>
    <t>57175-100</t>
  </si>
  <si>
    <t>Software Support - OneSite</t>
  </si>
  <si>
    <t>57191-100</t>
  </si>
  <si>
    <t>Software Support - Yardi</t>
  </si>
  <si>
    <t>57195-100</t>
  </si>
  <si>
    <t>Software Support - Other</t>
  </si>
  <si>
    <t>57200-100</t>
  </si>
  <si>
    <t>Software Licenses</t>
  </si>
  <si>
    <t>57205-100</t>
  </si>
  <si>
    <t>Data Backup / Storage Service</t>
  </si>
  <si>
    <t>57210-100</t>
  </si>
  <si>
    <t>Telephone Equipment</t>
  </si>
  <si>
    <t>57220-100</t>
  </si>
  <si>
    <t>Telephone - Local</t>
  </si>
  <si>
    <t>57230-100</t>
  </si>
  <si>
    <t>Telephone - Long Distance</t>
  </si>
  <si>
    <t>57240-100</t>
  </si>
  <si>
    <t>Telephone - Long Distance Reimb</t>
  </si>
  <si>
    <t>57250-100</t>
  </si>
  <si>
    <t>VPN Fees</t>
  </si>
  <si>
    <t>57260-100</t>
  </si>
  <si>
    <t>Web Hosting</t>
  </si>
  <si>
    <t>57270-100</t>
  </si>
  <si>
    <t>IT - Reimbursement</t>
  </si>
  <si>
    <t>57275-100</t>
  </si>
  <si>
    <t>National IT - Reimbursement</t>
  </si>
  <si>
    <t>57280-100</t>
  </si>
  <si>
    <t>Email Expense</t>
  </si>
  <si>
    <t>57290-100</t>
  </si>
  <si>
    <t>Training Reimbursement</t>
  </si>
  <si>
    <t>57295-100</t>
  </si>
  <si>
    <t>Training Reimbursement - Loss</t>
  </si>
  <si>
    <t>57300-100</t>
  </si>
  <si>
    <t>Software Reimbursement</t>
  </si>
  <si>
    <t>57305-100</t>
  </si>
  <si>
    <t>Software Reimbursement - Loss</t>
  </si>
  <si>
    <t>57310-100</t>
  </si>
  <si>
    <t>Premium Marketing Services</t>
  </si>
  <si>
    <t>57315-100</t>
  </si>
  <si>
    <t>Premium Marketing Service - Loss</t>
  </si>
  <si>
    <t>57900-100</t>
  </si>
  <si>
    <t>Technology And Communications Reimbursement</t>
  </si>
  <si>
    <t>57905-100</t>
  </si>
  <si>
    <t>Tech &amp; Communications Reimb. - Loss</t>
  </si>
  <si>
    <t>57910-100</t>
  </si>
  <si>
    <t>Capex - Technology and Communications</t>
  </si>
  <si>
    <t>57999-199</t>
  </si>
  <si>
    <t>Total Technology &amp; Communications</t>
  </si>
  <si>
    <t>58000-000</t>
  </si>
  <si>
    <t>58001-000</t>
  </si>
  <si>
    <t>58025-000</t>
  </si>
  <si>
    <t>58026-000</t>
  </si>
  <si>
    <t>58028-000</t>
  </si>
  <si>
    <t>58030-000</t>
  </si>
  <si>
    <t>58035-000</t>
  </si>
  <si>
    <t>58036-700</t>
  </si>
  <si>
    <t>Corporate - office mainte/exp</t>
  </si>
  <si>
    <t>58050-000</t>
  </si>
  <si>
    <t>58060-000</t>
  </si>
  <si>
    <t>58065-000</t>
  </si>
  <si>
    <t>58066-700</t>
  </si>
  <si>
    <t>Office Decore</t>
  </si>
  <si>
    <t>58070-000</t>
  </si>
  <si>
    <t>58070-600</t>
  </si>
  <si>
    <t>Parcel Locker Maintenance</t>
  </si>
  <si>
    <t>58071-000</t>
  </si>
  <si>
    <t>58072-700</t>
  </si>
  <si>
    <t>Office Lease</t>
  </si>
  <si>
    <t>58080-000</t>
  </si>
  <si>
    <t>58090-000</t>
  </si>
  <si>
    <t>58100-000</t>
  </si>
  <si>
    <t>58108-000</t>
  </si>
  <si>
    <t>58109-000</t>
  </si>
  <si>
    <t>58110-000</t>
  </si>
  <si>
    <t>58112-000</t>
  </si>
  <si>
    <t>58112-700</t>
  </si>
  <si>
    <t>Telephone - Mobile Constrctn</t>
  </si>
  <si>
    <t>58113-700</t>
  </si>
  <si>
    <t>58116-000</t>
  </si>
  <si>
    <t>58117-000</t>
  </si>
  <si>
    <t>58120-000</t>
  </si>
  <si>
    <t>58199-099</t>
  </si>
  <si>
    <t>Total Office Expenses</t>
  </si>
  <si>
    <t>58200-000</t>
  </si>
  <si>
    <t>58205-000</t>
  </si>
  <si>
    <t>58207-000</t>
  </si>
  <si>
    <t>58210-000</t>
  </si>
  <si>
    <t>58211-000</t>
  </si>
  <si>
    <t>58212-000</t>
  </si>
  <si>
    <t>58213-000</t>
  </si>
  <si>
    <t>58215-000</t>
  </si>
  <si>
    <t>58225-000</t>
  </si>
  <si>
    <t>58230-000</t>
  </si>
  <si>
    <t>58231-000</t>
  </si>
  <si>
    <t>58232-000</t>
  </si>
  <si>
    <t>58233-000</t>
  </si>
  <si>
    <t>58234-000</t>
  </si>
  <si>
    <t>58235-000</t>
  </si>
  <si>
    <t>58236-000</t>
  </si>
  <si>
    <t>58237-000</t>
  </si>
  <si>
    <t>58238-000</t>
  </si>
  <si>
    <t>58239-700</t>
  </si>
  <si>
    <t>Auto Expenses (Rental)</t>
  </si>
  <si>
    <t>58240-000</t>
  </si>
  <si>
    <t>58240-600</t>
  </si>
  <si>
    <t>Core Acctg/Operating System</t>
  </si>
  <si>
    <t>58240-700</t>
  </si>
  <si>
    <t>Corp-Telephone Mobile</t>
  </si>
  <si>
    <t>58241-700</t>
  </si>
  <si>
    <t>Corporate - Telephone</t>
  </si>
  <si>
    <t>58242-000</t>
  </si>
  <si>
    <t>58242-700</t>
  </si>
  <si>
    <t>Corporate - Courier &amp; Postages</t>
  </si>
  <si>
    <t>58243-000</t>
  </si>
  <si>
    <t>58243-700</t>
  </si>
  <si>
    <t>Corporate - Photocopying/Printing</t>
  </si>
  <si>
    <t>58244-000</t>
  </si>
  <si>
    <t>58244-700</t>
  </si>
  <si>
    <t>Corporate - Training Department Cos</t>
  </si>
  <si>
    <t>58245-000</t>
  </si>
  <si>
    <t>58245-700</t>
  </si>
  <si>
    <t>Corporate - Managers Conference</t>
  </si>
  <si>
    <t>58246-000</t>
  </si>
  <si>
    <t>58246-700</t>
  </si>
  <si>
    <t>Corporate - Other</t>
  </si>
  <si>
    <t>58247-700</t>
  </si>
  <si>
    <t>Investment Fund Meeting</t>
  </si>
  <si>
    <t>58248-700</t>
  </si>
  <si>
    <t>Corporate - Holiday Party</t>
  </si>
  <si>
    <t>58249-700</t>
  </si>
  <si>
    <t>Corporate - Company Picnic</t>
  </si>
  <si>
    <t>58250-000</t>
  </si>
  <si>
    <t>58250-700</t>
  </si>
  <si>
    <t>Corporate - Customer Care</t>
  </si>
  <si>
    <t>58251-700</t>
  </si>
  <si>
    <t>Project Mgt OH Alloc</t>
  </si>
  <si>
    <t>58252-700</t>
  </si>
  <si>
    <t>IT Support OH Allocation</t>
  </si>
  <si>
    <t>58253-000</t>
  </si>
  <si>
    <t>58255-000</t>
  </si>
  <si>
    <t>58260-000</t>
  </si>
  <si>
    <t>58261-700</t>
  </si>
  <si>
    <t>Filing Fees</t>
  </si>
  <si>
    <t>58265-000</t>
  </si>
  <si>
    <t>58266-000</t>
  </si>
  <si>
    <t>58266-600</t>
  </si>
  <si>
    <t>Smart Home - Alloy Access</t>
  </si>
  <si>
    <t>58267-000</t>
  </si>
  <si>
    <t>58267-600</t>
  </si>
  <si>
    <t>Smart Home - SensiPredict</t>
  </si>
  <si>
    <t>58268-000</t>
  </si>
  <si>
    <t>58268-600</t>
  </si>
  <si>
    <t>Smart Home - WiFi</t>
  </si>
  <si>
    <t>58269-000</t>
  </si>
  <si>
    <t>58270-000</t>
  </si>
  <si>
    <t>58271-000</t>
  </si>
  <si>
    <t>58272-000</t>
  </si>
  <si>
    <t>58273-600</t>
  </si>
  <si>
    <t>Lead Generation/Tracking/CRM Software</t>
  </si>
  <si>
    <t>58274-600</t>
  </si>
  <si>
    <t>Lead Generation/Tracking/CRM</t>
  </si>
  <si>
    <t>58275-000</t>
  </si>
  <si>
    <t>58275-005</t>
  </si>
  <si>
    <t>Legal Fees-Parkmerced (Do not Use)</t>
  </si>
  <si>
    <t>58276-000</t>
  </si>
  <si>
    <t>58277-700</t>
  </si>
  <si>
    <t>Legal Fee - Eviction - Recovery</t>
  </si>
  <si>
    <t>58278-000</t>
  </si>
  <si>
    <t>58281-000</t>
  </si>
  <si>
    <t>58281-700</t>
  </si>
  <si>
    <t>License/Permit Recovery</t>
  </si>
  <si>
    <t>58282-000</t>
  </si>
  <si>
    <t>58283-000</t>
  </si>
  <si>
    <t>58283-600</t>
  </si>
  <si>
    <t>Property Web Site</t>
  </si>
  <si>
    <t>58283-700</t>
  </si>
  <si>
    <t>Premium Services Expense 1st</t>
  </si>
  <si>
    <t>58284-600</t>
  </si>
  <si>
    <t>Procurement and Project/Vendor Management</t>
  </si>
  <si>
    <t>58284-700</t>
  </si>
  <si>
    <t>Premium Services Expense 2nd</t>
  </si>
  <si>
    <t>58285-000</t>
  </si>
  <si>
    <t>58285-700</t>
  </si>
  <si>
    <t>Premium Services Expense 3rd</t>
  </si>
  <si>
    <t>58287-000</t>
  </si>
  <si>
    <t>58287-600</t>
  </si>
  <si>
    <t>58288-600</t>
  </si>
  <si>
    <t>Revenue Management</t>
  </si>
  <si>
    <t>58289-000</t>
  </si>
  <si>
    <t>58290-000</t>
  </si>
  <si>
    <t>58295-000</t>
  </si>
  <si>
    <t>58296-700</t>
  </si>
  <si>
    <t>Other Professional Fees</t>
  </si>
  <si>
    <t>58300-000</t>
  </si>
  <si>
    <t>58300-001</t>
  </si>
  <si>
    <t>Travel - Airfare</t>
  </si>
  <si>
    <t>58300-002</t>
  </si>
  <si>
    <t>Travel - Auto Rental / Gas</t>
  </si>
  <si>
    <t>58300-003</t>
  </si>
  <si>
    <t>Travel - Lodging</t>
  </si>
  <si>
    <t>58300-004</t>
  </si>
  <si>
    <t>Travel - Meals</t>
  </si>
  <si>
    <t>58301-000</t>
  </si>
  <si>
    <t>58302-000</t>
  </si>
  <si>
    <t>58305-000</t>
  </si>
  <si>
    <t>58306-700</t>
  </si>
  <si>
    <t>Model/Clubhouse Furniture</t>
  </si>
  <si>
    <t>58307-700</t>
  </si>
  <si>
    <t>Model/Clubhouse Equipment</t>
  </si>
  <si>
    <t>58308-700</t>
  </si>
  <si>
    <t>Model/Clubhouse Miscellaneous</t>
  </si>
  <si>
    <t>58309-700</t>
  </si>
  <si>
    <t>Phone Shop-Who's Calling</t>
  </si>
  <si>
    <t>58310-700</t>
  </si>
  <si>
    <t>External Cust Serv Cost</t>
  </si>
  <si>
    <t>58320-000</t>
  </si>
  <si>
    <t>58321-700</t>
  </si>
  <si>
    <t>G&amp;A - HOA</t>
  </si>
  <si>
    <t>58322-700</t>
  </si>
  <si>
    <t>RS Travel Meals</t>
  </si>
  <si>
    <t>58323-700</t>
  </si>
  <si>
    <t>RS Travel-Air</t>
  </si>
  <si>
    <t>58324-700</t>
  </si>
  <si>
    <t>RS Travel</t>
  </si>
  <si>
    <t>58325-700</t>
  </si>
  <si>
    <t>RS Travel-Auto Exp Gas/Mlg &amp; Rprs</t>
  </si>
  <si>
    <t>58326-700</t>
  </si>
  <si>
    <t>Homes COGS (Do Not Use)</t>
  </si>
  <si>
    <t>58327-700</t>
  </si>
  <si>
    <t>Other Travel and Expense Reimb</t>
  </si>
  <si>
    <t>58328-700</t>
  </si>
  <si>
    <t>Hotel Accommodations</t>
  </si>
  <si>
    <t>58329-700</t>
  </si>
  <si>
    <t>Resident Settlements</t>
  </si>
  <si>
    <t>58330-000</t>
  </si>
  <si>
    <t>58330-600</t>
  </si>
  <si>
    <t>Tenant Liability Insurance</t>
  </si>
  <si>
    <t>58398-099</t>
  </si>
  <si>
    <t>Total Other General &amp; Administrative</t>
  </si>
  <si>
    <t>58399-099</t>
  </si>
  <si>
    <t>Total General &amp; Administrative</t>
  </si>
  <si>
    <t>58400-100</t>
  </si>
  <si>
    <t>58410-100</t>
  </si>
  <si>
    <t>ADP Processing</t>
  </si>
  <si>
    <t>58411-100</t>
  </si>
  <si>
    <t>SourceNet</t>
  </si>
  <si>
    <t>58420-100</t>
  </si>
  <si>
    <t>Award Ceremony / Company Events</t>
  </si>
  <si>
    <t>58430-100</t>
  </si>
  <si>
    <t>Bad Debt</t>
  </si>
  <si>
    <t>58440-100</t>
  </si>
  <si>
    <t>58450-100</t>
  </si>
  <si>
    <t>Books Publ &amp; Subscriptions</t>
  </si>
  <si>
    <t>58460-100</t>
  </si>
  <si>
    <t>Charitable Contributions</t>
  </si>
  <si>
    <t>58461-100</t>
  </si>
  <si>
    <t>58462-100</t>
  </si>
  <si>
    <t>Charitable Payouts; Stars In Need</t>
  </si>
  <si>
    <t>58470-100</t>
  </si>
  <si>
    <t>Check Stock (net of reimb)</t>
  </si>
  <si>
    <t>58480-100</t>
  </si>
  <si>
    <t>Copy Cost - Paper</t>
  </si>
  <si>
    <t>58490-100</t>
  </si>
  <si>
    <t>Copy Cost - Per Copy Charges</t>
  </si>
  <si>
    <t>58500-100</t>
  </si>
  <si>
    <t>Copy Cost - Outsourced Copying</t>
  </si>
  <si>
    <t>58510-100</t>
  </si>
  <si>
    <t>Copy Cost - Toner</t>
  </si>
  <si>
    <t>58520-100</t>
  </si>
  <si>
    <t>Copy Cost - Maint Agreements</t>
  </si>
  <si>
    <t>58530-100</t>
  </si>
  <si>
    <t>Copy Cost - Reimbursements</t>
  </si>
  <si>
    <t>58540-100</t>
  </si>
  <si>
    <t>Deliveries</t>
  </si>
  <si>
    <t>58550-100</t>
  </si>
  <si>
    <t>Insurance - Property</t>
  </si>
  <si>
    <t>58560-100</t>
  </si>
  <si>
    <t>Insurance - General Liability</t>
  </si>
  <si>
    <t>58563-100</t>
  </si>
  <si>
    <t>Charitable Payouts; Scholars</t>
  </si>
  <si>
    <t>58564-100</t>
  </si>
  <si>
    <t>Charitable Payouts; Rescue</t>
  </si>
  <si>
    <t>58565-100</t>
  </si>
  <si>
    <t>Charitable Payouts: Other Causes</t>
  </si>
  <si>
    <t>58570-100</t>
  </si>
  <si>
    <t>Insurance - Umbrella</t>
  </si>
  <si>
    <t>58575-100</t>
  </si>
  <si>
    <t>Insurance  -  Auto</t>
  </si>
  <si>
    <t>58580-100</t>
  </si>
  <si>
    <t>Insurance - Fidelity</t>
  </si>
  <si>
    <t>58590-100</t>
  </si>
  <si>
    <t>Insurance - Bond</t>
  </si>
  <si>
    <t>58600-100</t>
  </si>
  <si>
    <t>Insurance - Errors &amp; Omissions</t>
  </si>
  <si>
    <t>58610-100</t>
  </si>
  <si>
    <t>Insurance - Life Insurance</t>
  </si>
  <si>
    <t>58620-100</t>
  </si>
  <si>
    <t>General &amp; Administrative - Other</t>
  </si>
  <si>
    <t>58621-100</t>
  </si>
  <si>
    <t>Reps and Warranties Expense</t>
  </si>
  <si>
    <t>58622-100</t>
  </si>
  <si>
    <t>Tax Expense</t>
  </si>
  <si>
    <t>58630-100</t>
  </si>
  <si>
    <t>Late Fees  -  Properties</t>
  </si>
  <si>
    <t>58635-100</t>
  </si>
  <si>
    <t>Non-Reimbursable Fees-Properties</t>
  </si>
  <si>
    <t>58640-100</t>
  </si>
  <si>
    <t>Licenses &amp; Fees</t>
  </si>
  <si>
    <t>58650-100</t>
  </si>
  <si>
    <t>Office Relocations</t>
  </si>
  <si>
    <t>58660-100</t>
  </si>
  <si>
    <t>58670-100</t>
  </si>
  <si>
    <t>Kitchen Supplies</t>
  </si>
  <si>
    <t>58680-100</t>
  </si>
  <si>
    <t>Office Cleaning</t>
  </si>
  <si>
    <t>58690-100</t>
  </si>
  <si>
    <t>Photos &amp; Film Developing</t>
  </si>
  <si>
    <t>58700-100</t>
  </si>
  <si>
    <t>Plant Maintenance</t>
  </si>
  <si>
    <t>58710-100</t>
  </si>
  <si>
    <t>Postage - Metered</t>
  </si>
  <si>
    <t>58720-100</t>
  </si>
  <si>
    <t>Postage - Business Reply</t>
  </si>
  <si>
    <t>58730-100</t>
  </si>
  <si>
    <t>Postage - Reimbursements</t>
  </si>
  <si>
    <t>58740-100</t>
  </si>
  <si>
    <t>Printing - Letter Head</t>
  </si>
  <si>
    <t>58750-100</t>
  </si>
  <si>
    <t>Printing - Newsletter</t>
  </si>
  <si>
    <t>58760-100</t>
  </si>
  <si>
    <t>Printing - Business Cards</t>
  </si>
  <si>
    <t>58770-100</t>
  </si>
  <si>
    <t>Printing - Other</t>
  </si>
  <si>
    <t>58780-100</t>
  </si>
  <si>
    <t>Repair &amp; Maint - Copiers</t>
  </si>
  <si>
    <t>58790-100</t>
  </si>
  <si>
    <t>Repair &amp; Maint - Faxes</t>
  </si>
  <si>
    <t>58800-100</t>
  </si>
  <si>
    <t>Repair &amp; Maint - Postage Machine</t>
  </si>
  <si>
    <t>58810-100</t>
  </si>
  <si>
    <t>Gen &amp; Admin - R&amp;M Other</t>
  </si>
  <si>
    <t>58820-100</t>
  </si>
  <si>
    <t>58830-100</t>
  </si>
  <si>
    <t>Storage - Offsite</t>
  </si>
  <si>
    <t>58840-100</t>
  </si>
  <si>
    <t>Taxes - Franchise</t>
  </si>
  <si>
    <t>58850-100</t>
  </si>
  <si>
    <t>Taxes - Property</t>
  </si>
  <si>
    <t>58860-100</t>
  </si>
  <si>
    <t>Taxes - Sales</t>
  </si>
  <si>
    <t>58865-100</t>
  </si>
  <si>
    <t>Deferred Income Tax Expense</t>
  </si>
  <si>
    <t>58866-100</t>
  </si>
  <si>
    <t>Current Tax Expense</t>
  </si>
  <si>
    <t>58870-100</t>
  </si>
  <si>
    <t>Utilities - Electricity</t>
  </si>
  <si>
    <t>58880-100</t>
  </si>
  <si>
    <t>Utilities - Gas</t>
  </si>
  <si>
    <t>58890-100</t>
  </si>
  <si>
    <t>Utilities - Water</t>
  </si>
  <si>
    <t>58900-100</t>
  </si>
  <si>
    <t>Pursuit Costs - Transactions</t>
  </si>
  <si>
    <t>58901-100</t>
  </si>
  <si>
    <t>Pursuit Costs - Funds/Ventures</t>
  </si>
  <si>
    <t>58910-100</t>
  </si>
  <si>
    <t>Research Expense</t>
  </si>
  <si>
    <t>58920-100</t>
  </si>
  <si>
    <t>Developers Cost Overrun</t>
  </si>
  <si>
    <t>58930-100</t>
  </si>
  <si>
    <t>Capital Raising Costs</t>
  </si>
  <si>
    <t>58950-100</t>
  </si>
  <si>
    <t>Hurricane Expense</t>
  </si>
  <si>
    <t>58990-100</t>
  </si>
  <si>
    <t>General &amp; Administrative Reimbursement</t>
  </si>
  <si>
    <t>58995-100</t>
  </si>
  <si>
    <t>General &amp; Administrative Reimbursement - Loss</t>
  </si>
  <si>
    <t>58998-100</t>
  </si>
  <si>
    <t>Capex - General Administrative</t>
  </si>
  <si>
    <t>58999-199</t>
  </si>
  <si>
    <t>59000-000</t>
  </si>
  <si>
    <t>59010-000</t>
  </si>
  <si>
    <t>59030-000</t>
  </si>
  <si>
    <t>59035-000</t>
  </si>
  <si>
    <t>59037-000</t>
  </si>
  <si>
    <t>59040-000</t>
  </si>
  <si>
    <t>59045-000</t>
  </si>
  <si>
    <t>59048-000</t>
  </si>
  <si>
    <t>59050-000</t>
  </si>
  <si>
    <t>59060-000</t>
  </si>
  <si>
    <t>59061-600</t>
  </si>
  <si>
    <t>Electricity</t>
  </si>
  <si>
    <t>59061-700</t>
  </si>
  <si>
    <t>Electricity-HOA</t>
  </si>
  <si>
    <t>59062-600</t>
  </si>
  <si>
    <t>Energy Monitoring Service Fees</t>
  </si>
  <si>
    <t>59073-000</t>
  </si>
  <si>
    <t>59075-000</t>
  </si>
  <si>
    <t>59078-000</t>
  </si>
  <si>
    <t>59079-000</t>
  </si>
  <si>
    <t>59080-000</t>
  </si>
  <si>
    <t>59085-000</t>
  </si>
  <si>
    <t>59087-000</t>
  </si>
  <si>
    <t>59088-700</t>
  </si>
  <si>
    <t>Gas - HOA</t>
  </si>
  <si>
    <t>59090-000</t>
  </si>
  <si>
    <t>59093-000</t>
  </si>
  <si>
    <t>59095-000</t>
  </si>
  <si>
    <t>59105-000</t>
  </si>
  <si>
    <t>59105-001</t>
  </si>
  <si>
    <t>59106-000</t>
  </si>
  <si>
    <t>59106-700</t>
  </si>
  <si>
    <t>Utility Transfer Recovery</t>
  </si>
  <si>
    <t>59107-700</t>
  </si>
  <si>
    <t>Utility Recovery Alloc</t>
  </si>
  <si>
    <t>59112-000</t>
  </si>
  <si>
    <t>59113-600</t>
  </si>
  <si>
    <t>Irrigation Recovery</t>
  </si>
  <si>
    <t>59114-000</t>
  </si>
  <si>
    <t>59115-000</t>
  </si>
  <si>
    <t>59115-005</t>
  </si>
  <si>
    <t>Water / Sewer Rebill-Parkmerced (Do not Use)</t>
  </si>
  <si>
    <t>59116-000</t>
  </si>
  <si>
    <t>59117-600</t>
  </si>
  <si>
    <t>Water/Sewer - Vacant Units</t>
  </si>
  <si>
    <t>59118-600</t>
  </si>
  <si>
    <t>Water/Sewer - Common Areas</t>
  </si>
  <si>
    <t>59120-000</t>
  </si>
  <si>
    <t>59122-000</t>
  </si>
  <si>
    <t>59123-000</t>
  </si>
  <si>
    <t>59124-000</t>
  </si>
  <si>
    <t>59125-700</t>
  </si>
  <si>
    <t>Water - HOA</t>
  </si>
  <si>
    <t>59126-700</t>
  </si>
  <si>
    <t>Sewer - HOA</t>
  </si>
  <si>
    <t>59127-700</t>
  </si>
  <si>
    <t>Cable - HOA</t>
  </si>
  <si>
    <t>59130-000</t>
  </si>
  <si>
    <t>59135-000</t>
  </si>
  <si>
    <t>59999-099</t>
  </si>
  <si>
    <t>Total Utilities</t>
  </si>
  <si>
    <t>60000-000</t>
  </si>
  <si>
    <t>61010-000</t>
  </si>
  <si>
    <t>61011-000</t>
  </si>
  <si>
    <t>61015-000</t>
  </si>
  <si>
    <t>61020-000</t>
  </si>
  <si>
    <t>61025-000</t>
  </si>
  <si>
    <t>61030-000</t>
  </si>
  <si>
    <t>61030-600</t>
  </si>
  <si>
    <t>Affiliated Management Fee</t>
  </si>
  <si>
    <t>61033-000</t>
  </si>
  <si>
    <t>61035-000</t>
  </si>
  <si>
    <t>61040-000</t>
  </si>
  <si>
    <t>61045-000</t>
  </si>
  <si>
    <t>61046-700</t>
  </si>
  <si>
    <t>Management Fee - HOA</t>
  </si>
  <si>
    <t>61999-099</t>
  </si>
  <si>
    <t>Total Management Fees</t>
  </si>
  <si>
    <t>62000-000</t>
  </si>
  <si>
    <t>62010-001</t>
  </si>
  <si>
    <t>Ad Valorem Prop Taxes - Prior Year</t>
  </si>
  <si>
    <t>62010-002</t>
  </si>
  <si>
    <t>Ad Valorem Prop Taxes - Appeal Adjustment</t>
  </si>
  <si>
    <t>62010-600</t>
  </si>
  <si>
    <t>Prior Year RE Tax Refunds</t>
  </si>
  <si>
    <t>62011-600</t>
  </si>
  <si>
    <t>RE Tax Payments Contra</t>
  </si>
  <si>
    <t>62015-000</t>
  </si>
  <si>
    <t>62020-000</t>
  </si>
  <si>
    <t>62022-000</t>
  </si>
  <si>
    <t>62023-700</t>
  </si>
  <si>
    <t>Ground Lease SLR Adj</t>
  </si>
  <si>
    <t>62025-000</t>
  </si>
  <si>
    <t>62026-700</t>
  </si>
  <si>
    <t>Municipal Fees</t>
  </si>
  <si>
    <t>62028-000</t>
  </si>
  <si>
    <t>62028-600</t>
  </si>
  <si>
    <t>RE Tax Abatement Amort</t>
  </si>
  <si>
    <t>62029-000</t>
  </si>
  <si>
    <t>62029-700</t>
  </si>
  <si>
    <t>Supplemental Tax</t>
  </si>
  <si>
    <t>62035-000</t>
  </si>
  <si>
    <t>62040-000</t>
  </si>
  <si>
    <t>62060-000</t>
  </si>
  <si>
    <t>62061-700</t>
  </si>
  <si>
    <t>Information System Consulting</t>
  </si>
  <si>
    <t>62062-700</t>
  </si>
  <si>
    <t>In House Collection Service</t>
  </si>
  <si>
    <t>62063-700</t>
  </si>
  <si>
    <t>Commercial Deficit Expense</t>
  </si>
  <si>
    <t>62080-000</t>
  </si>
  <si>
    <t>62999-099</t>
  </si>
  <si>
    <t>Total Taxes</t>
  </si>
  <si>
    <t>63000-000</t>
  </si>
  <si>
    <t>63010-600</t>
  </si>
  <si>
    <t>Insurance Expense</t>
  </si>
  <si>
    <t>63011-600</t>
  </si>
  <si>
    <t>Insurance Payments - Contra</t>
  </si>
  <si>
    <t>63015-000</t>
  </si>
  <si>
    <t>63020-000</t>
  </si>
  <si>
    <t>63030-000</t>
  </si>
  <si>
    <t>63035-000</t>
  </si>
  <si>
    <t>63040-000</t>
  </si>
  <si>
    <t>63050-000</t>
  </si>
  <si>
    <t>63055-000</t>
  </si>
  <si>
    <t>63060-000</t>
  </si>
  <si>
    <t>63070-000</t>
  </si>
  <si>
    <t>63075-000</t>
  </si>
  <si>
    <t>63080-000</t>
  </si>
  <si>
    <t>63085-000</t>
  </si>
  <si>
    <t>63087-000</t>
  </si>
  <si>
    <t>63090-000</t>
  </si>
  <si>
    <t>63091-700</t>
  </si>
  <si>
    <t>Insurance - HOA</t>
  </si>
  <si>
    <t>63092-700</t>
  </si>
  <si>
    <t>Claims Deductible</t>
  </si>
  <si>
    <t>63999-099</t>
  </si>
  <si>
    <t>Total Insurance</t>
  </si>
  <si>
    <t>64000-100</t>
  </si>
  <si>
    <t>Travel &amp; Entertainment</t>
  </si>
  <si>
    <t>64010-100</t>
  </si>
  <si>
    <t>Airfare</t>
  </si>
  <si>
    <t>64020-100</t>
  </si>
  <si>
    <t>Lodging</t>
  </si>
  <si>
    <t>64030-100</t>
  </si>
  <si>
    <t>Car Rental</t>
  </si>
  <si>
    <t>64040-100</t>
  </si>
  <si>
    <t>Parking</t>
  </si>
  <si>
    <t>64050-100</t>
  </si>
  <si>
    <t>Mileage</t>
  </si>
  <si>
    <t>64055-100</t>
  </si>
  <si>
    <t>Toll Expenses</t>
  </si>
  <si>
    <t>64060-100</t>
  </si>
  <si>
    <t>Car / Taxi Service</t>
  </si>
  <si>
    <t>64070-100</t>
  </si>
  <si>
    <t>Long Distance / Internet Service</t>
  </si>
  <si>
    <t>64080-100</t>
  </si>
  <si>
    <t>Meals</t>
  </si>
  <si>
    <t>64090-100</t>
  </si>
  <si>
    <t>Travel - Other</t>
  </si>
  <si>
    <t>64100-100</t>
  </si>
  <si>
    <t>Entertainment - Dining</t>
  </si>
  <si>
    <t>64101-100</t>
  </si>
  <si>
    <t>Entertainment - Dining - PSA</t>
  </si>
  <si>
    <t>64110-100</t>
  </si>
  <si>
    <t>Entertainment - Public Functions</t>
  </si>
  <si>
    <t>64120-100</t>
  </si>
  <si>
    <t>Entertainment - Sporting Events</t>
  </si>
  <si>
    <t>64130-100</t>
  </si>
  <si>
    <t>Entertainment - Golf</t>
  </si>
  <si>
    <t>64140-100</t>
  </si>
  <si>
    <t>Entertainment - Other</t>
  </si>
  <si>
    <t>64141-100</t>
  </si>
  <si>
    <t>Entertainment Other PSA</t>
  </si>
  <si>
    <t>64900-100</t>
  </si>
  <si>
    <t>Travel and Entertainment Reimbursement</t>
  </si>
  <si>
    <t>64905-100</t>
  </si>
  <si>
    <t>Capex - Travel and Entertainment</t>
  </si>
  <si>
    <t>64999-199</t>
  </si>
  <si>
    <t>Total Travel &amp; Entertainment</t>
  </si>
  <si>
    <t>65000-100</t>
  </si>
  <si>
    <t>65010-100</t>
  </si>
  <si>
    <t>Advertising &amp; Promotion</t>
  </si>
  <si>
    <t>65020-100</t>
  </si>
  <si>
    <t>65030-100</t>
  </si>
  <si>
    <t>Presentation Materials</t>
  </si>
  <si>
    <t>65040-100</t>
  </si>
  <si>
    <t>Web Design</t>
  </si>
  <si>
    <t>65050-100</t>
  </si>
  <si>
    <t>65060-100</t>
  </si>
  <si>
    <t>Business Development</t>
  </si>
  <si>
    <t>65070-100</t>
  </si>
  <si>
    <t>Association Meetings</t>
  </si>
  <si>
    <t>65080-100</t>
  </si>
  <si>
    <t>Commissions</t>
  </si>
  <si>
    <t>65090-100</t>
  </si>
  <si>
    <t>65100-100</t>
  </si>
  <si>
    <t>Printing</t>
  </si>
  <si>
    <t>65900-100</t>
  </si>
  <si>
    <t>Marketing Reimbursement</t>
  </si>
  <si>
    <t>65905-100</t>
  </si>
  <si>
    <t>Capex - Marketing</t>
  </si>
  <si>
    <t>65999-199</t>
  </si>
  <si>
    <t>Total Marketing</t>
  </si>
  <si>
    <t>66000-100</t>
  </si>
  <si>
    <t>Non-Reimbursable Expenses</t>
  </si>
  <si>
    <t>66010-100</t>
  </si>
  <si>
    <t>Advertising &amp; Promotions - Landlord</t>
  </si>
  <si>
    <t>66020-100</t>
  </si>
  <si>
    <t>Administrative - Landlord</t>
  </si>
  <si>
    <t>66030-100</t>
  </si>
  <si>
    <t>Management Fee - Landlord</t>
  </si>
  <si>
    <t>66035-100</t>
  </si>
  <si>
    <t>66040-100</t>
  </si>
  <si>
    <t>Legal Fees - Landlord</t>
  </si>
  <si>
    <t>66050-100</t>
  </si>
  <si>
    <t>Professional Fees - Landlord</t>
  </si>
  <si>
    <t>66060-100</t>
  </si>
  <si>
    <t>Repairs &amp; Maintenance - Landlord</t>
  </si>
  <si>
    <t>66070-100</t>
  </si>
  <si>
    <t>Utilities - Landlord</t>
  </si>
  <si>
    <t>66080-100</t>
  </si>
  <si>
    <t>Miscellaneous - Landlord</t>
  </si>
  <si>
    <t>66998-199</t>
  </si>
  <si>
    <t>Total Non - Reimbursable Expenses</t>
  </si>
  <si>
    <t>66999-098</t>
  </si>
  <si>
    <t>DO NOT USE</t>
  </si>
  <si>
    <t>66999-099</t>
  </si>
  <si>
    <t>Total Non Recoverable Operating Expenses</t>
  </si>
  <si>
    <t>66999-199</t>
  </si>
  <si>
    <t>Total Operating Expenses</t>
  </si>
  <si>
    <t>67000-000</t>
  </si>
  <si>
    <t>67001-000</t>
  </si>
  <si>
    <t>67002-000</t>
  </si>
  <si>
    <t>67003-000</t>
  </si>
  <si>
    <t>67004-000</t>
  </si>
  <si>
    <t>67005-000</t>
  </si>
  <si>
    <t>67006-000</t>
  </si>
  <si>
    <t>67012-000</t>
  </si>
  <si>
    <t>67013-000</t>
  </si>
  <si>
    <t>67014-000</t>
  </si>
  <si>
    <t>67015-000</t>
  </si>
  <si>
    <t>67016-000</t>
  </si>
  <si>
    <t>67020-000</t>
  </si>
  <si>
    <t>67025-000</t>
  </si>
  <si>
    <t>67030-000</t>
  </si>
  <si>
    <t>67035-000</t>
  </si>
  <si>
    <t>67040-000</t>
  </si>
  <si>
    <t>67043-000</t>
  </si>
  <si>
    <t>67045-000</t>
  </si>
  <si>
    <t>67050-000</t>
  </si>
  <si>
    <t>67060-000</t>
  </si>
  <si>
    <t>67065-000</t>
  </si>
  <si>
    <t>67070-000</t>
  </si>
  <si>
    <t>67099-099</t>
  </si>
  <si>
    <t>Total Recoverable Payroll</t>
  </si>
  <si>
    <t>67101-000</t>
  </si>
  <si>
    <t>67102-000</t>
  </si>
  <si>
    <t>67103-000</t>
  </si>
  <si>
    <t>67104-000</t>
  </si>
  <si>
    <t>67105-000</t>
  </si>
  <si>
    <t>67106-000</t>
  </si>
  <si>
    <t>67107-000</t>
  </si>
  <si>
    <t>67108-000</t>
  </si>
  <si>
    <t>67115-000</t>
  </si>
  <si>
    <t>67120-000</t>
  </si>
  <si>
    <t>67130-000</t>
  </si>
  <si>
    <t>67140-000</t>
  </si>
  <si>
    <t>67145-000</t>
  </si>
  <si>
    <t>67150-000</t>
  </si>
  <si>
    <t>67155-000</t>
  </si>
  <si>
    <t>67160-000</t>
  </si>
  <si>
    <t>67165-000</t>
  </si>
  <si>
    <t>67170-000</t>
  </si>
  <si>
    <t>67175-000</t>
  </si>
  <si>
    <t>67180-000</t>
  </si>
  <si>
    <t>67185-000</t>
  </si>
  <si>
    <t>67190-000</t>
  </si>
  <si>
    <t>67195-000</t>
  </si>
  <si>
    <t>67199-099</t>
  </si>
  <si>
    <t>Total Recoverable Marketing</t>
  </si>
  <si>
    <t>67201-000</t>
  </si>
  <si>
    <t>67205-000</t>
  </si>
  <si>
    <t>67210-000</t>
  </si>
  <si>
    <t>67215-000</t>
  </si>
  <si>
    <t>67220-000</t>
  </si>
  <si>
    <t>67225-000</t>
  </si>
  <si>
    <t>67230-000</t>
  </si>
  <si>
    <t>67235-000</t>
  </si>
  <si>
    <t>67240-000</t>
  </si>
  <si>
    <t>67240-002</t>
  </si>
  <si>
    <t>REC Parking Lot Maintenance - Contra</t>
  </si>
  <si>
    <t>67299-099</t>
  </si>
  <si>
    <t>Total Recoverable Landscaping</t>
  </si>
  <si>
    <t>67301-000</t>
  </si>
  <si>
    <t>67302-000</t>
  </si>
  <si>
    <t>67303-000</t>
  </si>
  <si>
    <t>67310-000</t>
  </si>
  <si>
    <t>67315-000</t>
  </si>
  <si>
    <t>67320-000</t>
  </si>
  <si>
    <t>67330-000</t>
  </si>
  <si>
    <t>67340-000</t>
  </si>
  <si>
    <t>67350-000</t>
  </si>
  <si>
    <t>67355-000</t>
  </si>
  <si>
    <t>67360-000</t>
  </si>
  <si>
    <t>67370-000</t>
  </si>
  <si>
    <t>67380-000</t>
  </si>
  <si>
    <t>67390-000</t>
  </si>
  <si>
    <t>67399-099</t>
  </si>
  <si>
    <t>Total Recoverable Unit Turn Expense</t>
  </si>
  <si>
    <t>67401-000</t>
  </si>
  <si>
    <t>67402-000</t>
  </si>
  <si>
    <t>67403-000</t>
  </si>
  <si>
    <t>67410-000</t>
  </si>
  <si>
    <t>67411-000</t>
  </si>
  <si>
    <t>67412-000</t>
  </si>
  <si>
    <t>67413-000</t>
  </si>
  <si>
    <t>67414-000</t>
  </si>
  <si>
    <t>67415-000</t>
  </si>
  <si>
    <t>67416-000</t>
  </si>
  <si>
    <t>67417-000</t>
  </si>
  <si>
    <t>67420-000</t>
  </si>
  <si>
    <t>67421-000</t>
  </si>
  <si>
    <t>67425-000</t>
  </si>
  <si>
    <t>67427-000</t>
  </si>
  <si>
    <t>67430-000</t>
  </si>
  <si>
    <t>67440-000</t>
  </si>
  <si>
    <t>67442-000</t>
  </si>
  <si>
    <t>67444-000</t>
  </si>
  <si>
    <t>67445-000</t>
  </si>
  <si>
    <t>67450-000</t>
  </si>
  <si>
    <t>67455-000</t>
  </si>
  <si>
    <t>67460-000</t>
  </si>
  <si>
    <t>67465-000</t>
  </si>
  <si>
    <t>67470-000</t>
  </si>
  <si>
    <t>67471-000</t>
  </si>
  <si>
    <t>67475-000</t>
  </si>
  <si>
    <t>67476-000</t>
  </si>
  <si>
    <t>67480-000</t>
  </si>
  <si>
    <t>67481-000</t>
  </si>
  <si>
    <t>67482-000</t>
  </si>
  <si>
    <t>67483-000</t>
  </si>
  <si>
    <t>67484-000</t>
  </si>
  <si>
    <t>67490-000</t>
  </si>
  <si>
    <t>67491-000</t>
  </si>
  <si>
    <t>67493-000</t>
  </si>
  <si>
    <t>67495-000</t>
  </si>
  <si>
    <t>67496-000</t>
  </si>
  <si>
    <t>67497-000</t>
  </si>
  <si>
    <t>67498-099</t>
  </si>
  <si>
    <t>Total Recoverable General Repairs &amp; Maintenance</t>
  </si>
  <si>
    <t>67499-099</t>
  </si>
  <si>
    <t>Total Recoverable Repairs &amp; Maintenance</t>
  </si>
  <si>
    <t>67501-000</t>
  </si>
  <si>
    <t>67502-000</t>
  </si>
  <si>
    <t>67503-000</t>
  </si>
  <si>
    <t>67504-000</t>
  </si>
  <si>
    <t>67510-000</t>
  </si>
  <si>
    <t>67511-000</t>
  </si>
  <si>
    <t>67512-000</t>
  </si>
  <si>
    <t>67520-000</t>
  </si>
  <si>
    <t>67521-000</t>
  </si>
  <si>
    <t>67522-000</t>
  </si>
  <si>
    <t>67530-000</t>
  </si>
  <si>
    <t>67531-000</t>
  </si>
  <si>
    <t>67532-000</t>
  </si>
  <si>
    <t>67540-000</t>
  </si>
  <si>
    <t>67550-000</t>
  </si>
  <si>
    <t>67560-000</t>
  </si>
  <si>
    <t>67599-099</t>
  </si>
  <si>
    <t>Total Recoverable Utilities</t>
  </si>
  <si>
    <t>67601-000</t>
  </si>
  <si>
    <t>67610-000</t>
  </si>
  <si>
    <t>67620-000</t>
  </si>
  <si>
    <t>67630-000</t>
  </si>
  <si>
    <t>67640-000</t>
  </si>
  <si>
    <t>67650-000</t>
  </si>
  <si>
    <t>67699-099</t>
  </si>
  <si>
    <t>Total Recoverable Management Fees</t>
  </si>
  <si>
    <t>67701-000</t>
  </si>
  <si>
    <t>67702-000</t>
  </si>
  <si>
    <t>67703-000</t>
  </si>
  <si>
    <t>67720-000</t>
  </si>
  <si>
    <t>67721-000</t>
  </si>
  <si>
    <t>67722-000</t>
  </si>
  <si>
    <t>67730-000</t>
  </si>
  <si>
    <t>67731-000</t>
  </si>
  <si>
    <t>67732-000</t>
  </si>
  <si>
    <t>67733-000</t>
  </si>
  <si>
    <t>67734-000</t>
  </si>
  <si>
    <t>67740-000</t>
  </si>
  <si>
    <t>67745-000</t>
  </si>
  <si>
    <t>67750-000</t>
  </si>
  <si>
    <t>67751-000</t>
  </si>
  <si>
    <t>67752-000</t>
  </si>
  <si>
    <t>67753-000</t>
  </si>
  <si>
    <t>67754-000</t>
  </si>
  <si>
    <t>67755-000</t>
  </si>
  <si>
    <t>67756-000</t>
  </si>
  <si>
    <t>67760-000</t>
  </si>
  <si>
    <t>67765-000</t>
  </si>
  <si>
    <t>67770-000</t>
  </si>
  <si>
    <t>67780-000</t>
  </si>
  <si>
    <t>67781-000</t>
  </si>
  <si>
    <t>67782-000</t>
  </si>
  <si>
    <t>67790-000</t>
  </si>
  <si>
    <t>67794-000</t>
  </si>
  <si>
    <t>67795-000</t>
  </si>
  <si>
    <t>67796-000</t>
  </si>
  <si>
    <t>67799-099</t>
  </si>
  <si>
    <t>Total Recoverable General &amp; Administration</t>
  </si>
  <si>
    <t>67801-000</t>
  </si>
  <si>
    <t>67810-000</t>
  </si>
  <si>
    <t>67820-000</t>
  </si>
  <si>
    <t>67899-099</t>
  </si>
  <si>
    <t>Total Recoverable Insurance</t>
  </si>
  <si>
    <t>67901-000</t>
  </si>
  <si>
    <t>67955-000</t>
  </si>
  <si>
    <t>67960-000</t>
  </si>
  <si>
    <t>67965-000</t>
  </si>
  <si>
    <t>67970-000</t>
  </si>
  <si>
    <t>67998-099</t>
  </si>
  <si>
    <t>Total Recoverable Taxes</t>
  </si>
  <si>
    <t>67999-099</t>
  </si>
  <si>
    <t>Total Recoverable Operating Expenses</t>
  </si>
  <si>
    <t>69999-090</t>
  </si>
  <si>
    <t>Total Operating / Non Recoverable Expenses</t>
  </si>
  <si>
    <t>69999-099</t>
  </si>
  <si>
    <t>Net Operating Income</t>
  </si>
  <si>
    <t>69999-199</t>
  </si>
  <si>
    <t>Net Income Before Non-Operating Expense</t>
  </si>
  <si>
    <t>70000-000</t>
  </si>
  <si>
    <t>71010-000</t>
  </si>
  <si>
    <t>71011-000</t>
  </si>
  <si>
    <t>71012-000</t>
  </si>
  <si>
    <t>71013-000</t>
  </si>
  <si>
    <t>71014-000</t>
  </si>
  <si>
    <t>71015-000</t>
  </si>
  <si>
    <t>71016-000</t>
  </si>
  <si>
    <t>71020-000</t>
  </si>
  <si>
    <t>71025-000</t>
  </si>
  <si>
    <t>71030-000</t>
  </si>
  <si>
    <t>71035-000</t>
  </si>
  <si>
    <t>71037-000</t>
  </si>
  <si>
    <t>71038-000</t>
  </si>
  <si>
    <t>71040-000</t>
  </si>
  <si>
    <t>71045-000</t>
  </si>
  <si>
    <t>71050-000</t>
  </si>
  <si>
    <t>71053-000</t>
  </si>
  <si>
    <t>71055-000</t>
  </si>
  <si>
    <t>71060-000</t>
  </si>
  <si>
    <t>71065-000</t>
  </si>
  <si>
    <t>71070-000</t>
  </si>
  <si>
    <t>71080-000</t>
  </si>
  <si>
    <t>71085-000</t>
  </si>
  <si>
    <t>71090-000</t>
  </si>
  <si>
    <t>71095-000</t>
  </si>
  <si>
    <t>71100-000</t>
  </si>
  <si>
    <t>71103-000</t>
  </si>
  <si>
    <t>71105-000</t>
  </si>
  <si>
    <t>71107-000</t>
  </si>
  <si>
    <t>71110-000</t>
  </si>
  <si>
    <t>71115-000</t>
  </si>
  <si>
    <t>71120-000</t>
  </si>
  <si>
    <t>71125-000</t>
  </si>
  <si>
    <t>71126-000</t>
  </si>
  <si>
    <t>71127-000</t>
  </si>
  <si>
    <t>71130-000</t>
  </si>
  <si>
    <t>71135-000</t>
  </si>
  <si>
    <t>71145-000</t>
  </si>
  <si>
    <t>71150-000</t>
  </si>
  <si>
    <t>71155-000</t>
  </si>
  <si>
    <t>71160-000</t>
  </si>
  <si>
    <t>71165-000</t>
  </si>
  <si>
    <t>71170-000</t>
  </si>
  <si>
    <t>71173-000</t>
  </si>
  <si>
    <t>71175-000</t>
  </si>
  <si>
    <t>71175-001</t>
  </si>
  <si>
    <t>Tile - Ceramic</t>
  </si>
  <si>
    <t>71175-002</t>
  </si>
  <si>
    <t>Vinyl</t>
  </si>
  <si>
    <t>71178-000</t>
  </si>
  <si>
    <t>71180-000</t>
  </si>
  <si>
    <t>71185-000</t>
  </si>
  <si>
    <t>71390-000</t>
  </si>
  <si>
    <t>71400-000</t>
  </si>
  <si>
    <t>71499-099</t>
  </si>
  <si>
    <t>Total Routine Replacement Expense</t>
  </si>
  <si>
    <t>71500-000</t>
  </si>
  <si>
    <t>71510-000</t>
  </si>
  <si>
    <t>71520-000</t>
  </si>
  <si>
    <t>71521-000</t>
  </si>
  <si>
    <t>71522-000</t>
  </si>
  <si>
    <t>71523-000</t>
  </si>
  <si>
    <t>71524-000</t>
  </si>
  <si>
    <t>71525-000</t>
  </si>
  <si>
    <t>71526-000</t>
  </si>
  <si>
    <t>71527-000</t>
  </si>
  <si>
    <t>71528-000</t>
  </si>
  <si>
    <t>71529-000</t>
  </si>
  <si>
    <t>71530-000</t>
  </si>
  <si>
    <t>71535-000</t>
  </si>
  <si>
    <t>71536-000</t>
  </si>
  <si>
    <t>71537-000</t>
  </si>
  <si>
    <t>71540-000</t>
  </si>
  <si>
    <t>71545-000</t>
  </si>
  <si>
    <t>71547-000</t>
  </si>
  <si>
    <t>71555-000</t>
  </si>
  <si>
    <t>71560-000</t>
  </si>
  <si>
    <t>71562-000</t>
  </si>
  <si>
    <t>71565-000</t>
  </si>
  <si>
    <t>71567-000</t>
  </si>
  <si>
    <t>71570-000</t>
  </si>
  <si>
    <t>71572-000</t>
  </si>
  <si>
    <t>71575-000</t>
  </si>
  <si>
    <t>71580-000</t>
  </si>
  <si>
    <t>71585-000</t>
  </si>
  <si>
    <t>71590-000</t>
  </si>
  <si>
    <t>71591-000</t>
  </si>
  <si>
    <t>71595-000</t>
  </si>
  <si>
    <t>71600-000</t>
  </si>
  <si>
    <t>71610-000</t>
  </si>
  <si>
    <t>71615-000</t>
  </si>
  <si>
    <t>71616-000</t>
  </si>
  <si>
    <t>71620-000</t>
  </si>
  <si>
    <t>71630-000</t>
  </si>
  <si>
    <t>71635-000</t>
  </si>
  <si>
    <t>71636-000</t>
  </si>
  <si>
    <t>71637-000</t>
  </si>
  <si>
    <t>71640-000</t>
  </si>
  <si>
    <t>71645-000</t>
  </si>
  <si>
    <t>71650-000</t>
  </si>
  <si>
    <t>71655-000</t>
  </si>
  <si>
    <t>71665-000</t>
  </si>
  <si>
    <t>71667-000</t>
  </si>
  <si>
    <t>71668-000</t>
  </si>
  <si>
    <t>71670-000</t>
  </si>
  <si>
    <t>71675-000</t>
  </si>
  <si>
    <t>71676-000</t>
  </si>
  <si>
    <t>71680-000</t>
  </si>
  <si>
    <t>71681-000</t>
  </si>
  <si>
    <t>71684-000</t>
  </si>
  <si>
    <t>71685-000</t>
  </si>
  <si>
    <t>71687-000</t>
  </si>
  <si>
    <t>71688-000</t>
  </si>
  <si>
    <t>71690-000</t>
  </si>
  <si>
    <t>71710-000</t>
  </si>
  <si>
    <t>71715-000</t>
  </si>
  <si>
    <t>71720-000</t>
  </si>
  <si>
    <t>71730-000</t>
  </si>
  <si>
    <t>71740-000</t>
  </si>
  <si>
    <t>71750-000</t>
  </si>
  <si>
    <t>71760-000</t>
  </si>
  <si>
    <t>71765-000</t>
  </si>
  <si>
    <t>71770-000</t>
  </si>
  <si>
    <t>71780-000</t>
  </si>
  <si>
    <t>71790-000</t>
  </si>
  <si>
    <t>71795-000</t>
  </si>
  <si>
    <t>71800-000</t>
  </si>
  <si>
    <t>71805-000</t>
  </si>
  <si>
    <t>71810-000</t>
  </si>
  <si>
    <t>71820-000</t>
  </si>
  <si>
    <t>71825-000</t>
  </si>
  <si>
    <t>71830-000</t>
  </si>
  <si>
    <t>71840-000</t>
  </si>
  <si>
    <t>71850-000</t>
  </si>
  <si>
    <t>71851-000</t>
  </si>
  <si>
    <t>71852-000</t>
  </si>
  <si>
    <t>71853-000</t>
  </si>
  <si>
    <t>71854-000</t>
  </si>
  <si>
    <t>71855-000</t>
  </si>
  <si>
    <t>71856-000</t>
  </si>
  <si>
    <t>71857-000</t>
  </si>
  <si>
    <t>71858-000</t>
  </si>
  <si>
    <t>71859-000</t>
  </si>
  <si>
    <t>71860-000</t>
  </si>
  <si>
    <t>71865-000</t>
  </si>
  <si>
    <t>71899-099</t>
  </si>
  <si>
    <t>Total Capital / Renovation Expense</t>
  </si>
  <si>
    <t>71999-099</t>
  </si>
  <si>
    <t>NOI After Replacements</t>
  </si>
  <si>
    <t>72000-100</t>
  </si>
  <si>
    <t>72005-100</t>
  </si>
  <si>
    <t>Interest Expense</t>
  </si>
  <si>
    <t>72010-100</t>
  </si>
  <si>
    <t>Interest Expense - Furniture &amp; Equip</t>
  </si>
  <si>
    <t>72020-100</t>
  </si>
  <si>
    <t>Interest Expense - Comp Software / Hardware</t>
  </si>
  <si>
    <t>72030-100</t>
  </si>
  <si>
    <t>Interest Expense - Related Parties</t>
  </si>
  <si>
    <t>72040-100</t>
  </si>
  <si>
    <t>72045-100</t>
  </si>
  <si>
    <t>Interest Expense - Amoritzed Loan Fees</t>
  </si>
  <si>
    <t>72050-100</t>
  </si>
  <si>
    <t>72599-199</t>
  </si>
  <si>
    <t>Total Interest Expense</t>
  </si>
  <si>
    <t>72600-100</t>
  </si>
  <si>
    <t>Other Non-Operating Expenses</t>
  </si>
  <si>
    <t>72601-000</t>
  </si>
  <si>
    <t>72602-000</t>
  </si>
  <si>
    <t>72603-000</t>
  </si>
  <si>
    <t>72604-000</t>
  </si>
  <si>
    <t>72605-000</t>
  </si>
  <si>
    <t>72606-000</t>
  </si>
  <si>
    <t>72610-000</t>
  </si>
  <si>
    <t>72610-100</t>
  </si>
  <si>
    <t>72611-000</t>
  </si>
  <si>
    <t>72611-100</t>
  </si>
  <si>
    <t>Unrealized Gain Exchange</t>
  </si>
  <si>
    <t>72612-000</t>
  </si>
  <si>
    <t>72612-100</t>
  </si>
  <si>
    <t>Unrealized Loss Curr. Exch</t>
  </si>
  <si>
    <t>72613-000</t>
  </si>
  <si>
    <t>72613-100</t>
  </si>
  <si>
    <t>Unrealized FX</t>
  </si>
  <si>
    <t>72614-000</t>
  </si>
  <si>
    <t>72614-100</t>
  </si>
  <si>
    <t>Realize Gain Exchange</t>
  </si>
  <si>
    <t>72615-000</t>
  </si>
  <si>
    <t>72615-100</t>
  </si>
  <si>
    <t>Realized Losson Curr. Exch</t>
  </si>
  <si>
    <t>72616-000</t>
  </si>
  <si>
    <t>72617-000</t>
  </si>
  <si>
    <t>72618-000</t>
  </si>
  <si>
    <t>72620-000</t>
  </si>
  <si>
    <t>72621-000</t>
  </si>
  <si>
    <t>72622-000</t>
  </si>
  <si>
    <t>72623-000</t>
  </si>
  <si>
    <t>72624-000</t>
  </si>
  <si>
    <t>72624-199</t>
  </si>
  <si>
    <t>Total  Other Non-Operating Expenses</t>
  </si>
  <si>
    <t>72625-199</t>
  </si>
  <si>
    <t>Total Non-Operating Expenses</t>
  </si>
  <si>
    <t>72626-198</t>
  </si>
  <si>
    <t>Expenses</t>
  </si>
  <si>
    <t>72626-199</t>
  </si>
  <si>
    <t>72627-199</t>
  </si>
  <si>
    <t>Net Income Before Allocations</t>
  </si>
  <si>
    <t>72640-000</t>
  </si>
  <si>
    <t>72650-000</t>
  </si>
  <si>
    <t>72660-000</t>
  </si>
  <si>
    <t>72670-000</t>
  </si>
  <si>
    <t>72680-000</t>
  </si>
  <si>
    <t>72684-000</t>
  </si>
  <si>
    <t>72685-000</t>
  </si>
  <si>
    <t>72686-000</t>
  </si>
  <si>
    <t>72687-000</t>
  </si>
  <si>
    <t>72688-000</t>
  </si>
  <si>
    <t>72699-199</t>
  </si>
  <si>
    <t>Total Expenses</t>
  </si>
  <si>
    <t>72999-099</t>
  </si>
  <si>
    <t>Total Other Capital Expense</t>
  </si>
  <si>
    <t>73000-100</t>
  </si>
  <si>
    <t>Allocations</t>
  </si>
  <si>
    <t>73010-100</t>
  </si>
  <si>
    <t>Allocation - Headquarters</t>
  </si>
  <si>
    <t>73011-100</t>
  </si>
  <si>
    <t>Allocation - HQ Project Finance</t>
  </si>
  <si>
    <t>73012-100</t>
  </si>
  <si>
    <t>Allocation - Financial Services</t>
  </si>
  <si>
    <t>73013-100</t>
  </si>
  <si>
    <t>Allocation - Real Estate Services</t>
  </si>
  <si>
    <t>73014-100</t>
  </si>
  <si>
    <t>Allocation - National Management Services</t>
  </si>
  <si>
    <t>73015-100</t>
  </si>
  <si>
    <t>Allocation - Client Services</t>
  </si>
  <si>
    <t>73016-100</t>
  </si>
  <si>
    <t>Allocation - Talent Management Services</t>
  </si>
  <si>
    <t>73017-100</t>
  </si>
  <si>
    <t>Allocation - IT Services</t>
  </si>
  <si>
    <t>73018-100</t>
  </si>
  <si>
    <t>Allocation - Investment</t>
  </si>
  <si>
    <t>73019-100</t>
  </si>
  <si>
    <t>Allocation - Construction Management</t>
  </si>
  <si>
    <t>73020-100</t>
  </si>
  <si>
    <t>Allocation - Development</t>
  </si>
  <si>
    <t>73021-100</t>
  </si>
  <si>
    <t>Allocation - Ancillary Services</t>
  </si>
  <si>
    <t>73022-100</t>
  </si>
  <si>
    <t>Allocation - Marketing</t>
  </si>
  <si>
    <t>73023-100</t>
  </si>
  <si>
    <t>Allocation - Risk Management</t>
  </si>
  <si>
    <t>73024-100</t>
  </si>
  <si>
    <t>Allocation - Market Principal Group</t>
  </si>
  <si>
    <t>73025-100</t>
  </si>
  <si>
    <t>Allocation - Administrative Services</t>
  </si>
  <si>
    <t>73026-100</t>
  </si>
  <si>
    <t>Allocation - Advantage Receivables</t>
  </si>
  <si>
    <t>73027-100</t>
  </si>
  <si>
    <t>Allocation - Maintenance Services</t>
  </si>
  <si>
    <t>73028-100</t>
  </si>
  <si>
    <t>Allocation - Property Marketing</t>
  </si>
  <si>
    <t>73029-100</t>
  </si>
  <si>
    <t>Allocation - Education &amp; Training</t>
  </si>
  <si>
    <t>73030-100</t>
  </si>
  <si>
    <t>Allocation - Legal Services</t>
  </si>
  <si>
    <t>73031-100</t>
  </si>
  <si>
    <t>Allocation - Compliance Services</t>
  </si>
  <si>
    <t>73032-100</t>
  </si>
  <si>
    <t>Allocation - Treasury Services</t>
  </si>
  <si>
    <t>73033-100</t>
  </si>
  <si>
    <t>Allocation - Corporate Communications</t>
  </si>
  <si>
    <t>73034-100</t>
  </si>
  <si>
    <t>Allocation - Performance Analytics</t>
  </si>
  <si>
    <t>73035-100</t>
  </si>
  <si>
    <t>Allocation - Fin Services Prop</t>
  </si>
  <si>
    <t>73036-100</t>
  </si>
  <si>
    <t>Allocation - Advantage Energy Services</t>
  </si>
  <si>
    <t>73037-100</t>
  </si>
  <si>
    <t>Allocation - Advantage Portals &amp; Leasing</t>
  </si>
  <si>
    <t>73038-100</t>
  </si>
  <si>
    <t>Allocation - Advantage Resident Insurance</t>
  </si>
  <si>
    <t>73040-100</t>
  </si>
  <si>
    <t>Allocation - Technology Services</t>
  </si>
  <si>
    <t>73041-100</t>
  </si>
  <si>
    <t>Allocation - Corporate Housing</t>
  </si>
  <si>
    <t>73050-100</t>
  </si>
  <si>
    <t>International Allocations</t>
  </si>
  <si>
    <t>73051-100</t>
  </si>
  <si>
    <t>Allocation - Investment Accounting</t>
  </si>
  <si>
    <t>73052-100</t>
  </si>
  <si>
    <t>Allocation -Portfolio Management</t>
  </si>
  <si>
    <t>73053-100</t>
  </si>
  <si>
    <t>Allocation - Leadership</t>
  </si>
  <si>
    <t>73054-100</t>
  </si>
  <si>
    <t>Allocation - Research and Investor Relations</t>
  </si>
  <si>
    <t>73055-100</t>
  </si>
  <si>
    <t>International - UK</t>
  </si>
  <si>
    <t>73056-100</t>
  </si>
  <si>
    <t>International - Mexico</t>
  </si>
  <si>
    <t>73057-100</t>
  </si>
  <si>
    <t>International - Netherlands</t>
  </si>
  <si>
    <t>73058-100</t>
  </si>
  <si>
    <t>Allocation - HQ Tax Group</t>
  </si>
  <si>
    <t>73059-100</t>
  </si>
  <si>
    <t>Allocation - HQ Acct Group</t>
  </si>
  <si>
    <t>73060-100</t>
  </si>
  <si>
    <t>Allocation - HQ Compliance Group</t>
  </si>
  <si>
    <t>73061-100</t>
  </si>
  <si>
    <t>Allocation - Active Adult</t>
  </si>
  <si>
    <t>73062-100</t>
  </si>
  <si>
    <t>Allocation - Internal Coinvestment</t>
  </si>
  <si>
    <t>73063-100</t>
  </si>
  <si>
    <t>Allocation - Revenue Management</t>
  </si>
  <si>
    <t>73064-100</t>
  </si>
  <si>
    <t>International - China</t>
  </si>
  <si>
    <t>73065-100</t>
  </si>
  <si>
    <t>International - Japan</t>
  </si>
  <si>
    <t>73066-100</t>
  </si>
  <si>
    <t>International - Australia</t>
  </si>
  <si>
    <t>73067-100</t>
  </si>
  <si>
    <t>International - Chile</t>
  </si>
  <si>
    <t>73068-100</t>
  </si>
  <si>
    <t>UK to NL Allocations</t>
  </si>
  <si>
    <t>73069-100</t>
  </si>
  <si>
    <t>International - Germany</t>
  </si>
  <si>
    <t>73070-100</t>
  </si>
  <si>
    <t>International - Spain</t>
  </si>
  <si>
    <t>73071-100</t>
  </si>
  <si>
    <t>Travel - Investment Accounting</t>
  </si>
  <si>
    <t>73072-100</t>
  </si>
  <si>
    <t>Travel - Portfolio Management</t>
  </si>
  <si>
    <t>73073-100</t>
  </si>
  <si>
    <t>Travel - Leadership</t>
  </si>
  <si>
    <t>73074-100</t>
  </si>
  <si>
    <t>Travel - Research and Investor Relations</t>
  </si>
  <si>
    <t>73081-100</t>
  </si>
  <si>
    <t>US Support - Professional Fees</t>
  </si>
  <si>
    <t>73082-100</t>
  </si>
  <si>
    <t>US Support - Technology</t>
  </si>
  <si>
    <t>73083-100</t>
  </si>
  <si>
    <t>US Support - G&amp;A</t>
  </si>
  <si>
    <t>73101-100</t>
  </si>
  <si>
    <t>Allocation - Global Leadership</t>
  </si>
  <si>
    <t>73102-100</t>
  </si>
  <si>
    <t>Allocation - Global Support - Investment</t>
  </si>
  <si>
    <t>73103-100</t>
  </si>
  <si>
    <t>Allocation - Global Support - Development</t>
  </si>
  <si>
    <t>73104-100</t>
  </si>
  <si>
    <t>Allocation - Global Support - Operations</t>
  </si>
  <si>
    <t>73105-100</t>
  </si>
  <si>
    <t>Allocation - Global Practice - Accounting</t>
  </si>
  <si>
    <t>73106-100</t>
  </si>
  <si>
    <t>Allocation - Global Practice - Finance</t>
  </si>
  <si>
    <t>73107-100</t>
  </si>
  <si>
    <t>Allocation - Global Practice - Legal</t>
  </si>
  <si>
    <t>73108-100</t>
  </si>
  <si>
    <t>Allocation - Global Practice - Tax</t>
  </si>
  <si>
    <t>73109-100</t>
  </si>
  <si>
    <t>Allocation - Global Practice - Investor Relations</t>
  </si>
  <si>
    <t>73110-100</t>
  </si>
  <si>
    <t>Allocation - Global Practice - Compliance and Risk</t>
  </si>
  <si>
    <t>73111-100</t>
  </si>
  <si>
    <t>Allocation - Global Practice - Technology</t>
  </si>
  <si>
    <t>73112-100</t>
  </si>
  <si>
    <t>Allocation - Global Practice - Talent Management</t>
  </si>
  <si>
    <t>73113-100</t>
  </si>
  <si>
    <t>Allocation - Global Practice - Public Relations</t>
  </si>
  <si>
    <t>73114-100</t>
  </si>
  <si>
    <t>Allocation - Global Practice - Portfolio Management</t>
  </si>
  <si>
    <t>73115-100</t>
  </si>
  <si>
    <t>Travel/Other - Global Leadership</t>
  </si>
  <si>
    <t>73116-100</t>
  </si>
  <si>
    <t>Travel/Other - Global Support - Investment</t>
  </si>
  <si>
    <t>73117-100</t>
  </si>
  <si>
    <t>Travel/Other - Global Support - Development</t>
  </si>
  <si>
    <t>73118-100</t>
  </si>
  <si>
    <t>Travel/Other - Global Support - Operations</t>
  </si>
  <si>
    <t>73119-100</t>
  </si>
  <si>
    <t>Travel/Other - Global Practice - Accounting</t>
  </si>
  <si>
    <t>73120-100</t>
  </si>
  <si>
    <t>Travel/Other - Global Practice - Finance</t>
  </si>
  <si>
    <t>73121-100</t>
  </si>
  <si>
    <t>Travel/Other - Global Practice - Legal</t>
  </si>
  <si>
    <t>73122-100</t>
  </si>
  <si>
    <t>Travel/Other - Global Practice - Tax</t>
  </si>
  <si>
    <t>73123-100</t>
  </si>
  <si>
    <t>Travel/Other - Global Practice - Investor Relations</t>
  </si>
  <si>
    <t>73124-100</t>
  </si>
  <si>
    <t>Travel/Other - Global Practice - Compliance and Risk</t>
  </si>
  <si>
    <t>73125-100</t>
  </si>
  <si>
    <t>Travel/Other - Global Practice - Technology</t>
  </si>
  <si>
    <t>73126-100</t>
  </si>
  <si>
    <t>Travel/Other - Global Practice - Talent Management</t>
  </si>
  <si>
    <t>73127-100</t>
  </si>
  <si>
    <t>Travel/Other - Global Practice - Public Relations</t>
  </si>
  <si>
    <t>73128-100</t>
  </si>
  <si>
    <t>Travel/Other - Global Practice - Portfolio Management</t>
  </si>
  <si>
    <t>73129-100</t>
  </si>
  <si>
    <t>Allocation - Global Practice - Branding</t>
  </si>
  <si>
    <t>73130-100</t>
  </si>
  <si>
    <t>Travel/Other - Global Practice - Branding</t>
  </si>
  <si>
    <t>73131-100</t>
  </si>
  <si>
    <t>Allocation - Global Practice - HQ Technology Innov.</t>
  </si>
  <si>
    <t>73132-100</t>
  </si>
  <si>
    <t>Travel/Other - Global Practice - HQ Technology Innov.</t>
  </si>
  <si>
    <t>73133-100</t>
  </si>
  <si>
    <t>Allocation - Technology Innovations ? Headquarters</t>
  </si>
  <si>
    <t>73199-199</t>
  </si>
  <si>
    <t>Total Allocations</t>
  </si>
  <si>
    <t>80000-000</t>
  </si>
  <si>
    <t>80100-000</t>
  </si>
  <si>
    <t>80110-000</t>
  </si>
  <si>
    <t>80120-000</t>
  </si>
  <si>
    <t>80125-000</t>
  </si>
  <si>
    <t>80130-000</t>
  </si>
  <si>
    <t>80140-000</t>
  </si>
  <si>
    <t>80150-000</t>
  </si>
  <si>
    <t>80160-000</t>
  </si>
  <si>
    <t>80163-000</t>
  </si>
  <si>
    <t>80165-000</t>
  </si>
  <si>
    <t>80170-000</t>
  </si>
  <si>
    <t>80172-000</t>
  </si>
  <si>
    <t>80173-000</t>
  </si>
  <si>
    <t>80174-000</t>
  </si>
  <si>
    <t>80175-000</t>
  </si>
  <si>
    <t>80180-000</t>
  </si>
  <si>
    <t>80181-000</t>
  </si>
  <si>
    <t>80182-000</t>
  </si>
  <si>
    <t>80183-000</t>
  </si>
  <si>
    <t>80184-000</t>
  </si>
  <si>
    <t>80185-000</t>
  </si>
  <si>
    <t>80186-000</t>
  </si>
  <si>
    <t>80187-000</t>
  </si>
  <si>
    <t>80199-099</t>
  </si>
  <si>
    <t>Total Condo Sales Expense</t>
  </si>
  <si>
    <t>80200-000</t>
  </si>
  <si>
    <t>80210-000</t>
  </si>
  <si>
    <t>80215-000</t>
  </si>
  <si>
    <t>80220-000</t>
  </si>
  <si>
    <t>80225-000</t>
  </si>
  <si>
    <t>80230-000</t>
  </si>
  <si>
    <t>80235-000</t>
  </si>
  <si>
    <t>80240-000</t>
  </si>
  <si>
    <t>80245-000</t>
  </si>
  <si>
    <t>80250-000</t>
  </si>
  <si>
    <t>80255-000</t>
  </si>
  <si>
    <t>80299-099</t>
  </si>
  <si>
    <t>Total Condo Rehab Expense</t>
  </si>
  <si>
    <t>80400-000</t>
  </si>
  <si>
    <t>80410-000</t>
  </si>
  <si>
    <t>80411-000</t>
  </si>
  <si>
    <t>80420-000</t>
  </si>
  <si>
    <t>80430-000</t>
  </si>
  <si>
    <t>80440-000</t>
  </si>
  <si>
    <t>80450-000</t>
  </si>
  <si>
    <t>80455-000</t>
  </si>
  <si>
    <t>80460-000</t>
  </si>
  <si>
    <t>80470-000</t>
  </si>
  <si>
    <t>80480-000</t>
  </si>
  <si>
    <t>80490-000</t>
  </si>
  <si>
    <t>80499-099</t>
  </si>
  <si>
    <t>Total Non-Operating Lease Up Expense</t>
  </si>
  <si>
    <t>81000-000</t>
  </si>
  <si>
    <t>81010-000</t>
  </si>
  <si>
    <t>81011-000</t>
  </si>
  <si>
    <t>81012-000</t>
  </si>
  <si>
    <t>81019-000</t>
  </si>
  <si>
    <t>81019-001</t>
  </si>
  <si>
    <t>COVID-19 Allowance</t>
  </si>
  <si>
    <t>81020-000</t>
  </si>
  <si>
    <t>81021-000</t>
  </si>
  <si>
    <t>81022-600</t>
  </si>
  <si>
    <t>81025-000</t>
  </si>
  <si>
    <t>81028-000</t>
  </si>
  <si>
    <t>81030-000</t>
  </si>
  <si>
    <t>81035-000</t>
  </si>
  <si>
    <t>81035-002</t>
  </si>
  <si>
    <t>Asset Management Fees - Tier 2</t>
  </si>
  <si>
    <t>81036-000</t>
  </si>
  <si>
    <t>81037-000</t>
  </si>
  <si>
    <t>81037-001</t>
  </si>
  <si>
    <t>Capitalized Preleasing Expense</t>
  </si>
  <si>
    <t>81038-600</t>
  </si>
  <si>
    <t>81038-700</t>
  </si>
  <si>
    <t>81039-000</t>
  </si>
  <si>
    <t>81039-600</t>
  </si>
  <si>
    <t>Political contributions</t>
  </si>
  <si>
    <t>81040-000</t>
  </si>
  <si>
    <t>81045-000</t>
  </si>
  <si>
    <t>81046-600</t>
  </si>
  <si>
    <t>81050-000</t>
  </si>
  <si>
    <t>81055-000</t>
  </si>
  <si>
    <t>81058-000</t>
  </si>
  <si>
    <t>81060-000</t>
  </si>
  <si>
    <t>81061-000</t>
  </si>
  <si>
    <t>81061-002</t>
  </si>
  <si>
    <t>Other Casualty Loss</t>
  </si>
  <si>
    <t>81062-000</t>
  </si>
  <si>
    <t>81063-000</t>
  </si>
  <si>
    <t>81064-000</t>
  </si>
  <si>
    <t>81064-001</t>
  </si>
  <si>
    <t>81064-600</t>
  </si>
  <si>
    <t>81065-000</t>
  </si>
  <si>
    <t>81066-000</t>
  </si>
  <si>
    <t>81066-600</t>
  </si>
  <si>
    <t>Acq Transaction Costs</t>
  </si>
  <si>
    <t>81067-000</t>
  </si>
  <si>
    <t>81068-000</t>
  </si>
  <si>
    <t>81069-000</t>
  </si>
  <si>
    <t>81070-000</t>
  </si>
  <si>
    <t>81075-000</t>
  </si>
  <si>
    <t>81080-000</t>
  </si>
  <si>
    <t>81081-000</t>
  </si>
  <si>
    <t>81082-000</t>
  </si>
  <si>
    <t>81083-000</t>
  </si>
  <si>
    <t>81083-100</t>
  </si>
  <si>
    <t>Dividends Paid</t>
  </si>
  <si>
    <t>81084-000</t>
  </si>
  <si>
    <t>81085-000</t>
  </si>
  <si>
    <t>81086-000</t>
  </si>
  <si>
    <t>81086-002</t>
  </si>
  <si>
    <t>Master Tenant Insurance</t>
  </si>
  <si>
    <t>81086-004</t>
  </si>
  <si>
    <t>Master Tenant Property Taxes</t>
  </si>
  <si>
    <t>81086-006</t>
  </si>
  <si>
    <t>Master Tenant Utilities</t>
  </si>
  <si>
    <t>81086-008</t>
  </si>
  <si>
    <t>Master Tenant Other</t>
  </si>
  <si>
    <t>81090-000</t>
  </si>
  <si>
    <t>81093-000</t>
  </si>
  <si>
    <t>81095-000</t>
  </si>
  <si>
    <t>81095-100</t>
  </si>
  <si>
    <t>81100-000</t>
  </si>
  <si>
    <t>81102-000</t>
  </si>
  <si>
    <t>81104-000</t>
  </si>
  <si>
    <t>81105-000</t>
  </si>
  <si>
    <t>81106-000</t>
  </si>
  <si>
    <t>81110-000</t>
  </si>
  <si>
    <t>81111-000</t>
  </si>
  <si>
    <t>81115-000</t>
  </si>
  <si>
    <t>81116-000</t>
  </si>
  <si>
    <t>81117-000</t>
  </si>
  <si>
    <t>81118-700</t>
  </si>
  <si>
    <t>Security Deposit Interest Exp</t>
  </si>
  <si>
    <t>81119-000</t>
  </si>
  <si>
    <t>81120-000</t>
  </si>
  <si>
    <t>81120-100</t>
  </si>
  <si>
    <t>81120-600</t>
  </si>
  <si>
    <t>Software/License/Maint</t>
  </si>
  <si>
    <t>81121-000</t>
  </si>
  <si>
    <t>81122-000</t>
  </si>
  <si>
    <t>81122-600</t>
  </si>
  <si>
    <t>Corporate Entity Maintenance</t>
  </si>
  <si>
    <t>81123-700</t>
  </si>
  <si>
    <t>81125-000</t>
  </si>
  <si>
    <t>81126-000</t>
  </si>
  <si>
    <t>81127-000</t>
  </si>
  <si>
    <t>81128-000</t>
  </si>
  <si>
    <t>81129-000</t>
  </si>
  <si>
    <t>81130-000</t>
  </si>
  <si>
    <t>81130-100</t>
  </si>
  <si>
    <t>Current Income Tax Expense</t>
  </si>
  <si>
    <t>81135-000</t>
  </si>
  <si>
    <t>81140-100</t>
  </si>
  <si>
    <t>81141-000</t>
  </si>
  <si>
    <t>81150-000</t>
  </si>
  <si>
    <t>81160-000</t>
  </si>
  <si>
    <t>81160-600</t>
  </si>
  <si>
    <t>State Income Tax Curr Yr</t>
  </si>
  <si>
    <t>81160-700</t>
  </si>
  <si>
    <t>State Taxes</t>
  </si>
  <si>
    <t>81161-700</t>
  </si>
  <si>
    <t>Penaties and Interest</t>
  </si>
  <si>
    <t>81162-700</t>
  </si>
  <si>
    <t>Resident Settlement Exp</t>
  </si>
  <si>
    <t>81163-600</t>
  </si>
  <si>
    <t>Local Tax Current Year</t>
  </si>
  <si>
    <t>81164-600</t>
  </si>
  <si>
    <t>Tax Refunds</t>
  </si>
  <si>
    <t>81165-600</t>
  </si>
  <si>
    <t>Fran/Filing Fees Prior Yr</t>
  </si>
  <si>
    <t>81170-000</t>
  </si>
  <si>
    <t>81200-000</t>
  </si>
  <si>
    <t>81201-000</t>
  </si>
  <si>
    <t>81202-000</t>
  </si>
  <si>
    <t>81203-000</t>
  </si>
  <si>
    <t>81204-000</t>
  </si>
  <si>
    <t>81205-000</t>
  </si>
  <si>
    <t>81206-000</t>
  </si>
  <si>
    <t>81207-000</t>
  </si>
  <si>
    <t>81208-000</t>
  </si>
  <si>
    <t>81210-000</t>
  </si>
  <si>
    <t>81211-000</t>
  </si>
  <si>
    <t>81212-000</t>
  </si>
  <si>
    <t>81213-000</t>
  </si>
  <si>
    <t>81499-099</t>
  </si>
  <si>
    <t>Total Partnership / Owner Expenses</t>
  </si>
  <si>
    <t>81500-000</t>
  </si>
  <si>
    <t>81510-000</t>
  </si>
  <si>
    <t>81520-000</t>
  </si>
  <si>
    <t>81530-000</t>
  </si>
  <si>
    <t>81540-000</t>
  </si>
  <si>
    <t>81550-000</t>
  </si>
  <si>
    <t>81560-000</t>
  </si>
  <si>
    <t>81570-000</t>
  </si>
  <si>
    <t>81580-000</t>
  </si>
  <si>
    <t>81590-000</t>
  </si>
  <si>
    <t>81610-000</t>
  </si>
  <si>
    <t>81620-000</t>
  </si>
  <si>
    <t>81630-000</t>
  </si>
  <si>
    <t>81640-000</t>
  </si>
  <si>
    <t>81650-000</t>
  </si>
  <si>
    <t>81699-099</t>
  </si>
  <si>
    <t>Total Closing Costs</t>
  </si>
  <si>
    <t>82000-000</t>
  </si>
  <si>
    <t>82010-000</t>
  </si>
  <si>
    <t>82020-000</t>
  </si>
  <si>
    <t>82030-000</t>
  </si>
  <si>
    <t>82035-000</t>
  </si>
  <si>
    <t>82040-000</t>
  </si>
  <si>
    <t>82050-000</t>
  </si>
  <si>
    <t>82050-600</t>
  </si>
  <si>
    <t>Interest Expense Cap'd</t>
  </si>
  <si>
    <t>82060-000</t>
  </si>
  <si>
    <t>82062-000</t>
  </si>
  <si>
    <t>82063-000</t>
  </si>
  <si>
    <t>82064-000</t>
  </si>
  <si>
    <t>82065-000</t>
  </si>
  <si>
    <t>82067-000</t>
  </si>
  <si>
    <t>82068-000</t>
  </si>
  <si>
    <t>82069-000</t>
  </si>
  <si>
    <t>82069-600</t>
  </si>
  <si>
    <t>Int Exp Unsecured N/P</t>
  </si>
  <si>
    <t>82070-000</t>
  </si>
  <si>
    <t>82080-000</t>
  </si>
  <si>
    <t>82082-000</t>
  </si>
  <si>
    <t>82083-000</t>
  </si>
  <si>
    <t>82084-600</t>
  </si>
  <si>
    <t>1st Mortgage Int Exp Gross-Up</t>
  </si>
  <si>
    <t>82085-000</t>
  </si>
  <si>
    <t>82086-000</t>
  </si>
  <si>
    <t>82087-000</t>
  </si>
  <si>
    <t>82090-000</t>
  </si>
  <si>
    <t>82100-000</t>
  </si>
  <si>
    <t>82110-000</t>
  </si>
  <si>
    <t>82120-000</t>
  </si>
  <si>
    <t>82130-000</t>
  </si>
  <si>
    <t>82140-000</t>
  </si>
  <si>
    <t>82150-000</t>
  </si>
  <si>
    <t>82155-000</t>
  </si>
  <si>
    <t>82160-000</t>
  </si>
  <si>
    <t>82170-000</t>
  </si>
  <si>
    <t>82175-000</t>
  </si>
  <si>
    <t>82180-000</t>
  </si>
  <si>
    <t>82186-000</t>
  </si>
  <si>
    <t>82190-000</t>
  </si>
  <si>
    <t>82200-000</t>
  </si>
  <si>
    <t>82210-000</t>
  </si>
  <si>
    <t>82220-000</t>
  </si>
  <si>
    <t>82221-000</t>
  </si>
  <si>
    <t>82221-002</t>
  </si>
  <si>
    <t>Compliance Expenses</t>
  </si>
  <si>
    <t>82222-000</t>
  </si>
  <si>
    <t>82223-000</t>
  </si>
  <si>
    <t>82225-000</t>
  </si>
  <si>
    <t>82230-000</t>
  </si>
  <si>
    <t>82231-700</t>
  </si>
  <si>
    <t>Loan Draw Funding for Expenses</t>
  </si>
  <si>
    <t>82232-700</t>
  </si>
  <si>
    <t>Loan Draw Funding for Non-Op Exp</t>
  </si>
  <si>
    <t>82233-600</t>
  </si>
  <si>
    <t>Loan Cost Writeoff</t>
  </si>
  <si>
    <t>82250-000</t>
  </si>
  <si>
    <t>82999-099</t>
  </si>
  <si>
    <t>Total Debt Service</t>
  </si>
  <si>
    <t>83000-000</t>
  </si>
  <si>
    <t>83010-000</t>
  </si>
  <si>
    <t>83015-000</t>
  </si>
  <si>
    <t>83020-000</t>
  </si>
  <si>
    <t>83020-002</t>
  </si>
  <si>
    <t>Amort - Capital Deferred Financing</t>
  </si>
  <si>
    <t>83020-004</t>
  </si>
  <si>
    <t>Amort - Capital Interest</t>
  </si>
  <si>
    <t>83020-006</t>
  </si>
  <si>
    <t>Amort - Capital Property Taxes</t>
  </si>
  <si>
    <t>83020-007</t>
  </si>
  <si>
    <t>Amort  In Place Lease</t>
  </si>
  <si>
    <t>83020-008</t>
  </si>
  <si>
    <t>Amort - Syndication Fees</t>
  </si>
  <si>
    <t>83020-010</t>
  </si>
  <si>
    <t>Amort - Leasehold Improvements</t>
  </si>
  <si>
    <t>83020-012</t>
  </si>
  <si>
    <t>Amort - Software Costs</t>
  </si>
  <si>
    <t>83020-014</t>
  </si>
  <si>
    <t>Amort - Deferred Financing Costs</t>
  </si>
  <si>
    <t>83020-015</t>
  </si>
  <si>
    <t>Amort  Rate Cap</t>
  </si>
  <si>
    <t>83020-016</t>
  </si>
  <si>
    <t>Amort - Start Up Costs</t>
  </si>
  <si>
    <t>83020-018</t>
  </si>
  <si>
    <t>Amort - Capitalized Operating Deficits</t>
  </si>
  <si>
    <t>83020-020</t>
  </si>
  <si>
    <t>Amort - Equity Formation</t>
  </si>
  <si>
    <t>83020-022</t>
  </si>
  <si>
    <t>Amort - Other</t>
  </si>
  <si>
    <t>83020-024</t>
  </si>
  <si>
    <t>Amort - Other / Initial Loan</t>
  </si>
  <si>
    <t>83020-026</t>
  </si>
  <si>
    <t>Amort - Other / Tenant Improvements</t>
  </si>
  <si>
    <t>83020-028</t>
  </si>
  <si>
    <t>Amortization Lease Cost</t>
  </si>
  <si>
    <t>83020-030</t>
  </si>
  <si>
    <t>FAS 141 Below Mkt Groun</t>
  </si>
  <si>
    <t>83020-032</t>
  </si>
  <si>
    <t>Mark to Market</t>
  </si>
  <si>
    <t>83020-034</t>
  </si>
  <si>
    <t>Amortization - Bond Issuance Costs</t>
  </si>
  <si>
    <t>83020-036</t>
  </si>
  <si>
    <t>Amortization - Underwriter's Discount</t>
  </si>
  <si>
    <t>83020-038</t>
  </si>
  <si>
    <t>Amortization - Debt Prem/Disc</t>
  </si>
  <si>
    <t>83020-600</t>
  </si>
  <si>
    <t>Amortization Loan Costs Contra</t>
  </si>
  <si>
    <t>83022-600</t>
  </si>
  <si>
    <t>Amortization Lease Costs</t>
  </si>
  <si>
    <t>83023-600</t>
  </si>
  <si>
    <t>Amort Exp FAS 141 Lease/Legal</t>
  </si>
  <si>
    <t>83024-600</t>
  </si>
  <si>
    <t>Amort W/O Mark to Market</t>
  </si>
  <si>
    <t>83025-600</t>
  </si>
  <si>
    <t>Amortization Mark to Market</t>
  </si>
  <si>
    <t>83030-000</t>
  </si>
  <si>
    <t>83030-002</t>
  </si>
  <si>
    <t>Depreciation - Appliances</t>
  </si>
  <si>
    <t>83030-004</t>
  </si>
  <si>
    <t>Depreciation - Buildings</t>
  </si>
  <si>
    <t>83030-006</t>
  </si>
  <si>
    <t>Depreciation - Building Improvements</t>
  </si>
  <si>
    <t>83030-008</t>
  </si>
  <si>
    <t>Depreciation - Carpets</t>
  </si>
  <si>
    <t>83030-010</t>
  </si>
  <si>
    <t>Depreciation - Deferred Financing</t>
  </si>
  <si>
    <t>83030-012</t>
  </si>
  <si>
    <t>Depreciation - Furniture Fixtures Equipment</t>
  </si>
  <si>
    <t>83030-014</t>
  </si>
  <si>
    <t>Depreciation - Land Improvements</t>
  </si>
  <si>
    <t>83030-016</t>
  </si>
  <si>
    <t>Depreciation - Office Equipment</t>
  </si>
  <si>
    <t>83030-017</t>
  </si>
  <si>
    <t>Depreciation-Property &amp; Equipment</t>
  </si>
  <si>
    <t>83030-018</t>
  </si>
  <si>
    <t>Depreciation - Tenant Improvements</t>
  </si>
  <si>
    <t>83030-019</t>
  </si>
  <si>
    <t>Depreciation - Computer Hardware</t>
  </si>
  <si>
    <t>83030-020</t>
  </si>
  <si>
    <t>Depreciation - Vehicles</t>
  </si>
  <si>
    <t>83030-021</t>
  </si>
  <si>
    <t>Depreciation - LR Tenant Improvements</t>
  </si>
  <si>
    <t>83030-022</t>
  </si>
  <si>
    <t>Depreciation Exp - Renovation Costs</t>
  </si>
  <si>
    <t>83030-023</t>
  </si>
  <si>
    <t>Depreciation Expense Mach. &amp; Equip</t>
  </si>
  <si>
    <t>83030-024</t>
  </si>
  <si>
    <t>Depreciation Expense Normalized Cap Ex</t>
  </si>
  <si>
    <t>83030-025</t>
  </si>
  <si>
    <t>Depreciation Expense - Capital Leases</t>
  </si>
  <si>
    <t>83031-600</t>
  </si>
  <si>
    <t>Dep Exp Bldgs Acqd-FAS141 Step</t>
  </si>
  <si>
    <t>83032-600</t>
  </si>
  <si>
    <t>Deprec Exp FAS 141 Bldg Imprv</t>
  </si>
  <si>
    <t>83099-099</t>
  </si>
  <si>
    <t>Total Depreciation &amp; Amortization</t>
  </si>
  <si>
    <t>83099-999</t>
  </si>
  <si>
    <t>Total Other Non-Operating Expense</t>
  </si>
  <si>
    <t>83100-100</t>
  </si>
  <si>
    <t>83130-100</t>
  </si>
  <si>
    <t>Depr - Land Improvements</t>
  </si>
  <si>
    <t>83140-100</t>
  </si>
  <si>
    <t>Depr - Buildings &amp; Improvements</t>
  </si>
  <si>
    <t>83141-100</t>
  </si>
  <si>
    <t>Depr - Buildings</t>
  </si>
  <si>
    <t>83150-100</t>
  </si>
  <si>
    <t>Depr - Tenant Improvements</t>
  </si>
  <si>
    <t>83160-100</t>
  </si>
  <si>
    <t>Depr - Furn Fix &amp; Equip</t>
  </si>
  <si>
    <t>83170-100</t>
  </si>
  <si>
    <t>Depr - Leasehold Improvements</t>
  </si>
  <si>
    <t>83180-100</t>
  </si>
  <si>
    <t>Depr - Computer Software</t>
  </si>
  <si>
    <t>83190-100</t>
  </si>
  <si>
    <t>Depr - Computer Hardware</t>
  </si>
  <si>
    <t>83195-100</t>
  </si>
  <si>
    <t>Depr - Multifamily Capital Expenditures</t>
  </si>
  <si>
    <t>83200-100</t>
  </si>
  <si>
    <t>Depr - Other</t>
  </si>
  <si>
    <t>83210-100</t>
  </si>
  <si>
    <t>Amort - Management Contracts</t>
  </si>
  <si>
    <t>83220-100</t>
  </si>
  <si>
    <t>Amort - Trademark</t>
  </si>
  <si>
    <t>83230-100</t>
  </si>
  <si>
    <t>Amort - Organization Costs</t>
  </si>
  <si>
    <t>83240-100</t>
  </si>
  <si>
    <t>Amort - Loan Fees</t>
  </si>
  <si>
    <t>83245-100</t>
  </si>
  <si>
    <t>83250-100</t>
  </si>
  <si>
    <t>Unrealized Gain/Loss on Int. Rate Derivatives</t>
  </si>
  <si>
    <t>83251-100</t>
  </si>
  <si>
    <t>Realized Gain/Loss on Int. Rate Derivatives</t>
  </si>
  <si>
    <t>83399-199</t>
  </si>
  <si>
    <t>84000-000</t>
  </si>
  <si>
    <t>84010-000</t>
  </si>
  <si>
    <t>84059-099</t>
  </si>
  <si>
    <t>HOA Reserves Total</t>
  </si>
  <si>
    <t>84999-099</t>
  </si>
  <si>
    <t>Total Non-Operating Expense</t>
  </si>
  <si>
    <t>85000-000</t>
  </si>
  <si>
    <t>85010-000</t>
  </si>
  <si>
    <t>85011-000</t>
  </si>
  <si>
    <t>85012-000</t>
  </si>
  <si>
    <t>85013-000</t>
  </si>
  <si>
    <t>85014-100</t>
  </si>
  <si>
    <t>Realized G/L on Debt</t>
  </si>
  <si>
    <t>85015-000</t>
  </si>
  <si>
    <t>85016-000</t>
  </si>
  <si>
    <t>85016-600</t>
  </si>
  <si>
    <t>Unrealized G/L Mrkt Sec</t>
  </si>
  <si>
    <t>85017-600</t>
  </si>
  <si>
    <t>Unrlzd Gain/Loss-Fair Val Adj</t>
  </si>
  <si>
    <t>85018-000</t>
  </si>
  <si>
    <t>85019-000</t>
  </si>
  <si>
    <t>85999-099</t>
  </si>
  <si>
    <t>Total Unrealized Appreciation (Depr.)</t>
  </si>
  <si>
    <t>86000-100</t>
  </si>
  <si>
    <t>86010-100</t>
  </si>
  <si>
    <t>Transition Cost</t>
  </si>
  <si>
    <t>86020-100</t>
  </si>
  <si>
    <t>Abandoned Lease Cost to Yardi</t>
  </si>
  <si>
    <t>87000-000</t>
  </si>
  <si>
    <t>87010-000</t>
  </si>
  <si>
    <t>87011-600</t>
  </si>
  <si>
    <t>Gain/Loss Sale RE-Economic</t>
  </si>
  <si>
    <t>87012-600</t>
  </si>
  <si>
    <t>Gain/Loss Sale RE-Depreciation</t>
  </si>
  <si>
    <t>87013-600</t>
  </si>
  <si>
    <t>Gain/Loss Sale RE-Other/Trailg</t>
  </si>
  <si>
    <t>87014-600</t>
  </si>
  <si>
    <t>Gain/Grp Gain-Sale of Prop</t>
  </si>
  <si>
    <t>87015-600</t>
  </si>
  <si>
    <t>Gain/Loss/PI on Secs/Swaps</t>
  </si>
  <si>
    <t>87020-000</t>
  </si>
  <si>
    <t>87020-700</t>
  </si>
  <si>
    <t>Incidental Net Income Offset (Dev)</t>
  </si>
  <si>
    <t>87030-000</t>
  </si>
  <si>
    <t>Chart of Accounts (Please save as number format)</t>
  </si>
  <si>
    <t>Chart of Accounts A</t>
  </si>
  <si>
    <t>G/L Code</t>
  </si>
  <si>
    <t>Account Description</t>
  </si>
  <si>
    <t>07/26 Accrued Management Fees</t>
  </si>
  <si>
    <t>07/26 Accrued Interest Expense</t>
  </si>
  <si>
    <t>07.26 SD Interest</t>
  </si>
  <si>
    <t>07/26 Security Deposit Interest True Up</t>
  </si>
  <si>
    <t>07/02/2026 Monthly Recurring (08/01/2026 - 08/31/2026)|mn610wes| JONAH SYSTEMS LLC 443617 |GCB|</t>
  </si>
  <si>
    <t>08/01/2026 Social Media Mgt/Advertising Services|mn610wes| SOCIAL KAPTURE LLC 76344 |GCB|</t>
  </si>
  <si>
    <t>:Accrual: 07/26 Trash Removal Waste Management Monthly Contract</t>
  </si>
  <si>
    <t>:Accrual: 07/26 Landscaping Elite Monthly Contract</t>
  </si>
  <si>
    <t>:Accrual: 07/26 Search Engine Marketing Wpromote Monthly Contract</t>
  </si>
  <si>
    <t>:Accrual: 07/26 Water Softener Delivery Salt, Co Monthly Contract</t>
  </si>
  <si>
    <t>:Accrual: 07/26 Doormat Cleaning Service Cintas/Huebsch Monthly Contract</t>
  </si>
  <si>
    <t>:Accrual: 07/26 Pest Control Plunkett's Monthly Contract</t>
  </si>
  <si>
    <t>:Accrual: 07/26 Printer Subscription Service Arc Monthly Contract</t>
  </si>
  <si>
    <t>:Accrual: 07/26 Answering Service CallMax Monthly Contract</t>
  </si>
  <si>
    <t>:Accrual: 07/26 Dayporter Brothers Monthly Contract</t>
  </si>
  <si>
    <t>April and May turn cleaning (vendor needs to be compliant) -</t>
  </si>
  <si>
    <t>Turn Cleaning (Place Holder - Vendor will not give me invoice) - June -</t>
  </si>
  <si>
    <t>Turn Cleaning (Place Holder - Vendor will not give me invoice) - July</t>
  </si>
  <si>
    <t>Turn Paint</t>
  </si>
  <si>
    <t xml:space="preserve">Common Area Electric - Xcel Energy         51-0015216916     </t>
  </si>
  <si>
    <t>6403750648-8 Center Point Energy</t>
  </si>
  <si>
    <t>6403750723-9 Center Point Energy</t>
  </si>
  <si>
    <t>6403750649-6 Center Point Energy</t>
  </si>
  <si>
    <t>Utility Rebill Services Fees</t>
  </si>
  <si>
    <t>55638-002 City of Brooklyn</t>
  </si>
  <si>
    <t>55692-002 City of Brooklyn</t>
  </si>
  <si>
    <t>55925-002 City of Brooklyn</t>
  </si>
  <si>
    <t>8772 10 789 0009600.120425 - Comcast</t>
  </si>
  <si>
    <t>06/26 Pest Control Plunkett's Monthly Contract</t>
  </si>
  <si>
    <t>06/26 Trash Removal Waste Management Monthly Contract</t>
  </si>
  <si>
    <t>06/26 Signature Package</t>
  </si>
  <si>
    <t>06/26 Yardi Screening -</t>
  </si>
  <si>
    <t>07/26 Yardi ID Verify  -</t>
  </si>
  <si>
    <t>07/26 Yardi Screening -</t>
  </si>
  <si>
    <t>06/26 OpsInvoice Invoice Processing Fee -</t>
  </si>
  <si>
    <t>07/26 OpsInvoice Invoice Processing Fee -</t>
  </si>
  <si>
    <t>07/26 Signature Package</t>
  </si>
  <si>
    <t>Waste Management</t>
  </si>
  <si>
    <t>Jul-26 Accrual</t>
  </si>
  <si>
    <t>Elite</t>
  </si>
  <si>
    <t>Wpromote</t>
  </si>
  <si>
    <t>Salt, Co</t>
  </si>
  <si>
    <t>Cintas/Huebsch</t>
  </si>
  <si>
    <t>Plunkett's</t>
  </si>
  <si>
    <t>Arc</t>
  </si>
  <si>
    <t>CallMax</t>
  </si>
  <si>
    <t>Brothers</t>
  </si>
  <si>
    <t>Greystar</t>
  </si>
  <si>
    <t>Xcel Energy</t>
  </si>
  <si>
    <t>CenterPoint Energy</t>
  </si>
  <si>
    <t>City of Brooklyn</t>
  </si>
  <si>
    <t>Comcast</t>
  </si>
  <si>
    <t>Opsinvoice</t>
  </si>
  <si>
    <t>07.26 SD Interest True Up</t>
  </si>
  <si>
    <t>Month Year = 07/2026</t>
  </si>
  <si>
    <t>1113</t>
  </si>
  <si>
    <t>t3494942</t>
  </si>
  <si>
    <t>LaTonya Wheeler</t>
  </si>
  <si>
    <t>1139</t>
  </si>
  <si>
    <t>t3492978</t>
  </si>
  <si>
    <t>t3511614</t>
  </si>
  <si>
    <t>Robert Chall</t>
  </si>
  <si>
    <t>t3490797</t>
  </si>
  <si>
    <t>Chase Baxter</t>
  </si>
  <si>
    <t>1201</t>
  </si>
  <si>
    <t>t3465814</t>
  </si>
  <si>
    <t>Mathew Huver</t>
  </si>
  <si>
    <t>1321</t>
  </si>
  <si>
    <t>t3517410</t>
  </si>
  <si>
    <t>Emma Sailer</t>
  </si>
  <si>
    <t>1330</t>
  </si>
  <si>
    <t>t3499007</t>
  </si>
  <si>
    <t>Rachel Legara</t>
  </si>
  <si>
    <t>1408</t>
  </si>
  <si>
    <t>t3487435</t>
  </si>
  <si>
    <t>Alexander Corpe</t>
  </si>
  <si>
    <t>2203</t>
  </si>
  <si>
    <t>t3458887</t>
  </si>
  <si>
    <t>Jasmine Dimas-Alarcon</t>
  </si>
  <si>
    <t>t3368858</t>
  </si>
  <si>
    <t>t3462323</t>
  </si>
  <si>
    <t>Jack Karnatz</t>
  </si>
  <si>
    <t>t3463583</t>
  </si>
  <si>
    <t>Alaina Hedlund</t>
  </si>
  <si>
    <t>3101</t>
  </si>
  <si>
    <t>t3467024</t>
  </si>
  <si>
    <t>Amanda Wathanaphone</t>
  </si>
  <si>
    <t>4146</t>
  </si>
  <si>
    <t>t3484969</t>
  </si>
  <si>
    <t>Tiffany Wang</t>
  </si>
  <si>
    <t>4208</t>
  </si>
  <si>
    <t>t3460469</t>
  </si>
  <si>
    <t>Halima Mohamed</t>
  </si>
  <si>
    <t>4214</t>
  </si>
  <si>
    <t>t3464122</t>
  </si>
  <si>
    <t>Carlos Olivera Martinez</t>
  </si>
  <si>
    <t>t3511100</t>
  </si>
  <si>
    <t>Heather Lacroix*</t>
  </si>
  <si>
    <t>4322</t>
  </si>
  <si>
    <t>t3462947</t>
  </si>
  <si>
    <t>Drew Paskey</t>
  </si>
  <si>
    <t>4331</t>
  </si>
  <si>
    <t>t3484934</t>
  </si>
  <si>
    <t>Adriana Stevenson-Walker*</t>
  </si>
  <si>
    <t>4333</t>
  </si>
  <si>
    <t>t3520918</t>
  </si>
  <si>
    <t>Mazie Comp</t>
  </si>
  <si>
    <t>4351</t>
  </si>
  <si>
    <t>t3485513</t>
  </si>
  <si>
    <t>Carlotta Crawford-Ojo*</t>
  </si>
  <si>
    <t>4421</t>
  </si>
  <si>
    <t>t3498872</t>
  </si>
  <si>
    <t>Miranda DeNise</t>
  </si>
  <si>
    <t>4433</t>
  </si>
  <si>
    <t>t3504598</t>
  </si>
  <si>
    <t>Daniel Hostetler</t>
  </si>
  <si>
    <t>1,061,771.00</t>
  </si>
  <si>
    <t>906,263.44</t>
  </si>
  <si>
    <t>322,921.86</t>
  </si>
  <si>
    <t>93.54</t>
  </si>
  <si>
    <t>93.46</t>
  </si>
  <si>
    <t>67,255.94</t>
  </si>
  <si>
    <t>25,189.00</t>
  </si>
  <si>
    <t>55,777.00</t>
  </si>
  <si>
    <t>24</t>
  </si>
  <si>
    <t>450,139.00</t>
  </si>
  <si>
    <t>990,973.00</t>
  </si>
  <si>
    <t>449</t>
  </si>
  <si>
    <t>4,675.00</t>
  </si>
  <si>
    <t>29,426.00</t>
  </si>
  <si>
    <t>66,123.00</t>
  </si>
  <si>
    <t>6.04</t>
  </si>
  <si>
    <t>6.13</t>
  </si>
  <si>
    <t>810917.9</t>
  </si>
  <si>
    <t>34825</t>
  </si>
  <si>
    <t>2815</t>
  </si>
  <si>
    <t>56176</t>
  </si>
  <si>
    <t>945</t>
  </si>
  <si>
    <t>1800</t>
  </si>
  <si>
    <t>-6.56</t>
  </si>
  <si>
    <t>-0.22</t>
  </si>
  <si>
    <t>-5.78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</si>
</sst>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00.000000"/>
    <numFmt numFmtId="166" formatCode="[$-409]mmmm\ d\,\ yyyy;@"/>
    <numFmt numFmtId="167" formatCode="_(* #,##0_);_(* \(#,##0\);_(* &quot;-&quot;??_);_(@_)"/>
    <numFmt numFmtId="168" formatCode="&quot;$&quot;#,##0.00"/>
    <numFmt numFmtId="169" formatCode="mmmm\-yy"/>
    <numFmt numFmtId="170" formatCode="mm/dd/yy;@"/>
    <numFmt numFmtId="171" formatCode="dd\-mmm"/>
    <numFmt numFmtId="172" formatCode="000000"/>
    <numFmt numFmtId="173" formatCode="mm/yyyy"/>
  </numFmts>
  <fonts count="8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0"/>
      <name val="Courier"/>
      <family val="3"/>
    </font>
    <font>
      <sz val="10"/>
      <name val="MS Sans Serif"/>
      <family val="2"/>
    </font>
    <font>
      <sz val="9"/>
      <color indexed="81"/>
      <name val="Tahoma"/>
      <family val="2"/>
    </font>
    <font>
      <u/>
      <sz val="10"/>
      <color theme="10"/>
      <name val="Arial"/>
      <family val="2"/>
    </font>
    <font>
      <b/>
      <sz val="14"/>
      <name val="Avenir Next LT Pro"/>
      <family val="2"/>
    </font>
    <font>
      <sz val="11"/>
      <color theme="1"/>
      <name val="Avenir Next LT Pro"/>
      <family val="2"/>
    </font>
    <font>
      <b/>
      <sz val="12"/>
      <name val="Avenir Next LT Pro"/>
      <family val="2"/>
    </font>
    <font>
      <b/>
      <sz val="11"/>
      <name val="Avenir Next LT Pro"/>
      <family val="2"/>
    </font>
    <font>
      <b/>
      <sz val="11"/>
      <color theme="1"/>
      <name val="Avenir Next LT Pro"/>
      <family val="2"/>
    </font>
    <font>
      <sz val="10"/>
      <name val="Avenir Next LT Pro"/>
      <family val="2"/>
    </font>
    <font>
      <sz val="10"/>
      <color theme="0"/>
      <name val="Avenir Next LT Pro"/>
      <family val="2"/>
    </font>
    <font>
      <b/>
      <sz val="10"/>
      <name val="Avenir Next LT Pro"/>
      <family val="2"/>
    </font>
    <font>
      <sz val="12"/>
      <name val="Avenir Next LT Pro"/>
      <family val="2"/>
    </font>
    <font>
      <b/>
      <sz val="16"/>
      <color indexed="48"/>
      <name val="Avenir Next LT Pro"/>
      <family val="2"/>
    </font>
    <font>
      <u/>
      <sz val="12"/>
      <name val="Avenir Next LT Pro"/>
      <family val="2"/>
    </font>
    <font>
      <i/>
      <sz val="12"/>
      <name val="Avenir Next LT Pro"/>
      <family val="2"/>
    </font>
    <font>
      <b/>
      <sz val="16"/>
      <color rgb="FFFF0000"/>
      <name val="Avenir Next LT Pro"/>
      <family val="2"/>
    </font>
    <font>
      <b/>
      <sz val="10"/>
      <color rgb="FFFF0000"/>
      <name val="Avenir Next LT Pro"/>
      <family val="2"/>
    </font>
    <font>
      <sz val="8"/>
      <color theme="1"/>
      <name val="Avenir Next LT Pro"/>
      <family val="2"/>
    </font>
    <font>
      <sz val="8"/>
      <name val="Avenir Next LT Pro"/>
      <family val="2"/>
    </font>
    <font>
      <b/>
      <sz val="10"/>
      <color theme="0"/>
      <name val="Avenir Next LT Pro"/>
      <family val="2"/>
    </font>
    <font>
      <sz val="10"/>
      <color theme="1"/>
      <name val="Avenir Next LT Pro"/>
      <family val="2"/>
    </font>
    <font>
      <b/>
      <sz val="18"/>
      <name val="Avenir Next LT Pro"/>
      <family val="2"/>
    </font>
    <font>
      <b/>
      <sz val="16"/>
      <name val="Avenir Next LT Pro"/>
      <family val="2"/>
    </font>
    <font>
      <u/>
      <sz val="10"/>
      <color theme="10"/>
      <name val="Avenir Next LT Pro"/>
      <family val="2"/>
    </font>
    <font>
      <b/>
      <sz val="12"/>
      <color indexed="48"/>
      <name val="Avenir Next LT Pro"/>
      <family val="2"/>
    </font>
    <font>
      <b/>
      <sz val="16"/>
      <color theme="0" tint="-0.499984740745262"/>
      <name val="Avenir Next LT Pro"/>
      <family val="2"/>
    </font>
    <font>
      <b/>
      <i/>
      <u/>
      <sz val="14"/>
      <name val="Avenir Next LT Pro"/>
      <family val="2"/>
    </font>
    <font>
      <sz val="14"/>
      <name val="Avenir Next LT Pro"/>
      <family val="2"/>
    </font>
    <font>
      <b/>
      <sz val="16"/>
      <color rgb="FF3366FF"/>
      <name val="Avenir Next LT Pro"/>
      <family val="2"/>
    </font>
    <font>
      <sz val="9"/>
      <name val="Avenir Next LT Pro"/>
      <family val="2"/>
    </font>
    <font>
      <sz val="11"/>
      <name val="Avenir Next LT Pro"/>
      <family val="2"/>
    </font>
    <font>
      <sz val="16"/>
      <name val="Avenir Next LT Pro"/>
      <family val="2"/>
    </font>
    <font>
      <sz val="7"/>
      <name val="Avenir Next LT Pro"/>
      <family val="2"/>
    </font>
    <font>
      <sz val="10"/>
      <color rgb="FFFF6D7E"/>
      <name val="Avenir Next LT Pro"/>
      <family val="2"/>
    </font>
    <font>
      <b/>
      <i/>
      <sz val="12"/>
      <color theme="0"/>
      <name val="Avenir Next LT Pro"/>
      <family val="2"/>
    </font>
    <font>
      <b/>
      <sz val="8"/>
      <name val="Avenir Next LT Pro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1"/>
      <color rgb="FFFF0000"/>
      <name val="Avenir Next LT Pro"/>
      <family val="2"/>
    </font>
    <font>
      <b/>
      <sz val="11"/>
      <color theme="1"/>
      <name val="Calibri"/>
      <family val="2"/>
      <scheme val="minor"/>
    </font>
    <font>
      <sz val="10"/>
      <color rgb="FFFF0000"/>
      <name val="Avenir Next LT Pro"/>
      <family val="2"/>
    </font>
    <font>
      <b/>
      <sz val="11"/>
      <color theme="0"/>
      <name val="Avenir Next LT Pro"/>
      <family val="2"/>
    </font>
    <font>
      <sz val="8"/>
      <name val="Calibri"/>
      <family val="2"/>
      <scheme val="minor"/>
    </font>
    <font>
      <sz val="11"/>
      <color theme="0"/>
      <name val="Avenir Next LT Pro"/>
      <family val="2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Avenir Next LT Pro"/>
      <family val="2"/>
    </font>
    <font>
      <i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rgb="FF000000"/>
      <name val="Avenir Next LT Pro"/>
      <family val="2"/>
    </font>
    <font>
      <b/>
      <sz val="16"/>
      <color theme="1"/>
      <name val="Avenir Next LT Pro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8"/>
      <color theme="1"/>
      <name val="Avenir Next LT Pro"/>
      <family val="2"/>
    </font>
    <font>
      <sz val="18"/>
      <color theme="1"/>
      <name val="Calibri"/>
      <family val="2"/>
      <scheme val="minor"/>
    </font>
    <font>
      <sz val="18"/>
      <name val="Avenir Next LT Pro"/>
      <family val="2"/>
    </font>
    <font>
      <b/>
      <sz val="14"/>
      <color theme="1"/>
      <name val="Avenir Next LT Pro"/>
      <family val="2"/>
    </font>
    <font>
      <b/>
      <sz val="14"/>
      <color rgb="FF000000"/>
      <name val="Avenir Next LT Pro"/>
      <family val="2"/>
    </font>
    <font>
      <sz val="11"/>
      <color theme="1"/>
      <name val="Arial"/>
      <family val="2"/>
    </font>
    <font>
      <b/>
      <sz val="22"/>
      <color theme="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rgb="FFFF0000"/>
      <name val="Arial"/>
      <family val="2"/>
    </font>
    <font>
      <u/>
      <sz val="14"/>
      <color rgb="FF2E75B6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Tahoma"/>
      <family val="2"/>
    </font>
    <font>
      <sz val="8"/>
      <color rgb="FF505050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b/>
      <sz val="8"/>
      <color rgb="FF000000"/>
      <name val="Tahoma"/>
      <family val="2"/>
    </font>
    <font>
      <sz val="8"/>
      <color rgb="FF000000"/>
      <name val="Tahoma"/>
      <family val="2"/>
    </font>
    <font>
      <b/>
      <sz val="11"/>
      <color rgb="FF000000"/>
      <name val="Calibri"/>
      <family val="2"/>
    </font>
    <font>
      <sz val="8"/>
      <color rgb="FF000000"/>
      <name val="Segoe UI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0A2245"/>
        <bgColor indexed="64"/>
      </patternFill>
    </fill>
    <fill>
      <patternFill patternType="solid">
        <fgColor rgb="FFA5A5A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rgb="FF16365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hair">
        <color indexed="22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indexed="64"/>
      </bottom>
      <diagonal/>
    </border>
    <border>
      <left/>
      <right style="thin">
        <color theme="0" tint="-0.14999847407452621"/>
      </right>
      <top/>
      <bottom style="thin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0"/>
      </left>
      <right/>
      <top style="thin">
        <color theme="0" tint="-0.14999847407452621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 style="thin">
        <color theme="0" tint="-0.1499984740745262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0">
    <xf numFmtId="0" fontId="0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7" fontId="4" fillId="0" borderId="0"/>
    <xf numFmtId="0" fontId="2" fillId="0" borderId="0"/>
    <xf numFmtId="43" fontId="1" fillId="0" borderId="0" applyFont="0" applyFill="0" applyBorder="0" applyAlignment="0" applyProtection="0"/>
    <xf numFmtId="0" fontId="5" fillId="0" borderId="0"/>
    <xf numFmtId="0" fontId="3" fillId="0" borderId="0"/>
    <xf numFmtId="0" fontId="1" fillId="0" borderId="0"/>
    <xf numFmtId="43" fontId="2" fillId="0" borderId="0" applyFont="0" applyFill="0" applyBorder="0" applyAlignment="0" applyProtection="0"/>
    <xf numFmtId="0" fontId="1" fillId="0" borderId="25" applyNumberFormat="0" applyFont="0" applyFill="0" applyAlignment="0" applyProtection="0"/>
    <xf numFmtId="0" fontId="1" fillId="0" borderId="25" applyNumberFormat="0" applyFont="0" applyFill="0" applyAlignment="0" applyProtection="0"/>
    <xf numFmtId="0" fontId="1" fillId="0" borderId="0"/>
    <xf numFmtId="0" fontId="7" fillId="0" borderId="0" applyNumberFormat="0" applyFill="0" applyBorder="0" applyAlignment="0" applyProtection="0"/>
    <xf numFmtId="44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9" fillId="10" borderId="42" applyNumberFormat="0" applyAlignment="0" applyProtection="0"/>
    <xf numFmtId="0" fontId="1" fillId="0" borderId="0"/>
  </cellStyleXfs>
  <cellXfs count="729">
    <xf numFmtId="0" fontId="0" fillId="0" borderId="0" xfId="0"/>
    <xf numFmtId="0" fontId="9" fillId="0" borderId="0" xfId="0" applyFont="1"/>
    <xf numFmtId="14" fontId="9" fillId="0" borderId="0" xfId="0" applyNumberFormat="1" applyFont="1"/>
    <xf numFmtId="0" fontId="12" fillId="0" borderId="0" xfId="0" applyFont="1" applyAlignment="1">
      <alignment horizontal="center"/>
    </xf>
    <xf numFmtId="44" fontId="9" fillId="0" borderId="0" xfId="0" applyNumberFormat="1" applyFont="1"/>
    <xf numFmtId="0" fontId="13" fillId="3" borderId="0" xfId="1" applyFont="1" applyFill="1"/>
    <xf numFmtId="0" fontId="14" fillId="3" borderId="0" xfId="1" applyFont="1" applyFill="1"/>
    <xf numFmtId="0" fontId="15" fillId="3" borderId="0" xfId="1" applyFont="1" applyFill="1"/>
    <xf numFmtId="0" fontId="13" fillId="0" borderId="0" xfId="0" applyFont="1"/>
    <xf numFmtId="0" fontId="16" fillId="0" borderId="0" xfId="0" applyFont="1"/>
    <xf numFmtId="17" fontId="17" fillId="0" borderId="0" xfId="0" applyNumberFormat="1" applyFont="1" applyAlignment="1">
      <alignment horizontal="center"/>
    </xf>
    <xf numFmtId="17" fontId="17" fillId="0" borderId="0" xfId="0" quotePrefix="1" applyNumberFormat="1" applyFont="1" applyAlignment="1">
      <alignment horizontal="center"/>
    </xf>
    <xf numFmtId="0" fontId="10" fillId="0" borderId="0" xfId="0" applyFont="1"/>
    <xf numFmtId="0" fontId="16" fillId="0" borderId="0" xfId="0" applyFont="1" applyAlignment="1">
      <alignment horizontal="left"/>
    </xf>
    <xf numFmtId="167" fontId="16" fillId="0" borderId="0" xfId="4" applyNumberFormat="1" applyFont="1" applyAlignment="1">
      <alignment horizontal="center"/>
    </xf>
    <xf numFmtId="44" fontId="16" fillId="0" borderId="0" xfId="2" applyFont="1" applyAlignment="1">
      <alignment horizontal="left"/>
    </xf>
    <xf numFmtId="0" fontId="16" fillId="0" borderId="0" xfId="0" applyFont="1" applyAlignment="1">
      <alignment horizontal="center"/>
    </xf>
    <xf numFmtId="17" fontId="18" fillId="0" borderId="0" xfId="0" applyNumberFormat="1" applyFont="1" applyAlignment="1">
      <alignment horizontal="center" wrapText="1"/>
    </xf>
    <xf numFmtId="167" fontId="16" fillId="0" borderId="0" xfId="4" applyNumberFormat="1" applyFont="1" applyBorder="1" applyAlignment="1">
      <alignment horizontal="center" wrapText="1"/>
    </xf>
    <xf numFmtId="17" fontId="16" fillId="0" borderId="0" xfId="0" applyNumberFormat="1" applyFont="1" applyAlignment="1">
      <alignment horizontal="center" wrapText="1"/>
    </xf>
    <xf numFmtId="49" fontId="16" fillId="0" borderId="0" xfId="0" applyNumberFormat="1" applyFont="1" applyAlignment="1">
      <alignment horizontal="center" wrapText="1"/>
    </xf>
    <xf numFmtId="49" fontId="16" fillId="0" borderId="0" xfId="0" applyNumberFormat="1" applyFont="1" applyAlignment="1">
      <alignment horizontal="left" wrapText="1"/>
    </xf>
    <xf numFmtId="43" fontId="16" fillId="0" borderId="0" xfId="4" applyFont="1" applyBorder="1" applyAlignment="1"/>
    <xf numFmtId="17" fontId="16" fillId="0" borderId="0" xfId="0" applyNumberFormat="1" applyFont="1" applyAlignment="1">
      <alignment horizontal="left" wrapText="1"/>
    </xf>
    <xf numFmtId="167" fontId="16" fillId="0" borderId="0" xfId="4" quotePrefix="1" applyNumberFormat="1" applyFont="1" applyBorder="1" applyAlignment="1">
      <alignment horizontal="center"/>
    </xf>
    <xf numFmtId="49" fontId="16" fillId="0" borderId="0" xfId="2" applyNumberFormat="1" applyFont="1" applyBorder="1" applyAlignment="1">
      <alignment horizontal="center" wrapText="1"/>
    </xf>
    <xf numFmtId="44" fontId="10" fillId="0" borderId="11" xfId="2" applyFont="1" applyBorder="1" applyAlignment="1"/>
    <xf numFmtId="0" fontId="19" fillId="0" borderId="0" xfId="0" applyFont="1"/>
    <xf numFmtId="2" fontId="16" fillId="0" borderId="0" xfId="0" applyNumberFormat="1" applyFont="1"/>
    <xf numFmtId="49" fontId="16" fillId="0" borderId="0" xfId="4" applyNumberFormat="1" applyFont="1" applyBorder="1" applyAlignment="1">
      <alignment horizontal="center" wrapText="1"/>
    </xf>
    <xf numFmtId="49" fontId="16" fillId="0" borderId="0" xfId="0" applyNumberFormat="1" applyFont="1"/>
    <xf numFmtId="44" fontId="16" fillId="0" borderId="0" xfId="2" applyFont="1" applyAlignment="1"/>
    <xf numFmtId="44" fontId="16" fillId="0" borderId="0" xfId="2" applyFont="1" applyBorder="1" applyAlignment="1"/>
    <xf numFmtId="49" fontId="16" fillId="0" borderId="0" xfId="0" applyNumberFormat="1" applyFont="1" applyAlignment="1">
      <alignment horizontal="left"/>
    </xf>
    <xf numFmtId="44" fontId="16" fillId="0" borderId="0" xfId="2" applyFont="1" applyFill="1" applyBorder="1" applyAlignment="1">
      <alignment horizontal="center"/>
    </xf>
    <xf numFmtId="44" fontId="16" fillId="0" borderId="0" xfId="2" applyFont="1" applyBorder="1" applyAlignment="1">
      <alignment horizontal="left"/>
    </xf>
    <xf numFmtId="49" fontId="16" fillId="0" borderId="0" xfId="4" applyNumberFormat="1" applyFont="1" applyBorder="1" applyAlignment="1">
      <alignment horizontal="center"/>
    </xf>
    <xf numFmtId="49" fontId="16" fillId="0" borderId="0" xfId="0" applyNumberFormat="1" applyFont="1" applyAlignment="1">
      <alignment horizontal="center"/>
    </xf>
    <xf numFmtId="49" fontId="16" fillId="0" borderId="0" xfId="2" applyNumberFormat="1" applyFont="1" applyBorder="1" applyAlignment="1">
      <alignment horizontal="center"/>
    </xf>
    <xf numFmtId="49" fontId="16" fillId="0" borderId="0" xfId="0" quotePrefix="1" applyNumberFormat="1" applyFont="1" applyAlignment="1">
      <alignment horizontal="center" wrapText="1"/>
    </xf>
    <xf numFmtId="167" fontId="16" fillId="0" borderId="0" xfId="4" applyNumberFormat="1" applyFont="1" applyFill="1" applyAlignment="1">
      <alignment horizontal="center"/>
    </xf>
    <xf numFmtId="49" fontId="10" fillId="0" borderId="0" xfId="0" applyNumberFormat="1" applyFont="1"/>
    <xf numFmtId="49" fontId="16" fillId="0" borderId="0" xfId="0" quotePrefix="1" applyNumberFormat="1" applyFont="1" applyAlignment="1">
      <alignment horizontal="center"/>
    </xf>
    <xf numFmtId="49" fontId="16" fillId="0" borderId="0" xfId="0" quotePrefix="1" applyNumberFormat="1" applyFont="1" applyAlignment="1">
      <alignment horizontal="left"/>
    </xf>
    <xf numFmtId="49" fontId="16" fillId="0" borderId="0" xfId="4" applyNumberFormat="1" applyFont="1" applyAlignment="1">
      <alignment horizontal="center"/>
    </xf>
    <xf numFmtId="49" fontId="16" fillId="0" borderId="0" xfId="2" applyNumberFormat="1" applyFont="1" applyAlignment="1">
      <alignment horizontal="left"/>
    </xf>
    <xf numFmtId="49" fontId="16" fillId="0" borderId="0" xfId="2" applyNumberFormat="1" applyFont="1" applyBorder="1" applyAlignment="1">
      <alignment horizontal="left"/>
    </xf>
    <xf numFmtId="39" fontId="16" fillId="0" borderId="0" xfId="0" applyNumberFormat="1" applyFont="1"/>
    <xf numFmtId="4" fontId="16" fillId="0" borderId="0" xfId="0" applyNumberFormat="1" applyFont="1"/>
    <xf numFmtId="0" fontId="9" fillId="0" borderId="0" xfId="0" applyFont="1" applyAlignment="1">
      <alignment horizontal="center"/>
    </xf>
    <xf numFmtId="0" fontId="9" fillId="2" borderId="0" xfId="0" applyFont="1" applyFill="1"/>
    <xf numFmtId="0" fontId="13" fillId="0" borderId="0" xfId="1" applyFont="1"/>
    <xf numFmtId="0" fontId="15" fillId="0" borderId="0" xfId="1" applyFont="1" applyAlignment="1">
      <alignment horizontal="center"/>
    </xf>
    <xf numFmtId="0" fontId="11" fillId="0" borderId="0" xfId="1" applyFont="1"/>
    <xf numFmtId="39" fontId="13" fillId="0" borderId="0" xfId="12" applyNumberFormat="1" applyFont="1" applyBorder="1" applyAlignment="1">
      <alignment horizontal="right" shrinkToFit="1"/>
    </xf>
    <xf numFmtId="0" fontId="15" fillId="0" borderId="14" xfId="1" applyFont="1" applyBorder="1" applyAlignment="1">
      <alignment horizontal="center"/>
    </xf>
    <xf numFmtId="39" fontId="13" fillId="0" borderId="0" xfId="1" applyNumberFormat="1" applyFont="1"/>
    <xf numFmtId="43" fontId="13" fillId="0" borderId="0" xfId="7" applyFont="1" applyBorder="1"/>
    <xf numFmtId="43" fontId="13" fillId="0" borderId="8" xfId="7" applyFont="1" applyBorder="1"/>
    <xf numFmtId="43" fontId="15" fillId="0" borderId="0" xfId="7" applyFont="1"/>
    <xf numFmtId="44" fontId="15" fillId="0" borderId="0" xfId="2" applyFont="1"/>
    <xf numFmtId="14" fontId="15" fillId="2" borderId="0" xfId="0" applyNumberFormat="1" applyFont="1" applyFill="1" applyAlignment="1">
      <alignment horizontal="left"/>
    </xf>
    <xf numFmtId="0" fontId="22" fillId="0" borderId="0" xfId="0" applyFont="1" applyAlignment="1">
      <alignment horizontal="left"/>
    </xf>
    <xf numFmtId="14" fontId="15" fillId="0" borderId="0" xfId="0" applyNumberFormat="1" applyFont="1"/>
    <xf numFmtId="0" fontId="11" fillId="0" borderId="14" xfId="0" quotePrefix="1" applyFont="1" applyBorder="1" applyAlignment="1">
      <alignment horizontal="left"/>
    </xf>
    <xf numFmtId="0" fontId="15" fillId="0" borderId="0" xfId="0" applyFont="1"/>
    <xf numFmtId="4" fontId="15" fillId="0" borderId="27" xfId="0" applyNumberFormat="1" applyFont="1" applyBorder="1"/>
    <xf numFmtId="4" fontId="22" fillId="0" borderId="0" xfId="0" applyNumberFormat="1" applyFont="1" applyAlignment="1">
      <alignment horizontal="left"/>
    </xf>
    <xf numFmtId="0" fontId="13" fillId="0" borderId="0" xfId="8" applyFont="1"/>
    <xf numFmtId="0" fontId="24" fillId="4" borderId="0" xfId="8" applyFont="1" applyFill="1" applyAlignment="1">
      <alignment horizontal="center"/>
    </xf>
    <xf numFmtId="4" fontId="13" fillId="2" borderId="1" xfId="2" applyNumberFormat="1" applyFont="1" applyFill="1" applyBorder="1" applyAlignment="1">
      <alignment horizontal="right"/>
    </xf>
    <xf numFmtId="0" fontId="25" fillId="0" borderId="0" xfId="6" applyFont="1"/>
    <xf numFmtId="0" fontId="13" fillId="0" borderId="15" xfId="1" applyFont="1" applyBorder="1" applyAlignment="1">
      <alignment horizontal="centerContinuous"/>
    </xf>
    <xf numFmtId="0" fontId="13" fillId="0" borderId="15" xfId="1" applyFont="1" applyBorder="1" applyAlignment="1">
      <alignment horizontal="center"/>
    </xf>
    <xf numFmtId="0" fontId="13" fillId="0" borderId="17" xfId="1" applyFont="1" applyBorder="1" applyAlignment="1">
      <alignment horizontal="center"/>
    </xf>
    <xf numFmtId="0" fontId="13" fillId="0" borderId="16" xfId="1" applyFont="1" applyBorder="1" applyAlignment="1">
      <alignment horizontal="center"/>
    </xf>
    <xf numFmtId="0" fontId="13" fillId="2" borderId="18" xfId="1" applyFont="1" applyFill="1" applyBorder="1"/>
    <xf numFmtId="43" fontId="13" fillId="2" borderId="21" xfId="7" applyFont="1" applyFill="1" applyBorder="1"/>
    <xf numFmtId="0" fontId="13" fillId="2" borderId="13" xfId="1" applyFont="1" applyFill="1" applyBorder="1"/>
    <xf numFmtId="43" fontId="13" fillId="2" borderId="13" xfId="7" applyFont="1" applyFill="1" applyBorder="1"/>
    <xf numFmtId="43" fontId="13" fillId="2" borderId="0" xfId="7" applyFont="1" applyFill="1" applyBorder="1"/>
    <xf numFmtId="43" fontId="13" fillId="2" borderId="22" xfId="7" applyFont="1" applyFill="1" applyBorder="1"/>
    <xf numFmtId="43" fontId="13" fillId="2" borderId="14" xfId="7" applyFont="1" applyFill="1" applyBorder="1"/>
    <xf numFmtId="43" fontId="13" fillId="2" borderId="23" xfId="7" applyFont="1" applyFill="1" applyBorder="1"/>
    <xf numFmtId="43" fontId="13" fillId="0" borderId="14" xfId="7" applyFont="1" applyBorder="1"/>
    <xf numFmtId="43" fontId="13" fillId="0" borderId="1" xfId="7" applyFont="1" applyBorder="1"/>
    <xf numFmtId="0" fontId="15" fillId="0" borderId="0" xfId="1" applyFont="1" applyAlignment="1">
      <alignment horizontal="left"/>
    </xf>
    <xf numFmtId="0" fontId="15" fillId="0" borderId="0" xfId="1" applyFont="1" applyAlignment="1">
      <alignment horizontal="centerContinuous"/>
    </xf>
    <xf numFmtId="0" fontId="9" fillId="0" borderId="0" xfId="6" applyFont="1"/>
    <xf numFmtId="17" fontId="27" fillId="0" borderId="0" xfId="0" applyNumberFormat="1" applyFont="1" applyAlignment="1">
      <alignment horizontal="right"/>
    </xf>
    <xf numFmtId="17" fontId="10" fillId="0" borderId="0" xfId="0" quotePrefix="1" applyNumberFormat="1" applyFont="1" applyAlignment="1">
      <alignment horizontal="left"/>
    </xf>
    <xf numFmtId="17" fontId="27" fillId="0" borderId="0" xfId="0" quotePrefix="1" applyNumberFormat="1" applyFont="1" applyAlignment="1">
      <alignment horizontal="right"/>
    </xf>
    <xf numFmtId="17" fontId="10" fillId="0" borderId="0" xfId="0" quotePrefix="1" applyNumberFormat="1" applyFont="1" applyAlignment="1">
      <alignment horizontal="center"/>
    </xf>
    <xf numFmtId="14" fontId="10" fillId="0" borderId="0" xfId="0" quotePrefix="1" applyNumberFormat="1" applyFont="1" applyAlignment="1">
      <alignment horizontal="left"/>
    </xf>
    <xf numFmtId="17" fontId="29" fillId="0" borderId="0" xfId="0" quotePrefix="1" applyNumberFormat="1" applyFont="1" applyAlignment="1">
      <alignment horizontal="center"/>
    </xf>
    <xf numFmtId="17" fontId="29" fillId="0" borderId="0" xfId="0" applyNumberFormat="1" applyFont="1" applyAlignment="1">
      <alignment horizontal="left"/>
    </xf>
    <xf numFmtId="0" fontId="16" fillId="0" borderId="0" xfId="0" quotePrefix="1" applyFont="1" applyAlignment="1">
      <alignment horizontal="left"/>
    </xf>
    <xf numFmtId="0" fontId="8" fillId="0" borderId="0" xfId="0" applyFont="1"/>
    <xf numFmtId="167" fontId="16" fillId="0" borderId="0" xfId="7" applyNumberFormat="1" applyFont="1" applyBorder="1" applyAlignment="1">
      <alignment horizontal="center" wrapText="1"/>
    </xf>
    <xf numFmtId="167" fontId="16" fillId="0" borderId="0" xfId="7" applyNumberFormat="1" applyFont="1" applyAlignment="1">
      <alignment horizontal="center"/>
    </xf>
    <xf numFmtId="167" fontId="16" fillId="0" borderId="0" xfId="7" applyNumberFormat="1" applyFont="1" applyFill="1" applyBorder="1" applyAlignment="1">
      <alignment horizontal="right"/>
    </xf>
    <xf numFmtId="44" fontId="16" fillId="2" borderId="1" xfId="0" applyNumberFormat="1" applyFont="1" applyFill="1" applyBorder="1"/>
    <xf numFmtId="167" fontId="16" fillId="0" borderId="0" xfId="7" applyNumberFormat="1" applyFont="1" applyFill="1" applyBorder="1" applyAlignment="1">
      <alignment horizontal="center" wrapText="1"/>
    </xf>
    <xf numFmtId="49" fontId="16" fillId="0" borderId="0" xfId="2" applyNumberFormat="1" applyFont="1" applyFill="1" applyBorder="1" applyAlignment="1">
      <alignment horizontal="center" wrapText="1"/>
    </xf>
    <xf numFmtId="167" fontId="16" fillId="0" borderId="0" xfId="7" quotePrefix="1" applyNumberFormat="1" applyFont="1" applyFill="1" applyBorder="1" applyAlignment="1">
      <alignment horizontal="right"/>
    </xf>
    <xf numFmtId="44" fontId="16" fillId="2" borderId="1" xfId="2" applyFont="1" applyFill="1" applyBorder="1" applyAlignment="1"/>
    <xf numFmtId="167" fontId="16" fillId="0" borderId="0" xfId="7" quotePrefix="1" applyNumberFormat="1" applyFont="1" applyBorder="1" applyAlignment="1">
      <alignment horizontal="center"/>
    </xf>
    <xf numFmtId="39" fontId="10" fillId="0" borderId="0" xfId="0" applyNumberFormat="1" applyFont="1" applyAlignment="1">
      <alignment horizontal="center"/>
    </xf>
    <xf numFmtId="0" fontId="10" fillId="0" borderId="8" xfId="0" applyFont="1" applyBorder="1"/>
    <xf numFmtId="44" fontId="16" fillId="0" borderId="8" xfId="0" applyNumberFormat="1" applyFont="1" applyBorder="1" applyAlignment="1">
      <alignment horizontal="left"/>
    </xf>
    <xf numFmtId="167" fontId="16" fillId="0" borderId="8" xfId="7" applyNumberFormat="1" applyFont="1" applyBorder="1" applyAlignment="1">
      <alignment horizontal="center"/>
    </xf>
    <xf numFmtId="44" fontId="16" fillId="0" borderId="8" xfId="2" applyFont="1" applyBorder="1" applyAlignment="1">
      <alignment horizontal="left"/>
    </xf>
    <xf numFmtId="0" fontId="16" fillId="0" borderId="8" xfId="0" applyFont="1" applyBorder="1" applyAlignment="1">
      <alignment horizontal="center"/>
    </xf>
    <xf numFmtId="44" fontId="10" fillId="0" borderId="8" xfId="2" applyFont="1" applyBorder="1" applyAlignment="1"/>
    <xf numFmtId="0" fontId="10" fillId="0" borderId="0" xfId="0" applyFont="1" applyAlignment="1">
      <alignment horizontal="left"/>
    </xf>
    <xf numFmtId="167" fontId="10" fillId="0" borderId="0" xfId="7" applyNumberFormat="1" applyFont="1" applyAlignment="1">
      <alignment horizontal="center"/>
    </xf>
    <xf numFmtId="44" fontId="10" fillId="0" borderId="0" xfId="2" applyFont="1" applyAlignment="1">
      <alignment horizontal="left"/>
    </xf>
    <xf numFmtId="0" fontId="10" fillId="0" borderId="0" xfId="0" applyFont="1" applyAlignment="1">
      <alignment horizontal="center"/>
    </xf>
    <xf numFmtId="44" fontId="16" fillId="0" borderId="0" xfId="2" applyFont="1" applyFill="1" applyBorder="1" applyAlignment="1">
      <alignment horizontal="right"/>
    </xf>
    <xf numFmtId="44" fontId="16" fillId="2" borderId="1" xfId="0" applyNumberFormat="1" applyFont="1" applyFill="1" applyBorder="1" applyAlignment="1">
      <alignment horizontal="center"/>
    </xf>
    <xf numFmtId="14" fontId="16" fillId="2" borderId="1" xfId="0" applyNumberFormat="1" applyFont="1" applyFill="1" applyBorder="1" applyAlignment="1">
      <alignment horizontal="center"/>
    </xf>
    <xf numFmtId="167" fontId="16" fillId="0" borderId="0" xfId="7" applyNumberFormat="1" applyFont="1" applyFill="1" applyBorder="1" applyAlignment="1">
      <alignment horizontal="center"/>
    </xf>
    <xf numFmtId="44" fontId="16" fillId="0" borderId="0" xfId="2" applyFont="1" applyFill="1" applyBorder="1" applyAlignment="1">
      <alignment horizontal="left"/>
    </xf>
    <xf numFmtId="44" fontId="16" fillId="0" borderId="0" xfId="0" applyNumberFormat="1" applyFont="1" applyAlignment="1">
      <alignment horizontal="center"/>
    </xf>
    <xf numFmtId="0" fontId="16" fillId="0" borderId="8" xfId="0" applyFont="1" applyBorder="1" applyAlignment="1">
      <alignment horizontal="left"/>
    </xf>
    <xf numFmtId="167" fontId="16" fillId="0" borderId="8" xfId="7" applyNumberFormat="1" applyFont="1" applyFill="1" applyBorder="1" applyAlignment="1">
      <alignment horizontal="center"/>
    </xf>
    <xf numFmtId="44" fontId="16" fillId="0" borderId="8" xfId="2" applyFont="1" applyFill="1" applyBorder="1" applyAlignment="1">
      <alignment horizontal="right"/>
    </xf>
    <xf numFmtId="44" fontId="16" fillId="0" borderId="8" xfId="0" applyNumberFormat="1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8" fillId="0" borderId="0" xfId="0" quotePrefix="1" applyFont="1" applyAlignment="1">
      <alignment horizontal="left" vertical="top"/>
    </xf>
    <xf numFmtId="0" fontId="32" fillId="0" borderId="0" xfId="0" applyFont="1"/>
    <xf numFmtId="0" fontId="32" fillId="0" borderId="0" xfId="0" applyFont="1" applyAlignment="1">
      <alignment horizontal="left"/>
    </xf>
    <xf numFmtId="167" fontId="32" fillId="0" borderId="0" xfId="7" applyNumberFormat="1" applyFont="1" applyFill="1" applyBorder="1" applyAlignment="1">
      <alignment horizontal="center"/>
    </xf>
    <xf numFmtId="44" fontId="32" fillId="0" borderId="0" xfId="2" applyFont="1" applyFill="1" applyBorder="1" applyAlignment="1">
      <alignment horizontal="left"/>
    </xf>
    <xf numFmtId="0" fontId="32" fillId="0" borderId="0" xfId="0" applyFont="1" applyAlignment="1">
      <alignment horizontal="center"/>
    </xf>
    <xf numFmtId="0" fontId="10" fillId="0" borderId="0" xfId="0" applyFont="1" applyAlignment="1">
      <alignment horizontal="center" vertical="center" wrapText="1"/>
    </xf>
    <xf numFmtId="49" fontId="16" fillId="0" borderId="0" xfId="7" applyNumberFormat="1" applyFont="1" applyBorder="1" applyAlignment="1">
      <alignment horizontal="center" wrapText="1"/>
    </xf>
    <xf numFmtId="0" fontId="16" fillId="0" borderId="8" xfId="0" applyFont="1" applyBorder="1"/>
    <xf numFmtId="49" fontId="16" fillId="0" borderId="8" xfId="0" applyNumberFormat="1" applyFont="1" applyBorder="1" applyAlignment="1">
      <alignment horizontal="center"/>
    </xf>
    <xf numFmtId="44" fontId="16" fillId="0" borderId="8" xfId="2" applyFont="1" applyBorder="1" applyAlignment="1"/>
    <xf numFmtId="44" fontId="16" fillId="0" borderId="0" xfId="2" applyFont="1" applyFill="1" applyBorder="1" applyAlignment="1"/>
    <xf numFmtId="49" fontId="8" fillId="0" borderId="0" xfId="0" applyNumberFormat="1" applyFont="1" applyAlignment="1">
      <alignment horizontal="left" vertical="top"/>
    </xf>
    <xf numFmtId="17" fontId="8" fillId="0" borderId="0" xfId="0" applyNumberFormat="1" applyFont="1" applyAlignment="1">
      <alignment horizontal="left"/>
    </xf>
    <xf numFmtId="44" fontId="10" fillId="0" borderId="0" xfId="2" applyFont="1" applyFill="1" applyBorder="1" applyAlignment="1"/>
    <xf numFmtId="17" fontId="16" fillId="0" borderId="0" xfId="0" applyNumberFormat="1" applyFont="1" applyAlignment="1">
      <alignment horizontal="right"/>
    </xf>
    <xf numFmtId="49" fontId="16" fillId="2" borderId="1" xfId="0" applyNumberFormat="1" applyFont="1" applyFill="1" applyBorder="1" applyAlignment="1">
      <alignment horizontal="center"/>
    </xf>
    <xf numFmtId="44" fontId="10" fillId="0" borderId="0" xfId="2" applyFont="1" applyFill="1" applyBorder="1" applyAlignment="1">
      <alignment horizontal="center"/>
    </xf>
    <xf numFmtId="17" fontId="10" fillId="0" borderId="8" xfId="0" quotePrefix="1" applyNumberFormat="1" applyFont="1" applyBorder="1" applyAlignment="1">
      <alignment horizontal="center"/>
    </xf>
    <xf numFmtId="0" fontId="8" fillId="0" borderId="0" xfId="0" applyFont="1" applyAlignment="1">
      <alignment vertical="top"/>
    </xf>
    <xf numFmtId="49" fontId="8" fillId="0" borderId="0" xfId="0" applyNumberFormat="1" applyFont="1" applyAlignment="1">
      <alignment horizontal="left"/>
    </xf>
    <xf numFmtId="49" fontId="16" fillId="0" borderId="0" xfId="2" applyNumberFormat="1" applyFont="1" applyFill="1" applyBorder="1" applyAlignment="1">
      <alignment horizontal="right"/>
    </xf>
    <xf numFmtId="49" fontId="16" fillId="0" borderId="0" xfId="0" applyNumberFormat="1" applyFont="1" applyAlignment="1">
      <alignment horizontal="right" wrapText="1"/>
    </xf>
    <xf numFmtId="49" fontId="16" fillId="0" borderId="0" xfId="7" applyNumberFormat="1" applyFont="1" applyBorder="1" applyAlignment="1">
      <alignment horizontal="center"/>
    </xf>
    <xf numFmtId="17" fontId="10" fillId="0" borderId="0" xfId="0" applyNumberFormat="1" applyFont="1" applyAlignment="1">
      <alignment horizontal="left"/>
    </xf>
    <xf numFmtId="0" fontId="10" fillId="0" borderId="21" xfId="0" applyFont="1" applyBorder="1" applyAlignment="1">
      <alignment horizontal="left"/>
    </xf>
    <xf numFmtId="167" fontId="10" fillId="0" borderId="13" xfId="7" applyNumberFormat="1" applyFont="1" applyFill="1" applyBorder="1" applyAlignment="1">
      <alignment horizontal="center"/>
    </xf>
    <xf numFmtId="49" fontId="10" fillId="0" borderId="21" xfId="2" applyNumberFormat="1" applyFont="1" applyFill="1" applyBorder="1" applyAlignment="1">
      <alignment horizontal="right"/>
    </xf>
    <xf numFmtId="17" fontId="10" fillId="0" borderId="14" xfId="0" applyNumberFormat="1" applyFont="1" applyBorder="1" applyAlignment="1">
      <alignment horizontal="left"/>
    </xf>
    <xf numFmtId="0" fontId="10" fillId="0" borderId="23" xfId="0" applyFont="1" applyBorder="1" applyAlignment="1">
      <alignment horizontal="left"/>
    </xf>
    <xf numFmtId="167" fontId="10" fillId="0" borderId="22" xfId="7" applyNumberFormat="1" applyFont="1" applyFill="1" applyBorder="1" applyAlignment="1">
      <alignment horizontal="center"/>
    </xf>
    <xf numFmtId="49" fontId="10" fillId="0" borderId="23" xfId="2" applyNumberFormat="1" applyFont="1" applyFill="1" applyBorder="1" applyAlignment="1">
      <alignment horizontal="right"/>
    </xf>
    <xf numFmtId="0" fontId="30" fillId="6" borderId="12" xfId="0" applyFont="1" applyFill="1" applyBorder="1"/>
    <xf numFmtId="49" fontId="33" fillId="0" borderId="2" xfId="0" applyNumberFormat="1" applyFont="1" applyBorder="1" applyAlignment="1">
      <alignment horizontal="left"/>
    </xf>
    <xf numFmtId="49" fontId="16" fillId="0" borderId="3" xfId="0" applyNumberFormat="1" applyFont="1" applyBorder="1" applyAlignment="1">
      <alignment horizontal="left"/>
    </xf>
    <xf numFmtId="49" fontId="16" fillId="0" borderId="3" xfId="0" quotePrefix="1" applyNumberFormat="1" applyFont="1" applyBorder="1" applyAlignment="1">
      <alignment horizontal="left"/>
    </xf>
    <xf numFmtId="167" fontId="16" fillId="0" borderId="3" xfId="7" applyNumberFormat="1" applyFont="1" applyFill="1" applyBorder="1" applyAlignment="1">
      <alignment horizontal="center"/>
    </xf>
    <xf numFmtId="44" fontId="16" fillId="0" borderId="3" xfId="2" applyFont="1" applyFill="1" applyBorder="1" applyAlignment="1">
      <alignment horizontal="center"/>
    </xf>
    <xf numFmtId="0" fontId="16" fillId="0" borderId="3" xfId="0" applyFont="1" applyBorder="1" applyAlignment="1">
      <alignment horizontal="center"/>
    </xf>
    <xf numFmtId="44" fontId="16" fillId="0" borderId="3" xfId="2" applyFont="1" applyFill="1" applyBorder="1" applyAlignment="1"/>
    <xf numFmtId="0" fontId="16" fillId="0" borderId="4" xfId="0" applyFont="1" applyBorder="1"/>
    <xf numFmtId="49" fontId="16" fillId="0" borderId="5" xfId="0" applyNumberFormat="1" applyFont="1" applyBorder="1" applyAlignment="1">
      <alignment horizontal="left"/>
    </xf>
    <xf numFmtId="0" fontId="16" fillId="0" borderId="6" xfId="0" applyFont="1" applyBorder="1"/>
    <xf numFmtId="0" fontId="10" fillId="0" borderId="5" xfId="0" applyFont="1" applyBorder="1" applyAlignment="1">
      <alignment horizontal="left" vertical="center" wrapText="1"/>
    </xf>
    <xf numFmtId="0" fontId="15" fillId="0" borderId="0" xfId="0" applyFont="1" applyAlignment="1">
      <alignment horizontal="center" vertical="center" wrapText="1"/>
    </xf>
    <xf numFmtId="0" fontId="34" fillId="0" borderId="0" xfId="0" applyFont="1" applyAlignment="1">
      <alignment horizontal="right" vertical="center" wrapText="1"/>
    </xf>
    <xf numFmtId="0" fontId="9" fillId="0" borderId="6" xfId="0" applyFont="1" applyBorder="1"/>
    <xf numFmtId="0" fontId="16" fillId="0" borderId="5" xfId="0" applyFont="1" applyBorder="1" applyAlignment="1">
      <alignment horizontal="left" vertical="center" wrapText="1"/>
    </xf>
    <xf numFmtId="0" fontId="35" fillId="0" borderId="5" xfId="0" applyFont="1" applyBorder="1" applyAlignment="1">
      <alignment horizontal="left" vertical="center" wrapText="1"/>
    </xf>
    <xf numFmtId="0" fontId="13" fillId="0" borderId="0" xfId="0" applyFont="1" applyAlignment="1">
      <alignment horizontal="center" vertical="center" wrapText="1"/>
    </xf>
    <xf numFmtId="0" fontId="9" fillId="0" borderId="0" xfId="0" applyFont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16" fillId="0" borderId="5" xfId="0" applyFont="1" applyBorder="1" applyAlignment="1">
      <alignment vertical="center"/>
    </xf>
    <xf numFmtId="0" fontId="36" fillId="0" borderId="5" xfId="0" applyFont="1" applyBorder="1" applyAlignment="1">
      <alignment vertical="center"/>
    </xf>
    <xf numFmtId="0" fontId="16" fillId="0" borderId="16" xfId="0" applyFont="1" applyBorder="1" applyAlignment="1">
      <alignment wrapText="1"/>
    </xf>
    <xf numFmtId="0" fontId="16" fillId="0" borderId="16" xfId="0" applyFont="1" applyBorder="1"/>
    <xf numFmtId="0" fontId="39" fillId="8" borderId="16" xfId="0" applyFont="1" applyFill="1" applyBorder="1" applyAlignment="1">
      <alignment wrapText="1"/>
    </xf>
    <xf numFmtId="0" fontId="40" fillId="5" borderId="26" xfId="0" applyFont="1" applyFill="1" applyBorder="1" applyAlignment="1">
      <alignment horizontal="left" vertical="center"/>
    </xf>
    <xf numFmtId="14" fontId="9" fillId="0" borderId="0" xfId="0" applyNumberFormat="1" applyFont="1" applyAlignment="1">
      <alignment horizontal="center"/>
    </xf>
    <xf numFmtId="0" fontId="13" fillId="2" borderId="0" xfId="12" applyNumberFormat="1" applyFont="1" applyFill="1" applyBorder="1" applyAlignment="1" applyProtection="1">
      <alignment horizontal="left"/>
    </xf>
    <xf numFmtId="0" fontId="13" fillId="2" borderId="0" xfId="12" applyNumberFormat="1" applyFont="1" applyFill="1" applyBorder="1" applyAlignment="1">
      <alignment horizontal="left"/>
    </xf>
    <xf numFmtId="39" fontId="13" fillId="2" borderId="0" xfId="13" applyNumberFormat="1" applyFont="1" applyFill="1" applyBorder="1" applyAlignment="1" applyProtection="1">
      <alignment horizontal="left" shrinkToFit="1"/>
    </xf>
    <xf numFmtId="49" fontId="13" fillId="2" borderId="0" xfId="13" applyNumberFormat="1" applyFont="1" applyFill="1" applyBorder="1" applyAlignment="1" applyProtection="1">
      <alignment horizontal="left" shrinkToFit="1"/>
    </xf>
    <xf numFmtId="43" fontId="13" fillId="2" borderId="0" xfId="7" applyFont="1" applyFill="1" applyBorder="1" applyAlignment="1" applyProtection="1">
      <alignment horizontal="right" shrinkToFit="1"/>
    </xf>
    <xf numFmtId="1" fontId="13" fillId="2" borderId="0" xfId="12" applyNumberFormat="1" applyFont="1" applyFill="1" applyBorder="1" applyAlignment="1" applyProtection="1">
      <alignment horizontal="left"/>
    </xf>
    <xf numFmtId="17" fontId="13" fillId="0" borderId="0" xfId="1" applyNumberFormat="1" applyFont="1" applyAlignment="1">
      <alignment horizontal="center"/>
    </xf>
    <xf numFmtId="9" fontId="8" fillId="0" borderId="0" xfId="3" applyFont="1" applyBorder="1" applyAlignment="1">
      <alignment horizontal="center"/>
    </xf>
    <xf numFmtId="0" fontId="10" fillId="0" borderId="0" xfId="1" applyFont="1" applyAlignment="1">
      <alignment horizontal="center"/>
    </xf>
    <xf numFmtId="164" fontId="11" fillId="0" borderId="0" xfId="1" quotePrefix="1" applyNumberFormat="1" applyFont="1" applyAlignment="1">
      <alignment horizontal="center"/>
    </xf>
    <xf numFmtId="0" fontId="20" fillId="0" borderId="0" xfId="1" applyFont="1" applyAlignment="1">
      <alignment horizontal="left"/>
    </xf>
    <xf numFmtId="0" fontId="12" fillId="0" borderId="0" xfId="0" applyFont="1" applyAlignment="1">
      <alignment horizontal="center" wrapText="1"/>
    </xf>
    <xf numFmtId="0" fontId="42" fillId="0" borderId="0" xfId="1" applyFont="1" applyAlignment="1">
      <alignment horizontal="left"/>
    </xf>
    <xf numFmtId="44" fontId="9" fillId="2" borderId="0" xfId="16" applyFont="1" applyFill="1"/>
    <xf numFmtId="0" fontId="9" fillId="2" borderId="0" xfId="0" applyFont="1" applyFill="1" applyAlignment="1">
      <alignment horizontal="center"/>
    </xf>
    <xf numFmtId="44" fontId="9" fillId="0" borderId="0" xfId="16" applyFont="1"/>
    <xf numFmtId="44" fontId="9" fillId="0" borderId="14" xfId="16" applyFont="1" applyFill="1" applyBorder="1"/>
    <xf numFmtId="0" fontId="9" fillId="2" borderId="14" xfId="0" applyFont="1" applyFill="1" applyBorder="1"/>
    <xf numFmtId="14" fontId="9" fillId="2" borderId="0" xfId="0" applyNumberFormat="1" applyFont="1" applyFill="1" applyAlignment="1">
      <alignment horizontal="center"/>
    </xf>
    <xf numFmtId="0" fontId="9" fillId="2" borderId="0" xfId="0" applyFont="1" applyFill="1" applyAlignment="1">
      <alignment horizontal="left"/>
    </xf>
    <xf numFmtId="0" fontId="9" fillId="0" borderId="14" xfId="0" applyFont="1" applyBorder="1"/>
    <xf numFmtId="44" fontId="9" fillId="0" borderId="19" xfId="0" applyNumberFormat="1" applyFont="1" applyBorder="1"/>
    <xf numFmtId="0" fontId="43" fillId="0" borderId="0" xfId="0" applyFont="1"/>
    <xf numFmtId="0" fontId="43" fillId="0" borderId="0" xfId="0" applyFont="1" applyAlignment="1">
      <alignment horizontal="left"/>
    </xf>
    <xf numFmtId="9" fontId="43" fillId="0" borderId="0" xfId="3" applyFont="1" applyBorder="1" applyAlignment="1">
      <alignment horizontal="left"/>
    </xf>
    <xf numFmtId="0" fontId="27" fillId="0" borderId="0" xfId="1" applyFont="1" applyAlignment="1">
      <alignment horizontal="left"/>
    </xf>
    <xf numFmtId="0" fontId="1" fillId="0" borderId="0" xfId="1"/>
    <xf numFmtId="0" fontId="44" fillId="0" borderId="1" xfId="1" applyFont="1" applyBorder="1" applyAlignment="1" applyProtection="1">
      <alignment horizontal="center" wrapText="1"/>
      <protection locked="0"/>
    </xf>
    <xf numFmtId="170" fontId="44" fillId="0" borderId="1" xfId="1" applyNumberFormat="1" applyFont="1" applyBorder="1" applyAlignment="1" applyProtection="1">
      <alignment horizontal="center" wrapText="1"/>
      <protection locked="0"/>
    </xf>
    <xf numFmtId="168" fontId="1" fillId="4" borderId="1" xfId="2" applyNumberFormat="1" applyFill="1" applyBorder="1" applyProtection="1">
      <protection locked="0"/>
    </xf>
    <xf numFmtId="14" fontId="1" fillId="4" borderId="1" xfId="2" applyNumberFormat="1" applyFill="1" applyBorder="1" applyProtection="1">
      <protection locked="0"/>
    </xf>
    <xf numFmtId="0" fontId="8" fillId="0" borderId="0" xfId="1" applyFont="1" applyAlignment="1">
      <alignment horizontal="center"/>
    </xf>
    <xf numFmtId="169" fontId="11" fillId="0" borderId="0" xfId="5" applyNumberFormat="1" applyFont="1" applyAlignment="1">
      <alignment horizontal="center"/>
    </xf>
    <xf numFmtId="0" fontId="1" fillId="0" borderId="0" xfId="1" applyAlignment="1">
      <alignment horizontal="center" vertical="center" wrapText="1"/>
    </xf>
    <xf numFmtId="0" fontId="1" fillId="0" borderId="0" xfId="1" applyAlignment="1">
      <alignment vertical="center"/>
    </xf>
    <xf numFmtId="14" fontId="23" fillId="2" borderId="0" xfId="0" applyNumberFormat="1" applyFont="1" applyFill="1" applyAlignment="1">
      <alignment horizontal="left" vertical="center"/>
    </xf>
    <xf numFmtId="0" fontId="23" fillId="2" borderId="0" xfId="0" applyFont="1" applyFill="1" applyAlignment="1">
      <alignment horizontal="left" vertical="center"/>
    </xf>
    <xf numFmtId="4" fontId="23" fillId="2" borderId="0" xfId="0" applyNumberFormat="1" applyFont="1" applyFill="1" applyAlignment="1">
      <alignment horizontal="right" vertical="center"/>
    </xf>
    <xf numFmtId="0" fontId="23" fillId="2" borderId="0" xfId="0" applyFont="1" applyFill="1" applyAlignment="1">
      <alignment horizontal="left"/>
    </xf>
    <xf numFmtId="4" fontId="23" fillId="2" borderId="0" xfId="0" applyNumberFormat="1" applyFont="1" applyFill="1" applyAlignment="1">
      <alignment horizontal="left"/>
    </xf>
    <xf numFmtId="0" fontId="9" fillId="2" borderId="0" xfId="0" applyFont="1" applyFill="1" applyAlignment="1">
      <alignment vertical="top"/>
    </xf>
    <xf numFmtId="0" fontId="22" fillId="2" borderId="0" xfId="0" applyFont="1" applyFill="1" applyAlignment="1">
      <alignment horizontal="left" vertical="top"/>
    </xf>
    <xf numFmtId="0" fontId="22" fillId="2" borderId="0" xfId="0" applyFont="1" applyFill="1" applyAlignment="1">
      <alignment horizontal="left"/>
    </xf>
    <xf numFmtId="0" fontId="15" fillId="4" borderId="1" xfId="9" applyFont="1" applyFill="1" applyBorder="1" applyAlignment="1">
      <alignment wrapText="1"/>
    </xf>
    <xf numFmtId="0" fontId="13" fillId="2" borderId="1" xfId="9" applyFont="1" applyFill="1" applyBorder="1"/>
    <xf numFmtId="14" fontId="13" fillId="2" borderId="1" xfId="10" applyNumberFormat="1" applyFont="1" applyFill="1" applyBorder="1"/>
    <xf numFmtId="0" fontId="13" fillId="0" borderId="0" xfId="10" applyFont="1"/>
    <xf numFmtId="0" fontId="13" fillId="2" borderId="1" xfId="0" applyFont="1" applyFill="1" applyBorder="1" applyAlignment="1">
      <alignment horizontal="left" wrapText="1"/>
    </xf>
    <xf numFmtId="0" fontId="13" fillId="2" borderId="1" xfId="0" applyFont="1" applyFill="1" applyBorder="1" applyAlignment="1">
      <alignment horizontal="center" wrapText="1"/>
    </xf>
    <xf numFmtId="14" fontId="13" fillId="0" borderId="0" xfId="8" applyNumberFormat="1" applyFont="1"/>
    <xf numFmtId="0" fontId="13" fillId="2" borderId="1" xfId="8" applyFont="1" applyFill="1" applyBorder="1" applyAlignment="1">
      <alignment horizontal="left" wrapText="1"/>
    </xf>
    <xf numFmtId="0" fontId="13" fillId="2" borderId="1" xfId="8" applyFont="1" applyFill="1" applyBorder="1" applyAlignment="1">
      <alignment horizontal="center" wrapText="1"/>
    </xf>
    <xf numFmtId="0" fontId="13" fillId="2" borderId="1" xfId="8" applyFont="1" applyFill="1" applyBorder="1" applyAlignment="1">
      <alignment horizontal="left"/>
    </xf>
    <xf numFmtId="0" fontId="13" fillId="2" borderId="1" xfId="8" applyFont="1" applyFill="1" applyBorder="1" applyAlignment="1">
      <alignment horizontal="center"/>
    </xf>
    <xf numFmtId="4" fontId="15" fillId="0" borderId="24" xfId="2" applyNumberFormat="1" applyFont="1" applyBorder="1" applyAlignment="1">
      <alignment horizontal="right"/>
    </xf>
    <xf numFmtId="0" fontId="46" fillId="9" borderId="0" xfId="0" applyFont="1" applyFill="1"/>
    <xf numFmtId="0" fontId="46" fillId="9" borderId="0" xfId="0" applyFont="1" applyFill="1" applyAlignment="1">
      <alignment horizontal="center"/>
    </xf>
    <xf numFmtId="0" fontId="35" fillId="0" borderId="0" xfId="0" applyFont="1" applyAlignment="1">
      <alignment horizontal="center"/>
    </xf>
    <xf numFmtId="171" fontId="9" fillId="0" borderId="0" xfId="0" applyNumberFormat="1" applyFont="1" applyAlignment="1">
      <alignment horizontal="center"/>
    </xf>
    <xf numFmtId="171" fontId="35" fillId="0" borderId="0" xfId="0" applyNumberFormat="1" applyFont="1" applyAlignment="1">
      <alignment horizontal="center"/>
    </xf>
    <xf numFmtId="0" fontId="1" fillId="0" borderId="0" xfId="1" applyAlignment="1">
      <alignment vertical="center" wrapText="1"/>
    </xf>
    <xf numFmtId="0" fontId="9" fillId="6" borderId="18" xfId="0" applyFont="1" applyFill="1" applyBorder="1"/>
    <xf numFmtId="0" fontId="9" fillId="6" borderId="13" xfId="0" applyFont="1" applyFill="1" applyBorder="1"/>
    <xf numFmtId="0" fontId="9" fillId="6" borderId="22" xfId="0" applyFont="1" applyFill="1" applyBorder="1"/>
    <xf numFmtId="0" fontId="9" fillId="6" borderId="19" xfId="0" applyFont="1" applyFill="1" applyBorder="1" applyAlignment="1">
      <alignment vertical="center"/>
    </xf>
    <xf numFmtId="0" fontId="9" fillId="6" borderId="20" xfId="0" applyFont="1" applyFill="1" applyBorder="1" applyAlignment="1">
      <alignment vertical="center"/>
    </xf>
    <xf numFmtId="0" fontId="48" fillId="0" borderId="0" xfId="0" applyFont="1"/>
    <xf numFmtId="0" fontId="9" fillId="6" borderId="1" xfId="0" applyFont="1" applyFill="1" applyBorder="1" applyAlignment="1">
      <alignment horizontal="center"/>
    </xf>
    <xf numFmtId="171" fontId="1" fillId="4" borderId="1" xfId="2" applyNumberFormat="1" applyFill="1" applyBorder="1" applyAlignment="1" applyProtection="1">
      <alignment horizontal="center"/>
      <protection locked="0"/>
    </xf>
    <xf numFmtId="14" fontId="1" fillId="4" borderId="1" xfId="2" applyNumberFormat="1" applyFill="1" applyBorder="1" applyAlignment="1" applyProtection="1">
      <alignment horizontal="center"/>
      <protection locked="0"/>
    </xf>
    <xf numFmtId="0" fontId="21" fillId="0" borderId="0" xfId="10" applyFont="1" applyAlignment="1">
      <alignment horizontal="left"/>
    </xf>
    <xf numFmtId="0" fontId="21" fillId="0" borderId="0" xfId="10" applyFont="1"/>
    <xf numFmtId="14" fontId="0" fillId="0" borderId="0" xfId="0" applyNumberFormat="1"/>
    <xf numFmtId="0" fontId="12" fillId="0" borderId="0" xfId="0" applyFont="1" applyAlignment="1">
      <alignment horizontal="center" vertical="center"/>
    </xf>
    <xf numFmtId="0" fontId="52" fillId="0" borderId="0" xfId="0" applyFont="1" applyProtection="1">
      <protection hidden="1"/>
    </xf>
    <xf numFmtId="0" fontId="51" fillId="0" borderId="0" xfId="0" applyFont="1"/>
    <xf numFmtId="0" fontId="10" fillId="0" borderId="0" xfId="0" quotePrefix="1" applyFont="1" applyAlignment="1">
      <alignment horizontal="right"/>
    </xf>
    <xf numFmtId="0" fontId="0" fillId="4" borderId="0" xfId="0" applyFill="1"/>
    <xf numFmtId="0" fontId="0" fillId="4" borderId="0" xfId="0" applyFill="1" applyAlignment="1">
      <alignment wrapText="1"/>
    </xf>
    <xf numFmtId="0" fontId="12" fillId="0" borderId="0" xfId="0" applyFont="1" applyAlignment="1">
      <alignment horizontal="center" vertical="center" wrapText="1"/>
    </xf>
    <xf numFmtId="14" fontId="35" fillId="0" borderId="0" xfId="0" applyNumberFormat="1" applyFont="1" applyAlignment="1">
      <alignment horizontal="center"/>
    </xf>
    <xf numFmtId="0" fontId="35" fillId="0" borderId="0" xfId="0" applyFont="1"/>
    <xf numFmtId="44" fontId="25" fillId="0" borderId="44" xfId="0" applyNumberFormat="1" applyFont="1" applyBorder="1" applyAlignment="1">
      <alignment horizontal="center" vertical="center"/>
    </xf>
    <xf numFmtId="0" fontId="25" fillId="0" borderId="45" xfId="0" applyFont="1" applyBorder="1" applyAlignment="1">
      <alignment horizontal="center" vertical="center"/>
    </xf>
    <xf numFmtId="0" fontId="25" fillId="2" borderId="46" xfId="0" applyFont="1" applyFill="1" applyBorder="1" applyAlignment="1">
      <alignment horizontal="center" vertical="center"/>
    </xf>
    <xf numFmtId="0" fontId="25" fillId="2" borderId="46" xfId="0" applyFont="1" applyFill="1" applyBorder="1" applyAlignment="1">
      <alignment horizontal="center"/>
    </xf>
    <xf numFmtId="0" fontId="25" fillId="2" borderId="46" xfId="0" applyFont="1" applyFill="1" applyBorder="1" applyAlignment="1">
      <alignment horizontal="left" vertical="center"/>
    </xf>
    <xf numFmtId="44" fontId="25" fillId="2" borderId="46" xfId="0" applyNumberFormat="1" applyFont="1" applyFill="1" applyBorder="1" applyAlignment="1">
      <alignment horizontal="center" vertical="center"/>
    </xf>
    <xf numFmtId="44" fontId="25" fillId="0" borderId="47" xfId="16" applyFont="1" applyFill="1" applyBorder="1" applyAlignment="1">
      <alignment horizontal="center" vertical="center"/>
    </xf>
    <xf numFmtId="0" fontId="57" fillId="4" borderId="14" xfId="0" applyFont="1" applyFill="1" applyBorder="1" applyAlignment="1">
      <alignment horizontal="center" vertical="center" wrapText="1"/>
    </xf>
    <xf numFmtId="0" fontId="10" fillId="4" borderId="48" xfId="0" quotePrefix="1" applyFont="1" applyFill="1" applyBorder="1" applyAlignment="1">
      <alignment horizontal="center" vertical="center"/>
    </xf>
    <xf numFmtId="17" fontId="55" fillId="4" borderId="49" xfId="0" applyNumberFormat="1" applyFont="1" applyFill="1" applyBorder="1" applyAlignment="1">
      <alignment horizontal="center" vertical="center"/>
    </xf>
    <xf numFmtId="0" fontId="10" fillId="4" borderId="49" xfId="0" quotePrefix="1" applyFont="1" applyFill="1" applyBorder="1" applyAlignment="1">
      <alignment horizontal="center" vertical="center"/>
    </xf>
    <xf numFmtId="0" fontId="10" fillId="4" borderId="49" xfId="0" quotePrefix="1" applyFont="1" applyFill="1" applyBorder="1" applyAlignment="1">
      <alignment horizontal="left" vertical="center"/>
    </xf>
    <xf numFmtId="0" fontId="10" fillId="4" borderId="49" xfId="0" quotePrefix="1" applyFont="1" applyFill="1" applyBorder="1" applyAlignment="1">
      <alignment vertical="center"/>
    </xf>
    <xf numFmtId="0" fontId="54" fillId="4" borderId="49" xfId="0" applyFont="1" applyFill="1" applyBorder="1" applyAlignment="1">
      <alignment vertical="center"/>
    </xf>
    <xf numFmtId="0" fontId="57" fillId="4" borderId="50" xfId="0" applyFont="1" applyFill="1" applyBorder="1" applyAlignment="1">
      <alignment horizontal="center" vertical="center" wrapText="1"/>
    </xf>
    <xf numFmtId="0" fontId="57" fillId="4" borderId="51" xfId="0" applyFont="1" applyFill="1" applyBorder="1" applyAlignment="1">
      <alignment horizontal="center" vertical="center" wrapText="1"/>
    </xf>
    <xf numFmtId="0" fontId="53" fillId="4" borderId="0" xfId="0" applyFont="1" applyFill="1" applyAlignment="1">
      <alignment horizontal="right"/>
    </xf>
    <xf numFmtId="44" fontId="54" fillId="4" borderId="24" xfId="0" applyNumberFormat="1" applyFont="1" applyFill="1" applyBorder="1"/>
    <xf numFmtId="0" fontId="54" fillId="4" borderId="0" xfId="0" applyFont="1" applyFill="1" applyAlignment="1">
      <alignment horizontal="right"/>
    </xf>
    <xf numFmtId="0" fontId="56" fillId="4" borderId="0" xfId="0" applyFont="1" applyFill="1" applyAlignment="1">
      <alignment vertical="center"/>
    </xf>
    <xf numFmtId="17" fontId="54" fillId="4" borderId="0" xfId="0" applyNumberFormat="1" applyFont="1" applyFill="1"/>
    <xf numFmtId="0" fontId="54" fillId="4" borderId="0" xfId="0" applyFont="1" applyFill="1" applyAlignment="1">
      <alignment horizontal="center"/>
    </xf>
    <xf numFmtId="44" fontId="0" fillId="2" borderId="43" xfId="0" applyNumberFormat="1" applyFill="1" applyBorder="1"/>
    <xf numFmtId="0" fontId="0" fillId="0" borderId="0" xfId="0" quotePrefix="1"/>
    <xf numFmtId="43" fontId="9" fillId="11" borderId="4" xfId="6" applyNumberFormat="1" applyFont="1" applyFill="1" applyBorder="1"/>
    <xf numFmtId="0" fontId="9" fillId="11" borderId="5" xfId="6" applyFont="1" applyFill="1" applyBorder="1"/>
    <xf numFmtId="0" fontId="9" fillId="11" borderId="0" xfId="6" applyFont="1" applyFill="1"/>
    <xf numFmtId="43" fontId="9" fillId="11" borderId="6" xfId="6" applyNumberFormat="1" applyFont="1" applyFill="1" applyBorder="1"/>
    <xf numFmtId="0" fontId="9" fillId="11" borderId="6" xfId="6" applyFont="1" applyFill="1" applyBorder="1"/>
    <xf numFmtId="0" fontId="12" fillId="11" borderId="0" xfId="6" applyFont="1" applyFill="1"/>
    <xf numFmtId="43" fontId="13" fillId="2" borderId="6" xfId="4" applyFont="1" applyFill="1" applyBorder="1"/>
    <xf numFmtId="0" fontId="9" fillId="11" borderId="7" xfId="6" applyFont="1" applyFill="1" applyBorder="1"/>
    <xf numFmtId="0" fontId="9" fillId="11" borderId="8" xfId="6" applyFont="1" applyFill="1" applyBorder="1"/>
    <xf numFmtId="0" fontId="9" fillId="11" borderId="9" xfId="6" applyFont="1" applyFill="1" applyBorder="1"/>
    <xf numFmtId="0" fontId="12" fillId="11" borderId="2" xfId="6" applyFont="1" applyFill="1" applyBorder="1"/>
    <xf numFmtId="43" fontId="13" fillId="12" borderId="18" xfId="7" applyFont="1" applyFill="1" applyBorder="1"/>
    <xf numFmtId="43" fontId="13" fillId="12" borderId="19" xfId="7" applyFont="1" applyFill="1" applyBorder="1"/>
    <xf numFmtId="43" fontId="13" fillId="12" borderId="20" xfId="7" applyFont="1" applyFill="1" applyBorder="1"/>
    <xf numFmtId="0" fontId="15" fillId="0" borderId="15" xfId="1" applyFont="1" applyBorder="1"/>
    <xf numFmtId="43" fontId="9" fillId="0" borderId="0" xfId="4" applyFont="1" applyBorder="1"/>
    <xf numFmtId="43" fontId="15" fillId="0" borderId="0" xfId="4" applyFont="1" applyBorder="1"/>
    <xf numFmtId="43" fontId="13" fillId="2" borderId="19" xfId="4" applyFont="1" applyFill="1" applyBorder="1"/>
    <xf numFmtId="43" fontId="13" fillId="12" borderId="0" xfId="4" applyFont="1" applyFill="1" applyBorder="1"/>
    <xf numFmtId="43" fontId="13" fillId="0" borderId="16" xfId="4" applyFont="1" applyBorder="1"/>
    <xf numFmtId="43" fontId="25" fillId="0" borderId="0" xfId="4" applyFont="1"/>
    <xf numFmtId="43" fontId="9" fillId="11" borderId="3" xfId="4" applyFont="1" applyFill="1" applyBorder="1"/>
    <xf numFmtId="43" fontId="9" fillId="11" borderId="0" xfId="4" applyFont="1" applyFill="1"/>
    <xf numFmtId="43" fontId="9" fillId="11" borderId="8" xfId="4" applyFont="1" applyFill="1" applyBorder="1"/>
    <xf numFmtId="43" fontId="9" fillId="0" borderId="0" xfId="4" applyFont="1"/>
    <xf numFmtId="2" fontId="0" fillId="0" borderId="0" xfId="4" applyNumberFormat="1" applyFont="1"/>
    <xf numFmtId="2" fontId="0" fillId="0" borderId="0" xfId="4" applyNumberFormat="1" applyFont="1" applyFill="1"/>
    <xf numFmtId="44" fontId="10" fillId="0" borderId="0" xfId="2" applyFont="1" applyBorder="1" applyAlignment="1"/>
    <xf numFmtId="17" fontId="16" fillId="0" borderId="14" xfId="0" applyNumberFormat="1" applyFont="1" applyBorder="1" applyAlignment="1">
      <alignment horizontal="center" wrapText="1"/>
    </xf>
    <xf numFmtId="167" fontId="16" fillId="0" borderId="14" xfId="4" applyNumberFormat="1" applyFont="1" applyBorder="1" applyAlignment="1">
      <alignment horizontal="center" wrapText="1"/>
    </xf>
    <xf numFmtId="0" fontId="16" fillId="2" borderId="0" xfId="0" applyFont="1" applyFill="1" applyAlignment="1">
      <alignment horizontal="center"/>
    </xf>
    <xf numFmtId="44" fontId="16" fillId="13" borderId="0" xfId="2" applyFont="1" applyFill="1" applyBorder="1" applyAlignment="1">
      <alignment horizontal="left"/>
    </xf>
    <xf numFmtId="0" fontId="16" fillId="13" borderId="0" xfId="0" applyFont="1" applyFill="1" applyAlignment="1">
      <alignment horizontal="center"/>
    </xf>
    <xf numFmtId="43" fontId="16" fillId="2" borderId="0" xfId="2" applyNumberFormat="1" applyFont="1" applyFill="1" applyBorder="1" applyAlignment="1"/>
    <xf numFmtId="167" fontId="16" fillId="13" borderId="0" xfId="4" applyNumberFormat="1" applyFont="1" applyFill="1" applyBorder="1" applyAlignment="1">
      <alignment horizontal="center"/>
    </xf>
    <xf numFmtId="43" fontId="16" fillId="0" borderId="14" xfId="2" applyNumberFormat="1" applyFont="1" applyBorder="1" applyAlignment="1"/>
    <xf numFmtId="167" fontId="16" fillId="0" borderId="0" xfId="4" applyNumberFormat="1" applyFont="1" applyFill="1" applyBorder="1" applyAlignment="1">
      <alignment horizontal="center"/>
    </xf>
    <xf numFmtId="168" fontId="16" fillId="0" borderId="0" xfId="2" applyNumberFormat="1" applyFont="1" applyBorder="1" applyAlignment="1">
      <alignment horizontal="center"/>
    </xf>
    <xf numFmtId="43" fontId="9" fillId="11" borderId="0" xfId="4" applyFont="1" applyFill="1" applyBorder="1"/>
    <xf numFmtId="169" fontId="21" fillId="0" borderId="0" xfId="5" applyNumberFormat="1" applyFont="1" applyAlignment="1">
      <alignment horizontal="left"/>
    </xf>
    <xf numFmtId="43" fontId="15" fillId="0" borderId="16" xfId="4" applyFont="1" applyBorder="1" applyAlignment="1">
      <alignment horizontal="centerContinuous"/>
    </xf>
    <xf numFmtId="43" fontId="12" fillId="11" borderId="3" xfId="4" applyFont="1" applyFill="1" applyBorder="1"/>
    <xf numFmtId="0" fontId="12" fillId="11" borderId="5" xfId="6" applyFont="1" applyFill="1" applyBorder="1"/>
    <xf numFmtId="43" fontId="9" fillId="11" borderId="8" xfId="6" applyNumberFormat="1" applyFont="1" applyFill="1" applyBorder="1"/>
    <xf numFmtId="43" fontId="9" fillId="11" borderId="9" xfId="6" applyNumberFormat="1" applyFont="1" applyFill="1" applyBorder="1"/>
    <xf numFmtId="43" fontId="9" fillId="11" borderId="0" xfId="6" applyNumberFormat="1" applyFont="1" applyFill="1"/>
    <xf numFmtId="43" fontId="12" fillId="11" borderId="4" xfId="6" applyNumberFormat="1" applyFont="1" applyFill="1" applyBorder="1"/>
    <xf numFmtId="0" fontId="9" fillId="11" borderId="0" xfId="6" quotePrefix="1" applyFont="1" applyFill="1"/>
    <xf numFmtId="43" fontId="12" fillId="11" borderId="52" xfId="6" applyNumberFormat="1" applyFont="1" applyFill="1" applyBorder="1"/>
    <xf numFmtId="0" fontId="1" fillId="0" borderId="0" xfId="1" applyAlignment="1">
      <alignment horizontal="center" vertical="center"/>
    </xf>
    <xf numFmtId="0" fontId="59" fillId="0" borderId="0" xfId="19" applyFont="1" applyAlignment="1" applyProtection="1">
      <alignment horizontal="center" vertical="top" readingOrder="1"/>
      <protection locked="0"/>
    </xf>
    <xf numFmtId="0" fontId="59" fillId="0" borderId="0" xfId="19" applyFont="1" applyAlignment="1" applyProtection="1">
      <alignment horizontal="left" vertical="top" readingOrder="1"/>
      <protection locked="0"/>
    </xf>
    <xf numFmtId="0" fontId="0" fillId="0" borderId="0" xfId="0" applyAlignment="1">
      <alignment horizontal="left"/>
    </xf>
    <xf numFmtId="0" fontId="13" fillId="2" borderId="1" xfId="10" applyFont="1" applyFill="1" applyBorder="1" applyAlignment="1">
      <alignment horizontal="center"/>
    </xf>
    <xf numFmtId="14" fontId="13" fillId="2" borderId="1" xfId="10" applyNumberFormat="1" applyFont="1" applyFill="1" applyBorder="1" applyAlignment="1">
      <alignment horizontal="center"/>
    </xf>
    <xf numFmtId="2" fontId="13" fillId="0" borderId="0" xfId="8" applyNumberFormat="1" applyFont="1"/>
    <xf numFmtId="0" fontId="13" fillId="2" borderId="1" xfId="10" applyFont="1" applyFill="1" applyBorder="1"/>
    <xf numFmtId="0" fontId="44" fillId="14" borderId="1" xfId="0" applyFont="1" applyFill="1" applyBorder="1" applyAlignment="1">
      <alignment horizontal="center"/>
    </xf>
    <xf numFmtId="14" fontId="44" fillId="14" borderId="1" xfId="0" applyNumberFormat="1" applyFont="1" applyFill="1" applyBorder="1" applyAlignment="1">
      <alignment horizontal="center"/>
    </xf>
    <xf numFmtId="0" fontId="44" fillId="6" borderId="1" xfId="0" applyFont="1" applyFill="1" applyBorder="1" applyAlignment="1">
      <alignment horizontal="center"/>
    </xf>
    <xf numFmtId="0" fontId="44" fillId="6" borderId="16" xfId="0" applyFont="1" applyFill="1" applyBorder="1" applyAlignment="1">
      <alignment horizontal="center"/>
    </xf>
    <xf numFmtId="2" fontId="44" fillId="14" borderId="1" xfId="0" applyNumberFormat="1" applyFont="1" applyFill="1" applyBorder="1" applyAlignment="1">
      <alignment horizontal="center"/>
    </xf>
    <xf numFmtId="0" fontId="44" fillId="0" borderId="1" xfId="0" applyFont="1" applyBorder="1" applyAlignment="1">
      <alignment horizontal="center"/>
    </xf>
    <xf numFmtId="0" fontId="15" fillId="4" borderId="1" xfId="11" applyNumberFormat="1" applyFont="1" applyFill="1" applyBorder="1" applyAlignment="1">
      <alignment horizontal="center" vertical="center" wrapText="1"/>
    </xf>
    <xf numFmtId="14" fontId="15" fillId="4" borderId="1" xfId="11" applyNumberFormat="1" applyFont="1" applyFill="1" applyBorder="1" applyAlignment="1">
      <alignment horizontal="center" vertical="center" wrapText="1"/>
    </xf>
    <xf numFmtId="0" fontId="15" fillId="0" borderId="0" xfId="8" applyFont="1" applyAlignment="1">
      <alignment horizontal="center" vertical="center" wrapText="1"/>
    </xf>
    <xf numFmtId="2" fontId="15" fillId="4" borderId="1" xfId="11" applyNumberFormat="1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left"/>
    </xf>
    <xf numFmtId="14" fontId="13" fillId="0" borderId="1" xfId="0" applyNumberFormat="1" applyFont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center"/>
    </xf>
    <xf numFmtId="0" fontId="13" fillId="0" borderId="1" xfId="0" applyFont="1" applyBorder="1" applyAlignment="1">
      <alignment horizontal="left" wrapText="1"/>
    </xf>
    <xf numFmtId="0" fontId="13" fillId="0" borderId="1" xfId="8" applyFont="1" applyBorder="1" applyAlignment="1">
      <alignment horizontal="left" wrapText="1"/>
    </xf>
    <xf numFmtId="14" fontId="15" fillId="0" borderId="0" xfId="8" applyNumberFormat="1" applyFont="1"/>
    <xf numFmtId="0" fontId="21" fillId="0" borderId="0" xfId="8" applyFont="1"/>
    <xf numFmtId="1" fontId="9" fillId="2" borderId="0" xfId="0" applyNumberFormat="1" applyFont="1" applyFill="1" applyAlignment="1">
      <alignment horizontal="center"/>
    </xf>
    <xf numFmtId="0" fontId="13" fillId="4" borderId="0" xfId="1" applyFont="1" applyFill="1" applyAlignment="1" applyProtection="1">
      <alignment horizontal="left"/>
      <protection locked="0"/>
    </xf>
    <xf numFmtId="9" fontId="8" fillId="0" borderId="0" xfId="3" applyFont="1" applyBorder="1" applyAlignment="1"/>
    <xf numFmtId="0" fontId="10" fillId="0" borderId="0" xfId="1" applyFont="1"/>
    <xf numFmtId="164" fontId="11" fillId="0" borderId="0" xfId="1" quotePrefix="1" applyNumberFormat="1" applyFont="1"/>
    <xf numFmtId="0" fontId="10" fillId="0" borderId="0" xfId="0" quotePrefix="1" applyFont="1" applyAlignment="1">
      <alignment horizontal="center" vertical="center"/>
    </xf>
    <xf numFmtId="43" fontId="16" fillId="2" borderId="54" xfId="2" applyNumberFormat="1" applyFont="1" applyFill="1" applyBorder="1" applyAlignment="1">
      <alignment horizontal="center"/>
    </xf>
    <xf numFmtId="0" fontId="15" fillId="4" borderId="28" xfId="9" applyFont="1" applyFill="1" applyBorder="1" applyAlignment="1">
      <alignment wrapText="1"/>
    </xf>
    <xf numFmtId="0" fontId="15" fillId="4" borderId="28" xfId="9" applyFont="1" applyFill="1" applyBorder="1" applyAlignment="1">
      <alignment horizontal="center" wrapText="1"/>
    </xf>
    <xf numFmtId="0" fontId="15" fillId="4" borderId="28" xfId="9" applyFont="1" applyFill="1" applyBorder="1" applyAlignment="1">
      <alignment horizontal="center"/>
    </xf>
    <xf numFmtId="172" fontId="13" fillId="2" borderId="0" xfId="1" quotePrefix="1" applyNumberFormat="1" applyFont="1" applyFill="1" applyAlignment="1" applyProtection="1">
      <alignment horizontal="left"/>
      <protection locked="0"/>
    </xf>
    <xf numFmtId="0" fontId="13" fillId="2" borderId="0" xfId="1" applyFont="1" applyFill="1" applyAlignment="1" applyProtection="1">
      <alignment horizontal="left"/>
      <protection locked="0"/>
    </xf>
    <xf numFmtId="165" fontId="13" fillId="2" borderId="0" xfId="1" applyNumberFormat="1" applyFont="1" applyFill="1" applyAlignment="1" applyProtection="1">
      <alignment horizontal="left"/>
      <protection locked="0"/>
    </xf>
    <xf numFmtId="164" fontId="13" fillId="2" borderId="0" xfId="1" applyNumberFormat="1" applyFont="1" applyFill="1" applyAlignment="1" applyProtection="1">
      <alignment horizontal="left"/>
      <protection locked="0"/>
    </xf>
    <xf numFmtId="166" fontId="13" fillId="2" borderId="0" xfId="1" applyNumberFormat="1" applyFont="1" applyFill="1" applyAlignment="1" applyProtection="1">
      <alignment horizontal="left"/>
      <protection locked="0"/>
    </xf>
    <xf numFmtId="0" fontId="13" fillId="4" borderId="0" xfId="1" applyFont="1" applyFill="1" applyAlignment="1" applyProtection="1">
      <alignment horizontal="left" vertical="top"/>
      <protection locked="0"/>
    </xf>
    <xf numFmtId="1" fontId="0" fillId="0" borderId="0" xfId="0" applyNumberFormat="1"/>
    <xf numFmtId="0" fontId="24" fillId="0" borderId="0" xfId="8" applyFont="1" applyAlignment="1">
      <alignment horizontal="center"/>
    </xf>
    <xf numFmtId="14" fontId="24" fillId="0" borderId="0" xfId="8" applyNumberFormat="1" applyFont="1" applyAlignment="1">
      <alignment horizontal="center"/>
    </xf>
    <xf numFmtId="0" fontId="15" fillId="0" borderId="0" xfId="9" applyFont="1"/>
    <xf numFmtId="14" fontId="15" fillId="0" borderId="0" xfId="9" applyNumberFormat="1" applyFont="1"/>
    <xf numFmtId="2" fontId="13" fillId="0" borderId="0" xfId="10" applyNumberFormat="1" applyFont="1"/>
    <xf numFmtId="1" fontId="13" fillId="0" borderId="1" xfId="9" applyNumberFormat="1" applyFont="1" applyBorder="1"/>
    <xf numFmtId="0" fontId="50" fillId="10" borderId="55" xfId="18" applyNumberFormat="1" applyFont="1" applyBorder="1" applyAlignment="1" applyProtection="1">
      <alignment horizontal="left"/>
      <protection hidden="1"/>
    </xf>
    <xf numFmtId="1" fontId="52" fillId="2" borderId="1" xfId="0" applyNumberFormat="1" applyFont="1" applyFill="1" applyBorder="1" applyAlignment="1">
      <alignment horizontal="center"/>
    </xf>
    <xf numFmtId="0" fontId="51" fillId="6" borderId="30" xfId="0" applyFont="1" applyFill="1" applyBorder="1" applyAlignment="1" applyProtection="1">
      <alignment horizontal="center" vertical="center" wrapText="1"/>
      <protection hidden="1"/>
    </xf>
    <xf numFmtId="0" fontId="51" fillId="6" borderId="28" xfId="0" applyFont="1" applyFill="1" applyBorder="1" applyAlignment="1" applyProtection="1">
      <alignment horizontal="center" vertical="center" wrapText="1"/>
      <protection hidden="1"/>
    </xf>
    <xf numFmtId="169" fontId="0" fillId="0" borderId="0" xfId="0" applyNumberFormat="1"/>
    <xf numFmtId="43" fontId="25" fillId="2" borderId="46" xfId="4" applyFont="1" applyFill="1" applyBorder="1" applyAlignment="1">
      <alignment horizontal="center"/>
    </xf>
    <xf numFmtId="0" fontId="25" fillId="2" borderId="46" xfId="0" applyFont="1" applyFill="1" applyBorder="1" applyAlignment="1">
      <alignment horizontal="center" wrapText="1"/>
    </xf>
    <xf numFmtId="14" fontId="25" fillId="2" borderId="46" xfId="0" applyNumberFormat="1" applyFont="1" applyFill="1" applyBorder="1" applyAlignment="1">
      <alignment horizontal="center"/>
    </xf>
    <xf numFmtId="0" fontId="0" fillId="0" borderId="0" xfId="0" applyAlignment="1">
      <alignment wrapText="1"/>
    </xf>
    <xf numFmtId="0" fontId="44" fillId="0" borderId="0" xfId="0" applyFont="1"/>
    <xf numFmtId="0" fontId="52" fillId="2" borderId="1" xfId="0" applyFont="1" applyFill="1" applyBorder="1" applyAlignment="1">
      <alignment horizontal="center"/>
    </xf>
    <xf numFmtId="0" fontId="64" fillId="15" borderId="5" xfId="0" applyFont="1" applyFill="1" applyBorder="1" applyAlignment="1">
      <alignment horizontal="center"/>
    </xf>
    <xf numFmtId="0" fontId="64" fillId="15" borderId="6" xfId="0" applyFont="1" applyFill="1" applyBorder="1" applyAlignment="1">
      <alignment horizontal="center"/>
    </xf>
    <xf numFmtId="0" fontId="64" fillId="16" borderId="5" xfId="0" applyFont="1" applyFill="1" applyBorder="1" applyAlignment="1">
      <alignment horizontal="center"/>
    </xf>
    <xf numFmtId="0" fontId="64" fillId="16" borderId="6" xfId="0" applyFont="1" applyFill="1" applyBorder="1" applyAlignment="1">
      <alignment horizontal="center"/>
    </xf>
    <xf numFmtId="0" fontId="51" fillId="0" borderId="56" xfId="0" applyFont="1" applyBorder="1" applyAlignment="1">
      <alignment horizontal="center"/>
    </xf>
    <xf numFmtId="0" fontId="51" fillId="0" borderId="57" xfId="0" applyFont="1" applyBorder="1"/>
    <xf numFmtId="173" fontId="0" fillId="0" borderId="0" xfId="0" applyNumberFormat="1"/>
    <xf numFmtId="2" fontId="0" fillId="0" borderId="0" xfId="0" applyNumberFormat="1"/>
    <xf numFmtId="0" fontId="25" fillId="2" borderId="58" xfId="0" applyFont="1" applyFill="1" applyBorder="1" applyAlignment="1">
      <alignment horizontal="center"/>
    </xf>
    <xf numFmtId="0" fontId="25" fillId="2" borderId="59" xfId="0" applyFont="1" applyFill="1" applyBorder="1" applyAlignment="1">
      <alignment horizontal="center"/>
    </xf>
    <xf numFmtId="0" fontId="25" fillId="2" borderId="60" xfId="0" applyFont="1" applyFill="1" applyBorder="1" applyAlignment="1">
      <alignment horizontal="center"/>
    </xf>
    <xf numFmtId="0" fontId="25" fillId="2" borderId="60" xfId="0" applyFont="1" applyFill="1" applyBorder="1" applyAlignment="1">
      <alignment horizontal="center" wrapText="1"/>
    </xf>
    <xf numFmtId="43" fontId="25" fillId="2" borderId="60" xfId="4" applyFont="1" applyFill="1" applyBorder="1" applyAlignment="1">
      <alignment horizontal="center"/>
    </xf>
    <xf numFmtId="0" fontId="11" fillId="0" borderId="15" xfId="1" applyFont="1" applyBorder="1" applyAlignment="1">
      <alignment horizontal="center" wrapText="1"/>
    </xf>
    <xf numFmtId="0" fontId="11" fillId="0" borderId="17" xfId="1" applyFont="1" applyBorder="1" applyAlignment="1">
      <alignment horizontal="center" wrapText="1"/>
    </xf>
    <xf numFmtId="0" fontId="11" fillId="0" borderId="16" xfId="1" applyFont="1" applyBorder="1" applyAlignment="1">
      <alignment horizontal="center" wrapText="1"/>
    </xf>
    <xf numFmtId="0" fontId="10" fillId="17" borderId="61" xfId="2" applyNumberFormat="1" applyFont="1" applyFill="1" applyBorder="1" applyAlignment="1">
      <alignment horizontal="center"/>
    </xf>
    <xf numFmtId="0" fontId="58" fillId="0" borderId="0" xfId="0" applyFont="1" applyAlignment="1">
      <alignment horizontal="center"/>
    </xf>
    <xf numFmtId="17" fontId="60" fillId="0" borderId="0" xfId="0" applyNumberFormat="1" applyFont="1" applyAlignment="1">
      <alignment horizontal="center"/>
    </xf>
    <xf numFmtId="169" fontId="12" fillId="0" borderId="0" xfId="0" applyNumberFormat="1" applyFont="1" applyAlignment="1">
      <alignment horizontal="center"/>
    </xf>
    <xf numFmtId="0" fontId="11" fillId="2" borderId="0" xfId="1" applyFont="1" applyFill="1"/>
    <xf numFmtId="0" fontId="25" fillId="0" borderId="46" xfId="0" applyFont="1" applyBorder="1" applyAlignment="1">
      <alignment horizontal="center"/>
    </xf>
    <xf numFmtId="0" fontId="25" fillId="0" borderId="60" xfId="0" applyFont="1" applyBorder="1" applyAlignment="1">
      <alignment horizontal="center"/>
    </xf>
    <xf numFmtId="169" fontId="61" fillId="0" borderId="0" xfId="0" applyNumberFormat="1" applyFont="1" applyAlignment="1">
      <alignment horizontal="center"/>
    </xf>
    <xf numFmtId="0" fontId="0" fillId="0" borderId="62" xfId="0" applyBorder="1"/>
    <xf numFmtId="44" fontId="9" fillId="2" borderId="0" xfId="16" applyFont="1" applyFill="1" applyBorder="1"/>
    <xf numFmtId="44" fontId="9" fillId="0" borderId="0" xfId="16" applyFont="1" applyBorder="1"/>
    <xf numFmtId="0" fontId="41" fillId="0" borderId="0" xfId="1" applyFont="1" applyAlignment="1">
      <alignment horizontal="left"/>
    </xf>
    <xf numFmtId="44" fontId="9" fillId="0" borderId="0" xfId="16" applyFont="1" applyFill="1" applyBorder="1"/>
    <xf numFmtId="0" fontId="44" fillId="0" borderId="1" xfId="1" applyFont="1" applyBorder="1" applyAlignment="1" applyProtection="1">
      <alignment horizontal="center"/>
      <protection locked="0"/>
    </xf>
    <xf numFmtId="170" fontId="44" fillId="0" borderId="1" xfId="1" applyNumberFormat="1" applyFont="1" applyBorder="1" applyAlignment="1" applyProtection="1">
      <alignment horizontal="center"/>
      <protection locked="0"/>
    </xf>
    <xf numFmtId="14" fontId="1" fillId="0" borderId="1" xfId="2" applyNumberFormat="1" applyFill="1" applyBorder="1" applyProtection="1">
      <protection locked="0"/>
    </xf>
    <xf numFmtId="0" fontId="44" fillId="0" borderId="0" xfId="1" applyFont="1" applyAlignment="1" applyProtection="1">
      <alignment horizontal="center"/>
      <protection locked="0"/>
    </xf>
    <xf numFmtId="14" fontId="1" fillId="0" borderId="0" xfId="2" applyNumberFormat="1" applyFill="1" applyBorder="1" applyProtection="1">
      <protection locked="0"/>
    </xf>
    <xf numFmtId="14" fontId="1" fillId="0" borderId="0" xfId="2" applyNumberFormat="1" applyFill="1" applyBorder="1" applyAlignment="1" applyProtection="1">
      <alignment horizontal="center"/>
      <protection locked="0"/>
    </xf>
    <xf numFmtId="0" fontId="26" fillId="0" borderId="0" xfId="1" applyFont="1" applyAlignment="1">
      <alignment horizontal="center"/>
    </xf>
    <xf numFmtId="164" fontId="26" fillId="0" borderId="0" xfId="1" quotePrefix="1" applyNumberFormat="1" applyFont="1" applyAlignment="1">
      <alignment horizontal="center"/>
    </xf>
    <xf numFmtId="0" fontId="66" fillId="0" borderId="0" xfId="0" applyFont="1"/>
    <xf numFmtId="169" fontId="66" fillId="0" borderId="0" xfId="0" applyNumberFormat="1" applyFont="1"/>
    <xf numFmtId="0" fontId="67" fillId="0" borderId="0" xfId="1" applyFont="1"/>
    <xf numFmtId="9" fontId="26" fillId="0" borderId="0" xfId="3" applyFont="1" applyBorder="1" applyAlignment="1"/>
    <xf numFmtId="9" fontId="26" fillId="0" borderId="0" xfId="3" applyFont="1" applyBorder="1" applyAlignment="1">
      <alignment horizontal="center"/>
    </xf>
    <xf numFmtId="0" fontId="26" fillId="0" borderId="0" xfId="1" applyFont="1"/>
    <xf numFmtId="164" fontId="26" fillId="0" borderId="0" xfId="1" quotePrefix="1" applyNumberFormat="1" applyFont="1"/>
    <xf numFmtId="0" fontId="66" fillId="4" borderId="63" xfId="0" applyFont="1" applyFill="1" applyBorder="1"/>
    <xf numFmtId="0" fontId="66" fillId="4" borderId="0" xfId="0" applyFont="1" applyFill="1"/>
    <xf numFmtId="0" fontId="67" fillId="0" borderId="0" xfId="0" applyFont="1"/>
    <xf numFmtId="0" fontId="11" fillId="0" borderId="0" xfId="1" applyFont="1" applyAlignment="1">
      <alignment horizontal="center"/>
    </xf>
    <xf numFmtId="0" fontId="11" fillId="0" borderId="0" xfId="1" applyFont="1" applyAlignment="1">
      <alignment horizontal="center" vertical="center"/>
    </xf>
    <xf numFmtId="49" fontId="0" fillId="4" borderId="5" xfId="0" applyNumberFormat="1" applyFill="1" applyBorder="1"/>
    <xf numFmtId="0" fontId="0" fillId="4" borderId="6" xfId="0" applyFill="1" applyBorder="1"/>
    <xf numFmtId="0" fontId="0" fillId="4" borderId="8" xfId="0" applyFill="1" applyBorder="1"/>
    <xf numFmtId="0" fontId="0" fillId="4" borderId="9" xfId="0" applyFill="1" applyBorder="1"/>
    <xf numFmtId="49" fontId="44" fillId="4" borderId="5" xfId="0" applyNumberFormat="1" applyFont="1" applyFill="1" applyBorder="1"/>
    <xf numFmtId="0" fontId="70" fillId="4" borderId="0" xfId="0" applyFont="1" applyFill="1"/>
    <xf numFmtId="0" fontId="70" fillId="4" borderId="6" xfId="0" applyFont="1" applyFill="1" applyBorder="1"/>
    <xf numFmtId="49" fontId="72" fillId="4" borderId="0" xfId="0" applyNumberFormat="1" applyFont="1" applyFill="1"/>
    <xf numFmtId="49" fontId="72" fillId="4" borderId="6" xfId="0" applyNumberFormat="1" applyFont="1" applyFill="1" applyBorder="1"/>
    <xf numFmtId="0" fontId="0" fillId="4" borderId="7" xfId="0" applyFill="1" applyBorder="1"/>
    <xf numFmtId="0" fontId="10" fillId="17" borderId="67" xfId="2" applyNumberFormat="1" applyFont="1" applyFill="1" applyBorder="1" applyAlignment="1">
      <alignment horizontal="center"/>
    </xf>
    <xf numFmtId="14" fontId="11" fillId="0" borderId="0" xfId="8" applyNumberFormat="1" applyFont="1"/>
    <xf numFmtId="43" fontId="11" fillId="0" borderId="24" xfId="4" applyFont="1" applyBorder="1" applyAlignment="1">
      <alignment horizontal="right"/>
    </xf>
    <xf numFmtId="0" fontId="8" fillId="0" borderId="0" xfId="1" applyFont="1"/>
    <xf numFmtId="164" fontId="8" fillId="0" borderId="0" xfId="1" quotePrefix="1" applyNumberFormat="1" applyFont="1"/>
    <xf numFmtId="0" fontId="11" fillId="2" borderId="0" xfId="1" applyFont="1" applyFill="1" applyAlignment="1">
      <alignment horizontal="center"/>
    </xf>
    <xf numFmtId="43" fontId="25" fillId="0" borderId="68" xfId="0" applyNumberFormat="1" applyFont="1" applyBorder="1" applyAlignment="1">
      <alignment horizontal="center"/>
    </xf>
    <xf numFmtId="43" fontId="25" fillId="2" borderId="46" xfId="0" applyNumberFormat="1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44" fontId="18" fillId="0" borderId="0" xfId="2" applyFont="1" applyBorder="1" applyAlignment="1"/>
    <xf numFmtId="44" fontId="18" fillId="0" borderId="8" xfId="2" applyFont="1" applyBorder="1" applyAlignment="1"/>
    <xf numFmtId="0" fontId="10" fillId="0" borderId="0" xfId="0" applyFont="1" applyAlignment="1">
      <alignment horizontal="right"/>
    </xf>
    <xf numFmtId="17" fontId="9" fillId="0" borderId="0" xfId="0" applyNumberFormat="1" applyFont="1" applyAlignment="1">
      <alignment horizontal="center"/>
    </xf>
    <xf numFmtId="0" fontId="74" fillId="0" borderId="0" xfId="0" applyFont="1"/>
    <xf numFmtId="170" fontId="16" fillId="0" borderId="0" xfId="0" applyNumberFormat="1" applyFont="1" applyAlignment="1">
      <alignment horizontal="center" wrapText="1"/>
    </xf>
    <xf numFmtId="170" fontId="10" fillId="0" borderId="8" xfId="0" applyNumberFormat="1" applyFont="1" applyBorder="1" applyAlignment="1">
      <alignment horizontal="center"/>
    </xf>
    <xf numFmtId="170" fontId="25" fillId="2" borderId="46" xfId="0" applyNumberFormat="1" applyFont="1" applyFill="1" applyBorder="1" applyAlignment="1">
      <alignment horizontal="center" vertical="center"/>
    </xf>
    <xf numFmtId="170" fontId="13" fillId="0" borderId="0" xfId="1" applyNumberFormat="1" applyFont="1"/>
    <xf numFmtId="170" fontId="25" fillId="2" borderId="46" xfId="4" applyNumberFormat="1" applyFont="1" applyFill="1" applyBorder="1" applyAlignment="1">
      <alignment horizontal="center"/>
    </xf>
    <xf numFmtId="0" fontId="13" fillId="0" borderId="1" xfId="0" applyFont="1" applyBorder="1" applyAlignment="1" applyProtection="1">
      <alignment horizontal="left"/>
      <protection locked="0"/>
    </xf>
    <xf numFmtId="0" fontId="13" fillId="2" borderId="1" xfId="0" applyFont="1" applyFill="1" applyBorder="1" applyAlignment="1" applyProtection="1">
      <alignment horizontal="left"/>
      <protection locked="0"/>
    </xf>
    <xf numFmtId="0" fontId="13" fillId="2" borderId="1" xfId="0" applyFont="1" applyFill="1" applyBorder="1" applyAlignment="1" applyProtection="1">
      <alignment horizontal="left" wrapText="1"/>
      <protection locked="0"/>
    </xf>
    <xf numFmtId="0" fontId="13" fillId="2" borderId="1" xfId="8" applyFont="1" applyFill="1" applyBorder="1" applyAlignment="1" applyProtection="1">
      <alignment horizontal="left" wrapText="1"/>
      <protection locked="0"/>
    </xf>
    <xf numFmtId="0" fontId="13" fillId="2" borderId="1" xfId="0" applyFont="1" applyFill="1" applyBorder="1" applyAlignment="1" applyProtection="1">
      <alignment horizontal="center"/>
      <protection locked="0"/>
    </xf>
    <xf numFmtId="0" fontId="13" fillId="2" borderId="1" xfId="8" applyFont="1" applyFill="1" applyBorder="1" applyAlignment="1" applyProtection="1">
      <alignment horizontal="center"/>
      <protection locked="0"/>
    </xf>
    <xf numFmtId="0" fontId="13" fillId="2" borderId="1" xfId="0" applyFont="1" applyFill="1" applyBorder="1" applyAlignment="1" applyProtection="1">
      <alignment horizontal="center" wrapText="1"/>
      <protection locked="0"/>
    </xf>
    <xf numFmtId="0" fontId="13" fillId="2" borderId="1" xfId="8" applyFont="1" applyFill="1" applyBorder="1" applyAlignment="1" applyProtection="1">
      <alignment horizontal="center" wrapText="1"/>
      <protection locked="0"/>
    </xf>
    <xf numFmtId="0" fontId="13" fillId="2" borderId="1" xfId="11" applyNumberFormat="1" applyFont="1" applyFill="1" applyBorder="1" applyAlignment="1" applyProtection="1">
      <alignment horizontal="center"/>
      <protection locked="0"/>
    </xf>
    <xf numFmtId="0" fontId="13" fillId="2" borderId="1" xfId="11" applyNumberFormat="1" applyFont="1" applyFill="1" applyBorder="1" applyAlignment="1" applyProtection="1">
      <alignment horizontal="center" wrapText="1"/>
      <protection locked="0"/>
    </xf>
    <xf numFmtId="14" fontId="13" fillId="2" borderId="1" xfId="0" applyNumberFormat="1" applyFont="1" applyFill="1" applyBorder="1" applyAlignment="1" applyProtection="1">
      <alignment horizontal="center"/>
      <protection locked="0"/>
    </xf>
    <xf numFmtId="2" fontId="13" fillId="2" borderId="1" xfId="0" applyNumberFormat="1" applyFont="1" applyFill="1" applyBorder="1" applyAlignment="1" applyProtection="1">
      <alignment horizontal="center"/>
      <protection locked="0"/>
    </xf>
    <xf numFmtId="0" fontId="75" fillId="4" borderId="14" xfId="0" applyFont="1" applyFill="1" applyBorder="1" applyAlignment="1">
      <alignment horizontal="center" vertical="center" wrapText="1"/>
    </xf>
    <xf numFmtId="173" fontId="16" fillId="0" borderId="0" xfId="0" applyNumberFormat="1" applyFont="1" applyAlignment="1">
      <alignment horizontal="center" wrapText="1"/>
    </xf>
    <xf numFmtId="173" fontId="9" fillId="2" borderId="0" xfId="0" applyNumberFormat="1" applyFont="1" applyFill="1" applyAlignment="1">
      <alignment horizontal="center"/>
    </xf>
    <xf numFmtId="173" fontId="9" fillId="0" borderId="0" xfId="0" applyNumberFormat="1" applyFont="1"/>
    <xf numFmtId="173" fontId="13" fillId="2" borderId="0" xfId="13" applyNumberFormat="1" applyFont="1" applyFill="1" applyBorder="1" applyAlignment="1" applyProtection="1">
      <alignment horizontal="left" shrinkToFit="1"/>
    </xf>
    <xf numFmtId="173" fontId="13" fillId="0" borderId="0" xfId="1" applyNumberFormat="1" applyFont="1"/>
    <xf numFmtId="0" fontId="57" fillId="4" borderId="69" xfId="0" applyFont="1" applyFill="1" applyBorder="1" applyAlignment="1">
      <alignment horizontal="center" vertical="center" wrapText="1"/>
    </xf>
    <xf numFmtId="0" fontId="45" fillId="0" borderId="0" xfId="1" applyFont="1"/>
    <xf numFmtId="39" fontId="45" fillId="0" borderId="0" xfId="1" applyNumberFormat="1" applyFont="1"/>
    <xf numFmtId="0" fontId="15" fillId="0" borderId="0" xfId="1" applyFont="1"/>
    <xf numFmtId="14" fontId="13" fillId="2" borderId="0" xfId="1" applyNumberFormat="1" applyFont="1" applyFill="1" applyAlignment="1" applyProtection="1">
      <alignment horizontal="left"/>
      <protection locked="0"/>
    </xf>
    <xf numFmtId="168" fontId="1" fillId="4" borderId="0" xfId="2" applyNumberFormat="1" applyFill="1" applyBorder="1" applyProtection="1">
      <protection locked="0"/>
    </xf>
    <xf numFmtId="14" fontId="1" fillId="4" borderId="0" xfId="2" applyNumberFormat="1" applyFill="1" applyBorder="1" applyAlignment="1" applyProtection="1">
      <alignment horizontal="center"/>
      <protection locked="0"/>
    </xf>
    <xf numFmtId="14" fontId="1" fillId="4" borderId="0" xfId="2" applyNumberFormat="1" applyFill="1" applyBorder="1" applyProtection="1">
      <protection locked="0"/>
    </xf>
    <xf numFmtId="0" fontId="1" fillId="0" borderId="1" xfId="1" applyBorder="1" applyAlignment="1" applyProtection="1">
      <alignment horizontal="center"/>
      <protection locked="0"/>
    </xf>
    <xf numFmtId="0" fontId="7" fillId="0" borderId="1" xfId="15" applyBorder="1" applyAlignment="1">
      <alignment horizontal="center"/>
    </xf>
    <xf numFmtId="168" fontId="1" fillId="0" borderId="1" xfId="2" applyNumberFormat="1" applyFill="1" applyBorder="1" applyAlignment="1" applyProtection="1">
      <alignment horizontal="center"/>
      <protection locked="0"/>
    </xf>
    <xf numFmtId="14" fontId="1" fillId="0" borderId="1" xfId="2" applyNumberFormat="1" applyFill="1" applyBorder="1" applyAlignment="1" applyProtection="1">
      <alignment horizontal="center"/>
      <protection locked="0"/>
    </xf>
    <xf numFmtId="168" fontId="1" fillId="0" borderId="1" xfId="1" applyNumberFormat="1" applyBorder="1" applyAlignment="1" applyProtection="1">
      <alignment horizontal="center"/>
      <protection locked="0"/>
    </xf>
    <xf numFmtId="0" fontId="2" fillId="0" borderId="1" xfId="1" applyFont="1" applyBorder="1" applyAlignment="1" applyProtection="1">
      <alignment horizontal="center" wrapText="1"/>
      <protection locked="0"/>
    </xf>
    <xf numFmtId="168" fontId="2" fillId="0" borderId="1" xfId="1" applyNumberFormat="1" applyFont="1" applyBorder="1" applyAlignment="1" applyProtection="1">
      <alignment horizontal="center" wrapText="1"/>
      <protection locked="0"/>
    </xf>
    <xf numFmtId="49" fontId="16" fillId="0" borderId="0" xfId="4" applyNumberFormat="1" applyFont="1" applyFill="1" applyBorder="1" applyAlignment="1">
      <alignment horizontal="center" wrapText="1"/>
    </xf>
    <xf numFmtId="43" fontId="16" fillId="0" borderId="0" xfId="4" applyFont="1" applyFill="1" applyBorder="1" applyAlignment="1"/>
    <xf numFmtId="0" fontId="16" fillId="0" borderId="0" xfId="0" applyFont="1" applyAlignment="1">
      <alignment horizontal="left" wrapText="1"/>
    </xf>
    <xf numFmtId="0" fontId="16" fillId="0" borderId="0" xfId="0" applyFont="1" applyAlignment="1">
      <alignment horizontal="center" wrapText="1"/>
    </xf>
    <xf numFmtId="0" fontId="25" fillId="2" borderId="46" xfId="0" applyFont="1" applyFill="1" applyBorder="1" applyAlignment="1">
      <alignment horizontal="left" vertical="center" wrapText="1"/>
    </xf>
    <xf numFmtId="0" fontId="77" fillId="0" borderId="0" xfId="0" applyFont="1" applyAlignment="1">
      <alignment horizontal="center" vertical="center"/>
    </xf>
    <xf numFmtId="0" fontId="77" fillId="0" borderId="0" xfId="0" applyFont="1" applyAlignment="1">
      <alignment horizontal="right" vertical="center"/>
    </xf>
    <xf numFmtId="14" fontId="77" fillId="0" borderId="0" xfId="0" applyNumberFormat="1" applyFont="1" applyAlignment="1">
      <alignment horizontal="center" vertical="center"/>
    </xf>
    <xf numFmtId="10" fontId="77" fillId="0" borderId="0" xfId="0" applyNumberFormat="1" applyFont="1" applyAlignment="1">
      <alignment horizontal="left" vertical="center"/>
    </xf>
    <xf numFmtId="0" fontId="78" fillId="5" borderId="70" xfId="0" applyFont="1" applyFill="1" applyBorder="1" applyAlignment="1">
      <alignment horizontal="left" vertical="center"/>
    </xf>
    <xf numFmtId="0" fontId="78" fillId="5" borderId="70" xfId="0" applyFont="1" applyFill="1" applyBorder="1" applyAlignment="1">
      <alignment horizontal="right" vertical="center"/>
    </xf>
    <xf numFmtId="0" fontId="78" fillId="5" borderId="0" xfId="0" applyFont="1" applyFill="1" applyAlignment="1">
      <alignment horizontal="center" vertical="center" wrapText="1"/>
    </xf>
    <xf numFmtId="44" fontId="78" fillId="19" borderId="0" xfId="0" applyNumberFormat="1" applyFont="1" applyFill="1" applyAlignment="1">
      <alignment horizontal="center" vertical="center"/>
    </xf>
    <xf numFmtId="0" fontId="78" fillId="5" borderId="26" xfId="0" applyFont="1" applyFill="1" applyBorder="1" applyAlignment="1">
      <alignment horizontal="left" vertical="center"/>
    </xf>
    <xf numFmtId="0" fontId="78" fillId="5" borderId="26" xfId="0" applyFont="1" applyFill="1" applyBorder="1" applyAlignment="1">
      <alignment horizontal="right" vertical="center"/>
    </xf>
    <xf numFmtId="0" fontId="79" fillId="0" borderId="1" xfId="0" applyFont="1" applyBorder="1" applyAlignment="1">
      <alignment horizontal="left" vertical="center"/>
    </xf>
    <xf numFmtId="4" fontId="79" fillId="0" borderId="1" xfId="0" applyNumberFormat="1" applyFont="1" applyBorder="1" applyAlignment="1">
      <alignment horizontal="right" vertical="center"/>
    </xf>
    <xf numFmtId="14" fontId="79" fillId="0" borderId="1" xfId="0" applyNumberFormat="1" applyFont="1" applyBorder="1" applyAlignment="1">
      <alignment horizontal="left" vertical="center"/>
    </xf>
    <xf numFmtId="1" fontId="0" fillId="0" borderId="1" xfId="0" applyNumberFormat="1" applyBorder="1"/>
    <xf numFmtId="2" fontId="0" fillId="0" borderId="1" xfId="0" applyNumberFormat="1" applyBorder="1"/>
    <xf numFmtId="0" fontId="80" fillId="5" borderId="0" xfId="0" applyFont="1" applyFill="1" applyAlignment="1">
      <alignment horizontal="right" vertical="center" wrapText="1"/>
    </xf>
    <xf numFmtId="0" fontId="81" fillId="20" borderId="0" xfId="0" applyFont="1" applyFill="1" applyAlignment="1">
      <alignment horizontal="left" vertical="center" wrapText="1"/>
    </xf>
    <xf numFmtId="0" fontId="81" fillId="20" borderId="0" xfId="0" applyFont="1" applyFill="1" applyAlignment="1">
      <alignment horizontal="right" vertical="center" wrapText="1"/>
    </xf>
    <xf numFmtId="0" fontId="81" fillId="20" borderId="70" xfId="0" applyFont="1" applyFill="1" applyBorder="1" applyAlignment="1">
      <alignment horizontal="left" vertical="center" wrapText="1"/>
    </xf>
    <xf numFmtId="0" fontId="81" fillId="20" borderId="70" xfId="0" applyFont="1" applyFill="1" applyBorder="1" applyAlignment="1">
      <alignment horizontal="right" vertical="center" wrapText="1"/>
    </xf>
    <xf numFmtId="0" fontId="80" fillId="20" borderId="71" xfId="0" applyFont="1" applyFill="1" applyBorder="1" applyAlignment="1">
      <alignment horizontal="right" vertical="center" wrapText="1"/>
    </xf>
    <xf numFmtId="0" fontId="80" fillId="20" borderId="0" xfId="0" applyFont="1" applyFill="1" applyAlignment="1">
      <alignment horizontal="right" vertical="center" wrapText="1"/>
    </xf>
    <xf numFmtId="44" fontId="42" fillId="19" borderId="0" xfId="0" applyNumberFormat="1" applyFont="1" applyFill="1"/>
    <xf numFmtId="8" fontId="9" fillId="2" borderId="0" xfId="16" applyNumberFormat="1" applyFont="1" applyFill="1" applyBorder="1"/>
    <xf numFmtId="0" fontId="8" fillId="3" borderId="0" xfId="1" applyFont="1" applyFill="1" applyAlignment="1">
      <alignment horizontal="left" vertical="top" wrapText="1"/>
    </xf>
    <xf numFmtId="0" fontId="10" fillId="0" borderId="8" xfId="0" applyFont="1" applyBorder="1" applyAlignment="1">
      <alignment horizontal="center"/>
    </xf>
    <xf numFmtId="17" fontId="8" fillId="0" borderId="0" xfId="0" applyNumberFormat="1" applyFont="1" applyAlignment="1">
      <alignment horizontal="center"/>
    </xf>
    <xf numFmtId="17" fontId="26" fillId="0" borderId="0" xfId="0" applyNumberFormat="1" applyFont="1" applyAlignment="1">
      <alignment horizontal="center"/>
    </xf>
    <xf numFmtId="17" fontId="8" fillId="0" borderId="0" xfId="0" quotePrefix="1" applyNumberFormat="1" applyFont="1" applyAlignment="1">
      <alignment horizontal="center"/>
    </xf>
    <xf numFmtId="17" fontId="69" fillId="0" borderId="0" xfId="0" applyNumberFormat="1" applyFont="1" applyAlignment="1">
      <alignment horizontal="center"/>
    </xf>
    <xf numFmtId="164" fontId="8" fillId="0" borderId="44" xfId="1" quotePrefix="1" applyNumberFormat="1" applyFont="1" applyBorder="1" applyAlignment="1">
      <alignment horizontal="center" vertical="top"/>
    </xf>
    <xf numFmtId="164" fontId="26" fillId="0" borderId="44" xfId="1" quotePrefix="1" applyNumberFormat="1" applyFont="1" applyBorder="1" applyAlignment="1">
      <alignment horizontal="center" vertical="top"/>
    </xf>
    <xf numFmtId="164" fontId="26" fillId="0" borderId="64" xfId="1" quotePrefix="1" applyNumberFormat="1" applyFont="1" applyBorder="1" applyAlignment="1">
      <alignment horizontal="center" vertical="top"/>
    </xf>
    <xf numFmtId="0" fontId="56" fillId="4" borderId="0" xfId="0" applyFont="1" applyFill="1" applyAlignment="1">
      <alignment horizontal="right"/>
    </xf>
    <xf numFmtId="9" fontId="8" fillId="0" borderId="0" xfId="3" applyFont="1" applyBorder="1" applyAlignment="1">
      <alignment horizontal="center" vertical="top"/>
    </xf>
    <xf numFmtId="9" fontId="26" fillId="0" borderId="0" xfId="3" applyFont="1" applyBorder="1" applyAlignment="1">
      <alignment horizontal="center" vertical="top"/>
    </xf>
    <xf numFmtId="0" fontId="8" fillId="0" borderId="66" xfId="1" applyFont="1" applyBorder="1" applyAlignment="1">
      <alignment horizontal="center" vertical="top"/>
    </xf>
    <xf numFmtId="0" fontId="26" fillId="0" borderId="66" xfId="1" applyFont="1" applyBorder="1" applyAlignment="1">
      <alignment horizontal="center" vertical="top"/>
    </xf>
    <xf numFmtId="0" fontId="26" fillId="0" borderId="65" xfId="1" applyFont="1" applyBorder="1" applyAlignment="1">
      <alignment horizontal="center" vertical="top"/>
    </xf>
    <xf numFmtId="9" fontId="8" fillId="0" borderId="0" xfId="3" applyFont="1" applyBorder="1" applyAlignment="1">
      <alignment horizontal="center"/>
    </xf>
    <xf numFmtId="0" fontId="8" fillId="0" borderId="0" xfId="1" applyFont="1" applyAlignment="1">
      <alignment horizontal="center"/>
    </xf>
    <xf numFmtId="164" fontId="8" fillId="0" borderId="0" xfId="1" quotePrefix="1" applyNumberFormat="1" applyFont="1" applyAlignment="1">
      <alignment horizontal="center"/>
    </xf>
    <xf numFmtId="0" fontId="1" fillId="6" borderId="40" xfId="1" applyFill="1" applyBorder="1" applyAlignment="1">
      <alignment horizontal="center" vertical="center" wrapText="1"/>
    </xf>
    <xf numFmtId="0" fontId="1" fillId="6" borderId="53" xfId="1" applyFill="1" applyBorder="1" applyAlignment="1">
      <alignment horizontal="center" vertical="center" wrapText="1"/>
    </xf>
    <xf numFmtId="0" fontId="1" fillId="6" borderId="41" xfId="1" applyFill="1" applyBorder="1" applyAlignment="1">
      <alignment horizontal="center" vertical="center" wrapText="1"/>
    </xf>
    <xf numFmtId="0" fontId="1" fillId="6" borderId="40" xfId="1" applyFill="1" applyBorder="1" applyAlignment="1">
      <alignment horizontal="center" vertical="center"/>
    </xf>
    <xf numFmtId="0" fontId="1" fillId="6" borderId="53" xfId="1" applyFill="1" applyBorder="1" applyAlignment="1">
      <alignment horizontal="center" vertical="center"/>
    </xf>
    <xf numFmtId="0" fontId="1" fillId="6" borderId="41" xfId="1" applyFill="1" applyBorder="1" applyAlignment="1">
      <alignment horizontal="center" vertical="center"/>
    </xf>
    <xf numFmtId="0" fontId="41" fillId="0" borderId="0" xfId="1" applyFont="1" applyAlignment="1">
      <alignment horizontal="right"/>
    </xf>
    <xf numFmtId="0" fontId="1" fillId="6" borderId="2" xfId="1" applyFill="1" applyBorder="1" applyAlignment="1">
      <alignment horizontal="center" vertical="center"/>
    </xf>
    <xf numFmtId="0" fontId="1" fillId="6" borderId="4" xfId="1" applyFill="1" applyBorder="1" applyAlignment="1">
      <alignment horizontal="center" vertical="center"/>
    </xf>
    <xf numFmtId="0" fontId="1" fillId="6" borderId="5" xfId="1" applyFill="1" applyBorder="1" applyAlignment="1">
      <alignment horizontal="center" vertical="center"/>
    </xf>
    <xf numFmtId="0" fontId="1" fillId="6" borderId="6" xfId="1" applyFill="1" applyBorder="1" applyAlignment="1">
      <alignment horizontal="center" vertical="center"/>
    </xf>
    <xf numFmtId="0" fontId="1" fillId="6" borderId="7" xfId="1" applyFill="1" applyBorder="1" applyAlignment="1">
      <alignment horizontal="center" vertical="center"/>
    </xf>
    <xf numFmtId="0" fontId="1" fillId="6" borderId="9" xfId="1" applyFill="1" applyBorder="1" applyAlignment="1">
      <alignment horizontal="center" vertical="center"/>
    </xf>
    <xf numFmtId="0" fontId="81" fillId="20" borderId="0" xfId="0" applyFont="1" applyFill="1" applyAlignment="1">
      <alignment horizontal="left" vertical="center" wrapText="1"/>
    </xf>
    <xf numFmtId="0" fontId="80" fillId="5" borderId="0" xfId="0" applyFont="1" applyFill="1" applyAlignment="1">
      <alignment horizontal="left" vertical="center" wrapText="1"/>
    </xf>
    <xf numFmtId="0" fontId="80" fillId="20" borderId="0" xfId="0" applyFont="1" applyFill="1" applyAlignment="1">
      <alignment horizontal="left" vertical="center" wrapText="1"/>
    </xf>
    <xf numFmtId="0" fontId="76" fillId="0" borderId="0" xfId="0" applyFont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78" fillId="0" borderId="71" xfId="0" applyFont="1" applyBorder="1" applyAlignment="1">
      <alignment horizontal="left" vertical="center"/>
    </xf>
    <xf numFmtId="0" fontId="79" fillId="0" borderId="0" xfId="0" applyFont="1" applyAlignment="1">
      <alignment horizontal="left" vertical="center"/>
    </xf>
    <xf numFmtId="0" fontId="81" fillId="20" borderId="70" xfId="0" applyFont="1" applyFill="1" applyBorder="1" applyAlignment="1">
      <alignment horizontal="left" vertical="center" wrapText="1"/>
    </xf>
    <xf numFmtId="0" fontId="80" fillId="20" borderId="71" xfId="0" applyFont="1" applyFill="1" applyBorder="1" applyAlignment="1">
      <alignment horizontal="left" vertical="center" wrapText="1"/>
    </xf>
    <xf numFmtId="0" fontId="80" fillId="20" borderId="70" xfId="0" applyFont="1" applyFill="1" applyBorder="1" applyAlignment="1">
      <alignment horizontal="left" vertical="center" wrapText="1"/>
    </xf>
    <xf numFmtId="0" fontId="8" fillId="0" borderId="0" xfId="1" applyFont="1" applyAlignment="1">
      <alignment horizontal="center" vertical="center"/>
    </xf>
    <xf numFmtId="169" fontId="8" fillId="0" borderId="0" xfId="5" applyNumberFormat="1" applyFont="1" applyAlignment="1">
      <alignment horizontal="center" vertical="center"/>
    </xf>
    <xf numFmtId="0" fontId="11" fillId="0" borderId="0" xfId="1" applyFont="1" applyAlignment="1">
      <alignment horizontal="left"/>
    </xf>
    <xf numFmtId="0" fontId="10" fillId="0" borderId="0" xfId="1" applyFont="1" applyAlignment="1">
      <alignment horizontal="center"/>
    </xf>
    <xf numFmtId="169" fontId="11" fillId="0" borderId="0" xfId="5" applyNumberFormat="1" applyFont="1" applyAlignment="1">
      <alignment horizontal="center"/>
    </xf>
    <xf numFmtId="0" fontId="61" fillId="0" borderId="0" xfId="0" applyFont="1" applyAlignment="1">
      <alignment horizontal="center"/>
    </xf>
    <xf numFmtId="0" fontId="65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169" fontId="68" fillId="0" borderId="0" xfId="0" applyNumberFormat="1" applyFont="1" applyAlignment="1">
      <alignment horizontal="center"/>
    </xf>
    <xf numFmtId="0" fontId="13" fillId="0" borderId="15" xfId="10" applyFont="1" applyBorder="1" applyAlignment="1">
      <alignment horizontal="center"/>
    </xf>
    <xf numFmtId="0" fontId="13" fillId="0" borderId="17" xfId="10" applyFont="1" applyBorder="1" applyAlignment="1">
      <alignment horizontal="center"/>
    </xf>
    <xf numFmtId="0" fontId="13" fillId="0" borderId="16" xfId="10" applyFont="1" applyBorder="1" applyAlignment="1">
      <alignment horizontal="center"/>
    </xf>
    <xf numFmtId="14" fontId="13" fillId="2" borderId="1" xfId="10" applyNumberFormat="1" applyFont="1" applyFill="1" applyBorder="1" applyAlignment="1">
      <alignment horizontal="center"/>
    </xf>
    <xf numFmtId="14" fontId="13" fillId="2" borderId="15" xfId="10" applyNumberFormat="1" applyFont="1" applyFill="1" applyBorder="1" applyAlignment="1">
      <alignment horizontal="center"/>
    </xf>
    <xf numFmtId="14" fontId="13" fillId="2" borderId="17" xfId="10" applyNumberFormat="1" applyFont="1" applyFill="1" applyBorder="1" applyAlignment="1">
      <alignment horizontal="center"/>
    </xf>
    <xf numFmtId="14" fontId="13" fillId="2" borderId="16" xfId="10" applyNumberFormat="1" applyFont="1" applyFill="1" applyBorder="1" applyAlignment="1">
      <alignment horizontal="center"/>
    </xf>
    <xf numFmtId="0" fontId="8" fillId="0" borderId="1" xfId="1" applyFont="1" applyBorder="1" applyAlignment="1">
      <alignment horizontal="center"/>
    </xf>
    <xf numFmtId="0" fontId="26" fillId="0" borderId="1" xfId="1" applyFont="1" applyBorder="1" applyAlignment="1">
      <alignment horizontal="center"/>
    </xf>
    <xf numFmtId="0" fontId="10" fillId="0" borderId="1" xfId="1" applyFont="1" applyBorder="1" applyAlignment="1">
      <alignment horizontal="center"/>
    </xf>
    <xf numFmtId="169" fontId="8" fillId="0" borderId="1" xfId="5" applyNumberFormat="1" applyFont="1" applyBorder="1" applyAlignment="1">
      <alignment horizontal="center"/>
    </xf>
    <xf numFmtId="169" fontId="26" fillId="0" borderId="1" xfId="5" applyNumberFormat="1" applyFont="1" applyBorder="1" applyAlignment="1">
      <alignment horizontal="center"/>
    </xf>
    <xf numFmtId="169" fontId="11" fillId="0" borderId="1" xfId="5" applyNumberFormat="1" applyFont="1" applyBorder="1" applyAlignment="1">
      <alignment horizontal="center"/>
    </xf>
    <xf numFmtId="0" fontId="15" fillId="4" borderId="22" xfId="9" applyFont="1" applyFill="1" applyBorder="1" applyAlignment="1">
      <alignment horizontal="center" wrapText="1"/>
    </xf>
    <xf numFmtId="0" fontId="15" fillId="4" borderId="14" xfId="9" applyFont="1" applyFill="1" applyBorder="1" applyAlignment="1">
      <alignment horizontal="center" wrapText="1"/>
    </xf>
    <xf numFmtId="0" fontId="15" fillId="4" borderId="23" xfId="9" applyFont="1" applyFill="1" applyBorder="1" applyAlignment="1">
      <alignment horizontal="center" wrapText="1"/>
    </xf>
    <xf numFmtId="0" fontId="15" fillId="4" borderId="28" xfId="9" applyFont="1" applyFill="1" applyBorder="1" applyAlignment="1">
      <alignment horizontal="center" wrapText="1"/>
    </xf>
    <xf numFmtId="0" fontId="8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169" fontId="8" fillId="0" borderId="0" xfId="5" applyNumberFormat="1" applyFont="1" applyAlignment="1">
      <alignment horizontal="center" vertical="top"/>
    </xf>
    <xf numFmtId="169" fontId="26" fillId="0" borderId="0" xfId="5" applyNumberFormat="1" applyFont="1" applyAlignment="1">
      <alignment horizontal="center" vertical="top"/>
    </xf>
    <xf numFmtId="0" fontId="51" fillId="6" borderId="29" xfId="0" applyFont="1" applyFill="1" applyBorder="1" applyAlignment="1" applyProtection="1">
      <alignment horizontal="center" vertical="center" wrapText="1"/>
      <protection hidden="1"/>
    </xf>
    <xf numFmtId="0" fontId="51" fillId="6" borderId="30" xfId="0" applyFont="1" applyFill="1" applyBorder="1" applyAlignment="1" applyProtection="1">
      <alignment horizontal="center" vertical="center" wrapText="1"/>
      <protection hidden="1"/>
    </xf>
    <xf numFmtId="0" fontId="51" fillId="6" borderId="28" xfId="0" applyFont="1" applyFill="1" applyBorder="1" applyAlignment="1" applyProtection="1">
      <alignment horizontal="center" vertical="center" wrapText="1"/>
      <protection hidden="1"/>
    </xf>
    <xf numFmtId="0" fontId="71" fillId="18" borderId="2" xfId="0" applyFont="1" applyFill="1" applyBorder="1" applyAlignment="1">
      <alignment horizontal="center"/>
    </xf>
    <xf numFmtId="0" fontId="71" fillId="18" borderId="3" xfId="0" applyFont="1" applyFill="1" applyBorder="1" applyAlignment="1">
      <alignment horizontal="center"/>
    </xf>
    <xf numFmtId="0" fontId="71" fillId="18" borderId="4" xfId="0" applyFont="1" applyFill="1" applyBorder="1" applyAlignment="1">
      <alignment horizontal="center"/>
    </xf>
    <xf numFmtId="49" fontId="73" fillId="4" borderId="5" xfId="0" applyNumberFormat="1" applyFont="1" applyFill="1" applyBorder="1" applyAlignment="1">
      <alignment horizontal="center"/>
    </xf>
    <xf numFmtId="49" fontId="73" fillId="4" borderId="0" xfId="0" applyNumberFormat="1" applyFont="1" applyFill="1" applyAlignment="1">
      <alignment horizontal="center"/>
    </xf>
    <xf numFmtId="49" fontId="73" fillId="4" borderId="6" xfId="0" applyNumberFormat="1" applyFont="1" applyFill="1" applyBorder="1" applyAlignment="1">
      <alignment horizontal="center"/>
    </xf>
    <xf numFmtId="17" fontId="8" fillId="0" borderId="0" xfId="0" applyNumberFormat="1" applyFont="1" applyAlignment="1">
      <alignment horizontal="left" wrapText="1"/>
    </xf>
    <xf numFmtId="17" fontId="10" fillId="0" borderId="0" xfId="0" quotePrefix="1" applyNumberFormat="1" applyFont="1" applyAlignment="1">
      <alignment horizontal="left"/>
    </xf>
    <xf numFmtId="17" fontId="28" fillId="0" borderId="0" xfId="15" quotePrefix="1" applyNumberFormat="1" applyFont="1" applyAlignment="1">
      <alignment horizontal="left"/>
    </xf>
    <xf numFmtId="17" fontId="30" fillId="6" borderId="2" xfId="0" applyNumberFormat="1" applyFont="1" applyFill="1" applyBorder="1" applyAlignment="1">
      <alignment horizontal="center" vertical="center" wrapText="1"/>
    </xf>
    <xf numFmtId="17" fontId="30" fillId="6" borderId="4" xfId="0" applyNumberFormat="1" applyFont="1" applyFill="1" applyBorder="1" applyAlignment="1">
      <alignment horizontal="center" vertical="center" wrapText="1"/>
    </xf>
    <xf numFmtId="17" fontId="30" fillId="6" borderId="5" xfId="0" applyNumberFormat="1" applyFont="1" applyFill="1" applyBorder="1" applyAlignment="1">
      <alignment horizontal="center" vertical="center" wrapText="1"/>
    </xf>
    <xf numFmtId="17" fontId="30" fillId="6" borderId="6" xfId="0" applyNumberFormat="1" applyFont="1" applyFill="1" applyBorder="1" applyAlignment="1">
      <alignment horizontal="center" vertical="center" wrapText="1"/>
    </xf>
    <xf numFmtId="17" fontId="30" fillId="6" borderId="7" xfId="0" applyNumberFormat="1" applyFont="1" applyFill="1" applyBorder="1" applyAlignment="1">
      <alignment horizontal="center" vertical="center" wrapText="1"/>
    </xf>
    <xf numFmtId="17" fontId="30" fillId="6" borderId="9" xfId="0" applyNumberFormat="1" applyFont="1" applyFill="1" applyBorder="1" applyAlignment="1">
      <alignment horizontal="center" vertical="center" wrapText="1"/>
    </xf>
    <xf numFmtId="17" fontId="30" fillId="6" borderId="2" xfId="0" quotePrefix="1" applyNumberFormat="1" applyFont="1" applyFill="1" applyBorder="1" applyAlignment="1">
      <alignment horizontal="center" vertical="center"/>
    </xf>
    <xf numFmtId="17" fontId="30" fillId="6" borderId="3" xfId="0" quotePrefix="1" applyNumberFormat="1" applyFont="1" applyFill="1" applyBorder="1" applyAlignment="1">
      <alignment horizontal="center" vertical="center"/>
    </xf>
    <xf numFmtId="17" fontId="30" fillId="6" borderId="4" xfId="0" quotePrefix="1" applyNumberFormat="1" applyFont="1" applyFill="1" applyBorder="1" applyAlignment="1">
      <alignment horizontal="center" vertical="center"/>
    </xf>
    <xf numFmtId="17" fontId="30" fillId="6" borderId="5" xfId="0" quotePrefix="1" applyNumberFormat="1" applyFont="1" applyFill="1" applyBorder="1" applyAlignment="1">
      <alignment horizontal="center" vertical="center"/>
    </xf>
    <xf numFmtId="17" fontId="30" fillId="6" borderId="0" xfId="0" quotePrefix="1" applyNumberFormat="1" applyFont="1" applyFill="1" applyAlignment="1">
      <alignment horizontal="center" vertical="center"/>
    </xf>
    <xf numFmtId="17" fontId="30" fillId="6" borderId="6" xfId="0" quotePrefix="1" applyNumberFormat="1" applyFont="1" applyFill="1" applyBorder="1" applyAlignment="1">
      <alignment horizontal="center" vertical="center"/>
    </xf>
    <xf numFmtId="17" fontId="30" fillId="6" borderId="7" xfId="0" quotePrefix="1" applyNumberFormat="1" applyFont="1" applyFill="1" applyBorder="1" applyAlignment="1">
      <alignment horizontal="center" vertical="center"/>
    </xf>
    <xf numFmtId="17" fontId="30" fillId="6" borderId="8" xfId="0" quotePrefix="1" applyNumberFormat="1" applyFont="1" applyFill="1" applyBorder="1" applyAlignment="1">
      <alignment horizontal="center" vertical="center"/>
    </xf>
    <xf numFmtId="17" fontId="30" fillId="6" borderId="9" xfId="0" quotePrefix="1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8" fillId="0" borderId="0" xfId="0" applyFont="1" applyAlignment="1">
      <alignment horizontal="left" wrapText="1"/>
    </xf>
    <xf numFmtId="49" fontId="8" fillId="0" borderId="0" xfId="0" applyNumberFormat="1" applyFont="1" applyAlignment="1">
      <alignment horizontal="left" wrapText="1"/>
    </xf>
    <xf numFmtId="17" fontId="27" fillId="0" borderId="0" xfId="0" applyNumberFormat="1" applyFont="1" applyAlignment="1">
      <alignment horizontal="center"/>
    </xf>
    <xf numFmtId="49" fontId="30" fillId="6" borderId="10" xfId="0" applyNumberFormat="1" applyFont="1" applyFill="1" applyBorder="1" applyAlignment="1">
      <alignment horizontal="center"/>
    </xf>
    <xf numFmtId="49" fontId="30" fillId="6" borderId="11" xfId="0" applyNumberFormat="1" applyFont="1" applyFill="1" applyBorder="1" applyAlignment="1">
      <alignment horizontal="center"/>
    </xf>
    <xf numFmtId="49" fontId="30" fillId="6" borderId="12" xfId="0" applyNumberFormat="1" applyFont="1" applyFill="1" applyBorder="1" applyAlignment="1">
      <alignment horizontal="center"/>
    </xf>
    <xf numFmtId="17" fontId="10" fillId="7" borderId="15" xfId="0" applyNumberFormat="1" applyFont="1" applyFill="1" applyBorder="1" applyAlignment="1">
      <alignment horizontal="center"/>
    </xf>
    <xf numFmtId="17" fontId="10" fillId="7" borderId="17" xfId="0" applyNumberFormat="1" applyFont="1" applyFill="1" applyBorder="1" applyAlignment="1">
      <alignment horizontal="center"/>
    </xf>
    <xf numFmtId="17" fontId="10" fillId="7" borderId="16" xfId="0" applyNumberFormat="1" applyFont="1" applyFill="1" applyBorder="1" applyAlignment="1">
      <alignment horizontal="center"/>
    </xf>
    <xf numFmtId="17" fontId="10" fillId="0" borderId="0" xfId="0" applyNumberFormat="1" applyFont="1" applyAlignment="1">
      <alignment horizontal="center" vertical="center"/>
    </xf>
    <xf numFmtId="17" fontId="10" fillId="6" borderId="28" xfId="0" applyNumberFormat="1" applyFont="1" applyFill="1" applyBorder="1" applyAlignment="1">
      <alignment horizontal="center" vertical="center"/>
    </xf>
    <xf numFmtId="17" fontId="10" fillId="6" borderId="1" xfId="0" applyNumberFormat="1" applyFont="1" applyFill="1" applyBorder="1" applyAlignment="1">
      <alignment horizontal="center" vertical="center"/>
    </xf>
    <xf numFmtId="167" fontId="10" fillId="6" borderId="28" xfId="7" applyNumberFormat="1" applyFont="1" applyFill="1" applyBorder="1" applyAlignment="1">
      <alignment horizontal="center" vertical="center" wrapText="1"/>
    </xf>
    <xf numFmtId="167" fontId="10" fillId="6" borderId="1" xfId="7" applyNumberFormat="1" applyFont="1" applyFill="1" applyBorder="1" applyAlignment="1">
      <alignment horizontal="center" vertical="center" wrapText="1"/>
    </xf>
    <xf numFmtId="0" fontId="10" fillId="6" borderId="28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17" fontId="10" fillId="6" borderId="29" xfId="0" applyNumberFormat="1" applyFont="1" applyFill="1" applyBorder="1" applyAlignment="1">
      <alignment horizontal="center" vertical="center" wrapText="1"/>
    </xf>
    <xf numFmtId="17" fontId="10" fillId="6" borderId="30" xfId="0" applyNumberFormat="1" applyFont="1" applyFill="1" applyBorder="1" applyAlignment="1">
      <alignment horizontal="center" vertical="center"/>
    </xf>
    <xf numFmtId="17" fontId="10" fillId="0" borderId="19" xfId="0" applyNumberFormat="1" applyFont="1" applyBorder="1" applyAlignment="1">
      <alignment horizontal="center"/>
    </xf>
    <xf numFmtId="17" fontId="10" fillId="0" borderId="20" xfId="0" applyNumberFormat="1" applyFont="1" applyBorder="1" applyAlignment="1">
      <alignment horizontal="center"/>
    </xf>
    <xf numFmtId="167" fontId="10" fillId="0" borderId="18" xfId="7" applyNumberFormat="1" applyFont="1" applyFill="1" applyBorder="1" applyAlignment="1">
      <alignment horizontal="center"/>
    </xf>
    <xf numFmtId="167" fontId="10" fillId="0" borderId="20" xfId="7" applyNumberFormat="1" applyFont="1" applyFill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167" fontId="10" fillId="0" borderId="13" xfId="7" applyNumberFormat="1" applyFont="1" applyFill="1" applyBorder="1" applyAlignment="1">
      <alignment horizontal="center"/>
    </xf>
    <xf numFmtId="167" fontId="10" fillId="0" borderId="21" xfId="7" applyNumberFormat="1" applyFont="1" applyFill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35" fillId="0" borderId="10" xfId="0" applyFont="1" applyBorder="1" applyAlignment="1">
      <alignment horizontal="left" vertical="center" wrapText="1" indent="1"/>
    </xf>
    <xf numFmtId="0" fontId="35" fillId="0" borderId="11" xfId="0" applyFont="1" applyBorder="1" applyAlignment="1">
      <alignment horizontal="left" vertical="center" wrapText="1" indent="1"/>
    </xf>
    <xf numFmtId="0" fontId="35" fillId="0" borderId="12" xfId="0" applyFont="1" applyBorder="1" applyAlignment="1">
      <alignment horizontal="left" vertical="center" wrapText="1" indent="1"/>
    </xf>
    <xf numFmtId="0" fontId="13" fillId="0" borderId="10" xfId="0" applyFont="1" applyBorder="1" applyAlignment="1">
      <alignment vertical="center" wrapText="1"/>
    </xf>
    <xf numFmtId="0" fontId="13" fillId="0" borderId="12" xfId="0" applyFont="1" applyBorder="1" applyAlignment="1">
      <alignment vertical="center" wrapText="1"/>
    </xf>
    <xf numFmtId="0" fontId="35" fillId="0" borderId="31" xfId="0" applyFont="1" applyBorder="1" applyAlignment="1">
      <alignment vertical="center" wrapText="1"/>
    </xf>
    <xf numFmtId="0" fontId="35" fillId="0" borderId="32" xfId="0" applyFont="1" applyBorder="1" applyAlignment="1">
      <alignment vertical="center" wrapText="1"/>
    </xf>
    <xf numFmtId="0" fontId="35" fillId="0" borderId="33" xfId="0" applyFont="1" applyBorder="1" applyAlignment="1">
      <alignment vertical="center" wrapText="1"/>
    </xf>
    <xf numFmtId="0" fontId="11" fillId="0" borderId="34" xfId="0" applyFont="1" applyBorder="1" applyAlignment="1">
      <alignment vertical="center" wrapText="1"/>
    </xf>
    <xf numFmtId="0" fontId="11" fillId="0" borderId="35" xfId="0" applyFont="1" applyBorder="1" applyAlignment="1">
      <alignment vertical="center" wrapText="1"/>
    </xf>
    <xf numFmtId="0" fontId="11" fillId="0" borderId="36" xfId="0" applyFont="1" applyBorder="1" applyAlignment="1">
      <alignment vertical="center" wrapText="1"/>
    </xf>
    <xf numFmtId="0" fontId="11" fillId="0" borderId="37" xfId="0" applyFont="1" applyBorder="1" applyAlignment="1">
      <alignment vertical="center" wrapText="1"/>
    </xf>
    <xf numFmtId="0" fontId="11" fillId="0" borderId="38" xfId="0" applyFont="1" applyBorder="1" applyAlignment="1">
      <alignment vertical="center" wrapText="1"/>
    </xf>
    <xf numFmtId="0" fontId="11" fillId="0" borderId="39" xfId="0" applyFont="1" applyBorder="1" applyAlignment="1">
      <alignment vertical="center" wrapText="1"/>
    </xf>
    <xf numFmtId="0" fontId="13" fillId="0" borderId="2" xfId="0" applyFont="1" applyBorder="1" applyAlignment="1">
      <alignment vertical="center" wrapText="1"/>
    </xf>
    <xf numFmtId="0" fontId="13" fillId="0" borderId="4" xfId="0" applyFont="1" applyBorder="1" applyAlignment="1">
      <alignment vertical="center" wrapText="1"/>
    </xf>
    <xf numFmtId="0" fontId="13" fillId="0" borderId="5" xfId="0" applyFont="1" applyBorder="1" applyAlignment="1">
      <alignment vertical="center" wrapText="1"/>
    </xf>
    <xf numFmtId="0" fontId="13" fillId="0" borderId="6" xfId="0" applyFont="1" applyBorder="1" applyAlignment="1">
      <alignment vertical="center" wrapText="1"/>
    </xf>
    <xf numFmtId="0" fontId="13" fillId="0" borderId="7" xfId="0" applyFont="1" applyBorder="1" applyAlignment="1">
      <alignment vertical="center" wrapText="1"/>
    </xf>
    <xf numFmtId="0" fontId="13" fillId="0" borderId="9" xfId="0" applyFont="1" applyBorder="1" applyAlignment="1">
      <alignment vertical="center" wrapText="1"/>
    </xf>
    <xf numFmtId="0" fontId="35" fillId="0" borderId="10" xfId="0" applyFont="1" applyBorder="1" applyAlignment="1">
      <alignment horizontal="left" vertical="center" wrapText="1" indent="4"/>
    </xf>
    <xf numFmtId="0" fontId="35" fillId="0" borderId="11" xfId="0" applyFont="1" applyBorder="1" applyAlignment="1">
      <alignment horizontal="left" vertical="center" wrapText="1" indent="4"/>
    </xf>
    <xf numFmtId="0" fontId="35" fillId="0" borderId="12" xfId="0" applyFont="1" applyBorder="1" applyAlignment="1">
      <alignment horizontal="left" vertical="center" wrapText="1" indent="4"/>
    </xf>
    <xf numFmtId="0" fontId="35" fillId="0" borderId="31" xfId="0" applyFont="1" applyBorder="1" applyAlignment="1">
      <alignment horizontal="left" vertical="center" wrapText="1" indent="5"/>
    </xf>
    <xf numFmtId="0" fontId="35" fillId="0" borderId="33" xfId="0" applyFont="1" applyBorder="1" applyAlignment="1">
      <alignment horizontal="left" vertical="center" wrapText="1" indent="5"/>
    </xf>
    <xf numFmtId="0" fontId="35" fillId="0" borderId="32" xfId="0" applyFont="1" applyBorder="1" applyAlignment="1">
      <alignment horizontal="left" vertical="center" wrapText="1" indent="5"/>
    </xf>
    <xf numFmtId="0" fontId="13" fillId="0" borderId="31" xfId="0" applyFont="1" applyBorder="1" applyAlignment="1">
      <alignment vertical="center" wrapText="1"/>
    </xf>
    <xf numFmtId="0" fontId="13" fillId="0" borderId="32" xfId="0" applyFont="1" applyBorder="1" applyAlignment="1">
      <alignment vertical="center" wrapText="1"/>
    </xf>
    <xf numFmtId="0" fontId="35" fillId="0" borderId="10" xfId="0" applyFont="1" applyBorder="1" applyAlignment="1">
      <alignment horizontal="left" vertical="center" wrapText="1" indent="2"/>
    </xf>
    <xf numFmtId="0" fontId="35" fillId="0" borderId="11" xfId="0" applyFont="1" applyBorder="1" applyAlignment="1">
      <alignment horizontal="left" vertical="center" wrapText="1" indent="2"/>
    </xf>
    <xf numFmtId="0" fontId="35" fillId="0" borderId="12" xfId="0" applyFont="1" applyBorder="1" applyAlignment="1">
      <alignment horizontal="left" vertical="center" wrapText="1" indent="2"/>
    </xf>
    <xf numFmtId="0" fontId="38" fillId="8" borderId="10" xfId="0" applyFont="1" applyFill="1" applyBorder="1" applyAlignment="1">
      <alignment vertical="center" wrapText="1"/>
    </xf>
    <xf numFmtId="0" fontId="38" fillId="8" borderId="12" xfId="0" applyFont="1" applyFill="1" applyBorder="1" applyAlignment="1">
      <alignment vertical="center" wrapText="1"/>
    </xf>
    <xf numFmtId="0" fontId="35" fillId="0" borderId="10" xfId="0" applyFont="1" applyBorder="1" applyAlignment="1">
      <alignment horizontal="left" vertical="center" wrapText="1" indent="5"/>
    </xf>
    <xf numFmtId="0" fontId="35" fillId="0" borderId="11" xfId="0" applyFont="1" applyBorder="1" applyAlignment="1">
      <alignment horizontal="left" vertical="center" wrapText="1" indent="5"/>
    </xf>
    <xf numFmtId="0" fontId="35" fillId="0" borderId="12" xfId="0" applyFont="1" applyBorder="1" applyAlignment="1">
      <alignment horizontal="left" vertical="center" wrapText="1" indent="5"/>
    </xf>
    <xf numFmtId="0" fontId="16" fillId="0" borderId="16" xfId="0" applyFont="1" applyBorder="1" applyAlignment="1">
      <alignment horizontal="left" vertical="center" wrapText="1"/>
    </xf>
    <xf numFmtId="0" fontId="11" fillId="0" borderId="10" xfId="0" applyFont="1" applyBorder="1" applyAlignment="1">
      <alignment horizontal="left" vertical="center" wrapText="1" indent="1"/>
    </xf>
    <xf numFmtId="0" fontId="11" fillId="0" borderId="11" xfId="0" applyFont="1" applyBorder="1" applyAlignment="1">
      <alignment horizontal="left" vertical="center" wrapText="1" indent="1"/>
    </xf>
    <xf numFmtId="0" fontId="11" fillId="0" borderId="12" xfId="0" applyFont="1" applyBorder="1" applyAlignment="1">
      <alignment horizontal="left" vertical="center" wrapText="1" indent="1"/>
    </xf>
    <xf numFmtId="0" fontId="11" fillId="0" borderId="10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35" fillId="0" borderId="40" xfId="0" applyFont="1" applyBorder="1" applyAlignment="1">
      <alignment vertical="center" wrapText="1"/>
    </xf>
    <xf numFmtId="0" fontId="35" fillId="0" borderId="41" xfId="0" applyFont="1" applyBorder="1" applyAlignment="1">
      <alignment vertical="center" wrapText="1"/>
    </xf>
    <xf numFmtId="0" fontId="35" fillId="0" borderId="2" xfId="0" applyFont="1" applyBorder="1" applyAlignment="1">
      <alignment vertical="center" wrapText="1"/>
    </xf>
    <xf numFmtId="0" fontId="35" fillId="0" borderId="4" xfId="0" applyFont="1" applyBorder="1" applyAlignment="1">
      <alignment vertical="center" wrapText="1"/>
    </xf>
    <xf numFmtId="0" fontId="35" fillId="0" borderId="7" xfId="0" applyFont="1" applyBorder="1" applyAlignment="1">
      <alignment vertical="center" wrapText="1"/>
    </xf>
    <xf numFmtId="0" fontId="35" fillId="0" borderId="9" xfId="0" applyFont="1" applyBorder="1" applyAlignment="1">
      <alignment vertical="center" wrapText="1"/>
    </xf>
    <xf numFmtId="0" fontId="35" fillId="0" borderId="3" xfId="0" applyFont="1" applyBorder="1" applyAlignment="1">
      <alignment vertical="center" wrapText="1"/>
    </xf>
    <xf numFmtId="0" fontId="35" fillId="0" borderId="8" xfId="0" applyFont="1" applyBorder="1" applyAlignment="1">
      <alignment vertical="center" wrapText="1"/>
    </xf>
    <xf numFmtId="0" fontId="63" fillId="0" borderId="8" xfId="0" applyFont="1" applyBorder="1" applyAlignment="1">
      <alignment horizontal="center"/>
    </xf>
    <xf numFmtId="0" fontId="64" fillId="15" borderId="2" xfId="0" applyFont="1" applyFill="1" applyBorder="1" applyAlignment="1">
      <alignment horizontal="center"/>
    </xf>
    <xf numFmtId="0" fontId="64" fillId="15" borderId="4" xfId="0" applyFont="1" applyFill="1" applyBorder="1" applyAlignment="1">
      <alignment horizontal="center"/>
    </xf>
    <xf numFmtId="0" fontId="64" fillId="16" borderId="2" xfId="0" applyFont="1" applyFill="1" applyBorder="1" applyAlignment="1">
      <alignment horizontal="center"/>
    </xf>
    <xf numFmtId="0" fontId="64" fillId="16" borderId="4" xfId="0" applyFont="1" applyFill="1" applyBorder="1" applyAlignment="1">
      <alignment horizontal="center"/>
    </xf>
  </cellXfs>
  <cellStyles count="20">
    <cellStyle name="Check Cell" xfId="18" builtinId="23"/>
    <cellStyle name="Comma" xfId="4" builtinId="3"/>
    <cellStyle name="Comma 2 2" xfId="7" xr:uid="{00F278A6-D8B3-4A60-B2D1-64B7F6DBAAFB}"/>
    <cellStyle name="Comma 3" xfId="11" xr:uid="{3CE906DA-880B-4854-B6CC-BAB337D3AC02}"/>
    <cellStyle name="Currency" xfId="16" builtinId="4"/>
    <cellStyle name="Currency 2 4" xfId="2" xr:uid="{8C2B571B-1AD2-475D-9D14-38B185F7D7C3}"/>
    <cellStyle name="EvenBodyShade 2" xfId="12" xr:uid="{79E63165-E526-4A6F-9EA1-15C3B6C3E666}"/>
    <cellStyle name="Hyperlink" xfId="15" builtinId="8"/>
    <cellStyle name="Normal" xfId="0" builtinId="0"/>
    <cellStyle name="Normal 2 2" xfId="1" xr:uid="{B5DC5DF7-2B70-4AC9-B09D-F03AA66CD712}"/>
    <cellStyle name="Normal 29 2" xfId="6" xr:uid="{21F5EBF4-1DB7-4C97-B9F0-B155F742A702}"/>
    <cellStyle name="Normal 3" xfId="8" xr:uid="{C624F888-A809-487D-9457-166905C79D8A}"/>
    <cellStyle name="Normal 4" xfId="19" xr:uid="{26DD4295-3786-4933-8978-A7572BF0DDDF}"/>
    <cellStyle name="Normal 65" xfId="14" xr:uid="{94B71493-0356-4579-B67F-CE42462FA30B}"/>
    <cellStyle name="Normal__Computation Mgmt Fee 2003" xfId="9" xr:uid="{B6CED826-06BB-4BD1-891B-6EB15F73F8EF}"/>
    <cellStyle name="Normal_CPOA Insurance  Taxes 2001" xfId="5" xr:uid="{CF083DB1-F2B9-4412-8628-D7E89B66D4F4}"/>
    <cellStyle name="Normal_RE Linda 2" xfId="10" xr:uid="{28D43E37-E385-4520-A2D0-F89EEFFF447A}"/>
    <cellStyle name="OddBodyShade 2" xfId="13" xr:uid="{C3D22AC5-2201-41C5-B3B3-4529D92855C3}"/>
    <cellStyle name="Percent 2 4" xfId="3" xr:uid="{955A2638-51CE-4454-BA5B-419536EF9996}"/>
    <cellStyle name="Percent 3 2" xfId="17" xr:uid="{51752798-DE4A-4084-AC9F-0EE3C97AA39A}"/>
  </cellStyles>
  <dxfs count="8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FFCC"/>
      <color rgb="FF0070C0"/>
      <color rgb="FF16365C"/>
      <color rgb="FFFFCCCC"/>
      <color rgb="FFCCFFFF"/>
      <color rgb="FFFF9999"/>
      <color rgb="FFFF5050"/>
      <color rgb="FF92C9FF"/>
      <color rgb="FF92CFFF"/>
      <color rgb="FF92C9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AA$40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forms.office.com/r/ejmZjPUM1E" TargetMode="Externa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0</xdr:row>
      <xdr:rowOff>114301</xdr:rowOff>
    </xdr:from>
    <xdr:to>
      <xdr:col>4</xdr:col>
      <xdr:colOff>476250</xdr:colOff>
      <xdr:row>3</xdr:row>
      <xdr:rowOff>38100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29050" y="114301"/>
          <a:ext cx="2600325" cy="7238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Click</a:t>
          </a:r>
          <a:r>
            <a:rPr lang="en-US" sz="1400" b="1" baseline="0"/>
            <a:t> Here to Provide Feedback on the BS Support Schedule!</a:t>
          </a:r>
          <a:endParaRPr lang="en-US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476063</xdr:colOff>
      <xdr:row>2</xdr:row>
      <xdr:rowOff>162859</xdr:rowOff>
    </xdr:from>
    <xdr:to>
      <xdr:col>7</xdr:col>
      <xdr:colOff>2362201</xdr:colOff>
      <xdr:row>6</xdr:row>
      <xdr:rowOff>38100</xdr:rowOff>
    </xdr:to>
    <xdr:sp macro="[0]!PrintActiveSheetTo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229663" y="601009"/>
          <a:ext cx="1886138" cy="675341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Print</a:t>
          </a:r>
          <a:r>
            <a:rPr lang="en-US" sz="1600" b="1" baseline="0"/>
            <a:t> Selected Sheets to PDF</a:t>
          </a:r>
          <a:endParaRPr lang="en-US" sz="1600" b="1"/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9</xdr:col>
      <xdr:colOff>9525</xdr:colOff>
      <xdr:row>2</xdr:row>
      <xdr:rowOff>282122</xdr:rowOff>
    </xdr:to>
    <xdr:sp macro="[0]!Sheet5.AddGLAccoun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C21822-B0C2-47DB-BE71-844C6C7F2E89}"/>
            </a:ext>
          </a:extLst>
        </xdr:cNvPr>
        <xdr:cNvSpPr/>
      </xdr:nvSpPr>
      <xdr:spPr>
        <a:xfrm>
          <a:off x="12627429" y="598714"/>
          <a:ext cx="2241096" cy="282122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>
          <a:noAutofit/>
        </a:bodyPr>
        <a:lstStyle/>
        <a:p>
          <a:pPr algn="l"/>
          <a:r>
            <a:rPr lang="en-US" sz="1400" u="sng" baseline="0">
              <a:solidFill>
                <a:schemeClr val="accent5">
                  <a:lumMod val="75000"/>
                </a:schemeClr>
              </a:solidFill>
            </a:rPr>
            <a:t>Add GL Account</a:t>
          </a:r>
          <a:endParaRPr lang="en-US" sz="1100" u="sng">
            <a:solidFill>
              <a:schemeClr val="accent5">
                <a:lumMod val="75000"/>
              </a:schemeClr>
            </a:solidFill>
          </a:endParaRPr>
        </a:p>
      </xdr:txBody>
    </xdr:sp>
    <xdr:clientData fLocksWithSheet="0"/>
  </xdr:twoCellAnchor>
  <xdr:twoCellAnchor>
    <xdr:from>
      <xdr:col>8</xdr:col>
      <xdr:colOff>0</xdr:colOff>
      <xdr:row>3</xdr:row>
      <xdr:rowOff>0</xdr:rowOff>
    </xdr:from>
    <xdr:to>
      <xdr:col>9</xdr:col>
      <xdr:colOff>38100</xdr:colOff>
      <xdr:row>3</xdr:row>
      <xdr:rowOff>200025</xdr:rowOff>
    </xdr:to>
    <xdr:sp macro="[0]!Sheet5.AddAmortizationScheduleForGLAccoun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EB604E3-DAFE-43AA-B779-BE23A42E7A06}"/>
            </a:ext>
          </a:extLst>
        </xdr:cNvPr>
        <xdr:cNvSpPr/>
      </xdr:nvSpPr>
      <xdr:spPr>
        <a:xfrm>
          <a:off x="12627429" y="898071"/>
          <a:ext cx="2269671" cy="200025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>
          <a:noAutofit/>
        </a:bodyPr>
        <a:lstStyle/>
        <a:p>
          <a:pPr algn="l"/>
          <a:r>
            <a:rPr lang="en-US" sz="1400" u="sng" baseline="0">
              <a:solidFill>
                <a:schemeClr val="accent5">
                  <a:lumMod val="75000"/>
                </a:schemeClr>
              </a:solidFill>
            </a:rPr>
            <a:t>Add Amortization Schedule</a:t>
          </a:r>
          <a:endParaRPr lang="en-US" sz="1400" u="sng">
            <a:solidFill>
              <a:schemeClr val="accent5">
                <a:lumMod val="75000"/>
              </a:schemeClr>
            </a:solidFill>
          </a:endParaRPr>
        </a:p>
      </xdr:txBody>
    </xdr:sp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133351</xdr:colOff>
      <xdr:row>0</xdr:row>
      <xdr:rowOff>114300</xdr:rowOff>
    </xdr:from>
    <xdr:to>
      <xdr:col>14</xdr:col>
      <xdr:colOff>571501</xdr:colOff>
      <xdr:row>2</xdr:row>
      <xdr:rowOff>123825</xdr:rowOff>
    </xdr:to>
    <xdr:sp macro="[0]!PrintPage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258676" y="114300"/>
          <a:ext cx="1657350" cy="657225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Print</a:t>
          </a:r>
          <a:r>
            <a:rPr lang="en-US" sz="1600" b="1" baseline="0"/>
            <a:t> This Sheet to PDF</a:t>
          </a:r>
          <a:endParaRPr lang="en-US" sz="16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156883</xdr:colOff>
      <xdr:row>0</xdr:row>
      <xdr:rowOff>67238</xdr:rowOff>
    </xdr:from>
    <xdr:to>
      <xdr:col>11</xdr:col>
      <xdr:colOff>1804147</xdr:colOff>
      <xdr:row>2</xdr:row>
      <xdr:rowOff>235323</xdr:rowOff>
    </xdr:to>
    <xdr:sp macro="[0]!PrintPage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657295" y="67238"/>
          <a:ext cx="1647264" cy="739585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Print</a:t>
          </a:r>
          <a:r>
            <a:rPr lang="en-US" sz="1600" b="1" baseline="0"/>
            <a:t> This Sheet to PDF</a:t>
          </a:r>
          <a:endParaRPr lang="en-US" sz="16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493059</xdr:colOff>
      <xdr:row>0</xdr:row>
      <xdr:rowOff>47625</xdr:rowOff>
    </xdr:from>
    <xdr:to>
      <xdr:col>14</xdr:col>
      <xdr:colOff>762001</xdr:colOff>
      <xdr:row>2</xdr:row>
      <xdr:rowOff>224118</xdr:rowOff>
    </xdr:to>
    <xdr:sp macro="[0]!PrintPage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7481177" y="47625"/>
          <a:ext cx="1580030" cy="725581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Print</a:t>
          </a:r>
          <a:r>
            <a:rPr lang="en-US" sz="1600" b="1" baseline="0"/>
            <a:t> This Sheet to PDF</a:t>
          </a:r>
          <a:endParaRPr lang="en-US" sz="16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50801</xdr:colOff>
      <xdr:row>0</xdr:row>
      <xdr:rowOff>69851</xdr:rowOff>
    </xdr:from>
    <xdr:to>
      <xdr:col>8</xdr:col>
      <xdr:colOff>971550</xdr:colOff>
      <xdr:row>2</xdr:row>
      <xdr:rowOff>190501</xdr:rowOff>
    </xdr:to>
    <xdr:sp macro="[0]!PrintPage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9547226" y="69851"/>
          <a:ext cx="1577974" cy="67310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Print</a:t>
          </a:r>
          <a:r>
            <a:rPr lang="en-US" sz="1600" b="1" baseline="0"/>
            <a:t> This Sheet to PDF</a:t>
          </a:r>
          <a:endParaRPr lang="en-US" sz="16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486834</xdr:colOff>
      <xdr:row>0</xdr:row>
      <xdr:rowOff>137583</xdr:rowOff>
    </xdr:from>
    <xdr:to>
      <xdr:col>11</xdr:col>
      <xdr:colOff>148168</xdr:colOff>
      <xdr:row>4</xdr:row>
      <xdr:rowOff>65367</xdr:rowOff>
    </xdr:to>
    <xdr:sp macro="[0]!PrintPage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3631334" y="137583"/>
          <a:ext cx="2116667" cy="732117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Print</a:t>
          </a:r>
          <a:r>
            <a:rPr lang="en-US" sz="1600" b="1" baseline="0"/>
            <a:t> This Sheet to PDF</a:t>
          </a:r>
          <a:endParaRPr lang="en-US" sz="16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68356</xdr:colOff>
      <xdr:row>1</xdr:row>
      <xdr:rowOff>49306</xdr:rowOff>
    </xdr:from>
    <xdr:to>
      <xdr:col>8</xdr:col>
      <xdr:colOff>549089</xdr:colOff>
      <xdr:row>3</xdr:row>
      <xdr:rowOff>190500</xdr:rowOff>
    </xdr:to>
    <xdr:sp macro="[0]!PrintPage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EE14AF6-219B-4A02-A984-564C639F4EC9}"/>
            </a:ext>
          </a:extLst>
        </xdr:cNvPr>
        <xdr:cNvSpPr/>
      </xdr:nvSpPr>
      <xdr:spPr>
        <a:xfrm>
          <a:off x="16613281" y="344581"/>
          <a:ext cx="1699933" cy="731744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Print</a:t>
          </a:r>
          <a:r>
            <a:rPr lang="en-US" sz="1600" b="1" baseline="0"/>
            <a:t> This Sheet to PDF</a:t>
          </a:r>
          <a:endParaRPr lang="en-US" sz="16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19050</xdr:colOff>
      <xdr:row>1</xdr:row>
      <xdr:rowOff>133350</xdr:rowOff>
    </xdr:from>
    <xdr:to>
      <xdr:col>42</xdr:col>
      <xdr:colOff>466725</xdr:colOff>
      <xdr:row>3</xdr:row>
      <xdr:rowOff>361950</xdr:rowOff>
    </xdr:to>
    <xdr:sp macro="[0]!PrintPage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4963775" y="428625"/>
          <a:ext cx="1685925" cy="72390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Print</a:t>
          </a:r>
          <a:r>
            <a:rPr lang="en-US" sz="1600" b="1" baseline="0"/>
            <a:t> This Sheet to PDF</a:t>
          </a:r>
          <a:endParaRPr lang="en-US" sz="16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92449</xdr:colOff>
      <xdr:row>0</xdr:row>
      <xdr:rowOff>107158</xdr:rowOff>
    </xdr:from>
    <xdr:to>
      <xdr:col>17</xdr:col>
      <xdr:colOff>481853</xdr:colOff>
      <xdr:row>3</xdr:row>
      <xdr:rowOff>22412</xdr:rowOff>
    </xdr:to>
    <xdr:sp macro="[0]!PrintPage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8324420" y="107158"/>
          <a:ext cx="1599639" cy="722078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Print</a:t>
          </a:r>
          <a:r>
            <a:rPr lang="en-US" sz="1600" b="1" baseline="0"/>
            <a:t> This Sheet to PDF</a:t>
          </a:r>
          <a:endParaRPr lang="en-US" sz="1600" b="1"/>
        </a:p>
      </xdr:txBody>
    </xdr:sp>
    <xdr:clientData/>
  </xdr:twoCellAnchor>
  <xdr:twoCellAnchor>
    <xdr:from>
      <xdr:col>15</xdr:col>
      <xdr:colOff>26146</xdr:colOff>
      <xdr:row>3</xdr:row>
      <xdr:rowOff>145675</xdr:rowOff>
    </xdr:from>
    <xdr:to>
      <xdr:col>18</xdr:col>
      <xdr:colOff>500448</xdr:colOff>
      <xdr:row>5</xdr:row>
      <xdr:rowOff>1974</xdr:rowOff>
    </xdr:to>
    <xdr:sp macro="[0]!Sheet15.AddCapExGLAccoun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525D56C-2185-4D2E-B062-E186DE420084}"/>
            </a:ext>
          </a:extLst>
        </xdr:cNvPr>
        <xdr:cNvSpPr/>
      </xdr:nvSpPr>
      <xdr:spPr>
        <a:xfrm>
          <a:off x="19091087" y="959969"/>
          <a:ext cx="2401714" cy="274652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>
          <a:noAutofit/>
        </a:bodyPr>
        <a:lstStyle/>
        <a:p>
          <a:pPr algn="l"/>
          <a:r>
            <a:rPr lang="en-US" sz="1400" u="sng" baseline="0">
              <a:solidFill>
                <a:schemeClr val="accent5">
                  <a:lumMod val="75000"/>
                </a:schemeClr>
              </a:solidFill>
            </a:rPr>
            <a:t>Add GL Account</a:t>
          </a:r>
          <a:endParaRPr lang="en-US" sz="1100" u="sng">
            <a:solidFill>
              <a:schemeClr val="accent5">
                <a:lumMod val="75000"/>
              </a:schemeClr>
            </a:solidFill>
          </a:endParaRPr>
        </a:p>
      </xdr:txBody>
    </xdr:sp>
    <xdr:clientData fLock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47625</xdr:rowOff>
        </xdr:from>
        <xdr:to>
          <xdr:col>3</xdr:col>
          <xdr:colOff>1504950</xdr:colOff>
          <xdr:row>2</xdr:row>
          <xdr:rowOff>133350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D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39</xdr:row>
          <xdr:rowOff>180975</xdr:rowOff>
        </xdr:from>
        <xdr:to>
          <xdr:col>6</xdr:col>
          <xdr:colOff>219075</xdr:colOff>
          <xdr:row>41</xdr:row>
          <xdr:rowOff>47625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if 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47</xdr:row>
          <xdr:rowOff>171450</xdr:rowOff>
        </xdr:from>
        <xdr:to>
          <xdr:col>6</xdr:col>
          <xdr:colOff>219075</xdr:colOff>
          <xdr:row>49</xdr:row>
          <xdr:rowOff>47625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if 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49</xdr:row>
          <xdr:rowOff>171450</xdr:rowOff>
        </xdr:from>
        <xdr:to>
          <xdr:col>6</xdr:col>
          <xdr:colOff>219075</xdr:colOff>
          <xdr:row>51</xdr:row>
          <xdr:rowOff>47625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1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if Yes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23812</xdr:colOff>
      <xdr:row>56</xdr:row>
      <xdr:rowOff>23813</xdr:rowOff>
    </xdr:from>
    <xdr:to>
      <xdr:col>8</xdr:col>
      <xdr:colOff>2785163</xdr:colOff>
      <xdr:row>59</xdr:row>
      <xdr:rowOff>47542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43312" y="13930313"/>
          <a:ext cx="9609826" cy="669048"/>
        </a:xfrm>
        <a:prstGeom prst="rect">
          <a:avLst/>
        </a:prstGeom>
      </xdr:spPr>
    </xdr:pic>
    <xdr:clientData/>
  </xdr:twoCellAnchor>
  <xdr:twoCellAnchor>
    <xdr:from>
      <xdr:col>4</xdr:col>
      <xdr:colOff>23813</xdr:colOff>
      <xdr:row>59</xdr:row>
      <xdr:rowOff>47625</xdr:rowOff>
    </xdr:from>
    <xdr:to>
      <xdr:col>4</xdr:col>
      <xdr:colOff>345282</xdr:colOff>
      <xdr:row>61</xdr:row>
      <xdr:rowOff>59531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8996363" y="14563725"/>
          <a:ext cx="321469" cy="392906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1976439</xdr:colOff>
      <xdr:row>0</xdr:row>
      <xdr:rowOff>47625</xdr:rowOff>
    </xdr:from>
    <xdr:to>
      <xdr:col>8</xdr:col>
      <xdr:colOff>4093106</xdr:colOff>
      <xdr:row>2</xdr:row>
      <xdr:rowOff>101086</xdr:rowOff>
    </xdr:to>
    <xdr:sp macro="[0]!PrintPage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716252" y="47625"/>
          <a:ext cx="2116667" cy="732117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Print</a:t>
          </a:r>
          <a:r>
            <a:rPr lang="en-US" sz="1600" b="1" baseline="0"/>
            <a:t> This Sheet to PDF</a:t>
          </a:r>
          <a:endParaRPr lang="en-US" sz="16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0</xdr:row>
      <xdr:rowOff>295275</xdr:rowOff>
    </xdr:from>
    <xdr:to>
      <xdr:col>6</xdr:col>
      <xdr:colOff>171449</xdr:colOff>
      <xdr:row>4</xdr:row>
      <xdr:rowOff>9524</xdr:rowOff>
    </xdr:to>
    <xdr:sp macro="[0]!ImportMappedCO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2954000" y="295275"/>
          <a:ext cx="1285874" cy="676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Import Account Tree Mapping</a:t>
          </a:r>
        </a:p>
      </xdr:txBody>
    </xdr:sp>
    <xdr:clientData/>
  </xdr:twoCellAnchor>
  <xdr:twoCellAnchor editAs="oneCell">
    <xdr:from>
      <xdr:col>1</xdr:col>
      <xdr:colOff>2905125</xdr:colOff>
      <xdr:row>0</xdr:row>
      <xdr:rowOff>276225</xdr:rowOff>
    </xdr:from>
    <xdr:to>
      <xdr:col>2</xdr:col>
      <xdr:colOff>874551</xdr:colOff>
      <xdr:row>3</xdr:row>
      <xdr:rowOff>37006</xdr:rowOff>
    </xdr:to>
    <xdr:pic macro="[0]!SwapColumnContents">
      <xdr:nvPicPr>
        <xdr:cNvPr id="6" name="Picture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62550" y="276225"/>
          <a:ext cx="1798476" cy="5608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www.hennepin.us/PropertyTaxPayments" TargetMode="External"/><Relationship Id="rId1" Type="http://schemas.openxmlformats.org/officeDocument/2006/relationships/hyperlink" Target="https://www.hennepin.us/PropertyTaxPayments" TargetMode="Externa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TenantSwitch.aspx?TenantId=5507575" TargetMode="External"/><Relationship Id="rId299" Type="http://schemas.openxmlformats.org/officeDocument/2006/relationships/hyperlink" Target="TenantSwitch.aspx?TenantId=4516874" TargetMode="External"/><Relationship Id="rId21" Type="http://schemas.openxmlformats.org/officeDocument/2006/relationships/hyperlink" Target="TenantSwitch.aspx?TenantId=4654033" TargetMode="External"/><Relationship Id="rId63" Type="http://schemas.openxmlformats.org/officeDocument/2006/relationships/hyperlink" Target="TenantSwitch.aspx?TenantId=4516712" TargetMode="External"/><Relationship Id="rId159" Type="http://schemas.openxmlformats.org/officeDocument/2006/relationships/hyperlink" Target="TenantSwitch.aspx?TenantId=4516788" TargetMode="External"/><Relationship Id="rId324" Type="http://schemas.openxmlformats.org/officeDocument/2006/relationships/hyperlink" Target="TenantSwitch.aspx?TenantId=4516793" TargetMode="External"/><Relationship Id="rId366" Type="http://schemas.openxmlformats.org/officeDocument/2006/relationships/hyperlink" Target="TenantSwitch.aspx?TenantId=5147300" TargetMode="External"/><Relationship Id="rId170" Type="http://schemas.openxmlformats.org/officeDocument/2006/relationships/hyperlink" Target="TenantSwitch.aspx?TenantId=4946539" TargetMode="External"/><Relationship Id="rId226" Type="http://schemas.openxmlformats.org/officeDocument/2006/relationships/hyperlink" Target="TenantSwitch.aspx?TenantId=5427903" TargetMode="External"/><Relationship Id="rId433" Type="http://schemas.openxmlformats.org/officeDocument/2006/relationships/hyperlink" Target="TenantSwitch.aspx?TenantId=4516646" TargetMode="External"/><Relationship Id="rId268" Type="http://schemas.openxmlformats.org/officeDocument/2006/relationships/hyperlink" Target="TenantSwitch.aspx?TenantId=4516665" TargetMode="External"/><Relationship Id="rId32" Type="http://schemas.openxmlformats.org/officeDocument/2006/relationships/hyperlink" Target="TenantSwitch.aspx?TenantId=5329509" TargetMode="External"/><Relationship Id="rId74" Type="http://schemas.openxmlformats.org/officeDocument/2006/relationships/hyperlink" Target="TenantSwitch.aspx?TenantId=4516735" TargetMode="External"/><Relationship Id="rId128" Type="http://schemas.openxmlformats.org/officeDocument/2006/relationships/hyperlink" Target="TenantSwitch.aspx?TenantId=5274714" TargetMode="External"/><Relationship Id="rId335" Type="http://schemas.openxmlformats.org/officeDocument/2006/relationships/hyperlink" Target="TenantSwitch.aspx?TenantId=4853262" TargetMode="External"/><Relationship Id="rId377" Type="http://schemas.openxmlformats.org/officeDocument/2006/relationships/hyperlink" Target="TenantSwitch.aspx?TenantId=4516569" TargetMode="External"/><Relationship Id="rId5" Type="http://schemas.openxmlformats.org/officeDocument/2006/relationships/hyperlink" Target="TenantSwitch.aspx?TenantId=4516809" TargetMode="External"/><Relationship Id="rId181" Type="http://schemas.openxmlformats.org/officeDocument/2006/relationships/hyperlink" Target="TenantSwitch.aspx?TenantId=5410956" TargetMode="External"/><Relationship Id="rId237" Type="http://schemas.openxmlformats.org/officeDocument/2006/relationships/hyperlink" Target="TenantSwitch.aspx?TenantId=4516725" TargetMode="External"/><Relationship Id="rId402" Type="http://schemas.openxmlformats.org/officeDocument/2006/relationships/hyperlink" Target="TenantSwitch.aspx?TenantId=4516763" TargetMode="External"/><Relationship Id="rId279" Type="http://schemas.openxmlformats.org/officeDocument/2006/relationships/hyperlink" Target="TenantSwitch.aspx?TenantId=5343912" TargetMode="External"/><Relationship Id="rId444" Type="http://schemas.openxmlformats.org/officeDocument/2006/relationships/hyperlink" Target="TenantSwitch.aspx?TenantId=4516619" TargetMode="External"/><Relationship Id="rId43" Type="http://schemas.openxmlformats.org/officeDocument/2006/relationships/hyperlink" Target="TenantSwitch.aspx?TenantId=5427219" TargetMode="External"/><Relationship Id="rId139" Type="http://schemas.openxmlformats.org/officeDocument/2006/relationships/hyperlink" Target="TenantSwitch.aspx?TenantId=4516916" TargetMode="External"/><Relationship Id="rId290" Type="http://schemas.openxmlformats.org/officeDocument/2006/relationships/hyperlink" Target="TenantSwitch.aspx?TenantId=4516595" TargetMode="External"/><Relationship Id="rId304" Type="http://schemas.openxmlformats.org/officeDocument/2006/relationships/hyperlink" Target="TenantSwitch.aspx?TenantId=5343412" TargetMode="External"/><Relationship Id="rId346" Type="http://schemas.openxmlformats.org/officeDocument/2006/relationships/hyperlink" Target="TenantSwitch.aspx?TenantId=4516540" TargetMode="External"/><Relationship Id="rId388" Type="http://schemas.openxmlformats.org/officeDocument/2006/relationships/hyperlink" Target="TenantSwitch.aspx?TenantId=4993942" TargetMode="External"/><Relationship Id="rId85" Type="http://schemas.openxmlformats.org/officeDocument/2006/relationships/hyperlink" Target="TenantSwitch.aspx?TenantId=4516621" TargetMode="External"/><Relationship Id="rId150" Type="http://schemas.openxmlformats.org/officeDocument/2006/relationships/hyperlink" Target="TenantSwitch.aspx?TenantId=5092476" TargetMode="External"/><Relationship Id="rId192" Type="http://schemas.openxmlformats.org/officeDocument/2006/relationships/hyperlink" Target="TenantSwitch.aspx?TenantId=4516664" TargetMode="External"/><Relationship Id="rId206" Type="http://schemas.openxmlformats.org/officeDocument/2006/relationships/hyperlink" Target="TenantSwitch.aspx?TenantId=4985973" TargetMode="External"/><Relationship Id="rId413" Type="http://schemas.openxmlformats.org/officeDocument/2006/relationships/hyperlink" Target="TenantSwitch.aspx?TenantId=4516614" TargetMode="External"/><Relationship Id="rId248" Type="http://schemas.openxmlformats.org/officeDocument/2006/relationships/hyperlink" Target="TenantSwitch.aspx?TenantId=4516575" TargetMode="External"/><Relationship Id="rId12" Type="http://schemas.openxmlformats.org/officeDocument/2006/relationships/hyperlink" Target="TenantSwitch.aspx?TenantId=5501817" TargetMode="External"/><Relationship Id="rId108" Type="http://schemas.openxmlformats.org/officeDocument/2006/relationships/hyperlink" Target="TenantSwitch.aspx?TenantId=4818051" TargetMode="External"/><Relationship Id="rId315" Type="http://schemas.openxmlformats.org/officeDocument/2006/relationships/hyperlink" Target="TenantSwitch.aspx?TenantId=5332698" TargetMode="External"/><Relationship Id="rId357" Type="http://schemas.openxmlformats.org/officeDocument/2006/relationships/hyperlink" Target="TenantSwitch.aspx?TenantId=5110188" TargetMode="External"/><Relationship Id="rId54" Type="http://schemas.openxmlformats.org/officeDocument/2006/relationships/hyperlink" Target="TenantSwitch.aspx?TenantId=4772320" TargetMode="External"/><Relationship Id="rId96" Type="http://schemas.openxmlformats.org/officeDocument/2006/relationships/hyperlink" Target="TenantSwitch.aspx?TenantId=5560137" TargetMode="External"/><Relationship Id="rId161" Type="http://schemas.openxmlformats.org/officeDocument/2006/relationships/hyperlink" Target="TenantSwitch.aspx?TenantId=4516752" TargetMode="External"/><Relationship Id="rId217" Type="http://schemas.openxmlformats.org/officeDocument/2006/relationships/hyperlink" Target="TenantSwitch.aspx?TenantId=4516577" TargetMode="External"/><Relationship Id="rId399" Type="http://schemas.openxmlformats.org/officeDocument/2006/relationships/hyperlink" Target="TenantSwitch.aspx?TenantId=5475572" TargetMode="External"/><Relationship Id="rId259" Type="http://schemas.openxmlformats.org/officeDocument/2006/relationships/hyperlink" Target="TenantSwitch.aspx?TenantId=4516961" TargetMode="External"/><Relationship Id="rId424" Type="http://schemas.openxmlformats.org/officeDocument/2006/relationships/hyperlink" Target="TenantSwitch.aspx?TenantId=5384742" TargetMode="External"/><Relationship Id="rId23" Type="http://schemas.openxmlformats.org/officeDocument/2006/relationships/hyperlink" Target="TenantSwitch.aspx?TenantId=4516679" TargetMode="External"/><Relationship Id="rId119" Type="http://schemas.openxmlformats.org/officeDocument/2006/relationships/hyperlink" Target="TenantSwitch.aspx?TenantId=4516706" TargetMode="External"/><Relationship Id="rId270" Type="http://schemas.openxmlformats.org/officeDocument/2006/relationships/hyperlink" Target="TenantSwitch.aspx?TenantId=4516673" TargetMode="External"/><Relationship Id="rId326" Type="http://schemas.openxmlformats.org/officeDocument/2006/relationships/hyperlink" Target="TenantSwitch.aspx?TenantId=4516906" TargetMode="External"/><Relationship Id="rId65" Type="http://schemas.openxmlformats.org/officeDocument/2006/relationships/hyperlink" Target="TenantSwitch.aspx?TenantId=4516612" TargetMode="External"/><Relationship Id="rId130" Type="http://schemas.openxmlformats.org/officeDocument/2006/relationships/hyperlink" Target="TenantSwitch.aspx?TenantId=4842100" TargetMode="External"/><Relationship Id="rId368" Type="http://schemas.openxmlformats.org/officeDocument/2006/relationships/hyperlink" Target="TenantSwitch.aspx?TenantId=5168627" TargetMode="External"/><Relationship Id="rId172" Type="http://schemas.openxmlformats.org/officeDocument/2006/relationships/hyperlink" Target="TenantSwitch.aspx?TenantId=5162136" TargetMode="External"/><Relationship Id="rId228" Type="http://schemas.openxmlformats.org/officeDocument/2006/relationships/hyperlink" Target="TenantSwitch.aspx?TenantId=4858793" TargetMode="External"/><Relationship Id="rId435" Type="http://schemas.openxmlformats.org/officeDocument/2006/relationships/hyperlink" Target="TenantSwitch.aspx?TenantId=4516985" TargetMode="External"/><Relationship Id="rId281" Type="http://schemas.openxmlformats.org/officeDocument/2006/relationships/hyperlink" Target="TenantSwitch.aspx?TenantId=4516980" TargetMode="External"/><Relationship Id="rId337" Type="http://schemas.openxmlformats.org/officeDocument/2006/relationships/hyperlink" Target="TenantSwitch.aspx?TenantId=5092207" TargetMode="External"/><Relationship Id="rId34" Type="http://schemas.openxmlformats.org/officeDocument/2006/relationships/hyperlink" Target="TenantSwitch.aspx?TenantId=5498735" TargetMode="External"/><Relationship Id="rId76" Type="http://schemas.openxmlformats.org/officeDocument/2006/relationships/hyperlink" Target="TenantSwitch.aspx?TenantId=5194707" TargetMode="External"/><Relationship Id="rId141" Type="http://schemas.openxmlformats.org/officeDocument/2006/relationships/hyperlink" Target="TenantSwitch.aspx?TenantId=4516687" TargetMode="External"/><Relationship Id="rId379" Type="http://schemas.openxmlformats.org/officeDocument/2006/relationships/hyperlink" Target="TenantSwitch.aspx?TenantId=5062952" TargetMode="External"/><Relationship Id="rId7" Type="http://schemas.openxmlformats.org/officeDocument/2006/relationships/hyperlink" Target="TenantSwitch.aspx?TenantId=5074472" TargetMode="External"/><Relationship Id="rId183" Type="http://schemas.openxmlformats.org/officeDocument/2006/relationships/hyperlink" Target="TenantSwitch.aspx?TenantId=4516531" TargetMode="External"/><Relationship Id="rId239" Type="http://schemas.openxmlformats.org/officeDocument/2006/relationships/hyperlink" Target="TenantSwitch.aspx?TenantId=4818420" TargetMode="External"/><Relationship Id="rId390" Type="http://schemas.openxmlformats.org/officeDocument/2006/relationships/hyperlink" Target="TenantSwitch.aspx?TenantId=4516892" TargetMode="External"/><Relationship Id="rId404" Type="http://schemas.openxmlformats.org/officeDocument/2006/relationships/hyperlink" Target="TenantSwitch.aspx?TenantId=4516999" TargetMode="External"/><Relationship Id="rId446" Type="http://schemas.openxmlformats.org/officeDocument/2006/relationships/hyperlink" Target="TenantSwitch.aspx?TenantId=4516782" TargetMode="External"/><Relationship Id="rId250" Type="http://schemas.openxmlformats.org/officeDocument/2006/relationships/hyperlink" Target="TenantSwitch.aspx?TenantId=4516944" TargetMode="External"/><Relationship Id="rId292" Type="http://schemas.openxmlformats.org/officeDocument/2006/relationships/hyperlink" Target="TenantSwitch.aspx?TenantId=5290207" TargetMode="External"/><Relationship Id="rId306" Type="http://schemas.openxmlformats.org/officeDocument/2006/relationships/hyperlink" Target="TenantSwitch.aspx?TenantId=4852088" TargetMode="External"/><Relationship Id="rId45" Type="http://schemas.openxmlformats.org/officeDocument/2006/relationships/hyperlink" Target="TenantSwitch.aspx?TenantId=4539238" TargetMode="External"/><Relationship Id="rId87" Type="http://schemas.openxmlformats.org/officeDocument/2006/relationships/hyperlink" Target="TenantSwitch.aspx?TenantId=4853249" TargetMode="External"/><Relationship Id="rId110" Type="http://schemas.openxmlformats.org/officeDocument/2006/relationships/hyperlink" Target="TenantSwitch.aspx?TenantId=4516557" TargetMode="External"/><Relationship Id="rId348" Type="http://schemas.openxmlformats.org/officeDocument/2006/relationships/hyperlink" Target="TenantSwitch.aspx?TenantId=4516825" TargetMode="External"/><Relationship Id="rId152" Type="http://schemas.openxmlformats.org/officeDocument/2006/relationships/hyperlink" Target="TenantSwitch.aspx?TenantId=4516628" TargetMode="External"/><Relationship Id="rId194" Type="http://schemas.openxmlformats.org/officeDocument/2006/relationships/hyperlink" Target="TenantSwitch.aspx?TenantId=4952692" TargetMode="External"/><Relationship Id="rId208" Type="http://schemas.openxmlformats.org/officeDocument/2006/relationships/hyperlink" Target="TenantSwitch.aspx?TenantId=4909625" TargetMode="External"/><Relationship Id="rId415" Type="http://schemas.openxmlformats.org/officeDocument/2006/relationships/hyperlink" Target="TenantSwitch.aspx?TenantId=5254332" TargetMode="External"/><Relationship Id="rId261" Type="http://schemas.openxmlformats.org/officeDocument/2006/relationships/hyperlink" Target="TenantSwitch.aspx?TenantId=4516629" TargetMode="External"/><Relationship Id="rId14" Type="http://schemas.openxmlformats.org/officeDocument/2006/relationships/hyperlink" Target="TenantSwitch.aspx?TenantId=4516858" TargetMode="External"/><Relationship Id="rId56" Type="http://schemas.openxmlformats.org/officeDocument/2006/relationships/hyperlink" Target="TenantSwitch.aspx?TenantId=4516757" TargetMode="External"/><Relationship Id="rId317" Type="http://schemas.openxmlformats.org/officeDocument/2006/relationships/hyperlink" Target="TenantSwitch.aspx?TenantId=5023891" TargetMode="External"/><Relationship Id="rId359" Type="http://schemas.openxmlformats.org/officeDocument/2006/relationships/hyperlink" Target="TenantSwitch.aspx?TenantId=4516635" TargetMode="External"/><Relationship Id="rId98" Type="http://schemas.openxmlformats.org/officeDocument/2006/relationships/hyperlink" Target="TenantSwitch.aspx?TenantId=4516775" TargetMode="External"/><Relationship Id="rId121" Type="http://schemas.openxmlformats.org/officeDocument/2006/relationships/hyperlink" Target="TenantSwitch.aspx?TenantId=5028402" TargetMode="External"/><Relationship Id="rId163" Type="http://schemas.openxmlformats.org/officeDocument/2006/relationships/hyperlink" Target="TenantSwitch.aspx?TenantId=5071808" TargetMode="External"/><Relationship Id="rId219" Type="http://schemas.openxmlformats.org/officeDocument/2006/relationships/hyperlink" Target="TenantSwitch.aspx?TenantId=4516873" TargetMode="External"/><Relationship Id="rId370" Type="http://schemas.openxmlformats.org/officeDocument/2006/relationships/hyperlink" Target="TenantSwitch.aspx?TenantId=4942777" TargetMode="External"/><Relationship Id="rId426" Type="http://schemas.openxmlformats.org/officeDocument/2006/relationships/hyperlink" Target="TenantSwitch.aspx?TenantId=5158519" TargetMode="External"/><Relationship Id="rId230" Type="http://schemas.openxmlformats.org/officeDocument/2006/relationships/hyperlink" Target="TenantSwitch.aspx?TenantId=5429516" TargetMode="External"/><Relationship Id="rId25" Type="http://schemas.openxmlformats.org/officeDocument/2006/relationships/hyperlink" Target="TenantSwitch.aspx?TenantId=4516723" TargetMode="External"/><Relationship Id="rId67" Type="http://schemas.openxmlformats.org/officeDocument/2006/relationships/hyperlink" Target="TenantSwitch.aspx?TenantId=5220617" TargetMode="External"/><Relationship Id="rId272" Type="http://schemas.openxmlformats.org/officeDocument/2006/relationships/hyperlink" Target="TenantSwitch.aspx?TenantId=4516726" TargetMode="External"/><Relationship Id="rId328" Type="http://schemas.openxmlformats.org/officeDocument/2006/relationships/hyperlink" Target="TenantSwitch.aspx?TenantId=4516542" TargetMode="External"/><Relationship Id="rId132" Type="http://schemas.openxmlformats.org/officeDocument/2006/relationships/hyperlink" Target="TenantSwitch.aspx?TenantId=5018940" TargetMode="External"/><Relationship Id="rId174" Type="http://schemas.openxmlformats.org/officeDocument/2006/relationships/hyperlink" Target="TenantSwitch.aspx?TenantId=4516596" TargetMode="External"/><Relationship Id="rId381" Type="http://schemas.openxmlformats.org/officeDocument/2006/relationships/hyperlink" Target="TenantSwitch.aspx?TenantId=5271309" TargetMode="External"/><Relationship Id="rId241" Type="http://schemas.openxmlformats.org/officeDocument/2006/relationships/hyperlink" Target="TenantSwitch.aspx?TenantId=4516736" TargetMode="External"/><Relationship Id="rId437" Type="http://schemas.openxmlformats.org/officeDocument/2006/relationships/hyperlink" Target="TenantSwitch.aspx?TenantId=4516565" TargetMode="External"/><Relationship Id="rId36" Type="http://schemas.openxmlformats.org/officeDocument/2006/relationships/hyperlink" Target="TenantSwitch.aspx?TenantId=5544896" TargetMode="External"/><Relationship Id="rId283" Type="http://schemas.openxmlformats.org/officeDocument/2006/relationships/hyperlink" Target="TenantSwitch.aspx?TenantId=4924605" TargetMode="External"/><Relationship Id="rId339" Type="http://schemas.openxmlformats.org/officeDocument/2006/relationships/hyperlink" Target="TenantSwitch.aspx?TenantId=4516987" TargetMode="External"/><Relationship Id="rId78" Type="http://schemas.openxmlformats.org/officeDocument/2006/relationships/hyperlink" Target="TenantSwitch.aspx?TenantId=5073624" TargetMode="External"/><Relationship Id="rId101" Type="http://schemas.openxmlformats.org/officeDocument/2006/relationships/hyperlink" Target="TenantSwitch.aspx?TenantId=4516981" TargetMode="External"/><Relationship Id="rId143" Type="http://schemas.openxmlformats.org/officeDocument/2006/relationships/hyperlink" Target="TenantSwitch.aspx?TenantId=4516893" TargetMode="External"/><Relationship Id="rId185" Type="http://schemas.openxmlformats.org/officeDocument/2006/relationships/hyperlink" Target="TenantSwitch.aspx?TenantId=4516745" TargetMode="External"/><Relationship Id="rId350" Type="http://schemas.openxmlformats.org/officeDocument/2006/relationships/hyperlink" Target="TenantSwitch.aspx?TenantId=5051353" TargetMode="External"/><Relationship Id="rId406" Type="http://schemas.openxmlformats.org/officeDocument/2006/relationships/hyperlink" Target="TenantSwitch.aspx?TenantId=4516918" TargetMode="External"/><Relationship Id="rId9" Type="http://schemas.openxmlformats.org/officeDocument/2006/relationships/hyperlink" Target="TenantSwitch.aspx?TenantId=4516721" TargetMode="External"/><Relationship Id="rId210" Type="http://schemas.openxmlformats.org/officeDocument/2006/relationships/hyperlink" Target="TenantSwitch.aspx?TenantId=5062527" TargetMode="External"/><Relationship Id="rId392" Type="http://schemas.openxmlformats.org/officeDocument/2006/relationships/hyperlink" Target="TenantSwitch.aspx?TenantId=5368625" TargetMode="External"/><Relationship Id="rId448" Type="http://schemas.openxmlformats.org/officeDocument/2006/relationships/hyperlink" Target="TenantSwitch.aspx?TenantId=5453829" TargetMode="External"/><Relationship Id="rId252" Type="http://schemas.openxmlformats.org/officeDocument/2006/relationships/hyperlink" Target="TenantSwitch.aspx?TenantId=4516648" TargetMode="External"/><Relationship Id="rId294" Type="http://schemas.openxmlformats.org/officeDocument/2006/relationships/hyperlink" Target="TenantSwitch.aspx?TenantId=5372469" TargetMode="External"/><Relationship Id="rId308" Type="http://schemas.openxmlformats.org/officeDocument/2006/relationships/hyperlink" Target="TenantSwitch.aspx?TenantId=5079414" TargetMode="External"/><Relationship Id="rId47" Type="http://schemas.openxmlformats.org/officeDocument/2006/relationships/hyperlink" Target="TenantSwitch.aspx?TenantId=4516947" TargetMode="External"/><Relationship Id="rId89" Type="http://schemas.openxmlformats.org/officeDocument/2006/relationships/hyperlink" Target="TenantSwitch.aspx?TenantId=4516556" TargetMode="External"/><Relationship Id="rId112" Type="http://schemas.openxmlformats.org/officeDocument/2006/relationships/hyperlink" Target="TenantSwitch.aspx?TenantId=4516632" TargetMode="External"/><Relationship Id="rId154" Type="http://schemas.openxmlformats.org/officeDocument/2006/relationships/hyperlink" Target="TenantSwitch.aspx?TenantId=5017758" TargetMode="External"/><Relationship Id="rId361" Type="http://schemas.openxmlformats.org/officeDocument/2006/relationships/hyperlink" Target="TenantSwitch.aspx?TenantId=4516898" TargetMode="External"/><Relationship Id="rId196" Type="http://schemas.openxmlformats.org/officeDocument/2006/relationships/hyperlink" Target="TenantSwitch.aspx?TenantId=4538988" TargetMode="External"/><Relationship Id="rId417" Type="http://schemas.openxmlformats.org/officeDocument/2006/relationships/hyperlink" Target="TenantSwitch.aspx?TenantId=5101705" TargetMode="External"/><Relationship Id="rId16" Type="http://schemas.openxmlformats.org/officeDocument/2006/relationships/hyperlink" Target="TenantSwitch.aspx?TenantId=4516675" TargetMode="External"/><Relationship Id="rId221" Type="http://schemas.openxmlformats.org/officeDocument/2006/relationships/hyperlink" Target="TenantSwitch.aspx?TenantId=5418208" TargetMode="External"/><Relationship Id="rId263" Type="http://schemas.openxmlformats.org/officeDocument/2006/relationships/hyperlink" Target="TenantSwitch.aspx?TenantId=4516690" TargetMode="External"/><Relationship Id="rId319" Type="http://schemas.openxmlformats.org/officeDocument/2006/relationships/hyperlink" Target="TenantSwitch.aspx?TenantId=4516549" TargetMode="External"/><Relationship Id="rId58" Type="http://schemas.openxmlformats.org/officeDocument/2006/relationships/hyperlink" Target="TenantSwitch.aspx?TenantId=4857490" TargetMode="External"/><Relationship Id="rId123" Type="http://schemas.openxmlformats.org/officeDocument/2006/relationships/hyperlink" Target="TenantSwitch.aspx?TenantId=4516597" TargetMode="External"/><Relationship Id="rId330" Type="http://schemas.openxmlformats.org/officeDocument/2006/relationships/hyperlink" Target="TenantSwitch.aspx?TenantId=5356200" TargetMode="External"/><Relationship Id="rId165" Type="http://schemas.openxmlformats.org/officeDocument/2006/relationships/hyperlink" Target="TenantSwitch.aspx?TenantId=4734335" TargetMode="External"/><Relationship Id="rId372" Type="http://schemas.openxmlformats.org/officeDocument/2006/relationships/hyperlink" Target="TenantSwitch.aspx?TenantId=5419846" TargetMode="External"/><Relationship Id="rId428" Type="http://schemas.openxmlformats.org/officeDocument/2006/relationships/hyperlink" Target="TenantSwitch.aspx?TenantId=4516756" TargetMode="External"/><Relationship Id="rId232" Type="http://schemas.openxmlformats.org/officeDocument/2006/relationships/hyperlink" Target="TenantSwitch.aspx?TenantId=4516749" TargetMode="External"/><Relationship Id="rId274" Type="http://schemas.openxmlformats.org/officeDocument/2006/relationships/hyperlink" Target="TenantSwitch.aspx?TenantId=4516991" TargetMode="External"/><Relationship Id="rId27" Type="http://schemas.openxmlformats.org/officeDocument/2006/relationships/hyperlink" Target="TenantSwitch.aspx?TenantId=4516899" TargetMode="External"/><Relationship Id="rId69" Type="http://schemas.openxmlformats.org/officeDocument/2006/relationships/hyperlink" Target="TenantSwitch.aspx?TenantId=4516957" TargetMode="External"/><Relationship Id="rId134" Type="http://schemas.openxmlformats.org/officeDocument/2006/relationships/hyperlink" Target="TenantSwitch.aspx?TenantId=5101769" TargetMode="External"/><Relationship Id="rId80" Type="http://schemas.openxmlformats.org/officeDocument/2006/relationships/hyperlink" Target="TenantSwitch.aspx?TenantId=4516731" TargetMode="External"/><Relationship Id="rId176" Type="http://schemas.openxmlformats.org/officeDocument/2006/relationships/hyperlink" Target="TenantSwitch.aspx?TenantId=5328012" TargetMode="External"/><Relationship Id="rId341" Type="http://schemas.openxmlformats.org/officeDocument/2006/relationships/hyperlink" Target="TenantSwitch.aspx?TenantId=5132061" TargetMode="External"/><Relationship Id="rId383" Type="http://schemas.openxmlformats.org/officeDocument/2006/relationships/hyperlink" Target="TenantSwitch.aspx?TenantId=5277462" TargetMode="External"/><Relationship Id="rId439" Type="http://schemas.openxmlformats.org/officeDocument/2006/relationships/hyperlink" Target="TenantSwitch.aspx?TenantId=4542413" TargetMode="External"/><Relationship Id="rId201" Type="http://schemas.openxmlformats.org/officeDocument/2006/relationships/hyperlink" Target="TenantSwitch.aspx?TenantId=4516527" TargetMode="External"/><Relationship Id="rId243" Type="http://schemas.openxmlformats.org/officeDocument/2006/relationships/hyperlink" Target="TenantSwitch.aspx?TenantId=4589005" TargetMode="External"/><Relationship Id="rId285" Type="http://schemas.openxmlformats.org/officeDocument/2006/relationships/hyperlink" Target="TenantSwitch.aspx?TenantId=4516603" TargetMode="External"/><Relationship Id="rId38" Type="http://schemas.openxmlformats.org/officeDocument/2006/relationships/hyperlink" Target="TenantSwitch.aspx?TenantId=4516657" TargetMode="External"/><Relationship Id="rId103" Type="http://schemas.openxmlformats.org/officeDocument/2006/relationships/hyperlink" Target="TenantSwitch.aspx?TenantId=4516680" TargetMode="External"/><Relationship Id="rId310" Type="http://schemas.openxmlformats.org/officeDocument/2006/relationships/hyperlink" Target="TenantSwitch.aspx?TenantId=4516845" TargetMode="External"/><Relationship Id="rId91" Type="http://schemas.openxmlformats.org/officeDocument/2006/relationships/hyperlink" Target="TenantSwitch.aspx?TenantId=5420505" TargetMode="External"/><Relationship Id="rId145" Type="http://schemas.openxmlformats.org/officeDocument/2006/relationships/hyperlink" Target="TenantSwitch.aspx?TenantId=4516844" TargetMode="External"/><Relationship Id="rId187" Type="http://schemas.openxmlformats.org/officeDocument/2006/relationships/hyperlink" Target="TenantSwitch.aspx?TenantId=4642097" TargetMode="External"/><Relationship Id="rId352" Type="http://schemas.openxmlformats.org/officeDocument/2006/relationships/hyperlink" Target="TenantSwitch.aspx?TenantId=5357270" TargetMode="External"/><Relationship Id="rId394" Type="http://schemas.openxmlformats.org/officeDocument/2006/relationships/hyperlink" Target="TenantSwitch.aspx?TenantId=4516822" TargetMode="External"/><Relationship Id="rId408" Type="http://schemas.openxmlformats.org/officeDocument/2006/relationships/hyperlink" Target="TenantSwitch.aspx?TenantId=5181624" TargetMode="External"/><Relationship Id="rId212" Type="http://schemas.openxmlformats.org/officeDocument/2006/relationships/hyperlink" Target="TenantSwitch.aspx?TenantId=4516562" TargetMode="External"/><Relationship Id="rId254" Type="http://schemas.openxmlformats.org/officeDocument/2006/relationships/hyperlink" Target="TenantSwitch.aspx?TenantId=4751438" TargetMode="External"/><Relationship Id="rId49" Type="http://schemas.openxmlformats.org/officeDocument/2006/relationships/hyperlink" Target="TenantSwitch.aspx?TenantId=5009076" TargetMode="External"/><Relationship Id="rId114" Type="http://schemas.openxmlformats.org/officeDocument/2006/relationships/hyperlink" Target="TenantSwitch.aspx?TenantId=4516529" TargetMode="External"/><Relationship Id="rId296" Type="http://schemas.openxmlformats.org/officeDocument/2006/relationships/hyperlink" Target="TenantSwitch.aspx?TenantId=4516697" TargetMode="External"/><Relationship Id="rId60" Type="http://schemas.openxmlformats.org/officeDocument/2006/relationships/hyperlink" Target="TenantSwitch.aspx?TenantId=5292323" TargetMode="External"/><Relationship Id="rId156" Type="http://schemas.openxmlformats.org/officeDocument/2006/relationships/hyperlink" Target="TenantSwitch.aspx?TenantId=4516572" TargetMode="External"/><Relationship Id="rId198" Type="http://schemas.openxmlformats.org/officeDocument/2006/relationships/hyperlink" Target="TenantSwitch.aspx?TenantId=4516990" TargetMode="External"/><Relationship Id="rId321" Type="http://schemas.openxmlformats.org/officeDocument/2006/relationships/hyperlink" Target="TenantSwitch.aspx?TenantId=4516764" TargetMode="External"/><Relationship Id="rId363" Type="http://schemas.openxmlformats.org/officeDocument/2006/relationships/hyperlink" Target="TenantSwitch.aspx?TenantId=4516608" TargetMode="External"/><Relationship Id="rId419" Type="http://schemas.openxmlformats.org/officeDocument/2006/relationships/hyperlink" Target="TenantSwitch.aspx?TenantId=4798836" TargetMode="External"/><Relationship Id="rId223" Type="http://schemas.openxmlformats.org/officeDocument/2006/relationships/hyperlink" Target="TenantSwitch.aspx?TenantId=4704827" TargetMode="External"/><Relationship Id="rId430" Type="http://schemas.openxmlformats.org/officeDocument/2006/relationships/hyperlink" Target="TenantSwitch.aspx?TenantId=4516649" TargetMode="External"/><Relationship Id="rId18" Type="http://schemas.openxmlformats.org/officeDocument/2006/relationships/hyperlink" Target="TenantSwitch.aspx?TenantId=4992409" TargetMode="External"/><Relationship Id="rId39" Type="http://schemas.openxmlformats.org/officeDocument/2006/relationships/hyperlink" Target="TenantSwitch.aspx?TenantId=5491223" TargetMode="External"/><Relationship Id="rId265" Type="http://schemas.openxmlformats.org/officeDocument/2006/relationships/hyperlink" Target="TenantSwitch.aspx?TenantId=5047975" TargetMode="External"/><Relationship Id="rId286" Type="http://schemas.openxmlformats.org/officeDocument/2006/relationships/hyperlink" Target="TenantSwitch.aspx?TenantId=5351884" TargetMode="External"/><Relationship Id="rId50" Type="http://schemas.openxmlformats.org/officeDocument/2006/relationships/hyperlink" Target="TenantSwitch.aspx?TenantId=5419043" TargetMode="External"/><Relationship Id="rId104" Type="http://schemas.openxmlformats.org/officeDocument/2006/relationships/hyperlink" Target="TenantSwitch.aspx?TenantId=4516826" TargetMode="External"/><Relationship Id="rId125" Type="http://schemas.openxmlformats.org/officeDocument/2006/relationships/hyperlink" Target="TenantSwitch.aspx?TenantId=5177567" TargetMode="External"/><Relationship Id="rId146" Type="http://schemas.openxmlformats.org/officeDocument/2006/relationships/hyperlink" Target="TenantSwitch.aspx?TenantId=4516705" TargetMode="External"/><Relationship Id="rId167" Type="http://schemas.openxmlformats.org/officeDocument/2006/relationships/hyperlink" Target="TenantSwitch.aspx?TenantId=5044374" TargetMode="External"/><Relationship Id="rId188" Type="http://schemas.openxmlformats.org/officeDocument/2006/relationships/hyperlink" Target="TenantSwitch.aspx?TenantId=5419655" TargetMode="External"/><Relationship Id="rId311" Type="http://schemas.openxmlformats.org/officeDocument/2006/relationships/hyperlink" Target="TenantSwitch.aspx?TenantId=4911191" TargetMode="External"/><Relationship Id="rId332" Type="http://schemas.openxmlformats.org/officeDocument/2006/relationships/hyperlink" Target="TenantSwitch.aspx?TenantId=4516576" TargetMode="External"/><Relationship Id="rId353" Type="http://schemas.openxmlformats.org/officeDocument/2006/relationships/hyperlink" Target="TenantSwitch.aspx?TenantId=4783424" TargetMode="External"/><Relationship Id="rId374" Type="http://schemas.openxmlformats.org/officeDocument/2006/relationships/hyperlink" Target="TenantSwitch.aspx?TenantId=4889151" TargetMode="External"/><Relationship Id="rId395" Type="http://schemas.openxmlformats.org/officeDocument/2006/relationships/hyperlink" Target="TenantSwitch.aspx?TenantId=5378164" TargetMode="External"/><Relationship Id="rId409" Type="http://schemas.openxmlformats.org/officeDocument/2006/relationships/hyperlink" Target="TenantSwitch.aspx?TenantId=4516910" TargetMode="External"/><Relationship Id="rId71" Type="http://schemas.openxmlformats.org/officeDocument/2006/relationships/hyperlink" Target="TenantSwitch.aspx?TenantId=4516566" TargetMode="External"/><Relationship Id="rId92" Type="http://schemas.openxmlformats.org/officeDocument/2006/relationships/hyperlink" Target="TenantSwitch.aspx?TenantId=4516599" TargetMode="External"/><Relationship Id="rId213" Type="http://schemas.openxmlformats.org/officeDocument/2006/relationships/hyperlink" Target="TenantSwitch.aspx?TenantId=4695924" TargetMode="External"/><Relationship Id="rId234" Type="http://schemas.openxmlformats.org/officeDocument/2006/relationships/hyperlink" Target="TenantSwitch.aspx?TenantId=5118685" TargetMode="External"/><Relationship Id="rId420" Type="http://schemas.openxmlformats.org/officeDocument/2006/relationships/hyperlink" Target="TenantSwitch.aspx?TenantId=4516919" TargetMode="External"/><Relationship Id="rId2" Type="http://schemas.openxmlformats.org/officeDocument/2006/relationships/hyperlink" Target="TenantSwitch.aspx?TenantId=4855530" TargetMode="External"/><Relationship Id="rId29" Type="http://schemas.openxmlformats.org/officeDocument/2006/relationships/hyperlink" Target="TenantSwitch.aspx?TenantId=5408774" TargetMode="External"/><Relationship Id="rId255" Type="http://schemas.openxmlformats.org/officeDocument/2006/relationships/hyperlink" Target="TenantSwitch.aspx?TenantId=4516530" TargetMode="External"/><Relationship Id="rId276" Type="http://schemas.openxmlformats.org/officeDocument/2006/relationships/hyperlink" Target="TenantSwitch.aspx?TenantId=4516767" TargetMode="External"/><Relationship Id="rId297" Type="http://schemas.openxmlformats.org/officeDocument/2006/relationships/hyperlink" Target="TenantSwitch.aspx?TenantId=4551002" TargetMode="External"/><Relationship Id="rId441" Type="http://schemas.openxmlformats.org/officeDocument/2006/relationships/hyperlink" Target="TenantSwitch.aspx?TenantId=5133382" TargetMode="External"/><Relationship Id="rId40" Type="http://schemas.openxmlformats.org/officeDocument/2006/relationships/hyperlink" Target="TenantSwitch.aspx?TenantId=4516857" TargetMode="External"/><Relationship Id="rId115" Type="http://schemas.openxmlformats.org/officeDocument/2006/relationships/hyperlink" Target="TenantSwitch.aspx?TenantId=5218088" TargetMode="External"/><Relationship Id="rId136" Type="http://schemas.openxmlformats.org/officeDocument/2006/relationships/hyperlink" Target="TenantSwitch.aspx?TenantId=4516584" TargetMode="External"/><Relationship Id="rId157" Type="http://schemas.openxmlformats.org/officeDocument/2006/relationships/hyperlink" Target="TenantSwitch.aspx?TenantId=5477810" TargetMode="External"/><Relationship Id="rId178" Type="http://schemas.openxmlformats.org/officeDocument/2006/relationships/hyperlink" Target="TenantSwitch.aspx?TenantId=5439225" TargetMode="External"/><Relationship Id="rId301" Type="http://schemas.openxmlformats.org/officeDocument/2006/relationships/hyperlink" Target="TenantSwitch.aspx?TenantId=5002975" TargetMode="External"/><Relationship Id="rId322" Type="http://schemas.openxmlformats.org/officeDocument/2006/relationships/hyperlink" Target="TenantSwitch.aspx?TenantId=5078220" TargetMode="External"/><Relationship Id="rId343" Type="http://schemas.openxmlformats.org/officeDocument/2006/relationships/hyperlink" Target="TenantSwitch.aspx?TenantId=4516951" TargetMode="External"/><Relationship Id="rId364" Type="http://schemas.openxmlformats.org/officeDocument/2006/relationships/hyperlink" Target="TenantSwitch.aspx?TenantId=5320850" TargetMode="External"/><Relationship Id="rId61" Type="http://schemas.openxmlformats.org/officeDocument/2006/relationships/hyperlink" Target="TenantSwitch.aspx?TenantId=5049811" TargetMode="External"/><Relationship Id="rId82" Type="http://schemas.openxmlformats.org/officeDocument/2006/relationships/hyperlink" Target="TenantSwitch.aspx?TenantId=4516942" TargetMode="External"/><Relationship Id="rId199" Type="http://schemas.openxmlformats.org/officeDocument/2006/relationships/hyperlink" Target="TenantSwitch.aspx?TenantId=4516897" TargetMode="External"/><Relationship Id="rId203" Type="http://schemas.openxmlformats.org/officeDocument/2006/relationships/hyperlink" Target="TenantSwitch.aspx?TenantId=4516626" TargetMode="External"/><Relationship Id="rId385" Type="http://schemas.openxmlformats.org/officeDocument/2006/relationships/hyperlink" Target="TenantSwitch.aspx?TenantId=4516627" TargetMode="External"/><Relationship Id="rId19" Type="http://schemas.openxmlformats.org/officeDocument/2006/relationships/hyperlink" Target="TenantSwitch.aspx?TenantId=4650294" TargetMode="External"/><Relationship Id="rId224" Type="http://schemas.openxmlformats.org/officeDocument/2006/relationships/hyperlink" Target="TenantSwitch.aspx?TenantId=4516755" TargetMode="External"/><Relationship Id="rId245" Type="http://schemas.openxmlformats.org/officeDocument/2006/relationships/hyperlink" Target="TenantSwitch.aspx?TenantId=4841646" TargetMode="External"/><Relationship Id="rId266" Type="http://schemas.openxmlformats.org/officeDocument/2006/relationships/hyperlink" Target="TenantSwitch.aspx?TenantId=5371723" TargetMode="External"/><Relationship Id="rId287" Type="http://schemas.openxmlformats.org/officeDocument/2006/relationships/hyperlink" Target="TenantSwitch.aspx?TenantId=4516753" TargetMode="External"/><Relationship Id="rId410" Type="http://schemas.openxmlformats.org/officeDocument/2006/relationships/hyperlink" Target="TenantSwitch.aspx?TenantId=5019206" TargetMode="External"/><Relationship Id="rId431" Type="http://schemas.openxmlformats.org/officeDocument/2006/relationships/hyperlink" Target="TenantSwitch.aspx?TenantId=4516678" TargetMode="External"/><Relationship Id="rId30" Type="http://schemas.openxmlformats.org/officeDocument/2006/relationships/hyperlink" Target="TenantSwitch.aspx?TenantId=5323564" TargetMode="External"/><Relationship Id="rId105" Type="http://schemas.openxmlformats.org/officeDocument/2006/relationships/hyperlink" Target="TenantSwitch.aspx?TenantId=5511657" TargetMode="External"/><Relationship Id="rId126" Type="http://schemas.openxmlformats.org/officeDocument/2006/relationships/hyperlink" Target="TenantSwitch.aspx?TenantId=4751486" TargetMode="External"/><Relationship Id="rId147" Type="http://schemas.openxmlformats.org/officeDocument/2006/relationships/hyperlink" Target="TenantSwitch.aspx?TenantId=5068879" TargetMode="External"/><Relationship Id="rId168" Type="http://schemas.openxmlformats.org/officeDocument/2006/relationships/hyperlink" Target="TenantSwitch.aspx?TenantId=4712091" TargetMode="External"/><Relationship Id="rId312" Type="http://schemas.openxmlformats.org/officeDocument/2006/relationships/hyperlink" Target="TenantSwitch.aspx?TenantId=4592168" TargetMode="External"/><Relationship Id="rId333" Type="http://schemas.openxmlformats.org/officeDocument/2006/relationships/hyperlink" Target="TenantSwitch.aspx?TenantId=4516574" TargetMode="External"/><Relationship Id="rId354" Type="http://schemas.openxmlformats.org/officeDocument/2006/relationships/hyperlink" Target="TenantSwitch.aspx?TenantId=5073606" TargetMode="External"/><Relationship Id="rId51" Type="http://schemas.openxmlformats.org/officeDocument/2006/relationships/hyperlink" Target="TenantSwitch.aspx?TenantId=5124666" TargetMode="External"/><Relationship Id="rId72" Type="http://schemas.openxmlformats.org/officeDocument/2006/relationships/hyperlink" Target="TenantSwitch.aspx?TenantId=5421673" TargetMode="External"/><Relationship Id="rId93" Type="http://schemas.openxmlformats.org/officeDocument/2006/relationships/hyperlink" Target="TenantSwitch.aspx?TenantId=4996329" TargetMode="External"/><Relationship Id="rId189" Type="http://schemas.openxmlformats.org/officeDocument/2006/relationships/hyperlink" Target="TenantSwitch.aspx?TenantId=4692805" TargetMode="External"/><Relationship Id="rId375" Type="http://schemas.openxmlformats.org/officeDocument/2006/relationships/hyperlink" Target="TenantSwitch.aspx?TenantId=4516937" TargetMode="External"/><Relationship Id="rId396" Type="http://schemas.openxmlformats.org/officeDocument/2006/relationships/hyperlink" Target="TenantSwitch.aspx?TenantId=4516600" TargetMode="External"/><Relationship Id="rId3" Type="http://schemas.openxmlformats.org/officeDocument/2006/relationships/hyperlink" Target="TenantSwitch.aspx?TenantId=4516779" TargetMode="External"/><Relationship Id="rId214" Type="http://schemas.openxmlformats.org/officeDocument/2006/relationships/hyperlink" Target="TenantSwitch.aspx?TenantId=5372784" TargetMode="External"/><Relationship Id="rId235" Type="http://schemas.openxmlformats.org/officeDocument/2006/relationships/hyperlink" Target="TenantSwitch.aspx?TenantId=4798926" TargetMode="External"/><Relationship Id="rId256" Type="http://schemas.openxmlformats.org/officeDocument/2006/relationships/hyperlink" Target="TenantSwitch.aspx?TenantId=4666861" TargetMode="External"/><Relationship Id="rId277" Type="http://schemas.openxmlformats.org/officeDocument/2006/relationships/hyperlink" Target="TenantSwitch.aspx?TenantId=4516902" TargetMode="External"/><Relationship Id="rId298" Type="http://schemas.openxmlformats.org/officeDocument/2006/relationships/hyperlink" Target="TenantSwitch.aspx?TenantId=5473991" TargetMode="External"/><Relationship Id="rId400" Type="http://schemas.openxmlformats.org/officeDocument/2006/relationships/hyperlink" Target="TenantSwitch.aspx?TenantId=5478928" TargetMode="External"/><Relationship Id="rId421" Type="http://schemas.openxmlformats.org/officeDocument/2006/relationships/hyperlink" Target="TenantSwitch.aspx?TenantId=4516543" TargetMode="External"/><Relationship Id="rId442" Type="http://schemas.openxmlformats.org/officeDocument/2006/relationships/hyperlink" Target="TenantSwitch.aspx?TenantId=4817168" TargetMode="External"/><Relationship Id="rId116" Type="http://schemas.openxmlformats.org/officeDocument/2006/relationships/hyperlink" Target="TenantSwitch.aspx?TenantId=5339010" TargetMode="External"/><Relationship Id="rId137" Type="http://schemas.openxmlformats.org/officeDocument/2006/relationships/hyperlink" Target="TenantSwitch.aspx?TenantId=4658529" TargetMode="External"/><Relationship Id="rId158" Type="http://schemas.openxmlformats.org/officeDocument/2006/relationships/hyperlink" Target="TenantSwitch.aspx?TenantId=4516554" TargetMode="External"/><Relationship Id="rId302" Type="http://schemas.openxmlformats.org/officeDocument/2006/relationships/hyperlink" Target="TenantSwitch.aspx?TenantId=4516552" TargetMode="External"/><Relationship Id="rId323" Type="http://schemas.openxmlformats.org/officeDocument/2006/relationships/hyperlink" Target="TenantSwitch.aspx?TenantId=4516997" TargetMode="External"/><Relationship Id="rId344" Type="http://schemas.openxmlformats.org/officeDocument/2006/relationships/hyperlink" Target="TenantSwitch.aspx?TenantId=5439896" TargetMode="External"/><Relationship Id="rId20" Type="http://schemas.openxmlformats.org/officeDocument/2006/relationships/hyperlink" Target="TenantSwitch.aspx?TenantId=4617655" TargetMode="External"/><Relationship Id="rId41" Type="http://schemas.openxmlformats.org/officeDocument/2006/relationships/hyperlink" Target="TenantSwitch.aspx?TenantId=4516760" TargetMode="External"/><Relationship Id="rId62" Type="http://schemas.openxmlformats.org/officeDocument/2006/relationships/hyperlink" Target="TenantSwitch.aspx?TenantId=4516946" TargetMode="External"/><Relationship Id="rId83" Type="http://schemas.openxmlformats.org/officeDocument/2006/relationships/hyperlink" Target="TenantSwitch.aspx?TenantId=4827973" TargetMode="External"/><Relationship Id="rId179" Type="http://schemas.openxmlformats.org/officeDocument/2006/relationships/hyperlink" Target="TenantSwitch.aspx?TenantId=4516963" TargetMode="External"/><Relationship Id="rId365" Type="http://schemas.openxmlformats.org/officeDocument/2006/relationships/hyperlink" Target="TenantSwitch.aspx?TenantId=5408653" TargetMode="External"/><Relationship Id="rId386" Type="http://schemas.openxmlformats.org/officeDocument/2006/relationships/hyperlink" Target="TenantSwitch.aspx?TenantId=4516989" TargetMode="External"/><Relationship Id="rId190" Type="http://schemas.openxmlformats.org/officeDocument/2006/relationships/hyperlink" Target="TenantSwitch.aspx?TenantId=4516884" TargetMode="External"/><Relationship Id="rId204" Type="http://schemas.openxmlformats.org/officeDocument/2006/relationships/hyperlink" Target="TenantSwitch.aspx?TenantId=4516770" TargetMode="External"/><Relationship Id="rId225" Type="http://schemas.openxmlformats.org/officeDocument/2006/relationships/hyperlink" Target="TenantSwitch.aspx?TenantId=4516651" TargetMode="External"/><Relationship Id="rId246" Type="http://schemas.openxmlformats.org/officeDocument/2006/relationships/hyperlink" Target="TenantSwitch.aspx?TenantId=4682819" TargetMode="External"/><Relationship Id="rId267" Type="http://schemas.openxmlformats.org/officeDocument/2006/relationships/hyperlink" Target="TenantSwitch.aspx?TenantId=4516536" TargetMode="External"/><Relationship Id="rId288" Type="http://schemas.openxmlformats.org/officeDocument/2006/relationships/hyperlink" Target="TenantSwitch.aspx?TenantId=4704379" TargetMode="External"/><Relationship Id="rId411" Type="http://schemas.openxmlformats.org/officeDocument/2006/relationships/hyperlink" Target="TenantSwitch.aspx?TenantId=5080881" TargetMode="External"/><Relationship Id="rId432" Type="http://schemas.openxmlformats.org/officeDocument/2006/relationships/hyperlink" Target="TenantSwitch.aspx?TenantId=4516541" TargetMode="External"/><Relationship Id="rId106" Type="http://schemas.openxmlformats.org/officeDocument/2006/relationships/hyperlink" Target="TenantSwitch.aspx?TenantId=4516684" TargetMode="External"/><Relationship Id="rId127" Type="http://schemas.openxmlformats.org/officeDocument/2006/relationships/hyperlink" Target="TenantSwitch.aspx?TenantId=4516743" TargetMode="External"/><Relationship Id="rId313" Type="http://schemas.openxmlformats.org/officeDocument/2006/relationships/hyperlink" Target="TenantSwitch.aspx?TenantId=4516846" TargetMode="External"/><Relationship Id="rId10" Type="http://schemas.openxmlformats.org/officeDocument/2006/relationships/hyperlink" Target="TenantSwitch.aspx?TenantId=5065163" TargetMode="External"/><Relationship Id="rId31" Type="http://schemas.openxmlformats.org/officeDocument/2006/relationships/hyperlink" Target="TenantSwitch.aspx?TenantId=4845980" TargetMode="External"/><Relationship Id="rId52" Type="http://schemas.openxmlformats.org/officeDocument/2006/relationships/hyperlink" Target="TenantSwitch.aspx?TenantId=4516986" TargetMode="External"/><Relationship Id="rId73" Type="http://schemas.openxmlformats.org/officeDocument/2006/relationships/hyperlink" Target="TenantSwitch.aspx?TenantId=5359333" TargetMode="External"/><Relationship Id="rId94" Type="http://schemas.openxmlformats.org/officeDocument/2006/relationships/hyperlink" Target="TenantSwitch.aspx?TenantId=4516640" TargetMode="External"/><Relationship Id="rId148" Type="http://schemas.openxmlformats.org/officeDocument/2006/relationships/hyperlink" Target="TenantSwitch.aspx?TenantId=4516618" TargetMode="External"/><Relationship Id="rId169" Type="http://schemas.openxmlformats.org/officeDocument/2006/relationships/hyperlink" Target="TenantSwitch.aspx?TenantId=5271156" TargetMode="External"/><Relationship Id="rId334" Type="http://schemas.openxmlformats.org/officeDocument/2006/relationships/hyperlink" Target="TenantSwitch.aspx?TenantId=5277121" TargetMode="External"/><Relationship Id="rId355" Type="http://schemas.openxmlformats.org/officeDocument/2006/relationships/hyperlink" Target="TenantSwitch.aspx?TenantId=5069547" TargetMode="External"/><Relationship Id="rId376" Type="http://schemas.openxmlformats.org/officeDocument/2006/relationships/hyperlink" Target="TenantSwitch.aspx?TenantId=4516801" TargetMode="External"/><Relationship Id="rId397" Type="http://schemas.openxmlformats.org/officeDocument/2006/relationships/hyperlink" Target="TenantSwitch.aspx?TenantId=4516704" TargetMode="External"/><Relationship Id="rId4" Type="http://schemas.openxmlformats.org/officeDocument/2006/relationships/hyperlink" Target="TenantSwitch.aspx?TenantId=4516555" TargetMode="External"/><Relationship Id="rId180" Type="http://schemas.openxmlformats.org/officeDocument/2006/relationships/hyperlink" Target="TenantSwitch.aspx?TenantId=4516578" TargetMode="External"/><Relationship Id="rId215" Type="http://schemas.openxmlformats.org/officeDocument/2006/relationships/hyperlink" Target="TenantSwitch.aspx?TenantId=4950132" TargetMode="External"/><Relationship Id="rId236" Type="http://schemas.openxmlformats.org/officeDocument/2006/relationships/hyperlink" Target="TenantSwitch.aspx?TenantId=5074630" TargetMode="External"/><Relationship Id="rId257" Type="http://schemas.openxmlformats.org/officeDocument/2006/relationships/hyperlink" Target="TenantSwitch.aspx?TenantId=4516805" TargetMode="External"/><Relationship Id="rId278" Type="http://schemas.openxmlformats.org/officeDocument/2006/relationships/hyperlink" Target="TenantSwitch.aspx?TenantId=4516912" TargetMode="External"/><Relationship Id="rId401" Type="http://schemas.openxmlformats.org/officeDocument/2006/relationships/hyperlink" Target="TenantSwitch.aspx?TenantId=4516996" TargetMode="External"/><Relationship Id="rId422" Type="http://schemas.openxmlformats.org/officeDocument/2006/relationships/hyperlink" Target="TenantSwitch.aspx?TenantId=4516920" TargetMode="External"/><Relationship Id="rId443" Type="http://schemas.openxmlformats.org/officeDocument/2006/relationships/hyperlink" Target="TenantSwitch.aspx?TenantId=5052923" TargetMode="External"/><Relationship Id="rId303" Type="http://schemas.openxmlformats.org/officeDocument/2006/relationships/hyperlink" Target="TenantSwitch.aspx?TenantId=4516667" TargetMode="External"/><Relationship Id="rId42" Type="http://schemas.openxmlformats.org/officeDocument/2006/relationships/hyperlink" Target="TenantSwitch.aspx?TenantId=4516719" TargetMode="External"/><Relationship Id="rId84" Type="http://schemas.openxmlformats.org/officeDocument/2006/relationships/hyperlink" Target="TenantSwitch.aspx?TenantId=4846485" TargetMode="External"/><Relationship Id="rId138" Type="http://schemas.openxmlformats.org/officeDocument/2006/relationships/hyperlink" Target="TenantSwitch.aspx?TenantId=4708666" TargetMode="External"/><Relationship Id="rId345" Type="http://schemas.openxmlformats.org/officeDocument/2006/relationships/hyperlink" Target="TenantSwitch.aspx?TenantId=5337495" TargetMode="External"/><Relationship Id="rId387" Type="http://schemas.openxmlformats.org/officeDocument/2006/relationships/hyperlink" Target="TenantSwitch.aspx?TenantId=4516553" TargetMode="External"/><Relationship Id="rId191" Type="http://schemas.openxmlformats.org/officeDocument/2006/relationships/hyperlink" Target="TenantSwitch.aspx?TenantId=4710038" TargetMode="External"/><Relationship Id="rId205" Type="http://schemas.openxmlformats.org/officeDocument/2006/relationships/hyperlink" Target="TenantSwitch.aspx?TenantId=4516789" TargetMode="External"/><Relationship Id="rId247" Type="http://schemas.openxmlformats.org/officeDocument/2006/relationships/hyperlink" Target="TenantSwitch.aspx?TenantId=4516750" TargetMode="External"/><Relationship Id="rId412" Type="http://schemas.openxmlformats.org/officeDocument/2006/relationships/hyperlink" Target="TenantSwitch.aspx?TenantId=4516959" TargetMode="External"/><Relationship Id="rId107" Type="http://schemas.openxmlformats.org/officeDocument/2006/relationships/hyperlink" Target="TenantSwitch.aspx?TenantId=5362188" TargetMode="External"/><Relationship Id="rId289" Type="http://schemas.openxmlformats.org/officeDocument/2006/relationships/hyperlink" Target="TenantSwitch.aspx?TenantId=4516547" TargetMode="External"/><Relationship Id="rId11" Type="http://schemas.openxmlformats.org/officeDocument/2006/relationships/hyperlink" Target="TenantSwitch.aspx?TenantId=5072477" TargetMode="External"/><Relationship Id="rId53" Type="http://schemas.openxmlformats.org/officeDocument/2006/relationships/hyperlink" Target="TenantSwitch.aspx?TenantId=5293714" TargetMode="External"/><Relationship Id="rId149" Type="http://schemas.openxmlformats.org/officeDocument/2006/relationships/hyperlink" Target="TenantSwitch.aspx?TenantId=4516738" TargetMode="External"/><Relationship Id="rId314" Type="http://schemas.openxmlformats.org/officeDocument/2006/relationships/hyperlink" Target="TenantSwitch.aspx?TenantId=5422455" TargetMode="External"/><Relationship Id="rId356" Type="http://schemas.openxmlformats.org/officeDocument/2006/relationships/hyperlink" Target="TenantSwitch.aspx?TenantId=4767552" TargetMode="External"/><Relationship Id="rId398" Type="http://schemas.openxmlformats.org/officeDocument/2006/relationships/hyperlink" Target="TenantSwitch.aspx?TenantId=4586007" TargetMode="External"/><Relationship Id="rId95" Type="http://schemas.openxmlformats.org/officeDocument/2006/relationships/hyperlink" Target="TenantSwitch.aspx?TenantId=5071827" TargetMode="External"/><Relationship Id="rId160" Type="http://schemas.openxmlformats.org/officeDocument/2006/relationships/hyperlink" Target="TenantSwitch.aspx?TenantId=5201751" TargetMode="External"/><Relationship Id="rId216" Type="http://schemas.openxmlformats.org/officeDocument/2006/relationships/hyperlink" Target="TenantSwitch.aspx?TenantId=4574829" TargetMode="External"/><Relationship Id="rId423" Type="http://schemas.openxmlformats.org/officeDocument/2006/relationships/hyperlink" Target="TenantSwitch.aspx?TenantId=4951998" TargetMode="External"/><Relationship Id="rId258" Type="http://schemas.openxmlformats.org/officeDocument/2006/relationships/hyperlink" Target="TenantSwitch.aspx?TenantId=4516551" TargetMode="External"/><Relationship Id="rId22" Type="http://schemas.openxmlformats.org/officeDocument/2006/relationships/hyperlink" Target="TenantSwitch.aspx?TenantId=5019337" TargetMode="External"/><Relationship Id="rId64" Type="http://schemas.openxmlformats.org/officeDocument/2006/relationships/hyperlink" Target="TenantSwitch.aspx?TenantId=4516771" TargetMode="External"/><Relationship Id="rId118" Type="http://schemas.openxmlformats.org/officeDocument/2006/relationships/hyperlink" Target="TenantSwitch.aspx?TenantId=4516653" TargetMode="External"/><Relationship Id="rId325" Type="http://schemas.openxmlformats.org/officeDocument/2006/relationships/hyperlink" Target="TenantSwitch.aspx?TenantId=5384786" TargetMode="External"/><Relationship Id="rId367" Type="http://schemas.openxmlformats.org/officeDocument/2006/relationships/hyperlink" Target="TenantSwitch.aspx?TenantId=5195566" TargetMode="External"/><Relationship Id="rId171" Type="http://schemas.openxmlformats.org/officeDocument/2006/relationships/hyperlink" Target="TenantSwitch.aspx?TenantId=4516751" TargetMode="External"/><Relationship Id="rId227" Type="http://schemas.openxmlformats.org/officeDocument/2006/relationships/hyperlink" Target="TenantSwitch.aspx?TenantId=5421509" TargetMode="External"/><Relationship Id="rId269" Type="http://schemas.openxmlformats.org/officeDocument/2006/relationships/hyperlink" Target="TenantSwitch.aspx?TenantId=5221180" TargetMode="External"/><Relationship Id="rId434" Type="http://schemas.openxmlformats.org/officeDocument/2006/relationships/hyperlink" Target="TenantSwitch.aspx?TenantId=4516559" TargetMode="External"/><Relationship Id="rId33" Type="http://schemas.openxmlformats.org/officeDocument/2006/relationships/hyperlink" Target="TenantSwitch.aspx?TenantId=4516699" TargetMode="External"/><Relationship Id="rId129" Type="http://schemas.openxmlformats.org/officeDocument/2006/relationships/hyperlink" Target="TenantSwitch.aspx?TenantId=5481205" TargetMode="External"/><Relationship Id="rId280" Type="http://schemas.openxmlformats.org/officeDocument/2006/relationships/hyperlink" Target="TenantSwitch.aspx?TenantId=5174030" TargetMode="External"/><Relationship Id="rId336" Type="http://schemas.openxmlformats.org/officeDocument/2006/relationships/hyperlink" Target="TenantSwitch.aspx?TenantId=4916478" TargetMode="External"/><Relationship Id="rId75" Type="http://schemas.openxmlformats.org/officeDocument/2006/relationships/hyperlink" Target="TenantSwitch.aspx?TenantId=5233278" TargetMode="External"/><Relationship Id="rId140" Type="http://schemas.openxmlformats.org/officeDocument/2006/relationships/hyperlink" Target="TenantSwitch.aspx?TenantId=4538925" TargetMode="External"/><Relationship Id="rId182" Type="http://schemas.openxmlformats.org/officeDocument/2006/relationships/hyperlink" Target="TenantSwitch.aspx?TenantId=5510001" TargetMode="External"/><Relationship Id="rId378" Type="http://schemas.openxmlformats.org/officeDocument/2006/relationships/hyperlink" Target="TenantSwitch.aspx?TenantId=5262598" TargetMode="External"/><Relationship Id="rId403" Type="http://schemas.openxmlformats.org/officeDocument/2006/relationships/hyperlink" Target="TenantSwitch.aspx?TenantId=4516992" TargetMode="External"/><Relationship Id="rId6" Type="http://schemas.openxmlformats.org/officeDocument/2006/relationships/hyperlink" Target="TenantSwitch.aspx?TenantId=5182989" TargetMode="External"/><Relationship Id="rId238" Type="http://schemas.openxmlformats.org/officeDocument/2006/relationships/hyperlink" Target="TenantSwitch.aspx?TenantId=5390964" TargetMode="External"/><Relationship Id="rId445" Type="http://schemas.openxmlformats.org/officeDocument/2006/relationships/hyperlink" Target="TenantSwitch.aspx?TenantId=4516796" TargetMode="External"/><Relationship Id="rId291" Type="http://schemas.openxmlformats.org/officeDocument/2006/relationships/hyperlink" Target="TenantSwitch.aspx?TenantId=5323918" TargetMode="External"/><Relationship Id="rId305" Type="http://schemas.openxmlformats.org/officeDocument/2006/relationships/hyperlink" Target="TenantSwitch.aspx?TenantId=4516537" TargetMode="External"/><Relationship Id="rId347" Type="http://schemas.openxmlformats.org/officeDocument/2006/relationships/hyperlink" Target="TenantSwitch.aspx?TenantId=4516611" TargetMode="External"/><Relationship Id="rId44" Type="http://schemas.openxmlformats.org/officeDocument/2006/relationships/hyperlink" Target="TenantSwitch.aspx?TenantId=4516876" TargetMode="External"/><Relationship Id="rId86" Type="http://schemas.openxmlformats.org/officeDocument/2006/relationships/hyperlink" Target="TenantSwitch.aspx?TenantId=5067917" TargetMode="External"/><Relationship Id="rId151" Type="http://schemas.openxmlformats.org/officeDocument/2006/relationships/hyperlink" Target="TenantSwitch.aspx?TenantId=4516570" TargetMode="External"/><Relationship Id="rId389" Type="http://schemas.openxmlformats.org/officeDocument/2006/relationships/hyperlink" Target="TenantSwitch.aspx?TenantId=5301583" TargetMode="External"/><Relationship Id="rId193" Type="http://schemas.openxmlformats.org/officeDocument/2006/relationships/hyperlink" Target="TenantSwitch.aspx?TenantId=4516630" TargetMode="External"/><Relationship Id="rId207" Type="http://schemas.openxmlformats.org/officeDocument/2006/relationships/hyperlink" Target="TenantSwitch.aspx?TenantId=4587565" TargetMode="External"/><Relationship Id="rId249" Type="http://schemas.openxmlformats.org/officeDocument/2006/relationships/hyperlink" Target="TenantSwitch.aspx?TenantId=4516904" TargetMode="External"/><Relationship Id="rId414" Type="http://schemas.openxmlformats.org/officeDocument/2006/relationships/hyperlink" Target="TenantSwitch.aspx?TenantId=5076003" TargetMode="External"/><Relationship Id="rId13" Type="http://schemas.openxmlformats.org/officeDocument/2006/relationships/hyperlink" Target="TenantSwitch.aspx?TenantId=5147714" TargetMode="External"/><Relationship Id="rId109" Type="http://schemas.openxmlformats.org/officeDocument/2006/relationships/hyperlink" Target="TenantSwitch.aspx?TenantId=5084830" TargetMode="External"/><Relationship Id="rId260" Type="http://schemas.openxmlformats.org/officeDocument/2006/relationships/hyperlink" Target="TenantSwitch.aspx?TenantId=5068599" TargetMode="External"/><Relationship Id="rId316" Type="http://schemas.openxmlformats.org/officeDocument/2006/relationships/hyperlink" Target="TenantSwitch.aspx?TenantId=4516842" TargetMode="External"/><Relationship Id="rId55" Type="http://schemas.openxmlformats.org/officeDocument/2006/relationships/hyperlink" Target="TenantSwitch.aspx?TenantId=4897947" TargetMode="External"/><Relationship Id="rId97" Type="http://schemas.openxmlformats.org/officeDocument/2006/relationships/hyperlink" Target="TenantSwitch.aspx?TenantId=4852798" TargetMode="External"/><Relationship Id="rId120" Type="http://schemas.openxmlformats.org/officeDocument/2006/relationships/hyperlink" Target="TenantSwitch.aspx?TenantId=5162329" TargetMode="External"/><Relationship Id="rId358" Type="http://schemas.openxmlformats.org/officeDocument/2006/relationships/hyperlink" Target="TenantSwitch.aspx?TenantId=5037488" TargetMode="External"/><Relationship Id="rId162" Type="http://schemas.openxmlformats.org/officeDocument/2006/relationships/hyperlink" Target="TenantSwitch.aspx?TenantId=5261533" TargetMode="External"/><Relationship Id="rId218" Type="http://schemas.openxmlformats.org/officeDocument/2006/relationships/hyperlink" Target="TenantSwitch.aspx?TenantId=4516969" TargetMode="External"/><Relationship Id="rId425" Type="http://schemas.openxmlformats.org/officeDocument/2006/relationships/hyperlink" Target="TenantSwitch.aspx?TenantId=5266659" TargetMode="External"/><Relationship Id="rId271" Type="http://schemas.openxmlformats.org/officeDocument/2006/relationships/hyperlink" Target="TenantSwitch.aspx?TenantId=4516901" TargetMode="External"/><Relationship Id="rId24" Type="http://schemas.openxmlformats.org/officeDocument/2006/relationships/hyperlink" Target="TenantSwitch.aspx?TenantId=4516717" TargetMode="External"/><Relationship Id="rId66" Type="http://schemas.openxmlformats.org/officeDocument/2006/relationships/hyperlink" Target="TenantSwitch.aspx?TenantId=5168380" TargetMode="External"/><Relationship Id="rId131" Type="http://schemas.openxmlformats.org/officeDocument/2006/relationships/hyperlink" Target="TenantSwitch.aspx?TenantId=4516641" TargetMode="External"/><Relationship Id="rId327" Type="http://schemas.openxmlformats.org/officeDocument/2006/relationships/hyperlink" Target="TenantSwitch.aspx?TenantId=4516979" TargetMode="External"/><Relationship Id="rId369" Type="http://schemas.openxmlformats.org/officeDocument/2006/relationships/hyperlink" Target="TenantSwitch.aspx?TenantId=5381192" TargetMode="External"/><Relationship Id="rId173" Type="http://schemas.openxmlformats.org/officeDocument/2006/relationships/hyperlink" Target="TenantSwitch.aspx?TenantId=5250024" TargetMode="External"/><Relationship Id="rId229" Type="http://schemas.openxmlformats.org/officeDocument/2006/relationships/hyperlink" Target="TenantSwitch.aspx?TenantId=4516930" TargetMode="External"/><Relationship Id="rId380" Type="http://schemas.openxmlformats.org/officeDocument/2006/relationships/hyperlink" Target="TenantSwitch.aspx?TenantId=5473925" TargetMode="External"/><Relationship Id="rId436" Type="http://schemas.openxmlformats.org/officeDocument/2006/relationships/hyperlink" Target="TenantSwitch.aspx?TenantId=5312458" TargetMode="External"/><Relationship Id="rId240" Type="http://schemas.openxmlformats.org/officeDocument/2006/relationships/hyperlink" Target="TenantSwitch.aspx?TenantId=4516978" TargetMode="External"/><Relationship Id="rId35" Type="http://schemas.openxmlformats.org/officeDocument/2006/relationships/hyperlink" Target="TenantSwitch.aspx?TenantId=5210930" TargetMode="External"/><Relationship Id="rId77" Type="http://schemas.openxmlformats.org/officeDocument/2006/relationships/hyperlink" Target="TenantSwitch.aspx?TenantId=5356553" TargetMode="External"/><Relationship Id="rId100" Type="http://schemas.openxmlformats.org/officeDocument/2006/relationships/hyperlink" Target="TenantSwitch.aspx?TenantId=5200218" TargetMode="External"/><Relationship Id="rId282" Type="http://schemas.openxmlformats.org/officeDocument/2006/relationships/hyperlink" Target="TenantSwitch.aspx?TenantId=5021393" TargetMode="External"/><Relationship Id="rId338" Type="http://schemas.openxmlformats.org/officeDocument/2006/relationships/hyperlink" Target="TenantSwitch.aspx?TenantId=4516954" TargetMode="External"/><Relationship Id="rId8" Type="http://schemas.openxmlformats.org/officeDocument/2006/relationships/hyperlink" Target="TenantSwitch.aspx?TenantId=4800772" TargetMode="External"/><Relationship Id="rId142" Type="http://schemas.openxmlformats.org/officeDocument/2006/relationships/hyperlink" Target="TenantSwitch.aspx?TenantId=4936474" TargetMode="External"/><Relationship Id="rId184" Type="http://schemas.openxmlformats.org/officeDocument/2006/relationships/hyperlink" Target="TenantSwitch.aspx?TenantId=4516744" TargetMode="External"/><Relationship Id="rId391" Type="http://schemas.openxmlformats.org/officeDocument/2006/relationships/hyperlink" Target="TenantSwitch.aspx?TenantId=4995946" TargetMode="External"/><Relationship Id="rId405" Type="http://schemas.openxmlformats.org/officeDocument/2006/relationships/hyperlink" Target="TenantSwitch.aspx?TenantId=4516714" TargetMode="External"/><Relationship Id="rId447" Type="http://schemas.openxmlformats.org/officeDocument/2006/relationships/hyperlink" Target="TenantSwitch.aspx?TenantId=5053543" TargetMode="External"/><Relationship Id="rId251" Type="http://schemas.openxmlformats.org/officeDocument/2006/relationships/hyperlink" Target="TenantSwitch.aspx?TenantId=4516532" TargetMode="External"/><Relationship Id="rId46" Type="http://schemas.openxmlformats.org/officeDocument/2006/relationships/hyperlink" Target="TenantSwitch.aspx?TenantId=4516677" TargetMode="External"/><Relationship Id="rId293" Type="http://schemas.openxmlformats.org/officeDocument/2006/relationships/hyperlink" Target="TenantSwitch.aspx?TenantId=5282054" TargetMode="External"/><Relationship Id="rId307" Type="http://schemas.openxmlformats.org/officeDocument/2006/relationships/hyperlink" Target="TenantSwitch.aspx?TenantId=5260595" TargetMode="External"/><Relationship Id="rId349" Type="http://schemas.openxmlformats.org/officeDocument/2006/relationships/hyperlink" Target="TenantSwitch.aspx?TenantId=4516567" TargetMode="External"/><Relationship Id="rId88" Type="http://schemas.openxmlformats.org/officeDocument/2006/relationships/hyperlink" Target="TenantSwitch.aspx?TenantId=4516766" TargetMode="External"/><Relationship Id="rId111" Type="http://schemas.openxmlformats.org/officeDocument/2006/relationships/hyperlink" Target="TenantSwitch.aspx?TenantId=5307890" TargetMode="External"/><Relationship Id="rId153" Type="http://schemas.openxmlformats.org/officeDocument/2006/relationships/hyperlink" Target="TenantSwitch.aspx?TenantId=4516617" TargetMode="External"/><Relationship Id="rId195" Type="http://schemas.openxmlformats.org/officeDocument/2006/relationships/hyperlink" Target="TenantSwitch.aspx?TenantId=4516970" TargetMode="External"/><Relationship Id="rId209" Type="http://schemas.openxmlformats.org/officeDocument/2006/relationships/hyperlink" Target="TenantSwitch.aspx?TenantId=5015525" TargetMode="External"/><Relationship Id="rId360" Type="http://schemas.openxmlformats.org/officeDocument/2006/relationships/hyperlink" Target="TenantSwitch.aspx?TenantId=4516905" TargetMode="External"/><Relationship Id="rId416" Type="http://schemas.openxmlformats.org/officeDocument/2006/relationships/hyperlink" Target="TenantSwitch.aspx?TenantId=4693503" TargetMode="External"/><Relationship Id="rId220" Type="http://schemas.openxmlformats.org/officeDocument/2006/relationships/hyperlink" Target="TenantSwitch.aspx?TenantId=4516568" TargetMode="External"/><Relationship Id="rId15" Type="http://schemas.openxmlformats.org/officeDocument/2006/relationships/hyperlink" Target="TenantSwitch.aspx?TenantId=4516849" TargetMode="External"/><Relationship Id="rId57" Type="http://schemas.openxmlformats.org/officeDocument/2006/relationships/hyperlink" Target="TenantSwitch.aspx?TenantId=5166025" TargetMode="External"/><Relationship Id="rId262" Type="http://schemas.openxmlformats.org/officeDocument/2006/relationships/hyperlink" Target="TenantSwitch.aspx?TenantId=4516639" TargetMode="External"/><Relationship Id="rId318" Type="http://schemas.openxmlformats.org/officeDocument/2006/relationships/hyperlink" Target="TenantSwitch.aspx?TenantId=4810875" TargetMode="External"/><Relationship Id="rId99" Type="http://schemas.openxmlformats.org/officeDocument/2006/relationships/hyperlink" Target="TenantSwitch.aspx?TenantId=4748910" TargetMode="External"/><Relationship Id="rId122" Type="http://schemas.openxmlformats.org/officeDocument/2006/relationships/hyperlink" Target="TenantSwitch.aspx?TenantId=5425357" TargetMode="External"/><Relationship Id="rId164" Type="http://schemas.openxmlformats.org/officeDocument/2006/relationships/hyperlink" Target="TenantSwitch.aspx?TenantId=4543108" TargetMode="External"/><Relationship Id="rId371" Type="http://schemas.openxmlformats.org/officeDocument/2006/relationships/hyperlink" Target="TenantSwitch.aspx?TenantId=4516550" TargetMode="External"/><Relationship Id="rId427" Type="http://schemas.openxmlformats.org/officeDocument/2006/relationships/hyperlink" Target="TenantSwitch.aspx?TenantId=4516870" TargetMode="External"/><Relationship Id="rId26" Type="http://schemas.openxmlformats.org/officeDocument/2006/relationships/hyperlink" Target="TenantSwitch.aspx?TenantId=4516807" TargetMode="External"/><Relationship Id="rId231" Type="http://schemas.openxmlformats.org/officeDocument/2006/relationships/hyperlink" Target="TenantSwitch.aspx?TenantId=4516781" TargetMode="External"/><Relationship Id="rId273" Type="http://schemas.openxmlformats.org/officeDocument/2006/relationships/hyperlink" Target="TenantSwitch.aspx?TenantId=4516727" TargetMode="External"/><Relationship Id="rId329" Type="http://schemas.openxmlformats.org/officeDocument/2006/relationships/hyperlink" Target="TenantSwitch.aspx?TenantId=5422421" TargetMode="External"/><Relationship Id="rId68" Type="http://schemas.openxmlformats.org/officeDocument/2006/relationships/hyperlink" Target="TenantSwitch.aspx?TenantId=4516778" TargetMode="External"/><Relationship Id="rId133" Type="http://schemas.openxmlformats.org/officeDocument/2006/relationships/hyperlink" Target="TenantSwitch.aspx?TenantId=4807225" TargetMode="External"/><Relationship Id="rId175" Type="http://schemas.openxmlformats.org/officeDocument/2006/relationships/hyperlink" Target="TenantSwitch.aspx?TenantId=4516636" TargetMode="External"/><Relationship Id="rId340" Type="http://schemas.openxmlformats.org/officeDocument/2006/relationships/hyperlink" Target="TenantSwitch.aspx?TenantId=4516934" TargetMode="External"/><Relationship Id="rId200" Type="http://schemas.openxmlformats.org/officeDocument/2006/relationships/hyperlink" Target="TenantSwitch.aspx?TenantId=4516784" TargetMode="External"/><Relationship Id="rId382" Type="http://schemas.openxmlformats.org/officeDocument/2006/relationships/hyperlink" Target="TenantSwitch.aspx?TenantId=5370124" TargetMode="External"/><Relationship Id="rId438" Type="http://schemas.openxmlformats.org/officeDocument/2006/relationships/hyperlink" Target="TenantSwitch.aspx?TenantId=4516913" TargetMode="External"/><Relationship Id="rId242" Type="http://schemas.openxmlformats.org/officeDocument/2006/relationships/hyperlink" Target="TenantSwitch.aspx?TenantId=4516534" TargetMode="External"/><Relationship Id="rId284" Type="http://schemas.openxmlformats.org/officeDocument/2006/relationships/hyperlink" Target="TenantSwitch.aspx?TenantId=4516860" TargetMode="External"/><Relationship Id="rId37" Type="http://schemas.openxmlformats.org/officeDocument/2006/relationships/hyperlink" Target="TenantSwitch.aspx?TenantId=4516799" TargetMode="External"/><Relationship Id="rId79" Type="http://schemas.openxmlformats.org/officeDocument/2006/relationships/hyperlink" Target="TenantSwitch.aspx?TenantId=5339530" TargetMode="External"/><Relationship Id="rId102" Type="http://schemas.openxmlformats.org/officeDocument/2006/relationships/hyperlink" Target="TenantSwitch.aspx?TenantId=4776325" TargetMode="External"/><Relationship Id="rId144" Type="http://schemas.openxmlformats.org/officeDocument/2006/relationships/hyperlink" Target="TenantSwitch.aspx?TenantId=5414439" TargetMode="External"/><Relationship Id="rId90" Type="http://schemas.openxmlformats.org/officeDocument/2006/relationships/hyperlink" Target="TenantSwitch.aspx?TenantId=4602995" TargetMode="External"/><Relationship Id="rId186" Type="http://schemas.openxmlformats.org/officeDocument/2006/relationships/hyperlink" Target="TenantSwitch.aspx?TenantId=4516588" TargetMode="External"/><Relationship Id="rId351" Type="http://schemas.openxmlformats.org/officeDocument/2006/relationships/hyperlink" Target="TenantSwitch.aspx?TenantId=4516886" TargetMode="External"/><Relationship Id="rId393" Type="http://schemas.openxmlformats.org/officeDocument/2006/relationships/hyperlink" Target="TenantSwitch.aspx?TenantId=4516976" TargetMode="External"/><Relationship Id="rId407" Type="http://schemas.openxmlformats.org/officeDocument/2006/relationships/hyperlink" Target="TenantSwitch.aspx?TenantId=4516718" TargetMode="External"/><Relationship Id="rId211" Type="http://schemas.openxmlformats.org/officeDocument/2006/relationships/hyperlink" Target="TenantSwitch.aspx?TenantId=4562543" TargetMode="External"/><Relationship Id="rId253" Type="http://schemas.openxmlformats.org/officeDocument/2006/relationships/hyperlink" Target="TenantSwitch.aspx?TenantId=4516960" TargetMode="External"/><Relationship Id="rId295" Type="http://schemas.openxmlformats.org/officeDocument/2006/relationships/hyperlink" Target="TenantSwitch.aspx?TenantId=4516544" TargetMode="External"/><Relationship Id="rId309" Type="http://schemas.openxmlformats.org/officeDocument/2006/relationships/hyperlink" Target="TenantSwitch.aspx?TenantId=5414158" TargetMode="External"/><Relationship Id="rId48" Type="http://schemas.openxmlformats.org/officeDocument/2006/relationships/hyperlink" Target="TenantSwitch.aspx?TenantId=4516853" TargetMode="External"/><Relationship Id="rId113" Type="http://schemas.openxmlformats.org/officeDocument/2006/relationships/hyperlink" Target="TenantSwitch.aspx?TenantId=4909771" TargetMode="External"/><Relationship Id="rId320" Type="http://schemas.openxmlformats.org/officeDocument/2006/relationships/hyperlink" Target="TenantSwitch.aspx?TenantId=4916167" TargetMode="External"/><Relationship Id="rId155" Type="http://schemas.openxmlformats.org/officeDocument/2006/relationships/hyperlink" Target="TenantSwitch.aspx?TenantId=4516834" TargetMode="External"/><Relationship Id="rId197" Type="http://schemas.openxmlformats.org/officeDocument/2006/relationships/hyperlink" Target="TenantSwitch.aspx?TenantId=4516644" TargetMode="External"/><Relationship Id="rId362" Type="http://schemas.openxmlformats.org/officeDocument/2006/relationships/hyperlink" Target="TenantSwitch.aspx?TenantId=4861899" TargetMode="External"/><Relationship Id="rId418" Type="http://schemas.openxmlformats.org/officeDocument/2006/relationships/hyperlink" Target="TenantSwitch.aspx?TenantId=5511414" TargetMode="External"/><Relationship Id="rId222" Type="http://schemas.openxmlformats.org/officeDocument/2006/relationships/hyperlink" Target="TenantSwitch.aspx?TenantId=4516583" TargetMode="External"/><Relationship Id="rId264" Type="http://schemas.openxmlformats.org/officeDocument/2006/relationships/hyperlink" Target="TenantSwitch.aspx?TenantId=5289591" TargetMode="External"/><Relationship Id="rId17" Type="http://schemas.openxmlformats.org/officeDocument/2006/relationships/hyperlink" Target="TenantSwitch.aspx?TenantId=4767550" TargetMode="External"/><Relationship Id="rId59" Type="http://schemas.openxmlformats.org/officeDocument/2006/relationships/hyperlink" Target="TenantSwitch.aspx?TenantId=4516703" TargetMode="External"/><Relationship Id="rId124" Type="http://schemas.openxmlformats.org/officeDocument/2006/relationships/hyperlink" Target="TenantSwitch.aspx?TenantId=4516652" TargetMode="External"/><Relationship Id="rId70" Type="http://schemas.openxmlformats.org/officeDocument/2006/relationships/hyperlink" Target="TenantSwitch.aspx?TenantId=4516591" TargetMode="External"/><Relationship Id="rId166" Type="http://schemas.openxmlformats.org/officeDocument/2006/relationships/hyperlink" Target="TenantSwitch.aspx?TenantId=4516737" TargetMode="External"/><Relationship Id="rId331" Type="http://schemas.openxmlformats.org/officeDocument/2006/relationships/hyperlink" Target="TenantSwitch.aspx?TenantId=4516762" TargetMode="External"/><Relationship Id="rId373" Type="http://schemas.openxmlformats.org/officeDocument/2006/relationships/hyperlink" Target="TenantSwitch.aspx?TenantId=4837361" TargetMode="External"/><Relationship Id="rId429" Type="http://schemas.openxmlformats.org/officeDocument/2006/relationships/hyperlink" Target="TenantSwitch.aspx?TenantId=5526193" TargetMode="External"/><Relationship Id="rId1" Type="http://schemas.openxmlformats.org/officeDocument/2006/relationships/hyperlink" Target="TenantSwitch.aspx?TenantId=4516683" TargetMode="External"/><Relationship Id="rId233" Type="http://schemas.openxmlformats.org/officeDocument/2006/relationships/hyperlink" Target="TenantSwitch.aspx?TenantId=4516924" TargetMode="External"/><Relationship Id="rId440" Type="http://schemas.openxmlformats.org/officeDocument/2006/relationships/hyperlink" Target="TenantSwitch.aspx?TenantId=4516720" TargetMode="External"/><Relationship Id="rId28" Type="http://schemas.openxmlformats.org/officeDocument/2006/relationships/hyperlink" Target="TenantSwitch.aspx?TenantId=5413762" TargetMode="External"/><Relationship Id="rId275" Type="http://schemas.openxmlformats.org/officeDocument/2006/relationships/hyperlink" Target="TenantSwitch.aspx?TenantId=5381349" TargetMode="External"/><Relationship Id="rId300" Type="http://schemas.openxmlformats.org/officeDocument/2006/relationships/hyperlink" Target="TenantSwitch.aspx?TenantId=5088291" TargetMode="External"/><Relationship Id="rId81" Type="http://schemas.openxmlformats.org/officeDocument/2006/relationships/hyperlink" Target="TenantSwitch.aspx?TenantId=4880634" TargetMode="External"/><Relationship Id="rId135" Type="http://schemas.openxmlformats.org/officeDocument/2006/relationships/hyperlink" Target="TenantSwitch.aspx?TenantId=5406085" TargetMode="External"/><Relationship Id="rId177" Type="http://schemas.openxmlformats.org/officeDocument/2006/relationships/hyperlink" Target="TenantSwitch.aspx?TenantId=5357724" TargetMode="External"/><Relationship Id="rId342" Type="http://schemas.openxmlformats.org/officeDocument/2006/relationships/hyperlink" Target="TenantSwitch.aspx?TenantId=4992019" TargetMode="External"/><Relationship Id="rId384" Type="http://schemas.openxmlformats.org/officeDocument/2006/relationships/hyperlink" Target="TenantSwitch.aspx?TenantId=4516666" TargetMode="External"/><Relationship Id="rId202" Type="http://schemas.openxmlformats.org/officeDocument/2006/relationships/hyperlink" Target="TenantSwitch.aspx?TenantId=4516631" TargetMode="External"/><Relationship Id="rId244" Type="http://schemas.openxmlformats.org/officeDocument/2006/relationships/hyperlink" Target="TenantSwitch.aspx?TenantId=4807094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A3470-CC33-487D-B794-FD6CEE4A4E00}">
  <sheetPr codeName="Sheet1">
    <pageSetUpPr fitToPage="1"/>
  </sheetPr>
  <dimension ref="A1:AA117"/>
  <sheetViews>
    <sheetView tabSelected="1" zoomScale="115" zoomScaleNormal="115" workbookViewId="0">
      <selection activeCell="B6" sqref="B6"/>
    </sheetView>
  </sheetViews>
  <sheetFormatPr defaultColWidth="9.140625" defaultRowHeight="12.75" x14ac:dyDescent="0.2"/>
  <cols>
    <col min="1" max="1" width="26.85546875" style="5" customWidth="1"/>
    <col min="2" max="2" width="27.140625" style="5" customWidth="1"/>
    <col min="3" max="3" width="9.140625" style="5"/>
    <col min="4" max="4" width="26.140625" style="5" bestFit="1" customWidth="1"/>
    <col min="5" max="5" width="9.42578125" style="5" customWidth="1"/>
    <col min="6" max="6" width="11.42578125" style="5" customWidth="1"/>
    <col min="7" max="11" width="9.140625" style="5"/>
    <col min="12" max="13" width="9.140625" style="5" customWidth="1"/>
    <col min="14" max="14" width="7.5703125" style="5" hidden="1" customWidth="1"/>
    <col min="15" max="15" width="9.140625" style="5" customWidth="1"/>
    <col min="16" max="16384" width="9.140625" style="5"/>
  </cols>
  <sheetData>
    <row r="1" spans="1:27" ht="37.5" customHeight="1" x14ac:dyDescent="0.2">
      <c r="A1" s="544" t="s">
        <v>0</v>
      </c>
      <c r="B1" s="544"/>
      <c r="C1" s="544"/>
      <c r="AA1" s="6" t="s">
        <v>1</v>
      </c>
    </row>
    <row r="2" spans="1:27" x14ac:dyDescent="0.2">
      <c r="A2" s="5" t="s">
        <v>2</v>
      </c>
      <c r="B2" s="504">
        <v>46161</v>
      </c>
      <c r="C2" s="370"/>
      <c r="AA2" s="6" t="s">
        <v>3</v>
      </c>
    </row>
    <row r="3" spans="1:27" x14ac:dyDescent="0.2">
      <c r="A3" s="5" t="s">
        <v>4</v>
      </c>
      <c r="B3" s="381" t="s">
        <v>5</v>
      </c>
      <c r="C3" s="370"/>
    </row>
    <row r="4" spans="1:27" x14ac:dyDescent="0.2">
      <c r="A4" s="5" t="s">
        <v>6</v>
      </c>
      <c r="B4" s="379" t="s">
        <v>7</v>
      </c>
      <c r="C4" s="370"/>
    </row>
    <row r="5" spans="1:27" x14ac:dyDescent="0.2">
      <c r="A5" s="5" t="s">
        <v>8</v>
      </c>
      <c r="B5" s="379" t="s">
        <v>3</v>
      </c>
      <c r="C5" s="370"/>
    </row>
    <row r="6" spans="1:27" ht="12" customHeight="1" x14ac:dyDescent="0.2">
      <c r="A6" s="5" t="s">
        <v>9</v>
      </c>
      <c r="B6" s="382">
        <v>46204</v>
      </c>
      <c r="C6" s="370"/>
    </row>
    <row r="7" spans="1:27" x14ac:dyDescent="0.2">
      <c r="A7" s="5" t="s">
        <v>10</v>
      </c>
      <c r="B7" s="383">
        <f>EOMONTH(B6,0)</f>
        <v>46234</v>
      </c>
      <c r="C7" s="370"/>
    </row>
    <row r="8" spans="1:27" x14ac:dyDescent="0.2">
      <c r="A8" s="5" t="s">
        <v>11</v>
      </c>
      <c r="B8" s="380" t="s">
        <v>12</v>
      </c>
      <c r="C8" s="370"/>
    </row>
    <row r="9" spans="1:27" x14ac:dyDescent="0.2">
      <c r="A9" s="5" t="s">
        <v>13</v>
      </c>
      <c r="B9" s="380" t="s">
        <v>14</v>
      </c>
      <c r="C9" s="370"/>
    </row>
    <row r="10" spans="1:27" x14ac:dyDescent="0.2">
      <c r="B10" s="384"/>
    </row>
    <row r="11" spans="1:27" x14ac:dyDescent="0.2">
      <c r="A11" s="7" t="s">
        <v>15</v>
      </c>
      <c r="B11" s="384"/>
    </row>
    <row r="12" spans="1:27" x14ac:dyDescent="0.2">
      <c r="A12" s="5" t="s">
        <v>16</v>
      </c>
    </row>
    <row r="13" spans="1:27" x14ac:dyDescent="0.2">
      <c r="A13" s="5" t="s">
        <v>17</v>
      </c>
    </row>
    <row r="14" spans="1:27" x14ac:dyDescent="0.2">
      <c r="A14" s="5" t="s">
        <v>18</v>
      </c>
    </row>
    <row r="15" spans="1:27" x14ac:dyDescent="0.2">
      <c r="A15" s="5" t="s">
        <v>19</v>
      </c>
    </row>
    <row r="61" spans="14:14" x14ac:dyDescent="0.2">
      <c r="N61" s="194"/>
    </row>
    <row r="62" spans="14:14" x14ac:dyDescent="0.2">
      <c r="N62" s="194"/>
    </row>
    <row r="63" spans="14:14" x14ac:dyDescent="0.2">
      <c r="N63" s="194"/>
    </row>
    <row r="64" spans="14:14" x14ac:dyDescent="0.2">
      <c r="N64" s="194"/>
    </row>
    <row r="65" spans="14:14" x14ac:dyDescent="0.2">
      <c r="N65" s="194"/>
    </row>
    <row r="66" spans="14:14" x14ac:dyDescent="0.2">
      <c r="N66" s="194"/>
    </row>
    <row r="67" spans="14:14" x14ac:dyDescent="0.2">
      <c r="N67" s="194">
        <v>46023</v>
      </c>
    </row>
    <row r="68" spans="14:14" x14ac:dyDescent="0.2">
      <c r="N68" s="194">
        <v>46054</v>
      </c>
    </row>
    <row r="69" spans="14:14" x14ac:dyDescent="0.2">
      <c r="N69" s="194">
        <v>46082</v>
      </c>
    </row>
    <row r="70" spans="14:14" x14ac:dyDescent="0.2">
      <c r="N70" s="194">
        <v>46113</v>
      </c>
    </row>
    <row r="71" spans="14:14" x14ac:dyDescent="0.2">
      <c r="N71" s="194">
        <v>46143</v>
      </c>
    </row>
    <row r="72" spans="14:14" x14ac:dyDescent="0.2">
      <c r="N72" s="194">
        <v>46174</v>
      </c>
    </row>
    <row r="73" spans="14:14" x14ac:dyDescent="0.2">
      <c r="N73" s="194">
        <v>46204</v>
      </c>
    </row>
    <row r="74" spans="14:14" x14ac:dyDescent="0.2">
      <c r="N74" s="194">
        <v>46235</v>
      </c>
    </row>
    <row r="75" spans="14:14" x14ac:dyDescent="0.2">
      <c r="N75" s="194">
        <v>46266</v>
      </c>
    </row>
    <row r="76" spans="14:14" x14ac:dyDescent="0.2">
      <c r="N76" s="194">
        <v>46296</v>
      </c>
    </row>
    <row r="77" spans="14:14" x14ac:dyDescent="0.2">
      <c r="N77" s="194">
        <v>46327</v>
      </c>
    </row>
    <row r="78" spans="14:14" x14ac:dyDescent="0.2">
      <c r="N78" s="194">
        <v>46357</v>
      </c>
    </row>
    <row r="79" spans="14:14" x14ac:dyDescent="0.2">
      <c r="N79" s="194">
        <v>46023</v>
      </c>
    </row>
    <row r="80" spans="14:14" x14ac:dyDescent="0.2">
      <c r="N80" s="194">
        <v>46054</v>
      </c>
    </row>
    <row r="81" spans="14:14" x14ac:dyDescent="0.2">
      <c r="N81" s="194">
        <v>46082</v>
      </c>
    </row>
    <row r="82" spans="14:14" x14ac:dyDescent="0.2">
      <c r="N82" s="194">
        <v>46113</v>
      </c>
    </row>
    <row r="83" spans="14:14" x14ac:dyDescent="0.2">
      <c r="N83" s="194">
        <v>46143</v>
      </c>
    </row>
    <row r="84" spans="14:14" x14ac:dyDescent="0.2">
      <c r="N84" s="194">
        <v>46174</v>
      </c>
    </row>
    <row r="85" spans="14:14" x14ac:dyDescent="0.2">
      <c r="N85" s="194">
        <v>46204</v>
      </c>
    </row>
    <row r="86" spans="14:14" x14ac:dyDescent="0.2">
      <c r="N86" s="194">
        <v>46235</v>
      </c>
    </row>
    <row r="87" spans="14:14" x14ac:dyDescent="0.2">
      <c r="N87" s="194">
        <v>46266</v>
      </c>
    </row>
    <row r="88" spans="14:14" x14ac:dyDescent="0.2">
      <c r="N88" s="194">
        <v>46296</v>
      </c>
    </row>
    <row r="89" spans="14:14" x14ac:dyDescent="0.2">
      <c r="N89" s="194">
        <v>46327</v>
      </c>
    </row>
    <row r="90" spans="14:14" x14ac:dyDescent="0.2">
      <c r="N90" s="194">
        <v>46357</v>
      </c>
    </row>
    <row r="91" spans="14:14" x14ac:dyDescent="0.2">
      <c r="N91" s="194"/>
    </row>
    <row r="92" spans="14:14" x14ac:dyDescent="0.2">
      <c r="N92" s="194"/>
    </row>
    <row r="93" spans="14:14" x14ac:dyDescent="0.2">
      <c r="N93" s="194"/>
    </row>
    <row r="94" spans="14:14" x14ac:dyDescent="0.2">
      <c r="N94" s="194"/>
    </row>
    <row r="95" spans="14:14" x14ac:dyDescent="0.2">
      <c r="N95" s="194"/>
    </row>
    <row r="96" spans="14:14" x14ac:dyDescent="0.2">
      <c r="N96" s="194"/>
    </row>
    <row r="97" spans="14:14" x14ac:dyDescent="0.2">
      <c r="N97" s="194"/>
    </row>
    <row r="98" spans="14:14" x14ac:dyDescent="0.2">
      <c r="N98" s="194"/>
    </row>
    <row r="99" spans="14:14" x14ac:dyDescent="0.2">
      <c r="N99" s="194"/>
    </row>
    <row r="100" spans="14:14" x14ac:dyDescent="0.2">
      <c r="N100" s="194"/>
    </row>
    <row r="101" spans="14:14" x14ac:dyDescent="0.2">
      <c r="N101" s="194"/>
    </row>
    <row r="102" spans="14:14" x14ac:dyDescent="0.2">
      <c r="N102" s="194"/>
    </row>
    <row r="103" spans="14:14" x14ac:dyDescent="0.2">
      <c r="N103" s="194"/>
    </row>
    <row r="104" spans="14:14" x14ac:dyDescent="0.2">
      <c r="N104" s="194"/>
    </row>
    <row r="105" spans="14:14" x14ac:dyDescent="0.2">
      <c r="N105" s="194"/>
    </row>
    <row r="106" spans="14:14" x14ac:dyDescent="0.2">
      <c r="N106" s="194"/>
    </row>
    <row r="115" spans="14:14" x14ac:dyDescent="0.2">
      <c r="N115" s="194"/>
    </row>
    <row r="116" spans="14:14" x14ac:dyDescent="0.2">
      <c r="N116" s="194"/>
    </row>
    <row r="117" spans="14:14" x14ac:dyDescent="0.2">
      <c r="N117" s="194"/>
    </row>
  </sheetData>
  <mergeCells count="1">
    <mergeCell ref="A1:C1"/>
  </mergeCells>
  <dataValidations count="2">
    <dataValidation type="list" allowBlank="1" showInputMessage="1" showErrorMessage="1" sqref="B6:C6" xr:uid="{63A74452-D134-4C43-A48A-A1A92DE33E58}">
      <formula1>$N$67:$N$90</formula1>
    </dataValidation>
    <dataValidation type="list" allowBlank="1" showInputMessage="1" showErrorMessage="1" sqref="B5" xr:uid="{E6BC6A4C-62F7-476E-8854-E6CF41BE44FB}">
      <formula1>"Yes,No"</formula1>
    </dataValidation>
  </dataValidations>
  <pageMargins left="0.7" right="0.7" top="0.75" bottom="0.75" header="0.3" footer="0.3"/>
  <pageSetup fitToHeight="0" orientation="landscape" r:id="rId1"/>
  <headerFooter>
    <oddFooter>&amp;LWednesday, November 09, 2022&amp;RPage &amp;P of &amp;N</oddFooter>
  </headerFooter>
  <ignoredErrors>
    <ignoredError sqref="B7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9259B-E8CE-4322-A941-4B9E918D32CC}">
  <sheetPr codeName="Sheet5">
    <pageSetUpPr autoPageBreaks="0" fitToPage="1"/>
  </sheetPr>
  <dimension ref="A1:AA245"/>
  <sheetViews>
    <sheetView topLeftCell="A130" zoomScaleNormal="100" workbookViewId="0">
      <selection activeCell="G137" sqref="G137"/>
    </sheetView>
  </sheetViews>
  <sheetFormatPr defaultColWidth="12.42578125" defaultRowHeight="15.75" x14ac:dyDescent="0.25"/>
  <cols>
    <col min="1" max="1" width="14.42578125" style="9" customWidth="1"/>
    <col min="2" max="2" width="26" style="9" customWidth="1"/>
    <col min="3" max="3" width="47.140625" style="13" bestFit="1" customWidth="1"/>
    <col min="4" max="4" width="10.42578125" style="14" customWidth="1"/>
    <col min="5" max="5" width="15.5703125" style="13" customWidth="1"/>
    <col min="6" max="6" width="12.42578125" style="13" customWidth="1"/>
    <col min="7" max="7" width="22.42578125" style="47" customWidth="1"/>
    <col min="8" max="8" width="43" customWidth="1"/>
    <col min="9" max="9" width="33.42578125" style="9" customWidth="1"/>
    <col min="10" max="10" width="8.140625" style="9" customWidth="1"/>
    <col min="11" max="26" width="12.42578125" style="9"/>
    <col min="27" max="27" width="0" style="9" hidden="1" customWidth="1"/>
    <col min="28" max="16384" width="12.42578125" style="9"/>
  </cols>
  <sheetData>
    <row r="1" spans="1:27" ht="23.25" x14ac:dyDescent="0.35">
      <c r="A1" s="546" t="str">
        <f>'Input-Instructions'!B3</f>
        <v>610 West</v>
      </c>
      <c r="B1" s="547"/>
      <c r="C1" s="547"/>
      <c r="D1" s="547"/>
      <c r="E1" s="547"/>
      <c r="F1" s="547"/>
      <c r="G1" s="547"/>
      <c r="H1" s="440"/>
      <c r="I1" s="449"/>
      <c r="J1" s="449"/>
      <c r="K1" s="449"/>
      <c r="L1" s="449"/>
      <c r="M1" s="449"/>
    </row>
    <row r="2" spans="1:27" ht="23.25" x14ac:dyDescent="0.35">
      <c r="A2" s="546" t="s">
        <v>20</v>
      </c>
      <c r="B2" s="546"/>
      <c r="C2" s="548"/>
      <c r="D2" s="548"/>
      <c r="E2" s="548"/>
      <c r="F2" s="548"/>
      <c r="G2" s="548"/>
      <c r="H2" s="440"/>
      <c r="I2" s="449"/>
      <c r="J2" s="449"/>
      <c r="K2" s="449"/>
      <c r="L2" s="449"/>
      <c r="M2" s="449"/>
    </row>
    <row r="3" spans="1:27" ht="23.25" x14ac:dyDescent="0.35">
      <c r="A3" s="549" t="str">
        <f>TEXT('Input-Instructions'!$B$6,"MMMM YYYY")</f>
        <v>July 2026</v>
      </c>
      <c r="B3" s="549"/>
      <c r="C3" s="549"/>
      <c r="D3" s="549"/>
      <c r="E3" s="549"/>
      <c r="F3" s="549"/>
      <c r="G3" s="549"/>
      <c r="H3" s="440"/>
      <c r="I3" s="449"/>
      <c r="J3" s="449"/>
      <c r="K3" s="449"/>
      <c r="L3" s="449"/>
      <c r="M3" s="449"/>
    </row>
    <row r="4" spans="1:27" x14ac:dyDescent="0.25">
      <c r="A4" s="421"/>
      <c r="B4" s="421"/>
      <c r="C4" s="421"/>
      <c r="D4" s="421"/>
      <c r="E4" s="421"/>
      <c r="F4" s="421"/>
      <c r="G4" s="421"/>
    </row>
    <row r="5" spans="1:27" x14ac:dyDescent="0.25">
      <c r="A5" s="421"/>
      <c r="B5" s="421"/>
      <c r="C5" s="421"/>
      <c r="D5" s="421"/>
      <c r="E5" s="421"/>
      <c r="F5" s="421"/>
      <c r="G5" s="421"/>
    </row>
    <row r="6" spans="1:27" x14ac:dyDescent="0.25">
      <c r="A6" s="264" t="s">
        <v>21</v>
      </c>
      <c r="B6" s="462" t="s">
        <v>22</v>
      </c>
      <c r="C6" s="12" t="str">
        <f>IFERROR(IF(B6="","",VLOOKUP(B6,'Mapped COA'!A:G,2,0)),IF(B6="","",VLOOKUP(B6,COA!A:G,2,0)))</f>
        <v>P-Card Reserve</v>
      </c>
      <c r="E6" s="15"/>
      <c r="F6" s="16"/>
      <c r="G6" s="9"/>
    </row>
    <row r="7" spans="1:27" x14ac:dyDescent="0.25">
      <c r="B7" s="17" t="s">
        <v>23</v>
      </c>
      <c r="C7" s="17" t="s">
        <v>24</v>
      </c>
      <c r="D7" s="18"/>
      <c r="E7" s="17"/>
      <c r="F7" s="19"/>
      <c r="G7" s="9"/>
    </row>
    <row r="8" spans="1:27" x14ac:dyDescent="0.25">
      <c r="B8" s="20" t="s">
        <v>25</v>
      </c>
      <c r="C8" s="21" t="s">
        <v>26</v>
      </c>
      <c r="D8" s="18"/>
      <c r="E8" s="20"/>
      <c r="F8" s="19"/>
      <c r="G8" s="22">
        <v>2000</v>
      </c>
      <c r="H8" s="374" t="s">
        <v>27</v>
      </c>
      <c r="AA8" s="9" t="s">
        <v>1</v>
      </c>
    </row>
    <row r="9" spans="1:27" x14ac:dyDescent="0.25">
      <c r="B9" s="20" t="s">
        <v>28</v>
      </c>
      <c r="C9" s="23" t="s">
        <v>29</v>
      </c>
      <c r="D9" s="18"/>
      <c r="E9" s="20"/>
      <c r="F9" s="19"/>
      <c r="G9" s="22">
        <v>3000</v>
      </c>
      <c r="H9" s="375" t="s">
        <v>3</v>
      </c>
      <c r="AA9" s="9" t="s">
        <v>3</v>
      </c>
    </row>
    <row r="10" spans="1:27" x14ac:dyDescent="0.25">
      <c r="A10" s="12"/>
      <c r="B10" s="495"/>
      <c r="D10" s="24"/>
      <c r="E10" s="25"/>
      <c r="F10" s="16"/>
      <c r="G10" s="22"/>
    </row>
    <row r="11" spans="1:27" ht="16.5" thickBot="1" x14ac:dyDescent="0.3">
      <c r="A11" s="12"/>
      <c r="B11" s="495"/>
      <c r="D11" s="24"/>
      <c r="E11" s="25"/>
      <c r="F11" s="16"/>
      <c r="G11" s="22"/>
    </row>
    <row r="12" spans="1:27" ht="16.5" customHeight="1" thickBot="1" x14ac:dyDescent="0.3">
      <c r="A12" s="545"/>
      <c r="B12" s="545"/>
      <c r="C12" s="545"/>
      <c r="D12" s="545"/>
      <c r="E12" s="545"/>
      <c r="F12" s="545"/>
      <c r="G12" s="26">
        <f>SUM(G7:G11)</f>
        <v>5000</v>
      </c>
    </row>
    <row r="13" spans="1:27" hidden="1" x14ac:dyDescent="0.25">
      <c r="A13" s="264" t="s">
        <v>21</v>
      </c>
      <c r="B13" s="419" t="s">
        <v>30</v>
      </c>
      <c r="C13" s="12" t="str">
        <f>IFERROR(IF(B13="","",VLOOKUP(B13,'Mapped COA'!A:G,2,0)),IF(B13="","",VLOOKUP(B13,COA!A:G,2,0)))</f>
        <v>HAP Overpayment</v>
      </c>
      <c r="E13" s="15"/>
      <c r="F13" s="16"/>
      <c r="G13" s="9"/>
    </row>
    <row r="14" spans="1:27" hidden="1" x14ac:dyDescent="0.25">
      <c r="A14" s="27"/>
      <c r="B14" s="12"/>
      <c r="E14" s="15"/>
      <c r="F14" s="16"/>
      <c r="G14" s="9"/>
    </row>
    <row r="15" spans="1:27" hidden="1" x14ac:dyDescent="0.25">
      <c r="B15" s="17" t="s">
        <v>31</v>
      </c>
      <c r="C15" s="17" t="s">
        <v>32</v>
      </c>
      <c r="D15" s="18"/>
      <c r="E15" s="19"/>
      <c r="F15" s="19"/>
      <c r="G15" s="28"/>
    </row>
    <row r="16" spans="1:27" hidden="1" x14ac:dyDescent="0.25">
      <c r="B16" s="477"/>
      <c r="C16" s="21"/>
      <c r="D16" s="18"/>
      <c r="E16" s="19"/>
      <c r="F16" s="19"/>
      <c r="G16" s="22"/>
    </row>
    <row r="17" spans="1:7" hidden="1" x14ac:dyDescent="0.25">
      <c r="B17" s="477"/>
      <c r="C17" s="23"/>
      <c r="D17" s="18"/>
      <c r="E17" s="19"/>
      <c r="F17" s="19"/>
      <c r="G17" s="22"/>
    </row>
    <row r="18" spans="1:7" ht="16.5" hidden="1" thickBot="1" x14ac:dyDescent="0.3">
      <c r="B18" s="477"/>
      <c r="C18" s="23"/>
      <c r="D18" s="18"/>
      <c r="E18" s="19"/>
      <c r="F18" s="19"/>
      <c r="G18" s="22"/>
    </row>
    <row r="19" spans="1:7" ht="16.5" hidden="1" thickBot="1" x14ac:dyDescent="0.3">
      <c r="A19" s="545"/>
      <c r="B19" s="545"/>
      <c r="C19" s="545"/>
      <c r="D19" s="545"/>
      <c r="E19" s="545"/>
      <c r="F19" s="545"/>
      <c r="G19" s="26">
        <f>SUM(G15:G18)</f>
        <v>0</v>
      </c>
    </row>
    <row r="20" spans="1:7" hidden="1" x14ac:dyDescent="0.25">
      <c r="A20" s="474" t="s">
        <v>21</v>
      </c>
      <c r="B20" s="470" t="s">
        <v>33</v>
      </c>
      <c r="C20" s="114" t="s">
        <v>34</v>
      </c>
      <c r="D20" s="117"/>
      <c r="E20" s="117"/>
      <c r="F20" s="117"/>
      <c r="G20" s="321"/>
    </row>
    <row r="21" spans="1:7" hidden="1" x14ac:dyDescent="0.25">
      <c r="A21" s="471"/>
      <c r="B21" s="471" t="s">
        <v>31</v>
      </c>
      <c r="C21" s="471" t="s">
        <v>32</v>
      </c>
      <c r="D21" s="471"/>
      <c r="E21" s="471" t="s">
        <v>35</v>
      </c>
      <c r="F21" s="471"/>
      <c r="G21" s="472"/>
    </row>
    <row r="22" spans="1:7" hidden="1" x14ac:dyDescent="0.25">
      <c r="A22" s="16"/>
      <c r="B22" s="495"/>
      <c r="C22" s="16"/>
      <c r="D22" s="16"/>
      <c r="E22" s="16"/>
      <c r="F22" s="16"/>
      <c r="G22" s="32"/>
    </row>
    <row r="23" spans="1:7" ht="16.5" hidden="1" thickBot="1" x14ac:dyDescent="0.3">
      <c r="A23" s="471"/>
      <c r="B23" s="495"/>
      <c r="C23" s="471"/>
      <c r="D23" s="471"/>
      <c r="E23" s="471"/>
      <c r="F23" s="471"/>
      <c r="G23" s="473"/>
    </row>
    <row r="24" spans="1:7" ht="16.5" hidden="1" thickBot="1" x14ac:dyDescent="0.3">
      <c r="A24" s="128"/>
      <c r="B24" s="478"/>
      <c r="C24" s="128"/>
      <c r="D24" s="128"/>
      <c r="E24" s="128"/>
      <c r="F24" s="128"/>
      <c r="G24" s="26">
        <f>SUM(G22:G23)</f>
        <v>0</v>
      </c>
    </row>
    <row r="25" spans="1:7" hidden="1" x14ac:dyDescent="0.25">
      <c r="A25" s="264" t="s">
        <v>21</v>
      </c>
      <c r="B25" s="462" t="s">
        <v>36</v>
      </c>
      <c r="C25" s="12" t="str">
        <f>IFERROR(IF(B25="","",VLOOKUP(B25,'Mapped COA'!A:G,2,0)),IF(B25="","",VLOOKUP(B25,COA!A:G,2,0)))</f>
        <v>A/R - Other</v>
      </c>
      <c r="E25" s="15"/>
      <c r="F25" s="16"/>
      <c r="G25" s="9"/>
    </row>
    <row r="26" spans="1:7" hidden="1" x14ac:dyDescent="0.25">
      <c r="B26" s="17" t="s">
        <v>31</v>
      </c>
      <c r="C26" s="17" t="s">
        <v>32</v>
      </c>
      <c r="D26" s="18"/>
      <c r="E26" s="17" t="s">
        <v>35</v>
      </c>
      <c r="F26" s="19"/>
      <c r="G26" s="28"/>
    </row>
    <row r="27" spans="1:7" hidden="1" x14ac:dyDescent="0.25">
      <c r="B27" s="495"/>
      <c r="C27" s="21"/>
      <c r="D27" s="29"/>
      <c r="E27" s="20"/>
      <c r="F27" s="20"/>
      <c r="G27" s="22"/>
    </row>
    <row r="28" spans="1:7" hidden="1" x14ac:dyDescent="0.25">
      <c r="B28" s="495"/>
      <c r="C28" s="21"/>
      <c r="D28" s="29"/>
      <c r="E28" s="20"/>
      <c r="F28" s="20"/>
      <c r="G28" s="22"/>
    </row>
    <row r="29" spans="1:7" ht="16.5" hidden="1" thickBot="1" x14ac:dyDescent="0.3">
      <c r="B29" s="495"/>
      <c r="C29" s="21"/>
      <c r="D29" s="29"/>
      <c r="E29" s="20"/>
      <c r="F29" s="20"/>
      <c r="G29" s="22"/>
    </row>
    <row r="30" spans="1:7" ht="16.5" hidden="1" thickBot="1" x14ac:dyDescent="0.3">
      <c r="A30" s="545" t="s">
        <v>37</v>
      </c>
      <c r="B30" s="545"/>
      <c r="C30" s="545"/>
      <c r="D30" s="545"/>
      <c r="E30" s="545"/>
      <c r="F30" s="545"/>
      <c r="G30" s="26">
        <f>SUM(G26:G29)</f>
        <v>0</v>
      </c>
    </row>
    <row r="31" spans="1:7" hidden="1" x14ac:dyDescent="0.25">
      <c r="A31" s="264" t="s">
        <v>21</v>
      </c>
      <c r="B31" s="462" t="s">
        <v>38</v>
      </c>
      <c r="C31" s="12" t="str">
        <f>IFERROR(IF(B31="","",VLOOKUP(B31,'Mapped COA'!A:G,2,0)),IF(B31="","",VLOOKUP(B31,COA!A:G,2,0)))</f>
        <v>Allowance for Doubtful Accounts</v>
      </c>
      <c r="E31" s="15"/>
      <c r="F31" s="16"/>
      <c r="G31" s="9"/>
    </row>
    <row r="32" spans="1:7" hidden="1" x14ac:dyDescent="0.25">
      <c r="B32" s="17" t="s">
        <v>31</v>
      </c>
      <c r="C32" s="17" t="s">
        <v>32</v>
      </c>
      <c r="D32" s="18"/>
      <c r="E32" s="17" t="s">
        <v>35</v>
      </c>
      <c r="F32" s="19"/>
      <c r="G32" s="28"/>
    </row>
    <row r="33" spans="1:7" hidden="1" x14ac:dyDescent="0.25">
      <c r="B33" s="495"/>
      <c r="C33" s="21"/>
      <c r="D33" s="29"/>
      <c r="E33" s="20"/>
      <c r="F33" s="20"/>
      <c r="G33" s="22"/>
    </row>
    <row r="34" spans="1:7" hidden="1" x14ac:dyDescent="0.25">
      <c r="B34" s="495"/>
      <c r="C34" s="21"/>
      <c r="D34" s="29"/>
      <c r="E34" s="20"/>
      <c r="F34" s="20"/>
      <c r="G34" s="22"/>
    </row>
    <row r="35" spans="1:7" ht="16.5" hidden="1" thickBot="1" x14ac:dyDescent="0.3">
      <c r="B35" s="495"/>
      <c r="C35" s="21"/>
      <c r="D35" s="29"/>
      <c r="E35" s="20"/>
      <c r="F35" s="20"/>
      <c r="G35" s="22"/>
    </row>
    <row r="36" spans="1:7" ht="16.5" hidden="1" thickBot="1" x14ac:dyDescent="0.3">
      <c r="A36" s="545" t="s">
        <v>37</v>
      </c>
      <c r="B36" s="545"/>
      <c r="C36" s="545"/>
      <c r="D36" s="545"/>
      <c r="E36" s="545"/>
      <c r="F36" s="545"/>
      <c r="G36" s="26">
        <f>SUM(G32:G35)</f>
        <v>0</v>
      </c>
    </row>
    <row r="37" spans="1:7" hidden="1" x14ac:dyDescent="0.25">
      <c r="A37" s="264" t="s">
        <v>21</v>
      </c>
      <c r="B37" s="462" t="s">
        <v>39</v>
      </c>
      <c r="C37" s="12" t="str">
        <f>IFERROR(IF(B37="","",VLOOKUP(B37,'Mapped COA'!A:G,2,0)),IF(B37="","",VLOOKUP(B37,COA!A:G,2,0)))</f>
        <v>A/P - Other</v>
      </c>
      <c r="E37" s="15"/>
      <c r="F37" s="16"/>
      <c r="G37" s="9"/>
    </row>
    <row r="38" spans="1:7" hidden="1" x14ac:dyDescent="0.25">
      <c r="B38" s="17" t="s">
        <v>31</v>
      </c>
      <c r="C38" s="17" t="s">
        <v>32</v>
      </c>
      <c r="D38" s="18"/>
      <c r="E38" s="17" t="s">
        <v>35</v>
      </c>
      <c r="F38" s="19"/>
      <c r="G38" s="28"/>
    </row>
    <row r="39" spans="1:7" hidden="1" x14ac:dyDescent="0.25">
      <c r="A39" s="30"/>
      <c r="B39" s="495"/>
      <c r="C39" s="21"/>
      <c r="D39" s="29"/>
      <c r="E39" s="20"/>
      <c r="F39" s="20"/>
      <c r="G39" s="22"/>
    </row>
    <row r="40" spans="1:7" hidden="1" x14ac:dyDescent="0.25">
      <c r="A40" s="30"/>
      <c r="B40" s="495"/>
      <c r="C40" s="21"/>
      <c r="D40" s="29"/>
      <c r="E40" s="20"/>
      <c r="F40" s="20"/>
      <c r="G40" s="22"/>
    </row>
    <row r="41" spans="1:7" ht="16.5" hidden="1" thickBot="1" x14ac:dyDescent="0.3">
      <c r="A41" s="30"/>
      <c r="B41" s="495"/>
      <c r="C41" s="33"/>
      <c r="D41" s="36"/>
      <c r="E41" s="38"/>
      <c r="F41" s="37"/>
      <c r="G41" s="22"/>
    </row>
    <row r="42" spans="1:7" ht="16.5" hidden="1" thickBot="1" x14ac:dyDescent="0.3">
      <c r="A42" s="545" t="s">
        <v>37</v>
      </c>
      <c r="B42" s="545"/>
      <c r="C42" s="545"/>
      <c r="D42" s="545"/>
      <c r="E42" s="545"/>
      <c r="F42" s="545"/>
      <c r="G42" s="26">
        <f>SUM(G38:G41)</f>
        <v>0</v>
      </c>
    </row>
    <row r="43" spans="1:7" x14ac:dyDescent="0.25">
      <c r="A43" s="264" t="s">
        <v>21</v>
      </c>
      <c r="B43" s="419" t="s">
        <v>40</v>
      </c>
      <c r="C43" s="12" t="str">
        <f>IFERROR(IF(B43="","",VLOOKUP(B43,'Mapped COA'!A:G,2,0)),IF(B43="","",VLOOKUP(B43,COA!A:G,2,0)))</f>
        <v>Accrued Management Fees</v>
      </c>
      <c r="E43" s="15"/>
      <c r="F43" s="16"/>
      <c r="G43" s="9"/>
    </row>
    <row r="44" spans="1:7" x14ac:dyDescent="0.25">
      <c r="B44" s="17" t="s">
        <v>31</v>
      </c>
      <c r="C44" s="17" t="s">
        <v>32</v>
      </c>
      <c r="D44" s="18"/>
      <c r="E44" s="17"/>
      <c r="F44" s="19"/>
      <c r="G44" s="9"/>
    </row>
    <row r="45" spans="1:7" x14ac:dyDescent="0.25">
      <c r="A45" s="30"/>
      <c r="B45" s="495">
        <v>46204</v>
      </c>
      <c r="C45" s="517" t="s">
        <v>14125</v>
      </c>
      <c r="D45" s="518"/>
      <c r="E45" s="518"/>
      <c r="F45" s="518"/>
      <c r="G45" s="48">
        <v>-22786.57</v>
      </c>
    </row>
    <row r="46" spans="1:7" x14ac:dyDescent="0.25">
      <c r="A46" s="30"/>
      <c r="B46" s="495"/>
      <c r="C46" s="21"/>
      <c r="D46" s="29"/>
      <c r="E46" s="20"/>
      <c r="F46" s="20"/>
      <c r="G46" s="22"/>
    </row>
    <row r="47" spans="1:7" ht="16.5" thickBot="1" x14ac:dyDescent="0.3">
      <c r="A47" s="30"/>
      <c r="B47" s="495"/>
      <c r="C47" s="33"/>
      <c r="D47" s="29"/>
      <c r="E47" s="39"/>
      <c r="F47" s="20"/>
      <c r="G47" s="22"/>
    </row>
    <row r="48" spans="1:7" ht="16.5" thickBot="1" x14ac:dyDescent="0.3">
      <c r="A48" s="545"/>
      <c r="B48" s="545"/>
      <c r="C48" s="545"/>
      <c r="D48" s="545"/>
      <c r="E48" s="545"/>
      <c r="F48" s="545"/>
      <c r="G48" s="26">
        <f>SUM(G44:G47)</f>
        <v>-22786.57</v>
      </c>
    </row>
    <row r="49" spans="1:7" hidden="1" x14ac:dyDescent="0.25">
      <c r="A49" s="264" t="s">
        <v>21</v>
      </c>
      <c r="B49" s="419" t="s">
        <v>41</v>
      </c>
      <c r="C49" s="12" t="str">
        <f>IFERROR(IF(B49="","",VLOOKUP(B49,'Mapped COA'!A:G,2,0)),IF(B49="","",VLOOKUP(B49,COA!A:G,2,0)))</f>
        <v>Accrued Expenses - Asset Management</v>
      </c>
      <c r="D49" s="40"/>
      <c r="E49" s="15"/>
      <c r="F49" s="16"/>
      <c r="G49" s="31"/>
    </row>
    <row r="50" spans="1:7" hidden="1" x14ac:dyDescent="0.25">
      <c r="A50" s="12"/>
      <c r="B50" s="17" t="s">
        <v>31</v>
      </c>
      <c r="C50" s="17" t="s">
        <v>32</v>
      </c>
      <c r="D50" s="18"/>
      <c r="E50" s="17"/>
      <c r="F50" s="16"/>
      <c r="G50" s="28"/>
    </row>
    <row r="51" spans="1:7" hidden="1" x14ac:dyDescent="0.25">
      <c r="A51" s="41"/>
      <c r="B51" s="495"/>
      <c r="C51" s="21"/>
      <c r="D51" s="29"/>
      <c r="E51" s="20"/>
      <c r="F51" s="37"/>
      <c r="G51" s="22"/>
    </row>
    <row r="52" spans="1:7" hidden="1" x14ac:dyDescent="0.25">
      <c r="A52" s="41"/>
      <c r="B52" s="495"/>
      <c r="C52" s="21"/>
      <c r="D52" s="29"/>
      <c r="E52" s="20"/>
      <c r="F52" s="37"/>
      <c r="G52" s="22"/>
    </row>
    <row r="53" spans="1:7" ht="16.5" hidden="1" thickBot="1" x14ac:dyDescent="0.3">
      <c r="A53" s="41"/>
      <c r="B53" s="495"/>
      <c r="C53" s="43"/>
      <c r="D53" s="44"/>
      <c r="E53" s="45"/>
      <c r="F53" s="37"/>
      <c r="G53" s="22"/>
    </row>
    <row r="54" spans="1:7" ht="16.5" hidden="1" thickBot="1" x14ac:dyDescent="0.3">
      <c r="A54" s="545"/>
      <c r="B54" s="545"/>
      <c r="C54" s="545"/>
      <c r="D54" s="545"/>
      <c r="E54" s="545"/>
      <c r="F54" s="545"/>
      <c r="G54" s="26">
        <f>SUM(G50:G53)</f>
        <v>0</v>
      </c>
    </row>
    <row r="55" spans="1:7" x14ac:dyDescent="0.25">
      <c r="A55" s="264" t="s">
        <v>21</v>
      </c>
      <c r="B55" s="419" t="s">
        <v>42</v>
      </c>
      <c r="C55" s="12" t="str">
        <f>IFERROR(IF(B55="","",VLOOKUP(B55,'Mapped COA'!A:G,2,0)),IF(B55="","",VLOOKUP(B55,COA!A:G,2,0)))</f>
        <v>Accrued Payroll</v>
      </c>
      <c r="D55" s="40"/>
      <c r="E55" s="15"/>
      <c r="F55" s="16"/>
      <c r="G55" s="31"/>
    </row>
    <row r="56" spans="1:7" x14ac:dyDescent="0.25">
      <c r="A56" s="12"/>
      <c r="B56" s="17" t="s">
        <v>31</v>
      </c>
      <c r="C56" s="17" t="s">
        <v>32</v>
      </c>
      <c r="D56" s="18"/>
      <c r="E56" s="17"/>
      <c r="F56" s="16"/>
      <c r="G56" s="28"/>
    </row>
    <row r="57" spans="1:7" x14ac:dyDescent="0.25">
      <c r="A57" s="12"/>
      <c r="B57" s="17"/>
      <c r="C57" s="17"/>
      <c r="D57" s="18"/>
      <c r="E57" s="17"/>
      <c r="F57" s="16"/>
      <c r="G57" s="28"/>
    </row>
    <row r="58" spans="1:7" x14ac:dyDescent="0.25">
      <c r="A58" s="41"/>
      <c r="B58" s="495"/>
      <c r="C58" s="21"/>
      <c r="D58" s="29"/>
      <c r="E58" s="20"/>
      <c r="F58" s="37"/>
      <c r="G58" s="516"/>
    </row>
    <row r="59" spans="1:7" ht="16.5" thickBot="1" x14ac:dyDescent="0.3">
      <c r="A59" s="41"/>
      <c r="B59" s="495"/>
      <c r="C59" s="43"/>
      <c r="D59" s="44"/>
      <c r="E59" s="45"/>
      <c r="F59" s="37"/>
      <c r="G59" s="22"/>
    </row>
    <row r="60" spans="1:7" ht="16.5" thickBot="1" x14ac:dyDescent="0.3">
      <c r="A60" s="545"/>
      <c r="B60" s="545"/>
      <c r="C60" s="545"/>
      <c r="D60" s="545"/>
      <c r="E60" s="545"/>
      <c r="F60" s="545"/>
      <c r="G60" s="26">
        <f>SUM(G56:G59)</f>
        <v>0</v>
      </c>
    </row>
    <row r="61" spans="1:7" x14ac:dyDescent="0.25">
      <c r="A61" s="264" t="s">
        <v>21</v>
      </c>
      <c r="B61" s="462" t="s">
        <v>43</v>
      </c>
      <c r="C61" s="12" t="str">
        <f>IFERROR(IF(B61="","",VLOOKUP(B61,'Mapped COA'!A:G,2,0)),IF(B61="","",VLOOKUP(B61,COA!A:G,2,0)))</f>
        <v>Accrued Interest Expense</v>
      </c>
      <c r="E61" s="15"/>
      <c r="F61" s="16"/>
      <c r="G61" s="28"/>
    </row>
    <row r="62" spans="1:7" x14ac:dyDescent="0.25">
      <c r="A62" s="12"/>
      <c r="B62" s="17" t="s">
        <v>31</v>
      </c>
      <c r="C62" s="17" t="s">
        <v>32</v>
      </c>
      <c r="D62" s="18"/>
      <c r="E62" s="17"/>
      <c r="F62" s="16"/>
      <c r="G62" s="28"/>
    </row>
    <row r="63" spans="1:7" x14ac:dyDescent="0.25">
      <c r="A63" s="41"/>
      <c r="B63" s="495">
        <v>46204</v>
      </c>
      <c r="C63" s="517" t="s">
        <v>14126</v>
      </c>
      <c r="D63" s="518"/>
      <c r="E63" s="518"/>
      <c r="F63" s="16"/>
      <c r="G63" s="48">
        <v>-380675.18</v>
      </c>
    </row>
    <row r="64" spans="1:7" x14ac:dyDescent="0.25">
      <c r="A64" s="41"/>
      <c r="B64" s="495"/>
      <c r="C64" s="21"/>
      <c r="D64" s="29"/>
      <c r="E64" s="20"/>
      <c r="F64" s="37"/>
      <c r="G64" s="22"/>
    </row>
    <row r="65" spans="1:7" ht="16.5" thickBot="1" x14ac:dyDescent="0.3">
      <c r="A65" s="41"/>
      <c r="B65" s="495"/>
      <c r="C65" s="43"/>
      <c r="D65" s="44"/>
      <c r="E65" s="45"/>
      <c r="F65" s="37"/>
      <c r="G65" s="22"/>
    </row>
    <row r="66" spans="1:7" ht="16.5" thickBot="1" x14ac:dyDescent="0.3">
      <c r="A66" s="545"/>
      <c r="B66" s="545"/>
      <c r="C66" s="545"/>
      <c r="D66" s="545"/>
      <c r="E66" s="545"/>
      <c r="F66" s="545"/>
      <c r="G66" s="26">
        <f>SUM(G62:G65)</f>
        <v>-380675.18</v>
      </c>
    </row>
    <row r="67" spans="1:7" x14ac:dyDescent="0.25">
      <c r="A67" s="264" t="s">
        <v>21</v>
      </c>
      <c r="B67" s="419" t="s">
        <v>44</v>
      </c>
      <c r="C67" s="12" t="str">
        <f>IFERROR(IF(B67="","",VLOOKUP(B67,'Mapped COA'!A:G,2,0)),IF(B67="","",VLOOKUP(B67,COA!A:G,2,0)))</f>
        <v>Security Deposits - Interest</v>
      </c>
      <c r="D67" s="40"/>
      <c r="E67" s="15"/>
      <c r="F67" s="16"/>
      <c r="G67" s="28"/>
    </row>
    <row r="68" spans="1:7" x14ac:dyDescent="0.25">
      <c r="B68" s="17" t="s">
        <v>31</v>
      </c>
      <c r="C68" s="17" t="s">
        <v>32</v>
      </c>
      <c r="D68" s="18"/>
      <c r="E68" s="17"/>
      <c r="F68" s="19"/>
      <c r="G68" s="28"/>
    </row>
    <row r="69" spans="1:7" x14ac:dyDescent="0.25">
      <c r="A69" s="30"/>
      <c r="B69" s="495"/>
      <c r="C69" s="21"/>
      <c r="D69" s="29"/>
      <c r="E69" s="20"/>
      <c r="F69" s="20"/>
      <c r="G69" s="22"/>
    </row>
    <row r="70" spans="1:7" x14ac:dyDescent="0.25">
      <c r="A70" s="30"/>
      <c r="B70" s="495"/>
      <c r="C70" s="21" t="s">
        <v>45</v>
      </c>
      <c r="D70" s="515"/>
      <c r="E70" s="20"/>
      <c r="F70" s="20"/>
      <c r="G70" s="516">
        <v>-17607.72</v>
      </c>
    </row>
    <row r="71" spans="1:7" x14ac:dyDescent="0.25">
      <c r="A71" s="30"/>
      <c r="B71" s="495">
        <v>46048</v>
      </c>
      <c r="C71" s="21" t="s">
        <v>46</v>
      </c>
      <c r="D71" s="515"/>
      <c r="E71" s="20"/>
      <c r="F71" s="20"/>
      <c r="G71" s="516">
        <v>-703.22</v>
      </c>
    </row>
    <row r="72" spans="1:7" x14ac:dyDescent="0.25">
      <c r="A72" s="30"/>
      <c r="B72" s="495">
        <v>46048</v>
      </c>
      <c r="C72" s="21" t="s">
        <v>47</v>
      </c>
      <c r="D72" s="515"/>
      <c r="E72" s="20"/>
      <c r="F72" s="20"/>
      <c r="G72" s="516">
        <v>-214.03</v>
      </c>
    </row>
    <row r="73" spans="1:7" x14ac:dyDescent="0.25">
      <c r="A73" s="30"/>
      <c r="B73" s="495">
        <v>46079</v>
      </c>
      <c r="C73" s="21" t="s">
        <v>46</v>
      </c>
      <c r="D73" s="515"/>
      <c r="E73" s="20"/>
      <c r="F73" s="20"/>
      <c r="G73" s="516">
        <v>-796.53</v>
      </c>
    </row>
    <row r="74" spans="1:7" x14ac:dyDescent="0.25">
      <c r="A74" s="30"/>
      <c r="B74" s="495">
        <v>46079</v>
      </c>
      <c r="C74" s="21" t="s">
        <v>47</v>
      </c>
      <c r="D74" s="515"/>
      <c r="E74" s="20"/>
      <c r="F74" s="20"/>
      <c r="G74" s="516">
        <v>2139.85</v>
      </c>
    </row>
    <row r="75" spans="1:7" x14ac:dyDescent="0.25">
      <c r="A75" s="30"/>
      <c r="B75" s="495">
        <v>46082</v>
      </c>
      <c r="C75" s="21" t="s">
        <v>48</v>
      </c>
      <c r="D75" s="515"/>
      <c r="E75" s="20"/>
      <c r="F75" s="20"/>
      <c r="G75" s="516">
        <v>-701.24</v>
      </c>
    </row>
    <row r="76" spans="1:7" x14ac:dyDescent="0.25">
      <c r="A76" s="30"/>
      <c r="B76" s="495">
        <v>46082</v>
      </c>
      <c r="C76" s="21" t="s">
        <v>49</v>
      </c>
      <c r="D76" s="515"/>
      <c r="E76" s="20"/>
      <c r="F76" s="20"/>
      <c r="G76" s="516">
        <v>788.64</v>
      </c>
    </row>
    <row r="77" spans="1:7" x14ac:dyDescent="0.25">
      <c r="A77" s="30"/>
      <c r="B77" s="495">
        <v>46113</v>
      </c>
      <c r="C77" s="21" t="s">
        <v>50</v>
      </c>
      <c r="D77" s="515"/>
      <c r="E77" s="20"/>
      <c r="F77" s="20"/>
      <c r="G77" s="516">
        <v>-878.75</v>
      </c>
    </row>
    <row r="78" spans="1:7" x14ac:dyDescent="0.25">
      <c r="A78" s="30"/>
      <c r="B78" s="495">
        <v>46113</v>
      </c>
      <c r="C78" s="21" t="s">
        <v>51</v>
      </c>
      <c r="D78" s="515"/>
      <c r="E78" s="20"/>
      <c r="F78" s="20"/>
      <c r="G78" s="516">
        <v>-2442.65</v>
      </c>
    </row>
    <row r="79" spans="1:7" x14ac:dyDescent="0.25">
      <c r="A79" s="30"/>
      <c r="B79" s="495">
        <v>46143</v>
      </c>
      <c r="C79" s="21" t="s">
        <v>52</v>
      </c>
      <c r="D79" s="515"/>
      <c r="E79" s="20"/>
      <c r="F79" s="20"/>
      <c r="G79" s="516">
        <v>-851.78</v>
      </c>
    </row>
    <row r="80" spans="1:7" x14ac:dyDescent="0.25">
      <c r="A80" s="30"/>
      <c r="B80" s="495">
        <v>46143</v>
      </c>
      <c r="C80" s="21" t="s">
        <v>53</v>
      </c>
      <c r="D80" s="515"/>
      <c r="E80" s="20"/>
      <c r="F80" s="20"/>
      <c r="G80" s="516">
        <v>-34.32</v>
      </c>
    </row>
    <row r="81" spans="1:7" x14ac:dyDescent="0.25">
      <c r="A81" s="30"/>
      <c r="B81" s="495">
        <v>46174</v>
      </c>
      <c r="C81" s="21" t="s">
        <v>54</v>
      </c>
      <c r="D81" s="515"/>
      <c r="E81" s="20"/>
      <c r="F81" s="20"/>
      <c r="G81" s="516">
        <v>-1044.46</v>
      </c>
    </row>
    <row r="82" spans="1:7" x14ac:dyDescent="0.25">
      <c r="A82" s="30"/>
      <c r="B82" s="495">
        <v>46174</v>
      </c>
      <c r="C82" s="21" t="s">
        <v>55</v>
      </c>
      <c r="D82" s="515"/>
      <c r="E82" s="20"/>
      <c r="F82" s="20"/>
      <c r="G82" s="516">
        <v>1217.55</v>
      </c>
    </row>
    <row r="83" spans="1:7" x14ac:dyDescent="0.25">
      <c r="A83" s="30"/>
      <c r="B83" s="495">
        <v>46204</v>
      </c>
      <c r="C83" s="21" t="s">
        <v>14127</v>
      </c>
      <c r="D83" s="515"/>
      <c r="E83" s="20"/>
      <c r="F83" s="20"/>
      <c r="G83" s="516">
        <v>-863.96</v>
      </c>
    </row>
    <row r="84" spans="1:7" x14ac:dyDescent="0.25">
      <c r="A84" s="30"/>
      <c r="B84" s="495">
        <v>46204</v>
      </c>
      <c r="C84" s="21" t="s">
        <v>14128</v>
      </c>
      <c r="D84" s="515"/>
      <c r="E84" s="20"/>
      <c r="F84" s="20"/>
      <c r="G84" s="516">
        <v>2823.25</v>
      </c>
    </row>
    <row r="85" spans="1:7" x14ac:dyDescent="0.25">
      <c r="A85" s="30"/>
      <c r="B85" s="495"/>
      <c r="C85" s="21"/>
      <c r="D85" s="515"/>
      <c r="E85" s="20"/>
      <c r="F85" s="20"/>
      <c r="G85" s="516"/>
    </row>
    <row r="86" spans="1:7" ht="16.5" thickBot="1" x14ac:dyDescent="0.3">
      <c r="A86" s="30"/>
      <c r="B86" s="495"/>
      <c r="C86" s="33"/>
      <c r="D86" s="36"/>
      <c r="E86" s="46"/>
      <c r="F86" s="37"/>
      <c r="G86" s="22"/>
    </row>
    <row r="87" spans="1:7" ht="16.5" thickBot="1" x14ac:dyDescent="0.3">
      <c r="A87" s="545"/>
      <c r="B87" s="545"/>
      <c r="C87" s="545"/>
      <c r="D87" s="545"/>
      <c r="E87" s="545"/>
      <c r="F87" s="545"/>
      <c r="G87" s="26">
        <f>SUM(G68:G86)</f>
        <v>-19169.370000000003</v>
      </c>
    </row>
    <row r="88" spans="1:7" x14ac:dyDescent="0.25">
      <c r="A88" s="264" t="s">
        <v>21</v>
      </c>
      <c r="B88" s="419" t="s">
        <v>56</v>
      </c>
      <c r="C88" s="12" t="str">
        <f>IFERROR(IF(B88="","",VLOOKUP(B88,'Mapped COA'!A:G,2,0)),IF(B88="","",VLOOKUP(B88,COA!A:G,2,0)))</f>
        <v>Common Stock</v>
      </c>
      <c r="D88" s="40"/>
      <c r="E88" s="15"/>
      <c r="F88" s="16"/>
      <c r="G88" s="28"/>
    </row>
    <row r="89" spans="1:7" x14ac:dyDescent="0.25">
      <c r="B89" s="17" t="s">
        <v>31</v>
      </c>
      <c r="C89" s="17" t="s">
        <v>32</v>
      </c>
      <c r="D89" s="18"/>
      <c r="E89" s="17"/>
      <c r="F89" s="19"/>
      <c r="G89" s="28"/>
    </row>
    <row r="90" spans="1:7" x14ac:dyDescent="0.25">
      <c r="A90" s="30"/>
      <c r="B90" s="495"/>
      <c r="C90" s="21" t="s">
        <v>45</v>
      </c>
      <c r="D90" s="29"/>
      <c r="E90" s="20"/>
      <c r="F90" s="20"/>
      <c r="G90" s="22">
        <v>-38200000</v>
      </c>
    </row>
    <row r="91" spans="1:7" x14ac:dyDescent="0.25">
      <c r="A91" s="30"/>
      <c r="B91" s="495"/>
      <c r="C91" s="21"/>
      <c r="D91" s="29"/>
      <c r="E91" s="20"/>
      <c r="F91" s="20"/>
      <c r="G91" s="22"/>
    </row>
    <row r="92" spans="1:7" ht="16.5" thickBot="1" x14ac:dyDescent="0.3">
      <c r="A92" s="30"/>
      <c r="B92" s="495"/>
      <c r="C92" s="33"/>
      <c r="D92" s="36"/>
      <c r="E92" s="46"/>
      <c r="F92" s="37"/>
      <c r="G92" s="22"/>
    </row>
    <row r="93" spans="1:7" ht="16.5" thickBot="1" x14ac:dyDescent="0.3">
      <c r="A93" s="545"/>
      <c r="B93" s="545"/>
      <c r="C93" s="545"/>
      <c r="D93" s="545"/>
      <c r="E93" s="545"/>
      <c r="F93" s="545"/>
      <c r="G93" s="26">
        <f>SUM(G89:G92)</f>
        <v>-38200000</v>
      </c>
    </row>
    <row r="94" spans="1:7" x14ac:dyDescent="0.25">
      <c r="A94" s="264" t="s">
        <v>21</v>
      </c>
      <c r="B94" s="419" t="s">
        <v>57</v>
      </c>
      <c r="C94" s="12" t="str">
        <f>IFERROR(IF(B94="","",VLOOKUP(B94,'Mapped COA'!A:G,2,0)),IF(B94="","",VLOOKUP(B94,COA!A:G,2,0)))</f>
        <v>Preferred SH - Non-Controlling Interest</v>
      </c>
      <c r="D94" s="40"/>
      <c r="E94" s="15"/>
      <c r="F94" s="16"/>
      <c r="G94" s="28"/>
    </row>
    <row r="95" spans="1:7" x14ac:dyDescent="0.25">
      <c r="B95" s="17" t="s">
        <v>31</v>
      </c>
      <c r="C95" s="17" t="s">
        <v>32</v>
      </c>
      <c r="D95" s="18"/>
      <c r="E95" s="17"/>
      <c r="F95" s="19"/>
      <c r="G95" s="28"/>
    </row>
    <row r="96" spans="1:7" x14ac:dyDescent="0.25">
      <c r="A96" s="30"/>
      <c r="B96" s="495"/>
      <c r="C96" s="21" t="s">
        <v>45</v>
      </c>
      <c r="D96" s="29"/>
      <c r="E96" s="20"/>
      <c r="F96" s="20"/>
      <c r="G96" s="22">
        <v>-7415445.4900000002</v>
      </c>
    </row>
    <row r="97" spans="1:7" x14ac:dyDescent="0.25">
      <c r="A97" s="30"/>
      <c r="B97" s="495">
        <v>46082</v>
      </c>
      <c r="C97" s="21" t="s">
        <v>58</v>
      </c>
      <c r="D97" s="29"/>
      <c r="E97" s="20"/>
      <c r="F97" s="20"/>
      <c r="G97" s="22">
        <v>-5336</v>
      </c>
    </row>
    <row r="98" spans="1:7" ht="31.5" x14ac:dyDescent="0.25">
      <c r="A98" s="30"/>
      <c r="B98" s="495">
        <v>46082</v>
      </c>
      <c r="C98" s="21" t="s">
        <v>59</v>
      </c>
      <c r="D98" s="29"/>
      <c r="E98" s="20"/>
      <c r="F98" s="20"/>
      <c r="G98" s="22">
        <v>5336</v>
      </c>
    </row>
    <row r="99" spans="1:7" ht="31.5" x14ac:dyDescent="0.25">
      <c r="A99" s="30"/>
      <c r="B99" s="495">
        <v>46082</v>
      </c>
      <c r="C99" s="21" t="s">
        <v>59</v>
      </c>
      <c r="D99" s="29"/>
      <c r="E99" s="20"/>
      <c r="F99" s="20"/>
      <c r="G99" s="22">
        <v>5336</v>
      </c>
    </row>
    <row r="100" spans="1:7" x14ac:dyDescent="0.25">
      <c r="A100" s="30"/>
      <c r="B100" s="495">
        <v>46082</v>
      </c>
      <c r="C100" s="21" t="s">
        <v>60</v>
      </c>
      <c r="D100" s="29"/>
      <c r="E100" s="20"/>
      <c r="F100" s="20"/>
      <c r="G100" s="22">
        <v>148482</v>
      </c>
    </row>
    <row r="101" spans="1:7" x14ac:dyDescent="0.25">
      <c r="A101" s="30"/>
      <c r="B101" s="495">
        <v>46082</v>
      </c>
      <c r="C101" s="21" t="s">
        <v>61</v>
      </c>
      <c r="D101" s="29"/>
      <c r="E101" s="20"/>
      <c r="F101" s="20"/>
      <c r="G101" s="22">
        <v>43802</v>
      </c>
    </row>
    <row r="102" spans="1:7" x14ac:dyDescent="0.25">
      <c r="A102" s="30"/>
      <c r="B102" s="495">
        <v>46174</v>
      </c>
      <c r="C102" s="33" t="s">
        <v>62</v>
      </c>
      <c r="D102" s="36"/>
      <c r="E102" s="46"/>
      <c r="F102" s="37"/>
      <c r="G102" s="22">
        <v>5462</v>
      </c>
    </row>
    <row r="103" spans="1:7" x14ac:dyDescent="0.25">
      <c r="A103" s="30"/>
      <c r="B103" s="495">
        <v>46174</v>
      </c>
      <c r="C103" s="33" t="s">
        <v>63</v>
      </c>
      <c r="D103" s="36"/>
      <c r="E103" s="46"/>
      <c r="F103" s="37"/>
      <c r="G103" s="22">
        <v>146540</v>
      </c>
    </row>
    <row r="104" spans="1:7" x14ac:dyDescent="0.25">
      <c r="A104" s="30"/>
      <c r="B104" s="495">
        <v>46174</v>
      </c>
      <c r="C104" s="33" t="s">
        <v>64</v>
      </c>
      <c r="D104" s="36"/>
      <c r="E104" s="46"/>
      <c r="F104" s="37"/>
      <c r="G104" s="22">
        <v>44842</v>
      </c>
    </row>
    <row r="105" spans="1:7" x14ac:dyDescent="0.25">
      <c r="A105" s="30"/>
      <c r="B105" s="495">
        <v>46204</v>
      </c>
      <c r="C105" s="33" t="s">
        <v>64</v>
      </c>
      <c r="D105" s="36"/>
      <c r="E105" s="46"/>
      <c r="F105" s="37"/>
      <c r="G105" s="22">
        <v>2731</v>
      </c>
    </row>
    <row r="106" spans="1:7" x14ac:dyDescent="0.25">
      <c r="A106" s="30"/>
      <c r="B106" s="495">
        <v>46204</v>
      </c>
      <c r="C106" s="33" t="s">
        <v>64</v>
      </c>
      <c r="D106" s="36"/>
      <c r="E106" s="46"/>
      <c r="F106" s="37"/>
      <c r="G106" s="22">
        <v>2731</v>
      </c>
    </row>
    <row r="107" spans="1:7" x14ac:dyDescent="0.25">
      <c r="A107" s="30"/>
      <c r="B107" s="495"/>
      <c r="C107" s="33"/>
      <c r="D107" s="36"/>
      <c r="E107" s="46"/>
      <c r="F107" s="37"/>
      <c r="G107" s="22"/>
    </row>
    <row r="108" spans="1:7" ht="16.5" thickBot="1" x14ac:dyDescent="0.3">
      <c r="A108" s="30"/>
      <c r="B108" s="495"/>
      <c r="C108" s="33"/>
      <c r="D108" s="36"/>
      <c r="E108" s="46"/>
      <c r="F108" s="37"/>
      <c r="G108" s="22"/>
    </row>
    <row r="109" spans="1:7" ht="16.5" thickBot="1" x14ac:dyDescent="0.3">
      <c r="A109" s="545"/>
      <c r="B109" s="545"/>
      <c r="C109" s="545"/>
      <c r="D109" s="545"/>
      <c r="E109" s="545"/>
      <c r="F109" s="545"/>
      <c r="G109" s="26">
        <f>SUM(G95:G106)</f>
        <v>-7015519.4900000002</v>
      </c>
    </row>
    <row r="110" spans="1:7" x14ac:dyDescent="0.25">
      <c r="A110" s="264" t="s">
        <v>21</v>
      </c>
      <c r="B110" s="419" t="s">
        <v>65</v>
      </c>
      <c r="C110" s="12" t="str">
        <f>IFERROR(IF(B110="","",VLOOKUP(B110,'Mapped COA'!A:G,2,0)),IF(B110="","",VLOOKUP(B110,COA!A:G,2,0)))</f>
        <v>Contributions</v>
      </c>
      <c r="E110" s="15"/>
      <c r="F110" s="16"/>
      <c r="G110" s="28"/>
    </row>
    <row r="111" spans="1:7" x14ac:dyDescent="0.25">
      <c r="A111" s="12"/>
      <c r="B111" s="17" t="s">
        <v>31</v>
      </c>
      <c r="C111" s="17" t="s">
        <v>32</v>
      </c>
      <c r="D111" s="18"/>
      <c r="E111" s="19"/>
      <c r="F111" s="16"/>
      <c r="G111" s="28"/>
    </row>
    <row r="112" spans="1:7" x14ac:dyDescent="0.25">
      <c r="A112" s="41"/>
      <c r="B112" s="495"/>
      <c r="C112" s="21" t="s">
        <v>45</v>
      </c>
      <c r="D112" s="29"/>
      <c r="E112" s="20"/>
      <c r="F112" s="37"/>
      <c r="G112" s="22">
        <v>-12541187.24</v>
      </c>
    </row>
    <row r="113" spans="1:7" x14ac:dyDescent="0.25">
      <c r="A113" s="41"/>
      <c r="B113" s="495">
        <v>46048</v>
      </c>
      <c r="C113" s="21" t="s">
        <v>66</v>
      </c>
      <c r="D113" s="29"/>
      <c r="E113" s="20"/>
      <c r="F113" s="37"/>
      <c r="G113" s="22">
        <v>-500000</v>
      </c>
    </row>
    <row r="114" spans="1:7" x14ac:dyDescent="0.25">
      <c r="A114" s="41"/>
      <c r="B114" s="495">
        <v>46082</v>
      </c>
      <c r="C114" s="33" t="s">
        <v>67</v>
      </c>
      <c r="D114" s="44"/>
      <c r="E114" s="45"/>
      <c r="F114" s="37"/>
      <c r="G114" s="22">
        <v>-750000</v>
      </c>
    </row>
    <row r="115" spans="1:7" x14ac:dyDescent="0.25">
      <c r="A115" s="41"/>
      <c r="B115" s="495">
        <v>46174</v>
      </c>
      <c r="C115" s="33" t="s">
        <v>67</v>
      </c>
      <c r="D115" s="44"/>
      <c r="E115" s="45"/>
      <c r="F115" s="37"/>
      <c r="G115" s="22">
        <v>-500000</v>
      </c>
    </row>
    <row r="116" spans="1:7" ht="16.5" thickBot="1" x14ac:dyDescent="0.3">
      <c r="A116" s="41"/>
      <c r="B116" s="495"/>
      <c r="C116" s="33"/>
      <c r="D116" s="44"/>
      <c r="E116" s="45"/>
      <c r="F116" s="37"/>
      <c r="G116" s="22"/>
    </row>
    <row r="117" spans="1:7" ht="16.5" thickBot="1" x14ac:dyDescent="0.3">
      <c r="A117" s="545"/>
      <c r="B117" s="545"/>
      <c r="C117" s="545"/>
      <c r="D117" s="545"/>
      <c r="E117" s="545"/>
      <c r="F117" s="545"/>
      <c r="G117" s="26">
        <f>SUM(G111:G115)</f>
        <v>-14291187.24</v>
      </c>
    </row>
    <row r="118" spans="1:7" x14ac:dyDescent="0.25">
      <c r="A118" s="264" t="s">
        <v>21</v>
      </c>
      <c r="B118" s="419" t="s">
        <v>68</v>
      </c>
      <c r="C118" s="12" t="str">
        <f>IFERROR(IF(B118="","",VLOOKUP(B118,'Mapped COA'!A:G,2,0)),IF(B118="","",VLOOKUP(B118,COA!A:G,2,0)))</f>
        <v>Distributions</v>
      </c>
      <c r="E118" s="15"/>
      <c r="F118" s="16"/>
      <c r="G118" s="28"/>
    </row>
    <row r="119" spans="1:7" x14ac:dyDescent="0.25">
      <c r="A119" s="12"/>
      <c r="B119" s="17" t="s">
        <v>31</v>
      </c>
      <c r="C119" s="17" t="s">
        <v>32</v>
      </c>
      <c r="D119" s="18"/>
      <c r="E119" s="19"/>
      <c r="F119" s="16"/>
      <c r="G119" s="28"/>
    </row>
    <row r="120" spans="1:7" x14ac:dyDescent="0.25">
      <c r="A120" s="12"/>
      <c r="B120" s="495"/>
      <c r="C120" s="21" t="s">
        <v>45</v>
      </c>
      <c r="D120" s="29"/>
      <c r="E120" s="20"/>
      <c r="F120" s="37"/>
      <c r="G120" s="22">
        <v>9483039</v>
      </c>
    </row>
    <row r="121" spans="1:7" x14ac:dyDescent="0.25">
      <c r="A121" s="12"/>
      <c r="B121" s="495">
        <v>46082</v>
      </c>
      <c r="C121" s="21" t="s">
        <v>69</v>
      </c>
      <c r="D121" s="29"/>
      <c r="E121" s="20"/>
      <c r="F121" s="37"/>
      <c r="G121" s="22">
        <v>15000</v>
      </c>
    </row>
    <row r="122" spans="1:7" hidden="1" x14ac:dyDescent="0.25">
      <c r="A122" s="12"/>
      <c r="B122" s="495"/>
      <c r="C122" s="21"/>
      <c r="D122" s="29"/>
      <c r="E122" s="20"/>
      <c r="F122" s="37"/>
      <c r="G122" s="22"/>
    </row>
    <row r="123" spans="1:7" hidden="1" x14ac:dyDescent="0.25">
      <c r="A123" s="12"/>
      <c r="B123" s="495"/>
      <c r="C123" s="21"/>
      <c r="D123" s="29"/>
      <c r="E123" s="20"/>
      <c r="F123" s="37"/>
      <c r="G123" s="22"/>
    </row>
    <row r="124" spans="1:7" hidden="1" x14ac:dyDescent="0.25">
      <c r="A124" s="12"/>
      <c r="B124" s="495"/>
      <c r="C124" s="21"/>
      <c r="D124" s="29"/>
      <c r="E124" s="20"/>
      <c r="F124" s="37"/>
      <c r="G124" s="22"/>
    </row>
    <row r="125" spans="1:7" hidden="1" x14ac:dyDescent="0.25">
      <c r="A125" s="12"/>
      <c r="B125" s="495"/>
      <c r="C125" s="21"/>
      <c r="D125" s="29"/>
      <c r="E125" s="20"/>
      <c r="F125" s="37"/>
      <c r="G125" s="22"/>
    </row>
    <row r="126" spans="1:7" hidden="1" x14ac:dyDescent="0.25">
      <c r="A126" s="12"/>
      <c r="B126" s="495"/>
      <c r="C126" s="21"/>
      <c r="D126" s="29"/>
      <c r="E126" s="20"/>
      <c r="F126" s="37"/>
      <c r="G126" s="22"/>
    </row>
    <row r="127" spans="1:7" hidden="1" x14ac:dyDescent="0.25">
      <c r="A127" s="12"/>
      <c r="B127" s="495"/>
      <c r="C127" s="21"/>
      <c r="D127" s="29"/>
      <c r="E127" s="20"/>
      <c r="F127" s="37"/>
      <c r="G127" s="22"/>
    </row>
    <row r="128" spans="1:7" hidden="1" x14ac:dyDescent="0.25">
      <c r="A128" s="12"/>
      <c r="B128" s="495"/>
      <c r="C128" s="21"/>
      <c r="D128" s="29"/>
      <c r="E128" s="20"/>
      <c r="F128" s="37"/>
      <c r="G128" s="22"/>
    </row>
    <row r="129" spans="1:7" ht="31.5" x14ac:dyDescent="0.25">
      <c r="A129" s="12"/>
      <c r="B129" s="495">
        <v>46082</v>
      </c>
      <c r="C129" s="21" t="s">
        <v>70</v>
      </c>
      <c r="D129" s="29"/>
      <c r="E129" s="20"/>
      <c r="F129" s="37"/>
      <c r="G129" s="22">
        <v>-15000</v>
      </c>
    </row>
    <row r="130" spans="1:7" ht="31.5" x14ac:dyDescent="0.25">
      <c r="A130" s="12"/>
      <c r="B130" s="495">
        <v>46082</v>
      </c>
      <c r="C130" s="21" t="s">
        <v>70</v>
      </c>
      <c r="D130" s="29"/>
      <c r="E130" s="20"/>
      <c r="F130" s="37"/>
      <c r="G130" s="22">
        <v>15000</v>
      </c>
    </row>
    <row r="131" spans="1:7" x14ac:dyDescent="0.25">
      <c r="A131" s="12"/>
      <c r="B131" s="495">
        <v>46082</v>
      </c>
      <c r="C131" s="21" t="s">
        <v>71</v>
      </c>
      <c r="D131" s="29"/>
      <c r="E131" s="20"/>
      <c r="F131" s="37"/>
      <c r="G131" s="22">
        <v>449250</v>
      </c>
    </row>
    <row r="132" spans="1:7" x14ac:dyDescent="0.25">
      <c r="A132" s="12"/>
      <c r="B132" s="495">
        <v>46082</v>
      </c>
      <c r="C132" s="21" t="s">
        <v>72</v>
      </c>
      <c r="D132" s="29"/>
      <c r="E132" s="20"/>
      <c r="F132" s="37"/>
      <c r="G132" s="22">
        <v>108750</v>
      </c>
    </row>
    <row r="133" spans="1:7" x14ac:dyDescent="0.25">
      <c r="A133" s="12"/>
      <c r="B133" s="495">
        <v>46174</v>
      </c>
      <c r="C133" s="21" t="s">
        <v>73</v>
      </c>
      <c r="D133" s="29"/>
      <c r="E133" s="20"/>
      <c r="F133" s="37"/>
      <c r="G133" s="22">
        <v>15000</v>
      </c>
    </row>
    <row r="134" spans="1:7" x14ac:dyDescent="0.25">
      <c r="A134" s="12"/>
      <c r="B134" s="495">
        <v>46174</v>
      </c>
      <c r="C134" s="21" t="s">
        <v>74</v>
      </c>
      <c r="D134" s="29"/>
      <c r="E134" s="20"/>
      <c r="F134" s="37"/>
      <c r="G134" s="22">
        <v>434250</v>
      </c>
    </row>
    <row r="135" spans="1:7" x14ac:dyDescent="0.25">
      <c r="A135" s="12"/>
      <c r="B135" s="495">
        <v>46174</v>
      </c>
      <c r="C135" s="21" t="s">
        <v>75</v>
      </c>
      <c r="D135" s="29"/>
      <c r="E135" s="20"/>
      <c r="F135" s="37"/>
      <c r="G135" s="22">
        <v>122250</v>
      </c>
    </row>
    <row r="136" spans="1:7" x14ac:dyDescent="0.25">
      <c r="A136" s="12"/>
      <c r="B136" s="495">
        <v>46204</v>
      </c>
      <c r="C136" s="21" t="s">
        <v>75</v>
      </c>
      <c r="D136" s="29"/>
      <c r="E136" s="20"/>
      <c r="F136" s="37"/>
      <c r="G136" s="22">
        <v>1500</v>
      </c>
    </row>
    <row r="137" spans="1:7" ht="16.5" thickBot="1" x14ac:dyDescent="0.3">
      <c r="A137" s="12"/>
      <c r="B137" s="495"/>
      <c r="C137" s="33"/>
      <c r="D137" s="44"/>
      <c r="E137" s="45"/>
      <c r="F137" s="37"/>
      <c r="G137" s="22"/>
    </row>
    <row r="138" spans="1:7" ht="16.5" thickBot="1" x14ac:dyDescent="0.3">
      <c r="A138" s="545" t="s">
        <v>37</v>
      </c>
      <c r="B138" s="545"/>
      <c r="C138" s="545"/>
      <c r="D138" s="545"/>
      <c r="E138" s="545"/>
      <c r="F138" s="545"/>
      <c r="G138" s="26">
        <f>SUM(G119:G137)</f>
        <v>10629039</v>
      </c>
    </row>
    <row r="139" spans="1:7" hidden="1" x14ac:dyDescent="0.25">
      <c r="A139" s="264" t="s">
        <v>21</v>
      </c>
      <c r="B139" s="419"/>
      <c r="C139" s="12" t="str">
        <f>IFERROR(IF(B139="","",VLOOKUP(B139,'Mapped COA'!A:G,2,0)),IF(B139="","",VLOOKUP(B139,COA!A:G,2,0)))</f>
        <v/>
      </c>
      <c r="E139" s="15"/>
      <c r="F139" s="16"/>
      <c r="G139" s="9"/>
    </row>
    <row r="140" spans="1:7" hidden="1" x14ac:dyDescent="0.25">
      <c r="B140" s="17" t="s">
        <v>31</v>
      </c>
      <c r="C140" s="17" t="s">
        <v>32</v>
      </c>
      <c r="D140" s="18"/>
      <c r="E140" s="17"/>
      <c r="F140" s="19"/>
      <c r="G140" s="9"/>
    </row>
    <row r="141" spans="1:7" hidden="1" x14ac:dyDescent="0.25">
      <c r="B141" s="20"/>
      <c r="C141" s="21"/>
      <c r="D141" s="18"/>
      <c r="E141" s="20"/>
      <c r="F141" s="19"/>
      <c r="G141" s="22"/>
    </row>
    <row r="142" spans="1:7" hidden="1" x14ac:dyDescent="0.25">
      <c r="B142" s="20"/>
      <c r="C142" s="23"/>
      <c r="D142" s="18"/>
      <c r="E142" s="20"/>
      <c r="F142" s="19"/>
      <c r="G142" s="22"/>
    </row>
    <row r="143" spans="1:7" hidden="1" x14ac:dyDescent="0.25">
      <c r="A143" s="12"/>
      <c r="B143" s="20"/>
      <c r="D143" s="24"/>
      <c r="E143" s="25"/>
      <c r="F143" s="16"/>
      <c r="G143" s="22"/>
    </row>
    <row r="144" spans="1:7" ht="16.5" hidden="1" thickBot="1" x14ac:dyDescent="0.3">
      <c r="A144" s="12"/>
      <c r="B144" s="20"/>
      <c r="D144" s="24"/>
      <c r="E144" s="25"/>
      <c r="F144" s="16"/>
      <c r="G144" s="22"/>
    </row>
    <row r="145" spans="1:7" ht="16.5" hidden="1" thickBot="1" x14ac:dyDescent="0.3">
      <c r="A145" s="545"/>
      <c r="B145" s="545"/>
      <c r="C145" s="545"/>
      <c r="D145" s="545"/>
      <c r="E145" s="545"/>
      <c r="F145" s="545"/>
      <c r="G145" s="26">
        <f>SUM(G140:G144)</f>
        <v>0</v>
      </c>
    </row>
    <row r="146" spans="1:7" hidden="1" x14ac:dyDescent="0.25">
      <c r="A146" s="264" t="s">
        <v>21</v>
      </c>
      <c r="B146" s="419"/>
      <c r="C146" s="12" t="str">
        <f>IFERROR(IF(B146="","",VLOOKUP(B146,'Mapped COA'!A:G,2,0)),IF(B146="","",VLOOKUP(B146,COA!A:G,2,0)))</f>
        <v/>
      </c>
      <c r="E146" s="15"/>
      <c r="F146" s="16"/>
      <c r="G146" s="9"/>
    </row>
    <row r="147" spans="1:7" hidden="1" x14ac:dyDescent="0.25">
      <c r="A147" s="27"/>
      <c r="B147" s="12"/>
      <c r="E147" s="15"/>
      <c r="F147" s="16"/>
      <c r="G147" s="9"/>
    </row>
    <row r="148" spans="1:7" hidden="1" x14ac:dyDescent="0.25">
      <c r="B148" s="17" t="s">
        <v>31</v>
      </c>
      <c r="C148" s="17" t="s">
        <v>32</v>
      </c>
      <c r="D148" s="18"/>
      <c r="E148" s="19"/>
      <c r="F148" s="19"/>
      <c r="G148" s="28"/>
    </row>
    <row r="149" spans="1:7" hidden="1" x14ac:dyDescent="0.25">
      <c r="B149" s="20"/>
      <c r="C149" s="21"/>
      <c r="D149" s="18"/>
      <c r="E149" s="19"/>
      <c r="F149" s="19"/>
      <c r="G149" s="22"/>
    </row>
    <row r="150" spans="1:7" hidden="1" x14ac:dyDescent="0.25">
      <c r="B150" s="20"/>
      <c r="C150" s="23"/>
      <c r="D150" s="18"/>
      <c r="E150" s="19"/>
      <c r="F150" s="19"/>
      <c r="G150" s="22"/>
    </row>
    <row r="151" spans="1:7" ht="16.5" hidden="1" thickBot="1" x14ac:dyDescent="0.3">
      <c r="B151" s="20"/>
      <c r="C151" s="23"/>
      <c r="D151" s="18"/>
      <c r="E151" s="19"/>
      <c r="F151" s="19"/>
      <c r="G151" s="22"/>
    </row>
    <row r="152" spans="1:7" ht="16.5" hidden="1" thickBot="1" x14ac:dyDescent="0.3">
      <c r="A152" s="545"/>
      <c r="B152" s="545"/>
      <c r="C152" s="545"/>
      <c r="D152" s="545"/>
      <c r="E152" s="545"/>
      <c r="F152" s="545"/>
      <c r="G152" s="26">
        <f>SUM(G148:G151)</f>
        <v>0</v>
      </c>
    </row>
    <row r="153" spans="1:7" hidden="1" x14ac:dyDescent="0.25">
      <c r="A153" s="264" t="s">
        <v>21</v>
      </c>
      <c r="B153" s="419"/>
      <c r="C153" s="12" t="str">
        <f>IFERROR(IF(B153="","",VLOOKUP(B153,'Mapped COA'!A:G,2,0)),IF(B153="","",VLOOKUP(B153,COA!A:G,2,0)))</f>
        <v/>
      </c>
      <c r="E153" s="15"/>
      <c r="F153" s="16"/>
      <c r="G153" s="9"/>
    </row>
    <row r="154" spans="1:7" hidden="1" x14ac:dyDescent="0.25">
      <c r="B154" s="17" t="s">
        <v>31</v>
      </c>
      <c r="C154" s="17" t="s">
        <v>32</v>
      </c>
      <c r="D154" s="18"/>
      <c r="E154" s="17" t="s">
        <v>35</v>
      </c>
      <c r="F154" s="19"/>
      <c r="G154" s="28"/>
    </row>
    <row r="155" spans="1:7" hidden="1" x14ac:dyDescent="0.25">
      <c r="B155" s="20"/>
      <c r="C155" s="21"/>
      <c r="D155" s="29"/>
      <c r="E155" s="20"/>
      <c r="F155" s="20"/>
      <c r="G155" s="22"/>
    </row>
    <row r="156" spans="1:7" hidden="1" x14ac:dyDescent="0.25">
      <c r="B156" s="20"/>
      <c r="C156" s="21"/>
      <c r="D156" s="29"/>
      <c r="E156" s="20"/>
      <c r="F156" s="20"/>
      <c r="G156" s="22"/>
    </row>
    <row r="157" spans="1:7" ht="16.5" hidden="1" thickBot="1" x14ac:dyDescent="0.3">
      <c r="B157" s="20"/>
      <c r="C157" s="21"/>
      <c r="D157" s="29"/>
      <c r="E157" s="20"/>
      <c r="F157" s="20"/>
      <c r="G157" s="22"/>
    </row>
    <row r="158" spans="1:7" ht="16.5" hidden="1" thickBot="1" x14ac:dyDescent="0.3">
      <c r="A158" s="545" t="s">
        <v>37</v>
      </c>
      <c r="B158" s="545"/>
      <c r="C158" s="545"/>
      <c r="D158" s="545"/>
      <c r="E158" s="545"/>
      <c r="F158" s="545"/>
      <c r="G158" s="26">
        <f>SUM(G154:G157)</f>
        <v>0</v>
      </c>
    </row>
    <row r="159" spans="1:7" hidden="1" x14ac:dyDescent="0.25">
      <c r="A159" s="264" t="s">
        <v>21</v>
      </c>
      <c r="B159" s="419"/>
      <c r="C159" s="12" t="str">
        <f>IFERROR(IF(B159="","",VLOOKUP(B159,'Mapped COA'!A:G,2,0)),IF(B159="","",VLOOKUP(B159,COA!A:G,2,0)))</f>
        <v/>
      </c>
      <c r="E159" s="15"/>
      <c r="F159" s="16"/>
      <c r="G159" s="9"/>
    </row>
    <row r="160" spans="1:7" hidden="1" x14ac:dyDescent="0.25">
      <c r="B160" s="17" t="s">
        <v>31</v>
      </c>
      <c r="C160" s="17" t="s">
        <v>32</v>
      </c>
      <c r="D160" s="18"/>
      <c r="E160" s="17" t="s">
        <v>35</v>
      </c>
      <c r="F160" s="19"/>
      <c r="G160" s="28"/>
    </row>
    <row r="161" spans="1:9" hidden="1" x14ac:dyDescent="0.25">
      <c r="A161" s="30"/>
      <c r="B161" s="20"/>
      <c r="C161" s="21"/>
      <c r="D161" s="29"/>
      <c r="E161" s="20"/>
      <c r="F161" s="20"/>
      <c r="G161" s="22"/>
    </row>
    <row r="162" spans="1:9" hidden="1" x14ac:dyDescent="0.25">
      <c r="A162" s="30"/>
      <c r="B162" s="20"/>
      <c r="C162" s="21"/>
      <c r="D162" s="29"/>
      <c r="E162" s="20"/>
      <c r="F162" s="20"/>
      <c r="G162" s="22"/>
    </row>
    <row r="163" spans="1:9" ht="16.5" hidden="1" thickBot="1" x14ac:dyDescent="0.3">
      <c r="A163" s="30"/>
      <c r="B163" s="20"/>
      <c r="C163" s="33"/>
      <c r="D163" s="36"/>
      <c r="E163" s="38"/>
      <c r="F163" s="37"/>
      <c r="G163" s="22"/>
    </row>
    <row r="164" spans="1:9" ht="16.5" hidden="1" thickBot="1" x14ac:dyDescent="0.3">
      <c r="A164" s="545" t="s">
        <v>37</v>
      </c>
      <c r="B164" s="545"/>
      <c r="C164" s="545"/>
      <c r="D164" s="545"/>
      <c r="E164" s="545"/>
      <c r="F164" s="545"/>
      <c r="G164" s="26">
        <f>SUM(G160:G163)</f>
        <v>0</v>
      </c>
    </row>
    <row r="165" spans="1:9" hidden="1" x14ac:dyDescent="0.25">
      <c r="A165" s="264" t="s">
        <v>21</v>
      </c>
      <c r="B165" s="419"/>
      <c r="C165" s="12" t="str">
        <f>IFERROR(IF(B165="","",VLOOKUP(B165,'Mapped COA'!A:G,2,0)),IF(B165="","",VLOOKUP(B165,COA!A:G,2,0)))</f>
        <v/>
      </c>
      <c r="E165" s="15"/>
      <c r="F165" s="16"/>
      <c r="G165" s="9"/>
    </row>
    <row r="166" spans="1:9" hidden="1" x14ac:dyDescent="0.25">
      <c r="B166" s="17" t="s">
        <v>31</v>
      </c>
      <c r="C166" s="17" t="s">
        <v>32</v>
      </c>
      <c r="D166" s="18"/>
      <c r="E166" s="17"/>
      <c r="F166" s="19"/>
      <c r="G166" s="9"/>
    </row>
    <row r="167" spans="1:9" hidden="1" x14ac:dyDescent="0.25">
      <c r="A167" s="30"/>
      <c r="B167" s="20"/>
      <c r="C167" s="21"/>
      <c r="D167" s="29"/>
      <c r="E167" s="20"/>
      <c r="F167" s="20"/>
      <c r="G167" s="22"/>
    </row>
    <row r="168" spans="1:9" hidden="1" x14ac:dyDescent="0.25">
      <c r="A168" s="30"/>
      <c r="B168" s="20"/>
      <c r="C168" s="21"/>
      <c r="D168" s="29"/>
      <c r="E168" s="20"/>
      <c r="F168" s="20"/>
      <c r="G168" s="22"/>
    </row>
    <row r="169" spans="1:9" ht="16.5" hidden="1" thickBot="1" x14ac:dyDescent="0.3">
      <c r="A169" s="30"/>
      <c r="B169" s="37"/>
      <c r="C169" s="33"/>
      <c r="D169" s="29"/>
      <c r="E169" s="39"/>
      <c r="F169" s="20"/>
      <c r="G169" s="22"/>
    </row>
    <row r="170" spans="1:9" ht="16.5" hidden="1" thickBot="1" x14ac:dyDescent="0.3">
      <c r="A170" s="545"/>
      <c r="B170" s="545"/>
      <c r="C170" s="545"/>
      <c r="D170" s="545"/>
      <c r="E170" s="545"/>
      <c r="F170" s="545"/>
      <c r="G170" s="26">
        <f>SUM(G166:G169)</f>
        <v>0</v>
      </c>
    </row>
    <row r="171" spans="1:9" hidden="1" x14ac:dyDescent="0.25">
      <c r="A171" s="264" t="s">
        <v>21</v>
      </c>
      <c r="B171" s="419"/>
      <c r="C171" s="12" t="str">
        <f>IFERROR(IF(B171="","",VLOOKUP(B171,'Mapped COA'!A:G,2,0)),IF(B171="","",VLOOKUP(B171,COA!A:G,2,0)))</f>
        <v/>
      </c>
      <c r="D171" s="40"/>
      <c r="E171" s="15"/>
      <c r="F171" s="16"/>
      <c r="G171" s="31"/>
    </row>
    <row r="172" spans="1:9" hidden="1" x14ac:dyDescent="0.25">
      <c r="A172" s="12"/>
      <c r="B172" s="17" t="s">
        <v>31</v>
      </c>
      <c r="C172" s="17" t="s">
        <v>32</v>
      </c>
      <c r="D172" s="18"/>
      <c r="E172" s="17"/>
      <c r="F172" s="16"/>
      <c r="G172" s="28"/>
    </row>
    <row r="173" spans="1:9" hidden="1" x14ac:dyDescent="0.25">
      <c r="A173" s="41"/>
      <c r="B173" s="20"/>
      <c r="C173" s="21"/>
      <c r="D173" s="29"/>
      <c r="E173" s="20"/>
      <c r="F173" s="37"/>
      <c r="G173" s="22"/>
    </row>
    <row r="174" spans="1:9" hidden="1" x14ac:dyDescent="0.25">
      <c r="A174" s="41"/>
      <c r="B174" s="20"/>
      <c r="C174" s="21"/>
      <c r="D174" s="29"/>
      <c r="E174" s="20"/>
      <c r="F174" s="37"/>
      <c r="G174" s="22"/>
      <c r="I174" s="48"/>
    </row>
    <row r="175" spans="1:9" ht="16.5" hidden="1" thickBot="1" x14ac:dyDescent="0.3">
      <c r="A175" s="41"/>
      <c r="B175" s="42"/>
      <c r="C175" s="43"/>
      <c r="D175" s="44"/>
      <c r="E175" s="45"/>
      <c r="F175" s="37"/>
      <c r="G175" s="22"/>
    </row>
    <row r="176" spans="1:9" ht="16.5" hidden="1" thickBot="1" x14ac:dyDescent="0.3">
      <c r="A176" s="545"/>
      <c r="B176" s="545"/>
      <c r="C176" s="545"/>
      <c r="D176" s="545"/>
      <c r="E176" s="545"/>
      <c r="F176" s="545"/>
      <c r="G176" s="26">
        <f>SUM(G172:G175)</f>
        <v>0</v>
      </c>
    </row>
    <row r="177" spans="1:7" hidden="1" x14ac:dyDescent="0.25">
      <c r="A177" s="264" t="s">
        <v>21</v>
      </c>
      <c r="B177" s="419"/>
      <c r="C177" s="12" t="str">
        <f>IFERROR(IF(B177="","",VLOOKUP(B177,'Mapped COA'!A:G,2,0)),IF(B177="","",VLOOKUP(B177,COA!A:G,2,0)))</f>
        <v/>
      </c>
      <c r="E177" s="15"/>
      <c r="F177" s="16"/>
      <c r="G177" s="28"/>
    </row>
    <row r="178" spans="1:7" hidden="1" x14ac:dyDescent="0.25">
      <c r="A178" s="12"/>
      <c r="B178" s="17" t="s">
        <v>31</v>
      </c>
      <c r="C178" s="17" t="s">
        <v>32</v>
      </c>
      <c r="D178" s="18"/>
      <c r="E178" s="17"/>
      <c r="F178" s="16"/>
      <c r="G178" s="28"/>
    </row>
    <row r="179" spans="1:7" hidden="1" x14ac:dyDescent="0.25">
      <c r="A179" s="41"/>
      <c r="B179" s="20"/>
      <c r="C179" s="21"/>
      <c r="D179" s="29"/>
      <c r="E179" s="20"/>
      <c r="F179" s="37"/>
      <c r="G179" s="22"/>
    </row>
    <row r="180" spans="1:7" hidden="1" x14ac:dyDescent="0.25">
      <c r="A180" s="41"/>
      <c r="B180" s="20"/>
      <c r="C180" s="21"/>
      <c r="D180" s="29"/>
      <c r="E180" s="20"/>
      <c r="F180" s="37"/>
      <c r="G180" s="22"/>
    </row>
    <row r="181" spans="1:7" ht="16.5" hidden="1" thickBot="1" x14ac:dyDescent="0.3">
      <c r="A181" s="41"/>
      <c r="B181" s="42"/>
      <c r="C181" s="43"/>
      <c r="D181" s="44"/>
      <c r="E181" s="45"/>
      <c r="F181" s="37"/>
      <c r="G181" s="22"/>
    </row>
    <row r="182" spans="1:7" ht="16.5" hidden="1" thickBot="1" x14ac:dyDescent="0.3">
      <c r="A182" s="545"/>
      <c r="B182" s="545"/>
      <c r="C182" s="545"/>
      <c r="D182" s="545"/>
      <c r="E182" s="545"/>
      <c r="F182" s="545"/>
      <c r="G182" s="26">
        <f>SUM(G178:G181)</f>
        <v>0</v>
      </c>
    </row>
    <row r="183" spans="1:7" hidden="1" x14ac:dyDescent="0.25">
      <c r="A183" s="264" t="s">
        <v>21</v>
      </c>
      <c r="B183" s="419"/>
      <c r="C183" s="12" t="str">
        <f>IFERROR(IF(B183="","",VLOOKUP(B183,'Mapped COA'!A:G,2,0)),IF(B183="","",VLOOKUP(B183,COA!A:G,2,0)))</f>
        <v/>
      </c>
      <c r="D183" s="40"/>
      <c r="E183" s="15"/>
      <c r="F183" s="16"/>
      <c r="G183" s="28"/>
    </row>
    <row r="184" spans="1:7" hidden="1" x14ac:dyDescent="0.25">
      <c r="B184" s="17" t="s">
        <v>31</v>
      </c>
      <c r="C184" s="17" t="s">
        <v>32</v>
      </c>
      <c r="D184" s="18"/>
      <c r="E184" s="17"/>
      <c r="F184" s="19"/>
      <c r="G184" s="28"/>
    </row>
    <row r="185" spans="1:7" hidden="1" x14ac:dyDescent="0.25">
      <c r="A185" s="30"/>
      <c r="B185" s="20"/>
      <c r="C185" s="21"/>
      <c r="D185" s="29"/>
      <c r="E185" s="20"/>
      <c r="F185" s="20"/>
      <c r="G185" s="22"/>
    </row>
    <row r="186" spans="1:7" hidden="1" x14ac:dyDescent="0.25">
      <c r="A186" s="30"/>
      <c r="B186" s="20"/>
      <c r="C186" s="21"/>
      <c r="D186" s="29"/>
      <c r="E186" s="20"/>
      <c r="F186" s="20"/>
      <c r="G186" s="22"/>
    </row>
    <row r="187" spans="1:7" ht="16.5" hidden="1" thickBot="1" x14ac:dyDescent="0.3">
      <c r="A187" s="30"/>
      <c r="B187" s="20"/>
      <c r="C187" s="33"/>
      <c r="D187" s="36"/>
      <c r="E187" s="46"/>
      <c r="F187" s="37"/>
      <c r="G187" s="22"/>
    </row>
    <row r="188" spans="1:7" ht="16.5" hidden="1" thickBot="1" x14ac:dyDescent="0.3">
      <c r="A188" s="545"/>
      <c r="B188" s="545"/>
      <c r="C188" s="545"/>
      <c r="D188" s="545"/>
      <c r="E188" s="545"/>
      <c r="F188" s="545"/>
      <c r="G188" s="26">
        <f>SUM(G184:G187)</f>
        <v>0</v>
      </c>
    </row>
    <row r="189" spans="1:7" hidden="1" x14ac:dyDescent="0.25">
      <c r="A189" s="264" t="s">
        <v>21</v>
      </c>
      <c r="B189" s="419"/>
      <c r="C189" s="12" t="str">
        <f>IFERROR(IF(B189="","",VLOOKUP(B189,'Mapped COA'!A:G,2,0)),IF(B189="","",VLOOKUP(B189,COA!A:G,2,0)))</f>
        <v/>
      </c>
      <c r="E189" s="15"/>
      <c r="F189" s="16"/>
      <c r="G189" s="28"/>
    </row>
    <row r="190" spans="1:7" hidden="1" x14ac:dyDescent="0.25">
      <c r="A190" s="12"/>
      <c r="B190" s="17" t="s">
        <v>31</v>
      </c>
      <c r="C190" s="17" t="s">
        <v>32</v>
      </c>
      <c r="D190" s="18"/>
      <c r="E190" s="19"/>
      <c r="F190" s="16"/>
      <c r="G190" s="28"/>
    </row>
    <row r="191" spans="1:7" hidden="1" x14ac:dyDescent="0.25">
      <c r="A191" s="41"/>
      <c r="B191" s="20"/>
      <c r="C191" s="21"/>
      <c r="D191" s="29"/>
      <c r="E191" s="20"/>
      <c r="F191" s="37"/>
      <c r="G191" s="22"/>
    </row>
    <row r="192" spans="1:7" hidden="1" x14ac:dyDescent="0.25">
      <c r="A192" s="41"/>
      <c r="B192" s="20"/>
      <c r="C192" s="21"/>
      <c r="D192" s="29"/>
      <c r="E192" s="20"/>
      <c r="F192" s="37"/>
      <c r="G192" s="22"/>
    </row>
    <row r="193" spans="1:7" ht="16.5" hidden="1" thickBot="1" x14ac:dyDescent="0.3">
      <c r="A193" s="41"/>
      <c r="B193" s="37"/>
      <c r="C193" s="33"/>
      <c r="D193" s="44"/>
      <c r="E193" s="45"/>
      <c r="F193" s="37"/>
      <c r="G193" s="22"/>
    </row>
    <row r="194" spans="1:7" ht="16.5" hidden="1" thickBot="1" x14ac:dyDescent="0.3">
      <c r="A194" s="545"/>
      <c r="B194" s="545"/>
      <c r="C194" s="545"/>
      <c r="D194" s="545"/>
      <c r="E194" s="545"/>
      <c r="F194" s="545"/>
      <c r="G194" s="26">
        <f>SUM(G190:G193)</f>
        <v>0</v>
      </c>
    </row>
    <row r="195" spans="1:7" hidden="1" x14ac:dyDescent="0.25">
      <c r="A195" s="264" t="s">
        <v>21</v>
      </c>
      <c r="B195" s="419"/>
      <c r="C195" s="12" t="str">
        <f>IFERROR(IF(B195="","",VLOOKUP(B195,'Mapped COA'!A:G,2,0)),IF(B195="","",VLOOKUP(B195,COA!A:G,2,0)))</f>
        <v/>
      </c>
      <c r="E195" s="15"/>
      <c r="F195" s="16"/>
      <c r="G195" s="28"/>
    </row>
    <row r="196" spans="1:7" hidden="1" x14ac:dyDescent="0.25">
      <c r="A196" s="12"/>
      <c r="B196" s="17" t="s">
        <v>31</v>
      </c>
      <c r="C196" s="17" t="s">
        <v>32</v>
      </c>
      <c r="D196" s="18"/>
      <c r="E196" s="19"/>
      <c r="F196" s="16"/>
      <c r="G196" s="28"/>
    </row>
    <row r="197" spans="1:7" hidden="1" x14ac:dyDescent="0.25">
      <c r="A197" s="12"/>
      <c r="B197" s="20"/>
      <c r="C197" s="21"/>
      <c r="D197" s="29"/>
      <c r="E197" s="20"/>
      <c r="F197" s="37"/>
      <c r="G197" s="22"/>
    </row>
    <row r="198" spans="1:7" hidden="1" x14ac:dyDescent="0.25">
      <c r="A198" s="12"/>
      <c r="B198" s="20"/>
      <c r="C198" s="21"/>
      <c r="D198" s="29"/>
      <c r="E198" s="20"/>
      <c r="F198" s="37"/>
      <c r="G198" s="22"/>
    </row>
    <row r="199" spans="1:7" ht="16.5" hidden="1" thickBot="1" x14ac:dyDescent="0.3">
      <c r="A199" s="12"/>
      <c r="B199" s="37"/>
      <c r="C199" s="33"/>
      <c r="D199" s="44"/>
      <c r="E199" s="45"/>
      <c r="F199" s="37"/>
      <c r="G199" s="22"/>
    </row>
    <row r="200" spans="1:7" ht="16.5" hidden="1" thickBot="1" x14ac:dyDescent="0.3">
      <c r="A200" s="545" t="s">
        <v>37</v>
      </c>
      <c r="B200" s="545"/>
      <c r="C200" s="545"/>
      <c r="D200" s="545"/>
      <c r="E200" s="545"/>
      <c r="F200" s="545"/>
      <c r="G200" s="26">
        <f>SUM(G196:G199)</f>
        <v>0</v>
      </c>
    </row>
    <row r="201" spans="1:7" x14ac:dyDescent="0.25">
      <c r="A201" s="264" t="s">
        <v>21</v>
      </c>
      <c r="B201" s="327"/>
      <c r="C201" s="12" t="str">
        <f>IFERROR(IF(B201="","",VLOOKUP(B201,'Mapped COA'!A:G,2,0)),IF(B201="","",VLOOKUP(B201,COA!A:G,2,0)))</f>
        <v/>
      </c>
      <c r="D201" s="117"/>
      <c r="E201" s="117"/>
      <c r="F201" s="117"/>
      <c r="G201" s="321"/>
    </row>
    <row r="202" spans="1:7" ht="47.25" x14ac:dyDescent="0.25">
      <c r="A202" s="322" t="s">
        <v>76</v>
      </c>
      <c r="B202" s="322" t="s">
        <v>77</v>
      </c>
      <c r="C202" s="322" t="s">
        <v>32</v>
      </c>
      <c r="D202" s="323" t="s">
        <v>78</v>
      </c>
      <c r="E202" s="322" t="s">
        <v>79</v>
      </c>
      <c r="F202" s="322" t="s">
        <v>80</v>
      </c>
      <c r="G202" s="32"/>
    </row>
    <row r="203" spans="1:7" x14ac:dyDescent="0.25">
      <c r="A203" s="33"/>
      <c r="B203" s="495"/>
      <c r="D203" s="324"/>
      <c r="E203" s="325"/>
      <c r="F203" s="326"/>
      <c r="G203" s="327"/>
    </row>
    <row r="204" spans="1:7" x14ac:dyDescent="0.25">
      <c r="A204" s="33"/>
      <c r="B204" s="495"/>
      <c r="C204" s="43"/>
      <c r="D204" s="328"/>
      <c r="E204" s="34" t="str">
        <f>IFERROR(G203/D203," ")</f>
        <v xml:space="preserve"> </v>
      </c>
      <c r="F204" s="324"/>
      <c r="G204" s="329" t="str">
        <f>IFERROR(-E204*F204," ")</f>
        <v xml:space="preserve"> </v>
      </c>
    </row>
    <row r="205" spans="1:7" x14ac:dyDescent="0.25">
      <c r="A205" s="33"/>
      <c r="B205" s="495"/>
      <c r="C205" s="43"/>
      <c r="D205" s="330"/>
      <c r="E205" s="35"/>
      <c r="F205" s="16"/>
      <c r="G205" s="321">
        <f>SUM(G203:G204)</f>
        <v>0</v>
      </c>
    </row>
    <row r="206" spans="1:7" x14ac:dyDescent="0.25">
      <c r="A206" s="33"/>
      <c r="B206" s="495"/>
      <c r="C206" s="33"/>
      <c r="D206" s="330"/>
      <c r="E206" s="35"/>
      <c r="F206" s="16"/>
      <c r="G206" s="321"/>
    </row>
    <row r="207" spans="1:7" x14ac:dyDescent="0.25">
      <c r="A207" s="33"/>
      <c r="B207" s="495"/>
      <c r="C207" s="33"/>
      <c r="D207" s="324"/>
      <c r="E207" s="325"/>
      <c r="F207" s="326"/>
      <c r="G207" s="327"/>
    </row>
    <row r="208" spans="1:7" x14ac:dyDescent="0.25">
      <c r="A208" s="33"/>
      <c r="B208" s="495"/>
      <c r="C208" s="43"/>
      <c r="D208" s="328"/>
      <c r="E208" s="331" t="str">
        <f>IFERROR(G207/D207," ")</f>
        <v xml:space="preserve"> </v>
      </c>
      <c r="F208" s="324"/>
      <c r="G208" s="329" t="str">
        <f>IFERROR(-E208*F208," ")</f>
        <v xml:space="preserve"> </v>
      </c>
    </row>
    <row r="209" spans="1:7" x14ac:dyDescent="0.25">
      <c r="A209" s="33"/>
      <c r="B209" s="495"/>
      <c r="C209" s="43"/>
      <c r="D209" s="330"/>
      <c r="E209" s="35"/>
      <c r="F209" s="16"/>
      <c r="G209" s="321">
        <f>SUM(G207:G208)</f>
        <v>0</v>
      </c>
    </row>
    <row r="210" spans="1:7" x14ac:dyDescent="0.25">
      <c r="A210" s="117"/>
      <c r="B210" s="495"/>
      <c r="C210" s="117"/>
      <c r="D210" s="117"/>
      <c r="E210" s="117"/>
      <c r="F210" s="117"/>
      <c r="G210" s="321"/>
    </row>
    <row r="211" spans="1:7" ht="16.5" thickBot="1" x14ac:dyDescent="0.3">
      <c r="A211" s="117"/>
      <c r="B211" s="495"/>
      <c r="C211" s="117"/>
      <c r="D211" s="117"/>
      <c r="E211" s="117"/>
      <c r="F211" s="117"/>
      <c r="G211" s="321"/>
    </row>
    <row r="212" spans="1:7" ht="16.5" thickBot="1" x14ac:dyDescent="0.3">
      <c r="A212" s="545"/>
      <c r="B212" s="545"/>
      <c r="C212" s="545"/>
      <c r="D212" s="545"/>
      <c r="E212" s="545"/>
      <c r="F212" s="545"/>
      <c r="G212" s="26">
        <f>G205+G209+SUM(G210:G211)</f>
        <v>0</v>
      </c>
    </row>
    <row r="213" spans="1:7" x14ac:dyDescent="0.25">
      <c r="E213" s="15"/>
      <c r="F213" s="16"/>
    </row>
    <row r="214" spans="1:7" x14ac:dyDescent="0.25">
      <c r="F214" s="16"/>
    </row>
    <row r="215" spans="1:7" x14ac:dyDescent="0.25">
      <c r="F215" s="16"/>
    </row>
    <row r="216" spans="1:7" x14ac:dyDescent="0.25">
      <c r="F216" s="16"/>
    </row>
    <row r="217" spans="1:7" x14ac:dyDescent="0.25">
      <c r="F217" s="16"/>
    </row>
    <row r="218" spans="1:7" x14ac:dyDescent="0.25">
      <c r="F218" s="16"/>
    </row>
    <row r="219" spans="1:7" x14ac:dyDescent="0.25">
      <c r="F219" s="16"/>
    </row>
    <row r="220" spans="1:7" x14ac:dyDescent="0.25">
      <c r="F220" s="16"/>
    </row>
    <row r="221" spans="1:7" x14ac:dyDescent="0.25">
      <c r="F221" s="16"/>
    </row>
    <row r="222" spans="1:7" x14ac:dyDescent="0.25">
      <c r="F222" s="16"/>
    </row>
    <row r="223" spans="1:7" x14ac:dyDescent="0.25">
      <c r="F223" s="16"/>
    </row>
    <row r="224" spans="1:7" x14ac:dyDescent="0.25">
      <c r="F224" s="16"/>
    </row>
    <row r="225" spans="6:6" x14ac:dyDescent="0.25">
      <c r="F225" s="16"/>
    </row>
    <row r="226" spans="6:6" x14ac:dyDescent="0.25">
      <c r="F226" s="16"/>
    </row>
    <row r="227" spans="6:6" x14ac:dyDescent="0.25">
      <c r="F227" s="16"/>
    </row>
    <row r="228" spans="6:6" x14ac:dyDescent="0.25">
      <c r="F228" s="16"/>
    </row>
    <row r="229" spans="6:6" x14ac:dyDescent="0.25">
      <c r="F229" s="16"/>
    </row>
    <row r="230" spans="6:6" x14ac:dyDescent="0.25">
      <c r="F230" s="16"/>
    </row>
    <row r="231" spans="6:6" x14ac:dyDescent="0.25">
      <c r="F231" s="16"/>
    </row>
    <row r="232" spans="6:6" x14ac:dyDescent="0.25">
      <c r="F232" s="16"/>
    </row>
    <row r="233" spans="6:6" x14ac:dyDescent="0.25">
      <c r="F233" s="16"/>
    </row>
    <row r="234" spans="6:6" x14ac:dyDescent="0.25">
      <c r="F234" s="16"/>
    </row>
    <row r="235" spans="6:6" x14ac:dyDescent="0.25">
      <c r="F235" s="16"/>
    </row>
    <row r="236" spans="6:6" x14ac:dyDescent="0.25">
      <c r="F236" s="16"/>
    </row>
    <row r="237" spans="6:6" x14ac:dyDescent="0.25">
      <c r="F237" s="16"/>
    </row>
    <row r="238" spans="6:6" x14ac:dyDescent="0.25">
      <c r="F238" s="16"/>
    </row>
    <row r="239" spans="6:6" x14ac:dyDescent="0.25">
      <c r="F239" s="16"/>
    </row>
    <row r="240" spans="6:6" x14ac:dyDescent="0.25">
      <c r="F240" s="16"/>
    </row>
    <row r="241" spans="6:6" x14ac:dyDescent="0.25">
      <c r="F241" s="16"/>
    </row>
    <row r="242" spans="6:6" x14ac:dyDescent="0.25">
      <c r="F242" s="16"/>
    </row>
    <row r="243" spans="6:6" x14ac:dyDescent="0.25">
      <c r="F243" s="16"/>
    </row>
    <row r="244" spans="6:6" x14ac:dyDescent="0.25">
      <c r="F244" s="16"/>
    </row>
    <row r="245" spans="6:6" x14ac:dyDescent="0.25">
      <c r="F245" s="16"/>
    </row>
  </sheetData>
  <dataConsolidate/>
  <mergeCells count="28">
    <mergeCell ref="A30:F30"/>
    <mergeCell ref="A36:F36"/>
    <mergeCell ref="A60:F60"/>
    <mergeCell ref="A93:F93"/>
    <mergeCell ref="A109:F109"/>
    <mergeCell ref="A1:G1"/>
    <mergeCell ref="A2:G2"/>
    <mergeCell ref="A12:F12"/>
    <mergeCell ref="A19:F19"/>
    <mergeCell ref="A3:G3"/>
    <mergeCell ref="A158:F158"/>
    <mergeCell ref="A164:F164"/>
    <mergeCell ref="A170:F170"/>
    <mergeCell ref="A212:F212"/>
    <mergeCell ref="A176:F176"/>
    <mergeCell ref="A182:F182"/>
    <mergeCell ref="A188:F188"/>
    <mergeCell ref="A194:F194"/>
    <mergeCell ref="A200:F200"/>
    <mergeCell ref="A138:F138"/>
    <mergeCell ref="A42:F42"/>
    <mergeCell ref="A48:F48"/>
    <mergeCell ref="A145:F145"/>
    <mergeCell ref="A152:F152"/>
    <mergeCell ref="A54:F54"/>
    <mergeCell ref="A66:F66"/>
    <mergeCell ref="A87:F87"/>
    <mergeCell ref="A117:F117"/>
  </mergeCells>
  <phoneticPr fontId="47" type="noConversion"/>
  <dataValidations count="1">
    <dataValidation type="list" allowBlank="1" showInputMessage="1" showErrorMessage="1" sqref="H9" xr:uid="{FB1130EC-D807-4884-AAC6-53C4F54FB333}">
      <formula1>$AA$8:$AA$9</formula1>
    </dataValidation>
  </dataValidations>
  <printOptions horizontalCentered="1"/>
  <pageMargins left="0.25" right="0.25" top="0.25" bottom="0.75" header="0.3" footer="0.3"/>
  <pageSetup scale="69" fitToHeight="0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9B4D0-6952-4F59-89A6-59ADE0DBDCC4}">
  <sheetPr codeName="Sheet3">
    <pageSetUpPr fitToPage="1"/>
  </sheetPr>
  <dimension ref="A1:N63"/>
  <sheetViews>
    <sheetView zoomScaleNormal="100" workbookViewId="0">
      <pane ySplit="5" topLeftCell="A22" activePane="bottomLeft" state="frozen"/>
      <selection sqref="A1:C1"/>
      <selection pane="bottomLeft" activeCell="H57" sqref="H57:K58"/>
    </sheetView>
  </sheetViews>
  <sheetFormatPr defaultColWidth="9.140625" defaultRowHeight="15" x14ac:dyDescent="0.25"/>
  <cols>
    <col min="1" max="1" width="12.140625" style="265" customWidth="1"/>
    <col min="2" max="2" width="19.85546875" style="265" customWidth="1"/>
    <col min="3" max="3" width="34.140625" style="265" customWidth="1"/>
    <col min="4" max="4" width="19.5703125" style="265" customWidth="1"/>
    <col min="5" max="5" width="22.5703125" style="265" customWidth="1"/>
    <col min="6" max="6" width="49.5703125" style="265" customWidth="1"/>
    <col min="7" max="7" width="15.42578125" style="265" customWidth="1"/>
    <col min="8" max="8" width="12.85546875" style="265" customWidth="1"/>
    <col min="9" max="9" width="12.5703125" style="265" customWidth="1"/>
    <col min="10" max="10" width="13.42578125" style="265" customWidth="1"/>
    <col min="11" max="11" width="14.5703125" style="265" customWidth="1"/>
    <col min="12" max="12" width="9.140625" style="265"/>
    <col min="13" max="13" width="9.140625" style="265" hidden="1" customWidth="1"/>
    <col min="14" max="16384" width="9.140625" style="265"/>
  </cols>
  <sheetData>
    <row r="1" spans="1:14" ht="25.5" customHeight="1" x14ac:dyDescent="0.35">
      <c r="A1" s="554" t="str">
        <f>'Input-Instructions'!B3</f>
        <v>610 West</v>
      </c>
      <c r="B1" s="555"/>
      <c r="C1" s="555"/>
      <c r="D1" s="555"/>
      <c r="E1" s="555"/>
      <c r="F1" s="555"/>
      <c r="G1" s="555"/>
      <c r="H1" s="555"/>
      <c r="I1" s="555"/>
      <c r="J1" s="555"/>
      <c r="K1" s="555"/>
      <c r="L1" s="447"/>
      <c r="M1" s="448"/>
      <c r="N1" s="448"/>
    </row>
    <row r="2" spans="1:14" ht="25.5" customHeight="1" x14ac:dyDescent="0.35">
      <c r="A2" s="556" t="s">
        <v>81</v>
      </c>
      <c r="B2" s="556"/>
      <c r="C2" s="556"/>
      <c r="D2" s="556"/>
      <c r="E2" s="556"/>
      <c r="F2" s="556"/>
      <c r="G2" s="556"/>
      <c r="H2" s="556"/>
      <c r="I2" s="557"/>
      <c r="J2" s="557"/>
      <c r="K2" s="558"/>
      <c r="L2" s="447"/>
      <c r="M2" s="448"/>
      <c r="N2" s="448"/>
    </row>
    <row r="3" spans="1:14" ht="40.700000000000003" customHeight="1" x14ac:dyDescent="0.35">
      <c r="A3" s="550" t="str">
        <f>TEXT('Input-Instructions'!$B$6,"MMMM YYYY")</f>
        <v>July 2026</v>
      </c>
      <c r="B3" s="550"/>
      <c r="C3" s="550"/>
      <c r="D3" s="550"/>
      <c r="E3" s="550"/>
      <c r="F3" s="550"/>
      <c r="G3" s="550"/>
      <c r="H3" s="550"/>
      <c r="I3" s="551"/>
      <c r="J3" s="551"/>
      <c r="K3" s="552"/>
      <c r="L3" s="448"/>
      <c r="M3" s="448"/>
      <c r="N3" s="448"/>
    </row>
    <row r="4" spans="1:14" ht="27.95" customHeight="1" x14ac:dyDescent="0.25">
      <c r="A4" s="278" t="s">
        <v>82</v>
      </c>
      <c r="B4" s="467" t="s">
        <v>83</v>
      </c>
      <c r="C4" s="280" t="str">
        <f>IFERROR(IF(B4="","",VLOOKUP(B4,'Mapped COA'!A:G,2,0)),IF(B4="","",VLOOKUP(B4,COA!A:G,2,0)))</f>
        <v>Prepaid - Other</v>
      </c>
      <c r="D4" s="279"/>
      <c r="E4" s="281"/>
      <c r="F4" s="282"/>
      <c r="G4" s="282"/>
      <c r="H4" s="283"/>
      <c r="I4" s="283"/>
      <c r="J4" s="283"/>
      <c r="K4" s="500"/>
      <c r="M4" s="265" t="s">
        <v>1</v>
      </c>
    </row>
    <row r="5" spans="1:14" s="266" customFormat="1" ht="27.95" customHeight="1" x14ac:dyDescent="0.25">
      <c r="A5" s="284" t="s">
        <v>84</v>
      </c>
      <c r="B5" s="277" t="s">
        <v>85</v>
      </c>
      <c r="C5" s="494" t="s">
        <v>86</v>
      </c>
      <c r="D5" s="277" t="s">
        <v>87</v>
      </c>
      <c r="E5" s="277" t="s">
        <v>88</v>
      </c>
      <c r="F5" s="277" t="s">
        <v>32</v>
      </c>
      <c r="G5" s="277" t="s">
        <v>89</v>
      </c>
      <c r="H5" s="277" t="s">
        <v>78</v>
      </c>
      <c r="I5" s="277" t="s">
        <v>79</v>
      </c>
      <c r="J5" s="277" t="s">
        <v>80</v>
      </c>
      <c r="K5" s="285" t="s">
        <v>90</v>
      </c>
      <c r="M5" s="266" t="s">
        <v>3</v>
      </c>
    </row>
    <row r="6" spans="1:14" hidden="1" x14ac:dyDescent="0.25">
      <c r="A6" s="272" t="s">
        <v>1</v>
      </c>
      <c r="B6" s="273" t="s">
        <v>91</v>
      </c>
      <c r="C6" s="273" t="str">
        <f>IFERROR(IF(B6="","",VLOOKUP(B6,'Mapped COA'!A:G,2,0)),IF(B6="","",VLOOKUP(B6,COA!A:G,2,0)))</f>
        <v>Licenses / Fees / Permits</v>
      </c>
      <c r="D6" s="479">
        <v>45659</v>
      </c>
      <c r="E6" s="479">
        <v>45930</v>
      </c>
      <c r="F6" s="274" t="s">
        <v>92</v>
      </c>
      <c r="G6" s="275">
        <v>8939.5989041095891</v>
      </c>
      <c r="H6" s="271">
        <f>IFERROR(DATEDIF(EOMONTH(D6,-1)+1,EOMONTH(E6,0)+1,"m"),"")</f>
        <v>9</v>
      </c>
      <c r="I6" s="270">
        <f>IFERROR(ROUND(G6/H6,2),"")</f>
        <v>993.29</v>
      </c>
      <c r="J6" s="271">
        <f>IFERROR(IF(D6="","",IF(EOMONTH(E6,0)&gt;=EOMONTH('Input-Instructions'!$B$6,0),DATEDIF(EOMONTH(D6,-1)+1,EOMONTH('Input-Instructions'!$B$6,0)+1,"m"),DATEDIF(EOMONTH(D6,-1)+1,EOMONTH(E6,0)+1,"m"))),"0")</f>
        <v>9</v>
      </c>
      <c r="K6" s="276">
        <v>0</v>
      </c>
    </row>
    <row r="7" spans="1:14" x14ac:dyDescent="0.25">
      <c r="A7" s="272" t="s">
        <v>1</v>
      </c>
      <c r="B7" s="273" t="s">
        <v>91</v>
      </c>
      <c r="C7" s="273" t="str">
        <f>IFERROR(IF(B7="","",VLOOKUP(B7,'Mapped COA'!A:G,2,0)),IF(B7="","",VLOOKUP(B7,COA!A:G,2,0)))</f>
        <v>Licenses / Fees / Permits</v>
      </c>
      <c r="D7" s="479">
        <v>45660</v>
      </c>
      <c r="E7" s="479">
        <v>46682</v>
      </c>
      <c r="F7" s="274" t="s">
        <v>93</v>
      </c>
      <c r="G7" s="275">
        <v>3657.0850091240873</v>
      </c>
      <c r="H7" s="271">
        <f t="shared" ref="H7:H60" si="0">IFERROR(DATEDIF(EOMONTH(D7,-1)+1,EOMONTH(E7,0)+1,"m"),"")</f>
        <v>34</v>
      </c>
      <c r="I7" s="270">
        <f t="shared" ref="I7:I60" si="1">IFERROR(ROUND(G7/H7,2),"")</f>
        <v>107.56</v>
      </c>
      <c r="J7" s="271">
        <f>IFERROR(IF(D7="","",IF(EOMONTH(E7,0)&gt;=EOMONTH('Input-Instructions'!$B$6,0),DATEDIF(EOMONTH(D7,-1)+1,EOMONTH('Input-Instructions'!$B$6,0)+1,"m"),DATEDIF(EOMONTH(D7,-1)+1,EOMONTH(E7,0)+1,"m"))),"0")</f>
        <v>19</v>
      </c>
      <c r="K7" s="276">
        <f t="shared" ref="K7:K50" si="2">IFERROR(G7-(I7*J7),"")</f>
        <v>1613.4450091240872</v>
      </c>
    </row>
    <row r="8" spans="1:14" x14ac:dyDescent="0.25">
      <c r="A8" s="272" t="s">
        <v>1</v>
      </c>
      <c r="B8" s="273" t="s">
        <v>94</v>
      </c>
      <c r="C8" s="273" t="str">
        <f>IFERROR(IF(B8="","",VLOOKUP(B8,'Mapped COA'!A:G,2,0)),IF(B8="","",VLOOKUP(B8,COA!A:G,2,0)))</f>
        <v>Fire Protection / Life Safety Contract</v>
      </c>
      <c r="D8" s="479">
        <v>45668</v>
      </c>
      <c r="E8" s="479">
        <v>45930</v>
      </c>
      <c r="F8" s="274" t="s">
        <v>95</v>
      </c>
      <c r="G8" s="275">
        <v>1190.8053698630138</v>
      </c>
      <c r="H8" s="271">
        <f t="shared" si="0"/>
        <v>9</v>
      </c>
      <c r="I8" s="270">
        <f t="shared" si="1"/>
        <v>132.31</v>
      </c>
      <c r="J8" s="271">
        <f>IFERROR(IF(D8="","",IF(EOMONTH(E8,0)&gt;=EOMONTH('Input-Instructions'!$B$6,0),DATEDIF(EOMONTH(D8,-1)+1,EOMONTH('Input-Instructions'!$B$6,0)+1,"m"),DATEDIF(EOMONTH(D8,-1)+1,EOMONTH(E8,0)+1,"m"))),"0")</f>
        <v>9</v>
      </c>
      <c r="K8" s="276">
        <v>0</v>
      </c>
    </row>
    <row r="9" spans="1:14" x14ac:dyDescent="0.25">
      <c r="A9" s="272" t="s">
        <v>1</v>
      </c>
      <c r="B9" s="273" t="s">
        <v>94</v>
      </c>
      <c r="C9" s="273" t="str">
        <f>IFERROR(IF(B9="","",VLOOKUP(B9,'Mapped COA'!A:G,2,0)),IF(B9="","",VLOOKUP(B9,COA!A:G,2,0)))</f>
        <v>Fire Protection / Life Safety Contract</v>
      </c>
      <c r="D9" s="479">
        <v>45669</v>
      </c>
      <c r="E9" s="479">
        <v>45930</v>
      </c>
      <c r="F9" s="274" t="s">
        <v>96</v>
      </c>
      <c r="G9" s="275">
        <v>317.54712328767124</v>
      </c>
      <c r="H9" s="271">
        <f t="shared" si="0"/>
        <v>9</v>
      </c>
      <c r="I9" s="270">
        <f t="shared" si="1"/>
        <v>35.28</v>
      </c>
      <c r="J9" s="271">
        <f>IFERROR(IF(D9="","",IF(EOMONTH(E9,0)&gt;=EOMONTH('Input-Instructions'!$B$6,0),DATEDIF(EOMONTH(D9,-1)+1,EOMONTH('Input-Instructions'!$B$6,0)+1,"m"),DATEDIF(EOMONTH(D9,-1)+1,EOMONTH(E9,0)+1,"m"))),"0")</f>
        <v>9</v>
      </c>
      <c r="K9" s="276">
        <v>0</v>
      </c>
    </row>
    <row r="10" spans="1:14" x14ac:dyDescent="0.25">
      <c r="A10" s="272" t="s">
        <v>1</v>
      </c>
      <c r="B10" s="273" t="s">
        <v>94</v>
      </c>
      <c r="C10" s="273" t="str">
        <f>IFERROR(IF(B10="","",VLOOKUP(B10,'Mapped COA'!A:G,2,0)),IF(B10="","",VLOOKUP(B10,COA!A:G,2,0)))</f>
        <v>Fire Protection / Life Safety Contract</v>
      </c>
      <c r="D10" s="479">
        <v>45670</v>
      </c>
      <c r="E10" s="479">
        <v>45930</v>
      </c>
      <c r="F10" s="274" t="s">
        <v>97</v>
      </c>
      <c r="G10" s="275">
        <v>436.62912328767123</v>
      </c>
      <c r="H10" s="271">
        <f t="shared" si="0"/>
        <v>9</v>
      </c>
      <c r="I10" s="270">
        <f t="shared" si="1"/>
        <v>48.51</v>
      </c>
      <c r="J10" s="271">
        <f>IFERROR(IF(D10="","",IF(EOMONTH(E10,0)&gt;=EOMONTH('Input-Instructions'!$B$6,0),DATEDIF(EOMONTH(D10,-1)+1,EOMONTH('Input-Instructions'!$B$6,0)+1,"m"),DATEDIF(EOMONTH(D10,-1)+1,EOMONTH(E10,0)+1,"m"))),"0")</f>
        <v>9</v>
      </c>
      <c r="K10" s="276">
        <v>0</v>
      </c>
    </row>
    <row r="11" spans="1:14" x14ac:dyDescent="0.25">
      <c r="A11" s="272" t="s">
        <v>1</v>
      </c>
      <c r="B11" s="273" t="s">
        <v>94</v>
      </c>
      <c r="C11" s="273" t="str">
        <f>IFERROR(IF(B11="","",VLOOKUP(B11,'Mapped COA'!A:G,2,0)),IF(B11="","",VLOOKUP(B11,COA!A:G,2,0)))</f>
        <v>Fire Protection / Life Safety Contract</v>
      </c>
      <c r="D11" s="479">
        <v>45671</v>
      </c>
      <c r="E11" s="479">
        <v>45930</v>
      </c>
      <c r="F11" s="274" t="s">
        <v>98</v>
      </c>
      <c r="G11" s="275">
        <v>317.54712328767124</v>
      </c>
      <c r="H11" s="271">
        <f t="shared" si="0"/>
        <v>9</v>
      </c>
      <c r="I11" s="270">
        <f t="shared" si="1"/>
        <v>35.28</v>
      </c>
      <c r="J11" s="271">
        <f>IFERROR(IF(D11="","",IF(EOMONTH(E11,0)&gt;=EOMONTH('Input-Instructions'!$B$6,0),DATEDIF(EOMONTH(D11,-1)+1,EOMONTH('Input-Instructions'!$B$6,0)+1,"m"),DATEDIF(EOMONTH(D11,-1)+1,EOMONTH(E11,0)+1,"m"))),"0")</f>
        <v>9</v>
      </c>
      <c r="K11" s="276">
        <v>0</v>
      </c>
    </row>
    <row r="12" spans="1:14" x14ac:dyDescent="0.25">
      <c r="A12" s="272" t="s">
        <v>1</v>
      </c>
      <c r="B12" s="273" t="s">
        <v>94</v>
      </c>
      <c r="C12" s="273" t="str">
        <f>IFERROR(IF(B12="","",VLOOKUP(B12,'Mapped COA'!A:G,2,0)),IF(B12="","",VLOOKUP(B12,COA!A:G,2,0)))</f>
        <v>Fire Protection / Life Safety Contract</v>
      </c>
      <c r="D12" s="479">
        <v>45672</v>
      </c>
      <c r="E12" s="479">
        <v>45930</v>
      </c>
      <c r="F12" s="274" t="s">
        <v>99</v>
      </c>
      <c r="G12" s="275">
        <v>1116.9743835616439</v>
      </c>
      <c r="H12" s="271">
        <f t="shared" si="0"/>
        <v>9</v>
      </c>
      <c r="I12" s="270">
        <f t="shared" si="1"/>
        <v>124.11</v>
      </c>
      <c r="J12" s="271">
        <f>IFERROR(IF(D12="","",IF(EOMONTH(E12,0)&gt;=EOMONTH('Input-Instructions'!$B$6,0),DATEDIF(EOMONTH(D12,-1)+1,EOMONTH('Input-Instructions'!$B$6,0)+1,"m"),DATEDIF(EOMONTH(D12,-1)+1,EOMONTH(E12,0)+1,"m"))),"0")</f>
        <v>9</v>
      </c>
      <c r="K12" s="276">
        <v>0</v>
      </c>
    </row>
    <row r="13" spans="1:14" x14ac:dyDescent="0.25">
      <c r="A13" s="272" t="s">
        <v>1</v>
      </c>
      <c r="B13" s="273" t="s">
        <v>94</v>
      </c>
      <c r="C13" s="273" t="str">
        <f>IFERROR(IF(B13="","",VLOOKUP(B13,'Mapped COA'!A:G,2,0)),IF(B13="","",VLOOKUP(B13,COA!A:G,2,0)))</f>
        <v>Fire Protection / Life Safety Contract</v>
      </c>
      <c r="D13" s="479">
        <v>45673</v>
      </c>
      <c r="E13" s="479">
        <v>45930</v>
      </c>
      <c r="F13" s="274" t="s">
        <v>100</v>
      </c>
      <c r="G13" s="275">
        <v>4002.6811232876712</v>
      </c>
      <c r="H13" s="271">
        <f t="shared" si="0"/>
        <v>9</v>
      </c>
      <c r="I13" s="270">
        <f t="shared" si="1"/>
        <v>444.74</v>
      </c>
      <c r="J13" s="271">
        <f>IFERROR(IF(D13="","",IF(EOMONTH(E13,0)&gt;=EOMONTH('Input-Instructions'!$B$6,0),DATEDIF(EOMONTH(D13,-1)+1,EOMONTH('Input-Instructions'!$B$6,0)+1,"m"),DATEDIF(EOMONTH(D13,-1)+1,EOMONTH(E13,0)+1,"m"))),"0")</f>
        <v>9</v>
      </c>
      <c r="K13" s="276">
        <v>0</v>
      </c>
    </row>
    <row r="14" spans="1:14" x14ac:dyDescent="0.25">
      <c r="A14" s="272" t="s">
        <v>1</v>
      </c>
      <c r="B14" s="273" t="s">
        <v>94</v>
      </c>
      <c r="C14" s="273" t="str">
        <f>IFERROR(IF(B14="","",VLOOKUP(B14,'Mapped COA'!A:G,2,0)),IF(B14="","",VLOOKUP(B14,COA!A:G,2,0)))</f>
        <v>Fire Protection / Life Safety Contract</v>
      </c>
      <c r="D14" s="479">
        <v>45674</v>
      </c>
      <c r="E14" s="479">
        <v>45930</v>
      </c>
      <c r="F14" s="274" t="s">
        <v>101</v>
      </c>
      <c r="G14" s="275">
        <v>2778.5409863013701</v>
      </c>
      <c r="H14" s="271">
        <f t="shared" si="0"/>
        <v>9</v>
      </c>
      <c r="I14" s="270">
        <f t="shared" si="1"/>
        <v>308.73</v>
      </c>
      <c r="J14" s="271">
        <f>IFERROR(IF(D14="","",IF(EOMONTH(E14,0)&gt;=EOMONTH('Input-Instructions'!$B$6,0),DATEDIF(EOMONTH(D14,-1)+1,EOMONTH('Input-Instructions'!$B$6,0)+1,"m"),DATEDIF(EOMONTH(D14,-1)+1,EOMONTH(E14,0)+1,"m"))),"0")</f>
        <v>9</v>
      </c>
      <c r="K14" s="276">
        <v>0</v>
      </c>
    </row>
    <row r="15" spans="1:14" x14ac:dyDescent="0.25">
      <c r="A15" s="272" t="s">
        <v>1</v>
      </c>
      <c r="B15" s="273" t="s">
        <v>94</v>
      </c>
      <c r="C15" s="273" t="str">
        <f>IFERROR(IF(B15="","",VLOOKUP(B15,'Mapped COA'!A:G,2,0)),IF(B15="","",VLOOKUP(B15,COA!A:G,2,0)))</f>
        <v>Fire Protection / Life Safety Contract</v>
      </c>
      <c r="D15" s="479">
        <v>45675</v>
      </c>
      <c r="E15" s="479">
        <v>45930</v>
      </c>
      <c r="F15" s="274" t="s">
        <v>102</v>
      </c>
      <c r="G15" s="275">
        <v>1038.3812876712329</v>
      </c>
      <c r="H15" s="271">
        <f t="shared" si="0"/>
        <v>9</v>
      </c>
      <c r="I15" s="270">
        <f t="shared" si="1"/>
        <v>115.38</v>
      </c>
      <c r="J15" s="271">
        <f>IFERROR(IF(D15="","",IF(EOMONTH(E15,0)&gt;=EOMONTH('Input-Instructions'!$B$6,0),DATEDIF(EOMONTH(D15,-1)+1,EOMONTH('Input-Instructions'!$B$6,0)+1,"m"),DATEDIF(EOMONTH(D15,-1)+1,EOMONTH(E15,0)+1,"m"))),"0")</f>
        <v>9</v>
      </c>
      <c r="K15" s="276">
        <v>0</v>
      </c>
    </row>
    <row r="16" spans="1:14" x14ac:dyDescent="0.25">
      <c r="A16" s="272" t="s">
        <v>1</v>
      </c>
      <c r="B16" s="273" t="s">
        <v>94</v>
      </c>
      <c r="C16" s="273" t="str">
        <f>IFERROR(IF(B16="","",VLOOKUP(B16,'Mapped COA'!A:G,2,0)),IF(B16="","",VLOOKUP(B16,COA!A:G,2,0)))</f>
        <v>Fire Protection / Life Safety Contract</v>
      </c>
      <c r="D16" s="479">
        <v>45717</v>
      </c>
      <c r="E16" s="479">
        <v>46081</v>
      </c>
      <c r="F16" s="274" t="s">
        <v>103</v>
      </c>
      <c r="G16" s="275">
        <v>4350.1400000000003</v>
      </c>
      <c r="H16" s="271">
        <f t="shared" si="0"/>
        <v>12</v>
      </c>
      <c r="I16" s="270">
        <f t="shared" si="1"/>
        <v>362.51</v>
      </c>
      <c r="J16" s="271">
        <f>IFERROR(IF(D16="","",IF(EOMONTH(E16,0)&gt;=EOMONTH('Input-Instructions'!$B$6,0),DATEDIF(EOMONTH(D16,-1)+1,EOMONTH('Input-Instructions'!$B$6,0)+1,"m"),DATEDIF(EOMONTH(D16,-1)+1,EOMONTH(E16,0)+1,"m"))),"0")</f>
        <v>12</v>
      </c>
      <c r="K16" s="276">
        <v>0</v>
      </c>
    </row>
    <row r="17" spans="1:11" x14ac:dyDescent="0.25">
      <c r="A17" s="272" t="s">
        <v>1</v>
      </c>
      <c r="B17" s="273" t="s">
        <v>94</v>
      </c>
      <c r="C17" s="273" t="str">
        <f>IFERROR(IF(B17="","",VLOOKUP(B17,'Mapped COA'!A:G,2,0)),IF(B17="","",VLOOKUP(B17,COA!A:G,2,0)))</f>
        <v>Fire Protection / Life Safety Contract</v>
      </c>
      <c r="D17" s="479">
        <v>45717</v>
      </c>
      <c r="E17" s="479">
        <v>46081</v>
      </c>
      <c r="F17" s="274" t="s">
        <v>103</v>
      </c>
      <c r="G17" s="275">
        <v>1398.06</v>
      </c>
      <c r="H17" s="271">
        <f t="shared" si="0"/>
        <v>12</v>
      </c>
      <c r="I17" s="270">
        <f t="shared" si="1"/>
        <v>116.51</v>
      </c>
      <c r="J17" s="271">
        <f>IFERROR(IF(D17="","",IF(EOMONTH(E17,0)&gt;=EOMONTH('Input-Instructions'!$B$6,0),DATEDIF(EOMONTH(D17,-1)+1,EOMONTH('Input-Instructions'!$B$6,0)+1,"m"),DATEDIF(EOMONTH(D17,-1)+1,EOMONTH(E17,0)+1,"m"))),"0")</f>
        <v>12</v>
      </c>
      <c r="K17" s="276">
        <v>0</v>
      </c>
    </row>
    <row r="18" spans="1:11" x14ac:dyDescent="0.25">
      <c r="A18" s="272" t="s">
        <v>1</v>
      </c>
      <c r="B18" s="273" t="s">
        <v>94</v>
      </c>
      <c r="C18" s="273" t="str">
        <f>IFERROR(IF(B18="","",VLOOKUP(B18,'Mapped COA'!A:G,2,0)),IF(B18="","",VLOOKUP(B18,COA!A:G,2,0)))</f>
        <v>Fire Protection / Life Safety Contract</v>
      </c>
      <c r="D18" s="479">
        <v>45901</v>
      </c>
      <c r="E18" s="479">
        <v>46081</v>
      </c>
      <c r="F18" s="274" t="s">
        <v>104</v>
      </c>
      <c r="G18" s="275">
        <v>188.33</v>
      </c>
      <c r="H18" s="271">
        <f t="shared" si="0"/>
        <v>6</v>
      </c>
      <c r="I18" s="270">
        <f t="shared" si="1"/>
        <v>31.39</v>
      </c>
      <c r="J18" s="271">
        <f>IFERROR(IF(D18="","",IF(EOMONTH(E18,0)&gt;=EOMONTH('Input-Instructions'!$B$6,0),DATEDIF(EOMONTH(D18,-1)+1,EOMONTH('Input-Instructions'!$B$6,0)+1,"m"),DATEDIF(EOMONTH(D18,-1)+1,EOMONTH(E18,0)+1,"m"))),"0")</f>
        <v>6</v>
      </c>
      <c r="K18" s="276">
        <v>0</v>
      </c>
    </row>
    <row r="19" spans="1:11" x14ac:dyDescent="0.25">
      <c r="A19" s="272" t="s">
        <v>1</v>
      </c>
      <c r="B19" s="273" t="s">
        <v>94</v>
      </c>
      <c r="C19" s="273" t="str">
        <f>IFERROR(IF(B19="","",VLOOKUP(B19,'Mapped COA'!A:G,2,0)),IF(B19="","",VLOOKUP(B19,COA!A:G,2,0)))</f>
        <v>Fire Protection / Life Safety Contract</v>
      </c>
      <c r="D19" s="479">
        <v>45901</v>
      </c>
      <c r="E19" s="479">
        <v>46081</v>
      </c>
      <c r="F19" s="274" t="s">
        <v>104</v>
      </c>
      <c r="G19" s="275">
        <v>181.26</v>
      </c>
      <c r="H19" s="271">
        <f t="shared" si="0"/>
        <v>6</v>
      </c>
      <c r="I19" s="270">
        <f t="shared" si="1"/>
        <v>30.21</v>
      </c>
      <c r="J19" s="271">
        <f>IFERROR(IF(D19="","",IF(EOMONTH(E19,0)&gt;=EOMONTH('Input-Instructions'!$B$6,0),DATEDIF(EOMONTH(D19,-1)+1,EOMONTH('Input-Instructions'!$B$6,0)+1,"m"),DATEDIF(EOMONTH(D19,-1)+1,EOMONTH(E19,0)+1,"m"))),"0")</f>
        <v>6</v>
      </c>
      <c r="K19" s="276">
        <f t="shared" si="2"/>
        <v>0</v>
      </c>
    </row>
    <row r="20" spans="1:11" x14ac:dyDescent="0.25">
      <c r="A20" s="272" t="s">
        <v>1</v>
      </c>
      <c r="B20" s="273" t="s">
        <v>94</v>
      </c>
      <c r="C20" s="273" t="str">
        <f>IFERROR(IF(B20="","",VLOOKUP(B20,'Mapped COA'!A:G,2,0)),IF(B20="","",VLOOKUP(B20,COA!A:G,2,0)))</f>
        <v>Fire Protection / Life Safety Contract</v>
      </c>
      <c r="D20" s="479">
        <v>45901</v>
      </c>
      <c r="E20" s="479">
        <v>46081</v>
      </c>
      <c r="F20" s="274" t="s">
        <v>104</v>
      </c>
      <c r="G20" s="275">
        <v>60.91</v>
      </c>
      <c r="H20" s="271">
        <f t="shared" si="0"/>
        <v>6</v>
      </c>
      <c r="I20" s="270">
        <f t="shared" si="1"/>
        <v>10.15</v>
      </c>
      <c r="J20" s="271">
        <f>IFERROR(IF(D20="","",IF(EOMONTH(E20,0)&gt;=EOMONTH('Input-Instructions'!$B$6,0),DATEDIF(EOMONTH(D20,-1)+1,EOMONTH('Input-Instructions'!$B$6,0)+1,"m"),DATEDIF(EOMONTH(D20,-1)+1,EOMONTH(E20,0)+1,"m"))),"0")</f>
        <v>6</v>
      </c>
      <c r="K20" s="276">
        <v>0</v>
      </c>
    </row>
    <row r="21" spans="1:11" x14ac:dyDescent="0.25">
      <c r="A21" s="272" t="s">
        <v>1</v>
      </c>
      <c r="B21" s="273" t="s">
        <v>94</v>
      </c>
      <c r="C21" s="273" t="str">
        <f>IFERROR(IF(B21="","",VLOOKUP(B21,'Mapped COA'!A:G,2,0)),IF(B21="","",VLOOKUP(B21,COA!A:G,2,0)))</f>
        <v>Fire Protection / Life Safety Contract</v>
      </c>
      <c r="D21" s="479">
        <v>45901</v>
      </c>
      <c r="E21" s="479">
        <v>46081</v>
      </c>
      <c r="F21" s="274" t="s">
        <v>104</v>
      </c>
      <c r="G21" s="275">
        <v>58.25</v>
      </c>
      <c r="H21" s="271">
        <f t="shared" si="0"/>
        <v>6</v>
      </c>
      <c r="I21" s="270">
        <f t="shared" si="1"/>
        <v>9.7100000000000009</v>
      </c>
      <c r="J21" s="271">
        <f>IFERROR(IF(D21="","",IF(EOMONTH(E21,0)&gt;=EOMONTH('Input-Instructions'!$B$6,0),DATEDIF(EOMONTH(D21,-1)+1,EOMONTH('Input-Instructions'!$B$6,0)+1,"m"),DATEDIF(EOMONTH(D21,-1)+1,EOMONTH(E21,0)+1,"m"))),"0")</f>
        <v>6</v>
      </c>
      <c r="K21" s="276">
        <v>0</v>
      </c>
    </row>
    <row r="22" spans="1:11" x14ac:dyDescent="0.25">
      <c r="A22" s="272" t="s">
        <v>1</v>
      </c>
      <c r="B22" s="273" t="s">
        <v>94</v>
      </c>
      <c r="C22" s="273" t="str">
        <f>IFERROR(IF(B22="","",VLOOKUP(B22,'Mapped COA'!A:G,2,0)),IF(B22="","",VLOOKUP(B22,COA!A:G,2,0)))</f>
        <v>Fire Protection / Life Safety Contract</v>
      </c>
      <c r="D22" s="479">
        <v>45901</v>
      </c>
      <c r="E22" s="479">
        <v>46081</v>
      </c>
      <c r="F22" s="274" t="s">
        <v>104</v>
      </c>
      <c r="G22" s="275">
        <v>18.09</v>
      </c>
      <c r="H22" s="271">
        <f t="shared" si="0"/>
        <v>6</v>
      </c>
      <c r="I22" s="270">
        <f t="shared" si="1"/>
        <v>3.02</v>
      </c>
      <c r="J22" s="271">
        <f>IFERROR(IF(D22="","",IF(EOMONTH(E22,0)&gt;=EOMONTH('Input-Instructions'!$B$6,0),DATEDIF(EOMONTH(D22,-1)+1,EOMONTH('Input-Instructions'!$B$6,0)+1,"m"),DATEDIF(EOMONTH(D22,-1)+1,EOMONTH(E22,0)+1,"m"))),"0")</f>
        <v>6</v>
      </c>
      <c r="K22" s="276">
        <v>0</v>
      </c>
    </row>
    <row r="23" spans="1:11" x14ac:dyDescent="0.25">
      <c r="A23" s="272" t="s">
        <v>1</v>
      </c>
      <c r="B23" s="273" t="s">
        <v>94</v>
      </c>
      <c r="C23" s="273" t="str">
        <f>IFERROR(IF(B23="","",VLOOKUP(B23,'Mapped COA'!A:G,2,0)),IF(B23="","",VLOOKUP(B23,COA!A:G,2,0)))</f>
        <v>Fire Protection / Life Safety Contract</v>
      </c>
      <c r="D23" s="479">
        <v>45901</v>
      </c>
      <c r="E23" s="479">
        <v>46081</v>
      </c>
      <c r="F23" s="274" t="s">
        <v>104</v>
      </c>
      <c r="G23" s="275">
        <v>18.09</v>
      </c>
      <c r="H23" s="271">
        <f t="shared" si="0"/>
        <v>6</v>
      </c>
      <c r="I23" s="270">
        <f t="shared" si="1"/>
        <v>3.02</v>
      </c>
      <c r="J23" s="271">
        <f>IFERROR(IF(D23="","",IF(EOMONTH(E23,0)&gt;=EOMONTH('Input-Instructions'!$B$6,0),DATEDIF(EOMONTH(D23,-1)+1,EOMONTH('Input-Instructions'!$B$6,0)+1,"m"),DATEDIF(EOMONTH(D23,-1)+1,EOMONTH(E23,0)+1,"m"))),"0")</f>
        <v>6</v>
      </c>
      <c r="K23" s="276">
        <v>0</v>
      </c>
    </row>
    <row r="24" spans="1:11" x14ac:dyDescent="0.25">
      <c r="A24" s="272" t="s">
        <v>1</v>
      </c>
      <c r="B24" s="273" t="s">
        <v>94</v>
      </c>
      <c r="C24" s="273" t="str">
        <f>IFERROR(IF(B24="","",VLOOKUP(B24,'Mapped COA'!A:G,2,0)),IF(B24="","",VLOOKUP(B24,COA!A:G,2,0)))</f>
        <v>Fire Protection / Life Safety Contract</v>
      </c>
      <c r="D24" s="479">
        <v>45901</v>
      </c>
      <c r="E24" s="479">
        <v>46081</v>
      </c>
      <c r="F24" s="274" t="s">
        <v>104</v>
      </c>
      <c r="G24" s="275">
        <v>6.78</v>
      </c>
      <c r="H24" s="271">
        <f t="shared" si="0"/>
        <v>6</v>
      </c>
      <c r="I24" s="270">
        <f t="shared" si="1"/>
        <v>1.1299999999999999</v>
      </c>
      <c r="J24" s="271">
        <f>IFERROR(IF(D24="","",IF(EOMONTH(E24,0)&gt;=EOMONTH('Input-Instructions'!$B$6,0),DATEDIF(EOMONTH(D24,-1)+1,EOMONTH('Input-Instructions'!$B$6,0)+1,"m"),DATEDIF(EOMONTH(D24,-1)+1,EOMONTH(E24,0)+1,"m"))),"0")</f>
        <v>6</v>
      </c>
      <c r="K24" s="276">
        <v>0</v>
      </c>
    </row>
    <row r="25" spans="1:11" x14ac:dyDescent="0.25">
      <c r="A25" s="272" t="s">
        <v>1</v>
      </c>
      <c r="B25" s="273" t="s">
        <v>91</v>
      </c>
      <c r="C25" s="273" t="str">
        <f>IFERROR(IF(B25="","",VLOOKUP(B25,'Mapped COA'!A:G,2,0)),IF(B25="","",VLOOKUP(B25,COA!A:G,2,0)))</f>
        <v>Licenses / Fees / Permits</v>
      </c>
      <c r="D25" s="479">
        <v>45931</v>
      </c>
      <c r="E25" s="479">
        <v>46295</v>
      </c>
      <c r="F25" s="274" t="s">
        <v>105</v>
      </c>
      <c r="G25" s="275">
        <v>563.67999999999995</v>
      </c>
      <c r="H25" s="271">
        <f t="shared" si="0"/>
        <v>12</v>
      </c>
      <c r="I25" s="270">
        <f t="shared" si="1"/>
        <v>46.97</v>
      </c>
      <c r="J25" s="271">
        <f>IFERROR(IF(D25="","",IF(EOMONTH(E25,0)&gt;=EOMONTH('Input-Instructions'!$B$6,0),DATEDIF(EOMONTH(D25,-1)+1,EOMONTH('Input-Instructions'!$B$6,0)+1,"m"),DATEDIF(EOMONTH(D25,-1)+1,EOMONTH(E25,0)+1,"m"))),"0")</f>
        <v>10</v>
      </c>
      <c r="K25" s="276">
        <f t="shared" si="2"/>
        <v>93.979999999999961</v>
      </c>
    </row>
    <row r="26" spans="1:11" ht="21" customHeight="1" x14ac:dyDescent="0.25">
      <c r="A26" s="272" t="s">
        <v>1</v>
      </c>
      <c r="B26" s="273" t="s">
        <v>106</v>
      </c>
      <c r="C26" s="273" t="str">
        <f>IFERROR(IF(B26="","",VLOOKUP(B26,'Mapped COA'!A:G,2,0)),IF(B26="","",VLOOKUP(B26,COA!A:G,2,0)))</f>
        <v>Access Gate Contract</v>
      </c>
      <c r="D26" s="479">
        <v>45962</v>
      </c>
      <c r="E26" s="479">
        <v>46295</v>
      </c>
      <c r="F26" s="274" t="s">
        <v>107</v>
      </c>
      <c r="G26" s="275">
        <v>9240</v>
      </c>
      <c r="H26" s="271">
        <f t="shared" si="0"/>
        <v>11</v>
      </c>
      <c r="I26" s="270">
        <f t="shared" si="1"/>
        <v>840</v>
      </c>
      <c r="J26" s="271">
        <f>IFERROR(IF(D26="","",IF(EOMONTH(E26,0)&gt;=EOMONTH('Input-Instructions'!$B$6,0),DATEDIF(EOMONTH(D26,-1)+1,EOMONTH('Input-Instructions'!$B$6,0)+1,"m"),DATEDIF(EOMONTH(D26,-1)+1,EOMONTH(E26,0)+1,"m"))),"0")</f>
        <v>9</v>
      </c>
      <c r="K26" s="276">
        <f t="shared" si="2"/>
        <v>1680</v>
      </c>
    </row>
    <row r="27" spans="1:11" hidden="1" x14ac:dyDescent="0.25">
      <c r="A27" s="272" t="s">
        <v>1</v>
      </c>
      <c r="B27" s="273" t="s">
        <v>108</v>
      </c>
      <c r="C27" s="273" t="str">
        <f>IFERROR(IF(B27="","",VLOOKUP(B27,'Mapped COA'!A:G,2,0)),IF(B27="","",VLOOKUP(B27,COA!A:G,2,0)))</f>
        <v>Property Website &amp; Online Presence</v>
      </c>
      <c r="D27" s="479">
        <v>46023</v>
      </c>
      <c r="E27" s="479">
        <v>46053</v>
      </c>
      <c r="F27" s="274" t="s">
        <v>109</v>
      </c>
      <c r="G27" s="275">
        <v>199</v>
      </c>
      <c r="H27" s="271">
        <f>IFERROR(DATEDIF(EOMONTH(D27,-1)+1,EOMONTH(E27,0)+1,"m"),"")</f>
        <v>1</v>
      </c>
      <c r="I27" s="270">
        <f t="shared" si="1"/>
        <v>199</v>
      </c>
      <c r="J27" s="271">
        <f>IFERROR(IF(D27="","",IF(EOMONTH(E27,0)&gt;=EOMONTH('Input-Instructions'!$B$6,0),DATEDIF(EOMONTH(D27,-1)+1,EOMONTH('Input-Instructions'!$B$6,0)+1,"m"),DATEDIF(EOMONTH(D27,-1)+1,EOMONTH(E27,0)+1,"m"))),"0")</f>
        <v>1</v>
      </c>
      <c r="K27" s="276">
        <f t="shared" si="2"/>
        <v>0</v>
      </c>
    </row>
    <row r="28" spans="1:11" hidden="1" x14ac:dyDescent="0.25">
      <c r="A28" s="272" t="s">
        <v>1</v>
      </c>
      <c r="B28" s="273" t="s">
        <v>108</v>
      </c>
      <c r="C28" s="273" t="str">
        <f>IFERROR(IF(B28="","",VLOOKUP(B28,'Mapped COA'!A:G,2,0)),IF(B28="","",VLOOKUP(B28,COA!A:G,2,0)))</f>
        <v>Property Website &amp; Online Presence</v>
      </c>
      <c r="D28" s="479">
        <v>46054</v>
      </c>
      <c r="E28" s="479">
        <v>46081</v>
      </c>
      <c r="F28" s="274" t="s">
        <v>110</v>
      </c>
      <c r="G28" s="275">
        <v>199</v>
      </c>
      <c r="H28" s="271">
        <f>IFERROR(DATEDIF(EOMONTH(D28,-1)+1,EOMONTH(E28,0)+1,"m"),"")</f>
        <v>1</v>
      </c>
      <c r="I28" s="270">
        <f t="shared" ref="I28" si="3">IFERROR(ROUND(G28/H28,2),"")</f>
        <v>199</v>
      </c>
      <c r="J28" s="271">
        <f>IFERROR(IF(D28="","",IF(EOMONTH(E28,0)&gt;=EOMONTH('Input-Instructions'!$B$6,0),DATEDIF(EOMONTH(D28,-1)+1,EOMONTH('Input-Instructions'!$B$6,0)+1,"m"),DATEDIF(EOMONTH(D28,-1)+1,EOMONTH(E28,0)+1,"m"))),"0")</f>
        <v>1</v>
      </c>
      <c r="K28" s="276">
        <f t="shared" ref="K28" si="4">IFERROR(G28-(I28*J28),"")</f>
        <v>0</v>
      </c>
    </row>
    <row r="29" spans="1:11" x14ac:dyDescent="0.25">
      <c r="A29" s="272" t="s">
        <v>1</v>
      </c>
      <c r="B29" s="273" t="s">
        <v>111</v>
      </c>
      <c r="C29" s="273" t="str">
        <f>IFERROR(IF(B29="","",VLOOKUP(B29,'Mapped COA'!A:G,2,0)),IF(B29="","",VLOOKUP(B29,COA!A:G,2,0)))</f>
        <v>Software Licenses / Maintenance Fees</v>
      </c>
      <c r="D29" s="479">
        <v>46023</v>
      </c>
      <c r="E29" s="479">
        <v>46387</v>
      </c>
      <c r="F29" s="274" t="s">
        <v>112</v>
      </c>
      <c r="G29" s="275">
        <v>1547</v>
      </c>
      <c r="H29" s="271">
        <f t="shared" si="0"/>
        <v>12</v>
      </c>
      <c r="I29" s="270">
        <f t="shared" si="1"/>
        <v>128.91999999999999</v>
      </c>
      <c r="J29" s="271">
        <f>IFERROR(IF(D29="","",IF(EOMONTH(E29,0)&gt;=EOMONTH('Input-Instructions'!$B$6,0),DATEDIF(EOMONTH(D29,-1)+1,EOMONTH('Input-Instructions'!$B$6,0)+1,"m"),DATEDIF(EOMONTH(D29,-1)+1,EOMONTH(E29,0)+1,"m"))),"0")</f>
        <v>7</v>
      </c>
      <c r="K29" s="276">
        <f t="shared" si="2"/>
        <v>644.56000000000006</v>
      </c>
    </row>
    <row r="30" spans="1:11" hidden="1" x14ac:dyDescent="0.25">
      <c r="A30" s="272" t="s">
        <v>1</v>
      </c>
      <c r="B30" s="273"/>
      <c r="C30" s="273" t="str">
        <f>IFERROR(IF(B30="","",VLOOKUP(B30,'Mapped COA'!A:G,2,0)),IF(B30="","",VLOOKUP(B30,COA!A:G,2,0)))</f>
        <v/>
      </c>
      <c r="D30" s="479"/>
      <c r="E30" s="479"/>
      <c r="F30" s="274"/>
      <c r="G30" s="275"/>
      <c r="H30" s="271" t="str">
        <f t="shared" si="0"/>
        <v/>
      </c>
      <c r="I30" s="270" t="str">
        <f t="shared" si="1"/>
        <v/>
      </c>
      <c r="J30" s="271" t="str">
        <f>IFERROR(IF(D30="","",IF(EOMONTH(E30,0)&gt;=EOMONTH('Input-Instructions'!$B$6,0),DATEDIF(EOMONTH(D30,-1)+1,EOMONTH('Input-Instructions'!$B$6,0)+1,"m"),DATEDIF(EOMONTH(D30,-1)+1,EOMONTH(E30,0)+1,"m"))),"0")</f>
        <v/>
      </c>
      <c r="K30" s="276" t="str">
        <f t="shared" si="2"/>
        <v/>
      </c>
    </row>
    <row r="31" spans="1:11" hidden="1" x14ac:dyDescent="0.25">
      <c r="A31" s="272" t="s">
        <v>1</v>
      </c>
      <c r="B31" s="273"/>
      <c r="C31" s="273" t="str">
        <f>IFERROR(IF(B31="","",VLOOKUP(B31,'Mapped COA'!A:G,2,0)),IF(B31="","",VLOOKUP(B31,COA!A:G,2,0)))</f>
        <v/>
      </c>
      <c r="D31" s="479"/>
      <c r="E31" s="479"/>
      <c r="F31" s="274"/>
      <c r="G31" s="275"/>
      <c r="H31" s="271" t="str">
        <f t="shared" si="0"/>
        <v/>
      </c>
      <c r="I31" s="270" t="str">
        <f t="shared" si="1"/>
        <v/>
      </c>
      <c r="J31" s="271" t="str">
        <f>IFERROR(IF(D31="","",IF(EOMONTH(E31,0)&gt;=EOMONTH('Input-Instructions'!$B$6,0),DATEDIF(EOMONTH(D31,-1)+1,EOMONTH('Input-Instructions'!$B$6,0)+1,"m"),DATEDIF(EOMONTH(D31,-1)+1,EOMONTH(E31,0)+1,"m"))),"0")</f>
        <v/>
      </c>
      <c r="K31" s="276" t="str">
        <f t="shared" si="2"/>
        <v/>
      </c>
    </row>
    <row r="32" spans="1:11" hidden="1" x14ac:dyDescent="0.25">
      <c r="A32" s="272" t="s">
        <v>1</v>
      </c>
      <c r="B32" s="273"/>
      <c r="C32" s="273" t="str">
        <f>IFERROR(IF(B32="","",VLOOKUP(B32,'Mapped COA'!A:G,2,0)),IF(B32="","",VLOOKUP(B32,COA!A:G,2,0)))</f>
        <v/>
      </c>
      <c r="D32" s="479"/>
      <c r="E32" s="479"/>
      <c r="F32" s="274"/>
      <c r="G32" s="275"/>
      <c r="H32" s="271" t="str">
        <f t="shared" si="0"/>
        <v/>
      </c>
      <c r="I32" s="270" t="str">
        <f t="shared" si="1"/>
        <v/>
      </c>
      <c r="J32" s="271" t="str">
        <f>IFERROR(IF(D32="","",IF(EOMONTH(E32,0)&gt;=EOMONTH('Input-Instructions'!$B$6,0),DATEDIF(EOMONTH(D32,-1)+1,EOMONTH('Input-Instructions'!$B$6,0)+1,"m"),DATEDIF(EOMONTH(D32,-1)+1,EOMONTH(E32,0)+1,"m"))),"0")</f>
        <v/>
      </c>
      <c r="K32" s="276" t="str">
        <f t="shared" si="2"/>
        <v/>
      </c>
    </row>
    <row r="33" spans="1:11" hidden="1" x14ac:dyDescent="0.25">
      <c r="A33" s="272" t="s">
        <v>1</v>
      </c>
      <c r="B33" s="273"/>
      <c r="C33" s="273" t="str">
        <f>IFERROR(IF(B33="","",VLOOKUP(B33,'Mapped COA'!A:G,2,0)),IF(B33="","",VLOOKUP(B33,COA!A:G,2,0)))</f>
        <v/>
      </c>
      <c r="D33" s="479"/>
      <c r="E33" s="479"/>
      <c r="F33" s="274"/>
      <c r="G33" s="275"/>
      <c r="H33" s="271" t="str">
        <f t="shared" si="0"/>
        <v/>
      </c>
      <c r="I33" s="270" t="str">
        <f t="shared" si="1"/>
        <v/>
      </c>
      <c r="J33" s="271" t="str">
        <f>IFERROR(IF(D33="","",IF(EOMONTH(E33,0)&gt;=EOMONTH('Input-Instructions'!$B$6,0),DATEDIF(EOMONTH(D33,-1)+1,EOMONTH('Input-Instructions'!$B$6,0)+1,"m"),DATEDIF(EOMONTH(D33,-1)+1,EOMONTH(E33,0)+1,"m"))),"0")</f>
        <v/>
      </c>
      <c r="K33" s="276" t="str">
        <f t="shared" si="2"/>
        <v/>
      </c>
    </row>
    <row r="34" spans="1:11" hidden="1" x14ac:dyDescent="0.25">
      <c r="A34" s="272" t="s">
        <v>1</v>
      </c>
      <c r="B34" s="273"/>
      <c r="C34" s="273" t="str">
        <f>IFERROR(IF(B34="","",VLOOKUP(B34,'Mapped COA'!A:G,2,0)),IF(B34="","",VLOOKUP(B34,COA!A:G,2,0)))</f>
        <v/>
      </c>
      <c r="D34" s="479"/>
      <c r="E34" s="479"/>
      <c r="F34" s="274"/>
      <c r="G34" s="275"/>
      <c r="H34" s="271" t="str">
        <f t="shared" si="0"/>
        <v/>
      </c>
      <c r="I34" s="270" t="str">
        <f t="shared" si="1"/>
        <v/>
      </c>
      <c r="J34" s="271" t="str">
        <f>IFERROR(IF(D34="","",IF(EOMONTH(E34,0)&gt;=EOMONTH('Input-Instructions'!$B$6,0),DATEDIF(EOMONTH(D34,-1)+1,EOMONTH('Input-Instructions'!$B$6,0)+1,"m"),DATEDIF(EOMONTH(D34,-1)+1,EOMONTH(E34,0)+1,"m"))),"0")</f>
        <v/>
      </c>
      <c r="K34" s="276" t="str">
        <f t="shared" si="2"/>
        <v/>
      </c>
    </row>
    <row r="35" spans="1:11" hidden="1" x14ac:dyDescent="0.25">
      <c r="A35" s="272" t="s">
        <v>1</v>
      </c>
      <c r="B35" s="273"/>
      <c r="C35" s="273" t="str">
        <f>IFERROR(IF(B35="","",VLOOKUP(B35,'Mapped COA'!A:G,2,0)),IF(B35="","",VLOOKUP(B35,COA!A:G,2,0)))</f>
        <v/>
      </c>
      <c r="D35" s="479"/>
      <c r="E35" s="479"/>
      <c r="F35" s="274"/>
      <c r="G35" s="275"/>
      <c r="H35" s="271" t="str">
        <f t="shared" si="0"/>
        <v/>
      </c>
      <c r="I35" s="270" t="str">
        <f t="shared" si="1"/>
        <v/>
      </c>
      <c r="J35" s="271" t="str">
        <f>IFERROR(IF(D35="","",IF(EOMONTH(E35,0)&gt;=EOMONTH('Input-Instructions'!$B$6,0),DATEDIF(EOMONTH(D35,-1)+1,EOMONTH('Input-Instructions'!$B$6,0)+1,"m"),DATEDIF(EOMONTH(D35,-1)+1,EOMONTH(E35,0)+1,"m"))),"0")</f>
        <v/>
      </c>
      <c r="K35" s="276" t="str">
        <f t="shared" si="2"/>
        <v/>
      </c>
    </row>
    <row r="36" spans="1:11" hidden="1" x14ac:dyDescent="0.25">
      <c r="A36" s="272" t="s">
        <v>1</v>
      </c>
      <c r="B36" s="273"/>
      <c r="C36" s="273" t="str">
        <f>IFERROR(IF(B36="","",VLOOKUP(B36,'Mapped COA'!A:G,2,0)),IF(B36="","",VLOOKUP(B36,COA!A:G,2,0)))</f>
        <v/>
      </c>
      <c r="D36" s="479"/>
      <c r="E36" s="479"/>
      <c r="F36" s="274"/>
      <c r="G36" s="275"/>
      <c r="H36" s="271" t="str">
        <f t="shared" si="0"/>
        <v/>
      </c>
      <c r="I36" s="270" t="str">
        <f t="shared" si="1"/>
        <v/>
      </c>
      <c r="J36" s="271" t="str">
        <f>IFERROR(IF(D36="","",IF(EOMONTH(E36,0)&gt;=EOMONTH('Input-Instructions'!$B$6,0),DATEDIF(EOMONTH(D36,-1)+1,EOMONTH('Input-Instructions'!$B$6,0)+1,"m"),DATEDIF(EOMONTH(D36,-1)+1,EOMONTH(E36,0)+1,"m"))),"0")</f>
        <v/>
      </c>
      <c r="K36" s="276" t="str">
        <f t="shared" si="2"/>
        <v/>
      </c>
    </row>
    <row r="37" spans="1:11" hidden="1" x14ac:dyDescent="0.25">
      <c r="A37" s="272" t="s">
        <v>1</v>
      </c>
      <c r="B37" s="273"/>
      <c r="C37" s="273" t="str">
        <f>IFERROR(IF(B37="","",VLOOKUP(B37,'Mapped COA'!A:G,2,0)),IF(B37="","",VLOOKUP(B37,COA!A:G,2,0)))</f>
        <v/>
      </c>
      <c r="D37" s="479"/>
      <c r="E37" s="479"/>
      <c r="F37" s="274"/>
      <c r="G37" s="275"/>
      <c r="H37" s="271" t="str">
        <f t="shared" si="0"/>
        <v/>
      </c>
      <c r="I37" s="270" t="str">
        <f t="shared" si="1"/>
        <v/>
      </c>
      <c r="J37" s="271" t="str">
        <f>IFERROR(IF(D37="","",IF(EOMONTH(E37,0)&gt;=EOMONTH('Input-Instructions'!$B$6,0),DATEDIF(EOMONTH(D37,-1)+1,EOMONTH('Input-Instructions'!$B$6,0)+1,"m"),DATEDIF(EOMONTH(D37,-1)+1,EOMONTH(E37,0)+1,"m"))),"0")</f>
        <v/>
      </c>
      <c r="K37" s="276" t="str">
        <f t="shared" si="2"/>
        <v/>
      </c>
    </row>
    <row r="38" spans="1:11" hidden="1" x14ac:dyDescent="0.25">
      <c r="A38" s="272" t="s">
        <v>1</v>
      </c>
      <c r="B38" s="273"/>
      <c r="C38" s="273" t="str">
        <f>IFERROR(IF(B38="","",VLOOKUP(B38,'Mapped COA'!A:G,2,0)),IF(B38="","",VLOOKUP(B38,COA!A:G,2,0)))</f>
        <v/>
      </c>
      <c r="D38" s="479"/>
      <c r="E38" s="479"/>
      <c r="F38" s="274"/>
      <c r="G38" s="275"/>
      <c r="H38" s="271" t="str">
        <f t="shared" si="0"/>
        <v/>
      </c>
      <c r="I38" s="270" t="str">
        <f t="shared" si="1"/>
        <v/>
      </c>
      <c r="J38" s="271" t="str">
        <f>IFERROR(IF(D38="","",IF(EOMONTH(E38,0)&gt;=EOMONTH('Input-Instructions'!$B$6,0),DATEDIF(EOMONTH(D38,-1)+1,EOMONTH('Input-Instructions'!$B$6,0)+1,"m"),DATEDIF(EOMONTH(D38,-1)+1,EOMONTH(E38,0)+1,"m"))),"0")</f>
        <v/>
      </c>
      <c r="K38" s="276" t="str">
        <f t="shared" si="2"/>
        <v/>
      </c>
    </row>
    <row r="39" spans="1:11" hidden="1" x14ac:dyDescent="0.25">
      <c r="A39" s="272" t="s">
        <v>1</v>
      </c>
      <c r="B39" s="273"/>
      <c r="C39" s="273" t="str">
        <f>IFERROR(IF(B39="","",VLOOKUP(B39,'Mapped COA'!A:G,2,0)),IF(B39="","",VLOOKUP(B39,COA!A:G,2,0)))</f>
        <v/>
      </c>
      <c r="D39" s="479"/>
      <c r="E39" s="479"/>
      <c r="F39" s="274"/>
      <c r="G39" s="275"/>
      <c r="H39" s="271" t="str">
        <f t="shared" si="0"/>
        <v/>
      </c>
      <c r="I39" s="270" t="str">
        <f t="shared" si="1"/>
        <v/>
      </c>
      <c r="J39" s="271" t="str">
        <f>IFERROR(IF(D39="","",IF(EOMONTH(E39,0)&gt;=EOMONTH('Input-Instructions'!$B$6,0),DATEDIF(EOMONTH(D39,-1)+1,EOMONTH('Input-Instructions'!$B$6,0)+1,"m"),DATEDIF(EOMONTH(D39,-1)+1,EOMONTH(E39,0)+1,"m"))),"0")</f>
        <v/>
      </c>
      <c r="K39" s="276" t="str">
        <f t="shared" si="2"/>
        <v/>
      </c>
    </row>
    <row r="40" spans="1:11" hidden="1" x14ac:dyDescent="0.25">
      <c r="A40" s="272" t="s">
        <v>1</v>
      </c>
      <c r="B40" s="273"/>
      <c r="C40" s="273" t="str">
        <f>IFERROR(IF(B40="","",VLOOKUP(B40,'Mapped COA'!A:G,2,0)),IF(B40="","",VLOOKUP(B40,COA!A:G,2,0)))</f>
        <v/>
      </c>
      <c r="D40" s="479"/>
      <c r="E40" s="479"/>
      <c r="F40" s="274"/>
      <c r="G40" s="275"/>
      <c r="H40" s="271" t="str">
        <f t="shared" si="0"/>
        <v/>
      </c>
      <c r="I40" s="270" t="str">
        <f t="shared" si="1"/>
        <v/>
      </c>
      <c r="J40" s="271" t="str">
        <f>IFERROR(IF(D40="","",IF(EOMONTH(E40,0)&gt;=EOMONTH('Input-Instructions'!$B$6,0),DATEDIF(EOMONTH(D40,-1)+1,EOMONTH('Input-Instructions'!$B$6,0)+1,"m"),DATEDIF(EOMONTH(D40,-1)+1,EOMONTH(E40,0)+1,"m"))),"0")</f>
        <v/>
      </c>
      <c r="K40" s="276" t="str">
        <f t="shared" si="2"/>
        <v/>
      </c>
    </row>
    <row r="41" spans="1:11" hidden="1" x14ac:dyDescent="0.25">
      <c r="A41" s="272" t="s">
        <v>1</v>
      </c>
      <c r="B41" s="273"/>
      <c r="C41" s="273" t="str">
        <f>IFERROR(IF(B41="","",VLOOKUP(B41,'Mapped COA'!A:G,2,0)),IF(B41="","",VLOOKUP(B41,COA!A:G,2,0)))</f>
        <v/>
      </c>
      <c r="D41" s="479"/>
      <c r="E41" s="479"/>
      <c r="F41" s="274"/>
      <c r="G41" s="275"/>
      <c r="H41" s="271" t="str">
        <f t="shared" si="0"/>
        <v/>
      </c>
      <c r="I41" s="270" t="str">
        <f t="shared" si="1"/>
        <v/>
      </c>
      <c r="J41" s="271" t="str">
        <f>IFERROR(IF(D41="","",IF(EOMONTH(E41,0)&gt;=EOMONTH('Input-Instructions'!$B$6,0),DATEDIF(EOMONTH(D41,-1)+1,EOMONTH('Input-Instructions'!$B$6,0)+1,"m"),DATEDIF(EOMONTH(D41,-1)+1,EOMONTH(E41,0)+1,"m"))),"0")</f>
        <v/>
      </c>
      <c r="K41" s="276" t="str">
        <f t="shared" si="2"/>
        <v/>
      </c>
    </row>
    <row r="42" spans="1:11" hidden="1" x14ac:dyDescent="0.25">
      <c r="A42" s="272" t="s">
        <v>1</v>
      </c>
      <c r="B42" s="273"/>
      <c r="C42" s="273" t="str">
        <f>IFERROR(IF(B42="","",VLOOKUP(B42,'Mapped COA'!A:G,2,0)),IF(B42="","",VLOOKUP(B42,COA!A:G,2,0)))</f>
        <v/>
      </c>
      <c r="D42" s="479"/>
      <c r="E42" s="479"/>
      <c r="F42" s="274"/>
      <c r="G42" s="275"/>
      <c r="H42" s="271" t="str">
        <f t="shared" si="0"/>
        <v/>
      </c>
      <c r="I42" s="270" t="str">
        <f t="shared" si="1"/>
        <v/>
      </c>
      <c r="J42" s="271" t="str">
        <f>IFERROR(IF(D42="","",IF(EOMONTH(E42,0)&gt;=EOMONTH('Input-Instructions'!$B$6,0),DATEDIF(EOMONTH(D42,-1)+1,EOMONTH('Input-Instructions'!$B$6,0)+1,"m"),DATEDIF(EOMONTH(D42,-1)+1,EOMONTH(E42,0)+1,"m"))),"0")</f>
        <v/>
      </c>
      <c r="K42" s="276" t="str">
        <f t="shared" si="2"/>
        <v/>
      </c>
    </row>
    <row r="43" spans="1:11" hidden="1" x14ac:dyDescent="0.25">
      <c r="A43" s="272" t="s">
        <v>1</v>
      </c>
      <c r="B43" s="273"/>
      <c r="C43" s="273" t="str">
        <f>IFERROR(IF(B43="","",VLOOKUP(B43,'Mapped COA'!A:G,2,0)),IF(B43="","",VLOOKUP(B43,COA!A:G,2,0)))</f>
        <v/>
      </c>
      <c r="D43" s="479"/>
      <c r="E43" s="479"/>
      <c r="F43" s="274"/>
      <c r="G43" s="275"/>
      <c r="H43" s="271" t="str">
        <f t="shared" si="0"/>
        <v/>
      </c>
      <c r="I43" s="270" t="str">
        <f t="shared" si="1"/>
        <v/>
      </c>
      <c r="J43" s="271" t="str">
        <f>IFERROR(IF(D43="","",IF(EOMONTH(E43,0)&gt;=EOMONTH('Input-Instructions'!$B$6,0),DATEDIF(EOMONTH(D43,-1)+1,EOMONTH('Input-Instructions'!$B$6,0)+1,"m"),DATEDIF(EOMONTH(D43,-1)+1,EOMONTH(E43,0)+1,"m"))),"0")</f>
        <v/>
      </c>
      <c r="K43" s="276" t="str">
        <f t="shared" si="2"/>
        <v/>
      </c>
    </row>
    <row r="44" spans="1:11" hidden="1" x14ac:dyDescent="0.25">
      <c r="A44" s="272" t="s">
        <v>1</v>
      </c>
      <c r="B44" s="273"/>
      <c r="C44" s="273" t="str">
        <f>IFERROR(IF(B44="","",VLOOKUP(B44,'Mapped COA'!A:G,2,0)),IF(B44="","",VLOOKUP(B44,COA!A:G,2,0)))</f>
        <v/>
      </c>
      <c r="D44" s="479"/>
      <c r="E44" s="479"/>
      <c r="F44" s="274"/>
      <c r="G44" s="275"/>
      <c r="H44" s="271" t="str">
        <f t="shared" si="0"/>
        <v/>
      </c>
      <c r="I44" s="270" t="str">
        <f t="shared" si="1"/>
        <v/>
      </c>
      <c r="J44" s="271" t="str">
        <f>IFERROR(IF(D44="","",IF(EOMONTH(E44,0)&gt;=EOMONTH('Input-Instructions'!$B$6,0),DATEDIF(EOMONTH(D44,-1)+1,EOMONTH('Input-Instructions'!$B$6,0)+1,"m"),DATEDIF(EOMONTH(D44,-1)+1,EOMONTH(E44,0)+1,"m"))),"0")</f>
        <v/>
      </c>
      <c r="K44" s="276" t="str">
        <f t="shared" si="2"/>
        <v/>
      </c>
    </row>
    <row r="45" spans="1:11" hidden="1" x14ac:dyDescent="0.25">
      <c r="A45" s="272" t="s">
        <v>1</v>
      </c>
      <c r="B45" s="273"/>
      <c r="C45" s="273" t="str">
        <f>IFERROR(IF(B45="","",VLOOKUP(B45,'Mapped COA'!A:G,2,0)),IF(B45="","",VLOOKUP(B45,COA!A:G,2,0)))</f>
        <v/>
      </c>
      <c r="D45" s="479"/>
      <c r="E45" s="479"/>
      <c r="F45" s="274"/>
      <c r="G45" s="275"/>
      <c r="H45" s="271" t="str">
        <f t="shared" si="0"/>
        <v/>
      </c>
      <c r="I45" s="270" t="str">
        <f t="shared" si="1"/>
        <v/>
      </c>
      <c r="J45" s="271" t="str">
        <f>IFERROR(IF(D45="","",IF(EOMONTH(E45,0)&gt;=EOMONTH('Input-Instructions'!$B$6,0),DATEDIF(EOMONTH(D45,-1)+1,EOMONTH('Input-Instructions'!$B$6,0)+1,"m"),DATEDIF(EOMONTH(D45,-1)+1,EOMONTH(E45,0)+1,"m"))),"0")</f>
        <v/>
      </c>
      <c r="K45" s="276" t="str">
        <f t="shared" si="2"/>
        <v/>
      </c>
    </row>
    <row r="46" spans="1:11" hidden="1" x14ac:dyDescent="0.25">
      <c r="A46" s="272" t="s">
        <v>1</v>
      </c>
      <c r="B46" s="273"/>
      <c r="C46" s="273" t="str">
        <f>IFERROR(IF(B46="","",VLOOKUP(B46,'Mapped COA'!A:G,2,0)),IF(B46="","",VLOOKUP(B46,COA!A:G,2,0)))</f>
        <v/>
      </c>
      <c r="D46" s="479"/>
      <c r="E46" s="479"/>
      <c r="F46" s="274"/>
      <c r="G46" s="275"/>
      <c r="H46" s="271" t="str">
        <f t="shared" si="0"/>
        <v/>
      </c>
      <c r="I46" s="270" t="str">
        <f t="shared" si="1"/>
        <v/>
      </c>
      <c r="J46" s="271" t="str">
        <f>IFERROR(IF(D46="","",IF(EOMONTH(E46,0)&gt;=EOMONTH('Input-Instructions'!$B$6,0),DATEDIF(EOMONTH(D46,-1)+1,EOMONTH('Input-Instructions'!$B$6,0)+1,"m"),DATEDIF(EOMONTH(D46,-1)+1,EOMONTH(E46,0)+1,"m"))),"0")</f>
        <v/>
      </c>
      <c r="K46" s="276" t="str">
        <f t="shared" si="2"/>
        <v/>
      </c>
    </row>
    <row r="47" spans="1:11" hidden="1" x14ac:dyDescent="0.25">
      <c r="A47" s="272" t="s">
        <v>1</v>
      </c>
      <c r="B47" s="273"/>
      <c r="C47" s="273" t="str">
        <f>IFERROR(IF(B47="","",VLOOKUP(B47,'Mapped COA'!A:G,2,0)),IF(B47="","",VLOOKUP(B47,COA!A:G,2,0)))</f>
        <v/>
      </c>
      <c r="D47" s="479"/>
      <c r="E47" s="479"/>
      <c r="F47" s="274"/>
      <c r="G47" s="275"/>
      <c r="H47" s="271" t="str">
        <f t="shared" si="0"/>
        <v/>
      </c>
      <c r="I47" s="270" t="str">
        <f t="shared" si="1"/>
        <v/>
      </c>
      <c r="J47" s="271" t="str">
        <f>IFERROR(IF(D47="","",IF(EOMONTH(E47,0)&gt;=EOMONTH('Input-Instructions'!$B$6,0),DATEDIF(EOMONTH(D47,-1)+1,EOMONTH('Input-Instructions'!$B$6,0)+1,"m"),DATEDIF(EOMONTH(D47,-1)+1,EOMONTH(E47,0)+1,"m"))),"0")</f>
        <v/>
      </c>
      <c r="K47" s="276" t="str">
        <f t="shared" si="2"/>
        <v/>
      </c>
    </row>
    <row r="48" spans="1:11" hidden="1" x14ac:dyDescent="0.25">
      <c r="A48" s="272" t="s">
        <v>1</v>
      </c>
      <c r="B48" s="273"/>
      <c r="C48" s="273" t="str">
        <f>IFERROR(IF(B48="","",VLOOKUP(B48,'Mapped COA'!A:G,2,0)),IF(B48="","",VLOOKUP(B48,COA!A:G,2,0)))</f>
        <v/>
      </c>
      <c r="D48" s="479"/>
      <c r="E48" s="479"/>
      <c r="F48" s="274"/>
      <c r="G48" s="275"/>
      <c r="H48" s="271" t="str">
        <f t="shared" si="0"/>
        <v/>
      </c>
      <c r="I48" s="270" t="str">
        <f t="shared" si="1"/>
        <v/>
      </c>
      <c r="J48" s="271" t="str">
        <f>IFERROR(IF(D48="","",IF(EOMONTH(E48,0)&gt;=EOMONTH('Input-Instructions'!$B$6,0),DATEDIF(EOMONTH(D48,-1)+1,EOMONTH('Input-Instructions'!$B$6,0)+1,"m"),DATEDIF(EOMONTH(D48,-1)+1,EOMONTH(E48,0)+1,"m"))),"0")</f>
        <v/>
      </c>
      <c r="K48" s="276" t="str">
        <f t="shared" si="2"/>
        <v/>
      </c>
    </row>
    <row r="49" spans="1:11" hidden="1" x14ac:dyDescent="0.25">
      <c r="A49" s="272" t="s">
        <v>1</v>
      </c>
      <c r="B49" s="273"/>
      <c r="C49" s="273" t="str">
        <f>IFERROR(IF(B49="","",VLOOKUP(B49,'Mapped COA'!A:G,2,0)),IF(B49="","",VLOOKUP(B49,COA!A:G,2,0)))</f>
        <v/>
      </c>
      <c r="D49" s="479"/>
      <c r="E49" s="479"/>
      <c r="F49" s="274"/>
      <c r="G49" s="275"/>
      <c r="H49" s="271" t="str">
        <f t="shared" si="0"/>
        <v/>
      </c>
      <c r="I49" s="270" t="str">
        <f t="shared" si="1"/>
        <v/>
      </c>
      <c r="J49" s="271" t="str">
        <f>IFERROR(IF(D49="","",IF(EOMONTH(E49,0)&gt;=EOMONTH('Input-Instructions'!$B$6,0),DATEDIF(EOMONTH(D49,-1)+1,EOMONTH('Input-Instructions'!$B$6,0)+1,"m"),DATEDIF(EOMONTH(D49,-1)+1,EOMONTH(E49,0)+1,"m"))),"0")</f>
        <v/>
      </c>
      <c r="K49" s="276" t="str">
        <f t="shared" si="2"/>
        <v/>
      </c>
    </row>
    <row r="50" spans="1:11" x14ac:dyDescent="0.25">
      <c r="A50" s="272" t="s">
        <v>1</v>
      </c>
      <c r="B50" s="273" t="s">
        <v>108</v>
      </c>
      <c r="C50" s="273" t="str">
        <f>IFERROR(IF(B50="","",VLOOKUP(B50,'Mapped COA'!A:G,2,0)),IF(B50="","",VLOOKUP(B50,COA!A:G,2,0)))</f>
        <v>Property Website &amp; Online Presence</v>
      </c>
      <c r="D50" s="479">
        <v>46082</v>
      </c>
      <c r="E50" s="479">
        <v>46112</v>
      </c>
      <c r="F50" s="274" t="s">
        <v>113</v>
      </c>
      <c r="G50" s="275">
        <v>199</v>
      </c>
      <c r="H50" s="271">
        <v>1</v>
      </c>
      <c r="I50" s="270">
        <v>199</v>
      </c>
      <c r="J50" s="271">
        <f>IFERROR(IF(D50="","",IF(EOMONTH(E50,0)&gt;=EOMONTH('Input-Instructions'!$B$6,0),DATEDIF(EOMONTH(D50,-1)+1,EOMONTH('Input-Instructions'!$B$6,0)+1,"m"),DATEDIF(EOMONTH(D50,-1)+1,EOMONTH(E50,0)+1,"m"))),"0")</f>
        <v>1</v>
      </c>
      <c r="K50" s="276">
        <f t="shared" si="2"/>
        <v>0</v>
      </c>
    </row>
    <row r="51" spans="1:11" x14ac:dyDescent="0.25">
      <c r="A51" s="272" t="s">
        <v>1</v>
      </c>
      <c r="B51" s="273" t="s">
        <v>108</v>
      </c>
      <c r="C51" s="273" t="str">
        <f>IFERROR(IF(B51="","",VLOOKUP(B51,'Mapped COA'!A:G,2,0)),IF(B51="","",VLOOKUP(B51,COA!A:G,2,0)))</f>
        <v>Property Website &amp; Online Presence</v>
      </c>
      <c r="D51" s="479">
        <v>46143</v>
      </c>
      <c r="E51" s="479">
        <v>46173</v>
      </c>
      <c r="F51" s="274" t="s">
        <v>114</v>
      </c>
      <c r="G51" s="275">
        <v>199</v>
      </c>
      <c r="H51" s="271">
        <v>1</v>
      </c>
      <c r="I51" s="270">
        <v>199</v>
      </c>
      <c r="J51" s="271">
        <f>IFERROR(IF(D51="","",IF(EOMONTH(E51,0)&gt;=EOMONTH('Input-Instructions'!$B$6,0),DATEDIF(EOMONTH(D51,-1)+1,EOMONTH('Input-Instructions'!$B$6,0)+1,"m"),DATEDIF(EOMONTH(D51,-1)+1,EOMONTH(E51,0)+1,"m"))),"0")</f>
        <v>1</v>
      </c>
      <c r="K51" s="276">
        <f t="shared" ref="K51:K53" si="5">IFERROR(G51-(I51*J51),"")</f>
        <v>0</v>
      </c>
    </row>
    <row r="52" spans="1:11" x14ac:dyDescent="0.25">
      <c r="A52" s="272" t="s">
        <v>1</v>
      </c>
      <c r="B52" s="273" t="s">
        <v>115</v>
      </c>
      <c r="C52" s="273" t="str">
        <f>IFERROR(IF(B52="","",VLOOKUP(B52,'Mapped COA'!A:G,2,0)),IF(B52="","",VLOOKUP(B52,COA!A:G,2,0)))</f>
        <v>Social Media</v>
      </c>
      <c r="D52" s="479">
        <v>46143</v>
      </c>
      <c r="E52" s="479">
        <v>46173</v>
      </c>
      <c r="F52" s="274" t="s">
        <v>116</v>
      </c>
      <c r="G52" s="275">
        <v>975</v>
      </c>
      <c r="H52" s="271">
        <v>1</v>
      </c>
      <c r="I52" s="270">
        <v>199</v>
      </c>
      <c r="J52" s="271">
        <f>IFERROR(IF(D52="","",IF(EOMONTH(E52,0)&gt;=EOMONTH('Input-Instructions'!$B$6,0),DATEDIF(EOMONTH(D52,-1)+1,EOMONTH('Input-Instructions'!$B$6,0)+1,"m"),DATEDIF(EOMONTH(D52,-1)+1,EOMONTH(E52,0)+1,"m"))),"0")</f>
        <v>1</v>
      </c>
      <c r="K52" s="276">
        <f t="shared" si="5"/>
        <v>776</v>
      </c>
    </row>
    <row r="53" spans="1:11" x14ac:dyDescent="0.25">
      <c r="A53" s="272" t="s">
        <v>1</v>
      </c>
      <c r="B53" s="273" t="s">
        <v>108</v>
      </c>
      <c r="C53" s="273" t="str">
        <f>IFERROR(IF(B53="","",VLOOKUP(B53,'Mapped COA'!A:G,2,0)),IF(B53="","",VLOOKUP(B53,COA!A:G,2,0)))</f>
        <v>Property Website &amp; Online Presence</v>
      </c>
      <c r="D53" s="479">
        <v>46174</v>
      </c>
      <c r="E53" s="479">
        <v>46203</v>
      </c>
      <c r="F53" s="274" t="s">
        <v>117</v>
      </c>
      <c r="G53" s="275">
        <v>199</v>
      </c>
      <c r="H53" s="271">
        <f t="shared" ref="H53" si="6">IFERROR(DATEDIF(EOMONTH(D53,-1)+1,EOMONTH(E53,0)+1,"m"),"")</f>
        <v>1</v>
      </c>
      <c r="I53" s="270">
        <f t="shared" ref="I53" si="7">IFERROR(ROUND(G53/H53,2),"")</f>
        <v>199</v>
      </c>
      <c r="J53" s="271">
        <f>IFERROR(IF(D53="","",IF(EOMONTH(E53,0)&gt;=EOMONTH('Input-Instructions'!$B$6,0),DATEDIF(EOMONTH(D53,-1)+1,EOMONTH('Input-Instructions'!$B$6,0)+1,"m"),DATEDIF(EOMONTH(D53,-1)+1,EOMONTH(E53,0)+1,"m"))),"0")</f>
        <v>1</v>
      </c>
      <c r="K53" s="276">
        <f t="shared" si="5"/>
        <v>0</v>
      </c>
    </row>
    <row r="54" spans="1:11" x14ac:dyDescent="0.25">
      <c r="A54" s="272" t="s">
        <v>1</v>
      </c>
      <c r="B54" s="273" t="s">
        <v>108</v>
      </c>
      <c r="C54" s="273" t="str">
        <f>IFERROR(IF(B54="","",VLOOKUP(B54,'Mapped COA'!A:G,2,0)),IF(B54="","",VLOOKUP(B54,COA!A:G,2,0)))</f>
        <v>Property Website &amp; Online Presence</v>
      </c>
      <c r="D54" s="479">
        <v>46204</v>
      </c>
      <c r="E54" s="479">
        <v>46234</v>
      </c>
      <c r="F54" s="274" t="s">
        <v>118</v>
      </c>
      <c r="G54" s="275">
        <v>199</v>
      </c>
      <c r="H54" s="271">
        <f t="shared" ref="H54:H56" si="8">IFERROR(DATEDIF(EOMONTH(D54,-1)+1,EOMONTH(E54,0)+1,"m"),"")</f>
        <v>1</v>
      </c>
      <c r="I54" s="270">
        <f t="shared" ref="I54:I56" si="9">IFERROR(ROUND(G54/H54,2),"")</f>
        <v>199</v>
      </c>
      <c r="J54" s="271">
        <f>IFERROR(IF(D54="","",IF(EOMONTH(E54,0)&gt;=EOMONTH('Input-Instructions'!$B$6,0),DATEDIF(EOMONTH(D54,-1)+1,EOMONTH('Input-Instructions'!$B$6,0)+1,"m"),DATEDIF(EOMONTH(D54,-1)+1,EOMONTH(E54,0)+1,"m"))),"0")</f>
        <v>1</v>
      </c>
      <c r="K54" s="276">
        <f t="shared" ref="K54:K56" si="10">IFERROR(G54-(I54*J54),"")</f>
        <v>0</v>
      </c>
    </row>
    <row r="55" spans="1:11" ht="38.25" x14ac:dyDescent="0.25">
      <c r="A55" s="272" t="s">
        <v>1</v>
      </c>
      <c r="B55" s="273" t="s">
        <v>115</v>
      </c>
      <c r="C55" s="273" t="str">
        <f>IFERROR(IF(B55="","",VLOOKUP(B55,'Mapped COA'!A:G,2,0)),IF(B55="","",VLOOKUP(B55,COA!A:G,2,0)))</f>
        <v>Social Media</v>
      </c>
      <c r="D55" s="479">
        <v>46204</v>
      </c>
      <c r="E55" s="479">
        <v>46234</v>
      </c>
      <c r="F55" s="519" t="s">
        <v>119</v>
      </c>
      <c r="G55" s="275">
        <v>975</v>
      </c>
      <c r="H55" s="271">
        <f t="shared" si="8"/>
        <v>1</v>
      </c>
      <c r="I55" s="270">
        <f t="shared" si="9"/>
        <v>975</v>
      </c>
      <c r="J55" s="271">
        <f>IFERROR(IF(D55="","",IF(EOMONTH(E55,0)&gt;=EOMONTH('Input-Instructions'!$B$6,0),DATEDIF(EOMONTH(D55,-1)+1,EOMONTH('Input-Instructions'!$B$6,0)+1,"m"),DATEDIF(EOMONTH(D55,-1)+1,EOMONTH(E55,0)+1,"m"))),"0")</f>
        <v>1</v>
      </c>
      <c r="K55" s="276">
        <f t="shared" si="10"/>
        <v>0</v>
      </c>
    </row>
    <row r="56" spans="1:11" x14ac:dyDescent="0.25">
      <c r="A56" s="272" t="s">
        <v>1</v>
      </c>
      <c r="B56" s="273" t="s">
        <v>120</v>
      </c>
      <c r="C56" s="273" t="str">
        <f>IFERROR(IF(B56="","",VLOOKUP(B56,'Mapped COA'!A:G,2,0)),IF(B56="","",VLOOKUP(B56,COA!A:G,2,0)))</f>
        <v>Elevator Contract</v>
      </c>
      <c r="D56" s="479">
        <v>46204</v>
      </c>
      <c r="E56" s="479">
        <v>46234</v>
      </c>
      <c r="F56" s="274" t="s">
        <v>121</v>
      </c>
      <c r="G56" s="275">
        <v>3743.36</v>
      </c>
      <c r="H56" s="271">
        <f t="shared" si="8"/>
        <v>1</v>
      </c>
      <c r="I56" s="270">
        <f t="shared" si="9"/>
        <v>3743.36</v>
      </c>
      <c r="J56" s="271">
        <f>IFERROR(IF(D56="","",IF(EOMONTH(E56,0)&gt;=EOMONTH('Input-Instructions'!$B$6,0),DATEDIF(EOMONTH(D56,-1)+1,EOMONTH('Input-Instructions'!$B$6,0)+1,"m"),DATEDIF(EOMONTH(D56,-1)+1,EOMONTH(E56,0)+1,"m"))),"0")</f>
        <v>1</v>
      </c>
      <c r="K56" s="276">
        <f t="shared" si="10"/>
        <v>0</v>
      </c>
    </row>
    <row r="57" spans="1:11" ht="38.25" x14ac:dyDescent="0.25">
      <c r="A57" s="272"/>
      <c r="B57" s="273" t="s">
        <v>108</v>
      </c>
      <c r="C57" s="273" t="str">
        <f>IFERROR(IF(B57="","",VLOOKUP(B57,'Mapped COA'!A:G,2,0)),IF(B57="","",VLOOKUP(B57,COA!A:G,2,0)))</f>
        <v>Property Website &amp; Online Presence</v>
      </c>
      <c r="D57" s="479">
        <v>46235</v>
      </c>
      <c r="E57" s="479">
        <v>46265</v>
      </c>
      <c r="F57" s="519" t="s">
        <v>14129</v>
      </c>
      <c r="G57" s="275">
        <v>199</v>
      </c>
      <c r="H57" s="271">
        <f t="shared" ref="H57:H58" si="11">IFERROR(DATEDIF(EOMONTH(D57,-1)+1,EOMONTH(E57,0)+1,"m"),"")</f>
        <v>1</v>
      </c>
      <c r="I57" s="270">
        <f t="shared" ref="I57:I58" si="12">IFERROR(ROUND(G57/H57,2),"")</f>
        <v>199</v>
      </c>
      <c r="J57" s="271">
        <f>IFERROR(IF(D57="","",IF(EOMONTH(E57,0)&gt;=EOMONTH('Input-Instructions'!$B$6,0),DATEDIF(EOMONTH(D57,-1)+1,EOMONTH('Input-Instructions'!$B$6,0)+1,"m"),DATEDIF(EOMONTH(D57,-1)+1,EOMONTH(E57,0)+1,"m"))),"0")</f>
        <v>0</v>
      </c>
      <c r="K57" s="276">
        <f t="shared" ref="K57:K58" si="13">IFERROR(G57-(I57*J57),"")</f>
        <v>199</v>
      </c>
    </row>
    <row r="58" spans="1:11" ht="38.25" x14ac:dyDescent="0.25">
      <c r="A58" s="272"/>
      <c r="B58" s="273" t="s">
        <v>115</v>
      </c>
      <c r="C58" s="273" t="str">
        <f>IFERROR(IF(B58="","",VLOOKUP(B58,'Mapped COA'!A:G,2,0)),IF(B58="","",VLOOKUP(B58,COA!A:G,2,0)))</f>
        <v>Social Media</v>
      </c>
      <c r="D58" s="479">
        <v>46235</v>
      </c>
      <c r="E58" s="479">
        <v>46265</v>
      </c>
      <c r="F58" s="519" t="s">
        <v>14130</v>
      </c>
      <c r="G58" s="275">
        <v>975</v>
      </c>
      <c r="H58" s="271">
        <f t="shared" si="11"/>
        <v>1</v>
      </c>
      <c r="I58" s="270">
        <f t="shared" si="12"/>
        <v>975</v>
      </c>
      <c r="J58" s="271">
        <f>IFERROR(IF(D58="","",IF(EOMONTH(E58,0)&gt;=EOMONTH('Input-Instructions'!$B$6,0),DATEDIF(EOMONTH(D58,-1)+1,EOMONTH('Input-Instructions'!$B$6,0)+1,"m"),DATEDIF(EOMONTH(D58,-1)+1,EOMONTH(E58,0)+1,"m"))),"0")</f>
        <v>0</v>
      </c>
      <c r="K58" s="276">
        <f t="shared" si="13"/>
        <v>975</v>
      </c>
    </row>
    <row r="59" spans="1:11" x14ac:dyDescent="0.25">
      <c r="A59" s="272"/>
      <c r="B59" s="273"/>
      <c r="C59" s="273"/>
      <c r="D59" s="479"/>
      <c r="E59" s="479"/>
      <c r="F59" s="274"/>
      <c r="G59" s="275"/>
      <c r="H59" s="271"/>
      <c r="I59" s="270"/>
      <c r="J59" s="271"/>
      <c r="K59" s="276"/>
    </row>
    <row r="60" spans="1:11" x14ac:dyDescent="0.25">
      <c r="A60" s="272"/>
      <c r="B60" s="273"/>
      <c r="C60" s="273" t="str">
        <f>IFERROR(IF(B60="","",VLOOKUP(B60,'Mapped COA'!A:G,2,0)),IF(B60="","",VLOOKUP(B60,COA!A:G,2,0)))</f>
        <v/>
      </c>
      <c r="D60" s="479"/>
      <c r="E60" s="479"/>
      <c r="F60" s="274"/>
      <c r="G60" s="275"/>
      <c r="H60" s="271" t="str">
        <f t="shared" si="0"/>
        <v/>
      </c>
      <c r="I60" s="270" t="str">
        <f t="shared" si="1"/>
        <v/>
      </c>
      <c r="J60" s="271" t="str">
        <f>IFERROR(IF(D60="","",IF(EOMONTH(E60,0)&gt;=EOMONTH('Input-Instructions'!$B$6,0),DATEDIF(EOMONTH(D60,-1)+1,EOMONTH('Input-Instructions'!$B$6,0)+1,"m"),DATEDIF(EOMONTH(D60,-1)+1,EOMONTH(E60,0)+1,"m"))),"0")</f>
        <v/>
      </c>
      <c r="K60" s="276" t="str">
        <f>IFERROR(G60-(I60*J60),"")</f>
        <v/>
      </c>
    </row>
    <row r="61" spans="1:11" ht="16.5" customHeight="1" x14ac:dyDescent="0.25">
      <c r="D61"/>
      <c r="E61" s="427"/>
      <c r="H61" s="289"/>
      <c r="I61" s="553" t="s">
        <v>122</v>
      </c>
      <c r="J61" s="553"/>
      <c r="K61" s="292"/>
    </row>
    <row r="62" spans="1:11" ht="20.25" customHeight="1" thickBot="1" x14ac:dyDescent="0.35">
      <c r="F62" s="286"/>
      <c r="G62" s="286"/>
      <c r="H62" s="288"/>
      <c r="I62" s="291" t="s">
        <v>123</v>
      </c>
      <c r="J62" s="290" t="str">
        <f>$B$4</f>
        <v>13085-000</v>
      </c>
      <c r="K62" s="287">
        <f>$K$61+SUM(K6:K60)</f>
        <v>5981.9850091240878</v>
      </c>
    </row>
    <row r="63" spans="1:11" ht="15.75" thickTop="1" x14ac:dyDescent="0.25"/>
  </sheetData>
  <mergeCells count="4">
    <mergeCell ref="A3:K3"/>
    <mergeCell ref="I61:J61"/>
    <mergeCell ref="A1:K1"/>
    <mergeCell ref="A2:K2"/>
  </mergeCells>
  <conditionalFormatting sqref="A6:K60">
    <cfRule type="expression" dxfId="81" priority="2">
      <formula>INDIRECT("A"&amp;ROW()) = "Yes"</formula>
    </cfRule>
  </conditionalFormatting>
  <dataValidations count="1">
    <dataValidation type="list" allowBlank="1" showInputMessage="1" showErrorMessage="1" sqref="A6:A60" xr:uid="{50AAF6A1-C412-4B47-BD7C-12218AF48580}">
      <formula1>$M$4:$M$5</formula1>
    </dataValidation>
  </dataValidations>
  <printOptions horizontalCentered="1"/>
  <pageMargins left="0.25" right="0.25" top="0.25" bottom="0.75" header="0.3" footer="0.3"/>
  <pageSetup scale="50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7979D-E9F1-445B-A31D-DC4183A89633}">
  <sheetPr codeName="Sheet7">
    <pageSetUpPr fitToPage="1"/>
  </sheetPr>
  <dimension ref="A1:DQ51"/>
  <sheetViews>
    <sheetView topLeftCell="A2" zoomScale="85" zoomScaleNormal="85" workbookViewId="0">
      <selection activeCell="J10" sqref="J10"/>
    </sheetView>
  </sheetViews>
  <sheetFormatPr defaultColWidth="9.140625" defaultRowHeight="15" outlineLevelCol="1" x14ac:dyDescent="0.25"/>
  <cols>
    <col min="1" max="1" width="14" style="1" customWidth="1"/>
    <col min="2" max="3" width="23.5703125" style="1" customWidth="1"/>
    <col min="4" max="4" width="17.42578125" style="1" customWidth="1"/>
    <col min="5" max="5" width="21.140625" style="1" customWidth="1"/>
    <col min="6" max="6" width="23.5703125" style="1" customWidth="1"/>
    <col min="7" max="7" width="23.140625" style="1" customWidth="1"/>
    <col min="8" max="8" width="18.5703125" style="1" customWidth="1"/>
    <col min="9" max="9" width="18.42578125" style="1" customWidth="1"/>
    <col min="10" max="10" width="18.5703125" style="1" customWidth="1"/>
    <col min="11" max="11" width="19.5703125" style="1" customWidth="1"/>
    <col min="12" max="12" width="29.42578125" style="1" customWidth="1"/>
    <col min="13" max="13" width="17.5703125" style="1" hidden="1" customWidth="1" outlineLevel="1"/>
    <col min="14" max="14" width="19.5703125" style="1" hidden="1" customWidth="1" outlineLevel="1"/>
    <col min="15" max="15" width="14" style="49" hidden="1" customWidth="1" outlineLevel="1"/>
    <col min="16" max="16" width="13.5703125" style="1" hidden="1" customWidth="1" outlineLevel="1"/>
    <col min="17" max="17" width="22.5703125" style="1" hidden="1" customWidth="1" outlineLevel="1"/>
    <col min="18" max="18" width="16.5703125" style="49" hidden="1" customWidth="1" outlineLevel="1"/>
    <col min="19" max="19" width="25.42578125" style="1" hidden="1" customWidth="1" outlineLevel="1"/>
    <col min="20" max="20" width="18.85546875" style="1" hidden="1" customWidth="1" outlineLevel="1"/>
    <col min="21" max="21" width="18.85546875" style="1" customWidth="1" collapsed="1"/>
    <col min="22" max="22" width="26.42578125" style="1" customWidth="1"/>
    <col min="23" max="23" width="28.140625" style="1" customWidth="1"/>
    <col min="24" max="24" width="18.85546875" style="1" customWidth="1"/>
    <col min="25" max="25" width="6.5703125" style="1" customWidth="1"/>
    <col min="26" max="26" width="27.42578125" style="1" customWidth="1"/>
    <col min="27" max="31" width="18.85546875" style="1" customWidth="1"/>
    <col min="32" max="32" width="7.42578125" style="1" customWidth="1"/>
    <col min="33" max="33" width="26.42578125" style="1" customWidth="1"/>
    <col min="34" max="38" width="18.85546875" style="1" customWidth="1"/>
    <col min="39" max="39" width="7.42578125" style="1" customWidth="1"/>
    <col min="40" max="40" width="24.42578125" style="254" customWidth="1"/>
    <col min="41" max="45" width="18.85546875" style="1" customWidth="1"/>
    <col min="46" max="46" width="8" style="1" customWidth="1"/>
    <col min="47" max="47" width="25" style="1" customWidth="1"/>
    <col min="48" max="52" width="18.85546875" style="1" customWidth="1"/>
    <col min="53" max="53" width="2.5703125" style="1" customWidth="1"/>
    <col min="54" max="54" width="8.5703125" style="49" customWidth="1"/>
    <col min="55" max="55" width="18.42578125" style="1" bestFit="1" customWidth="1"/>
    <col min="56" max="56" width="18.85546875" style="1" bestFit="1" customWidth="1"/>
    <col min="57" max="57" width="15.5703125" style="1" customWidth="1"/>
    <col min="58" max="58" width="14.85546875" style="1" customWidth="1"/>
    <col min="59" max="59" width="13.5703125" style="1" customWidth="1"/>
    <col min="60" max="61" width="9.140625" style="1"/>
    <col min="62" max="62" width="10.5703125" style="1" customWidth="1"/>
    <col min="63" max="68" width="9.140625" style="1"/>
    <col min="69" max="69" width="9.140625" style="1" hidden="1" customWidth="1"/>
    <col min="70" max="70" width="13.42578125" style="1" hidden="1" customWidth="1"/>
    <col min="71" max="72" width="14.42578125" style="1" hidden="1" customWidth="1"/>
    <col min="73" max="73" width="13.5703125" style="1" hidden="1" customWidth="1"/>
    <col min="74" max="74" width="14" style="1" hidden="1" customWidth="1"/>
    <col min="75" max="75" width="15" style="1" hidden="1" customWidth="1"/>
    <col min="76" max="76" width="9.140625" style="1" hidden="1" customWidth="1"/>
    <col min="77" max="77" width="13.5703125" style="1" hidden="1" customWidth="1"/>
    <col min="78" max="78" width="16.42578125" style="1" hidden="1" customWidth="1"/>
    <col min="79" max="83" width="9.140625" style="1" hidden="1" customWidth="1"/>
    <col min="84" max="84" width="13.42578125" style="1" hidden="1" customWidth="1"/>
    <col min="85" max="85" width="15.5703125" style="1" hidden="1" customWidth="1"/>
    <col min="86" max="90" width="9.140625" style="1" hidden="1" customWidth="1"/>
    <col min="91" max="91" width="14.42578125" style="1" hidden="1" customWidth="1"/>
    <col min="92" max="92" width="15.42578125" style="1" hidden="1" customWidth="1"/>
    <col min="93" max="97" width="9.140625" style="1" hidden="1" customWidth="1"/>
    <col min="98" max="98" width="13.42578125" style="1" hidden="1" customWidth="1"/>
    <col min="99" max="99" width="14" style="1" hidden="1" customWidth="1"/>
    <col min="100" max="104" width="9.140625" style="1" hidden="1" customWidth="1"/>
    <col min="105" max="105" width="14.5703125" style="1" hidden="1" customWidth="1"/>
    <col min="106" max="106" width="16.5703125" style="1" hidden="1" customWidth="1"/>
    <col min="107" max="111" width="9.140625" style="1" hidden="1" customWidth="1"/>
    <col min="112" max="112" width="13.42578125" style="1" hidden="1" customWidth="1"/>
    <col min="113" max="113" width="12" style="1" hidden="1" customWidth="1"/>
    <col min="114" max="118" width="9.140625" style="1" hidden="1" customWidth="1"/>
    <col min="119" max="119" width="15" style="1" hidden="1" customWidth="1"/>
    <col min="120" max="120" width="13.140625" style="1" hidden="1" customWidth="1"/>
    <col min="121" max="121" width="9.140625" style="1" hidden="1" customWidth="1"/>
    <col min="122" max="16384" width="9.140625" style="1"/>
  </cols>
  <sheetData>
    <row r="1" spans="1:77" ht="24" thickBot="1" x14ac:dyDescent="0.4">
      <c r="A1" s="559" t="str">
        <f>'Input-Instructions'!B3</f>
        <v>610 West</v>
      </c>
      <c r="B1" s="559"/>
      <c r="C1" s="559"/>
      <c r="D1" s="559"/>
      <c r="E1" s="559"/>
      <c r="F1" s="559"/>
      <c r="G1" s="559"/>
      <c r="H1" s="559"/>
      <c r="I1" s="559"/>
      <c r="J1" s="559"/>
      <c r="K1" s="371"/>
      <c r="L1" s="443"/>
      <c r="M1" s="444"/>
      <c r="O1" s="195"/>
      <c r="P1" s="195"/>
      <c r="Q1" s="195"/>
      <c r="AN1" s="254" t="s">
        <v>124</v>
      </c>
      <c r="BB1" s="210"/>
      <c r="BJ1" s="2"/>
      <c r="BR1" s="2">
        <v>43830</v>
      </c>
      <c r="BV1" s="2"/>
      <c r="BY1" s="2"/>
    </row>
    <row r="2" spans="1:77" ht="21" customHeight="1" x14ac:dyDescent="0.35">
      <c r="A2" s="560" t="s">
        <v>125</v>
      </c>
      <c r="B2" s="560"/>
      <c r="C2" s="560"/>
      <c r="D2" s="560"/>
      <c r="E2" s="560"/>
      <c r="F2" s="560"/>
      <c r="G2" s="560"/>
      <c r="H2" s="560"/>
      <c r="I2" s="560"/>
      <c r="J2" s="560"/>
      <c r="K2" s="465"/>
      <c r="L2" s="445"/>
      <c r="M2" s="438"/>
      <c r="O2" s="196"/>
      <c r="P2" s="196"/>
      <c r="Q2" s="196"/>
      <c r="R2" s="196"/>
      <c r="S2" s="196"/>
      <c r="T2" s="196"/>
      <c r="U2" s="562" t="s">
        <v>126</v>
      </c>
      <c r="V2" s="196"/>
      <c r="W2" s="196"/>
      <c r="X2" s="196"/>
      <c r="Y2" s="196"/>
      <c r="Z2" s="196"/>
      <c r="AA2" s="196"/>
      <c r="AB2" s="196"/>
      <c r="AC2" s="196"/>
      <c r="AD2" s="196"/>
      <c r="AE2" s="196"/>
      <c r="AF2" s="196"/>
      <c r="AG2" s="196"/>
      <c r="AH2" s="196"/>
      <c r="AI2" s="196"/>
      <c r="AJ2" s="196"/>
      <c r="AK2" s="196"/>
      <c r="AL2" s="196"/>
      <c r="AM2" s="196"/>
      <c r="AN2" s="254" t="s">
        <v>127</v>
      </c>
      <c r="AO2" s="196"/>
      <c r="AP2" s="196"/>
      <c r="AQ2" s="196"/>
      <c r="AR2" s="196"/>
      <c r="AS2" s="196"/>
      <c r="AT2" s="196"/>
      <c r="AU2" s="196"/>
      <c r="AV2" s="196"/>
      <c r="AW2" s="196"/>
      <c r="AX2" s="196"/>
      <c r="AY2" s="196"/>
      <c r="AZ2" s="196"/>
      <c r="BA2" s="196"/>
      <c r="BB2" s="211"/>
      <c r="BR2" s="2">
        <v>43831</v>
      </c>
      <c r="BV2" s="2"/>
      <c r="BY2" s="2"/>
    </row>
    <row r="3" spans="1:77" ht="23.25" x14ac:dyDescent="0.35">
      <c r="A3" s="561" t="str">
        <f>TEXT('Input-Instructions'!$B$6,"MMMM YYYY")</f>
        <v>July 2026</v>
      </c>
      <c r="B3" s="561"/>
      <c r="C3" s="561"/>
      <c r="D3" s="561"/>
      <c r="E3" s="561"/>
      <c r="F3" s="561"/>
      <c r="G3" s="561"/>
      <c r="H3" s="561"/>
      <c r="I3" s="561"/>
      <c r="J3" s="561"/>
      <c r="K3" s="466" t="s">
        <v>37</v>
      </c>
      <c r="L3" s="446"/>
      <c r="M3" s="439"/>
      <c r="O3" s="197"/>
      <c r="P3" s="197"/>
      <c r="Q3" s="197"/>
      <c r="R3" s="197"/>
      <c r="S3" s="197"/>
      <c r="T3" s="197"/>
      <c r="U3" s="563"/>
      <c r="V3" s="197"/>
      <c r="W3" s="197"/>
      <c r="X3" s="197"/>
      <c r="Y3" s="197"/>
      <c r="Z3" s="197"/>
      <c r="AA3" s="197"/>
      <c r="AB3" s="197"/>
      <c r="AC3" s="197"/>
      <c r="AD3" s="197"/>
      <c r="AE3" s="197"/>
      <c r="AF3" s="197"/>
      <c r="AG3" s="197"/>
      <c r="AH3" s="197"/>
      <c r="AI3" s="197"/>
      <c r="AJ3" s="197"/>
      <c r="AK3" s="197"/>
      <c r="AL3" s="197"/>
      <c r="AM3" s="197"/>
      <c r="AN3" s="254" t="s">
        <v>128</v>
      </c>
      <c r="AO3" s="197"/>
      <c r="AP3" s="197"/>
      <c r="AQ3" s="197"/>
      <c r="AR3" s="197"/>
      <c r="AS3" s="197"/>
      <c r="AT3" s="197"/>
      <c r="AU3" s="197"/>
      <c r="AV3" s="197"/>
      <c r="AW3" s="197"/>
      <c r="AX3" s="197"/>
      <c r="AY3" s="197"/>
      <c r="AZ3" s="197"/>
      <c r="BA3" s="197"/>
      <c r="BB3" s="212"/>
      <c r="BR3" s="1">
        <v>12</v>
      </c>
    </row>
    <row r="4" spans="1:77" x14ac:dyDescent="0.25">
      <c r="U4" s="563"/>
      <c r="AN4" s="254" t="s">
        <v>129</v>
      </c>
    </row>
    <row r="5" spans="1:77" x14ac:dyDescent="0.25">
      <c r="B5" s="1" t="s">
        <v>130</v>
      </c>
      <c r="D5" s="50" t="s">
        <v>124</v>
      </c>
      <c r="E5"/>
      <c r="N5" s="214"/>
      <c r="U5" s="563"/>
      <c r="AN5" s="254" t="s">
        <v>131</v>
      </c>
      <c r="BR5" s="1" t="s">
        <v>9</v>
      </c>
    </row>
    <row r="6" spans="1:77" ht="25.5" customHeight="1" thickBot="1" x14ac:dyDescent="0.35">
      <c r="B6" s="198"/>
      <c r="C6" s="198"/>
      <c r="H6" s="1" t="s">
        <v>37</v>
      </c>
      <c r="N6" s="214"/>
      <c r="U6" s="564"/>
      <c r="AN6" s="254" t="s">
        <v>132</v>
      </c>
    </row>
    <row r="7" spans="1:77" ht="21" customHeight="1" thickBot="1" x14ac:dyDescent="0.35">
      <c r="B7" s="451" t="s">
        <v>133</v>
      </c>
      <c r="C7" s="213"/>
      <c r="D7" s="369" t="s">
        <v>134</v>
      </c>
      <c r="N7" s="221"/>
      <c r="T7" s="248"/>
      <c r="AN7" s="254" t="s">
        <v>135</v>
      </c>
    </row>
    <row r="8" spans="1:77" ht="33.75" customHeight="1" x14ac:dyDescent="0.25">
      <c r="A8" s="267" t="s">
        <v>84</v>
      </c>
      <c r="B8" s="267" t="s">
        <v>136</v>
      </c>
      <c r="C8" s="267" t="s">
        <v>137</v>
      </c>
      <c r="D8" s="3" t="s">
        <v>138</v>
      </c>
      <c r="E8" s="199" t="s">
        <v>139</v>
      </c>
      <c r="F8" s="199" t="s">
        <v>86</v>
      </c>
      <c r="G8" s="199" t="s">
        <v>140</v>
      </c>
      <c r="H8" s="199" t="s">
        <v>141</v>
      </c>
      <c r="I8" s="199" t="s">
        <v>142</v>
      </c>
      <c r="J8" s="199" t="s">
        <v>143</v>
      </c>
      <c r="K8" s="3" t="s">
        <v>144</v>
      </c>
      <c r="O8" s="221"/>
      <c r="P8" s="49"/>
      <c r="R8" s="1"/>
      <c r="S8" s="49"/>
      <c r="U8" s="565" t="s">
        <v>145</v>
      </c>
      <c r="AN8" s="254" t="s">
        <v>146</v>
      </c>
    </row>
    <row r="9" spans="1:77" x14ac:dyDescent="0.25">
      <c r="A9" s="206"/>
      <c r="B9" s="496"/>
      <c r="C9" s="496"/>
      <c r="D9" s="369"/>
      <c r="E9" s="369" t="s">
        <v>147</v>
      </c>
      <c r="F9" s="369" t="str">
        <f>IFERROR(IF(E9="","",VLOOKUP(E9,'Mapped COA'!A:G,2,0)),IF(E9="","",VLOOKUP(E9,COA!A:G,2,0)))</f>
        <v>Ad Valorem Property Taxes</v>
      </c>
      <c r="G9" s="214" t="s">
        <v>148</v>
      </c>
      <c r="H9" s="428"/>
      <c r="I9" s="429">
        <f t="shared" ref="I9:I14" si="0">IFERROR(ROUND(H9/D9,2),0)</f>
        <v>0</v>
      </c>
      <c r="J9" s="369"/>
      <c r="K9" s="4">
        <f>IFERROR(I9*J9,0)</f>
        <v>0</v>
      </c>
      <c r="O9" s="221"/>
      <c r="P9" s="49"/>
      <c r="R9" s="1"/>
      <c r="S9" s="49"/>
      <c r="U9" s="566"/>
      <c r="AN9" s="254" t="s">
        <v>149</v>
      </c>
    </row>
    <row r="10" spans="1:77" x14ac:dyDescent="0.25">
      <c r="A10" s="206"/>
      <c r="B10" s="496"/>
      <c r="C10" s="496"/>
      <c r="D10" s="369"/>
      <c r="E10" s="369" t="s">
        <v>150</v>
      </c>
      <c r="F10" s="369" t="str">
        <f>IFERROR(IF(E10="","",VLOOKUP(E10,'Mapped COA'!A:G,2,0)),IF(E10="","",VLOOKUP(E10,COA!A:G,2,0)))</f>
        <v>Personal Property Taxes</v>
      </c>
      <c r="G10" s="214"/>
      <c r="H10" s="428"/>
      <c r="I10" s="429">
        <f t="shared" si="0"/>
        <v>0</v>
      </c>
      <c r="J10" s="369"/>
      <c r="K10" s="4">
        <f t="shared" ref="K10:K12" si="1">IFERROR(I10*J10,0)</f>
        <v>0</v>
      </c>
      <c r="O10" s="221"/>
      <c r="P10" s="49"/>
      <c r="R10" s="1"/>
      <c r="S10" s="49"/>
      <c r="U10" s="566"/>
      <c r="AN10" s="254" t="s">
        <v>151</v>
      </c>
    </row>
    <row r="11" spans="1:77" x14ac:dyDescent="0.25">
      <c r="A11" s="206"/>
      <c r="B11" s="496"/>
      <c r="C11" s="496"/>
      <c r="D11" s="369"/>
      <c r="E11" s="369"/>
      <c r="F11" s="369" t="str">
        <f>IFERROR(IF(E11="","",VLOOKUP(E11,'Mapped COA'!A:G,2,0)),IF(E11="","",VLOOKUP(E11,COA!A:G,2,0)))</f>
        <v/>
      </c>
      <c r="G11" s="214"/>
      <c r="H11" s="428"/>
      <c r="I11" s="429">
        <f t="shared" si="0"/>
        <v>0</v>
      </c>
      <c r="J11" s="369"/>
      <c r="K11" s="4">
        <f t="shared" si="1"/>
        <v>0</v>
      </c>
      <c r="O11" s="222"/>
      <c r="P11" s="49"/>
      <c r="R11" s="1"/>
      <c r="S11" s="49"/>
      <c r="U11" s="566"/>
      <c r="AN11" s="254" t="s">
        <v>152</v>
      </c>
    </row>
    <row r="12" spans="1:77" ht="15.75" thickBot="1" x14ac:dyDescent="0.3">
      <c r="A12" s="206"/>
      <c r="B12" s="496"/>
      <c r="C12" s="496"/>
      <c r="D12" s="369"/>
      <c r="E12" s="369"/>
      <c r="F12" s="369" t="str">
        <f>IFERROR(IF(E12="","",VLOOKUP(E12,'Mapped COA'!A:G,2,0)),IF(E12="","",VLOOKUP(E12,COA!A:G,2,0)))</f>
        <v/>
      </c>
      <c r="G12" s="214"/>
      <c r="H12" s="428"/>
      <c r="I12" s="429">
        <f t="shared" si="0"/>
        <v>0</v>
      </c>
      <c r="J12" s="369"/>
      <c r="K12" s="4">
        <f t="shared" si="1"/>
        <v>0</v>
      </c>
      <c r="O12" s="222"/>
      <c r="P12" s="49"/>
      <c r="R12" s="1"/>
      <c r="S12" s="49"/>
      <c r="U12" s="567"/>
      <c r="AN12" s="254" t="s">
        <v>153</v>
      </c>
    </row>
    <row r="13" spans="1:77" x14ac:dyDescent="0.25">
      <c r="A13" s="206"/>
      <c r="B13" s="496"/>
      <c r="C13" s="496"/>
      <c r="D13" s="369"/>
      <c r="E13" s="369"/>
      <c r="F13" s="369" t="str">
        <f>IFERROR(IF(E13="","",VLOOKUP(E13,'Mapped COA'!A:G,2,0)),IF(E13="","",VLOOKUP(E13,COA!A:G,2,0)))</f>
        <v/>
      </c>
      <c r="G13" s="214"/>
      <c r="H13" s="428"/>
      <c r="I13" s="429">
        <f t="shared" si="0"/>
        <v>0</v>
      </c>
      <c r="J13" s="369"/>
      <c r="K13" s="4">
        <f t="shared" ref="K13" si="2">IFERROR(I13*J13,0)</f>
        <v>0</v>
      </c>
      <c r="O13" s="222"/>
      <c r="P13" s="49"/>
      <c r="R13" s="1"/>
      <c r="S13" s="49"/>
      <c r="U13" s="222"/>
      <c r="V13" s="343"/>
      <c r="AN13" s="254" t="s">
        <v>154</v>
      </c>
      <c r="AO13" s="254" t="s">
        <v>154</v>
      </c>
      <c r="BB13" s="1"/>
      <c r="BC13" s="49"/>
    </row>
    <row r="14" spans="1:77" x14ac:dyDescent="0.25">
      <c r="A14" s="206"/>
      <c r="B14" s="496"/>
      <c r="C14" s="496"/>
      <c r="D14" s="369"/>
      <c r="E14" s="369"/>
      <c r="F14" s="369" t="str">
        <f>IFERROR(IF(E14="","",VLOOKUP(E14,'Mapped COA'!A:G,2,0)),IF(E14="","",VLOOKUP(E14,COA!A:G,2,0)))</f>
        <v/>
      </c>
      <c r="G14" s="214"/>
      <c r="H14" s="428"/>
      <c r="I14" s="429">
        <f t="shared" si="0"/>
        <v>0</v>
      </c>
      <c r="J14" s="369"/>
      <c r="K14" s="4">
        <f>IFERROR(I14*J14,0)</f>
        <v>0</v>
      </c>
      <c r="O14" s="222"/>
      <c r="P14" s="49"/>
      <c r="R14" s="1"/>
      <c r="S14" s="49"/>
      <c r="U14" s="222"/>
      <c r="V14" s="343"/>
      <c r="AN14" s="254" t="s">
        <v>155</v>
      </c>
      <c r="AO14" s="254" t="s">
        <v>155</v>
      </c>
      <c r="BB14" s="1"/>
      <c r="BC14" s="49"/>
    </row>
    <row r="15" spans="1:77" x14ac:dyDescent="0.25">
      <c r="E15" s="430"/>
      <c r="F15" s="430"/>
      <c r="G15" s="430"/>
      <c r="H15" s="431"/>
      <c r="J15" s="430" t="s">
        <v>122</v>
      </c>
      <c r="K15" s="50"/>
      <c r="O15" s="222"/>
      <c r="P15" s="49"/>
      <c r="R15" s="1"/>
      <c r="S15" s="49"/>
      <c r="U15" s="222"/>
      <c r="AN15" s="254" t="s">
        <v>156</v>
      </c>
      <c r="AO15" s="254" t="s">
        <v>156</v>
      </c>
      <c r="BB15" s="1"/>
      <c r="BC15" s="49"/>
    </row>
    <row r="16" spans="1:77" x14ac:dyDescent="0.25">
      <c r="E16" s="200"/>
      <c r="F16" s="200"/>
      <c r="G16" s="200"/>
      <c r="H16" s="4">
        <f>SUM(H9:H14)</f>
        <v>0</v>
      </c>
      <c r="I16" s="4">
        <f>SUM(I9:I14)</f>
        <v>0</v>
      </c>
      <c r="K16" s="4">
        <f>SUM(K9:K15)</f>
        <v>0</v>
      </c>
      <c r="O16" s="222"/>
      <c r="P16" s="49"/>
      <c r="R16" s="1"/>
      <c r="S16" s="49"/>
      <c r="U16" s="222"/>
      <c r="AN16" s="254" t="s">
        <v>157</v>
      </c>
      <c r="AO16" s="254" t="s">
        <v>157</v>
      </c>
      <c r="BB16" s="1"/>
      <c r="BC16" s="49"/>
    </row>
    <row r="17" spans="1:55" x14ac:dyDescent="0.25">
      <c r="O17" s="1"/>
      <c r="P17" s="49"/>
      <c r="R17" s="1"/>
      <c r="S17" s="49"/>
      <c r="U17" s="222"/>
      <c r="AN17" s="254" t="s">
        <v>158</v>
      </c>
      <c r="AO17" s="254" t="s">
        <v>158</v>
      </c>
      <c r="BB17" s="1"/>
      <c r="BC17" s="49"/>
    </row>
    <row r="18" spans="1:55" ht="20.25" x14ac:dyDescent="0.3">
      <c r="B18" s="451" t="s">
        <v>159</v>
      </c>
      <c r="C18" s="213"/>
      <c r="D18" s="369" t="s">
        <v>160</v>
      </c>
      <c r="O18" s="1"/>
      <c r="P18" s="49"/>
      <c r="R18" s="1"/>
      <c r="S18" s="49"/>
      <c r="U18" s="1" t="s">
        <v>161</v>
      </c>
      <c r="AN18" s="254" t="s">
        <v>162</v>
      </c>
    </row>
    <row r="19" spans="1:55" ht="33" customHeight="1" x14ac:dyDescent="0.25">
      <c r="A19" s="267" t="s">
        <v>84</v>
      </c>
      <c r="B19" s="267" t="s">
        <v>136</v>
      </c>
      <c r="C19" s="267" t="s">
        <v>137</v>
      </c>
      <c r="D19" s="3" t="s">
        <v>138</v>
      </c>
      <c r="E19" s="199" t="s">
        <v>139</v>
      </c>
      <c r="F19" s="199" t="s">
        <v>86</v>
      </c>
      <c r="G19" s="199" t="s">
        <v>140</v>
      </c>
      <c r="H19" s="199" t="s">
        <v>163</v>
      </c>
      <c r="I19" s="199" t="s">
        <v>142</v>
      </c>
      <c r="J19" s="199" t="s">
        <v>164</v>
      </c>
      <c r="K19" s="3" t="s">
        <v>165</v>
      </c>
      <c r="L19" s="199"/>
      <c r="M19"/>
      <c r="N19"/>
      <c r="O19" s="1"/>
      <c r="P19" s="49"/>
      <c r="R19" s="1"/>
      <c r="S19" s="49"/>
      <c r="T19" s="3" t="s">
        <v>166</v>
      </c>
      <c r="U19" s="249"/>
      <c r="V19" s="252" t="s">
        <v>167</v>
      </c>
      <c r="W19" s="253" t="s">
        <v>168</v>
      </c>
      <c r="AN19" s="254" t="s">
        <v>169</v>
      </c>
    </row>
    <row r="20" spans="1:55" x14ac:dyDescent="0.25">
      <c r="A20" s="206" t="s">
        <v>1</v>
      </c>
      <c r="B20" s="496">
        <v>46204</v>
      </c>
      <c r="C20" s="496">
        <v>46387</v>
      </c>
      <c r="D20" s="369">
        <v>6</v>
      </c>
      <c r="E20" s="369" t="s">
        <v>147</v>
      </c>
      <c r="F20" s="369" t="str">
        <f>IFERROR(IF(E20="","",VLOOKUP(E20,'Mapped COA'!A:G,2,0)),IF(E20="","",VLOOKUP(E20,COA!A:G,2,0)))</f>
        <v>Ad Valorem Property Taxes</v>
      </c>
      <c r="G20" s="214" t="s">
        <v>148</v>
      </c>
      <c r="H20" s="543">
        <v>1001780.51</v>
      </c>
      <c r="I20" s="429">
        <f t="shared" ref="I20:I25" si="3">IFERROR(ROUND(H20/D20,2),0)</f>
        <v>166963.42000000001</v>
      </c>
      <c r="J20" s="369">
        <v>1</v>
      </c>
      <c r="K20" s="4">
        <f>IFERROR(I20*J20,0)</f>
        <v>166963.42000000001</v>
      </c>
      <c r="L20"/>
      <c r="M20"/>
      <c r="N20"/>
      <c r="O20" s="1"/>
      <c r="P20" s="49"/>
      <c r="R20" s="1"/>
      <c r="S20" s="49"/>
      <c r="T20" s="475"/>
      <c r="U20" s="250" t="s">
        <v>170</v>
      </c>
      <c r="V20" s="255">
        <f>VLOOKUP($D$5,Hidden!$A:$AC,6,FALSE)</f>
        <v>0</v>
      </c>
      <c r="W20" s="255">
        <f>VLOOKUP($D$5,Hidden!$A:$AC,18,FALSE)</f>
        <v>1</v>
      </c>
      <c r="AN20" s="254" t="s">
        <v>171</v>
      </c>
    </row>
    <row r="21" spans="1:55" x14ac:dyDescent="0.25">
      <c r="A21" s="206"/>
      <c r="B21" s="496"/>
      <c r="C21" s="496"/>
      <c r="D21" s="369"/>
      <c r="E21" s="369" t="s">
        <v>147</v>
      </c>
      <c r="F21" s="369" t="str">
        <f>IFERROR(IF(E21="","",VLOOKUP(E21,'Mapped COA'!A:G,2,0)),IF(E21="","",VLOOKUP(E21,COA!A:G,2,0)))</f>
        <v>Ad Valorem Property Taxes</v>
      </c>
      <c r="G21" s="214"/>
      <c r="H21" s="428"/>
      <c r="I21" s="429">
        <f t="shared" si="3"/>
        <v>0</v>
      </c>
      <c r="J21" s="369"/>
      <c r="K21" s="4">
        <f t="shared" ref="K21:K23" si="4">IFERROR(I21*J21,0)</f>
        <v>0</v>
      </c>
      <c r="L21"/>
      <c r="M21"/>
      <c r="N21"/>
      <c r="O21" s="1"/>
      <c r="P21" s="49"/>
      <c r="R21" s="1"/>
      <c r="S21" s="49"/>
      <c r="T21" s="49"/>
      <c r="U21" s="250" t="s">
        <v>172</v>
      </c>
      <c r="V21" s="255">
        <f>VLOOKUP($D$5,Hidden!$A:$AC,7,FALSE)</f>
        <v>0</v>
      </c>
      <c r="W21" s="255">
        <f>VLOOKUP($D$5,Hidden!$A:$AC,19,FALSE)</f>
        <v>2</v>
      </c>
      <c r="AN21" s="254" t="s">
        <v>173</v>
      </c>
    </row>
    <row r="22" spans="1:55" x14ac:dyDescent="0.25">
      <c r="A22" s="206"/>
      <c r="B22" s="496"/>
      <c r="C22" s="496"/>
      <c r="D22" s="369"/>
      <c r="E22" s="369" t="s">
        <v>147</v>
      </c>
      <c r="F22" s="369" t="str">
        <f>IFERROR(IF(E22="","",VLOOKUP(E22,'Mapped COA'!A:G,2,0)),IF(E22="","",VLOOKUP(E22,COA!A:G,2,0)))</f>
        <v>Ad Valorem Property Taxes</v>
      </c>
      <c r="G22" s="214"/>
      <c r="H22" s="428"/>
      <c r="I22" s="429">
        <f t="shared" si="3"/>
        <v>0</v>
      </c>
      <c r="J22" s="369"/>
      <c r="K22" s="4">
        <f t="shared" si="4"/>
        <v>0</v>
      </c>
      <c r="L22"/>
      <c r="M22"/>
      <c r="N22"/>
      <c r="O22" s="1"/>
      <c r="P22" s="49"/>
      <c r="R22" s="1"/>
      <c r="S22" s="49"/>
      <c r="T22" s="49"/>
      <c r="U22" s="250" t="s">
        <v>174</v>
      </c>
      <c r="V22" s="255">
        <f>VLOOKUP($D$5,Hidden!$A:$AC,8,FALSE)</f>
        <v>0</v>
      </c>
      <c r="W22" s="255">
        <f>VLOOKUP($D$5,Hidden!$A:$AC,20,FALSE)</f>
        <v>3</v>
      </c>
      <c r="AN22" s="254" t="s">
        <v>175</v>
      </c>
    </row>
    <row r="23" spans="1:55" x14ac:dyDescent="0.25">
      <c r="A23" s="206"/>
      <c r="B23" s="496"/>
      <c r="C23" s="496"/>
      <c r="D23" s="369"/>
      <c r="E23" s="369" t="s">
        <v>150</v>
      </c>
      <c r="F23" s="369" t="str">
        <f>IFERROR(IF(E23="","",VLOOKUP(E23,'Mapped COA'!A:G,2,0)),IF(E23="","",VLOOKUP(E23,COA!A:G,2,0)))</f>
        <v>Personal Property Taxes</v>
      </c>
      <c r="G23" s="214"/>
      <c r="H23" s="428"/>
      <c r="I23" s="429">
        <f t="shared" si="3"/>
        <v>0</v>
      </c>
      <c r="J23" s="369"/>
      <c r="K23" s="4">
        <f t="shared" si="4"/>
        <v>0</v>
      </c>
      <c r="L23"/>
      <c r="M23"/>
      <c r="N23"/>
      <c r="O23" s="1"/>
      <c r="P23" s="49"/>
      <c r="R23" s="1"/>
      <c r="S23" s="49"/>
      <c r="T23" s="49"/>
      <c r="U23" s="250" t="s">
        <v>176</v>
      </c>
      <c r="V23" s="255">
        <f>VLOOKUP($D$5,Hidden!$A:$AC,9,FALSE)</f>
        <v>0</v>
      </c>
      <c r="W23" s="255">
        <f>VLOOKUP($D$5,Hidden!$A:$AC,21,FALSE)</f>
        <v>4</v>
      </c>
      <c r="AN23" s="254" t="s">
        <v>177</v>
      </c>
    </row>
    <row r="24" spans="1:55" x14ac:dyDescent="0.25">
      <c r="A24" s="206"/>
      <c r="B24" s="496"/>
      <c r="C24" s="496"/>
      <c r="D24" s="369"/>
      <c r="E24" s="369" t="s">
        <v>147</v>
      </c>
      <c r="F24" s="369" t="str">
        <f>IFERROR(IF(E24="","",VLOOKUP(E24,'Mapped COA'!A:G,2,0)),IF(E24="","",VLOOKUP(E24,COA!A:G,2,0)))</f>
        <v>Ad Valorem Property Taxes</v>
      </c>
      <c r="G24" s="214"/>
      <c r="H24" s="428"/>
      <c r="I24" s="429">
        <f t="shared" si="3"/>
        <v>0</v>
      </c>
      <c r="J24" s="369"/>
      <c r="K24" s="4">
        <f t="shared" ref="K24" si="5">IFERROR(I24*J24,0)</f>
        <v>0</v>
      </c>
      <c r="L24"/>
      <c r="M24"/>
      <c r="N24"/>
      <c r="O24" s="1"/>
      <c r="P24" s="49"/>
      <c r="R24" s="1"/>
      <c r="S24" s="49"/>
      <c r="T24" s="49"/>
      <c r="U24" s="250" t="s">
        <v>178</v>
      </c>
      <c r="V24" s="255">
        <f>VLOOKUP($D$5,Hidden!$A:$AC,10,FALSE)</f>
        <v>0</v>
      </c>
      <c r="W24" s="255">
        <f>VLOOKUP($D$5,Hidden!$A:$AC,22,FALSE)</f>
        <v>5</v>
      </c>
      <c r="AN24" s="254" t="s">
        <v>179</v>
      </c>
    </row>
    <row r="25" spans="1:55" x14ac:dyDescent="0.25">
      <c r="A25" s="206"/>
      <c r="B25" s="496"/>
      <c r="C25" s="496"/>
      <c r="D25" s="369"/>
      <c r="E25" s="369"/>
      <c r="F25" s="369" t="str">
        <f>IFERROR(IF(E25="","",VLOOKUP(E25,'Mapped COA'!A:G,2,0)),IF(E25="","",VLOOKUP(E25,COA!A:G,2,0)))</f>
        <v/>
      </c>
      <c r="G25" s="214"/>
      <c r="H25" s="428"/>
      <c r="I25" s="429">
        <f t="shared" si="3"/>
        <v>0</v>
      </c>
      <c r="J25" s="369"/>
      <c r="K25" s="4">
        <f>IFERROR(I25*J25,0)</f>
        <v>0</v>
      </c>
      <c r="L25"/>
      <c r="M25"/>
      <c r="N25"/>
      <c r="O25" s="1"/>
      <c r="P25" s="49"/>
      <c r="R25" s="1"/>
      <c r="S25" s="49"/>
      <c r="T25" s="49"/>
      <c r="U25" s="250" t="s">
        <v>180</v>
      </c>
      <c r="V25" s="255">
        <f>VLOOKUP($D$5,Hidden!$A:$AC,11,FALSE)</f>
        <v>0</v>
      </c>
      <c r="W25" s="255">
        <f>VLOOKUP($D$5,Hidden!$A:$AC,23,FALSE)</f>
        <v>0</v>
      </c>
      <c r="AN25" s="254" t="s">
        <v>181</v>
      </c>
    </row>
    <row r="26" spans="1:55" x14ac:dyDescent="0.25">
      <c r="E26" s="430"/>
      <c r="F26" s="430"/>
      <c r="G26" s="430"/>
      <c r="I26" s="430"/>
      <c r="J26" s="430" t="s">
        <v>122</v>
      </c>
      <c r="K26" s="50"/>
      <c r="L26"/>
      <c r="M26"/>
      <c r="U26" s="250" t="s">
        <v>182</v>
      </c>
      <c r="V26" s="255">
        <f>VLOOKUP($D$5,Hidden!$A:$AC,12,FALSE)</f>
        <v>0</v>
      </c>
      <c r="W26" s="255">
        <f>VLOOKUP($D$5,Hidden!$A:$AC,24,FALSE)</f>
        <v>1</v>
      </c>
      <c r="AN26" s="254" t="s">
        <v>183</v>
      </c>
    </row>
    <row r="27" spans="1:55" x14ac:dyDescent="0.25">
      <c r="F27" s="200"/>
      <c r="G27" s="200"/>
      <c r="H27" s="4">
        <f>SUM(H20:H25)</f>
        <v>1001780.51</v>
      </c>
      <c r="I27" s="4">
        <f>SUM(I20:I25)</f>
        <v>166963.42000000001</v>
      </c>
      <c r="J27" s="4"/>
      <c r="K27" s="4">
        <f>SUM(K20:K26)</f>
        <v>166963.42000000001</v>
      </c>
      <c r="L27"/>
      <c r="M27"/>
      <c r="U27" s="250" t="s">
        <v>184</v>
      </c>
      <c r="V27" s="255">
        <f>VLOOKUP($D$5,Hidden!$A:$AC,13,FALSE)</f>
        <v>4</v>
      </c>
      <c r="W27" s="255">
        <f>VLOOKUP($D$5,Hidden!$A:$AC,25,FALSE)</f>
        <v>0</v>
      </c>
      <c r="AN27" s="254" t="s">
        <v>185</v>
      </c>
    </row>
    <row r="28" spans="1:55" x14ac:dyDescent="0.25">
      <c r="U28" s="250" t="s">
        <v>186</v>
      </c>
      <c r="V28" s="255">
        <f>VLOOKUP($D$5,Hidden!$A:$AC,14,FALSE)</f>
        <v>3</v>
      </c>
      <c r="W28" s="255">
        <f>VLOOKUP($D$5,Hidden!$A:$AC,26,FALSE)</f>
        <v>0</v>
      </c>
      <c r="AN28" s="254" t="s">
        <v>187</v>
      </c>
    </row>
    <row r="29" spans="1:55" x14ac:dyDescent="0.25">
      <c r="A29"/>
      <c r="B29" s="432" t="s">
        <v>188</v>
      </c>
      <c r="C29" s="432" t="s">
        <v>189</v>
      </c>
      <c r="D29" s="432" t="s">
        <v>190</v>
      </c>
      <c r="E29" s="432" t="s">
        <v>191</v>
      </c>
      <c r="F29" s="432" t="s">
        <v>192</v>
      </c>
      <c r="G29" s="433" t="s">
        <v>193</v>
      </c>
      <c r="H29" s="433" t="s">
        <v>194</v>
      </c>
      <c r="I29" s="433" t="s">
        <v>195</v>
      </c>
      <c r="J29" s="433" t="s">
        <v>196</v>
      </c>
      <c r="K29" s="432" t="s">
        <v>194</v>
      </c>
      <c r="L29" s="435"/>
      <c r="M29"/>
      <c r="N29" s="215" t="s">
        <v>197</v>
      </c>
      <c r="O29" s="216" t="s">
        <v>198</v>
      </c>
      <c r="P29" s="216" t="s">
        <v>194</v>
      </c>
      <c r="Q29" s="216" t="s">
        <v>199</v>
      </c>
      <c r="R29" s="216" t="s">
        <v>200</v>
      </c>
      <c r="S29" s="215" t="s">
        <v>194</v>
      </c>
      <c r="U29" s="250" t="s">
        <v>201</v>
      </c>
      <c r="V29" s="255">
        <f>VLOOKUP($D$5,Hidden!$A:$AC,15,FALSE)</f>
        <v>2</v>
      </c>
      <c r="W29" s="255">
        <f>VLOOKUP($D$5,Hidden!$A:$AC,27,FALSE)</f>
        <v>0</v>
      </c>
      <c r="AN29" s="254" t="s">
        <v>202</v>
      </c>
    </row>
    <row r="30" spans="1:55" x14ac:dyDescent="0.25">
      <c r="A30"/>
      <c r="B30" s="508" t="s">
        <v>203</v>
      </c>
      <c r="C30" s="509" t="s">
        <v>204</v>
      </c>
      <c r="D30" s="508" t="s">
        <v>205</v>
      </c>
      <c r="E30" s="508" t="s">
        <v>206</v>
      </c>
      <c r="F30" s="510">
        <v>402055.04</v>
      </c>
      <c r="G30" s="511">
        <v>46157</v>
      </c>
      <c r="H30" s="511">
        <v>46139</v>
      </c>
      <c r="I30" s="510">
        <v>402055.04</v>
      </c>
      <c r="J30" s="511">
        <v>46310</v>
      </c>
      <c r="K30" s="434"/>
      <c r="L30" s="436"/>
      <c r="M30"/>
      <c r="N30" s="217"/>
      <c r="O30" s="256"/>
      <c r="P30" s="218"/>
      <c r="Q30" s="217"/>
      <c r="R30" s="256"/>
      <c r="S30" s="218"/>
      <c r="U30" s="250" t="s">
        <v>207</v>
      </c>
      <c r="V30" s="255">
        <f>VLOOKUP($D$5,Hidden!$A:$AC,16,FALSE)</f>
        <v>1</v>
      </c>
      <c r="W30" s="255">
        <f>VLOOKUP($D$5,Hidden!$A:$AC,28,FALSE)</f>
        <v>0</v>
      </c>
      <c r="AN30" s="254" t="s">
        <v>208</v>
      </c>
    </row>
    <row r="31" spans="1:55" x14ac:dyDescent="0.25">
      <c r="A31"/>
      <c r="B31" s="508" t="s">
        <v>203</v>
      </c>
      <c r="C31" s="509" t="s">
        <v>204</v>
      </c>
      <c r="D31" s="508" t="s">
        <v>209</v>
      </c>
      <c r="E31" s="508" t="s">
        <v>206</v>
      </c>
      <c r="F31" s="512">
        <v>376537.84</v>
      </c>
      <c r="G31" s="511">
        <v>46157</v>
      </c>
      <c r="H31" s="511">
        <v>46139</v>
      </c>
      <c r="I31" s="512">
        <v>376537.84</v>
      </c>
      <c r="J31" s="511">
        <v>46310</v>
      </c>
      <c r="K31" s="511"/>
      <c r="L31" s="437"/>
      <c r="M31"/>
      <c r="N31" s="217"/>
      <c r="O31" s="257"/>
      <c r="P31" s="218"/>
      <c r="Q31" s="217"/>
      <c r="R31" s="257"/>
      <c r="S31" s="218"/>
      <c r="U31" s="251" t="s">
        <v>210</v>
      </c>
      <c r="V31" s="255">
        <f>VLOOKUP($D$5,Hidden!$A:$AC,17,FALSE)</f>
        <v>0</v>
      </c>
      <c r="W31" s="255">
        <f>VLOOKUP($D$5,Hidden!$A:$AC,29,FALSE)</f>
        <v>0</v>
      </c>
      <c r="AN31" s="254" t="s">
        <v>211</v>
      </c>
    </row>
    <row r="32" spans="1:55" x14ac:dyDescent="0.25">
      <c r="A32"/>
      <c r="B32" s="508" t="s">
        <v>203</v>
      </c>
      <c r="C32" s="509" t="s">
        <v>204</v>
      </c>
      <c r="D32" s="508" t="s">
        <v>212</v>
      </c>
      <c r="E32" s="508" t="s">
        <v>206</v>
      </c>
      <c r="F32" s="512">
        <v>215972.33</v>
      </c>
      <c r="G32" s="511">
        <v>46157</v>
      </c>
      <c r="H32" s="511">
        <v>46139</v>
      </c>
      <c r="I32" s="512">
        <v>215972.33</v>
      </c>
      <c r="J32" s="511">
        <v>46310</v>
      </c>
      <c r="K32" s="511"/>
      <c r="L32" s="437"/>
      <c r="M32"/>
      <c r="N32" s="217"/>
      <c r="O32" s="257"/>
      <c r="P32" s="218"/>
      <c r="Q32" s="217"/>
      <c r="R32" s="257"/>
      <c r="S32" s="218"/>
      <c r="U32" s="1" t="s">
        <v>213</v>
      </c>
      <c r="AN32" s="254" t="s">
        <v>214</v>
      </c>
    </row>
    <row r="33" spans="1:55" x14ac:dyDescent="0.25">
      <c r="A33"/>
      <c r="B33" s="508" t="s">
        <v>203</v>
      </c>
      <c r="C33" s="509" t="s">
        <v>204</v>
      </c>
      <c r="D33" s="513" t="s">
        <v>215</v>
      </c>
      <c r="E33" s="508" t="s">
        <v>206</v>
      </c>
      <c r="F33" s="514">
        <v>2490.3200000000002</v>
      </c>
      <c r="G33" s="511">
        <v>46157</v>
      </c>
      <c r="H33" s="511">
        <v>46139</v>
      </c>
      <c r="I33" s="514">
        <v>2490.3200000000002</v>
      </c>
      <c r="J33" s="511">
        <v>46310</v>
      </c>
      <c r="K33" s="511"/>
      <c r="L33" s="437"/>
      <c r="M33"/>
      <c r="N33" s="217"/>
      <c r="O33" s="257"/>
      <c r="P33" s="218"/>
      <c r="Q33" s="217"/>
      <c r="R33" s="257"/>
      <c r="S33" s="218"/>
      <c r="U33" s="1" t="s">
        <v>216</v>
      </c>
      <c r="AN33" s="254" t="s">
        <v>217</v>
      </c>
    </row>
    <row r="34" spans="1:55" x14ac:dyDescent="0.25">
      <c r="A34"/>
      <c r="B34" s="508" t="s">
        <v>203</v>
      </c>
      <c r="C34" s="509" t="s">
        <v>204</v>
      </c>
      <c r="D34" s="513" t="s">
        <v>218</v>
      </c>
      <c r="E34" s="508" t="s">
        <v>206</v>
      </c>
      <c r="F34" s="514">
        <v>4724.9799999999996</v>
      </c>
      <c r="G34" s="511">
        <v>46157</v>
      </c>
      <c r="H34" s="511">
        <v>46139</v>
      </c>
      <c r="I34" s="514">
        <v>4724.9799999999996</v>
      </c>
      <c r="J34" s="511">
        <v>46310</v>
      </c>
      <c r="K34" s="511"/>
      <c r="L34" s="437"/>
      <c r="M34"/>
      <c r="N34" s="505"/>
      <c r="O34" s="506"/>
      <c r="P34" s="507"/>
      <c r="Q34" s="505"/>
      <c r="R34" s="506"/>
      <c r="S34" s="507"/>
    </row>
    <row r="35" spans="1:55" x14ac:dyDescent="0.25">
      <c r="AN35" s="254" t="s">
        <v>219</v>
      </c>
      <c r="AO35" s="254" t="s">
        <v>219</v>
      </c>
      <c r="BB35" s="1"/>
      <c r="BC35" s="49"/>
    </row>
    <row r="36" spans="1:55" x14ac:dyDescent="0.25">
      <c r="AN36" s="254" t="s">
        <v>220</v>
      </c>
      <c r="AO36" s="254" t="s">
        <v>220</v>
      </c>
      <c r="BB36" s="1"/>
      <c r="BC36" s="49"/>
    </row>
    <row r="37" spans="1:55" x14ac:dyDescent="0.25">
      <c r="AN37" s="254" t="s">
        <v>221</v>
      </c>
      <c r="AO37" s="254" t="s">
        <v>221</v>
      </c>
      <c r="BB37" s="1"/>
      <c r="BC37" s="49"/>
    </row>
    <row r="38" spans="1:55" x14ac:dyDescent="0.25">
      <c r="AN38" s="254" t="s">
        <v>222</v>
      </c>
      <c r="AO38" s="254" t="s">
        <v>222</v>
      </c>
      <c r="BB38" s="1"/>
      <c r="BC38" s="49"/>
    </row>
    <row r="39" spans="1:55" x14ac:dyDescent="0.25">
      <c r="AN39" s="254" t="s">
        <v>223</v>
      </c>
    </row>
    <row r="40" spans="1:55" x14ac:dyDescent="0.25">
      <c r="AN40" s="254" t="s">
        <v>224</v>
      </c>
    </row>
    <row r="41" spans="1:55" x14ac:dyDescent="0.25">
      <c r="AN41" s="254" t="s">
        <v>225</v>
      </c>
    </row>
    <row r="42" spans="1:55" x14ac:dyDescent="0.25">
      <c r="AN42" s="254" t="s">
        <v>226</v>
      </c>
    </row>
    <row r="43" spans="1:55" x14ac:dyDescent="0.25">
      <c r="AN43" s="254" t="s">
        <v>227</v>
      </c>
    </row>
    <row r="44" spans="1:55" x14ac:dyDescent="0.25">
      <c r="AN44" s="254" t="s">
        <v>228</v>
      </c>
    </row>
    <row r="45" spans="1:55" x14ac:dyDescent="0.25">
      <c r="AN45" s="254" t="s">
        <v>229</v>
      </c>
    </row>
    <row r="46" spans="1:55" x14ac:dyDescent="0.25">
      <c r="AN46" s="254" t="s">
        <v>230</v>
      </c>
    </row>
    <row r="47" spans="1:55" x14ac:dyDescent="0.25">
      <c r="AN47" s="254" t="s">
        <v>231</v>
      </c>
    </row>
    <row r="48" spans="1:55" x14ac:dyDescent="0.25">
      <c r="AN48" s="254" t="s">
        <v>232</v>
      </c>
    </row>
    <row r="49" spans="40:40" x14ac:dyDescent="0.25">
      <c r="AN49" s="254" t="s">
        <v>233</v>
      </c>
    </row>
    <row r="50" spans="40:40" x14ac:dyDescent="0.25">
      <c r="AN50" s="254" t="s">
        <v>234</v>
      </c>
    </row>
    <row r="51" spans="40:40" x14ac:dyDescent="0.25">
      <c r="AN51" s="254" t="s">
        <v>235</v>
      </c>
    </row>
  </sheetData>
  <mergeCells count="5">
    <mergeCell ref="A1:J1"/>
    <mergeCell ref="A2:J2"/>
    <mergeCell ref="A3:J3"/>
    <mergeCell ref="U2:U6"/>
    <mergeCell ref="U8:U12"/>
  </mergeCells>
  <phoneticPr fontId="47" type="noConversion"/>
  <conditionalFormatting sqref="G13:G14 H9:I9 K9 H10:K14 F9:F14 F20:F25">
    <cfRule type="expression" dxfId="80" priority="39">
      <formula>INDIRECT("A"&amp;ROW()) = "Yes"</formula>
    </cfRule>
  </conditionalFormatting>
  <conditionalFormatting sqref="K20:K25 I20:I25 G24:G25 I24:K25">
    <cfRule type="expression" dxfId="79" priority="38">
      <formula>INDIRECT("A"&amp;ROW()) = "Yes"</formula>
    </cfRule>
  </conditionalFormatting>
  <conditionalFormatting sqref="G9:G14">
    <cfRule type="expression" dxfId="78" priority="37">
      <formula>INDIRECT("A"&amp;ROW()) = "Yes"</formula>
    </cfRule>
  </conditionalFormatting>
  <conditionalFormatting sqref="G21:G25">
    <cfRule type="expression" dxfId="77" priority="36">
      <formula>INDIRECT("A"&amp;ROW()) = "Yes"</formula>
    </cfRule>
  </conditionalFormatting>
  <conditionalFormatting sqref="J20:J25">
    <cfRule type="expression" dxfId="76" priority="33">
      <formula>INDIRECT("A"&amp;ROW()) = "Yes"</formula>
    </cfRule>
  </conditionalFormatting>
  <conditionalFormatting sqref="D18">
    <cfRule type="expression" dxfId="75" priority="19">
      <formula>INDIRECT("A"&amp;ROW()) = "Yes"</formula>
    </cfRule>
  </conditionalFormatting>
  <conditionalFormatting sqref="D7">
    <cfRule type="expression" dxfId="74" priority="18">
      <formula>INDIRECT("A"&amp;ROW()) = "Yes"</formula>
    </cfRule>
  </conditionalFormatting>
  <conditionalFormatting sqref="E9:E14">
    <cfRule type="expression" dxfId="73" priority="17">
      <formula>INDIRECT("A"&amp;ROW()) = "Yes"</formula>
    </cfRule>
  </conditionalFormatting>
  <conditionalFormatting sqref="B9:C14">
    <cfRule type="expression" dxfId="72" priority="16">
      <formula>INDIRECT("A"&amp;ROW()) = "Yes"</formula>
    </cfRule>
  </conditionalFormatting>
  <conditionalFormatting sqref="D9:D14">
    <cfRule type="expression" dxfId="71" priority="15">
      <formula>INDIRECT("A"&amp;ROW()) = "Yes"</formula>
    </cfRule>
  </conditionalFormatting>
  <conditionalFormatting sqref="G21:G25">
    <cfRule type="expression" dxfId="70" priority="14">
      <formula>INDIRECT("A"&amp;ROW()) = "Yes"</formula>
    </cfRule>
  </conditionalFormatting>
  <conditionalFormatting sqref="G21:G25">
    <cfRule type="expression" dxfId="69" priority="13">
      <formula>INDIRECT("A"&amp;ROW()) = "Yes"</formula>
    </cfRule>
  </conditionalFormatting>
  <conditionalFormatting sqref="E20:E25">
    <cfRule type="expression" dxfId="68" priority="12">
      <formula>INDIRECT("A"&amp;ROW()) = "Yes"</formula>
    </cfRule>
  </conditionalFormatting>
  <conditionalFormatting sqref="B21:C25">
    <cfRule type="expression" dxfId="67" priority="11">
      <formula>INDIRECT("A"&amp;ROW()) = "Yes"</formula>
    </cfRule>
  </conditionalFormatting>
  <conditionalFormatting sqref="H20:H25">
    <cfRule type="expression" dxfId="66" priority="8">
      <formula>INDIRECT("A"&amp;ROW()) = "Yes"</formula>
    </cfRule>
  </conditionalFormatting>
  <conditionalFormatting sqref="A9:A14">
    <cfRule type="expression" dxfId="65" priority="7">
      <formula>INDIRECT("A"&amp;ROW()) = "Yes"</formula>
    </cfRule>
  </conditionalFormatting>
  <conditionalFormatting sqref="A21:A25">
    <cfRule type="expression" dxfId="64" priority="6">
      <formula>INDIRECT("A"&amp;ROW()) = "Yes"</formula>
    </cfRule>
  </conditionalFormatting>
  <conditionalFormatting sqref="D20:D25">
    <cfRule type="expression" dxfId="63" priority="5">
      <formula>INDIRECT("A"&amp;ROW()) = "Yes"</formula>
    </cfRule>
  </conditionalFormatting>
  <conditionalFormatting sqref="J9:J14">
    <cfRule type="expression" dxfId="62" priority="4">
      <formula>INDIRECT("A"&amp;ROW()) = "Yes"</formula>
    </cfRule>
  </conditionalFormatting>
  <conditionalFormatting sqref="G20">
    <cfRule type="expression" dxfId="61" priority="3">
      <formula>INDIRECT("A"&amp;ROW()) = "Yes"</formula>
    </cfRule>
  </conditionalFormatting>
  <conditionalFormatting sqref="B20:C20">
    <cfRule type="expression" dxfId="60" priority="2">
      <formula>INDIRECT("A"&amp;ROW()) = "Yes"</formula>
    </cfRule>
  </conditionalFormatting>
  <conditionalFormatting sqref="A20">
    <cfRule type="expression" dxfId="59" priority="1">
      <formula>INDIRECT("A"&amp;ROW()) = "Yes"</formula>
    </cfRule>
  </conditionalFormatting>
  <dataValidations count="1">
    <dataValidation type="list" allowBlank="1" showInputMessage="1" showErrorMessage="1" sqref="D5" xr:uid="{D7F7F5A7-4B0B-4B80-B10F-F603E8DE81E8}">
      <formula1>$AN$1:$AN$51</formula1>
    </dataValidation>
  </dataValidations>
  <hyperlinks>
    <hyperlink ref="C30" r:id="rId1" display="https://www.hennepin.us/PropertyTaxPayments" xr:uid="{99DCE1A4-7D39-4890-81ED-7CFB5727B606}"/>
    <hyperlink ref="C31:C34" r:id="rId2" display="https://www.hennepin.us/PropertyTaxPayments" xr:uid="{FFCB05A4-6A91-4675-BF93-FBC7BA437849}"/>
  </hyperlinks>
  <printOptions horizontalCentered="1"/>
  <pageMargins left="0.7" right="0.7" top="0.75" bottom="0.75" header="0.3" footer="0.3"/>
  <pageSetup scale="58" fitToHeight="0" orientation="landscape" r:id="rId3"/>
  <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B6D809-45D6-4666-BE0F-8871CBB7B806}">
          <x14:formula1>
            <xm:f>'Prepaid Other'!$M$4:$M$5</xm:f>
          </x14:formula1>
          <xm:sqref>A20:A25 A9:A14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50265-7F51-4326-AB59-29B47F136933}">
  <sheetPr codeName="Sheet6">
    <pageSetUpPr autoPageBreaks="0" fitToPage="1"/>
  </sheetPr>
  <dimension ref="A1:DV35"/>
  <sheetViews>
    <sheetView zoomScale="80" zoomScaleNormal="80" workbookViewId="0">
      <selection activeCell="A9" sqref="A9"/>
    </sheetView>
  </sheetViews>
  <sheetFormatPr defaultColWidth="9.140625" defaultRowHeight="15" x14ac:dyDescent="0.25"/>
  <cols>
    <col min="1" max="1" width="15.42578125" style="1" customWidth="1"/>
    <col min="2" max="3" width="28.42578125" style="1" customWidth="1"/>
    <col min="4" max="4" width="13.140625" style="1" customWidth="1"/>
    <col min="5" max="5" width="18.5703125" style="1" customWidth="1"/>
    <col min="6" max="6" width="16.42578125" style="1" customWidth="1"/>
    <col min="7" max="7" width="19" style="1" customWidth="1"/>
    <col min="8" max="9" width="18.5703125" style="1" customWidth="1"/>
    <col min="10" max="10" width="3.140625" style="1" customWidth="1"/>
    <col min="11" max="11" width="18.5703125" style="1" customWidth="1"/>
    <col min="12" max="12" width="16.5703125" style="1" customWidth="1"/>
    <col min="13" max="13" width="13.140625" style="1" customWidth="1"/>
    <col min="14" max="14" width="19.5703125" style="1" bestFit="1" customWidth="1"/>
    <col min="15" max="15" width="18.85546875" style="1" bestFit="1" customWidth="1"/>
    <col min="16" max="16" width="16.5703125" style="1" bestFit="1" customWidth="1"/>
    <col min="17" max="17" width="9.5703125" style="1" customWidth="1"/>
    <col min="18" max="19" width="8.5703125" style="1" customWidth="1"/>
    <col min="20" max="20" width="6.5703125" style="1" customWidth="1"/>
    <col min="21" max="22" width="8.5703125" style="1" customWidth="1"/>
    <col min="23" max="23" width="7.85546875" style="1" customWidth="1"/>
    <col min="24" max="24" width="25.42578125" style="1" customWidth="1"/>
    <col min="25" max="29" width="18.85546875" style="1" customWidth="1"/>
    <col min="30" max="30" width="6.5703125" style="1" customWidth="1"/>
    <col min="31" max="31" width="27.42578125" style="1" customWidth="1"/>
    <col min="32" max="36" width="18.85546875" style="1" customWidth="1"/>
    <col min="37" max="37" width="7.42578125" style="1" customWidth="1"/>
    <col min="38" max="38" width="26.42578125" style="1" customWidth="1"/>
    <col min="39" max="43" width="18.85546875" style="1" customWidth="1"/>
    <col min="44" max="44" width="7.42578125" style="1" customWidth="1"/>
    <col min="45" max="45" width="24.42578125" style="1" customWidth="1"/>
    <col min="46" max="50" width="18.85546875" style="1" customWidth="1"/>
    <col min="51" max="51" width="8" style="1" customWidth="1"/>
    <col min="52" max="52" width="25" style="1" customWidth="1"/>
    <col min="53" max="57" width="18.85546875" style="1" customWidth="1"/>
    <col min="58" max="58" width="2.5703125" style="1" customWidth="1"/>
    <col min="59" max="59" width="8.5703125" style="49" customWidth="1"/>
    <col min="60" max="60" width="18.42578125" style="1" bestFit="1" customWidth="1"/>
    <col min="61" max="61" width="18.85546875" style="1" bestFit="1" customWidth="1"/>
    <col min="62" max="62" width="15.5703125" style="1" customWidth="1"/>
    <col min="63" max="63" width="14.85546875" style="1" customWidth="1"/>
    <col min="64" max="64" width="13.5703125" style="1" customWidth="1"/>
    <col min="65" max="66" width="9.140625" style="1" customWidth="1"/>
    <col min="67" max="67" width="10.5703125" style="1" customWidth="1"/>
    <col min="68" max="73" width="9.140625" style="1" customWidth="1"/>
    <col min="74" max="74" width="9.140625" style="1" hidden="1" customWidth="1"/>
    <col min="75" max="75" width="13.42578125" style="1" hidden="1" customWidth="1"/>
    <col min="76" max="77" width="14.42578125" style="1" hidden="1" customWidth="1"/>
    <col min="78" max="78" width="13.5703125" style="1" hidden="1" customWidth="1"/>
    <col min="79" max="79" width="14" style="1" hidden="1" customWidth="1"/>
    <col min="80" max="80" width="15" style="1" hidden="1" customWidth="1"/>
    <col min="81" max="81" width="9.140625" style="1" hidden="1" customWidth="1"/>
    <col min="82" max="82" width="13.5703125" style="1" hidden="1" customWidth="1"/>
    <col min="83" max="83" width="16.42578125" style="1" hidden="1" customWidth="1"/>
    <col min="84" max="88" width="9.140625" style="1" hidden="1" customWidth="1"/>
    <col min="89" max="89" width="13.42578125" style="1" hidden="1" customWidth="1"/>
    <col min="90" max="90" width="15.5703125" style="1" hidden="1" customWidth="1"/>
    <col min="91" max="95" width="9.140625" style="1" hidden="1" customWidth="1"/>
    <col min="96" max="96" width="14.42578125" style="1" hidden="1" customWidth="1"/>
    <col min="97" max="97" width="15.42578125" style="1" hidden="1" customWidth="1"/>
    <col min="98" max="102" width="9.140625" style="1" hidden="1" customWidth="1"/>
    <col min="103" max="103" width="13.42578125" style="1" hidden="1" customWidth="1"/>
    <col min="104" max="104" width="14" style="1" hidden="1" customWidth="1"/>
    <col min="105" max="109" width="9.140625" style="1" hidden="1" customWidth="1"/>
    <col min="110" max="110" width="14.5703125" style="1" hidden="1" customWidth="1"/>
    <col min="111" max="111" width="16.5703125" style="1" hidden="1" customWidth="1"/>
    <col min="112" max="116" width="9.140625" style="1" hidden="1" customWidth="1"/>
    <col min="117" max="117" width="13.42578125" style="1" hidden="1" customWidth="1"/>
    <col min="118" max="118" width="12" style="1" hidden="1" customWidth="1"/>
    <col min="119" max="123" width="9.140625" style="1" hidden="1" customWidth="1"/>
    <col min="124" max="124" width="15" style="1" hidden="1" customWidth="1"/>
    <col min="125" max="125" width="13.140625" style="1" hidden="1" customWidth="1"/>
    <col min="126" max="126" width="9.140625" style="1" hidden="1" customWidth="1"/>
    <col min="127" max="16384" width="9.140625" style="1"/>
  </cols>
  <sheetData>
    <row r="1" spans="1:82" ht="21.75" customHeight="1" x14ac:dyDescent="0.3">
      <c r="A1" s="559" t="str">
        <f>'Input-Instructions'!B3</f>
        <v>610 West</v>
      </c>
      <c r="B1" s="559"/>
      <c r="C1" s="559"/>
      <c r="D1" s="559"/>
      <c r="E1" s="559"/>
      <c r="F1" s="559"/>
      <c r="G1" s="559"/>
      <c r="H1" s="559"/>
      <c r="I1" s="559"/>
      <c r="J1" s="559"/>
      <c r="K1" s="559"/>
      <c r="L1" s="559"/>
      <c r="M1" s="559"/>
      <c r="N1" s="371"/>
      <c r="O1" s="371"/>
      <c r="P1" s="195"/>
      <c r="Q1" s="195"/>
      <c r="T1" s="195"/>
      <c r="U1" s="195"/>
      <c r="V1" s="195"/>
      <c r="BG1" s="210"/>
      <c r="BO1" s="2"/>
      <c r="BW1" s="2">
        <v>43830</v>
      </c>
      <c r="CA1" s="2"/>
      <c r="CD1" s="2"/>
    </row>
    <row r="2" spans="1:82" ht="21" customHeight="1" x14ac:dyDescent="0.3">
      <c r="A2" s="560" t="s">
        <v>236</v>
      </c>
      <c r="B2" s="560"/>
      <c r="C2" s="560"/>
      <c r="D2" s="560"/>
      <c r="E2" s="560"/>
      <c r="F2" s="560"/>
      <c r="G2" s="560"/>
      <c r="H2" s="560"/>
      <c r="I2" s="560"/>
      <c r="J2" s="560"/>
      <c r="K2" s="560"/>
      <c r="L2" s="560"/>
      <c r="M2" s="560"/>
      <c r="N2" s="372"/>
      <c r="O2" s="372"/>
      <c r="P2" s="196"/>
      <c r="Q2" s="196"/>
      <c r="T2" s="196"/>
      <c r="U2" s="196"/>
      <c r="V2" s="196"/>
      <c r="W2" s="196"/>
      <c r="X2" s="196"/>
      <c r="Y2" s="196"/>
      <c r="Z2" s="196"/>
      <c r="AA2" s="196"/>
      <c r="AB2" s="196"/>
      <c r="AC2" s="196"/>
      <c r="AD2" s="196"/>
      <c r="AE2" s="196"/>
      <c r="AF2" s="196"/>
      <c r="AG2" s="196"/>
      <c r="AH2" s="196"/>
      <c r="AI2" s="196"/>
      <c r="AJ2" s="196"/>
      <c r="AK2" s="196"/>
      <c r="AL2" s="196"/>
      <c r="AM2" s="196"/>
      <c r="AN2" s="196"/>
      <c r="AO2" s="196"/>
      <c r="AP2" s="196"/>
      <c r="AQ2" s="196"/>
      <c r="AR2" s="196"/>
      <c r="AS2" s="196"/>
      <c r="AT2" s="196"/>
      <c r="AU2" s="196"/>
      <c r="AV2" s="196"/>
      <c r="AW2" s="196"/>
      <c r="AX2" s="196"/>
      <c r="AY2" s="196"/>
      <c r="AZ2" s="196"/>
      <c r="BA2" s="196"/>
      <c r="BB2" s="196"/>
      <c r="BC2" s="196"/>
      <c r="BD2" s="196"/>
      <c r="BE2" s="196"/>
      <c r="BF2" s="196"/>
      <c r="BG2" s="211"/>
      <c r="BW2" s="2">
        <v>43831</v>
      </c>
      <c r="CA2" s="2"/>
      <c r="CD2" s="2"/>
    </row>
    <row r="3" spans="1:82" ht="21.75" customHeight="1" x14ac:dyDescent="0.3">
      <c r="A3" s="561" t="str">
        <f>TEXT('Input-Instructions'!$B$6,"MMMM YYYY")</f>
        <v>July 2026</v>
      </c>
      <c r="B3" s="561"/>
      <c r="C3" s="561"/>
      <c r="D3" s="561"/>
      <c r="E3" s="561"/>
      <c r="F3" s="561"/>
      <c r="G3" s="561"/>
      <c r="H3" s="561"/>
      <c r="I3" s="561"/>
      <c r="J3" s="561"/>
      <c r="K3" s="561"/>
      <c r="L3" s="561"/>
      <c r="M3" s="561"/>
      <c r="N3" s="373"/>
      <c r="O3" s="373"/>
      <c r="P3" s="197"/>
      <c r="Q3" s="197"/>
      <c r="T3" s="197"/>
      <c r="U3" s="197"/>
      <c r="V3" s="197"/>
      <c r="W3" s="197"/>
      <c r="X3" s="197"/>
      <c r="Y3" s="197"/>
      <c r="Z3" s="197"/>
      <c r="AA3" s="197"/>
      <c r="AB3" s="197"/>
      <c r="AC3" s="197"/>
      <c r="AD3" s="197"/>
      <c r="AE3" s="197"/>
      <c r="AF3" s="197"/>
      <c r="AG3" s="197"/>
      <c r="AH3" s="197"/>
      <c r="AI3" s="197"/>
      <c r="AJ3" s="197"/>
      <c r="AK3" s="197"/>
      <c r="AL3" s="197"/>
      <c r="AM3" s="197"/>
      <c r="AN3" s="197"/>
      <c r="AO3" s="197"/>
      <c r="AP3" s="197"/>
      <c r="AQ3" s="197"/>
      <c r="AR3" s="197"/>
      <c r="AS3" s="197"/>
      <c r="AT3" s="197"/>
      <c r="AU3" s="197"/>
      <c r="AV3" s="197"/>
      <c r="AW3" s="197"/>
      <c r="AX3" s="197"/>
      <c r="AY3" s="197"/>
      <c r="AZ3" s="197"/>
      <c r="BA3" s="197"/>
      <c r="BB3" s="197"/>
      <c r="BC3" s="197"/>
      <c r="BD3" s="197"/>
      <c r="BE3" s="197"/>
      <c r="BF3" s="197"/>
      <c r="BG3" s="212"/>
      <c r="BW3" s="1">
        <v>12</v>
      </c>
    </row>
    <row r="5" spans="1:82" x14ac:dyDescent="0.25">
      <c r="R5" s="214"/>
      <c r="S5" s="214"/>
      <c r="BW5" s="1" t="s">
        <v>9</v>
      </c>
    </row>
    <row r="6" spans="1:82" ht="25.5" customHeight="1" thickBot="1" x14ac:dyDescent="0.35">
      <c r="B6" s="198"/>
      <c r="C6" s="198"/>
      <c r="D6" s="49"/>
      <c r="R6" s="214"/>
      <c r="S6" s="214"/>
    </row>
    <row r="7" spans="1:82" ht="18" customHeight="1" x14ac:dyDescent="0.3">
      <c r="B7" s="450" t="s">
        <v>237</v>
      </c>
      <c r="C7" s="213"/>
      <c r="D7" s="369" t="s">
        <v>238</v>
      </c>
      <c r="E7" s="3"/>
      <c r="S7" s="569" t="s">
        <v>239</v>
      </c>
      <c r="T7" s="570"/>
      <c r="V7" s="569" t="s">
        <v>240</v>
      </c>
      <c r="W7" s="570"/>
      <c r="BG7" s="1"/>
      <c r="BH7" s="49"/>
    </row>
    <row r="8" spans="1:82" ht="45" x14ac:dyDescent="0.25">
      <c r="A8" s="267" t="s">
        <v>84</v>
      </c>
      <c r="B8" s="261" t="s">
        <v>136</v>
      </c>
      <c r="C8" s="261" t="s">
        <v>137</v>
      </c>
      <c r="D8" s="3" t="s">
        <v>138</v>
      </c>
      <c r="E8" s="199" t="s">
        <v>139</v>
      </c>
      <c r="F8" s="199" t="s">
        <v>86</v>
      </c>
      <c r="G8" s="199" t="s">
        <v>241</v>
      </c>
      <c r="H8" s="3" t="s">
        <v>242</v>
      </c>
      <c r="I8" s="3" t="s">
        <v>243</v>
      </c>
      <c r="K8" s="199" t="s">
        <v>244</v>
      </c>
      <c r="L8" s="199" t="s">
        <v>142</v>
      </c>
      <c r="M8" s="199" t="s">
        <v>143</v>
      </c>
      <c r="N8" s="3" t="s">
        <v>144</v>
      </c>
      <c r="O8" s="3" t="s">
        <v>245</v>
      </c>
      <c r="P8" s="3" t="s">
        <v>191</v>
      </c>
      <c r="S8" s="571"/>
      <c r="T8" s="572"/>
      <c r="V8" s="571"/>
      <c r="W8" s="572"/>
      <c r="BG8" s="1"/>
      <c r="BH8" s="49"/>
    </row>
    <row r="9" spans="1:82" x14ac:dyDescent="0.25">
      <c r="A9" s="206" t="s">
        <v>1</v>
      </c>
      <c r="B9" s="496">
        <v>46082</v>
      </c>
      <c r="C9" s="496">
        <v>46447</v>
      </c>
      <c r="D9" s="369">
        <v>12</v>
      </c>
      <c r="E9" s="369" t="s">
        <v>246</v>
      </c>
      <c r="F9" s="369" t="str">
        <f>IFERROR(IF(E9="","",VLOOKUP(E9,'Mapped COA'!A:G,2,0)),IF(E9="","",VLOOKUP(E9,COA!A:G,2,0)))</f>
        <v>Property Insurance</v>
      </c>
      <c r="G9"/>
      <c r="H9" s="207" t="s">
        <v>247</v>
      </c>
      <c r="I9" s="50" t="s">
        <v>248</v>
      </c>
      <c r="K9" s="201">
        <v>301408.12</v>
      </c>
      <c r="L9" s="203">
        <f t="shared" ref="L9:L18" si="0">IFERROR(ROUND(K9/D9,2),0)</f>
        <v>25117.34</v>
      </c>
      <c r="M9" s="202">
        <v>7</v>
      </c>
      <c r="N9" s="4">
        <f>IFERROR(L9*M9,0)</f>
        <v>175821.38</v>
      </c>
      <c r="O9" s="206"/>
      <c r="P9" s="50"/>
      <c r="S9" s="571"/>
      <c r="T9" s="572"/>
      <c r="V9" s="571"/>
      <c r="W9" s="572"/>
      <c r="BG9" s="1"/>
      <c r="BH9" s="49"/>
    </row>
    <row r="10" spans="1:82" ht="15.75" thickBot="1" x14ac:dyDescent="0.3">
      <c r="A10" s="206"/>
      <c r="B10" s="496"/>
      <c r="C10" s="496"/>
      <c r="D10" s="369" t="str">
        <f t="shared" ref="D10:D18" si="1">IFERROR(DATEDIF(EOMONTH(B10,-1)+1,EOMONTH(C10,0)+1,"m"),"")</f>
        <v/>
      </c>
      <c r="E10" s="369"/>
      <c r="F10" s="369" t="str">
        <f>IFERROR(IF(E10="","",VLOOKUP(E10,'Mapped COA'!A:G,2,0)),IF(E10="","",VLOOKUP(E10,COA!A:G,2,0)))</f>
        <v/>
      </c>
      <c r="G10"/>
      <c r="H10" s="50"/>
      <c r="I10" s="50"/>
      <c r="K10" s="201"/>
      <c r="L10" s="203">
        <f t="shared" si="0"/>
        <v>0</v>
      </c>
      <c r="M10" s="202"/>
      <c r="N10" s="4">
        <f t="shared" ref="N10:N18" si="2">IFERROR(L10*M10,0)</f>
        <v>0</v>
      </c>
      <c r="O10" s="206"/>
      <c r="P10" s="50"/>
      <c r="S10" s="573"/>
      <c r="T10" s="574"/>
      <c r="V10" s="573"/>
      <c r="W10" s="574"/>
      <c r="BG10" s="1"/>
      <c r="BH10" s="49"/>
    </row>
    <row r="11" spans="1:82" x14ac:dyDescent="0.25">
      <c r="A11" s="206"/>
      <c r="B11" s="496"/>
      <c r="C11" s="496"/>
      <c r="D11" s="369" t="str">
        <f t="shared" si="1"/>
        <v/>
      </c>
      <c r="E11" s="369"/>
      <c r="F11" s="369" t="str">
        <f>IFERROR(IF(E11="","",VLOOKUP(E11,'Mapped COA'!A:G,2,0)),IF(E11="","",VLOOKUP(E11,COA!A:G,2,0)))</f>
        <v/>
      </c>
      <c r="G11"/>
      <c r="H11" s="50"/>
      <c r="I11" s="50"/>
      <c r="K11" s="201"/>
      <c r="L11" s="203">
        <f t="shared" si="0"/>
        <v>0</v>
      </c>
      <c r="M11" s="202"/>
      <c r="N11" s="4">
        <f t="shared" si="2"/>
        <v>0</v>
      </c>
      <c r="O11" s="206"/>
      <c r="P11" s="50"/>
      <c r="BG11" s="1"/>
      <c r="BH11" s="49"/>
    </row>
    <row r="12" spans="1:82" x14ac:dyDescent="0.25">
      <c r="A12" s="206"/>
      <c r="B12" s="496"/>
      <c r="C12" s="496"/>
      <c r="D12" s="369" t="str">
        <f t="shared" si="1"/>
        <v/>
      </c>
      <c r="E12" s="369"/>
      <c r="F12" s="369" t="str">
        <f>IFERROR(IF(E12="","",VLOOKUP(E12,'Mapped COA'!A:G,2,0)),IF(E12="","",VLOOKUP(E12,COA!A:G,2,0)))</f>
        <v/>
      </c>
      <c r="G12"/>
      <c r="H12" s="50"/>
      <c r="I12" s="50"/>
      <c r="K12" s="201"/>
      <c r="L12" s="203">
        <f t="shared" si="0"/>
        <v>0</v>
      </c>
      <c r="M12" s="202"/>
      <c r="N12" s="4">
        <f t="shared" si="2"/>
        <v>0</v>
      </c>
      <c r="O12" s="206"/>
      <c r="P12" s="50"/>
      <c r="BG12" s="1"/>
      <c r="BH12" s="49"/>
    </row>
    <row r="13" spans="1:82" x14ac:dyDescent="0.25">
      <c r="A13" s="206"/>
      <c r="B13" s="496"/>
      <c r="C13" s="496"/>
      <c r="D13" s="369" t="str">
        <f t="shared" si="1"/>
        <v/>
      </c>
      <c r="E13" s="369"/>
      <c r="F13" s="369" t="str">
        <f>IFERROR(IF(E13="","",VLOOKUP(E13,'Mapped COA'!A:G,2,0)),IF(E13="","",VLOOKUP(E13,COA!A:G,2,0)))</f>
        <v/>
      </c>
      <c r="G13"/>
      <c r="H13" s="50"/>
      <c r="I13" s="50"/>
      <c r="K13" s="201"/>
      <c r="L13" s="203">
        <f t="shared" si="0"/>
        <v>0</v>
      </c>
      <c r="M13" s="202"/>
      <c r="N13" s="4">
        <f t="shared" si="2"/>
        <v>0</v>
      </c>
      <c r="O13" s="206"/>
      <c r="P13" s="50"/>
      <c r="BG13" s="1"/>
      <c r="BH13" s="49"/>
    </row>
    <row r="14" spans="1:82" x14ac:dyDescent="0.25">
      <c r="A14" s="206"/>
      <c r="B14" s="496"/>
      <c r="C14" s="496"/>
      <c r="D14" s="369" t="str">
        <f t="shared" si="1"/>
        <v/>
      </c>
      <c r="E14" s="369"/>
      <c r="F14" s="369" t="str">
        <f>IFERROR(IF(E14="","",VLOOKUP(E14,'Mapped COA'!A:G,2,0)),IF(E14="","",VLOOKUP(E14,COA!A:G,2,0)))</f>
        <v/>
      </c>
      <c r="G14"/>
      <c r="H14" s="50"/>
      <c r="I14" s="50"/>
      <c r="K14" s="201"/>
      <c r="L14" s="203">
        <f t="shared" si="0"/>
        <v>0</v>
      </c>
      <c r="M14" s="202"/>
      <c r="N14" s="4">
        <f t="shared" si="2"/>
        <v>0</v>
      </c>
      <c r="O14" s="206"/>
      <c r="P14" s="50"/>
      <c r="BG14" s="1"/>
      <c r="BH14" s="49"/>
    </row>
    <row r="15" spans="1:82" x14ac:dyDescent="0.25">
      <c r="A15" s="206"/>
      <c r="B15" s="496"/>
      <c r="C15" s="496"/>
      <c r="D15" s="369" t="str">
        <f t="shared" si="1"/>
        <v/>
      </c>
      <c r="E15" s="369"/>
      <c r="F15" s="369" t="str">
        <f>IFERROR(IF(E15="","",VLOOKUP(E15,'Mapped COA'!A:G,2,0)),IF(E15="","",VLOOKUP(E15,COA!A:G,2,0)))</f>
        <v/>
      </c>
      <c r="G15"/>
      <c r="H15" s="50"/>
      <c r="I15" s="50"/>
      <c r="K15" s="201"/>
      <c r="L15" s="203">
        <f t="shared" si="0"/>
        <v>0</v>
      </c>
      <c r="M15" s="202"/>
      <c r="N15" s="4">
        <f t="shared" si="2"/>
        <v>0</v>
      </c>
      <c r="O15" s="206"/>
      <c r="P15" s="50"/>
      <c r="BG15" s="1"/>
      <c r="BH15" s="49"/>
    </row>
    <row r="16" spans="1:82" x14ac:dyDescent="0.25">
      <c r="A16" s="206"/>
      <c r="B16" s="496"/>
      <c r="C16" s="496"/>
      <c r="D16" s="369" t="str">
        <f t="shared" si="1"/>
        <v/>
      </c>
      <c r="E16" s="369"/>
      <c r="F16" s="369" t="str">
        <f>IFERROR(IF(E16="","",VLOOKUP(E16,'Mapped COA'!A:G,2,0)),IF(E16="","",VLOOKUP(E16,COA!A:G,2,0)))</f>
        <v/>
      </c>
      <c r="G16"/>
      <c r="H16" s="50"/>
      <c r="I16" s="50"/>
      <c r="K16" s="201"/>
      <c r="L16" s="203">
        <f t="shared" si="0"/>
        <v>0</v>
      </c>
      <c r="M16" s="202"/>
      <c r="N16" s="4">
        <f t="shared" si="2"/>
        <v>0</v>
      </c>
      <c r="O16" s="206"/>
      <c r="P16" s="50"/>
      <c r="BG16" s="1"/>
      <c r="BH16" s="49"/>
    </row>
    <row r="17" spans="1:60" x14ac:dyDescent="0.25">
      <c r="A17" s="206"/>
      <c r="B17" s="496"/>
      <c r="C17" s="496"/>
      <c r="D17" s="369" t="str">
        <f t="shared" si="1"/>
        <v/>
      </c>
      <c r="E17" s="369"/>
      <c r="F17" s="369" t="str">
        <f>IFERROR(IF(E17="","",VLOOKUP(E17,'Mapped COA'!A:G,2,0)),IF(E17="","",VLOOKUP(E17,COA!A:G,2,0)))</f>
        <v/>
      </c>
      <c r="G17"/>
      <c r="H17" s="50"/>
      <c r="I17" s="50"/>
      <c r="K17" s="201"/>
      <c r="L17" s="203">
        <f t="shared" si="0"/>
        <v>0</v>
      </c>
      <c r="M17" s="202"/>
      <c r="N17" s="4">
        <f t="shared" si="2"/>
        <v>0</v>
      </c>
      <c r="O17" s="206"/>
      <c r="P17" s="50"/>
      <c r="BG17" s="1"/>
      <c r="BH17" s="49"/>
    </row>
    <row r="18" spans="1:60" x14ac:dyDescent="0.25">
      <c r="A18" s="206"/>
      <c r="B18" s="496"/>
      <c r="C18" s="496"/>
      <c r="D18" s="369" t="str">
        <f t="shared" si="1"/>
        <v/>
      </c>
      <c r="E18" s="369"/>
      <c r="F18" s="369" t="str">
        <f>IFERROR(IF(E18="","",VLOOKUP(E18,'Mapped COA'!A:G,2,0)),IF(E18="","",VLOOKUP(E18,COA!A:G,2,0)))</f>
        <v/>
      </c>
      <c r="G18"/>
      <c r="H18" s="50"/>
      <c r="I18" s="50"/>
      <c r="K18" s="201"/>
      <c r="L18" s="203">
        <f t="shared" si="0"/>
        <v>0</v>
      </c>
      <c r="M18" s="202"/>
      <c r="N18" s="4">
        <f t="shared" si="2"/>
        <v>0</v>
      </c>
      <c r="O18" s="206"/>
      <c r="P18" s="50"/>
      <c r="BG18" s="1"/>
      <c r="BH18" s="49"/>
    </row>
    <row r="19" spans="1:60" x14ac:dyDescent="0.25">
      <c r="E19" s="568" t="s">
        <v>122</v>
      </c>
      <c r="F19" s="568"/>
      <c r="G19" s="568"/>
      <c r="H19" s="568"/>
      <c r="K19" s="204"/>
      <c r="L19" s="208"/>
      <c r="N19" s="205"/>
      <c r="BG19" s="1"/>
      <c r="BH19" s="49"/>
    </row>
    <row r="20" spans="1:60" x14ac:dyDescent="0.25">
      <c r="E20" s="200"/>
      <c r="F20" s="200"/>
      <c r="K20" s="4">
        <f>SUM(K9:K18)</f>
        <v>301408.12</v>
      </c>
      <c r="L20" s="209">
        <f>SUM(L9:L18)</f>
        <v>25117.34</v>
      </c>
      <c r="N20" s="4">
        <f>SUM(N9:N19)</f>
        <v>175821.38</v>
      </c>
      <c r="BG20" s="1"/>
      <c r="BH20" s="49"/>
    </row>
    <row r="21" spans="1:60" ht="15.75" customHeight="1" x14ac:dyDescent="0.25">
      <c r="D21" s="49"/>
      <c r="BG21" s="1"/>
      <c r="BH21" s="49"/>
    </row>
    <row r="22" spans="1:60" ht="20.25" x14ac:dyDescent="0.3">
      <c r="B22" s="450" t="s">
        <v>249</v>
      </c>
      <c r="C22" s="213"/>
      <c r="D22" s="369" t="s">
        <v>250</v>
      </c>
      <c r="BG22" s="1"/>
      <c r="BH22" s="49"/>
    </row>
    <row r="23" spans="1:60" ht="30" customHeight="1" x14ac:dyDescent="0.25">
      <c r="A23" s="267" t="s">
        <v>84</v>
      </c>
      <c r="B23" s="261" t="s">
        <v>136</v>
      </c>
      <c r="C23" s="261" t="s">
        <v>137</v>
      </c>
      <c r="D23" s="3" t="s">
        <v>138</v>
      </c>
      <c r="E23" s="199" t="s">
        <v>139</v>
      </c>
      <c r="F23" s="199"/>
      <c r="G23" s="199" t="s">
        <v>241</v>
      </c>
      <c r="H23" s="3" t="s">
        <v>242</v>
      </c>
      <c r="I23" s="3" t="s">
        <v>243</v>
      </c>
      <c r="K23" s="199" t="s">
        <v>251</v>
      </c>
      <c r="L23" s="199" t="s">
        <v>142</v>
      </c>
      <c r="M23" s="199" t="s">
        <v>164</v>
      </c>
      <c r="N23" s="3" t="s">
        <v>165</v>
      </c>
      <c r="O23" s="3"/>
      <c r="P23" s="3"/>
      <c r="BG23" s="1"/>
      <c r="BH23" s="49"/>
    </row>
    <row r="24" spans="1:60" x14ac:dyDescent="0.25">
      <c r="A24" s="206"/>
      <c r="B24" s="496"/>
      <c r="C24" s="496"/>
      <c r="D24" s="369"/>
      <c r="E24" s="369" t="s">
        <v>246</v>
      </c>
      <c r="F24" s="369" t="str">
        <f>IFERROR(IF(E24="","",VLOOKUP(E24,'Mapped COA'!A:G,2,0)),IF(E24="","",VLOOKUP(E24,COA!A:G,2,0)))</f>
        <v>Property Insurance</v>
      </c>
      <c r="G24"/>
      <c r="H24" s="207"/>
      <c r="I24" s="50"/>
      <c r="K24" s="201"/>
      <c r="L24" s="203">
        <f>IFERROR(ROUND(K24/D24,2),0)</f>
        <v>0</v>
      </c>
      <c r="M24" s="369"/>
      <c r="N24" s="4">
        <f>IFERROR(L24*M24,0)</f>
        <v>0</v>
      </c>
      <c r="O24" s="187"/>
      <c r="BG24" s="1"/>
      <c r="BH24" s="49"/>
    </row>
    <row r="25" spans="1:60" x14ac:dyDescent="0.25">
      <c r="A25" s="206"/>
      <c r="B25" s="496"/>
      <c r="C25" s="496"/>
      <c r="D25" s="369"/>
      <c r="E25" s="369"/>
      <c r="F25" s="369" t="str">
        <f>IFERROR(IF(E25="","",VLOOKUP(E25,'Mapped COA'!A:G,2,0)),IF(E25="","",VLOOKUP(E25,COA!A:G,2,0)))</f>
        <v/>
      </c>
      <c r="G25"/>
      <c r="H25" s="50"/>
      <c r="I25" s="50"/>
      <c r="K25" s="201"/>
      <c r="L25" s="203">
        <f t="shared" ref="L25:L33" si="3">IFERROR(ROUND(K25/D25,2),0)</f>
        <v>0</v>
      </c>
      <c r="M25" s="202"/>
      <c r="N25" s="4">
        <f t="shared" ref="N25:N33" si="4">IFERROR(L25*M25,0)</f>
        <v>0</v>
      </c>
      <c r="O25" s="187"/>
      <c r="BG25" s="1"/>
      <c r="BH25" s="49"/>
    </row>
    <row r="26" spans="1:60" x14ac:dyDescent="0.25">
      <c r="A26" s="206"/>
      <c r="B26" s="496"/>
      <c r="C26" s="496"/>
      <c r="D26" s="369" t="str">
        <f t="shared" ref="D26:D33" si="5">IFERROR(DATEDIF(EOMONTH(B26,-1)+1,EOMONTH(C26,0)+1,"m"),"")</f>
        <v/>
      </c>
      <c r="E26" s="369"/>
      <c r="F26" s="369" t="str">
        <f>IFERROR(IF(E26="","",VLOOKUP(E26,'Mapped COA'!A:G,2,0)),IF(E26="","",VLOOKUP(E26,COA!A:G,2,0)))</f>
        <v/>
      </c>
      <c r="G26"/>
      <c r="H26" s="50"/>
      <c r="I26" s="50"/>
      <c r="K26" s="201"/>
      <c r="L26" s="203">
        <f t="shared" si="3"/>
        <v>0</v>
      </c>
      <c r="M26" s="202"/>
      <c r="N26" s="4">
        <f t="shared" si="4"/>
        <v>0</v>
      </c>
      <c r="O26" s="187"/>
      <c r="BG26" s="1"/>
      <c r="BH26" s="49"/>
    </row>
    <row r="27" spans="1:60" x14ac:dyDescent="0.25">
      <c r="A27" s="206"/>
      <c r="B27" s="496"/>
      <c r="C27" s="496"/>
      <c r="D27" s="369" t="str">
        <f t="shared" si="5"/>
        <v/>
      </c>
      <c r="E27" s="369"/>
      <c r="F27" s="369" t="str">
        <f>IFERROR(IF(E27="","",VLOOKUP(E27,'Mapped COA'!A:G,2,0)),IF(E27="","",VLOOKUP(E27,COA!A:G,2,0)))</f>
        <v/>
      </c>
      <c r="G27"/>
      <c r="H27" s="50"/>
      <c r="I27" s="50"/>
      <c r="K27" s="201"/>
      <c r="L27" s="203">
        <f t="shared" si="3"/>
        <v>0</v>
      </c>
      <c r="M27" s="202"/>
      <c r="N27" s="4">
        <f t="shared" si="4"/>
        <v>0</v>
      </c>
      <c r="O27" s="187"/>
      <c r="BG27" s="1"/>
      <c r="BH27" s="49"/>
    </row>
    <row r="28" spans="1:60" x14ac:dyDescent="0.25">
      <c r="A28" s="206"/>
      <c r="B28" s="496"/>
      <c r="C28" s="496"/>
      <c r="D28" s="369" t="str">
        <f t="shared" si="5"/>
        <v/>
      </c>
      <c r="E28" s="369"/>
      <c r="F28" s="369" t="str">
        <f>IFERROR(IF(E28="","",VLOOKUP(E28,'Mapped COA'!A:G,2,0)),IF(E28="","",VLOOKUP(E28,COA!A:G,2,0)))</f>
        <v/>
      </c>
      <c r="G28"/>
      <c r="H28" s="50"/>
      <c r="I28" s="50"/>
      <c r="K28" s="201"/>
      <c r="L28" s="203">
        <f t="shared" si="3"/>
        <v>0</v>
      </c>
      <c r="M28" s="202"/>
      <c r="N28" s="4">
        <f t="shared" si="4"/>
        <v>0</v>
      </c>
      <c r="O28" s="187"/>
      <c r="BG28" s="1"/>
      <c r="BH28" s="49"/>
    </row>
    <row r="29" spans="1:60" x14ac:dyDescent="0.25">
      <c r="A29" s="206"/>
      <c r="B29" s="496"/>
      <c r="C29" s="496"/>
      <c r="D29" s="369" t="str">
        <f t="shared" si="5"/>
        <v/>
      </c>
      <c r="E29" s="369"/>
      <c r="F29" s="369" t="str">
        <f>IFERROR(IF(E29="","",VLOOKUP(E29,'Mapped COA'!A:G,2,0)),IF(E29="","",VLOOKUP(E29,COA!A:G,2,0)))</f>
        <v/>
      </c>
      <c r="G29"/>
      <c r="H29" s="50"/>
      <c r="I29" s="50"/>
      <c r="K29" s="201"/>
      <c r="L29" s="203">
        <f t="shared" si="3"/>
        <v>0</v>
      </c>
      <c r="M29" s="202"/>
      <c r="N29" s="4">
        <f t="shared" si="4"/>
        <v>0</v>
      </c>
      <c r="O29" s="187"/>
      <c r="BG29" s="1"/>
      <c r="BH29" s="49"/>
    </row>
    <row r="30" spans="1:60" x14ac:dyDescent="0.25">
      <c r="A30" s="206"/>
      <c r="B30" s="496"/>
      <c r="C30" s="496"/>
      <c r="D30" s="369" t="str">
        <f t="shared" si="5"/>
        <v/>
      </c>
      <c r="E30" s="369"/>
      <c r="F30" s="369" t="str">
        <f>IFERROR(IF(E30="","",VLOOKUP(E30,'Mapped COA'!A:G,2,0)),IF(E30="","",VLOOKUP(E30,COA!A:G,2,0)))</f>
        <v/>
      </c>
      <c r="G30"/>
      <c r="H30" s="50"/>
      <c r="I30" s="50"/>
      <c r="K30" s="201"/>
      <c r="L30" s="203">
        <f t="shared" si="3"/>
        <v>0</v>
      </c>
      <c r="M30" s="202"/>
      <c r="N30" s="4">
        <f t="shared" si="4"/>
        <v>0</v>
      </c>
      <c r="O30" s="187"/>
      <c r="BG30" s="1"/>
      <c r="BH30" s="49"/>
    </row>
    <row r="31" spans="1:60" x14ac:dyDescent="0.25">
      <c r="A31" s="206"/>
      <c r="B31" s="496"/>
      <c r="C31" s="496"/>
      <c r="D31" s="369" t="str">
        <f t="shared" si="5"/>
        <v/>
      </c>
      <c r="E31" s="369"/>
      <c r="F31" s="369" t="str">
        <f>IFERROR(IF(E31="","",VLOOKUP(E31,'Mapped COA'!A:G,2,0)),IF(E31="","",VLOOKUP(E31,COA!A:G,2,0)))</f>
        <v/>
      </c>
      <c r="G31"/>
      <c r="H31" s="50"/>
      <c r="I31" s="50"/>
      <c r="K31" s="201"/>
      <c r="L31" s="203">
        <f t="shared" si="3"/>
        <v>0</v>
      </c>
      <c r="M31" s="202"/>
      <c r="N31" s="4">
        <f t="shared" si="4"/>
        <v>0</v>
      </c>
      <c r="O31" s="187"/>
      <c r="BG31" s="1"/>
      <c r="BH31" s="49"/>
    </row>
    <row r="32" spans="1:60" x14ac:dyDescent="0.25">
      <c r="A32" s="206"/>
      <c r="B32" s="496"/>
      <c r="C32" s="496"/>
      <c r="D32" s="369" t="str">
        <f t="shared" si="5"/>
        <v/>
      </c>
      <c r="E32" s="369"/>
      <c r="F32" s="369" t="str">
        <f>IFERROR(IF(E32="","",VLOOKUP(E32,'Mapped COA'!A:G,2,0)),IF(E32="","",VLOOKUP(E32,COA!A:G,2,0)))</f>
        <v/>
      </c>
      <c r="G32"/>
      <c r="H32" s="50"/>
      <c r="I32" s="50"/>
      <c r="K32" s="201"/>
      <c r="L32" s="203">
        <f t="shared" si="3"/>
        <v>0</v>
      </c>
      <c r="M32" s="202"/>
      <c r="N32" s="4">
        <f t="shared" si="4"/>
        <v>0</v>
      </c>
      <c r="O32" s="187"/>
      <c r="BG32" s="1"/>
      <c r="BH32" s="49"/>
    </row>
    <row r="33" spans="1:60" x14ac:dyDescent="0.25">
      <c r="A33" s="206"/>
      <c r="B33" s="496"/>
      <c r="C33" s="496"/>
      <c r="D33" s="369" t="str">
        <f t="shared" si="5"/>
        <v/>
      </c>
      <c r="E33" s="369"/>
      <c r="F33" s="369" t="str">
        <f>IFERROR(IF(E33="","",VLOOKUP(E33,'Mapped COA'!A:G,2,0)),IF(E33="","",VLOOKUP(E33,COA!A:G,2,0)))</f>
        <v/>
      </c>
      <c r="G33"/>
      <c r="H33" s="50"/>
      <c r="I33" s="50"/>
      <c r="K33" s="201"/>
      <c r="L33" s="203">
        <f t="shared" si="3"/>
        <v>0</v>
      </c>
      <c r="M33" s="202"/>
      <c r="N33" s="4">
        <f t="shared" si="4"/>
        <v>0</v>
      </c>
      <c r="O33" s="187"/>
      <c r="BG33" s="1"/>
      <c r="BH33" s="49"/>
    </row>
    <row r="34" spans="1:60" x14ac:dyDescent="0.25">
      <c r="B34" s="497"/>
      <c r="C34" s="497"/>
      <c r="E34" s="568" t="s">
        <v>122</v>
      </c>
      <c r="F34" s="568"/>
      <c r="G34" s="568"/>
      <c r="H34" s="568"/>
      <c r="K34" s="204"/>
      <c r="L34" s="208"/>
      <c r="N34" s="205"/>
      <c r="BG34" s="1"/>
      <c r="BH34" s="49"/>
    </row>
    <row r="35" spans="1:60" x14ac:dyDescent="0.25">
      <c r="E35" s="200"/>
      <c r="J35" s="4"/>
      <c r="K35" s="4">
        <f>SUM(K24:K33)</f>
        <v>0</v>
      </c>
      <c r="L35" s="4">
        <f>SUM(L24:L33)</f>
        <v>0</v>
      </c>
      <c r="M35" s="4"/>
      <c r="N35" s="4">
        <f>SUM(N24:N34)</f>
        <v>0</v>
      </c>
    </row>
  </sheetData>
  <dataConsolidate/>
  <mergeCells count="7">
    <mergeCell ref="E34:H34"/>
    <mergeCell ref="E19:H19"/>
    <mergeCell ref="S7:T10"/>
    <mergeCell ref="V7:W10"/>
    <mergeCell ref="A1:M1"/>
    <mergeCell ref="A2:M2"/>
    <mergeCell ref="A3:M3"/>
  </mergeCells>
  <conditionalFormatting sqref="F9:P18 F24:F33">
    <cfRule type="expression" dxfId="58" priority="53">
      <formula>INDIRECT("A"&amp;ROW()) = "Yes"</formula>
    </cfRule>
  </conditionalFormatting>
  <conditionalFormatting sqref="G29:G33 L24:L33 N24:N33 J24:J33">
    <cfRule type="expression" dxfId="57" priority="52">
      <formula>INDIRECT("A"&amp;ROW()) = "Yes"</formula>
    </cfRule>
  </conditionalFormatting>
  <conditionalFormatting sqref="G25:G33">
    <cfRule type="expression" dxfId="56" priority="50">
      <formula>INDIRECT("A"&amp;ROW()) = "Yes"</formula>
    </cfRule>
  </conditionalFormatting>
  <conditionalFormatting sqref="M25:M33">
    <cfRule type="expression" dxfId="55" priority="47">
      <formula>INDIRECT("A"&amp;ROW()) = "Yes"</formula>
    </cfRule>
  </conditionalFormatting>
  <conditionalFormatting sqref="D22">
    <cfRule type="expression" dxfId="54" priority="41">
      <formula>INDIRECT("A"&amp;ROW()) = "Yes"</formula>
    </cfRule>
  </conditionalFormatting>
  <conditionalFormatting sqref="E9:E18">
    <cfRule type="expression" dxfId="53" priority="27">
      <formula>INDIRECT("A"&amp;ROW()) = "Yes"</formula>
    </cfRule>
  </conditionalFormatting>
  <conditionalFormatting sqref="D7">
    <cfRule type="expression" dxfId="52" priority="24">
      <formula>INDIRECT("A"&amp;ROW()) = "Yes"</formula>
    </cfRule>
  </conditionalFormatting>
  <conditionalFormatting sqref="G24:G33">
    <cfRule type="expression" dxfId="51" priority="22">
      <formula>INDIRECT("A"&amp;ROW()) = "Yes"</formula>
    </cfRule>
  </conditionalFormatting>
  <conditionalFormatting sqref="B11:C18">
    <cfRule type="expression" dxfId="50" priority="21">
      <formula>INDIRECT("A"&amp;ROW()) = "Yes"</formula>
    </cfRule>
  </conditionalFormatting>
  <conditionalFormatting sqref="D11:D18">
    <cfRule type="expression" dxfId="49" priority="20">
      <formula>INDIRECT("A"&amp;ROW()) = "Yes"</formula>
    </cfRule>
  </conditionalFormatting>
  <conditionalFormatting sqref="B25:C33">
    <cfRule type="expression" dxfId="48" priority="19">
      <formula>INDIRECT("A"&amp;ROW()) = "Yes"</formula>
    </cfRule>
  </conditionalFormatting>
  <conditionalFormatting sqref="E25:E33">
    <cfRule type="expression" dxfId="47" priority="17">
      <formula>INDIRECT("A"&amp;ROW()) = "Yes"</formula>
    </cfRule>
  </conditionalFormatting>
  <conditionalFormatting sqref="K24:K30">
    <cfRule type="expression" dxfId="46" priority="16">
      <formula>INDIRECT("A"&amp;ROW()) = "Yes"</formula>
    </cfRule>
  </conditionalFormatting>
  <conditionalFormatting sqref="K31:K33">
    <cfRule type="expression" dxfId="45" priority="15">
      <formula>INDIRECT("A"&amp;ROW()) = "Yes"</formula>
    </cfRule>
  </conditionalFormatting>
  <conditionalFormatting sqref="A9:A18">
    <cfRule type="expression" dxfId="44" priority="14">
      <formula>INDIRECT("A"&amp;ROW()) = "Yes"</formula>
    </cfRule>
  </conditionalFormatting>
  <conditionalFormatting sqref="A24:A33">
    <cfRule type="expression" dxfId="43" priority="13">
      <formula>INDIRECT("A"&amp;ROW()) = "Yes"</formula>
    </cfRule>
  </conditionalFormatting>
  <conditionalFormatting sqref="B9:C9">
    <cfRule type="expression" dxfId="42" priority="12">
      <formula>INDIRECT("A"&amp;ROW()) = "Yes"</formula>
    </cfRule>
  </conditionalFormatting>
  <conditionalFormatting sqref="D10">
    <cfRule type="expression" dxfId="41" priority="11">
      <formula>INDIRECT("A"&amp;ROW()) = "Yes"</formula>
    </cfRule>
  </conditionalFormatting>
  <conditionalFormatting sqref="B10:C10">
    <cfRule type="expression" dxfId="40" priority="10">
      <formula>INDIRECT("A"&amp;ROW()) = "Yes"</formula>
    </cfRule>
  </conditionalFormatting>
  <conditionalFormatting sqref="D9:D18">
    <cfRule type="expression" dxfId="39" priority="9">
      <formula>INDIRECT("A"&amp;ROW()) = "Yes"</formula>
    </cfRule>
  </conditionalFormatting>
  <conditionalFormatting sqref="D25:D33">
    <cfRule type="expression" dxfId="38" priority="8">
      <formula>INDIRECT("A"&amp;ROW()) = "Yes"</formula>
    </cfRule>
  </conditionalFormatting>
  <conditionalFormatting sqref="M24">
    <cfRule type="expression" dxfId="37" priority="7">
      <formula>INDIRECT("A"&amp;ROW()) = "Yes"</formula>
    </cfRule>
  </conditionalFormatting>
  <conditionalFormatting sqref="B24:C24">
    <cfRule type="expression" dxfId="36" priority="4">
      <formula>INDIRECT("A"&amp;ROW()) = "Yes"</formula>
    </cfRule>
  </conditionalFormatting>
  <conditionalFormatting sqref="E24">
    <cfRule type="expression" dxfId="35" priority="3">
      <formula>INDIRECT("A"&amp;ROW()) = "Yes"</formula>
    </cfRule>
  </conditionalFormatting>
  <conditionalFormatting sqref="D24">
    <cfRule type="expression" dxfId="34" priority="2">
      <formula>INDIRECT("A"&amp;ROW()) = "Yes"</formula>
    </cfRule>
  </conditionalFormatting>
  <conditionalFormatting sqref="H24:I33">
    <cfRule type="expression" dxfId="33" priority="1">
      <formula>INDIRECT("A"&amp;ROW()) = "Yes"</formula>
    </cfRule>
  </conditionalFormatting>
  <printOptions horizontalCentered="1"/>
  <pageMargins left="0.7" right="0.7" top="0.75" bottom="0.75" header="0.3" footer="0.3"/>
  <pageSetup scale="4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F625A2-8F82-4D5E-9721-BC15377B85B8}">
          <x14:formula1>
            <xm:f>'Prepaid Other'!$M$4:$M$5</xm:f>
          </x14:formula1>
          <xm:sqref>A9:A18 A24:A33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23C6A-5907-428A-9805-F84BF64F655A}">
  <sheetPr codeName="Sheet8"/>
  <dimension ref="A1:AC55"/>
  <sheetViews>
    <sheetView workbookViewId="0">
      <pane xSplit="5" ySplit="3" topLeftCell="F4" activePane="bottomRight" state="frozen"/>
      <selection pane="topRight" activeCell="W51" sqref="W51"/>
      <selection pane="bottomLeft" activeCell="W51" sqref="W51"/>
      <selection pane="bottomRight" activeCell="V7" sqref="V7"/>
    </sheetView>
  </sheetViews>
  <sheetFormatPr defaultRowHeight="15" x14ac:dyDescent="0.25"/>
  <cols>
    <col min="1" max="1" width="6.5703125" style="1" bestFit="1" customWidth="1"/>
    <col min="2" max="2" width="22" style="49" bestFit="1" customWidth="1"/>
    <col min="3" max="3" width="22.85546875" style="49" bestFit="1" customWidth="1"/>
    <col min="4" max="5" width="22.42578125" style="49" bestFit="1" customWidth="1"/>
    <col min="6" max="29" width="18.42578125" bestFit="1" customWidth="1"/>
  </cols>
  <sheetData>
    <row r="1" spans="1:29" x14ac:dyDescent="0.25">
      <c r="A1" s="1">
        <v>1</v>
      </c>
      <c r="B1" s="1">
        <f>A1+1</f>
        <v>2</v>
      </c>
      <c r="C1" s="1">
        <f t="shared" ref="C1:AC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</row>
    <row r="2" spans="1:29" x14ac:dyDescent="0.25">
      <c r="B2" s="1"/>
      <c r="C2" s="1"/>
      <c r="D2" s="1"/>
      <c r="E2" s="1"/>
    </row>
    <row r="3" spans="1:29" x14ac:dyDescent="0.25">
      <c r="A3" s="243" t="s">
        <v>130</v>
      </c>
      <c r="B3" s="244" t="s">
        <v>252</v>
      </c>
      <c r="C3" s="244" t="s">
        <v>253</v>
      </c>
      <c r="D3" s="244" t="s">
        <v>254</v>
      </c>
      <c r="E3" s="244" t="s">
        <v>255</v>
      </c>
      <c r="F3" s="244" t="s">
        <v>170</v>
      </c>
      <c r="G3" s="244" t="s">
        <v>172</v>
      </c>
      <c r="H3" s="244" t="s">
        <v>174</v>
      </c>
      <c r="I3" s="244" t="s">
        <v>176</v>
      </c>
      <c r="J3" s="244" t="s">
        <v>178</v>
      </c>
      <c r="K3" s="244" t="s">
        <v>180</v>
      </c>
      <c r="L3" s="244" t="s">
        <v>182</v>
      </c>
      <c r="M3" s="244" t="s">
        <v>184</v>
      </c>
      <c r="N3" s="244" t="s">
        <v>186</v>
      </c>
      <c r="O3" s="244" t="s">
        <v>201</v>
      </c>
      <c r="P3" s="244" t="s">
        <v>207</v>
      </c>
      <c r="Q3" s="244" t="s">
        <v>210</v>
      </c>
      <c r="R3" s="244" t="s">
        <v>170</v>
      </c>
      <c r="S3" s="244" t="s">
        <v>172</v>
      </c>
      <c r="T3" s="244" t="s">
        <v>174</v>
      </c>
      <c r="U3" s="244" t="s">
        <v>176</v>
      </c>
      <c r="V3" s="244" t="s">
        <v>178</v>
      </c>
      <c r="W3" s="244" t="s">
        <v>180</v>
      </c>
      <c r="X3" s="244" t="s">
        <v>182</v>
      </c>
      <c r="Y3" s="244" t="s">
        <v>184</v>
      </c>
      <c r="Z3" s="244" t="s">
        <v>186</v>
      </c>
      <c r="AA3" s="244" t="s">
        <v>201</v>
      </c>
      <c r="AB3" s="244" t="s">
        <v>207</v>
      </c>
      <c r="AC3" s="244" t="s">
        <v>210</v>
      </c>
    </row>
    <row r="4" spans="1:29" x14ac:dyDescent="0.25">
      <c r="A4" s="1" t="s">
        <v>124</v>
      </c>
      <c r="B4" s="246">
        <v>43997</v>
      </c>
      <c r="C4" s="246">
        <v>44058</v>
      </c>
      <c r="D4" s="246" t="s">
        <v>256</v>
      </c>
      <c r="E4" s="246" t="s">
        <v>256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4</v>
      </c>
      <c r="N4">
        <v>3</v>
      </c>
      <c r="O4">
        <v>2</v>
      </c>
      <c r="P4">
        <v>1</v>
      </c>
      <c r="Q4">
        <v>0</v>
      </c>
      <c r="R4">
        <v>1</v>
      </c>
      <c r="S4">
        <v>2</v>
      </c>
      <c r="T4">
        <v>3</v>
      </c>
      <c r="U4">
        <v>4</v>
      </c>
      <c r="V4">
        <v>5</v>
      </c>
      <c r="W4">
        <v>0</v>
      </c>
      <c r="X4">
        <v>1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" t="s">
        <v>127</v>
      </c>
      <c r="B5" s="246">
        <v>44196</v>
      </c>
      <c r="C5" s="246" t="s">
        <v>256</v>
      </c>
      <c r="D5" s="246" t="s">
        <v>256</v>
      </c>
      <c r="E5" s="246" t="s">
        <v>256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4</v>
      </c>
      <c r="S5">
        <v>5</v>
      </c>
      <c r="T5">
        <v>6</v>
      </c>
      <c r="U5">
        <v>7</v>
      </c>
      <c r="V5">
        <v>8</v>
      </c>
      <c r="W5">
        <v>9</v>
      </c>
      <c r="X5">
        <v>10</v>
      </c>
      <c r="Y5">
        <v>11</v>
      </c>
      <c r="Z5">
        <v>12</v>
      </c>
      <c r="AA5">
        <v>12</v>
      </c>
      <c r="AB5">
        <v>12</v>
      </c>
      <c r="AC5">
        <v>0</v>
      </c>
    </row>
    <row r="6" spans="1:29" x14ac:dyDescent="0.25">
      <c r="A6" s="1" t="s">
        <v>128</v>
      </c>
      <c r="B6" s="246">
        <v>44119</v>
      </c>
      <c r="C6" s="246" t="s">
        <v>256</v>
      </c>
      <c r="D6" s="246" t="s">
        <v>256</v>
      </c>
      <c r="E6" s="246" t="s">
        <v>256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13</v>
      </c>
      <c r="S6">
        <v>14</v>
      </c>
      <c r="T6">
        <v>15</v>
      </c>
      <c r="U6">
        <v>16</v>
      </c>
      <c r="V6">
        <v>17</v>
      </c>
      <c r="W6">
        <v>18</v>
      </c>
      <c r="X6">
        <v>19</v>
      </c>
      <c r="Y6">
        <v>20</v>
      </c>
      <c r="Z6">
        <v>21</v>
      </c>
      <c r="AA6">
        <v>10</v>
      </c>
      <c r="AB6">
        <v>11</v>
      </c>
      <c r="AC6">
        <v>12</v>
      </c>
    </row>
    <row r="7" spans="1:29" x14ac:dyDescent="0.25">
      <c r="A7" s="1" t="s">
        <v>129</v>
      </c>
      <c r="B7" s="246">
        <v>43770</v>
      </c>
      <c r="C7" s="246">
        <v>43952</v>
      </c>
      <c r="D7" s="246" t="s">
        <v>256</v>
      </c>
      <c r="E7" s="246" t="s">
        <v>256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7</v>
      </c>
      <c r="S7">
        <v>8</v>
      </c>
      <c r="T7">
        <v>9</v>
      </c>
      <c r="U7">
        <v>4</v>
      </c>
      <c r="V7">
        <v>5</v>
      </c>
      <c r="W7">
        <v>6</v>
      </c>
      <c r="X7">
        <v>7</v>
      </c>
      <c r="Y7">
        <v>8</v>
      </c>
      <c r="Z7">
        <v>9</v>
      </c>
      <c r="AA7">
        <v>4</v>
      </c>
      <c r="AB7">
        <v>5</v>
      </c>
      <c r="AC7">
        <v>6</v>
      </c>
    </row>
    <row r="8" spans="1:29" x14ac:dyDescent="0.25">
      <c r="A8" s="1" t="s">
        <v>131</v>
      </c>
      <c r="B8" s="246">
        <v>43809</v>
      </c>
      <c r="C8" s="246">
        <v>43931</v>
      </c>
      <c r="D8" s="246" t="s">
        <v>256</v>
      </c>
      <c r="E8" s="246" t="s">
        <v>256</v>
      </c>
      <c r="F8">
        <v>0</v>
      </c>
      <c r="G8">
        <v>0</v>
      </c>
      <c r="H8">
        <v>0</v>
      </c>
      <c r="I8">
        <v>2</v>
      </c>
      <c r="J8">
        <v>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2</v>
      </c>
      <c r="T8">
        <v>3</v>
      </c>
      <c r="U8">
        <v>0</v>
      </c>
      <c r="V8">
        <v>0</v>
      </c>
      <c r="W8">
        <v>0</v>
      </c>
      <c r="X8">
        <v>1</v>
      </c>
      <c r="Y8">
        <v>2</v>
      </c>
      <c r="Z8">
        <v>3</v>
      </c>
      <c r="AA8">
        <v>4</v>
      </c>
      <c r="AB8">
        <v>5</v>
      </c>
      <c r="AC8">
        <v>0</v>
      </c>
    </row>
    <row r="9" spans="1:29" x14ac:dyDescent="0.25">
      <c r="A9" s="1" t="s">
        <v>132</v>
      </c>
      <c r="B9" s="246">
        <v>43889</v>
      </c>
      <c r="C9" s="246">
        <v>43997</v>
      </c>
      <c r="D9" s="246" t="s">
        <v>256</v>
      </c>
      <c r="E9" s="246" t="s">
        <v>256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13</v>
      </c>
      <c r="S9">
        <v>8</v>
      </c>
      <c r="T9">
        <v>9</v>
      </c>
      <c r="U9">
        <v>10</v>
      </c>
      <c r="V9">
        <v>11</v>
      </c>
      <c r="W9">
        <v>6</v>
      </c>
      <c r="X9">
        <v>7</v>
      </c>
      <c r="Y9">
        <v>8</v>
      </c>
      <c r="Z9">
        <v>9</v>
      </c>
      <c r="AA9">
        <v>10</v>
      </c>
      <c r="AB9">
        <v>11</v>
      </c>
      <c r="AC9">
        <v>12</v>
      </c>
    </row>
    <row r="10" spans="1:29" x14ac:dyDescent="0.25">
      <c r="A10" s="1" t="s">
        <v>135</v>
      </c>
      <c r="B10" s="246">
        <v>43678</v>
      </c>
      <c r="C10" s="246">
        <v>43862</v>
      </c>
      <c r="D10" s="246" t="s">
        <v>256</v>
      </c>
      <c r="E10" s="246" t="s">
        <v>256</v>
      </c>
      <c r="F10">
        <v>5</v>
      </c>
      <c r="G10">
        <v>4</v>
      </c>
      <c r="H10">
        <v>3</v>
      </c>
      <c r="I10">
        <v>2</v>
      </c>
      <c r="J10">
        <v>1</v>
      </c>
      <c r="K10">
        <v>0</v>
      </c>
      <c r="L10">
        <v>5</v>
      </c>
      <c r="M10">
        <v>4</v>
      </c>
      <c r="N10">
        <v>3</v>
      </c>
      <c r="O10">
        <v>2</v>
      </c>
      <c r="P10">
        <v>1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</row>
    <row r="11" spans="1:29" x14ac:dyDescent="0.25">
      <c r="A11" s="1" t="s">
        <v>146</v>
      </c>
      <c r="B11" s="246">
        <v>43921</v>
      </c>
      <c r="C11" s="246">
        <v>44089</v>
      </c>
      <c r="D11" s="246" t="s">
        <v>256</v>
      </c>
      <c r="E11" s="246" t="s">
        <v>256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4</v>
      </c>
      <c r="S11">
        <v>5</v>
      </c>
      <c r="T11">
        <v>0</v>
      </c>
      <c r="U11">
        <v>1</v>
      </c>
      <c r="V11">
        <v>2</v>
      </c>
      <c r="W11">
        <v>3</v>
      </c>
      <c r="X11">
        <v>4</v>
      </c>
      <c r="Y11">
        <v>5</v>
      </c>
      <c r="Z11">
        <v>0</v>
      </c>
      <c r="AA11">
        <v>1</v>
      </c>
      <c r="AB11">
        <v>2</v>
      </c>
      <c r="AC11">
        <v>3</v>
      </c>
    </row>
    <row r="12" spans="1:29" x14ac:dyDescent="0.25">
      <c r="A12" s="1" t="s">
        <v>149</v>
      </c>
      <c r="B12" s="246">
        <v>43738</v>
      </c>
      <c r="C12" s="246" t="s">
        <v>256</v>
      </c>
      <c r="D12" s="246" t="s">
        <v>256</v>
      </c>
      <c r="E12" s="246" t="s">
        <v>256</v>
      </c>
      <c r="F12">
        <v>5</v>
      </c>
      <c r="G12">
        <v>4</v>
      </c>
      <c r="H12">
        <v>3</v>
      </c>
      <c r="I12">
        <v>2</v>
      </c>
      <c r="J12">
        <v>1</v>
      </c>
      <c r="K12">
        <v>12</v>
      </c>
      <c r="L12">
        <v>11</v>
      </c>
      <c r="M12">
        <v>10</v>
      </c>
      <c r="N12">
        <v>9</v>
      </c>
      <c r="O12">
        <v>8</v>
      </c>
      <c r="P12">
        <v>7</v>
      </c>
      <c r="Q12">
        <v>6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" t="s">
        <v>151</v>
      </c>
      <c r="B13" s="246">
        <v>44165</v>
      </c>
      <c r="C13" s="246" t="s">
        <v>256</v>
      </c>
      <c r="D13" s="246" t="s">
        <v>256</v>
      </c>
      <c r="E13" s="246" t="s">
        <v>256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1</v>
      </c>
      <c r="Q13">
        <v>0</v>
      </c>
      <c r="R13">
        <v>1</v>
      </c>
      <c r="S13">
        <v>2</v>
      </c>
      <c r="T13">
        <v>3</v>
      </c>
      <c r="U13">
        <v>4</v>
      </c>
      <c r="V13">
        <v>5</v>
      </c>
      <c r="W13">
        <v>6</v>
      </c>
      <c r="X13">
        <v>7</v>
      </c>
      <c r="Y13">
        <v>8</v>
      </c>
      <c r="Z13">
        <v>9</v>
      </c>
      <c r="AA13">
        <v>10</v>
      </c>
      <c r="AB13">
        <v>0</v>
      </c>
      <c r="AC13">
        <v>0</v>
      </c>
    </row>
    <row r="14" spans="1:29" x14ac:dyDescent="0.25">
      <c r="A14" s="1" t="s">
        <v>152</v>
      </c>
      <c r="B14" s="246">
        <v>44058</v>
      </c>
      <c r="C14" s="246" t="s">
        <v>256</v>
      </c>
      <c r="D14" s="246" t="s">
        <v>256</v>
      </c>
      <c r="E14" s="246" t="s">
        <v>256</v>
      </c>
      <c r="F14">
        <v>0</v>
      </c>
      <c r="G14">
        <v>0</v>
      </c>
      <c r="H14">
        <v>0</v>
      </c>
      <c r="I14">
        <v>0</v>
      </c>
      <c r="J14">
        <v>7</v>
      </c>
      <c r="K14">
        <v>6</v>
      </c>
      <c r="L14">
        <v>5</v>
      </c>
      <c r="M14">
        <v>4</v>
      </c>
      <c r="N14">
        <v>3</v>
      </c>
      <c r="O14">
        <v>2</v>
      </c>
      <c r="P14">
        <v>1</v>
      </c>
      <c r="Q14">
        <v>0</v>
      </c>
      <c r="R14">
        <v>1</v>
      </c>
      <c r="S14">
        <v>2</v>
      </c>
      <c r="T14">
        <v>3</v>
      </c>
      <c r="U14">
        <v>4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</row>
    <row r="15" spans="1:29" x14ac:dyDescent="0.25">
      <c r="A15" s="1" t="s">
        <v>153</v>
      </c>
      <c r="B15" s="246">
        <v>43697</v>
      </c>
      <c r="C15" s="246">
        <v>43881</v>
      </c>
      <c r="D15" s="246" t="s">
        <v>256</v>
      </c>
      <c r="E15" s="246" t="s">
        <v>256</v>
      </c>
      <c r="F15">
        <v>0</v>
      </c>
      <c r="G15">
        <v>4</v>
      </c>
      <c r="H15">
        <v>3</v>
      </c>
      <c r="I15">
        <v>2</v>
      </c>
      <c r="J15">
        <v>1</v>
      </c>
      <c r="K15">
        <v>0</v>
      </c>
      <c r="L15">
        <v>0</v>
      </c>
      <c r="M15">
        <v>4</v>
      </c>
      <c r="N15">
        <v>3</v>
      </c>
      <c r="O15">
        <v>2</v>
      </c>
      <c r="P15">
        <v>1</v>
      </c>
      <c r="Q15">
        <v>0</v>
      </c>
      <c r="R15">
        <v>1</v>
      </c>
      <c r="S15">
        <v>0</v>
      </c>
      <c r="T15">
        <v>0</v>
      </c>
      <c r="U15">
        <v>0</v>
      </c>
      <c r="V15">
        <v>0</v>
      </c>
      <c r="W15">
        <v>0</v>
      </c>
      <c r="X15">
        <v>1</v>
      </c>
      <c r="Y15">
        <v>0</v>
      </c>
      <c r="Z15">
        <v>0</v>
      </c>
      <c r="AA15">
        <v>0</v>
      </c>
      <c r="AB15">
        <v>0</v>
      </c>
      <c r="AC15">
        <v>0</v>
      </c>
    </row>
    <row r="16" spans="1:29" x14ac:dyDescent="0.25">
      <c r="A16" s="1" t="s">
        <v>154</v>
      </c>
      <c r="B16" s="246">
        <v>43738</v>
      </c>
      <c r="C16" s="246">
        <v>43921</v>
      </c>
      <c r="D16" s="246" t="s">
        <v>256</v>
      </c>
      <c r="E16" s="246" t="s">
        <v>256</v>
      </c>
      <c r="F16">
        <v>0</v>
      </c>
      <c r="G16">
        <v>0</v>
      </c>
      <c r="H16">
        <v>3</v>
      </c>
      <c r="I16">
        <v>2</v>
      </c>
      <c r="J16">
        <v>1</v>
      </c>
      <c r="K16">
        <v>0</v>
      </c>
      <c r="L16">
        <v>0</v>
      </c>
      <c r="M16">
        <v>0</v>
      </c>
      <c r="N16">
        <v>3</v>
      </c>
      <c r="O16">
        <v>2</v>
      </c>
      <c r="P16">
        <v>1</v>
      </c>
      <c r="Q16">
        <v>0</v>
      </c>
      <c r="R16">
        <v>1</v>
      </c>
      <c r="S16">
        <v>2</v>
      </c>
      <c r="T16">
        <v>0</v>
      </c>
      <c r="U16">
        <v>0</v>
      </c>
      <c r="V16">
        <v>0</v>
      </c>
      <c r="W16">
        <v>0</v>
      </c>
      <c r="X16">
        <v>1</v>
      </c>
      <c r="Y16">
        <v>2</v>
      </c>
      <c r="Z16">
        <v>0</v>
      </c>
      <c r="AA16">
        <v>0</v>
      </c>
      <c r="AB16">
        <v>0</v>
      </c>
      <c r="AC16">
        <v>0</v>
      </c>
    </row>
    <row r="17" spans="1:29" x14ac:dyDescent="0.25">
      <c r="A17" s="1" t="s">
        <v>155</v>
      </c>
      <c r="B17" s="246">
        <v>43819</v>
      </c>
      <c r="C17" s="246">
        <v>44002</v>
      </c>
      <c r="D17" s="246" t="s">
        <v>256</v>
      </c>
      <c r="E17" s="246" t="s">
        <v>256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7</v>
      </c>
      <c r="S17">
        <v>8</v>
      </c>
      <c r="T17">
        <v>9</v>
      </c>
      <c r="U17">
        <v>10</v>
      </c>
      <c r="V17">
        <v>11</v>
      </c>
      <c r="W17">
        <v>6</v>
      </c>
      <c r="X17">
        <v>7</v>
      </c>
      <c r="Y17">
        <v>8</v>
      </c>
      <c r="Z17">
        <v>9</v>
      </c>
      <c r="AA17">
        <v>10</v>
      </c>
      <c r="AB17">
        <v>11</v>
      </c>
      <c r="AC17">
        <v>6</v>
      </c>
    </row>
    <row r="18" spans="1:29" x14ac:dyDescent="0.25">
      <c r="A18" s="1" t="s">
        <v>156</v>
      </c>
      <c r="B18" s="246">
        <v>43891</v>
      </c>
      <c r="C18" s="246">
        <v>44044</v>
      </c>
      <c r="D18" s="246" t="s">
        <v>256</v>
      </c>
      <c r="E18" s="246" t="s">
        <v>256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13</v>
      </c>
      <c r="S18">
        <v>8</v>
      </c>
      <c r="T18">
        <v>9</v>
      </c>
      <c r="U18">
        <v>10</v>
      </c>
      <c r="V18">
        <v>11</v>
      </c>
      <c r="W18">
        <v>12</v>
      </c>
      <c r="X18">
        <v>7</v>
      </c>
      <c r="Y18">
        <v>8</v>
      </c>
      <c r="Z18">
        <v>9</v>
      </c>
      <c r="AA18">
        <v>10</v>
      </c>
      <c r="AB18">
        <v>11</v>
      </c>
      <c r="AC18">
        <v>12</v>
      </c>
    </row>
    <row r="19" spans="1:29" x14ac:dyDescent="0.25">
      <c r="A19" s="1" t="s">
        <v>157</v>
      </c>
      <c r="B19" s="246">
        <v>43961</v>
      </c>
      <c r="C19" s="246">
        <v>44145</v>
      </c>
      <c r="D19" s="246" t="s">
        <v>256</v>
      </c>
      <c r="E19" s="246" t="s">
        <v>256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13</v>
      </c>
      <c r="S19">
        <v>14</v>
      </c>
      <c r="T19">
        <v>15</v>
      </c>
      <c r="U19">
        <v>16</v>
      </c>
      <c r="V19">
        <v>11</v>
      </c>
      <c r="W19">
        <v>12</v>
      </c>
      <c r="X19">
        <v>13</v>
      </c>
      <c r="Y19">
        <v>14</v>
      </c>
      <c r="Z19">
        <v>15</v>
      </c>
      <c r="AA19">
        <v>16</v>
      </c>
      <c r="AB19">
        <v>11</v>
      </c>
      <c r="AC19">
        <v>12</v>
      </c>
    </row>
    <row r="20" spans="1:29" x14ac:dyDescent="0.25">
      <c r="A20" s="1" t="s">
        <v>158</v>
      </c>
      <c r="B20" s="246">
        <v>43819</v>
      </c>
      <c r="C20" s="246">
        <v>43961</v>
      </c>
      <c r="D20" s="246" t="s">
        <v>256</v>
      </c>
      <c r="E20" s="246" t="s">
        <v>256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7</v>
      </c>
      <c r="S20">
        <v>8</v>
      </c>
      <c r="T20">
        <v>9</v>
      </c>
      <c r="U20">
        <v>10</v>
      </c>
      <c r="V20">
        <v>5</v>
      </c>
      <c r="W20">
        <v>6</v>
      </c>
      <c r="X20">
        <v>7</v>
      </c>
      <c r="Y20">
        <v>8</v>
      </c>
      <c r="Z20">
        <v>9</v>
      </c>
      <c r="AA20">
        <v>10</v>
      </c>
      <c r="AB20">
        <v>11</v>
      </c>
      <c r="AC20">
        <v>6</v>
      </c>
    </row>
    <row r="21" spans="1:29" x14ac:dyDescent="0.25">
      <c r="A21" s="1" t="s">
        <v>162</v>
      </c>
      <c r="B21" s="246">
        <v>44196</v>
      </c>
      <c r="C21" s="246" t="s">
        <v>256</v>
      </c>
      <c r="D21" s="246" t="s">
        <v>256</v>
      </c>
      <c r="E21" s="246" t="s">
        <v>256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1</v>
      </c>
      <c r="S21">
        <v>2</v>
      </c>
      <c r="T21">
        <v>3</v>
      </c>
      <c r="U21">
        <v>4</v>
      </c>
      <c r="V21">
        <v>5</v>
      </c>
      <c r="W21">
        <v>6</v>
      </c>
      <c r="X21">
        <v>7</v>
      </c>
      <c r="Y21">
        <v>8</v>
      </c>
      <c r="Z21">
        <v>9</v>
      </c>
      <c r="AA21">
        <v>10</v>
      </c>
      <c r="AB21">
        <v>11</v>
      </c>
      <c r="AC21">
        <v>0</v>
      </c>
    </row>
    <row r="22" spans="1:29" x14ac:dyDescent="0.25">
      <c r="A22" s="1" t="s">
        <v>169</v>
      </c>
      <c r="B22" s="246">
        <v>44196</v>
      </c>
      <c r="C22" s="246" t="s">
        <v>256</v>
      </c>
      <c r="D22" s="246" t="s">
        <v>256</v>
      </c>
      <c r="E22" s="246" t="s">
        <v>256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2</v>
      </c>
      <c r="T22">
        <v>3</v>
      </c>
      <c r="U22">
        <v>4</v>
      </c>
      <c r="V22">
        <v>5</v>
      </c>
      <c r="W22">
        <v>6</v>
      </c>
      <c r="X22">
        <v>7</v>
      </c>
      <c r="Y22">
        <v>8</v>
      </c>
      <c r="Z22">
        <v>9</v>
      </c>
      <c r="AA22">
        <v>10</v>
      </c>
      <c r="AB22">
        <v>11</v>
      </c>
      <c r="AC22">
        <v>0</v>
      </c>
    </row>
    <row r="23" spans="1:29" x14ac:dyDescent="0.25">
      <c r="A23" s="1" t="s">
        <v>171</v>
      </c>
      <c r="B23" s="246">
        <v>43678</v>
      </c>
      <c r="C23" s="246">
        <v>43770</v>
      </c>
      <c r="D23" s="246">
        <v>43862</v>
      </c>
      <c r="E23" s="246">
        <v>43952</v>
      </c>
      <c r="F23">
        <v>2</v>
      </c>
      <c r="G23">
        <v>1</v>
      </c>
      <c r="H23">
        <v>0</v>
      </c>
      <c r="I23">
        <v>2</v>
      </c>
      <c r="J23">
        <v>1</v>
      </c>
      <c r="K23">
        <v>0</v>
      </c>
      <c r="L23">
        <v>2</v>
      </c>
      <c r="M23">
        <v>1</v>
      </c>
      <c r="N23">
        <v>0</v>
      </c>
      <c r="O23">
        <v>2</v>
      </c>
      <c r="P23">
        <v>1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</row>
    <row r="24" spans="1:29" x14ac:dyDescent="0.25">
      <c r="A24" s="1" t="s">
        <v>173</v>
      </c>
      <c r="B24" s="246">
        <v>43738</v>
      </c>
      <c r="C24" s="246" t="s">
        <v>256</v>
      </c>
      <c r="D24" s="246" t="s">
        <v>256</v>
      </c>
      <c r="E24" s="246" t="s">
        <v>256</v>
      </c>
      <c r="F24">
        <v>5</v>
      </c>
      <c r="G24">
        <v>4</v>
      </c>
      <c r="H24">
        <v>3</v>
      </c>
      <c r="I24">
        <v>2</v>
      </c>
      <c r="J24">
        <v>1</v>
      </c>
      <c r="K24">
        <v>0</v>
      </c>
      <c r="L24">
        <v>0</v>
      </c>
      <c r="M24">
        <v>0</v>
      </c>
      <c r="N24">
        <v>9</v>
      </c>
      <c r="O24">
        <v>8</v>
      </c>
      <c r="P24">
        <v>7</v>
      </c>
      <c r="Q24">
        <v>6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1</v>
      </c>
      <c r="Y24">
        <v>2</v>
      </c>
      <c r="Z24">
        <v>0</v>
      </c>
      <c r="AA24">
        <v>0</v>
      </c>
      <c r="AB24">
        <v>0</v>
      </c>
      <c r="AC24">
        <v>0</v>
      </c>
    </row>
    <row r="25" spans="1:29" x14ac:dyDescent="0.25">
      <c r="A25" s="1" t="s">
        <v>175</v>
      </c>
      <c r="B25" s="246" t="s">
        <v>257</v>
      </c>
      <c r="C25" s="246" t="s">
        <v>257</v>
      </c>
      <c r="D25" s="246" t="s">
        <v>257</v>
      </c>
      <c r="E25" s="246" t="s">
        <v>257</v>
      </c>
      <c r="F25" s="246" t="s">
        <v>258</v>
      </c>
      <c r="G25" s="246" t="s">
        <v>258</v>
      </c>
      <c r="H25" s="246" t="s">
        <v>258</v>
      </c>
      <c r="I25" s="246" t="s">
        <v>258</v>
      </c>
      <c r="J25" s="246" t="s">
        <v>258</v>
      </c>
      <c r="K25" s="246" t="s">
        <v>258</v>
      </c>
      <c r="L25" s="246" t="s">
        <v>258</v>
      </c>
      <c r="M25" s="246" t="s">
        <v>258</v>
      </c>
      <c r="N25" s="246" t="s">
        <v>258</v>
      </c>
      <c r="O25" s="246" t="s">
        <v>258</v>
      </c>
      <c r="P25" s="246" t="s">
        <v>258</v>
      </c>
      <c r="Q25" s="246" t="s">
        <v>258</v>
      </c>
      <c r="R25" s="246" t="s">
        <v>258</v>
      </c>
      <c r="S25" s="246" t="s">
        <v>258</v>
      </c>
      <c r="T25" s="246" t="s">
        <v>258</v>
      </c>
      <c r="U25" s="246" t="s">
        <v>258</v>
      </c>
      <c r="V25" s="246" t="s">
        <v>258</v>
      </c>
      <c r="W25" s="246" t="s">
        <v>258</v>
      </c>
      <c r="X25" s="246" t="s">
        <v>258</v>
      </c>
      <c r="Y25" s="246" t="s">
        <v>258</v>
      </c>
      <c r="Z25" s="246" t="s">
        <v>258</v>
      </c>
      <c r="AA25" s="246" t="s">
        <v>258</v>
      </c>
      <c r="AB25" s="246" t="s">
        <v>258</v>
      </c>
      <c r="AC25" s="246" t="s">
        <v>258</v>
      </c>
    </row>
    <row r="26" spans="1:29" x14ac:dyDescent="0.25">
      <c r="A26" s="1" t="s">
        <v>177</v>
      </c>
      <c r="B26" s="246">
        <v>43677</v>
      </c>
      <c r="C26" s="246" t="s">
        <v>256</v>
      </c>
      <c r="D26" s="246" t="s">
        <v>256</v>
      </c>
      <c r="E26" s="246" t="s">
        <v>256</v>
      </c>
      <c r="F26">
        <v>5</v>
      </c>
      <c r="G26">
        <v>4</v>
      </c>
      <c r="H26">
        <v>3</v>
      </c>
      <c r="I26">
        <v>2</v>
      </c>
      <c r="J26">
        <v>1</v>
      </c>
      <c r="K26">
        <v>0</v>
      </c>
      <c r="L26">
        <v>11</v>
      </c>
      <c r="M26">
        <v>10</v>
      </c>
      <c r="N26">
        <v>9</v>
      </c>
      <c r="O26">
        <v>8</v>
      </c>
      <c r="P26">
        <v>7</v>
      </c>
      <c r="Q26">
        <v>6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" t="s">
        <v>179</v>
      </c>
      <c r="B27" s="246">
        <v>43966</v>
      </c>
      <c r="C27" s="246">
        <v>44119</v>
      </c>
      <c r="D27" s="246" t="s">
        <v>256</v>
      </c>
      <c r="E27" s="246" t="s">
        <v>256</v>
      </c>
      <c r="F27">
        <v>0</v>
      </c>
      <c r="G27">
        <v>0</v>
      </c>
      <c r="H27">
        <v>0</v>
      </c>
      <c r="I27">
        <v>0</v>
      </c>
      <c r="J27">
        <v>1</v>
      </c>
      <c r="K27">
        <v>0</v>
      </c>
      <c r="L27">
        <v>0</v>
      </c>
      <c r="M27">
        <v>0</v>
      </c>
      <c r="N27">
        <v>0</v>
      </c>
      <c r="O27">
        <v>2</v>
      </c>
      <c r="P27">
        <v>1</v>
      </c>
      <c r="Q27">
        <v>0</v>
      </c>
      <c r="R27">
        <v>1</v>
      </c>
      <c r="S27">
        <v>2</v>
      </c>
      <c r="T27">
        <v>3</v>
      </c>
      <c r="U27">
        <v>4</v>
      </c>
      <c r="V27">
        <v>0</v>
      </c>
      <c r="W27">
        <v>0</v>
      </c>
      <c r="X27">
        <v>1</v>
      </c>
      <c r="Y27">
        <v>2</v>
      </c>
      <c r="Z27">
        <v>3</v>
      </c>
      <c r="AA27">
        <v>0</v>
      </c>
      <c r="AB27">
        <v>0</v>
      </c>
      <c r="AC27">
        <v>0</v>
      </c>
    </row>
    <row r="28" spans="1:29" x14ac:dyDescent="0.25">
      <c r="A28" s="1" t="s">
        <v>181</v>
      </c>
      <c r="B28" s="246">
        <v>44196</v>
      </c>
      <c r="C28" s="246" t="s">
        <v>256</v>
      </c>
      <c r="D28" s="246" t="s">
        <v>256</v>
      </c>
      <c r="E28" s="246" t="s">
        <v>256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2</v>
      </c>
      <c r="T28">
        <v>3</v>
      </c>
      <c r="U28">
        <v>4</v>
      </c>
      <c r="V28">
        <v>5</v>
      </c>
      <c r="W28">
        <v>6</v>
      </c>
      <c r="X28">
        <v>7</v>
      </c>
      <c r="Y28">
        <v>8</v>
      </c>
      <c r="Z28">
        <v>9</v>
      </c>
      <c r="AA28">
        <v>10</v>
      </c>
      <c r="AB28">
        <v>11</v>
      </c>
      <c r="AC28">
        <v>0</v>
      </c>
    </row>
    <row r="29" spans="1:29" x14ac:dyDescent="0.25">
      <c r="A29" s="1" t="s">
        <v>183</v>
      </c>
      <c r="B29" s="246">
        <v>43862</v>
      </c>
      <c r="C29" s="246" t="s">
        <v>256</v>
      </c>
      <c r="D29" s="246" t="s">
        <v>256</v>
      </c>
      <c r="E29" s="246" t="s">
        <v>256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2</v>
      </c>
      <c r="T29">
        <v>3</v>
      </c>
      <c r="U29">
        <v>4</v>
      </c>
      <c r="V29">
        <v>5</v>
      </c>
      <c r="W29">
        <v>6</v>
      </c>
      <c r="X29">
        <v>7</v>
      </c>
      <c r="Y29">
        <v>8</v>
      </c>
      <c r="Z29">
        <v>9</v>
      </c>
      <c r="AA29">
        <v>10</v>
      </c>
      <c r="AB29">
        <v>11</v>
      </c>
      <c r="AC29">
        <v>12</v>
      </c>
    </row>
    <row r="30" spans="1:29" x14ac:dyDescent="0.25">
      <c r="A30" s="1" t="s">
        <v>185</v>
      </c>
      <c r="B30" s="246">
        <v>43799</v>
      </c>
      <c r="C30" s="246">
        <v>43982</v>
      </c>
      <c r="D30" s="246" t="s">
        <v>256</v>
      </c>
      <c r="E30" s="246" t="s">
        <v>256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7</v>
      </c>
      <c r="S30">
        <v>8</v>
      </c>
      <c r="T30">
        <v>9</v>
      </c>
      <c r="U30">
        <v>10</v>
      </c>
      <c r="V30">
        <v>5</v>
      </c>
      <c r="W30">
        <v>6</v>
      </c>
      <c r="X30">
        <v>7</v>
      </c>
      <c r="Y30">
        <v>8</v>
      </c>
      <c r="Z30">
        <v>9</v>
      </c>
      <c r="AA30">
        <v>10</v>
      </c>
      <c r="AB30">
        <v>5</v>
      </c>
      <c r="AC30">
        <v>6</v>
      </c>
    </row>
    <row r="31" spans="1:29" x14ac:dyDescent="0.25">
      <c r="A31" s="1" t="s">
        <v>187</v>
      </c>
      <c r="B31" s="246">
        <v>43831</v>
      </c>
      <c r="C31" s="246" t="s">
        <v>256</v>
      </c>
      <c r="D31" s="246" t="s">
        <v>256</v>
      </c>
      <c r="E31" s="246" t="s">
        <v>256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2</v>
      </c>
      <c r="T31">
        <v>3</v>
      </c>
      <c r="U31">
        <v>4</v>
      </c>
      <c r="V31">
        <v>5</v>
      </c>
      <c r="W31">
        <v>6</v>
      </c>
      <c r="X31">
        <v>7</v>
      </c>
      <c r="Y31">
        <v>8</v>
      </c>
      <c r="Z31">
        <v>9</v>
      </c>
      <c r="AA31">
        <v>10</v>
      </c>
      <c r="AB31">
        <v>11</v>
      </c>
      <c r="AC31">
        <v>0</v>
      </c>
    </row>
    <row r="32" spans="1:29" x14ac:dyDescent="0.25">
      <c r="A32" s="1" t="s">
        <v>202</v>
      </c>
      <c r="B32" s="246">
        <v>43891</v>
      </c>
      <c r="C32" s="246">
        <v>44119</v>
      </c>
      <c r="D32" s="246" t="s">
        <v>256</v>
      </c>
      <c r="E32" s="246" t="s">
        <v>256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13</v>
      </c>
      <c r="S32">
        <v>8</v>
      </c>
      <c r="T32">
        <v>9</v>
      </c>
      <c r="U32">
        <v>10</v>
      </c>
      <c r="V32">
        <v>11</v>
      </c>
      <c r="W32">
        <v>12</v>
      </c>
      <c r="X32">
        <v>13</v>
      </c>
      <c r="Y32">
        <v>14</v>
      </c>
      <c r="Z32">
        <v>15</v>
      </c>
      <c r="AA32">
        <v>10</v>
      </c>
      <c r="AB32">
        <v>11</v>
      </c>
      <c r="AC32">
        <v>12</v>
      </c>
    </row>
    <row r="33" spans="1:29" x14ac:dyDescent="0.25">
      <c r="A33" s="1" t="s">
        <v>208</v>
      </c>
      <c r="B33" s="246">
        <v>43951</v>
      </c>
      <c r="C33" s="246">
        <v>44074</v>
      </c>
      <c r="D33" s="246" t="s">
        <v>256</v>
      </c>
      <c r="E33" s="246" t="s">
        <v>256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13</v>
      </c>
      <c r="S33">
        <v>14</v>
      </c>
      <c r="T33">
        <v>15</v>
      </c>
      <c r="U33">
        <v>10</v>
      </c>
      <c r="V33">
        <v>11</v>
      </c>
      <c r="W33">
        <v>12</v>
      </c>
      <c r="X33">
        <v>13</v>
      </c>
      <c r="Y33">
        <v>8</v>
      </c>
      <c r="Z33">
        <v>9</v>
      </c>
      <c r="AA33">
        <v>10</v>
      </c>
      <c r="AB33">
        <v>11</v>
      </c>
      <c r="AC33">
        <v>12</v>
      </c>
    </row>
    <row r="34" spans="1:29" x14ac:dyDescent="0.25">
      <c r="A34" s="1" t="s">
        <v>211</v>
      </c>
      <c r="B34" s="246">
        <v>44013</v>
      </c>
      <c r="C34" s="246">
        <v>44166</v>
      </c>
      <c r="D34" s="246" t="s">
        <v>256</v>
      </c>
      <c r="E34" s="246" t="s">
        <v>256</v>
      </c>
      <c r="F34">
        <v>2</v>
      </c>
      <c r="G34">
        <v>1</v>
      </c>
      <c r="H34">
        <v>0</v>
      </c>
      <c r="I34">
        <v>0</v>
      </c>
      <c r="J34">
        <v>0</v>
      </c>
      <c r="K34">
        <v>3</v>
      </c>
      <c r="L34">
        <v>2</v>
      </c>
      <c r="M34">
        <v>1</v>
      </c>
      <c r="N34">
        <v>0</v>
      </c>
      <c r="O34">
        <v>0</v>
      </c>
      <c r="P34">
        <v>4</v>
      </c>
      <c r="Q34">
        <v>3</v>
      </c>
      <c r="R34">
        <v>0</v>
      </c>
      <c r="S34">
        <v>0</v>
      </c>
      <c r="T34">
        <v>0</v>
      </c>
      <c r="U34">
        <v>1</v>
      </c>
      <c r="V34">
        <v>2</v>
      </c>
      <c r="W34">
        <v>0</v>
      </c>
      <c r="X34">
        <v>0</v>
      </c>
      <c r="Y34">
        <v>0</v>
      </c>
      <c r="Z34">
        <v>0</v>
      </c>
      <c r="AA34">
        <v>1</v>
      </c>
      <c r="AB34">
        <v>0</v>
      </c>
      <c r="AC34">
        <v>0</v>
      </c>
    </row>
    <row r="35" spans="1:29" x14ac:dyDescent="0.25">
      <c r="A35" s="1" t="s">
        <v>214</v>
      </c>
      <c r="B35" s="246">
        <v>43862</v>
      </c>
      <c r="C35" s="246">
        <v>43952</v>
      </c>
      <c r="D35" s="246">
        <v>44044</v>
      </c>
      <c r="E35" s="246">
        <v>44136</v>
      </c>
      <c r="F35">
        <v>2</v>
      </c>
      <c r="G35">
        <v>1</v>
      </c>
      <c r="H35">
        <v>0</v>
      </c>
      <c r="I35">
        <v>2</v>
      </c>
      <c r="J35">
        <v>1</v>
      </c>
      <c r="K35">
        <v>0</v>
      </c>
      <c r="L35">
        <v>2</v>
      </c>
      <c r="M35">
        <v>1</v>
      </c>
      <c r="N35">
        <v>0</v>
      </c>
      <c r="O35">
        <v>2</v>
      </c>
      <c r="P35">
        <v>1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</row>
    <row r="36" spans="1:29" x14ac:dyDescent="0.25">
      <c r="A36" s="1" t="s">
        <v>217</v>
      </c>
      <c r="B36" s="246">
        <v>44175</v>
      </c>
      <c r="C36" s="246">
        <v>44326</v>
      </c>
      <c r="D36" s="246" t="s">
        <v>256</v>
      </c>
      <c r="E36" s="246" t="s">
        <v>256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1</v>
      </c>
      <c r="S36">
        <v>2</v>
      </c>
      <c r="T36">
        <v>3</v>
      </c>
      <c r="U36">
        <v>4</v>
      </c>
      <c r="V36">
        <v>5</v>
      </c>
      <c r="W36">
        <v>6</v>
      </c>
      <c r="X36">
        <v>7</v>
      </c>
      <c r="Y36">
        <v>8</v>
      </c>
      <c r="Z36">
        <v>9</v>
      </c>
      <c r="AA36">
        <v>10</v>
      </c>
      <c r="AB36">
        <v>11</v>
      </c>
      <c r="AC36">
        <v>6</v>
      </c>
    </row>
    <row r="37" spans="1:29" x14ac:dyDescent="0.25">
      <c r="A37" s="1" t="s">
        <v>219</v>
      </c>
      <c r="B37" s="246">
        <v>43706</v>
      </c>
      <c r="C37" s="246">
        <v>43755</v>
      </c>
      <c r="D37" s="246">
        <v>43846</v>
      </c>
      <c r="E37" s="246">
        <v>43902</v>
      </c>
      <c r="F37">
        <v>2</v>
      </c>
      <c r="G37">
        <v>1</v>
      </c>
      <c r="H37">
        <v>3</v>
      </c>
      <c r="I37">
        <v>2</v>
      </c>
      <c r="J37">
        <v>1</v>
      </c>
      <c r="K37">
        <v>0</v>
      </c>
      <c r="L37">
        <v>0</v>
      </c>
      <c r="M37">
        <v>1</v>
      </c>
      <c r="N37">
        <v>0</v>
      </c>
      <c r="O37">
        <v>2</v>
      </c>
      <c r="P37">
        <v>1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1</v>
      </c>
      <c r="Y37">
        <v>0</v>
      </c>
      <c r="Z37">
        <v>0</v>
      </c>
      <c r="AA37">
        <v>0</v>
      </c>
      <c r="AB37">
        <v>0</v>
      </c>
      <c r="AC37">
        <v>0</v>
      </c>
    </row>
    <row r="38" spans="1:29" x14ac:dyDescent="0.25">
      <c r="A38" s="1" t="s">
        <v>220</v>
      </c>
      <c r="B38" s="246">
        <v>43647</v>
      </c>
      <c r="C38" s="246">
        <v>43831</v>
      </c>
      <c r="D38" s="246" t="s">
        <v>256</v>
      </c>
      <c r="E38" s="246" t="s">
        <v>256</v>
      </c>
      <c r="F38">
        <v>5</v>
      </c>
      <c r="G38">
        <v>4</v>
      </c>
      <c r="H38">
        <v>3</v>
      </c>
      <c r="I38">
        <v>2</v>
      </c>
      <c r="J38">
        <v>1</v>
      </c>
      <c r="K38">
        <v>6</v>
      </c>
      <c r="L38">
        <v>5</v>
      </c>
      <c r="M38">
        <v>4</v>
      </c>
      <c r="N38">
        <v>3</v>
      </c>
      <c r="O38">
        <v>2</v>
      </c>
      <c r="P38">
        <v>1</v>
      </c>
      <c r="Q38">
        <v>6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</row>
    <row r="39" spans="1:29" x14ac:dyDescent="0.25">
      <c r="A39" s="1" t="s">
        <v>221</v>
      </c>
      <c r="B39" s="247">
        <v>43851</v>
      </c>
      <c r="C39" s="247">
        <v>44004</v>
      </c>
      <c r="D39" s="247" t="s">
        <v>256</v>
      </c>
      <c r="E39" s="247" t="s">
        <v>256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7</v>
      </c>
      <c r="S39">
        <v>8</v>
      </c>
      <c r="T39">
        <v>9</v>
      </c>
      <c r="U39">
        <v>10</v>
      </c>
      <c r="V39">
        <v>11</v>
      </c>
      <c r="W39">
        <v>6</v>
      </c>
      <c r="X39">
        <v>7</v>
      </c>
      <c r="Y39">
        <v>8</v>
      </c>
      <c r="Z39">
        <v>9</v>
      </c>
      <c r="AA39">
        <v>10</v>
      </c>
      <c r="AB39">
        <v>11</v>
      </c>
      <c r="AC39">
        <v>12</v>
      </c>
    </row>
    <row r="40" spans="1:29" x14ac:dyDescent="0.25">
      <c r="A40" s="1" t="s">
        <v>222</v>
      </c>
      <c r="B40" s="247">
        <v>43830</v>
      </c>
      <c r="C40" s="247">
        <v>43922</v>
      </c>
      <c r="D40" s="247" t="s">
        <v>256</v>
      </c>
      <c r="E40" s="247" t="s">
        <v>256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7</v>
      </c>
      <c r="S40">
        <v>8</v>
      </c>
      <c r="T40">
        <v>3</v>
      </c>
      <c r="U40">
        <v>4</v>
      </c>
      <c r="V40">
        <v>5</v>
      </c>
      <c r="W40">
        <v>6</v>
      </c>
      <c r="X40">
        <v>7</v>
      </c>
      <c r="Y40">
        <v>8</v>
      </c>
      <c r="Z40">
        <v>9</v>
      </c>
      <c r="AA40">
        <v>10</v>
      </c>
      <c r="AB40">
        <v>11</v>
      </c>
      <c r="AC40">
        <v>6</v>
      </c>
    </row>
    <row r="41" spans="1:29" x14ac:dyDescent="0.25">
      <c r="A41" s="1" t="s">
        <v>223</v>
      </c>
      <c r="B41" s="246">
        <v>43784</v>
      </c>
      <c r="C41" s="246">
        <v>43876</v>
      </c>
      <c r="D41" s="246">
        <v>43966</v>
      </c>
      <c r="E41" s="246" t="s">
        <v>256</v>
      </c>
      <c r="F41">
        <v>0</v>
      </c>
      <c r="G41">
        <v>0</v>
      </c>
      <c r="H41">
        <v>0</v>
      </c>
      <c r="I41">
        <v>0</v>
      </c>
      <c r="J41">
        <v>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3</v>
      </c>
      <c r="S41">
        <v>0</v>
      </c>
      <c r="T41">
        <v>1</v>
      </c>
      <c r="U41">
        <v>2</v>
      </c>
      <c r="V41">
        <v>0</v>
      </c>
      <c r="W41">
        <v>0</v>
      </c>
      <c r="X41">
        <v>1</v>
      </c>
      <c r="Y41">
        <v>2</v>
      </c>
      <c r="Z41">
        <v>3</v>
      </c>
      <c r="AA41">
        <v>4</v>
      </c>
      <c r="AB41">
        <v>1</v>
      </c>
      <c r="AC41">
        <v>2</v>
      </c>
    </row>
    <row r="42" spans="1:29" x14ac:dyDescent="0.25">
      <c r="A42" s="1" t="s">
        <v>224</v>
      </c>
      <c r="B42" s="246" t="s">
        <v>257</v>
      </c>
      <c r="C42" s="246" t="s">
        <v>257</v>
      </c>
      <c r="D42" s="246" t="s">
        <v>257</v>
      </c>
      <c r="E42" s="246" t="s">
        <v>257</v>
      </c>
      <c r="F42" s="246" t="s">
        <v>258</v>
      </c>
      <c r="G42" s="246" t="s">
        <v>258</v>
      </c>
      <c r="H42" s="246" t="s">
        <v>258</v>
      </c>
      <c r="I42" s="246" t="s">
        <v>258</v>
      </c>
      <c r="J42" s="246" t="s">
        <v>258</v>
      </c>
      <c r="K42" s="246" t="s">
        <v>258</v>
      </c>
      <c r="L42" s="246" t="s">
        <v>258</v>
      </c>
      <c r="M42" s="246" t="s">
        <v>258</v>
      </c>
      <c r="N42" s="246" t="s">
        <v>258</v>
      </c>
      <c r="O42" s="246" t="s">
        <v>258</v>
      </c>
      <c r="P42" s="246" t="s">
        <v>258</v>
      </c>
      <c r="Q42" s="246" t="s">
        <v>258</v>
      </c>
      <c r="R42" s="246" t="s">
        <v>258</v>
      </c>
      <c r="S42" s="246" t="s">
        <v>258</v>
      </c>
      <c r="T42" s="246" t="s">
        <v>258</v>
      </c>
      <c r="U42" s="246" t="s">
        <v>258</v>
      </c>
      <c r="V42" s="246" t="s">
        <v>258</v>
      </c>
      <c r="W42" s="246" t="s">
        <v>258</v>
      </c>
      <c r="X42" s="246" t="s">
        <v>258</v>
      </c>
      <c r="Y42" s="246" t="s">
        <v>258</v>
      </c>
      <c r="Z42" s="246" t="s">
        <v>258</v>
      </c>
      <c r="AA42" s="246" t="s">
        <v>258</v>
      </c>
      <c r="AB42" s="246" t="s">
        <v>258</v>
      </c>
      <c r="AC42" s="246" t="s">
        <v>258</v>
      </c>
    </row>
    <row r="43" spans="1:29" x14ac:dyDescent="0.25">
      <c r="A43" s="1" t="s">
        <v>225</v>
      </c>
      <c r="B43" s="246" t="s">
        <v>257</v>
      </c>
      <c r="C43" s="246" t="s">
        <v>257</v>
      </c>
      <c r="D43" s="246" t="s">
        <v>257</v>
      </c>
      <c r="E43" s="246" t="s">
        <v>257</v>
      </c>
      <c r="F43" s="246" t="s">
        <v>258</v>
      </c>
      <c r="G43" s="246" t="s">
        <v>258</v>
      </c>
      <c r="H43" s="246" t="s">
        <v>258</v>
      </c>
      <c r="I43" s="246" t="s">
        <v>258</v>
      </c>
      <c r="J43" s="246" t="s">
        <v>258</v>
      </c>
      <c r="K43" s="246" t="s">
        <v>258</v>
      </c>
      <c r="L43" s="246" t="s">
        <v>258</v>
      </c>
      <c r="M43" s="246" t="s">
        <v>258</v>
      </c>
      <c r="N43" s="246" t="s">
        <v>258</v>
      </c>
      <c r="O43" s="246" t="s">
        <v>258</v>
      </c>
      <c r="P43" s="246" t="s">
        <v>258</v>
      </c>
      <c r="Q43" s="246" t="s">
        <v>258</v>
      </c>
      <c r="R43" s="246" t="s">
        <v>258</v>
      </c>
      <c r="S43" s="246" t="s">
        <v>258</v>
      </c>
      <c r="T43" s="246" t="s">
        <v>258</v>
      </c>
      <c r="U43" s="246" t="s">
        <v>258</v>
      </c>
      <c r="V43" s="246" t="s">
        <v>258</v>
      </c>
      <c r="W43" s="246" t="s">
        <v>258</v>
      </c>
      <c r="X43" s="246" t="s">
        <v>258</v>
      </c>
      <c r="Y43" s="246" t="s">
        <v>258</v>
      </c>
      <c r="Z43" s="246" t="s">
        <v>258</v>
      </c>
      <c r="AA43" s="246" t="s">
        <v>258</v>
      </c>
      <c r="AB43" s="246" t="s">
        <v>258</v>
      </c>
      <c r="AC43" s="246" t="s">
        <v>258</v>
      </c>
    </row>
    <row r="44" spans="1:29" x14ac:dyDescent="0.25">
      <c r="A44" s="1" t="s">
        <v>226</v>
      </c>
      <c r="B44" s="247">
        <v>43845</v>
      </c>
      <c r="C44" s="247" t="s">
        <v>256</v>
      </c>
      <c r="D44" s="247" t="s">
        <v>256</v>
      </c>
      <c r="E44" s="247" t="s">
        <v>256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2</v>
      </c>
      <c r="T44">
        <v>3</v>
      </c>
      <c r="U44">
        <v>4</v>
      </c>
      <c r="V44">
        <v>5</v>
      </c>
      <c r="W44">
        <v>6</v>
      </c>
      <c r="X44">
        <v>7</v>
      </c>
      <c r="Y44">
        <v>8</v>
      </c>
      <c r="Z44">
        <v>9</v>
      </c>
      <c r="AA44">
        <v>10</v>
      </c>
      <c r="AB44">
        <v>11</v>
      </c>
      <c r="AC44">
        <v>12</v>
      </c>
    </row>
    <row r="45" spans="1:29" x14ac:dyDescent="0.25">
      <c r="A45" s="1" t="s">
        <v>227</v>
      </c>
      <c r="B45" s="247">
        <v>43889</v>
      </c>
      <c r="C45" s="247" t="s">
        <v>256</v>
      </c>
      <c r="D45" s="247" t="s">
        <v>256</v>
      </c>
      <c r="E45" s="247" t="s">
        <v>256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13</v>
      </c>
      <c r="S45">
        <v>2</v>
      </c>
      <c r="T45">
        <v>3</v>
      </c>
      <c r="U45">
        <v>4</v>
      </c>
      <c r="V45">
        <v>5</v>
      </c>
      <c r="W45">
        <v>6</v>
      </c>
      <c r="X45">
        <v>7</v>
      </c>
      <c r="Y45">
        <v>8</v>
      </c>
      <c r="Z45">
        <v>9</v>
      </c>
      <c r="AA45">
        <v>10</v>
      </c>
      <c r="AB45">
        <v>11</v>
      </c>
      <c r="AC45">
        <v>12</v>
      </c>
    </row>
    <row r="46" spans="1:29" x14ac:dyDescent="0.25">
      <c r="A46" s="1" t="s">
        <v>228</v>
      </c>
      <c r="B46" s="247">
        <v>43861</v>
      </c>
      <c r="C46" s="247" t="s">
        <v>256</v>
      </c>
      <c r="D46" s="247" t="s">
        <v>256</v>
      </c>
      <c r="E46" s="247" t="s">
        <v>256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1</v>
      </c>
      <c r="S46">
        <v>2</v>
      </c>
      <c r="T46">
        <v>3</v>
      </c>
      <c r="U46">
        <v>4</v>
      </c>
      <c r="V46">
        <v>5</v>
      </c>
      <c r="W46">
        <v>6</v>
      </c>
      <c r="X46">
        <v>7</v>
      </c>
      <c r="Y46">
        <v>8</v>
      </c>
      <c r="Z46">
        <v>9</v>
      </c>
      <c r="AA46">
        <v>10</v>
      </c>
      <c r="AB46">
        <v>11</v>
      </c>
      <c r="AC46">
        <v>12</v>
      </c>
    </row>
    <row r="47" spans="1:29" x14ac:dyDescent="0.25">
      <c r="A47" s="1" t="s">
        <v>229</v>
      </c>
      <c r="B47" s="247">
        <v>44165</v>
      </c>
      <c r="C47" s="247" t="s">
        <v>256</v>
      </c>
      <c r="D47" s="247" t="s">
        <v>256</v>
      </c>
      <c r="E47" s="247" t="s">
        <v>256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1</v>
      </c>
      <c r="Q47">
        <v>0</v>
      </c>
      <c r="R47">
        <v>1</v>
      </c>
      <c r="S47">
        <v>2</v>
      </c>
      <c r="T47">
        <v>3</v>
      </c>
      <c r="U47">
        <v>4</v>
      </c>
      <c r="V47">
        <v>5</v>
      </c>
      <c r="W47">
        <v>6</v>
      </c>
      <c r="X47">
        <v>7</v>
      </c>
      <c r="Y47">
        <v>8</v>
      </c>
      <c r="Z47">
        <v>9</v>
      </c>
      <c r="AA47">
        <v>10</v>
      </c>
      <c r="AB47">
        <v>0</v>
      </c>
      <c r="AC47">
        <v>0</v>
      </c>
    </row>
    <row r="48" spans="1:29" x14ac:dyDescent="0.25">
      <c r="A48" s="1" t="s">
        <v>230</v>
      </c>
      <c r="B48" s="246" t="s">
        <v>257</v>
      </c>
      <c r="C48" s="246" t="s">
        <v>257</v>
      </c>
      <c r="D48" s="246" t="s">
        <v>257</v>
      </c>
      <c r="E48" s="246" t="s">
        <v>257</v>
      </c>
      <c r="F48" s="246" t="s">
        <v>258</v>
      </c>
      <c r="G48" s="246" t="s">
        <v>258</v>
      </c>
      <c r="H48" s="246" t="s">
        <v>258</v>
      </c>
      <c r="I48" s="246" t="s">
        <v>258</v>
      </c>
      <c r="J48" s="246" t="s">
        <v>258</v>
      </c>
      <c r="K48" s="246" t="s">
        <v>258</v>
      </c>
      <c r="L48" s="246" t="s">
        <v>258</v>
      </c>
      <c r="M48" s="246" t="s">
        <v>258</v>
      </c>
      <c r="N48" s="246" t="s">
        <v>258</v>
      </c>
      <c r="O48" s="246" t="s">
        <v>258</v>
      </c>
      <c r="P48" s="246" t="s">
        <v>258</v>
      </c>
      <c r="Q48" s="246" t="s">
        <v>258</v>
      </c>
      <c r="R48" s="246" t="s">
        <v>258</v>
      </c>
      <c r="S48" s="246" t="s">
        <v>258</v>
      </c>
      <c r="T48" s="246" t="s">
        <v>258</v>
      </c>
      <c r="U48" s="246" t="s">
        <v>258</v>
      </c>
      <c r="V48" s="246" t="s">
        <v>258</v>
      </c>
      <c r="W48" s="246" t="s">
        <v>258</v>
      </c>
      <c r="X48" s="246" t="s">
        <v>258</v>
      </c>
      <c r="Y48" s="246" t="s">
        <v>258</v>
      </c>
      <c r="Z48" s="246" t="s">
        <v>258</v>
      </c>
      <c r="AA48" s="246" t="s">
        <v>258</v>
      </c>
      <c r="AB48" s="246" t="s">
        <v>258</v>
      </c>
      <c r="AC48" s="246" t="s">
        <v>258</v>
      </c>
    </row>
    <row r="49" spans="1:29" x14ac:dyDescent="0.25">
      <c r="A49" s="1" t="s">
        <v>231</v>
      </c>
      <c r="B49" s="247">
        <v>43689</v>
      </c>
      <c r="C49" s="247">
        <v>43781</v>
      </c>
      <c r="D49" s="247">
        <v>43873</v>
      </c>
      <c r="E49" s="247">
        <v>43963</v>
      </c>
      <c r="F49">
        <v>0</v>
      </c>
      <c r="G49">
        <v>1</v>
      </c>
      <c r="H49">
        <v>0</v>
      </c>
      <c r="I49">
        <v>0</v>
      </c>
      <c r="J49">
        <v>1</v>
      </c>
      <c r="K49">
        <v>0</v>
      </c>
      <c r="L49">
        <v>0</v>
      </c>
      <c r="M49">
        <v>1</v>
      </c>
      <c r="N49">
        <v>0</v>
      </c>
      <c r="O49">
        <v>0</v>
      </c>
      <c r="P49">
        <v>1</v>
      </c>
      <c r="Q49">
        <v>0</v>
      </c>
      <c r="R49">
        <v>1</v>
      </c>
      <c r="S49">
        <v>0</v>
      </c>
      <c r="T49">
        <v>0</v>
      </c>
      <c r="U49">
        <v>1</v>
      </c>
      <c r="V49">
        <v>0</v>
      </c>
      <c r="W49">
        <v>0</v>
      </c>
      <c r="X49">
        <v>1</v>
      </c>
      <c r="Y49">
        <v>0</v>
      </c>
      <c r="Z49">
        <v>0</v>
      </c>
      <c r="AA49">
        <v>1</v>
      </c>
      <c r="AB49">
        <v>0</v>
      </c>
      <c r="AC49">
        <v>0</v>
      </c>
    </row>
    <row r="50" spans="1:29" x14ac:dyDescent="0.25">
      <c r="A50" s="1" t="s">
        <v>232</v>
      </c>
      <c r="B50" s="247">
        <v>43951</v>
      </c>
      <c r="C50" s="247">
        <v>44134</v>
      </c>
      <c r="D50" s="247" t="s">
        <v>256</v>
      </c>
      <c r="E50" s="247" t="s">
        <v>256</v>
      </c>
      <c r="F50">
        <v>0</v>
      </c>
      <c r="G50">
        <v>0</v>
      </c>
      <c r="H50">
        <v>0</v>
      </c>
      <c r="I50">
        <v>2</v>
      </c>
      <c r="J50">
        <v>1</v>
      </c>
      <c r="K50">
        <v>0</v>
      </c>
      <c r="L50">
        <v>0</v>
      </c>
      <c r="M50">
        <v>0</v>
      </c>
      <c r="N50">
        <v>0</v>
      </c>
      <c r="O50">
        <v>2</v>
      </c>
      <c r="P50">
        <v>1</v>
      </c>
      <c r="Q50">
        <v>0</v>
      </c>
      <c r="R50">
        <v>1</v>
      </c>
      <c r="S50">
        <v>2</v>
      </c>
      <c r="T50">
        <v>3</v>
      </c>
      <c r="U50">
        <v>0</v>
      </c>
      <c r="V50">
        <v>0</v>
      </c>
      <c r="W50">
        <v>0</v>
      </c>
      <c r="X50">
        <v>1</v>
      </c>
      <c r="Y50">
        <v>2</v>
      </c>
      <c r="Z50">
        <v>3</v>
      </c>
      <c r="AA50">
        <v>0</v>
      </c>
      <c r="AB50">
        <v>0</v>
      </c>
      <c r="AC50">
        <v>0</v>
      </c>
    </row>
    <row r="51" spans="1:29" x14ac:dyDescent="0.25">
      <c r="A51" s="1" t="s">
        <v>233</v>
      </c>
      <c r="B51" s="247">
        <v>43861</v>
      </c>
      <c r="C51" s="247">
        <v>44043</v>
      </c>
      <c r="D51" s="247" t="s">
        <v>256</v>
      </c>
      <c r="E51" s="247" t="s">
        <v>256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7</v>
      </c>
      <c r="S51">
        <v>8</v>
      </c>
      <c r="T51">
        <v>9</v>
      </c>
      <c r="U51">
        <v>10</v>
      </c>
      <c r="V51">
        <v>11</v>
      </c>
      <c r="W51">
        <v>12</v>
      </c>
      <c r="X51">
        <v>7</v>
      </c>
      <c r="Y51">
        <v>8</v>
      </c>
      <c r="Z51">
        <v>9</v>
      </c>
      <c r="AA51">
        <v>10</v>
      </c>
      <c r="AB51">
        <v>11</v>
      </c>
      <c r="AC51">
        <v>12</v>
      </c>
    </row>
    <row r="52" spans="1:29" x14ac:dyDescent="0.25">
      <c r="A52" s="1" t="s">
        <v>234</v>
      </c>
      <c r="B52" s="247">
        <v>44075</v>
      </c>
      <c r="C52" s="247" t="s">
        <v>256</v>
      </c>
      <c r="D52" s="247" t="s">
        <v>256</v>
      </c>
      <c r="E52" s="247" t="s">
        <v>256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7</v>
      </c>
      <c r="S52">
        <v>8</v>
      </c>
      <c r="T52">
        <v>9</v>
      </c>
      <c r="U52">
        <v>10</v>
      </c>
      <c r="V52">
        <v>11</v>
      </c>
      <c r="W52">
        <v>12</v>
      </c>
      <c r="X52">
        <v>13</v>
      </c>
      <c r="Y52">
        <v>2</v>
      </c>
      <c r="Z52">
        <v>3</v>
      </c>
      <c r="AA52">
        <v>4</v>
      </c>
      <c r="AB52">
        <v>5</v>
      </c>
      <c r="AC52">
        <v>6</v>
      </c>
    </row>
    <row r="53" spans="1:29" x14ac:dyDescent="0.25">
      <c r="A53" s="1" t="s">
        <v>235</v>
      </c>
      <c r="B53" s="247">
        <v>43779</v>
      </c>
      <c r="C53" s="247">
        <v>43961</v>
      </c>
      <c r="D53" s="247" t="s">
        <v>256</v>
      </c>
      <c r="E53" s="247" t="s">
        <v>256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7</v>
      </c>
      <c r="S53">
        <v>8</v>
      </c>
      <c r="T53">
        <v>9</v>
      </c>
      <c r="U53">
        <v>10</v>
      </c>
      <c r="V53">
        <v>5</v>
      </c>
      <c r="W53">
        <v>6</v>
      </c>
      <c r="X53">
        <v>7</v>
      </c>
      <c r="Y53">
        <v>8</v>
      </c>
      <c r="Z53">
        <v>9</v>
      </c>
      <c r="AA53">
        <v>10</v>
      </c>
      <c r="AB53">
        <v>5</v>
      </c>
      <c r="AC53">
        <v>6</v>
      </c>
    </row>
    <row r="54" spans="1:29" x14ac:dyDescent="0.25">
      <c r="B54" s="245"/>
      <c r="C54" s="245"/>
      <c r="D54" s="245"/>
      <c r="E54" s="245"/>
    </row>
    <row r="55" spans="1:29" x14ac:dyDescent="0.25">
      <c r="B55" s="245"/>
      <c r="C55" s="245"/>
      <c r="D55" s="245"/>
      <c r="E55" s="245"/>
    </row>
  </sheetData>
  <phoneticPr fontId="47" type="noConversion"/>
  <pageMargins left="0.7" right="0.7" top="0.75" bottom="0.75" header="0.3" footer="0.3"/>
  <pageSetup orientation="landscape" horizontalDpi="1200" verticalDpi="1200" r:id="rId1"/>
  <headerFooter>
    <oddFooter>&amp;LWednesday, November 09, 2022&amp;RPage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6763-0712-4559-B3BF-1D25DC559C8A}">
  <sheetPr codeName="Sheet4"/>
  <dimension ref="A1:Z55"/>
  <sheetViews>
    <sheetView workbookViewId="0">
      <selection activeCell="E4" sqref="E4"/>
    </sheetView>
  </sheetViews>
  <sheetFormatPr defaultColWidth="9.140625" defaultRowHeight="15" x14ac:dyDescent="0.25"/>
  <cols>
    <col min="1" max="1" width="7.5703125" style="1" bestFit="1" customWidth="1"/>
    <col min="2" max="2" width="17.5703125" style="1" bestFit="1" customWidth="1"/>
    <col min="3" max="3" width="20.42578125" style="49" bestFit="1" customWidth="1"/>
    <col min="4" max="4" width="19.42578125" style="49" bestFit="1" customWidth="1"/>
    <col min="5" max="5" width="22" style="49" bestFit="1" customWidth="1"/>
    <col min="6" max="6" width="22.85546875" style="49" bestFit="1" customWidth="1"/>
    <col min="7" max="8" width="22.42578125" style="49" bestFit="1" customWidth="1"/>
    <col min="9" max="9" width="20.42578125" style="49" bestFit="1" customWidth="1"/>
    <col min="10" max="10" width="19.42578125" style="49" bestFit="1" customWidth="1"/>
    <col min="11" max="11" width="22" style="49" bestFit="1" customWidth="1"/>
    <col min="12" max="12" width="22.85546875" style="49" bestFit="1" customWidth="1"/>
    <col min="13" max="13" width="22.42578125" style="1" bestFit="1" customWidth="1"/>
    <col min="14" max="14" width="22.42578125" style="49" bestFit="1" customWidth="1"/>
    <col min="15" max="15" width="20.42578125" style="1" bestFit="1" customWidth="1"/>
    <col min="16" max="16" width="19.42578125" style="1" bestFit="1" customWidth="1"/>
    <col min="17" max="17" width="22" style="1" bestFit="1" customWidth="1"/>
    <col min="18" max="18" width="22.85546875" style="1" bestFit="1" customWidth="1"/>
    <col min="19" max="20" width="22.42578125" style="1" bestFit="1" customWidth="1"/>
    <col min="21" max="21" width="20.42578125" style="1" bestFit="1" customWidth="1"/>
    <col min="22" max="22" width="19.42578125" style="1" bestFit="1" customWidth="1"/>
    <col min="23" max="23" width="22" style="1" bestFit="1" customWidth="1"/>
    <col min="24" max="24" width="22.85546875" style="1" bestFit="1" customWidth="1"/>
    <col min="25" max="26" width="22.42578125" style="1" bestFit="1" customWidth="1"/>
    <col min="27" max="16384" width="9.140625" style="1"/>
  </cols>
  <sheetData>
    <row r="1" spans="1:26" x14ac:dyDescent="0.25">
      <c r="A1" s="1">
        <v>1</v>
      </c>
      <c r="B1" s="1">
        <f>A1+1</f>
        <v>2</v>
      </c>
      <c r="C1" s="1">
        <f t="shared" ref="C1:Z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</row>
    <row r="2" spans="1:26" x14ac:dyDescent="0.25">
      <c r="A2" s="1" t="s">
        <v>9</v>
      </c>
      <c r="C2" s="1"/>
      <c r="D2" s="1"/>
      <c r="E2" s="1"/>
      <c r="F2" s="1"/>
      <c r="G2" s="1"/>
      <c r="H2" s="1"/>
      <c r="I2" s="1"/>
      <c r="J2" s="1"/>
      <c r="K2" s="1"/>
      <c r="L2" s="1"/>
      <c r="N2" s="1"/>
    </row>
    <row r="3" spans="1:26" x14ac:dyDescent="0.25">
      <c r="A3" s="243" t="s">
        <v>130</v>
      </c>
      <c r="B3" s="243" t="s">
        <v>259</v>
      </c>
      <c r="C3" s="244" t="s">
        <v>260</v>
      </c>
      <c r="D3" s="244" t="s">
        <v>261</v>
      </c>
      <c r="E3" s="244" t="s">
        <v>252</v>
      </c>
      <c r="F3" s="244" t="s">
        <v>253</v>
      </c>
      <c r="G3" s="244" t="s">
        <v>254</v>
      </c>
      <c r="H3" s="244" t="s">
        <v>255</v>
      </c>
      <c r="I3" s="244" t="s">
        <v>262</v>
      </c>
      <c r="J3" s="244" t="s">
        <v>263</v>
      </c>
      <c r="K3" s="244" t="s">
        <v>252</v>
      </c>
      <c r="L3" s="244" t="s">
        <v>253</v>
      </c>
      <c r="M3" s="244" t="s">
        <v>254</v>
      </c>
      <c r="N3" s="244" t="s">
        <v>255</v>
      </c>
      <c r="O3" s="244" t="s">
        <v>264</v>
      </c>
      <c r="P3" s="244" t="s">
        <v>265</v>
      </c>
      <c r="Q3" s="244" t="s">
        <v>252</v>
      </c>
      <c r="R3" s="244" t="s">
        <v>253</v>
      </c>
      <c r="S3" s="244" t="s">
        <v>254</v>
      </c>
      <c r="T3" s="244" t="s">
        <v>255</v>
      </c>
      <c r="U3" s="244" t="s">
        <v>266</v>
      </c>
      <c r="V3" s="244" t="s">
        <v>267</v>
      </c>
      <c r="W3" s="244" t="s">
        <v>252</v>
      </c>
      <c r="X3" s="244" t="s">
        <v>253</v>
      </c>
      <c r="Y3" s="244" t="s">
        <v>254</v>
      </c>
      <c r="Z3" s="244" t="s">
        <v>255</v>
      </c>
    </row>
    <row r="4" spans="1:26" x14ac:dyDescent="0.25">
      <c r="A4" s="1" t="s">
        <v>124</v>
      </c>
      <c r="B4" s="1">
        <v>1</v>
      </c>
      <c r="C4" s="187">
        <v>43831</v>
      </c>
      <c r="D4" s="187">
        <v>44196</v>
      </c>
      <c r="E4" s="187">
        <v>43997</v>
      </c>
      <c r="F4" s="187">
        <v>44058</v>
      </c>
      <c r="G4" s="187" t="s">
        <v>256</v>
      </c>
      <c r="H4" s="49" t="s">
        <v>256</v>
      </c>
      <c r="I4" s="49" t="s">
        <v>256</v>
      </c>
      <c r="J4" s="49" t="s">
        <v>256</v>
      </c>
      <c r="K4" s="49" t="s">
        <v>256</v>
      </c>
      <c r="L4" s="49" t="s">
        <v>256</v>
      </c>
      <c r="M4" s="49" t="s">
        <v>256</v>
      </c>
      <c r="N4" s="49" t="s">
        <v>256</v>
      </c>
      <c r="O4" s="49" t="s">
        <v>256</v>
      </c>
      <c r="P4" s="49" t="s">
        <v>256</v>
      </c>
      <c r="Q4" s="49" t="s">
        <v>256</v>
      </c>
      <c r="R4" s="49" t="s">
        <v>256</v>
      </c>
      <c r="S4" s="49" t="s">
        <v>256</v>
      </c>
      <c r="T4" s="49" t="s">
        <v>256</v>
      </c>
      <c r="U4" s="49" t="s">
        <v>256</v>
      </c>
      <c r="V4" s="49" t="s">
        <v>256</v>
      </c>
      <c r="W4" s="49" t="s">
        <v>256</v>
      </c>
      <c r="X4" s="49" t="s">
        <v>256</v>
      </c>
      <c r="Y4" s="49" t="s">
        <v>256</v>
      </c>
      <c r="Z4" s="49" t="s">
        <v>256</v>
      </c>
    </row>
    <row r="5" spans="1:26" x14ac:dyDescent="0.25">
      <c r="A5" s="1" t="s">
        <v>127</v>
      </c>
      <c r="B5" s="1">
        <v>1</v>
      </c>
      <c r="C5" s="187">
        <v>43739</v>
      </c>
      <c r="D5" s="187">
        <v>44104</v>
      </c>
      <c r="E5" s="187">
        <v>44196</v>
      </c>
      <c r="F5" s="49" t="s">
        <v>256</v>
      </c>
      <c r="G5" s="49" t="s">
        <v>256</v>
      </c>
      <c r="H5" s="49" t="s">
        <v>256</v>
      </c>
      <c r="I5" s="187">
        <v>44105</v>
      </c>
      <c r="J5" s="187">
        <v>44469</v>
      </c>
      <c r="K5" s="187">
        <v>44561</v>
      </c>
      <c r="L5" s="49" t="s">
        <v>256</v>
      </c>
      <c r="M5" s="49" t="s">
        <v>256</v>
      </c>
      <c r="N5" s="49" t="s">
        <v>256</v>
      </c>
      <c r="O5" s="49" t="s">
        <v>256</v>
      </c>
      <c r="P5" s="49" t="s">
        <v>256</v>
      </c>
      <c r="Q5" s="49" t="s">
        <v>256</v>
      </c>
      <c r="R5" s="49" t="s">
        <v>256</v>
      </c>
      <c r="S5" s="49" t="s">
        <v>256</v>
      </c>
      <c r="T5" s="49" t="s">
        <v>256</v>
      </c>
      <c r="U5" s="49" t="s">
        <v>256</v>
      </c>
      <c r="V5" s="49" t="s">
        <v>256</v>
      </c>
      <c r="W5" s="49" t="s">
        <v>256</v>
      </c>
      <c r="X5" s="49" t="s">
        <v>256</v>
      </c>
      <c r="Y5" s="49" t="s">
        <v>256</v>
      </c>
      <c r="Z5" s="49" t="s">
        <v>256</v>
      </c>
    </row>
    <row r="6" spans="1:26" x14ac:dyDescent="0.25">
      <c r="A6" s="1" t="s">
        <v>128</v>
      </c>
      <c r="B6" s="1">
        <v>1</v>
      </c>
      <c r="C6" s="187">
        <v>43466</v>
      </c>
      <c r="D6" s="187">
        <v>43830</v>
      </c>
      <c r="E6" s="187">
        <v>44119</v>
      </c>
      <c r="F6" s="187" t="s">
        <v>256</v>
      </c>
      <c r="G6" s="187" t="s">
        <v>256</v>
      </c>
      <c r="H6" s="49" t="s">
        <v>256</v>
      </c>
      <c r="I6" s="187">
        <v>43831</v>
      </c>
      <c r="J6" s="187">
        <v>44196</v>
      </c>
      <c r="K6" s="187">
        <v>44484</v>
      </c>
      <c r="L6" s="187" t="s">
        <v>256</v>
      </c>
      <c r="M6" s="187" t="s">
        <v>256</v>
      </c>
      <c r="N6" s="49" t="s">
        <v>256</v>
      </c>
      <c r="O6" s="49" t="s">
        <v>256</v>
      </c>
      <c r="P6" s="49" t="s">
        <v>256</v>
      </c>
      <c r="Q6" s="49" t="s">
        <v>256</v>
      </c>
      <c r="R6" s="49" t="s">
        <v>256</v>
      </c>
      <c r="S6" s="49" t="s">
        <v>256</v>
      </c>
      <c r="T6" s="49" t="s">
        <v>256</v>
      </c>
      <c r="U6" s="49" t="s">
        <v>256</v>
      </c>
      <c r="V6" s="49" t="s">
        <v>256</v>
      </c>
      <c r="W6" s="49" t="s">
        <v>256</v>
      </c>
      <c r="X6" s="49" t="s">
        <v>256</v>
      </c>
      <c r="Y6" s="49" t="s">
        <v>256</v>
      </c>
      <c r="Z6" s="49" t="s">
        <v>256</v>
      </c>
    </row>
    <row r="7" spans="1:26" x14ac:dyDescent="0.25">
      <c r="A7" s="1" t="s">
        <v>129</v>
      </c>
      <c r="B7" s="1">
        <v>2</v>
      </c>
      <c r="C7" s="187">
        <v>43466</v>
      </c>
      <c r="D7" s="187">
        <v>43830</v>
      </c>
      <c r="E7" s="187">
        <v>43770</v>
      </c>
      <c r="F7" s="187">
        <v>43952</v>
      </c>
      <c r="G7" s="49" t="s">
        <v>256</v>
      </c>
      <c r="H7" s="49" t="s">
        <v>256</v>
      </c>
      <c r="I7" s="187">
        <v>43831</v>
      </c>
      <c r="J7" s="187">
        <v>44196</v>
      </c>
      <c r="K7" s="187">
        <v>44136</v>
      </c>
      <c r="L7" s="187">
        <v>44317</v>
      </c>
      <c r="M7" s="49" t="s">
        <v>256</v>
      </c>
      <c r="N7" s="49" t="s">
        <v>256</v>
      </c>
      <c r="O7" s="49" t="s">
        <v>256</v>
      </c>
      <c r="P7" s="49" t="s">
        <v>256</v>
      </c>
      <c r="Q7" s="49" t="s">
        <v>256</v>
      </c>
      <c r="R7" s="49" t="s">
        <v>256</v>
      </c>
      <c r="S7" s="49" t="s">
        <v>256</v>
      </c>
      <c r="T7" s="49" t="s">
        <v>256</v>
      </c>
      <c r="U7" s="49" t="s">
        <v>256</v>
      </c>
      <c r="V7" s="49" t="s">
        <v>256</v>
      </c>
      <c r="W7" s="49" t="s">
        <v>256</v>
      </c>
      <c r="X7" s="49" t="s">
        <v>256</v>
      </c>
      <c r="Y7" s="49" t="s">
        <v>256</v>
      </c>
      <c r="Z7" s="49" t="s">
        <v>256</v>
      </c>
    </row>
    <row r="8" spans="1:26" x14ac:dyDescent="0.25">
      <c r="A8" s="1" t="s">
        <v>131</v>
      </c>
      <c r="B8" s="1">
        <v>2</v>
      </c>
      <c r="C8" s="187">
        <v>43647</v>
      </c>
      <c r="D8" s="187">
        <v>44012</v>
      </c>
      <c r="E8" s="187">
        <v>43809</v>
      </c>
      <c r="F8" s="187">
        <v>43931</v>
      </c>
      <c r="G8" s="187" t="s">
        <v>256</v>
      </c>
      <c r="H8" s="187" t="s">
        <v>256</v>
      </c>
      <c r="I8" s="187">
        <v>44013</v>
      </c>
      <c r="J8" s="187">
        <v>44377</v>
      </c>
      <c r="K8" s="187">
        <v>44175</v>
      </c>
      <c r="L8" s="187">
        <v>44296</v>
      </c>
      <c r="M8" s="187" t="s">
        <v>256</v>
      </c>
      <c r="N8" s="187" t="s">
        <v>256</v>
      </c>
      <c r="O8" s="49" t="s">
        <v>256</v>
      </c>
      <c r="P8" s="49" t="s">
        <v>256</v>
      </c>
      <c r="Q8" s="49" t="s">
        <v>256</v>
      </c>
      <c r="R8" s="49" t="s">
        <v>256</v>
      </c>
      <c r="S8" s="49" t="s">
        <v>256</v>
      </c>
      <c r="T8" s="49" t="s">
        <v>256</v>
      </c>
      <c r="U8" s="49" t="s">
        <v>256</v>
      </c>
      <c r="V8" s="49" t="s">
        <v>256</v>
      </c>
      <c r="W8" s="49" t="s">
        <v>256</v>
      </c>
      <c r="X8" s="49" t="s">
        <v>256</v>
      </c>
      <c r="Y8" s="49" t="s">
        <v>256</v>
      </c>
      <c r="Z8" s="49" t="s">
        <v>256</v>
      </c>
    </row>
    <row r="9" spans="1:26" x14ac:dyDescent="0.25">
      <c r="A9" s="1" t="s">
        <v>132</v>
      </c>
      <c r="B9" s="1">
        <v>2</v>
      </c>
      <c r="C9" s="187">
        <v>43466</v>
      </c>
      <c r="D9" s="187">
        <v>43830</v>
      </c>
      <c r="E9" s="187">
        <v>43889</v>
      </c>
      <c r="F9" s="187">
        <v>43997</v>
      </c>
      <c r="G9" s="187" t="s">
        <v>256</v>
      </c>
      <c r="H9" s="187" t="s">
        <v>256</v>
      </c>
      <c r="I9" s="187">
        <v>43831</v>
      </c>
      <c r="J9" s="187">
        <v>44196</v>
      </c>
      <c r="K9" s="187">
        <v>44255</v>
      </c>
      <c r="L9" s="187">
        <v>44359</v>
      </c>
      <c r="M9" s="187" t="s">
        <v>256</v>
      </c>
      <c r="N9" s="187" t="s">
        <v>256</v>
      </c>
      <c r="O9" s="49" t="s">
        <v>256</v>
      </c>
      <c r="P9" s="49" t="s">
        <v>256</v>
      </c>
      <c r="Q9" s="49" t="s">
        <v>256</v>
      </c>
      <c r="R9" s="49" t="s">
        <v>256</v>
      </c>
      <c r="S9" s="49" t="s">
        <v>256</v>
      </c>
      <c r="T9" s="49" t="s">
        <v>256</v>
      </c>
      <c r="U9" s="49" t="s">
        <v>256</v>
      </c>
      <c r="V9" s="49" t="s">
        <v>256</v>
      </c>
      <c r="W9" s="49" t="s">
        <v>256</v>
      </c>
      <c r="X9" s="49" t="s">
        <v>256</v>
      </c>
      <c r="Y9" s="49" t="s">
        <v>256</v>
      </c>
      <c r="Z9" s="49" t="s">
        <v>256</v>
      </c>
    </row>
    <row r="10" spans="1:26" x14ac:dyDescent="0.25">
      <c r="A10" s="1" t="s">
        <v>135</v>
      </c>
      <c r="B10" s="1">
        <v>2</v>
      </c>
      <c r="C10" s="187">
        <v>43647</v>
      </c>
      <c r="D10" s="187">
        <v>44012</v>
      </c>
      <c r="E10" s="187">
        <v>43678</v>
      </c>
      <c r="F10" s="187">
        <v>43862</v>
      </c>
      <c r="G10" s="187" t="s">
        <v>256</v>
      </c>
      <c r="H10" s="187" t="s">
        <v>256</v>
      </c>
      <c r="I10" s="187">
        <v>44013</v>
      </c>
      <c r="J10" s="187">
        <v>44377</v>
      </c>
      <c r="K10" s="187">
        <v>44044</v>
      </c>
      <c r="L10" s="187">
        <v>44228</v>
      </c>
      <c r="M10" s="187" t="s">
        <v>256</v>
      </c>
      <c r="N10" s="187" t="s">
        <v>256</v>
      </c>
      <c r="O10" s="49" t="s">
        <v>256</v>
      </c>
      <c r="P10" s="49" t="s">
        <v>256</v>
      </c>
      <c r="Q10" s="49" t="s">
        <v>256</v>
      </c>
      <c r="R10" s="49" t="s">
        <v>256</v>
      </c>
      <c r="S10" s="49" t="s">
        <v>256</v>
      </c>
      <c r="T10" s="49" t="s">
        <v>256</v>
      </c>
      <c r="U10" s="49" t="s">
        <v>256</v>
      </c>
      <c r="V10" s="49" t="s">
        <v>256</v>
      </c>
      <c r="W10" s="49" t="s">
        <v>256</v>
      </c>
      <c r="X10" s="49" t="s">
        <v>256</v>
      </c>
      <c r="Y10" s="49" t="s">
        <v>256</v>
      </c>
      <c r="Z10" s="49" t="s">
        <v>256</v>
      </c>
    </row>
    <row r="11" spans="1:26" x14ac:dyDescent="0.25">
      <c r="A11" s="1" t="s">
        <v>146</v>
      </c>
      <c r="B11" s="1">
        <v>2</v>
      </c>
      <c r="C11" s="187">
        <v>43739</v>
      </c>
      <c r="D11" s="187">
        <v>44104</v>
      </c>
      <c r="E11" s="187">
        <v>43921</v>
      </c>
      <c r="F11" s="187">
        <v>44089</v>
      </c>
      <c r="G11" s="49" t="s">
        <v>256</v>
      </c>
      <c r="H11" s="49" t="s">
        <v>256</v>
      </c>
      <c r="I11" s="187">
        <v>44105</v>
      </c>
      <c r="J11" s="187">
        <v>44469</v>
      </c>
      <c r="K11" s="187">
        <v>44286</v>
      </c>
      <c r="L11" s="187">
        <v>44454</v>
      </c>
      <c r="M11" s="49" t="s">
        <v>256</v>
      </c>
      <c r="N11" s="49" t="s">
        <v>256</v>
      </c>
      <c r="O11" s="49" t="s">
        <v>256</v>
      </c>
      <c r="P11" s="49" t="s">
        <v>256</v>
      </c>
      <c r="Q11" s="49" t="s">
        <v>256</v>
      </c>
      <c r="R11" s="49" t="s">
        <v>256</v>
      </c>
      <c r="S11" s="49" t="s">
        <v>256</v>
      </c>
      <c r="T11" s="49" t="s">
        <v>256</v>
      </c>
      <c r="U11" s="49" t="s">
        <v>256</v>
      </c>
      <c r="V11" s="49" t="s">
        <v>256</v>
      </c>
      <c r="W11" s="49" t="s">
        <v>256</v>
      </c>
      <c r="X11" s="49" t="s">
        <v>256</v>
      </c>
      <c r="Y11" s="49" t="s">
        <v>256</v>
      </c>
      <c r="Z11" s="49" t="s">
        <v>256</v>
      </c>
    </row>
    <row r="12" spans="1:26" x14ac:dyDescent="0.25">
      <c r="A12" s="1" t="s">
        <v>149</v>
      </c>
      <c r="B12" s="1">
        <v>4</v>
      </c>
      <c r="C12" s="187">
        <v>43647</v>
      </c>
      <c r="D12" s="187">
        <v>44012</v>
      </c>
      <c r="E12" s="187">
        <v>43738</v>
      </c>
      <c r="F12" s="187" t="s">
        <v>256</v>
      </c>
      <c r="G12" s="187" t="s">
        <v>256</v>
      </c>
      <c r="H12" s="187" t="s">
        <v>256</v>
      </c>
      <c r="I12" s="187">
        <v>44013</v>
      </c>
      <c r="J12" s="187">
        <v>44377</v>
      </c>
      <c r="K12" s="187">
        <v>44104</v>
      </c>
      <c r="L12" s="49" t="s">
        <v>256</v>
      </c>
      <c r="M12" s="49" t="s">
        <v>256</v>
      </c>
      <c r="N12" s="49" t="s">
        <v>256</v>
      </c>
      <c r="O12" s="49" t="s">
        <v>256</v>
      </c>
      <c r="P12" s="49" t="s">
        <v>256</v>
      </c>
      <c r="Q12" s="49" t="s">
        <v>256</v>
      </c>
      <c r="R12" s="49" t="s">
        <v>256</v>
      </c>
      <c r="S12" s="49" t="s">
        <v>256</v>
      </c>
      <c r="T12" s="49" t="s">
        <v>256</v>
      </c>
      <c r="U12" s="49" t="s">
        <v>256</v>
      </c>
      <c r="V12" s="49" t="s">
        <v>256</v>
      </c>
      <c r="W12" s="49" t="s">
        <v>256</v>
      </c>
      <c r="X12" s="49" t="s">
        <v>256</v>
      </c>
      <c r="Y12" s="49" t="s">
        <v>256</v>
      </c>
      <c r="Z12" s="49" t="s">
        <v>256</v>
      </c>
    </row>
    <row r="13" spans="1:26" x14ac:dyDescent="0.25">
      <c r="A13" s="1" t="s">
        <v>151</v>
      </c>
      <c r="B13" s="1">
        <v>1</v>
      </c>
      <c r="C13" s="187">
        <v>43831</v>
      </c>
      <c r="D13" s="187">
        <v>44196</v>
      </c>
      <c r="E13" s="187">
        <v>44165</v>
      </c>
      <c r="F13" s="49" t="s">
        <v>256</v>
      </c>
      <c r="G13" s="49" t="s">
        <v>256</v>
      </c>
      <c r="H13" s="49" t="s">
        <v>256</v>
      </c>
      <c r="I13" s="49" t="s">
        <v>256</v>
      </c>
      <c r="J13" s="49" t="s">
        <v>256</v>
      </c>
      <c r="K13" s="49" t="s">
        <v>256</v>
      </c>
      <c r="L13" s="49" t="s">
        <v>256</v>
      </c>
      <c r="M13" s="49" t="s">
        <v>256</v>
      </c>
      <c r="N13" s="49" t="s">
        <v>256</v>
      </c>
      <c r="O13" s="49" t="s">
        <v>256</v>
      </c>
      <c r="P13" s="49" t="s">
        <v>256</v>
      </c>
      <c r="Q13" s="49" t="s">
        <v>256</v>
      </c>
      <c r="R13" s="49" t="s">
        <v>256</v>
      </c>
      <c r="S13" s="49" t="s">
        <v>256</v>
      </c>
      <c r="T13" s="49" t="s">
        <v>256</v>
      </c>
      <c r="U13" s="49" t="s">
        <v>256</v>
      </c>
      <c r="V13" s="49" t="s">
        <v>256</v>
      </c>
      <c r="W13" s="49" t="s">
        <v>256</v>
      </c>
      <c r="X13" s="49" t="s">
        <v>256</v>
      </c>
      <c r="Y13" s="49" t="s">
        <v>256</v>
      </c>
      <c r="Z13" s="49" t="s">
        <v>256</v>
      </c>
    </row>
    <row r="14" spans="1:26" x14ac:dyDescent="0.25">
      <c r="A14" s="1" t="s">
        <v>152</v>
      </c>
      <c r="B14" s="1">
        <v>1</v>
      </c>
      <c r="C14" s="187">
        <v>43831</v>
      </c>
      <c r="D14" s="187">
        <v>44196</v>
      </c>
      <c r="E14" s="187">
        <v>44058</v>
      </c>
      <c r="F14" s="49" t="s">
        <v>256</v>
      </c>
      <c r="G14" s="49" t="s">
        <v>256</v>
      </c>
      <c r="H14" s="49" t="s">
        <v>256</v>
      </c>
      <c r="I14" s="49" t="s">
        <v>256</v>
      </c>
      <c r="J14" s="49" t="s">
        <v>256</v>
      </c>
      <c r="K14" s="49" t="s">
        <v>256</v>
      </c>
      <c r="L14" s="49" t="s">
        <v>256</v>
      </c>
      <c r="M14" s="49" t="s">
        <v>256</v>
      </c>
      <c r="N14" s="49" t="s">
        <v>256</v>
      </c>
      <c r="O14" s="49" t="s">
        <v>256</v>
      </c>
      <c r="P14" s="49" t="s">
        <v>256</v>
      </c>
      <c r="Q14" s="49" t="s">
        <v>256</v>
      </c>
      <c r="R14" s="49" t="s">
        <v>256</v>
      </c>
      <c r="S14" s="49" t="s">
        <v>256</v>
      </c>
      <c r="T14" s="49" t="s">
        <v>256</v>
      </c>
      <c r="U14" s="49" t="s">
        <v>256</v>
      </c>
      <c r="V14" s="49" t="s">
        <v>256</v>
      </c>
      <c r="W14" s="49" t="s">
        <v>256</v>
      </c>
      <c r="X14" s="49" t="s">
        <v>256</v>
      </c>
      <c r="Y14" s="49" t="s">
        <v>256</v>
      </c>
      <c r="Z14" s="49" t="s">
        <v>256</v>
      </c>
    </row>
    <row r="15" spans="1:26" x14ac:dyDescent="0.25">
      <c r="A15" s="1" t="s">
        <v>153</v>
      </c>
      <c r="B15" s="1">
        <v>2</v>
      </c>
      <c r="C15" s="187">
        <v>43647</v>
      </c>
      <c r="D15" s="187">
        <v>44012</v>
      </c>
      <c r="E15" s="187">
        <v>43697</v>
      </c>
      <c r="F15" s="187">
        <v>43881</v>
      </c>
      <c r="G15" s="187" t="s">
        <v>256</v>
      </c>
      <c r="H15" s="187" t="s">
        <v>256</v>
      </c>
      <c r="I15" s="187">
        <v>44013</v>
      </c>
      <c r="J15" s="187">
        <v>44377</v>
      </c>
      <c r="K15" s="187">
        <v>44063</v>
      </c>
      <c r="L15" s="187">
        <v>44247</v>
      </c>
      <c r="M15" s="49" t="s">
        <v>256</v>
      </c>
      <c r="N15" s="49" t="s">
        <v>256</v>
      </c>
      <c r="O15" s="49" t="s">
        <v>256</v>
      </c>
      <c r="P15" s="49" t="s">
        <v>256</v>
      </c>
      <c r="Q15" s="49" t="s">
        <v>256</v>
      </c>
      <c r="R15" s="49" t="s">
        <v>256</v>
      </c>
      <c r="S15" s="49" t="s">
        <v>256</v>
      </c>
      <c r="T15" s="49" t="s">
        <v>256</v>
      </c>
      <c r="U15" s="49" t="s">
        <v>256</v>
      </c>
      <c r="V15" s="49" t="s">
        <v>256</v>
      </c>
      <c r="W15" s="49" t="s">
        <v>256</v>
      </c>
      <c r="X15" s="49" t="s">
        <v>256</v>
      </c>
      <c r="Y15" s="49" t="s">
        <v>256</v>
      </c>
      <c r="Z15" s="49" t="s">
        <v>256</v>
      </c>
    </row>
    <row r="16" spans="1:26" x14ac:dyDescent="0.25">
      <c r="A16" s="1" t="s">
        <v>154</v>
      </c>
      <c r="B16" s="1">
        <v>2</v>
      </c>
      <c r="C16" s="187">
        <v>43647</v>
      </c>
      <c r="D16" s="187">
        <v>44012</v>
      </c>
      <c r="E16" s="187">
        <v>43738</v>
      </c>
      <c r="F16" s="187">
        <v>43921</v>
      </c>
      <c r="G16" s="187" t="s">
        <v>256</v>
      </c>
      <c r="H16" s="187" t="s">
        <v>256</v>
      </c>
      <c r="I16" s="187">
        <v>44013</v>
      </c>
      <c r="J16" s="187">
        <v>44377</v>
      </c>
      <c r="K16" s="187">
        <v>44104</v>
      </c>
      <c r="L16" s="187">
        <v>44286</v>
      </c>
      <c r="M16" s="49" t="s">
        <v>256</v>
      </c>
      <c r="N16" s="49" t="s">
        <v>256</v>
      </c>
      <c r="O16" s="49" t="s">
        <v>256</v>
      </c>
      <c r="P16" s="49" t="s">
        <v>256</v>
      </c>
      <c r="Q16" s="49" t="s">
        <v>256</v>
      </c>
      <c r="R16" s="49" t="s">
        <v>256</v>
      </c>
      <c r="S16" s="49" t="s">
        <v>256</v>
      </c>
      <c r="T16" s="49" t="s">
        <v>256</v>
      </c>
      <c r="U16" s="49" t="s">
        <v>256</v>
      </c>
      <c r="V16" s="49" t="s">
        <v>256</v>
      </c>
      <c r="W16" s="49" t="s">
        <v>256</v>
      </c>
      <c r="X16" s="49" t="s">
        <v>256</v>
      </c>
      <c r="Y16" s="49" t="s">
        <v>256</v>
      </c>
      <c r="Z16" s="49" t="s">
        <v>256</v>
      </c>
    </row>
    <row r="17" spans="1:26" x14ac:dyDescent="0.25">
      <c r="A17" s="1" t="s">
        <v>155</v>
      </c>
      <c r="B17" s="1">
        <v>2</v>
      </c>
      <c r="C17" s="187">
        <v>43466</v>
      </c>
      <c r="D17" s="187">
        <v>43830</v>
      </c>
      <c r="E17" s="187">
        <v>43819</v>
      </c>
      <c r="F17" s="187">
        <v>44002</v>
      </c>
      <c r="G17" s="187" t="s">
        <v>256</v>
      </c>
      <c r="H17" s="187" t="s">
        <v>256</v>
      </c>
      <c r="I17" s="187">
        <v>43831</v>
      </c>
      <c r="J17" s="187">
        <v>44196</v>
      </c>
      <c r="K17" s="187">
        <v>44185</v>
      </c>
      <c r="L17" s="187">
        <v>44367</v>
      </c>
      <c r="M17" s="49" t="s">
        <v>256</v>
      </c>
      <c r="N17" s="49" t="s">
        <v>256</v>
      </c>
      <c r="O17" s="49" t="s">
        <v>256</v>
      </c>
      <c r="P17" s="49" t="s">
        <v>256</v>
      </c>
      <c r="Q17" s="49" t="s">
        <v>256</v>
      </c>
      <c r="R17" s="49" t="s">
        <v>256</v>
      </c>
      <c r="S17" s="49" t="s">
        <v>256</v>
      </c>
      <c r="T17" s="49" t="s">
        <v>256</v>
      </c>
      <c r="U17" s="49" t="s">
        <v>256</v>
      </c>
      <c r="V17" s="49" t="s">
        <v>256</v>
      </c>
      <c r="W17" s="49" t="s">
        <v>256</v>
      </c>
      <c r="X17" s="49" t="s">
        <v>256</v>
      </c>
      <c r="Y17" s="49" t="s">
        <v>256</v>
      </c>
      <c r="Z17" s="49" t="s">
        <v>256</v>
      </c>
    </row>
    <row r="18" spans="1:26" x14ac:dyDescent="0.25">
      <c r="A18" s="1" t="s">
        <v>156</v>
      </c>
      <c r="B18" s="1">
        <v>2</v>
      </c>
      <c r="C18" s="187">
        <v>43466</v>
      </c>
      <c r="D18" s="187">
        <v>43830</v>
      </c>
      <c r="E18" s="187">
        <v>43891</v>
      </c>
      <c r="F18" s="187">
        <v>44044</v>
      </c>
      <c r="G18" s="187" t="s">
        <v>256</v>
      </c>
      <c r="H18" s="187" t="s">
        <v>256</v>
      </c>
      <c r="I18" s="187">
        <v>43831</v>
      </c>
      <c r="J18" s="187">
        <v>44196</v>
      </c>
      <c r="K18" s="187">
        <v>44256</v>
      </c>
      <c r="L18" s="187">
        <v>44409</v>
      </c>
      <c r="M18" s="49" t="s">
        <v>256</v>
      </c>
      <c r="N18" s="49" t="s">
        <v>256</v>
      </c>
      <c r="O18" s="49" t="s">
        <v>256</v>
      </c>
      <c r="P18" s="49" t="s">
        <v>256</v>
      </c>
      <c r="Q18" s="49" t="s">
        <v>256</v>
      </c>
      <c r="R18" s="49" t="s">
        <v>256</v>
      </c>
      <c r="S18" s="49" t="s">
        <v>256</v>
      </c>
      <c r="T18" s="49" t="s">
        <v>256</v>
      </c>
      <c r="U18" s="49" t="s">
        <v>256</v>
      </c>
      <c r="V18" s="49" t="s">
        <v>256</v>
      </c>
      <c r="W18" s="49" t="s">
        <v>256</v>
      </c>
      <c r="X18" s="49" t="s">
        <v>256</v>
      </c>
      <c r="Y18" s="49" t="s">
        <v>256</v>
      </c>
      <c r="Z18" s="49" t="s">
        <v>256</v>
      </c>
    </row>
    <row r="19" spans="1:26" x14ac:dyDescent="0.25">
      <c r="A19" s="1" t="s">
        <v>157</v>
      </c>
      <c r="B19" s="1">
        <v>2</v>
      </c>
      <c r="C19" s="187">
        <v>43466</v>
      </c>
      <c r="D19" s="187">
        <v>43830</v>
      </c>
      <c r="E19" s="187">
        <v>43961</v>
      </c>
      <c r="F19" s="187">
        <v>44145</v>
      </c>
      <c r="G19" s="187" t="s">
        <v>256</v>
      </c>
      <c r="H19" s="187" t="s">
        <v>256</v>
      </c>
      <c r="I19" s="187">
        <v>43831</v>
      </c>
      <c r="J19" s="187">
        <v>44196</v>
      </c>
      <c r="K19" s="187">
        <v>44326</v>
      </c>
      <c r="L19" s="187">
        <v>44510</v>
      </c>
      <c r="M19" s="49" t="s">
        <v>256</v>
      </c>
      <c r="N19" s="49" t="s">
        <v>256</v>
      </c>
      <c r="O19" s="49" t="s">
        <v>256</v>
      </c>
      <c r="P19" s="49" t="s">
        <v>256</v>
      </c>
      <c r="Q19" s="49" t="s">
        <v>256</v>
      </c>
      <c r="R19" s="49" t="s">
        <v>256</v>
      </c>
      <c r="S19" s="49" t="s">
        <v>256</v>
      </c>
      <c r="T19" s="49" t="s">
        <v>256</v>
      </c>
      <c r="U19" s="49" t="s">
        <v>256</v>
      </c>
      <c r="V19" s="49" t="s">
        <v>256</v>
      </c>
      <c r="W19" s="49" t="s">
        <v>256</v>
      </c>
      <c r="X19" s="49" t="s">
        <v>256</v>
      </c>
      <c r="Y19" s="49" t="s">
        <v>256</v>
      </c>
      <c r="Z19" s="49" t="s">
        <v>256</v>
      </c>
    </row>
    <row r="20" spans="1:26" x14ac:dyDescent="0.25">
      <c r="A20" s="1" t="s">
        <v>158</v>
      </c>
      <c r="B20" s="1">
        <v>2</v>
      </c>
      <c r="C20" s="187">
        <v>43466</v>
      </c>
      <c r="D20" s="187">
        <v>43830</v>
      </c>
      <c r="E20" s="187">
        <v>43819</v>
      </c>
      <c r="F20" s="187">
        <v>43961</v>
      </c>
      <c r="G20" s="49" t="s">
        <v>256</v>
      </c>
      <c r="H20" s="49" t="s">
        <v>256</v>
      </c>
      <c r="I20" s="187">
        <v>43831</v>
      </c>
      <c r="J20" s="187">
        <v>44196</v>
      </c>
      <c r="K20" s="187">
        <v>44185</v>
      </c>
      <c r="L20" s="187">
        <v>44326</v>
      </c>
      <c r="M20" s="49" t="s">
        <v>256</v>
      </c>
      <c r="N20" s="49" t="s">
        <v>256</v>
      </c>
      <c r="O20" s="49" t="s">
        <v>256</v>
      </c>
      <c r="P20" s="49" t="s">
        <v>256</v>
      </c>
      <c r="Q20" s="49" t="s">
        <v>256</v>
      </c>
      <c r="R20" s="49" t="s">
        <v>256</v>
      </c>
      <c r="S20" s="49" t="s">
        <v>256</v>
      </c>
      <c r="T20" s="49" t="s">
        <v>256</v>
      </c>
      <c r="U20" s="49" t="s">
        <v>256</v>
      </c>
      <c r="V20" s="49" t="s">
        <v>256</v>
      </c>
      <c r="W20" s="49" t="s">
        <v>256</v>
      </c>
      <c r="X20" s="49" t="s">
        <v>256</v>
      </c>
      <c r="Y20" s="49" t="s">
        <v>256</v>
      </c>
      <c r="Z20" s="49" t="s">
        <v>256</v>
      </c>
    </row>
    <row r="21" spans="1:26" x14ac:dyDescent="0.25">
      <c r="A21" s="1" t="s">
        <v>162</v>
      </c>
      <c r="B21" s="1">
        <v>1</v>
      </c>
      <c r="C21" s="187">
        <v>43831</v>
      </c>
      <c r="D21" s="187">
        <v>44196</v>
      </c>
      <c r="E21" s="187">
        <v>44196</v>
      </c>
      <c r="F21" s="49" t="s">
        <v>256</v>
      </c>
      <c r="G21" s="49" t="s">
        <v>256</v>
      </c>
      <c r="H21" s="49" t="s">
        <v>256</v>
      </c>
      <c r="I21" s="49" t="s">
        <v>256</v>
      </c>
      <c r="J21" s="49" t="s">
        <v>256</v>
      </c>
      <c r="K21" s="49" t="s">
        <v>256</v>
      </c>
      <c r="L21" s="49" t="s">
        <v>256</v>
      </c>
      <c r="M21" s="49" t="s">
        <v>256</v>
      </c>
      <c r="N21" s="49" t="s">
        <v>256</v>
      </c>
      <c r="O21" s="49" t="s">
        <v>256</v>
      </c>
      <c r="P21" s="49" t="s">
        <v>256</v>
      </c>
      <c r="Q21" s="49" t="s">
        <v>256</v>
      </c>
      <c r="R21" s="49" t="s">
        <v>256</v>
      </c>
      <c r="S21" s="49" t="s">
        <v>256</v>
      </c>
      <c r="T21" s="49" t="s">
        <v>256</v>
      </c>
      <c r="U21" s="49" t="s">
        <v>256</v>
      </c>
      <c r="V21" s="49" t="s">
        <v>256</v>
      </c>
      <c r="W21" s="49" t="s">
        <v>256</v>
      </c>
      <c r="X21" s="49" t="s">
        <v>256</v>
      </c>
      <c r="Y21" s="49" t="s">
        <v>256</v>
      </c>
      <c r="Z21" s="49" t="s">
        <v>256</v>
      </c>
    </row>
    <row r="22" spans="1:26" x14ac:dyDescent="0.25">
      <c r="A22" s="1" t="s">
        <v>169</v>
      </c>
      <c r="B22" s="1">
        <v>1</v>
      </c>
      <c r="C22" s="187">
        <v>43831</v>
      </c>
      <c r="D22" s="187">
        <v>44196</v>
      </c>
      <c r="E22" s="187">
        <v>44196</v>
      </c>
      <c r="F22" s="49" t="s">
        <v>256</v>
      </c>
      <c r="G22" s="49" t="s">
        <v>256</v>
      </c>
      <c r="H22" s="49" t="s">
        <v>256</v>
      </c>
      <c r="I22" s="49" t="s">
        <v>256</v>
      </c>
      <c r="J22" s="49" t="s">
        <v>256</v>
      </c>
      <c r="K22" s="49" t="s">
        <v>256</v>
      </c>
      <c r="L22" s="49" t="s">
        <v>256</v>
      </c>
      <c r="M22" s="49" t="s">
        <v>256</v>
      </c>
      <c r="N22" s="49" t="s">
        <v>256</v>
      </c>
      <c r="O22" s="49" t="s">
        <v>256</v>
      </c>
      <c r="P22" s="49" t="s">
        <v>256</v>
      </c>
      <c r="Q22" s="49" t="s">
        <v>256</v>
      </c>
      <c r="R22" s="49" t="s">
        <v>256</v>
      </c>
      <c r="S22" s="49" t="s">
        <v>256</v>
      </c>
      <c r="T22" s="49" t="s">
        <v>256</v>
      </c>
      <c r="U22" s="49" t="s">
        <v>256</v>
      </c>
      <c r="V22" s="49" t="s">
        <v>256</v>
      </c>
      <c r="W22" s="49" t="s">
        <v>256</v>
      </c>
      <c r="X22" s="49" t="s">
        <v>256</v>
      </c>
      <c r="Y22" s="49" t="s">
        <v>256</v>
      </c>
      <c r="Z22" s="49" t="s">
        <v>256</v>
      </c>
    </row>
    <row r="23" spans="1:26" x14ac:dyDescent="0.25">
      <c r="A23" s="1" t="s">
        <v>171</v>
      </c>
      <c r="B23" s="1">
        <v>4</v>
      </c>
      <c r="C23" s="187">
        <v>43647</v>
      </c>
      <c r="D23" s="187">
        <v>44012</v>
      </c>
      <c r="E23" s="187">
        <v>43678</v>
      </c>
      <c r="F23" s="187">
        <v>43770</v>
      </c>
      <c r="G23" s="187">
        <v>43862</v>
      </c>
      <c r="H23" s="187">
        <v>43952</v>
      </c>
      <c r="I23" s="187">
        <v>44013</v>
      </c>
      <c r="J23" s="187">
        <v>44377</v>
      </c>
      <c r="K23" s="187">
        <v>44044</v>
      </c>
      <c r="L23" s="187">
        <v>44136</v>
      </c>
      <c r="M23" s="187">
        <v>44228</v>
      </c>
      <c r="N23" s="187">
        <v>44317</v>
      </c>
      <c r="O23" s="49" t="s">
        <v>256</v>
      </c>
      <c r="P23" s="49" t="s">
        <v>256</v>
      </c>
      <c r="Q23" s="49" t="s">
        <v>256</v>
      </c>
      <c r="R23" s="49" t="s">
        <v>256</v>
      </c>
      <c r="S23" s="49" t="s">
        <v>256</v>
      </c>
      <c r="T23" s="49" t="s">
        <v>256</v>
      </c>
      <c r="U23" s="49" t="s">
        <v>256</v>
      </c>
      <c r="V23" s="49" t="s">
        <v>256</v>
      </c>
      <c r="W23" s="49" t="s">
        <v>256</v>
      </c>
      <c r="X23" s="49" t="s">
        <v>256</v>
      </c>
      <c r="Y23" s="49" t="s">
        <v>256</v>
      </c>
      <c r="Z23" s="49" t="s">
        <v>256</v>
      </c>
    </row>
    <row r="24" spans="1:26" x14ac:dyDescent="0.25">
      <c r="A24" s="1" t="s">
        <v>173</v>
      </c>
      <c r="B24" s="1">
        <v>1</v>
      </c>
      <c r="C24" s="187">
        <v>43647</v>
      </c>
      <c r="D24" s="187">
        <v>44012</v>
      </c>
      <c r="E24" s="187">
        <v>43738</v>
      </c>
      <c r="F24" s="49" t="s">
        <v>256</v>
      </c>
      <c r="G24" s="49" t="s">
        <v>256</v>
      </c>
      <c r="H24" s="49" t="s">
        <v>256</v>
      </c>
      <c r="I24" s="187">
        <v>44013</v>
      </c>
      <c r="J24" s="187">
        <v>44377</v>
      </c>
      <c r="K24" s="187">
        <v>44104</v>
      </c>
      <c r="L24" s="49" t="s">
        <v>256</v>
      </c>
      <c r="M24" s="49" t="s">
        <v>256</v>
      </c>
      <c r="N24" s="49" t="s">
        <v>256</v>
      </c>
      <c r="O24" s="49" t="s">
        <v>256</v>
      </c>
      <c r="P24" s="49" t="s">
        <v>256</v>
      </c>
      <c r="Q24" s="49" t="s">
        <v>256</v>
      </c>
      <c r="R24" s="49" t="s">
        <v>256</v>
      </c>
      <c r="S24" s="49" t="s">
        <v>256</v>
      </c>
      <c r="T24" s="49" t="s">
        <v>256</v>
      </c>
      <c r="U24" s="49" t="s">
        <v>256</v>
      </c>
      <c r="V24" s="49" t="s">
        <v>256</v>
      </c>
      <c r="W24" s="49" t="s">
        <v>256</v>
      </c>
      <c r="X24" s="49" t="s">
        <v>256</v>
      </c>
      <c r="Y24" s="49" t="s">
        <v>256</v>
      </c>
      <c r="Z24" s="49" t="s">
        <v>256</v>
      </c>
    </row>
    <row r="25" spans="1:26" x14ac:dyDescent="0.25">
      <c r="A25" s="1" t="s">
        <v>175</v>
      </c>
      <c r="B25" s="1">
        <v>1</v>
      </c>
      <c r="C25" s="49" t="s">
        <v>256</v>
      </c>
      <c r="D25" s="49" t="s">
        <v>256</v>
      </c>
      <c r="E25" s="49" t="s">
        <v>256</v>
      </c>
      <c r="F25" s="49" t="s">
        <v>256</v>
      </c>
      <c r="G25" s="49" t="s">
        <v>256</v>
      </c>
      <c r="H25" s="49" t="s">
        <v>256</v>
      </c>
      <c r="I25" s="49" t="s">
        <v>256</v>
      </c>
      <c r="J25" s="49" t="s">
        <v>256</v>
      </c>
      <c r="K25" s="49" t="s">
        <v>256</v>
      </c>
      <c r="L25" s="49" t="s">
        <v>256</v>
      </c>
      <c r="M25" s="49" t="s">
        <v>256</v>
      </c>
      <c r="N25" s="49" t="s">
        <v>256</v>
      </c>
      <c r="O25" s="49" t="s">
        <v>256</v>
      </c>
      <c r="P25" s="49" t="s">
        <v>256</v>
      </c>
      <c r="Q25" s="49" t="s">
        <v>256</v>
      </c>
      <c r="R25" s="49" t="s">
        <v>256</v>
      </c>
      <c r="S25" s="49" t="s">
        <v>256</v>
      </c>
      <c r="T25" s="49" t="s">
        <v>256</v>
      </c>
      <c r="U25" s="49" t="s">
        <v>256</v>
      </c>
      <c r="V25" s="49" t="s">
        <v>256</v>
      </c>
      <c r="W25" s="49" t="s">
        <v>256</v>
      </c>
      <c r="X25" s="49" t="s">
        <v>256</v>
      </c>
      <c r="Y25" s="49" t="s">
        <v>256</v>
      </c>
      <c r="Z25" s="49" t="s">
        <v>256</v>
      </c>
    </row>
    <row r="26" spans="1:26" x14ac:dyDescent="0.25">
      <c r="A26" s="1" t="s">
        <v>177</v>
      </c>
      <c r="B26" s="1">
        <v>2</v>
      </c>
      <c r="C26" s="187">
        <v>43647</v>
      </c>
      <c r="D26" s="187">
        <v>44012</v>
      </c>
      <c r="E26" s="187">
        <v>43677</v>
      </c>
      <c r="F26" s="49" t="s">
        <v>256</v>
      </c>
      <c r="G26" s="49" t="s">
        <v>256</v>
      </c>
      <c r="H26" s="49" t="s">
        <v>256</v>
      </c>
      <c r="I26" s="187">
        <v>44013</v>
      </c>
      <c r="J26" s="187">
        <v>44377</v>
      </c>
      <c r="K26" s="187">
        <v>44043</v>
      </c>
      <c r="L26" s="49" t="s">
        <v>256</v>
      </c>
      <c r="M26" s="49" t="s">
        <v>256</v>
      </c>
      <c r="N26" s="49" t="s">
        <v>256</v>
      </c>
      <c r="O26" s="2">
        <v>43466</v>
      </c>
      <c r="P26" s="2">
        <v>43830</v>
      </c>
      <c r="Q26" s="2">
        <v>43875</v>
      </c>
      <c r="R26" s="49" t="s">
        <v>256</v>
      </c>
      <c r="S26" s="49" t="s">
        <v>256</v>
      </c>
      <c r="T26" s="49" t="s">
        <v>256</v>
      </c>
      <c r="U26" s="2">
        <v>43831</v>
      </c>
      <c r="V26" s="2">
        <v>44196</v>
      </c>
      <c r="W26" s="2">
        <v>44241</v>
      </c>
      <c r="X26" s="49" t="s">
        <v>256</v>
      </c>
      <c r="Y26" s="49" t="s">
        <v>256</v>
      </c>
      <c r="Z26" s="49" t="s">
        <v>256</v>
      </c>
    </row>
    <row r="27" spans="1:26" x14ac:dyDescent="0.25">
      <c r="A27" s="1" t="s">
        <v>179</v>
      </c>
      <c r="B27" s="1">
        <v>2</v>
      </c>
      <c r="C27" s="187">
        <v>43831</v>
      </c>
      <c r="D27" s="187">
        <v>44196</v>
      </c>
      <c r="E27" s="187">
        <v>43966</v>
      </c>
      <c r="F27" s="187">
        <v>44119</v>
      </c>
      <c r="G27" s="49" t="s">
        <v>256</v>
      </c>
      <c r="H27" s="49" t="s">
        <v>256</v>
      </c>
      <c r="I27" s="49" t="s">
        <v>256</v>
      </c>
      <c r="J27" s="49" t="s">
        <v>256</v>
      </c>
      <c r="K27" s="49" t="s">
        <v>256</v>
      </c>
      <c r="L27" s="49" t="s">
        <v>256</v>
      </c>
      <c r="M27" s="49" t="s">
        <v>256</v>
      </c>
      <c r="N27" s="49" t="s">
        <v>256</v>
      </c>
      <c r="O27" s="49" t="s">
        <v>256</v>
      </c>
      <c r="P27" s="49" t="s">
        <v>256</v>
      </c>
      <c r="Q27" s="49" t="s">
        <v>256</v>
      </c>
      <c r="R27" s="49" t="s">
        <v>256</v>
      </c>
      <c r="S27" s="49" t="s">
        <v>256</v>
      </c>
      <c r="T27" s="49" t="s">
        <v>256</v>
      </c>
      <c r="U27" s="49" t="s">
        <v>256</v>
      </c>
      <c r="V27" s="49" t="s">
        <v>256</v>
      </c>
      <c r="W27" s="49" t="s">
        <v>256</v>
      </c>
      <c r="X27" s="49" t="s">
        <v>256</v>
      </c>
      <c r="Y27" s="49" t="s">
        <v>256</v>
      </c>
      <c r="Z27" s="49" t="s">
        <v>256</v>
      </c>
    </row>
    <row r="28" spans="1:26" x14ac:dyDescent="0.25">
      <c r="A28" s="1" t="s">
        <v>181</v>
      </c>
      <c r="B28" s="1">
        <v>1</v>
      </c>
      <c r="C28" s="187">
        <v>43831</v>
      </c>
      <c r="D28" s="187">
        <v>44196</v>
      </c>
      <c r="E28" s="187">
        <v>44196</v>
      </c>
      <c r="F28" s="49" t="s">
        <v>256</v>
      </c>
      <c r="G28" s="49" t="s">
        <v>256</v>
      </c>
      <c r="H28" s="49" t="s">
        <v>256</v>
      </c>
      <c r="I28" s="49" t="s">
        <v>256</v>
      </c>
      <c r="J28" s="49" t="s">
        <v>256</v>
      </c>
      <c r="K28" s="49" t="s">
        <v>256</v>
      </c>
      <c r="L28" s="49" t="s">
        <v>256</v>
      </c>
      <c r="M28" s="49" t="s">
        <v>256</v>
      </c>
      <c r="N28" s="49" t="s">
        <v>256</v>
      </c>
      <c r="O28" s="49" t="s">
        <v>256</v>
      </c>
      <c r="P28" s="49" t="s">
        <v>256</v>
      </c>
      <c r="Q28" s="49" t="s">
        <v>256</v>
      </c>
      <c r="R28" s="49" t="s">
        <v>256</v>
      </c>
      <c r="S28" s="49" t="s">
        <v>256</v>
      </c>
      <c r="T28" s="49" t="s">
        <v>256</v>
      </c>
      <c r="U28" s="49" t="s">
        <v>256</v>
      </c>
      <c r="V28" s="49" t="s">
        <v>256</v>
      </c>
      <c r="W28" s="49" t="s">
        <v>256</v>
      </c>
      <c r="X28" s="49" t="s">
        <v>256</v>
      </c>
      <c r="Y28" s="49" t="s">
        <v>256</v>
      </c>
      <c r="Z28" s="49" t="s">
        <v>256</v>
      </c>
    </row>
    <row r="29" spans="1:26" x14ac:dyDescent="0.25">
      <c r="A29" s="1" t="s">
        <v>183</v>
      </c>
      <c r="B29" s="1">
        <v>1</v>
      </c>
      <c r="C29" s="187">
        <v>43466</v>
      </c>
      <c r="D29" s="187">
        <v>43830</v>
      </c>
      <c r="E29" s="187">
        <v>43862</v>
      </c>
      <c r="F29" s="49" t="s">
        <v>256</v>
      </c>
      <c r="G29" s="49" t="s">
        <v>256</v>
      </c>
      <c r="H29" s="49" t="s">
        <v>256</v>
      </c>
      <c r="I29" s="187">
        <v>43831</v>
      </c>
      <c r="J29" s="187">
        <v>44196</v>
      </c>
      <c r="K29" s="187">
        <v>44228</v>
      </c>
      <c r="L29" s="49" t="s">
        <v>256</v>
      </c>
      <c r="M29" s="49" t="s">
        <v>256</v>
      </c>
      <c r="N29" s="49" t="s">
        <v>256</v>
      </c>
      <c r="O29" s="49" t="s">
        <v>256</v>
      </c>
      <c r="P29" s="49" t="s">
        <v>256</v>
      </c>
      <c r="Q29" s="49" t="s">
        <v>256</v>
      </c>
      <c r="R29" s="49" t="s">
        <v>256</v>
      </c>
      <c r="S29" s="49" t="s">
        <v>256</v>
      </c>
      <c r="T29" s="49" t="s">
        <v>256</v>
      </c>
      <c r="U29" s="49" t="s">
        <v>256</v>
      </c>
      <c r="V29" s="49" t="s">
        <v>256</v>
      </c>
      <c r="W29" s="49" t="s">
        <v>256</v>
      </c>
      <c r="X29" s="49" t="s">
        <v>256</v>
      </c>
      <c r="Y29" s="49" t="s">
        <v>256</v>
      </c>
      <c r="Z29" s="49" t="s">
        <v>256</v>
      </c>
    </row>
    <row r="30" spans="1:26" x14ac:dyDescent="0.25">
      <c r="A30" s="1" t="s">
        <v>185</v>
      </c>
      <c r="B30" s="1">
        <v>1</v>
      </c>
      <c r="C30" s="187">
        <v>43466</v>
      </c>
      <c r="D30" s="187">
        <v>43830</v>
      </c>
      <c r="E30" s="187">
        <v>43799</v>
      </c>
      <c r="F30" s="187">
        <v>43982</v>
      </c>
      <c r="G30" s="49" t="s">
        <v>256</v>
      </c>
      <c r="H30" s="49" t="s">
        <v>256</v>
      </c>
      <c r="I30" s="187">
        <v>43831</v>
      </c>
      <c r="J30" s="187">
        <v>44196</v>
      </c>
      <c r="K30" s="187">
        <v>44165</v>
      </c>
      <c r="L30" s="187">
        <v>44347</v>
      </c>
      <c r="M30" s="49" t="s">
        <v>256</v>
      </c>
      <c r="N30" s="49" t="s">
        <v>256</v>
      </c>
      <c r="O30" s="49" t="s">
        <v>256</v>
      </c>
      <c r="P30" s="49" t="s">
        <v>256</v>
      </c>
      <c r="Q30" s="49" t="s">
        <v>256</v>
      </c>
      <c r="R30" s="49" t="s">
        <v>256</v>
      </c>
      <c r="S30" s="49" t="s">
        <v>256</v>
      </c>
      <c r="T30" s="49" t="s">
        <v>256</v>
      </c>
      <c r="U30" s="49" t="s">
        <v>256</v>
      </c>
      <c r="V30" s="49" t="s">
        <v>256</v>
      </c>
      <c r="W30" s="49" t="s">
        <v>256</v>
      </c>
      <c r="X30" s="49" t="s">
        <v>256</v>
      </c>
      <c r="Y30" s="49" t="s">
        <v>256</v>
      </c>
      <c r="Z30" s="49" t="s">
        <v>256</v>
      </c>
    </row>
    <row r="31" spans="1:26" x14ac:dyDescent="0.25">
      <c r="A31" s="1" t="s">
        <v>187</v>
      </c>
      <c r="B31" s="1">
        <v>1</v>
      </c>
      <c r="C31" s="187">
        <v>43466</v>
      </c>
      <c r="D31" s="187">
        <v>43830</v>
      </c>
      <c r="E31" s="187">
        <v>43831</v>
      </c>
      <c r="F31" s="49" t="s">
        <v>256</v>
      </c>
      <c r="G31" s="49" t="s">
        <v>256</v>
      </c>
      <c r="H31" s="49" t="s">
        <v>256</v>
      </c>
      <c r="I31" s="187">
        <v>43831</v>
      </c>
      <c r="J31" s="187">
        <v>44196</v>
      </c>
      <c r="K31" s="187">
        <v>44197</v>
      </c>
      <c r="L31" s="49" t="s">
        <v>256</v>
      </c>
      <c r="M31" s="49" t="s">
        <v>256</v>
      </c>
      <c r="N31" s="49" t="s">
        <v>256</v>
      </c>
      <c r="O31" s="49" t="s">
        <v>256</v>
      </c>
      <c r="P31" s="49" t="s">
        <v>256</v>
      </c>
      <c r="Q31" s="49" t="s">
        <v>256</v>
      </c>
      <c r="R31" s="49" t="s">
        <v>256</v>
      </c>
      <c r="S31" s="49" t="s">
        <v>256</v>
      </c>
      <c r="T31" s="49" t="s">
        <v>256</v>
      </c>
      <c r="U31" s="49" t="s">
        <v>256</v>
      </c>
      <c r="V31" s="49" t="s">
        <v>256</v>
      </c>
      <c r="W31" s="49" t="s">
        <v>256</v>
      </c>
      <c r="X31" s="49" t="s">
        <v>256</v>
      </c>
      <c r="Y31" s="49" t="s">
        <v>256</v>
      </c>
      <c r="Z31" s="49" t="s">
        <v>256</v>
      </c>
    </row>
    <row r="32" spans="1:26" x14ac:dyDescent="0.25">
      <c r="A32" s="1" t="s">
        <v>202</v>
      </c>
      <c r="B32" s="1">
        <v>1</v>
      </c>
      <c r="C32" s="187">
        <v>43466</v>
      </c>
      <c r="D32" s="187">
        <v>43830</v>
      </c>
      <c r="E32" s="187">
        <v>43891</v>
      </c>
      <c r="F32" s="187">
        <v>44119</v>
      </c>
      <c r="G32" s="49" t="s">
        <v>256</v>
      </c>
      <c r="H32" s="49" t="s">
        <v>256</v>
      </c>
      <c r="I32" s="187">
        <v>43831</v>
      </c>
      <c r="J32" s="187">
        <v>44196</v>
      </c>
      <c r="K32" s="187">
        <v>44256</v>
      </c>
      <c r="L32" s="187">
        <v>44484</v>
      </c>
      <c r="M32" s="49" t="s">
        <v>256</v>
      </c>
      <c r="N32" s="49" t="s">
        <v>256</v>
      </c>
      <c r="O32" s="49" t="s">
        <v>256</v>
      </c>
      <c r="P32" s="49" t="s">
        <v>256</v>
      </c>
      <c r="Q32" s="49" t="s">
        <v>256</v>
      </c>
      <c r="R32" s="49" t="s">
        <v>256</v>
      </c>
      <c r="S32" s="49" t="s">
        <v>256</v>
      </c>
      <c r="T32" s="49" t="s">
        <v>256</v>
      </c>
      <c r="U32" s="49" t="s">
        <v>256</v>
      </c>
      <c r="V32" s="49" t="s">
        <v>256</v>
      </c>
      <c r="W32" s="49" t="s">
        <v>256</v>
      </c>
      <c r="X32" s="49" t="s">
        <v>256</v>
      </c>
      <c r="Y32" s="49" t="s">
        <v>256</v>
      </c>
      <c r="Z32" s="49" t="s">
        <v>256</v>
      </c>
    </row>
    <row r="33" spans="1:26" x14ac:dyDescent="0.25">
      <c r="A33" s="1" t="s">
        <v>208</v>
      </c>
      <c r="B33" s="1">
        <v>2</v>
      </c>
      <c r="C33" s="187">
        <v>43466</v>
      </c>
      <c r="D33" s="187">
        <v>43830</v>
      </c>
      <c r="E33" s="187">
        <v>43951</v>
      </c>
      <c r="F33" s="187">
        <v>44074</v>
      </c>
      <c r="G33" s="49" t="s">
        <v>256</v>
      </c>
      <c r="H33" s="49" t="s">
        <v>256</v>
      </c>
      <c r="I33" s="187">
        <v>43831</v>
      </c>
      <c r="J33" s="187">
        <v>44196</v>
      </c>
      <c r="K33" s="187">
        <v>44316</v>
      </c>
      <c r="L33" s="187">
        <v>44439</v>
      </c>
      <c r="M33" s="49" t="s">
        <v>256</v>
      </c>
      <c r="N33" s="49" t="s">
        <v>256</v>
      </c>
      <c r="O33" s="49" t="s">
        <v>256</v>
      </c>
      <c r="P33" s="49" t="s">
        <v>256</v>
      </c>
      <c r="Q33" s="49" t="s">
        <v>256</v>
      </c>
      <c r="R33" s="49" t="s">
        <v>256</v>
      </c>
      <c r="S33" s="49" t="s">
        <v>256</v>
      </c>
      <c r="T33" s="49" t="s">
        <v>256</v>
      </c>
      <c r="U33" s="49" t="s">
        <v>256</v>
      </c>
      <c r="V33" s="49" t="s">
        <v>256</v>
      </c>
      <c r="W33" s="49" t="s">
        <v>256</v>
      </c>
      <c r="X33" s="49" t="s">
        <v>256</v>
      </c>
      <c r="Y33" s="49" t="s">
        <v>256</v>
      </c>
      <c r="Z33" s="49" t="s">
        <v>256</v>
      </c>
    </row>
    <row r="34" spans="1:26" x14ac:dyDescent="0.25">
      <c r="A34" s="1" t="s">
        <v>211</v>
      </c>
      <c r="B34" s="1">
        <v>2</v>
      </c>
      <c r="C34" s="187">
        <v>43922</v>
      </c>
      <c r="D34" s="187">
        <v>44286</v>
      </c>
      <c r="E34" s="187">
        <v>44013</v>
      </c>
      <c r="F34" s="187">
        <v>44166</v>
      </c>
      <c r="G34" s="49" t="s">
        <v>256</v>
      </c>
      <c r="H34" s="49" t="s">
        <v>256</v>
      </c>
      <c r="I34" s="49" t="s">
        <v>256</v>
      </c>
      <c r="J34" s="49" t="s">
        <v>256</v>
      </c>
      <c r="K34" s="49" t="s">
        <v>256</v>
      </c>
      <c r="L34" s="49" t="s">
        <v>256</v>
      </c>
      <c r="M34" s="49" t="s">
        <v>256</v>
      </c>
      <c r="N34" s="49" t="s">
        <v>256</v>
      </c>
      <c r="O34" s="49" t="s">
        <v>256</v>
      </c>
      <c r="P34" s="49" t="s">
        <v>256</v>
      </c>
      <c r="Q34" s="49" t="s">
        <v>256</v>
      </c>
      <c r="R34" s="49" t="s">
        <v>256</v>
      </c>
      <c r="S34" s="49" t="s">
        <v>256</v>
      </c>
      <c r="T34" s="49" t="s">
        <v>256</v>
      </c>
      <c r="U34" s="49" t="s">
        <v>256</v>
      </c>
      <c r="V34" s="49" t="s">
        <v>256</v>
      </c>
      <c r="W34" s="49" t="s">
        <v>256</v>
      </c>
      <c r="X34" s="49" t="s">
        <v>256</v>
      </c>
      <c r="Y34" s="49" t="s">
        <v>256</v>
      </c>
      <c r="Z34" s="49" t="s">
        <v>256</v>
      </c>
    </row>
    <row r="35" spans="1:26" x14ac:dyDescent="0.25">
      <c r="A35" s="1" t="s">
        <v>214</v>
      </c>
      <c r="B35" s="1">
        <v>4</v>
      </c>
      <c r="C35" s="187">
        <v>43831</v>
      </c>
      <c r="D35" s="187">
        <v>44196</v>
      </c>
      <c r="E35" s="187">
        <v>43862</v>
      </c>
      <c r="F35" s="187">
        <v>43952</v>
      </c>
      <c r="G35" s="187">
        <v>44044</v>
      </c>
      <c r="H35" s="187">
        <v>44136</v>
      </c>
      <c r="I35" s="49" t="s">
        <v>256</v>
      </c>
      <c r="J35" s="49" t="s">
        <v>256</v>
      </c>
      <c r="K35" s="49" t="s">
        <v>256</v>
      </c>
      <c r="L35" s="49" t="s">
        <v>256</v>
      </c>
      <c r="M35" s="49" t="s">
        <v>256</v>
      </c>
      <c r="N35" s="49" t="s">
        <v>256</v>
      </c>
      <c r="O35" s="49" t="s">
        <v>256</v>
      </c>
      <c r="P35" s="49" t="s">
        <v>256</v>
      </c>
      <c r="Q35" s="49" t="s">
        <v>256</v>
      </c>
      <c r="R35" s="49" t="s">
        <v>256</v>
      </c>
      <c r="S35" s="49" t="s">
        <v>256</v>
      </c>
      <c r="T35" s="49" t="s">
        <v>256</v>
      </c>
      <c r="U35" s="49" t="s">
        <v>256</v>
      </c>
      <c r="V35" s="49" t="s">
        <v>256</v>
      </c>
      <c r="W35" s="49" t="s">
        <v>256</v>
      </c>
      <c r="X35" s="49" t="s">
        <v>256</v>
      </c>
      <c r="Y35" s="49" t="s">
        <v>256</v>
      </c>
      <c r="Z35" s="49" t="s">
        <v>256</v>
      </c>
    </row>
    <row r="36" spans="1:26" x14ac:dyDescent="0.25">
      <c r="A36" s="1" t="s">
        <v>217</v>
      </c>
      <c r="B36" s="1">
        <v>2</v>
      </c>
      <c r="C36" s="187">
        <v>43831</v>
      </c>
      <c r="D36" s="187">
        <v>44196</v>
      </c>
      <c r="E36" s="187">
        <v>44175</v>
      </c>
      <c r="F36" s="187">
        <v>44326</v>
      </c>
      <c r="G36" s="49" t="s">
        <v>256</v>
      </c>
      <c r="H36" s="49" t="s">
        <v>256</v>
      </c>
      <c r="I36" s="49" t="s">
        <v>256</v>
      </c>
      <c r="J36" s="49" t="s">
        <v>256</v>
      </c>
      <c r="K36" s="49" t="s">
        <v>256</v>
      </c>
      <c r="L36" s="49" t="s">
        <v>256</v>
      </c>
      <c r="M36" s="49" t="s">
        <v>256</v>
      </c>
      <c r="N36" s="49" t="s">
        <v>256</v>
      </c>
      <c r="O36" s="49" t="s">
        <v>256</v>
      </c>
      <c r="P36" s="49" t="s">
        <v>256</v>
      </c>
      <c r="Q36" s="49" t="s">
        <v>256</v>
      </c>
      <c r="R36" s="49" t="s">
        <v>256</v>
      </c>
      <c r="S36" s="49" t="s">
        <v>256</v>
      </c>
      <c r="T36" s="49" t="s">
        <v>256</v>
      </c>
      <c r="U36" s="49" t="s">
        <v>256</v>
      </c>
      <c r="V36" s="49" t="s">
        <v>256</v>
      </c>
      <c r="W36" s="49" t="s">
        <v>256</v>
      </c>
      <c r="X36" s="49" t="s">
        <v>256</v>
      </c>
      <c r="Y36" s="49" t="s">
        <v>256</v>
      </c>
      <c r="Z36" s="49" t="s">
        <v>256</v>
      </c>
    </row>
    <row r="37" spans="1:26" x14ac:dyDescent="0.25">
      <c r="A37" s="1" t="s">
        <v>219</v>
      </c>
      <c r="B37" s="1">
        <v>1</v>
      </c>
      <c r="C37" s="187">
        <v>43647</v>
      </c>
      <c r="D37" s="187">
        <v>44012</v>
      </c>
      <c r="E37" s="187">
        <v>43706</v>
      </c>
      <c r="F37" s="187">
        <v>43755</v>
      </c>
      <c r="G37" s="187">
        <v>43846</v>
      </c>
      <c r="H37" s="187">
        <v>43902</v>
      </c>
      <c r="I37" s="187">
        <v>44013</v>
      </c>
      <c r="J37" s="187">
        <v>44377</v>
      </c>
      <c r="K37" s="187">
        <v>44070</v>
      </c>
      <c r="L37" s="187">
        <v>44119</v>
      </c>
      <c r="M37" s="2">
        <v>44210</v>
      </c>
      <c r="N37" s="187">
        <v>44266</v>
      </c>
      <c r="O37" s="49" t="s">
        <v>256</v>
      </c>
      <c r="P37" s="49" t="s">
        <v>256</v>
      </c>
      <c r="Q37" s="49" t="s">
        <v>256</v>
      </c>
      <c r="R37" s="49" t="s">
        <v>256</v>
      </c>
      <c r="S37" s="49" t="s">
        <v>256</v>
      </c>
      <c r="T37" s="49" t="s">
        <v>256</v>
      </c>
      <c r="U37" s="49" t="s">
        <v>256</v>
      </c>
      <c r="V37" s="49" t="s">
        <v>256</v>
      </c>
      <c r="W37" s="49" t="s">
        <v>256</v>
      </c>
      <c r="X37" s="49" t="s">
        <v>256</v>
      </c>
      <c r="Y37" s="49" t="s">
        <v>256</v>
      </c>
      <c r="Z37" s="49" t="s">
        <v>256</v>
      </c>
    </row>
    <row r="38" spans="1:26" x14ac:dyDescent="0.25">
      <c r="A38" s="1" t="s">
        <v>220</v>
      </c>
      <c r="B38" s="1">
        <v>2</v>
      </c>
      <c r="C38" s="187">
        <v>43647</v>
      </c>
      <c r="D38" s="187">
        <v>44012</v>
      </c>
      <c r="E38" s="187">
        <v>43647</v>
      </c>
      <c r="F38" s="187">
        <v>43831</v>
      </c>
      <c r="G38" s="187" t="s">
        <v>256</v>
      </c>
      <c r="H38" s="187" t="s">
        <v>256</v>
      </c>
      <c r="I38" s="187">
        <v>44013</v>
      </c>
      <c r="J38" s="187">
        <v>44377</v>
      </c>
      <c r="K38" s="187">
        <v>44013</v>
      </c>
      <c r="L38" s="187">
        <v>44197</v>
      </c>
      <c r="M38" s="49" t="s">
        <v>256</v>
      </c>
      <c r="N38" s="49" t="s">
        <v>256</v>
      </c>
      <c r="O38" s="49" t="s">
        <v>256</v>
      </c>
      <c r="P38" s="49" t="s">
        <v>256</v>
      </c>
      <c r="Q38" s="49" t="s">
        <v>256</v>
      </c>
      <c r="R38" s="49" t="s">
        <v>256</v>
      </c>
      <c r="S38" s="49" t="s">
        <v>256</v>
      </c>
      <c r="T38" s="49" t="s">
        <v>256</v>
      </c>
      <c r="U38" s="49" t="s">
        <v>256</v>
      </c>
      <c r="V38" s="49" t="s">
        <v>256</v>
      </c>
      <c r="W38" s="49" t="s">
        <v>256</v>
      </c>
      <c r="X38" s="49" t="s">
        <v>256</v>
      </c>
      <c r="Y38" s="49" t="s">
        <v>256</v>
      </c>
      <c r="Z38" s="49" t="s">
        <v>256</v>
      </c>
    </row>
    <row r="39" spans="1:26" x14ac:dyDescent="0.25">
      <c r="A39" s="1" t="s">
        <v>221</v>
      </c>
      <c r="B39" s="1">
        <v>2</v>
      </c>
      <c r="C39" s="268">
        <v>43466</v>
      </c>
      <c r="D39" s="268">
        <v>43830</v>
      </c>
      <c r="E39" s="268">
        <v>43851</v>
      </c>
      <c r="F39" s="268">
        <v>44004</v>
      </c>
      <c r="G39" s="245" t="s">
        <v>256</v>
      </c>
      <c r="H39" s="245" t="s">
        <v>256</v>
      </c>
      <c r="I39" s="268">
        <v>43831</v>
      </c>
      <c r="J39" s="268">
        <v>44196</v>
      </c>
      <c r="K39" s="268">
        <v>44216</v>
      </c>
      <c r="L39" s="268">
        <v>44368</v>
      </c>
      <c r="M39" s="245" t="s">
        <v>256</v>
      </c>
      <c r="N39" s="245" t="s">
        <v>256</v>
      </c>
      <c r="O39" s="49" t="s">
        <v>256</v>
      </c>
      <c r="P39" s="49" t="s">
        <v>256</v>
      </c>
      <c r="Q39" s="49" t="s">
        <v>256</v>
      </c>
      <c r="R39" s="49" t="s">
        <v>256</v>
      </c>
      <c r="S39" s="49" t="s">
        <v>256</v>
      </c>
      <c r="T39" s="49" t="s">
        <v>256</v>
      </c>
      <c r="U39" s="49" t="s">
        <v>256</v>
      </c>
      <c r="V39" s="49" t="s">
        <v>256</v>
      </c>
      <c r="W39" s="49" t="s">
        <v>256</v>
      </c>
      <c r="X39" s="49" t="s">
        <v>256</v>
      </c>
      <c r="Y39" s="49" t="s">
        <v>256</v>
      </c>
      <c r="Z39" s="49" t="s">
        <v>256</v>
      </c>
    </row>
    <row r="40" spans="1:26" x14ac:dyDescent="0.25">
      <c r="A40" s="1" t="s">
        <v>222</v>
      </c>
      <c r="B40" s="1">
        <v>2</v>
      </c>
      <c r="C40" s="268">
        <v>43466</v>
      </c>
      <c r="D40" s="268">
        <v>43830</v>
      </c>
      <c r="E40" s="268">
        <v>43830</v>
      </c>
      <c r="F40" s="268">
        <v>43922</v>
      </c>
      <c r="G40" s="245" t="s">
        <v>256</v>
      </c>
      <c r="H40" s="245" t="s">
        <v>256</v>
      </c>
      <c r="I40" s="268">
        <v>43831</v>
      </c>
      <c r="J40" s="268">
        <v>44196</v>
      </c>
      <c r="K40" s="268">
        <v>44196</v>
      </c>
      <c r="L40" s="268">
        <v>43922</v>
      </c>
      <c r="M40" s="245" t="s">
        <v>256</v>
      </c>
      <c r="N40" s="245" t="s">
        <v>256</v>
      </c>
      <c r="O40" s="49" t="s">
        <v>256</v>
      </c>
      <c r="P40" s="49" t="s">
        <v>256</v>
      </c>
      <c r="Q40" s="49" t="s">
        <v>256</v>
      </c>
      <c r="R40" s="49" t="s">
        <v>256</v>
      </c>
      <c r="S40" s="49" t="s">
        <v>256</v>
      </c>
      <c r="T40" s="49" t="s">
        <v>256</v>
      </c>
      <c r="U40" s="49" t="s">
        <v>256</v>
      </c>
      <c r="V40" s="49" t="s">
        <v>256</v>
      </c>
      <c r="W40" s="49" t="s">
        <v>256</v>
      </c>
      <c r="X40" s="49" t="s">
        <v>256</v>
      </c>
      <c r="Y40" s="49" t="s">
        <v>256</v>
      </c>
      <c r="Z40" s="49" t="s">
        <v>256</v>
      </c>
    </row>
    <row r="41" spans="1:26" x14ac:dyDescent="0.25">
      <c r="A41" s="1" t="s">
        <v>223</v>
      </c>
      <c r="B41" s="1">
        <v>3</v>
      </c>
      <c r="C41" s="187">
        <v>43647</v>
      </c>
      <c r="D41" s="187">
        <v>44012</v>
      </c>
      <c r="E41" s="187">
        <v>43784</v>
      </c>
      <c r="F41" s="187">
        <v>43876</v>
      </c>
      <c r="G41" s="187">
        <v>43966</v>
      </c>
      <c r="H41" s="49" t="s">
        <v>256</v>
      </c>
      <c r="I41" s="187">
        <v>44013</v>
      </c>
      <c r="J41" s="187">
        <v>44377</v>
      </c>
      <c r="K41" s="187">
        <v>44150</v>
      </c>
      <c r="L41" s="187">
        <v>44242</v>
      </c>
      <c r="M41" s="2">
        <v>44331</v>
      </c>
      <c r="N41" s="49" t="s">
        <v>256</v>
      </c>
      <c r="O41" s="49" t="s">
        <v>256</v>
      </c>
      <c r="P41" s="49" t="s">
        <v>256</v>
      </c>
      <c r="Q41" s="49" t="s">
        <v>256</v>
      </c>
      <c r="R41" s="49" t="s">
        <v>256</v>
      </c>
      <c r="S41" s="49" t="s">
        <v>256</v>
      </c>
      <c r="T41" s="49" t="s">
        <v>256</v>
      </c>
      <c r="U41" s="49" t="s">
        <v>256</v>
      </c>
      <c r="V41" s="49" t="s">
        <v>256</v>
      </c>
      <c r="W41" s="49" t="s">
        <v>256</v>
      </c>
      <c r="X41" s="49" t="s">
        <v>256</v>
      </c>
      <c r="Y41" s="49" t="s">
        <v>256</v>
      </c>
      <c r="Z41" s="49" t="s">
        <v>256</v>
      </c>
    </row>
    <row r="42" spans="1:26" x14ac:dyDescent="0.25">
      <c r="A42" s="1" t="s">
        <v>224</v>
      </c>
      <c r="B42" s="1">
        <v>12</v>
      </c>
      <c r="C42" s="49" t="s">
        <v>256</v>
      </c>
      <c r="D42" s="49" t="s">
        <v>256</v>
      </c>
      <c r="E42" s="49" t="s">
        <v>256</v>
      </c>
      <c r="F42" s="49" t="s">
        <v>256</v>
      </c>
      <c r="G42" s="49" t="s">
        <v>256</v>
      </c>
      <c r="H42" s="49" t="s">
        <v>256</v>
      </c>
      <c r="I42" s="49" t="s">
        <v>256</v>
      </c>
      <c r="J42" s="49" t="s">
        <v>256</v>
      </c>
      <c r="K42" s="49" t="s">
        <v>256</v>
      </c>
      <c r="L42" s="49" t="s">
        <v>256</v>
      </c>
      <c r="M42" s="49" t="s">
        <v>256</v>
      </c>
      <c r="N42" s="49" t="s">
        <v>256</v>
      </c>
      <c r="O42" s="49" t="s">
        <v>256</v>
      </c>
      <c r="P42" s="49" t="s">
        <v>256</v>
      </c>
      <c r="Q42" s="49" t="s">
        <v>256</v>
      </c>
      <c r="R42" s="49" t="s">
        <v>256</v>
      </c>
      <c r="S42" s="49" t="s">
        <v>256</v>
      </c>
      <c r="T42" s="49" t="s">
        <v>256</v>
      </c>
      <c r="U42" s="49" t="s">
        <v>256</v>
      </c>
      <c r="V42" s="49" t="s">
        <v>256</v>
      </c>
      <c r="W42" s="49" t="s">
        <v>256</v>
      </c>
      <c r="X42" s="49" t="s">
        <v>256</v>
      </c>
      <c r="Y42" s="49" t="s">
        <v>256</v>
      </c>
      <c r="Z42" s="49" t="s">
        <v>256</v>
      </c>
    </row>
    <row r="43" spans="1:26" x14ac:dyDescent="0.25">
      <c r="A43" s="1" t="s">
        <v>225</v>
      </c>
      <c r="B43" s="1">
        <v>1</v>
      </c>
      <c r="C43" s="49" t="s">
        <v>256</v>
      </c>
      <c r="D43" s="49" t="s">
        <v>256</v>
      </c>
      <c r="E43" s="49" t="s">
        <v>256</v>
      </c>
      <c r="F43" s="49" t="s">
        <v>256</v>
      </c>
      <c r="G43" s="49" t="s">
        <v>256</v>
      </c>
      <c r="H43" s="49" t="s">
        <v>256</v>
      </c>
      <c r="I43" s="49" t="s">
        <v>256</v>
      </c>
      <c r="J43" s="49" t="s">
        <v>256</v>
      </c>
      <c r="K43" s="49" t="s">
        <v>256</v>
      </c>
      <c r="L43" s="49" t="s">
        <v>256</v>
      </c>
      <c r="M43" s="49" t="s">
        <v>256</v>
      </c>
      <c r="N43" s="49" t="s">
        <v>256</v>
      </c>
      <c r="O43" s="49" t="s">
        <v>256</v>
      </c>
      <c r="P43" s="49" t="s">
        <v>256</v>
      </c>
      <c r="Q43" s="49" t="s">
        <v>256</v>
      </c>
      <c r="R43" s="49" t="s">
        <v>256</v>
      </c>
      <c r="S43" s="49" t="s">
        <v>256</v>
      </c>
      <c r="T43" s="49" t="s">
        <v>256</v>
      </c>
      <c r="U43" s="49" t="s">
        <v>256</v>
      </c>
      <c r="V43" s="49" t="s">
        <v>256</v>
      </c>
      <c r="W43" s="49" t="s">
        <v>256</v>
      </c>
      <c r="X43" s="49" t="s">
        <v>256</v>
      </c>
      <c r="Y43" s="49" t="s">
        <v>256</v>
      </c>
      <c r="Z43" s="49" t="s">
        <v>256</v>
      </c>
    </row>
    <row r="44" spans="1:26" x14ac:dyDescent="0.25">
      <c r="A44" s="1" t="s">
        <v>226</v>
      </c>
      <c r="B44" s="1">
        <v>1</v>
      </c>
      <c r="C44" s="268">
        <v>43466</v>
      </c>
      <c r="D44" s="268">
        <v>43830</v>
      </c>
      <c r="E44" s="268">
        <v>43845</v>
      </c>
      <c r="F44" s="245" t="s">
        <v>256</v>
      </c>
      <c r="G44" s="245" t="s">
        <v>256</v>
      </c>
      <c r="H44" s="245" t="s">
        <v>256</v>
      </c>
      <c r="I44" s="268">
        <v>43831</v>
      </c>
      <c r="J44" s="268">
        <v>44196</v>
      </c>
      <c r="K44" s="268">
        <v>44211</v>
      </c>
      <c r="L44" s="245" t="s">
        <v>256</v>
      </c>
      <c r="M44" s="245" t="s">
        <v>256</v>
      </c>
      <c r="N44" s="245" t="s">
        <v>256</v>
      </c>
      <c r="O44" s="49" t="s">
        <v>256</v>
      </c>
      <c r="P44" s="49" t="s">
        <v>256</v>
      </c>
      <c r="Q44" s="49" t="s">
        <v>256</v>
      </c>
      <c r="R44" s="49" t="s">
        <v>256</v>
      </c>
      <c r="S44" s="49" t="s">
        <v>256</v>
      </c>
      <c r="T44" s="49" t="s">
        <v>256</v>
      </c>
      <c r="U44" s="49" t="s">
        <v>256</v>
      </c>
      <c r="V44" s="49" t="s">
        <v>256</v>
      </c>
      <c r="W44" s="49" t="s">
        <v>256</v>
      </c>
      <c r="X44" s="49" t="s">
        <v>256</v>
      </c>
      <c r="Y44" s="49" t="s">
        <v>256</v>
      </c>
      <c r="Z44" s="49" t="s">
        <v>256</v>
      </c>
    </row>
    <row r="45" spans="1:26" x14ac:dyDescent="0.25">
      <c r="A45" s="1" t="s">
        <v>227</v>
      </c>
      <c r="B45" s="1">
        <v>1</v>
      </c>
      <c r="C45" s="268">
        <v>43466</v>
      </c>
      <c r="D45" s="268">
        <v>43830</v>
      </c>
      <c r="E45" s="268">
        <v>43889</v>
      </c>
      <c r="F45" s="245" t="s">
        <v>256</v>
      </c>
      <c r="G45" s="245" t="s">
        <v>256</v>
      </c>
      <c r="H45" s="245" t="s">
        <v>256</v>
      </c>
      <c r="I45" s="268">
        <v>43831</v>
      </c>
      <c r="J45" s="268">
        <v>44196</v>
      </c>
      <c r="K45" s="268">
        <v>44253</v>
      </c>
      <c r="L45" s="245" t="s">
        <v>256</v>
      </c>
      <c r="M45" s="245" t="s">
        <v>256</v>
      </c>
      <c r="N45" s="245" t="s">
        <v>256</v>
      </c>
      <c r="O45" s="49" t="s">
        <v>256</v>
      </c>
      <c r="P45" s="49" t="s">
        <v>256</v>
      </c>
      <c r="Q45" s="49" t="s">
        <v>256</v>
      </c>
      <c r="R45" s="49" t="s">
        <v>256</v>
      </c>
      <c r="S45" s="49" t="s">
        <v>256</v>
      </c>
      <c r="T45" s="49" t="s">
        <v>256</v>
      </c>
      <c r="U45" s="49" t="s">
        <v>256</v>
      </c>
      <c r="V45" s="49" t="s">
        <v>256</v>
      </c>
      <c r="W45" s="49" t="s">
        <v>256</v>
      </c>
      <c r="X45" s="49" t="s">
        <v>256</v>
      </c>
      <c r="Y45" s="49" t="s">
        <v>256</v>
      </c>
      <c r="Z45" s="49" t="s">
        <v>256</v>
      </c>
    </row>
    <row r="46" spans="1:26" x14ac:dyDescent="0.25">
      <c r="A46" s="1" t="s">
        <v>228</v>
      </c>
      <c r="B46" s="1">
        <v>1</v>
      </c>
      <c r="C46" s="268">
        <v>43466</v>
      </c>
      <c r="D46" s="268">
        <v>43830</v>
      </c>
      <c r="E46" s="268">
        <v>43861</v>
      </c>
      <c r="F46" s="245" t="s">
        <v>256</v>
      </c>
      <c r="G46" s="245" t="s">
        <v>256</v>
      </c>
      <c r="H46" s="245" t="s">
        <v>256</v>
      </c>
      <c r="I46" s="268">
        <v>43831</v>
      </c>
      <c r="J46" s="268">
        <v>44196</v>
      </c>
      <c r="K46" s="268">
        <v>44225</v>
      </c>
      <c r="L46" s="245" t="s">
        <v>256</v>
      </c>
      <c r="M46" s="245" t="s">
        <v>256</v>
      </c>
      <c r="N46" s="245" t="s">
        <v>256</v>
      </c>
      <c r="O46" s="49" t="s">
        <v>256</v>
      </c>
      <c r="P46" s="49" t="s">
        <v>256</v>
      </c>
      <c r="Q46" s="49" t="s">
        <v>256</v>
      </c>
      <c r="R46" s="49" t="s">
        <v>256</v>
      </c>
      <c r="S46" s="49" t="s">
        <v>256</v>
      </c>
      <c r="T46" s="49" t="s">
        <v>256</v>
      </c>
      <c r="U46" s="49" t="s">
        <v>256</v>
      </c>
      <c r="V46" s="49" t="s">
        <v>256</v>
      </c>
      <c r="W46" s="49" t="s">
        <v>256</v>
      </c>
      <c r="X46" s="49" t="s">
        <v>256</v>
      </c>
      <c r="Y46" s="49" t="s">
        <v>256</v>
      </c>
      <c r="Z46" s="49" t="s">
        <v>256</v>
      </c>
    </row>
    <row r="47" spans="1:26" x14ac:dyDescent="0.25">
      <c r="A47" s="1" t="s">
        <v>229</v>
      </c>
      <c r="B47" s="1">
        <v>1</v>
      </c>
      <c r="C47" s="268">
        <v>43831</v>
      </c>
      <c r="D47" s="268">
        <v>44196</v>
      </c>
      <c r="E47" s="268">
        <v>44165</v>
      </c>
      <c r="F47" s="245" t="s">
        <v>256</v>
      </c>
      <c r="G47" s="245" t="s">
        <v>256</v>
      </c>
      <c r="H47" s="245" t="s">
        <v>256</v>
      </c>
      <c r="I47" s="245" t="s">
        <v>256</v>
      </c>
      <c r="J47" s="245" t="s">
        <v>256</v>
      </c>
      <c r="K47" s="245" t="s">
        <v>256</v>
      </c>
      <c r="L47" s="245" t="s">
        <v>256</v>
      </c>
      <c r="M47" s="245" t="s">
        <v>256</v>
      </c>
      <c r="N47" s="245" t="s">
        <v>256</v>
      </c>
      <c r="O47" s="49" t="s">
        <v>256</v>
      </c>
      <c r="P47" s="49" t="s">
        <v>256</v>
      </c>
      <c r="Q47" s="49" t="s">
        <v>256</v>
      </c>
      <c r="R47" s="49" t="s">
        <v>256</v>
      </c>
      <c r="S47" s="49" t="s">
        <v>256</v>
      </c>
      <c r="T47" s="49" t="s">
        <v>256</v>
      </c>
      <c r="U47" s="49" t="s">
        <v>256</v>
      </c>
      <c r="V47" s="49" t="s">
        <v>256</v>
      </c>
      <c r="W47" s="49" t="s">
        <v>256</v>
      </c>
      <c r="X47" s="49" t="s">
        <v>256</v>
      </c>
      <c r="Y47" s="49" t="s">
        <v>256</v>
      </c>
      <c r="Z47" s="49" t="s">
        <v>256</v>
      </c>
    </row>
    <row r="48" spans="1:26" x14ac:dyDescent="0.25">
      <c r="A48" s="1" t="s">
        <v>230</v>
      </c>
      <c r="B48" s="1">
        <v>12</v>
      </c>
      <c r="C48" s="49" t="s">
        <v>256</v>
      </c>
      <c r="D48" s="49" t="s">
        <v>256</v>
      </c>
      <c r="E48" s="49" t="s">
        <v>256</v>
      </c>
      <c r="F48" s="49" t="s">
        <v>256</v>
      </c>
      <c r="G48" s="49" t="s">
        <v>256</v>
      </c>
      <c r="H48" s="49" t="s">
        <v>256</v>
      </c>
      <c r="I48" s="49" t="s">
        <v>256</v>
      </c>
      <c r="J48" s="49" t="s">
        <v>256</v>
      </c>
      <c r="K48" s="49" t="s">
        <v>256</v>
      </c>
      <c r="L48" s="49" t="s">
        <v>256</v>
      </c>
      <c r="M48" s="49" t="s">
        <v>256</v>
      </c>
      <c r="N48" s="49" t="s">
        <v>256</v>
      </c>
      <c r="O48" s="49" t="s">
        <v>256</v>
      </c>
      <c r="P48" s="49" t="s">
        <v>256</v>
      </c>
      <c r="Q48" s="49" t="s">
        <v>256</v>
      </c>
      <c r="R48" s="49" t="s">
        <v>256</v>
      </c>
      <c r="S48" s="49" t="s">
        <v>256</v>
      </c>
      <c r="T48" s="49" t="s">
        <v>256</v>
      </c>
      <c r="U48" s="49" t="s">
        <v>256</v>
      </c>
      <c r="V48" s="49" t="s">
        <v>256</v>
      </c>
      <c r="W48" s="49" t="s">
        <v>256</v>
      </c>
      <c r="X48" s="49" t="s">
        <v>256</v>
      </c>
      <c r="Y48" s="49" t="s">
        <v>256</v>
      </c>
      <c r="Z48" s="49" t="s">
        <v>256</v>
      </c>
    </row>
    <row r="49" spans="1:26" x14ac:dyDescent="0.25">
      <c r="A49" s="1" t="s">
        <v>231</v>
      </c>
      <c r="B49" s="1">
        <v>1</v>
      </c>
      <c r="C49" s="268">
        <v>43647</v>
      </c>
      <c r="D49" s="268">
        <v>44012</v>
      </c>
      <c r="E49" s="268">
        <v>43689</v>
      </c>
      <c r="F49" s="268">
        <v>43781</v>
      </c>
      <c r="G49" s="268">
        <v>43873</v>
      </c>
      <c r="H49" s="268">
        <v>43963</v>
      </c>
      <c r="I49" s="268">
        <v>44013</v>
      </c>
      <c r="J49" s="268">
        <v>44377</v>
      </c>
      <c r="K49" s="268">
        <v>44055</v>
      </c>
      <c r="L49" s="268">
        <v>44147</v>
      </c>
      <c r="M49" s="268">
        <v>44239</v>
      </c>
      <c r="N49" s="268">
        <v>44328</v>
      </c>
      <c r="O49" s="49" t="s">
        <v>256</v>
      </c>
      <c r="P49" s="49" t="s">
        <v>256</v>
      </c>
      <c r="Q49" s="49" t="s">
        <v>256</v>
      </c>
      <c r="R49" s="49" t="s">
        <v>256</v>
      </c>
      <c r="S49" s="49" t="s">
        <v>256</v>
      </c>
      <c r="T49" s="49" t="s">
        <v>256</v>
      </c>
      <c r="U49" s="49" t="s">
        <v>256</v>
      </c>
      <c r="V49" s="49" t="s">
        <v>256</v>
      </c>
      <c r="W49" s="49" t="s">
        <v>256</v>
      </c>
      <c r="X49" s="49" t="s">
        <v>256</v>
      </c>
      <c r="Y49" s="49" t="s">
        <v>256</v>
      </c>
      <c r="Z49" s="49" t="s">
        <v>256</v>
      </c>
    </row>
    <row r="50" spans="1:26" x14ac:dyDescent="0.25">
      <c r="A50" s="1" t="s">
        <v>232</v>
      </c>
      <c r="B50" s="1">
        <v>2</v>
      </c>
      <c r="C50" s="268">
        <v>43831</v>
      </c>
      <c r="D50" s="268">
        <v>44196</v>
      </c>
      <c r="E50" s="268">
        <v>43951</v>
      </c>
      <c r="F50" s="268">
        <v>44134</v>
      </c>
      <c r="G50" s="245" t="s">
        <v>256</v>
      </c>
      <c r="H50" s="245" t="s">
        <v>256</v>
      </c>
      <c r="I50" s="245" t="s">
        <v>256</v>
      </c>
      <c r="J50" s="245" t="s">
        <v>256</v>
      </c>
      <c r="K50" s="245" t="s">
        <v>256</v>
      </c>
      <c r="L50" s="245" t="s">
        <v>256</v>
      </c>
      <c r="M50" s="245" t="s">
        <v>256</v>
      </c>
      <c r="N50" s="245" t="s">
        <v>256</v>
      </c>
      <c r="O50" s="49" t="s">
        <v>256</v>
      </c>
      <c r="P50" s="49" t="s">
        <v>256</v>
      </c>
      <c r="Q50" s="49" t="s">
        <v>256</v>
      </c>
      <c r="R50" s="49" t="s">
        <v>256</v>
      </c>
      <c r="S50" s="49" t="s">
        <v>256</v>
      </c>
      <c r="T50" s="49" t="s">
        <v>256</v>
      </c>
      <c r="U50" s="49" t="s">
        <v>256</v>
      </c>
      <c r="V50" s="49" t="s">
        <v>256</v>
      </c>
      <c r="W50" s="49" t="s">
        <v>256</v>
      </c>
      <c r="X50" s="49" t="s">
        <v>256</v>
      </c>
      <c r="Y50" s="49" t="s">
        <v>256</v>
      </c>
      <c r="Z50" s="49" t="s">
        <v>256</v>
      </c>
    </row>
    <row r="51" spans="1:26" x14ac:dyDescent="0.25">
      <c r="A51" s="1" t="s">
        <v>233</v>
      </c>
      <c r="B51" s="1">
        <v>1</v>
      </c>
      <c r="C51" s="268">
        <v>43466</v>
      </c>
      <c r="D51" s="268">
        <v>43830</v>
      </c>
      <c r="E51" s="268">
        <v>43861</v>
      </c>
      <c r="F51" s="268">
        <v>44043</v>
      </c>
      <c r="G51" s="268" t="s">
        <v>256</v>
      </c>
      <c r="H51" s="268" t="s">
        <v>256</v>
      </c>
      <c r="I51" s="268">
        <v>43831</v>
      </c>
      <c r="J51" s="268">
        <v>44196</v>
      </c>
      <c r="K51" s="268">
        <v>44227</v>
      </c>
      <c r="L51" s="268">
        <v>44408</v>
      </c>
      <c r="M51" s="268" t="s">
        <v>256</v>
      </c>
      <c r="N51" s="268" t="s">
        <v>256</v>
      </c>
      <c r="O51" s="49" t="s">
        <v>256</v>
      </c>
      <c r="P51" s="49" t="s">
        <v>256</v>
      </c>
      <c r="Q51" s="49" t="s">
        <v>256</v>
      </c>
      <c r="R51" s="49" t="s">
        <v>256</v>
      </c>
      <c r="S51" s="49" t="s">
        <v>256</v>
      </c>
      <c r="T51" s="49" t="s">
        <v>256</v>
      </c>
      <c r="U51" s="49" t="s">
        <v>256</v>
      </c>
      <c r="V51" s="49" t="s">
        <v>256</v>
      </c>
      <c r="W51" s="49" t="s">
        <v>256</v>
      </c>
      <c r="X51" s="49" t="s">
        <v>256</v>
      </c>
      <c r="Y51" s="49" t="s">
        <v>256</v>
      </c>
      <c r="Z51" s="49" t="s">
        <v>256</v>
      </c>
    </row>
    <row r="52" spans="1:26" x14ac:dyDescent="0.25">
      <c r="A52" s="1" t="s">
        <v>234</v>
      </c>
      <c r="B52" s="1">
        <v>1</v>
      </c>
      <c r="C52" s="268">
        <v>43647</v>
      </c>
      <c r="D52" s="268">
        <v>44012</v>
      </c>
      <c r="E52" s="268">
        <v>44075</v>
      </c>
      <c r="F52" s="245" t="s">
        <v>256</v>
      </c>
      <c r="G52" s="245" t="s">
        <v>256</v>
      </c>
      <c r="H52" s="245" t="s">
        <v>256</v>
      </c>
      <c r="I52" s="268">
        <v>44013</v>
      </c>
      <c r="J52" s="268">
        <v>44377</v>
      </c>
      <c r="K52" s="268">
        <v>44440</v>
      </c>
      <c r="L52" s="245" t="s">
        <v>256</v>
      </c>
      <c r="M52" s="245" t="s">
        <v>256</v>
      </c>
      <c r="N52" s="245" t="s">
        <v>256</v>
      </c>
      <c r="O52" s="49" t="s">
        <v>256</v>
      </c>
      <c r="P52" s="49" t="s">
        <v>256</v>
      </c>
      <c r="Q52" s="49" t="s">
        <v>256</v>
      </c>
      <c r="R52" s="49" t="s">
        <v>256</v>
      </c>
      <c r="S52" s="49" t="s">
        <v>256</v>
      </c>
      <c r="T52" s="49" t="s">
        <v>256</v>
      </c>
      <c r="U52" s="49" t="s">
        <v>256</v>
      </c>
      <c r="V52" s="49" t="s">
        <v>256</v>
      </c>
      <c r="W52" s="49" t="s">
        <v>256</v>
      </c>
      <c r="X52" s="49" t="s">
        <v>256</v>
      </c>
      <c r="Y52" s="49" t="s">
        <v>256</v>
      </c>
      <c r="Z52" s="49" t="s">
        <v>256</v>
      </c>
    </row>
    <row r="53" spans="1:26" x14ac:dyDescent="0.25">
      <c r="A53" s="1" t="s">
        <v>235</v>
      </c>
      <c r="B53" s="1">
        <v>2</v>
      </c>
      <c r="C53" s="268">
        <v>43466</v>
      </c>
      <c r="D53" s="268">
        <v>43830</v>
      </c>
      <c r="E53" s="268">
        <v>43779</v>
      </c>
      <c r="F53" s="268">
        <v>43961</v>
      </c>
      <c r="G53" s="245" t="s">
        <v>256</v>
      </c>
      <c r="H53" s="245" t="s">
        <v>256</v>
      </c>
      <c r="I53" s="268">
        <v>43831</v>
      </c>
      <c r="J53" s="268">
        <v>44196</v>
      </c>
      <c r="K53" s="268">
        <v>44145</v>
      </c>
      <c r="L53" s="268">
        <v>44326</v>
      </c>
      <c r="M53" s="245" t="s">
        <v>256</v>
      </c>
      <c r="N53" s="245" t="s">
        <v>256</v>
      </c>
      <c r="O53" s="49" t="s">
        <v>256</v>
      </c>
      <c r="P53" s="49" t="s">
        <v>256</v>
      </c>
      <c r="Q53" s="49" t="s">
        <v>256</v>
      </c>
      <c r="R53" s="49" t="s">
        <v>256</v>
      </c>
      <c r="S53" s="49" t="s">
        <v>256</v>
      </c>
      <c r="T53" s="49" t="s">
        <v>256</v>
      </c>
      <c r="U53" s="49" t="s">
        <v>256</v>
      </c>
      <c r="V53" s="49" t="s">
        <v>256</v>
      </c>
      <c r="W53" s="49" t="s">
        <v>256</v>
      </c>
      <c r="X53" s="49" t="s">
        <v>256</v>
      </c>
      <c r="Y53" s="49" t="s">
        <v>256</v>
      </c>
      <c r="Z53" s="49" t="s">
        <v>256</v>
      </c>
    </row>
    <row r="54" spans="1:26" x14ac:dyDescent="0.25">
      <c r="C54" s="245"/>
      <c r="D54" s="245"/>
      <c r="E54" s="245"/>
      <c r="F54" s="245"/>
      <c r="G54" s="245"/>
      <c r="H54" s="245"/>
      <c r="I54" s="245"/>
      <c r="J54" s="245"/>
      <c r="K54" s="245"/>
      <c r="L54" s="245"/>
      <c r="M54" s="269"/>
      <c r="N54" s="245"/>
    </row>
    <row r="55" spans="1:26" x14ac:dyDescent="0.25">
      <c r="C55" s="245"/>
      <c r="D55" s="245"/>
      <c r="E55" s="245"/>
      <c r="F55" s="245"/>
      <c r="G55" s="245"/>
      <c r="H55" s="245"/>
      <c r="I55" s="245"/>
      <c r="J55" s="245"/>
      <c r="K55" s="245"/>
      <c r="L55" s="245"/>
      <c r="M55" s="269"/>
      <c r="N55" s="245"/>
    </row>
  </sheetData>
  <pageMargins left="0.7" right="0.7" top="0.75" bottom="0.75" header="0.3" footer="0.3"/>
  <pageSetup orientation="landscape" horizontalDpi="1200" verticalDpi="1200" r:id="rId1"/>
  <headerFooter>
    <oddFooter>&amp;LWednesday, November 09, 2022&amp;RPage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68328-0F8C-4F1F-BE89-2B0437D738AF}">
  <sheetPr>
    <pageSetUpPr fitToPage="1"/>
  </sheetPr>
  <dimension ref="A1:Q483"/>
  <sheetViews>
    <sheetView showGridLines="0" topLeftCell="A440" zoomScale="115" zoomScaleNormal="115" workbookViewId="0">
      <selection sqref="A1:XFD1048576"/>
    </sheetView>
  </sheetViews>
  <sheetFormatPr defaultColWidth="9.140625" defaultRowHeight="15" x14ac:dyDescent="0.25"/>
  <cols>
    <col min="1" max="4" width="11.42578125" customWidth="1"/>
    <col min="5" max="5" width="28.5703125" customWidth="1"/>
    <col min="6" max="14" width="11.42578125" customWidth="1"/>
    <col min="16" max="16" width="9.7109375" customWidth="1"/>
    <col min="17" max="17" width="13.5703125" customWidth="1"/>
  </cols>
  <sheetData>
    <row r="1" spans="1:17" ht="15.75" customHeight="1" x14ac:dyDescent="0.25">
      <c r="A1" s="578" t="s">
        <v>14178</v>
      </c>
      <c r="B1" s="578"/>
      <c r="C1" s="578"/>
      <c r="D1" s="578"/>
      <c r="E1" s="578"/>
      <c r="F1" s="578"/>
      <c r="G1" s="578"/>
      <c r="H1" s="578"/>
      <c r="I1" s="578"/>
      <c r="J1" s="578"/>
      <c r="K1" s="578"/>
      <c r="L1" s="578"/>
      <c r="M1" s="578"/>
      <c r="N1" s="578"/>
    </row>
    <row r="2" spans="1:17" ht="15" customHeight="1" x14ac:dyDescent="0.25">
      <c r="A2" s="579" t="s">
        <v>268</v>
      </c>
      <c r="B2" s="579"/>
      <c r="C2" s="579"/>
      <c r="D2" s="579"/>
      <c r="E2" s="579"/>
      <c r="F2" s="579"/>
      <c r="G2" s="579"/>
      <c r="H2" s="579"/>
      <c r="I2" s="579"/>
      <c r="J2" s="579"/>
      <c r="K2" s="579"/>
      <c r="L2" s="579"/>
      <c r="M2" s="579"/>
      <c r="N2" s="579"/>
    </row>
    <row r="3" spans="1:17" ht="15" customHeight="1" x14ac:dyDescent="0.25">
      <c r="A3" s="520"/>
      <c r="B3" s="520"/>
      <c r="C3" s="520"/>
      <c r="D3" s="520"/>
      <c r="E3" s="520"/>
      <c r="F3" s="521" t="s">
        <v>269</v>
      </c>
      <c r="G3" s="522">
        <v>46227</v>
      </c>
      <c r="H3" s="520"/>
      <c r="I3" s="520"/>
      <c r="J3" s="520"/>
      <c r="K3" s="520"/>
      <c r="L3" s="520"/>
      <c r="M3" s="520"/>
      <c r="N3" s="520"/>
    </row>
    <row r="4" spans="1:17" ht="15" customHeight="1" x14ac:dyDescent="0.25">
      <c r="A4" s="579" t="s">
        <v>14179</v>
      </c>
      <c r="B4" s="579"/>
      <c r="C4" s="579"/>
      <c r="D4" s="579"/>
      <c r="E4" s="579"/>
      <c r="F4" s="579"/>
      <c r="G4" s="579"/>
      <c r="H4" s="579"/>
      <c r="I4" s="579"/>
      <c r="J4" s="579"/>
      <c r="K4" s="579"/>
      <c r="L4" s="579"/>
      <c r="M4" s="579"/>
      <c r="N4" s="579"/>
    </row>
    <row r="5" spans="1:17" ht="15" customHeight="1" x14ac:dyDescent="0.25">
      <c r="A5" s="520"/>
      <c r="B5" s="520"/>
      <c r="C5" s="520"/>
      <c r="D5" s="520"/>
      <c r="E5" s="520"/>
      <c r="F5" s="521" t="s">
        <v>270</v>
      </c>
      <c r="G5" s="523">
        <v>2.9399999999999999E-2</v>
      </c>
      <c r="H5" s="520"/>
      <c r="I5" s="520"/>
      <c r="J5" s="520"/>
      <c r="K5" s="520"/>
      <c r="L5" s="520"/>
      <c r="M5" s="520"/>
      <c r="N5" s="520"/>
    </row>
    <row r="6" spans="1:17" ht="38.450000000000003" customHeight="1" x14ac:dyDescent="0.25">
      <c r="A6" s="524" t="s">
        <v>271</v>
      </c>
      <c r="B6" s="524" t="s">
        <v>272</v>
      </c>
      <c r="C6" s="525" t="s">
        <v>271</v>
      </c>
      <c r="D6" s="524" t="s">
        <v>273</v>
      </c>
      <c r="E6" s="524" t="s">
        <v>274</v>
      </c>
      <c r="F6" s="525" t="s">
        <v>275</v>
      </c>
      <c r="G6" s="524" t="s">
        <v>276</v>
      </c>
      <c r="H6" s="525" t="s">
        <v>277</v>
      </c>
      <c r="I6" s="525" t="s">
        <v>273</v>
      </c>
      <c r="J6" s="525" t="s">
        <v>278</v>
      </c>
      <c r="K6" s="524" t="s">
        <v>279</v>
      </c>
      <c r="L6" s="524" t="s">
        <v>280</v>
      </c>
      <c r="M6" s="524" t="s">
        <v>281</v>
      </c>
      <c r="N6" s="525" t="s">
        <v>282</v>
      </c>
      <c r="O6" s="526" t="s">
        <v>283</v>
      </c>
      <c r="P6" s="526" t="s">
        <v>284</v>
      </c>
      <c r="Q6" s="527" t="s">
        <v>285</v>
      </c>
    </row>
    <row r="7" spans="1:17" ht="15" customHeight="1" x14ac:dyDescent="0.25">
      <c r="A7" s="528"/>
      <c r="B7" s="528"/>
      <c r="C7" s="529" t="s">
        <v>286</v>
      </c>
      <c r="D7" s="528"/>
      <c r="E7" s="528"/>
      <c r="F7" s="529" t="s">
        <v>287</v>
      </c>
      <c r="G7" s="528" t="s">
        <v>288</v>
      </c>
      <c r="H7" s="529"/>
      <c r="I7" s="529" t="s">
        <v>289</v>
      </c>
      <c r="J7" s="529" t="s">
        <v>289</v>
      </c>
      <c r="K7" s="528"/>
      <c r="L7" s="528" t="s">
        <v>290</v>
      </c>
      <c r="M7" s="528"/>
      <c r="N7" s="529"/>
      <c r="O7" s="529"/>
      <c r="P7" s="529"/>
      <c r="Q7" s="529"/>
    </row>
    <row r="8" spans="1:17" ht="15" customHeight="1" x14ac:dyDescent="0.25">
      <c r="A8" s="580" t="s">
        <v>291</v>
      </c>
      <c r="B8" s="580"/>
      <c r="C8" s="580"/>
      <c r="D8" s="580"/>
      <c r="E8" s="580"/>
      <c r="F8" s="580"/>
      <c r="G8" s="580"/>
      <c r="H8" s="580"/>
      <c r="I8" s="580"/>
      <c r="J8" s="580"/>
      <c r="K8" s="580"/>
      <c r="L8" s="580"/>
      <c r="M8" s="580"/>
      <c r="N8" s="580"/>
    </row>
    <row r="9" spans="1:17" ht="15" customHeight="1" x14ac:dyDescent="0.25">
      <c r="A9" s="530" t="s">
        <v>292</v>
      </c>
      <c r="B9" s="530" t="s">
        <v>293</v>
      </c>
      <c r="C9" s="531">
        <v>837</v>
      </c>
      <c r="D9" s="530" t="s">
        <v>294</v>
      </c>
      <c r="E9" s="530" t="s">
        <v>295</v>
      </c>
      <c r="F9" s="531">
        <v>1820</v>
      </c>
      <c r="G9" s="530" t="s">
        <v>296</v>
      </c>
      <c r="H9" s="531">
        <v>1393.9</v>
      </c>
      <c r="I9" s="531">
        <v>500</v>
      </c>
      <c r="J9" s="531">
        <v>0</v>
      </c>
      <c r="K9" s="532">
        <v>45047</v>
      </c>
      <c r="L9" s="532">
        <v>46538</v>
      </c>
      <c r="M9" s="530"/>
      <c r="N9" s="531">
        <v>0</v>
      </c>
      <c r="O9" s="533">
        <f>(+$G$3-K9 )</f>
        <v>1180</v>
      </c>
      <c r="P9" s="534">
        <f>(+I9*$G$5)/365</f>
        <v>4.0273972602739724E-2</v>
      </c>
      <c r="Q9" s="534">
        <f>O9*P9</f>
        <v>47.523287671232872</v>
      </c>
    </row>
    <row r="10" spans="1:17" ht="15" customHeight="1" x14ac:dyDescent="0.25">
      <c r="A10" s="530" t="s">
        <v>297</v>
      </c>
      <c r="B10" s="530" t="s">
        <v>298</v>
      </c>
      <c r="C10" s="531">
        <v>643</v>
      </c>
      <c r="D10" s="530" t="s">
        <v>299</v>
      </c>
      <c r="E10" s="530" t="s">
        <v>300</v>
      </c>
      <c r="F10" s="531">
        <v>1800</v>
      </c>
      <c r="G10" s="530" t="s">
        <v>296</v>
      </c>
      <c r="H10" s="531">
        <v>1573</v>
      </c>
      <c r="I10" s="531">
        <v>500</v>
      </c>
      <c r="J10" s="531">
        <v>0</v>
      </c>
      <c r="K10" s="532">
        <v>45869</v>
      </c>
      <c r="L10" s="532">
        <v>46233</v>
      </c>
      <c r="M10" s="530"/>
      <c r="N10" s="531">
        <v>0</v>
      </c>
      <c r="O10" s="533">
        <f t="shared" ref="O10:O73" si="0">(+$G$3-K10 )</f>
        <v>358</v>
      </c>
      <c r="P10" s="534">
        <f t="shared" ref="P10:P73" si="1">(+I10*$G$5)/365</f>
        <v>4.0273972602739724E-2</v>
      </c>
      <c r="Q10" s="534">
        <f t="shared" ref="Q10:Q73" si="2">O10*P10</f>
        <v>14.418082191780821</v>
      </c>
    </row>
    <row r="11" spans="1:17" ht="15" customHeight="1" x14ac:dyDescent="0.25">
      <c r="A11" s="530" t="s">
        <v>301</v>
      </c>
      <c r="B11" s="530" t="s">
        <v>302</v>
      </c>
      <c r="C11" s="531">
        <v>1581</v>
      </c>
      <c r="D11" s="530" t="s">
        <v>303</v>
      </c>
      <c r="E11" s="530" t="s">
        <v>304</v>
      </c>
      <c r="F11" s="531">
        <v>3026</v>
      </c>
      <c r="G11" s="530" t="s">
        <v>296</v>
      </c>
      <c r="H11" s="531">
        <v>2324.6999999999998</v>
      </c>
      <c r="I11" s="531">
        <v>700</v>
      </c>
      <c r="J11" s="531">
        <v>0</v>
      </c>
      <c r="K11" s="532">
        <v>45184</v>
      </c>
      <c r="L11" s="532">
        <v>46401</v>
      </c>
      <c r="M11" s="530"/>
      <c r="N11" s="531">
        <v>-0.3</v>
      </c>
      <c r="O11" s="533">
        <f t="shared" si="0"/>
        <v>1043</v>
      </c>
      <c r="P11" s="534">
        <f t="shared" si="1"/>
        <v>5.6383561643835609E-2</v>
      </c>
      <c r="Q11" s="534">
        <f t="shared" si="2"/>
        <v>58.808054794520537</v>
      </c>
    </row>
    <row r="12" spans="1:17" ht="15" customHeight="1" x14ac:dyDescent="0.25">
      <c r="A12" s="530" t="s">
        <v>305</v>
      </c>
      <c r="B12" s="530" t="s">
        <v>306</v>
      </c>
      <c r="C12" s="531">
        <v>1261</v>
      </c>
      <c r="D12" s="530" t="s">
        <v>307</v>
      </c>
      <c r="E12" s="530" t="s">
        <v>308</v>
      </c>
      <c r="F12" s="531">
        <v>2650</v>
      </c>
      <c r="G12" s="530" t="s">
        <v>296</v>
      </c>
      <c r="H12" s="531">
        <v>2348</v>
      </c>
      <c r="I12" s="531">
        <v>300</v>
      </c>
      <c r="J12" s="531">
        <v>0</v>
      </c>
      <c r="K12" s="532">
        <v>43800</v>
      </c>
      <c r="L12" s="532">
        <v>46279</v>
      </c>
      <c r="M12" s="530"/>
      <c r="N12" s="531">
        <v>0.79</v>
      </c>
      <c r="O12" s="533">
        <f t="shared" si="0"/>
        <v>2427</v>
      </c>
      <c r="P12" s="534">
        <f t="shared" si="1"/>
        <v>2.4164383561643837E-2</v>
      </c>
      <c r="Q12" s="534">
        <f t="shared" si="2"/>
        <v>58.646958904109589</v>
      </c>
    </row>
    <row r="13" spans="1:17" ht="15" customHeight="1" x14ac:dyDescent="0.25">
      <c r="A13" s="530" t="s">
        <v>309</v>
      </c>
      <c r="B13" s="530" t="s">
        <v>302</v>
      </c>
      <c r="C13" s="531">
        <v>1581</v>
      </c>
      <c r="D13" s="530" t="s">
        <v>310</v>
      </c>
      <c r="E13" s="530" t="s">
        <v>311</v>
      </c>
      <c r="F13" s="531">
        <v>2851</v>
      </c>
      <c r="G13" s="530" t="s">
        <v>296</v>
      </c>
      <c r="H13" s="531">
        <v>2244</v>
      </c>
      <c r="I13" s="531">
        <v>700</v>
      </c>
      <c r="J13" s="531">
        <v>0</v>
      </c>
      <c r="K13" s="532">
        <v>45293</v>
      </c>
      <c r="L13" s="532">
        <v>46388</v>
      </c>
      <c r="M13" s="530"/>
      <c r="N13" s="531">
        <v>0</v>
      </c>
      <c r="O13" s="533">
        <f t="shared" si="0"/>
        <v>934</v>
      </c>
      <c r="P13" s="534">
        <f t="shared" si="1"/>
        <v>5.6383561643835609E-2</v>
      </c>
      <c r="Q13" s="534">
        <f t="shared" si="2"/>
        <v>52.662246575342458</v>
      </c>
    </row>
    <row r="14" spans="1:17" ht="15" customHeight="1" x14ac:dyDescent="0.25">
      <c r="A14" s="530" t="s">
        <v>312</v>
      </c>
      <c r="B14" s="530" t="s">
        <v>306</v>
      </c>
      <c r="C14" s="531">
        <v>1261</v>
      </c>
      <c r="D14" s="530" t="s">
        <v>313</v>
      </c>
      <c r="E14" s="530" t="s">
        <v>314</v>
      </c>
      <c r="F14" s="531">
        <v>2475</v>
      </c>
      <c r="G14" s="530" t="s">
        <v>296</v>
      </c>
      <c r="H14" s="531">
        <v>1989</v>
      </c>
      <c r="I14" s="531">
        <v>500</v>
      </c>
      <c r="J14" s="531">
        <v>0</v>
      </c>
      <c r="K14" s="532">
        <v>46081</v>
      </c>
      <c r="L14" s="532">
        <v>46445</v>
      </c>
      <c r="M14" s="530"/>
      <c r="N14" s="531">
        <v>0</v>
      </c>
      <c r="O14" s="533">
        <f t="shared" si="0"/>
        <v>146</v>
      </c>
      <c r="P14" s="534">
        <f t="shared" si="1"/>
        <v>4.0273972602739724E-2</v>
      </c>
      <c r="Q14" s="534">
        <f t="shared" si="2"/>
        <v>5.88</v>
      </c>
    </row>
    <row r="15" spans="1:17" ht="15" customHeight="1" x14ac:dyDescent="0.25">
      <c r="A15" s="530" t="s">
        <v>315</v>
      </c>
      <c r="B15" s="530" t="s">
        <v>316</v>
      </c>
      <c r="C15" s="531">
        <v>748</v>
      </c>
      <c r="D15" s="530" t="s">
        <v>317</v>
      </c>
      <c r="E15" s="530" t="s">
        <v>318</v>
      </c>
      <c r="F15" s="531">
        <v>1999</v>
      </c>
      <c r="G15" s="530" t="s">
        <v>296</v>
      </c>
      <c r="H15" s="531">
        <v>1783</v>
      </c>
      <c r="I15" s="531">
        <v>500</v>
      </c>
      <c r="J15" s="531">
        <v>0</v>
      </c>
      <c r="K15" s="532">
        <v>45958</v>
      </c>
      <c r="L15" s="532">
        <v>46535</v>
      </c>
      <c r="M15" s="530"/>
      <c r="N15" s="531">
        <v>0</v>
      </c>
      <c r="O15" s="533">
        <f t="shared" si="0"/>
        <v>269</v>
      </c>
      <c r="P15" s="534">
        <f t="shared" si="1"/>
        <v>4.0273972602739724E-2</v>
      </c>
      <c r="Q15" s="534">
        <f t="shared" si="2"/>
        <v>10.833698630136986</v>
      </c>
    </row>
    <row r="16" spans="1:17" ht="15" customHeight="1" x14ac:dyDescent="0.25">
      <c r="A16" s="530" t="s">
        <v>319</v>
      </c>
      <c r="B16" s="530" t="s">
        <v>320</v>
      </c>
      <c r="C16" s="531">
        <v>1171</v>
      </c>
      <c r="D16" s="530" t="s">
        <v>321</v>
      </c>
      <c r="E16" s="530" t="s">
        <v>322</v>
      </c>
      <c r="F16" s="531">
        <v>2373</v>
      </c>
      <c r="G16" s="530" t="s">
        <v>296</v>
      </c>
      <c r="H16" s="531">
        <v>2441</v>
      </c>
      <c r="I16" s="531">
        <v>500</v>
      </c>
      <c r="J16" s="531">
        <v>0</v>
      </c>
      <c r="K16" s="532">
        <v>45828</v>
      </c>
      <c r="L16" s="532">
        <v>46557</v>
      </c>
      <c r="M16" s="530"/>
      <c r="N16" s="531">
        <v>0</v>
      </c>
      <c r="O16" s="533">
        <f t="shared" si="0"/>
        <v>399</v>
      </c>
      <c r="P16" s="534">
        <f t="shared" si="1"/>
        <v>4.0273972602739724E-2</v>
      </c>
      <c r="Q16" s="534">
        <f t="shared" si="2"/>
        <v>16.06931506849315</v>
      </c>
    </row>
    <row r="17" spans="1:17" ht="15" customHeight="1" x14ac:dyDescent="0.25">
      <c r="A17" s="530" t="s">
        <v>323</v>
      </c>
      <c r="B17" s="530" t="s">
        <v>324</v>
      </c>
      <c r="C17" s="531">
        <v>838</v>
      </c>
      <c r="D17" s="530" t="s">
        <v>325</v>
      </c>
      <c r="E17" s="530" t="s">
        <v>326</v>
      </c>
      <c r="F17" s="531">
        <v>2063</v>
      </c>
      <c r="G17" s="530" t="s">
        <v>296</v>
      </c>
      <c r="H17" s="531">
        <v>1518</v>
      </c>
      <c r="I17" s="531">
        <v>500</v>
      </c>
      <c r="J17" s="531">
        <v>0</v>
      </c>
      <c r="K17" s="532">
        <v>45078</v>
      </c>
      <c r="L17" s="532">
        <v>46265</v>
      </c>
      <c r="M17" s="530"/>
      <c r="N17" s="531">
        <v>0</v>
      </c>
      <c r="O17" s="533">
        <f t="shared" si="0"/>
        <v>1149</v>
      </c>
      <c r="P17" s="534">
        <f t="shared" si="1"/>
        <v>4.0273972602739724E-2</v>
      </c>
      <c r="Q17" s="534">
        <f t="shared" si="2"/>
        <v>46.274794520547943</v>
      </c>
    </row>
    <row r="18" spans="1:17" ht="15" customHeight="1" x14ac:dyDescent="0.25">
      <c r="A18" s="530" t="s">
        <v>327</v>
      </c>
      <c r="B18" s="530" t="s">
        <v>328</v>
      </c>
      <c r="C18" s="531">
        <v>761</v>
      </c>
      <c r="D18" s="530" t="s">
        <v>329</v>
      </c>
      <c r="E18" s="530" t="s">
        <v>330</v>
      </c>
      <c r="F18" s="531">
        <v>1940</v>
      </c>
      <c r="G18" s="530" t="s">
        <v>296</v>
      </c>
      <c r="H18" s="531">
        <v>86</v>
      </c>
      <c r="I18" s="531">
        <v>1658</v>
      </c>
      <c r="J18" s="531">
        <v>0</v>
      </c>
      <c r="K18" s="532">
        <v>45976</v>
      </c>
      <c r="L18" s="532">
        <v>46405</v>
      </c>
      <c r="M18" s="530"/>
      <c r="N18" s="531">
        <v>-150.55000000000001</v>
      </c>
      <c r="O18" s="533">
        <f t="shared" si="0"/>
        <v>251</v>
      </c>
      <c r="P18" s="534">
        <f t="shared" si="1"/>
        <v>0.13354849315068493</v>
      </c>
      <c r="Q18" s="534">
        <f t="shared" si="2"/>
        <v>33.520671780821914</v>
      </c>
    </row>
    <row r="19" spans="1:17" ht="15" customHeight="1" x14ac:dyDescent="0.25">
      <c r="A19" s="530" t="s">
        <v>332</v>
      </c>
      <c r="B19" s="530" t="s">
        <v>324</v>
      </c>
      <c r="C19" s="531">
        <v>838</v>
      </c>
      <c r="D19" s="530" t="s">
        <v>333</v>
      </c>
      <c r="E19" s="530" t="s">
        <v>334</v>
      </c>
      <c r="F19" s="531">
        <v>2193</v>
      </c>
      <c r="G19" s="530" t="s">
        <v>296</v>
      </c>
      <c r="H19" s="531">
        <v>1671</v>
      </c>
      <c r="I19" s="531">
        <v>500</v>
      </c>
      <c r="J19" s="531">
        <v>0</v>
      </c>
      <c r="K19" s="532">
        <v>45959</v>
      </c>
      <c r="L19" s="532">
        <v>46356</v>
      </c>
      <c r="M19" s="530"/>
      <c r="N19" s="531">
        <v>0</v>
      </c>
      <c r="O19" s="533">
        <f t="shared" si="0"/>
        <v>268</v>
      </c>
      <c r="P19" s="534">
        <f t="shared" si="1"/>
        <v>4.0273972602739724E-2</v>
      </c>
      <c r="Q19" s="534">
        <f t="shared" si="2"/>
        <v>10.793424657534246</v>
      </c>
    </row>
    <row r="20" spans="1:17" ht="15" customHeight="1" x14ac:dyDescent="0.25">
      <c r="A20" s="530" t="s">
        <v>14180</v>
      </c>
      <c r="B20" s="530" t="s">
        <v>302</v>
      </c>
      <c r="C20" s="531">
        <v>1581</v>
      </c>
      <c r="D20" s="530" t="s">
        <v>14181</v>
      </c>
      <c r="E20" s="530" t="s">
        <v>14182</v>
      </c>
      <c r="F20" s="531">
        <v>3026</v>
      </c>
      <c r="G20" s="530" t="s">
        <v>296</v>
      </c>
      <c r="H20" s="531">
        <v>2749</v>
      </c>
      <c r="I20" s="531">
        <v>0</v>
      </c>
      <c r="J20" s="531">
        <v>0</v>
      </c>
      <c r="K20" s="532">
        <v>46206</v>
      </c>
      <c r="L20" s="532">
        <v>46573</v>
      </c>
      <c r="M20" s="530"/>
      <c r="N20" s="531">
        <v>-100</v>
      </c>
      <c r="O20" s="533">
        <f t="shared" si="0"/>
        <v>21</v>
      </c>
      <c r="P20" s="534">
        <f t="shared" si="1"/>
        <v>0</v>
      </c>
      <c r="Q20" s="534">
        <f t="shared" si="2"/>
        <v>0</v>
      </c>
    </row>
    <row r="21" spans="1:17" ht="15" customHeight="1" x14ac:dyDescent="0.25">
      <c r="A21" s="530" t="s">
        <v>335</v>
      </c>
      <c r="B21" s="530" t="s">
        <v>336</v>
      </c>
      <c r="C21" s="531">
        <v>1554</v>
      </c>
      <c r="D21" s="530" t="s">
        <v>337</v>
      </c>
      <c r="E21" s="530" t="s">
        <v>338</v>
      </c>
      <c r="F21" s="531">
        <v>3025</v>
      </c>
      <c r="G21" s="530" t="s">
        <v>296</v>
      </c>
      <c r="H21" s="531">
        <v>2507</v>
      </c>
      <c r="I21" s="531">
        <v>500</v>
      </c>
      <c r="J21" s="531">
        <v>0</v>
      </c>
      <c r="K21" s="532">
        <v>46024</v>
      </c>
      <c r="L21" s="532">
        <v>46389</v>
      </c>
      <c r="M21" s="530"/>
      <c r="N21" s="531">
        <v>0</v>
      </c>
      <c r="O21" s="533">
        <f t="shared" si="0"/>
        <v>203</v>
      </c>
      <c r="P21" s="534">
        <f t="shared" si="1"/>
        <v>4.0273972602739724E-2</v>
      </c>
      <c r="Q21" s="534">
        <f t="shared" si="2"/>
        <v>8.1756164383561636</v>
      </c>
    </row>
    <row r="22" spans="1:17" ht="14.1" customHeight="1" x14ac:dyDescent="0.25">
      <c r="A22" s="530" t="s">
        <v>339</v>
      </c>
      <c r="B22" s="530" t="s">
        <v>302</v>
      </c>
      <c r="C22" s="531">
        <v>1581</v>
      </c>
      <c r="D22" s="530" t="s">
        <v>340</v>
      </c>
      <c r="E22" s="530" t="s">
        <v>341</v>
      </c>
      <c r="F22" s="531">
        <v>2851</v>
      </c>
      <c r="G22" s="530" t="s">
        <v>296</v>
      </c>
      <c r="H22" s="531">
        <v>2577</v>
      </c>
      <c r="I22" s="531">
        <v>700</v>
      </c>
      <c r="J22" s="531">
        <v>0</v>
      </c>
      <c r="K22" s="532">
        <v>45434</v>
      </c>
      <c r="L22" s="532">
        <v>46528</v>
      </c>
      <c r="M22" s="530"/>
      <c r="N22" s="531">
        <v>0</v>
      </c>
      <c r="O22" s="533">
        <f t="shared" si="0"/>
        <v>793</v>
      </c>
      <c r="P22" s="534">
        <f t="shared" si="1"/>
        <v>5.6383561643835609E-2</v>
      </c>
      <c r="Q22" s="534">
        <f t="shared" si="2"/>
        <v>44.712164383561635</v>
      </c>
    </row>
    <row r="23" spans="1:17" ht="15" customHeight="1" x14ac:dyDescent="0.25">
      <c r="A23" s="530" t="s">
        <v>342</v>
      </c>
      <c r="B23" s="530" t="s">
        <v>343</v>
      </c>
      <c r="C23" s="531">
        <v>1069</v>
      </c>
      <c r="D23" s="530" t="s">
        <v>344</v>
      </c>
      <c r="E23" s="530" t="s">
        <v>345</v>
      </c>
      <c r="F23" s="531">
        <v>2376</v>
      </c>
      <c r="G23" s="530" t="s">
        <v>296</v>
      </c>
      <c r="H23" s="531">
        <v>1900</v>
      </c>
      <c r="I23" s="531">
        <v>500</v>
      </c>
      <c r="J23" s="531">
        <v>0</v>
      </c>
      <c r="K23" s="532">
        <v>45413</v>
      </c>
      <c r="L23" s="532">
        <v>46265</v>
      </c>
      <c r="M23" s="530"/>
      <c r="N23" s="531">
        <v>0</v>
      </c>
      <c r="O23" s="533">
        <f t="shared" si="0"/>
        <v>814</v>
      </c>
      <c r="P23" s="534">
        <f t="shared" si="1"/>
        <v>4.0273972602739724E-2</v>
      </c>
      <c r="Q23" s="534">
        <f t="shared" si="2"/>
        <v>32.783013698630135</v>
      </c>
    </row>
    <row r="24" spans="1:17" ht="15" customHeight="1" x14ac:dyDescent="0.25">
      <c r="A24" s="530" t="s">
        <v>346</v>
      </c>
      <c r="B24" s="530" t="s">
        <v>302</v>
      </c>
      <c r="C24" s="531">
        <v>1581</v>
      </c>
      <c r="D24" s="530" t="s">
        <v>347</v>
      </c>
      <c r="E24" s="530" t="s">
        <v>348</v>
      </c>
      <c r="F24" s="531">
        <v>2801</v>
      </c>
      <c r="G24" s="530" t="s">
        <v>296</v>
      </c>
      <c r="H24" s="531">
        <v>2250</v>
      </c>
      <c r="I24" s="531">
        <v>700</v>
      </c>
      <c r="J24" s="531">
        <v>0</v>
      </c>
      <c r="K24" s="532">
        <v>45030</v>
      </c>
      <c r="L24" s="532">
        <v>46247</v>
      </c>
      <c r="M24" s="530"/>
      <c r="N24" s="531">
        <v>0</v>
      </c>
      <c r="O24" s="533">
        <f t="shared" si="0"/>
        <v>1197</v>
      </c>
      <c r="P24" s="534">
        <f t="shared" si="1"/>
        <v>5.6383561643835609E-2</v>
      </c>
      <c r="Q24" s="534">
        <f t="shared" si="2"/>
        <v>67.491123287671229</v>
      </c>
    </row>
    <row r="25" spans="1:17" ht="15" customHeight="1" x14ac:dyDescent="0.25">
      <c r="A25" s="530" t="s">
        <v>349</v>
      </c>
      <c r="B25" s="530" t="s">
        <v>350</v>
      </c>
      <c r="C25" s="531">
        <v>1643</v>
      </c>
      <c r="D25" s="530" t="s">
        <v>351</v>
      </c>
      <c r="E25" s="530" t="s">
        <v>352</v>
      </c>
      <c r="F25" s="531">
        <v>3001</v>
      </c>
      <c r="G25" s="530" t="s">
        <v>296</v>
      </c>
      <c r="H25" s="531">
        <v>2609</v>
      </c>
      <c r="I25" s="531">
        <v>500</v>
      </c>
      <c r="J25" s="531">
        <v>0</v>
      </c>
      <c r="K25" s="532">
        <v>45828</v>
      </c>
      <c r="L25" s="532">
        <v>46557</v>
      </c>
      <c r="M25" s="530"/>
      <c r="N25" s="531">
        <v>2956.04</v>
      </c>
      <c r="O25" s="533">
        <f t="shared" si="0"/>
        <v>399</v>
      </c>
      <c r="P25" s="534">
        <f t="shared" si="1"/>
        <v>4.0273972602739724E-2</v>
      </c>
      <c r="Q25" s="534">
        <f t="shared" si="2"/>
        <v>16.06931506849315</v>
      </c>
    </row>
    <row r="26" spans="1:17" ht="15" customHeight="1" x14ac:dyDescent="0.25">
      <c r="A26" s="530" t="s">
        <v>353</v>
      </c>
      <c r="B26" s="530" t="s">
        <v>316</v>
      </c>
      <c r="C26" s="531">
        <v>748</v>
      </c>
      <c r="D26" s="530" t="s">
        <v>354</v>
      </c>
      <c r="E26" s="530" t="s">
        <v>355</v>
      </c>
      <c r="F26" s="531">
        <v>2074</v>
      </c>
      <c r="G26" s="530" t="s">
        <v>296</v>
      </c>
      <c r="H26" s="531">
        <v>1593</v>
      </c>
      <c r="I26" s="531">
        <v>1000</v>
      </c>
      <c r="J26" s="531">
        <v>0</v>
      </c>
      <c r="K26" s="532">
        <v>45915</v>
      </c>
      <c r="L26" s="532">
        <v>46342</v>
      </c>
      <c r="M26" s="530"/>
      <c r="N26" s="531">
        <v>0</v>
      </c>
      <c r="O26" s="533">
        <f t="shared" si="0"/>
        <v>312</v>
      </c>
      <c r="P26" s="534">
        <f t="shared" si="1"/>
        <v>8.0547945205479449E-2</v>
      </c>
      <c r="Q26" s="534">
        <f t="shared" si="2"/>
        <v>25.130958904109587</v>
      </c>
    </row>
    <row r="27" spans="1:17" ht="15" customHeight="1" x14ac:dyDescent="0.25">
      <c r="A27" s="530" t="s">
        <v>356</v>
      </c>
      <c r="B27" s="530" t="s">
        <v>357</v>
      </c>
      <c r="C27" s="531">
        <v>808</v>
      </c>
      <c r="D27" s="530" t="s">
        <v>358</v>
      </c>
      <c r="E27" s="530" t="s">
        <v>359</v>
      </c>
      <c r="F27" s="531">
        <v>1925</v>
      </c>
      <c r="G27" s="530" t="s">
        <v>296</v>
      </c>
      <c r="H27" s="531">
        <v>1851</v>
      </c>
      <c r="I27" s="531">
        <v>500</v>
      </c>
      <c r="J27" s="531">
        <v>0</v>
      </c>
      <c r="K27" s="532">
        <v>45780</v>
      </c>
      <c r="L27" s="532">
        <v>46632</v>
      </c>
      <c r="M27" s="530"/>
      <c r="N27" s="531">
        <v>147.88999999999999</v>
      </c>
      <c r="O27" s="533">
        <f t="shared" si="0"/>
        <v>447</v>
      </c>
      <c r="P27" s="534">
        <f t="shared" si="1"/>
        <v>4.0273972602739724E-2</v>
      </c>
      <c r="Q27" s="534">
        <f t="shared" si="2"/>
        <v>18.002465753424655</v>
      </c>
    </row>
    <row r="28" spans="1:17" ht="15" customHeight="1" x14ac:dyDescent="0.25">
      <c r="A28" s="530" t="s">
        <v>360</v>
      </c>
      <c r="B28" s="530" t="s">
        <v>316</v>
      </c>
      <c r="C28" s="531">
        <v>748</v>
      </c>
      <c r="D28" s="530" t="s">
        <v>361</v>
      </c>
      <c r="E28" s="530" t="s">
        <v>362</v>
      </c>
      <c r="F28" s="531">
        <v>1994</v>
      </c>
      <c r="G28" s="530" t="s">
        <v>331</v>
      </c>
      <c r="H28" s="531">
        <v>1847</v>
      </c>
      <c r="I28" s="531">
        <v>500</v>
      </c>
      <c r="J28" s="531">
        <v>0</v>
      </c>
      <c r="K28" s="532">
        <v>45759</v>
      </c>
      <c r="L28" s="532">
        <v>46538</v>
      </c>
      <c r="M28" s="530"/>
      <c r="N28" s="531">
        <v>1051.3599999999999</v>
      </c>
      <c r="O28" s="533">
        <f t="shared" si="0"/>
        <v>468</v>
      </c>
      <c r="P28" s="534">
        <f t="shared" si="1"/>
        <v>4.0273972602739724E-2</v>
      </c>
      <c r="Q28" s="534">
        <f t="shared" si="2"/>
        <v>18.848219178082189</v>
      </c>
    </row>
    <row r="29" spans="1:17" ht="15" customHeight="1" x14ac:dyDescent="0.25">
      <c r="A29" s="530" t="s">
        <v>363</v>
      </c>
      <c r="B29" s="530" t="s">
        <v>320</v>
      </c>
      <c r="C29" s="531">
        <v>1171</v>
      </c>
      <c r="D29" s="530" t="s">
        <v>364</v>
      </c>
      <c r="E29" s="530" t="s">
        <v>365</v>
      </c>
      <c r="F29" s="531">
        <v>2373</v>
      </c>
      <c r="G29" s="530" t="s">
        <v>331</v>
      </c>
      <c r="H29" s="531">
        <v>2298</v>
      </c>
      <c r="I29" s="531">
        <v>2336</v>
      </c>
      <c r="J29" s="531">
        <v>0</v>
      </c>
      <c r="K29" s="532">
        <v>45782</v>
      </c>
      <c r="L29" s="532">
        <v>46538</v>
      </c>
      <c r="M29" s="530"/>
      <c r="N29" s="531">
        <v>-9.33</v>
      </c>
      <c r="O29" s="533">
        <f t="shared" si="0"/>
        <v>445</v>
      </c>
      <c r="P29" s="534">
        <f t="shared" si="1"/>
        <v>0.18815999999999999</v>
      </c>
      <c r="Q29" s="534">
        <f t="shared" si="2"/>
        <v>83.731200000000001</v>
      </c>
    </row>
    <row r="30" spans="1:17" ht="15" customHeight="1" x14ac:dyDescent="0.25">
      <c r="A30" s="530" t="s">
        <v>366</v>
      </c>
      <c r="B30" s="530" t="s">
        <v>367</v>
      </c>
      <c r="C30" s="531">
        <v>702</v>
      </c>
      <c r="D30" s="530" t="s">
        <v>368</v>
      </c>
      <c r="E30" s="530" t="s">
        <v>369</v>
      </c>
      <c r="F30" s="531">
        <v>1821</v>
      </c>
      <c r="G30" s="530" t="s">
        <v>296</v>
      </c>
      <c r="H30" s="531">
        <v>1450</v>
      </c>
      <c r="I30" s="531">
        <v>500</v>
      </c>
      <c r="J30" s="531">
        <v>0</v>
      </c>
      <c r="K30" s="532">
        <v>45930</v>
      </c>
      <c r="L30" s="532">
        <v>46385</v>
      </c>
      <c r="M30" s="530"/>
      <c r="N30" s="531">
        <v>4726.82</v>
      </c>
      <c r="O30" s="533">
        <f t="shared" si="0"/>
        <v>297</v>
      </c>
      <c r="P30" s="534">
        <f t="shared" si="1"/>
        <v>4.0273972602739724E-2</v>
      </c>
      <c r="Q30" s="534">
        <f t="shared" si="2"/>
        <v>11.961369863013697</v>
      </c>
    </row>
    <row r="31" spans="1:17" ht="15" customHeight="1" x14ac:dyDescent="0.25">
      <c r="A31" s="530" t="s">
        <v>371</v>
      </c>
      <c r="B31" s="530" t="s">
        <v>306</v>
      </c>
      <c r="C31" s="531">
        <v>1261</v>
      </c>
      <c r="D31" s="530" t="s">
        <v>372</v>
      </c>
      <c r="E31" s="530" t="s">
        <v>373</v>
      </c>
      <c r="F31" s="531">
        <v>2475</v>
      </c>
      <c r="G31" s="530" t="s">
        <v>296</v>
      </c>
      <c r="H31" s="531">
        <v>2184</v>
      </c>
      <c r="I31" s="531">
        <v>500</v>
      </c>
      <c r="J31" s="531">
        <v>0</v>
      </c>
      <c r="K31" s="532">
        <v>45043</v>
      </c>
      <c r="L31" s="532">
        <v>46260</v>
      </c>
      <c r="M31" s="530"/>
      <c r="N31" s="531">
        <v>-125</v>
      </c>
      <c r="O31" s="533">
        <f t="shared" si="0"/>
        <v>1184</v>
      </c>
      <c r="P31" s="534">
        <f t="shared" si="1"/>
        <v>4.0273972602739724E-2</v>
      </c>
      <c r="Q31" s="534">
        <f t="shared" si="2"/>
        <v>47.684383561643834</v>
      </c>
    </row>
    <row r="32" spans="1:17" ht="15" customHeight="1" x14ac:dyDescent="0.25">
      <c r="A32" s="530" t="s">
        <v>374</v>
      </c>
      <c r="B32" s="530" t="s">
        <v>320</v>
      </c>
      <c r="C32" s="531">
        <v>1171</v>
      </c>
      <c r="D32" s="530" t="s">
        <v>375</v>
      </c>
      <c r="E32" s="530" t="s">
        <v>376</v>
      </c>
      <c r="F32" s="531">
        <v>2373</v>
      </c>
      <c r="G32" s="530" t="s">
        <v>296</v>
      </c>
      <c r="H32" s="531">
        <v>2172</v>
      </c>
      <c r="I32" s="531">
        <v>1860</v>
      </c>
      <c r="J32" s="531">
        <v>0</v>
      </c>
      <c r="K32" s="532">
        <v>45073</v>
      </c>
      <c r="L32" s="532">
        <v>46533</v>
      </c>
      <c r="M32" s="530"/>
      <c r="N32" s="531">
        <v>0</v>
      </c>
      <c r="O32" s="533">
        <f t="shared" si="0"/>
        <v>1154</v>
      </c>
      <c r="P32" s="534">
        <f t="shared" si="1"/>
        <v>0.14981917808219178</v>
      </c>
      <c r="Q32" s="534">
        <f t="shared" si="2"/>
        <v>172.89133150684933</v>
      </c>
    </row>
    <row r="33" spans="1:17" ht="15" customHeight="1" x14ac:dyDescent="0.25">
      <c r="A33" s="530" t="s">
        <v>377</v>
      </c>
      <c r="B33" s="530" t="s">
        <v>378</v>
      </c>
      <c r="C33" s="531">
        <v>845</v>
      </c>
      <c r="D33" s="530" t="s">
        <v>379</v>
      </c>
      <c r="E33" s="530" t="s">
        <v>380</v>
      </c>
      <c r="F33" s="531">
        <v>1916</v>
      </c>
      <c r="G33" s="530" t="s">
        <v>296</v>
      </c>
      <c r="H33" s="531">
        <v>1643</v>
      </c>
      <c r="I33" s="531">
        <v>500</v>
      </c>
      <c r="J33" s="531">
        <v>0</v>
      </c>
      <c r="K33" s="532">
        <v>45078</v>
      </c>
      <c r="L33" s="532">
        <v>46567</v>
      </c>
      <c r="M33" s="530"/>
      <c r="N33" s="531">
        <v>0</v>
      </c>
      <c r="O33" s="533">
        <f t="shared" si="0"/>
        <v>1149</v>
      </c>
      <c r="P33" s="534">
        <f t="shared" si="1"/>
        <v>4.0273972602739724E-2</v>
      </c>
      <c r="Q33" s="534">
        <f t="shared" si="2"/>
        <v>46.274794520547943</v>
      </c>
    </row>
    <row r="34" spans="1:17" ht="15" customHeight="1" x14ac:dyDescent="0.25">
      <c r="A34" s="530" t="s">
        <v>381</v>
      </c>
      <c r="B34" s="530" t="s">
        <v>324</v>
      </c>
      <c r="C34" s="531">
        <v>838</v>
      </c>
      <c r="D34" s="530" t="s">
        <v>382</v>
      </c>
      <c r="E34" s="530" t="s">
        <v>383</v>
      </c>
      <c r="F34" s="531">
        <v>2163</v>
      </c>
      <c r="G34" s="530" t="s">
        <v>296</v>
      </c>
      <c r="H34" s="531">
        <v>1563</v>
      </c>
      <c r="I34" s="531">
        <v>500</v>
      </c>
      <c r="J34" s="531">
        <v>0</v>
      </c>
      <c r="K34" s="532">
        <v>45292</v>
      </c>
      <c r="L34" s="532">
        <v>46387</v>
      </c>
      <c r="M34" s="530"/>
      <c r="N34" s="531">
        <v>0</v>
      </c>
      <c r="O34" s="533">
        <f t="shared" si="0"/>
        <v>935</v>
      </c>
      <c r="P34" s="534">
        <f t="shared" si="1"/>
        <v>4.0273972602739724E-2</v>
      </c>
      <c r="Q34" s="534">
        <f t="shared" si="2"/>
        <v>37.656164383561645</v>
      </c>
    </row>
    <row r="35" spans="1:17" ht="15" customHeight="1" x14ac:dyDescent="0.25">
      <c r="A35" s="530" t="s">
        <v>384</v>
      </c>
      <c r="B35" s="530" t="s">
        <v>385</v>
      </c>
      <c r="C35" s="531">
        <v>843</v>
      </c>
      <c r="D35" s="530" t="s">
        <v>386</v>
      </c>
      <c r="E35" s="530" t="s">
        <v>387</v>
      </c>
      <c r="F35" s="531">
        <v>1980</v>
      </c>
      <c r="G35" s="530" t="s">
        <v>296</v>
      </c>
      <c r="H35" s="531">
        <v>1777</v>
      </c>
      <c r="I35" s="531">
        <v>500</v>
      </c>
      <c r="J35" s="531">
        <v>0</v>
      </c>
      <c r="K35" s="532">
        <v>45504</v>
      </c>
      <c r="L35" s="532">
        <v>46356</v>
      </c>
      <c r="M35" s="530"/>
      <c r="N35" s="531">
        <v>0</v>
      </c>
      <c r="O35" s="533">
        <f t="shared" si="0"/>
        <v>723</v>
      </c>
      <c r="P35" s="534">
        <f t="shared" si="1"/>
        <v>4.0273972602739724E-2</v>
      </c>
      <c r="Q35" s="534">
        <f t="shared" si="2"/>
        <v>29.118082191780822</v>
      </c>
    </row>
    <row r="36" spans="1:17" ht="15" customHeight="1" x14ac:dyDescent="0.25">
      <c r="A36" s="530" t="s">
        <v>388</v>
      </c>
      <c r="B36" s="530" t="s">
        <v>302</v>
      </c>
      <c r="C36" s="531">
        <v>1581</v>
      </c>
      <c r="D36" s="530" t="s">
        <v>389</v>
      </c>
      <c r="E36" s="530" t="s">
        <v>390</v>
      </c>
      <c r="F36" s="531">
        <v>2951</v>
      </c>
      <c r="G36" s="530" t="s">
        <v>296</v>
      </c>
      <c r="H36" s="531">
        <v>2542</v>
      </c>
      <c r="I36" s="531">
        <v>0</v>
      </c>
      <c r="J36" s="531">
        <v>0</v>
      </c>
      <c r="K36" s="532">
        <v>46172</v>
      </c>
      <c r="L36" s="532">
        <v>46566</v>
      </c>
      <c r="M36" s="530"/>
      <c r="N36" s="531">
        <v>0</v>
      </c>
      <c r="O36" s="533">
        <f t="shared" si="0"/>
        <v>55</v>
      </c>
      <c r="P36" s="534">
        <f t="shared" si="1"/>
        <v>0</v>
      </c>
      <c r="Q36" s="534">
        <f t="shared" si="2"/>
        <v>0</v>
      </c>
    </row>
    <row r="37" spans="1:17" ht="15" customHeight="1" x14ac:dyDescent="0.25">
      <c r="A37" s="530" t="s">
        <v>391</v>
      </c>
      <c r="B37" s="530" t="s">
        <v>378</v>
      </c>
      <c r="C37" s="531">
        <v>845</v>
      </c>
      <c r="D37" s="530" t="s">
        <v>392</v>
      </c>
      <c r="E37" s="530" t="s">
        <v>393</v>
      </c>
      <c r="F37" s="531">
        <v>1916</v>
      </c>
      <c r="G37" s="530" t="s">
        <v>296</v>
      </c>
      <c r="H37" s="531">
        <v>1684</v>
      </c>
      <c r="I37" s="531">
        <v>0</v>
      </c>
      <c r="J37" s="531">
        <v>0</v>
      </c>
      <c r="K37" s="532">
        <v>46154</v>
      </c>
      <c r="L37" s="532">
        <v>46518</v>
      </c>
      <c r="M37" s="530"/>
      <c r="N37" s="531">
        <v>-94.68</v>
      </c>
      <c r="O37" s="533">
        <f t="shared" si="0"/>
        <v>73</v>
      </c>
      <c r="P37" s="534">
        <f t="shared" si="1"/>
        <v>0</v>
      </c>
      <c r="Q37" s="534">
        <f t="shared" si="2"/>
        <v>0</v>
      </c>
    </row>
    <row r="38" spans="1:17" ht="15" customHeight="1" x14ac:dyDescent="0.25">
      <c r="A38" s="530" t="s">
        <v>394</v>
      </c>
      <c r="B38" s="530" t="s">
        <v>302</v>
      </c>
      <c r="C38" s="531">
        <v>1581</v>
      </c>
      <c r="D38" s="530" t="s">
        <v>395</v>
      </c>
      <c r="E38" s="530" t="s">
        <v>396</v>
      </c>
      <c r="F38" s="531">
        <v>2901</v>
      </c>
      <c r="G38" s="530" t="s">
        <v>296</v>
      </c>
      <c r="H38" s="531">
        <v>2415</v>
      </c>
      <c r="I38" s="531">
        <v>500</v>
      </c>
      <c r="J38" s="531">
        <v>0</v>
      </c>
      <c r="K38" s="532">
        <v>46129</v>
      </c>
      <c r="L38" s="532">
        <v>46496</v>
      </c>
      <c r="M38" s="530"/>
      <c r="N38" s="531">
        <v>0</v>
      </c>
      <c r="O38" s="533">
        <f t="shared" si="0"/>
        <v>98</v>
      </c>
      <c r="P38" s="534">
        <f t="shared" si="1"/>
        <v>4.0273972602739724E-2</v>
      </c>
      <c r="Q38" s="534">
        <f t="shared" si="2"/>
        <v>3.9468493150684929</v>
      </c>
    </row>
    <row r="39" spans="1:17" ht="15" customHeight="1" x14ac:dyDescent="0.25">
      <c r="A39" s="530" t="s">
        <v>397</v>
      </c>
      <c r="B39" s="530" t="s">
        <v>306</v>
      </c>
      <c r="C39" s="531">
        <v>1261</v>
      </c>
      <c r="D39" s="530" t="s">
        <v>398</v>
      </c>
      <c r="E39" s="530" t="s">
        <v>399</v>
      </c>
      <c r="F39" s="531">
        <v>2650</v>
      </c>
      <c r="G39" s="530" t="s">
        <v>296</v>
      </c>
      <c r="H39" s="531">
        <v>2207</v>
      </c>
      <c r="I39" s="531">
        <v>500</v>
      </c>
      <c r="J39" s="531">
        <v>0</v>
      </c>
      <c r="K39" s="532">
        <v>45853</v>
      </c>
      <c r="L39" s="532">
        <v>46217</v>
      </c>
      <c r="M39" s="530"/>
      <c r="N39" s="531">
        <v>-92.03</v>
      </c>
      <c r="O39" s="533">
        <f t="shared" si="0"/>
        <v>374</v>
      </c>
      <c r="P39" s="534">
        <f t="shared" si="1"/>
        <v>4.0273972602739724E-2</v>
      </c>
      <c r="Q39" s="534">
        <f t="shared" si="2"/>
        <v>15.062465753424657</v>
      </c>
    </row>
    <row r="40" spans="1:17" ht="15" customHeight="1" x14ac:dyDescent="0.25">
      <c r="A40" s="530" t="s">
        <v>401</v>
      </c>
      <c r="B40" s="530" t="s">
        <v>320</v>
      </c>
      <c r="C40" s="531">
        <v>1171</v>
      </c>
      <c r="D40" s="530" t="s">
        <v>402</v>
      </c>
      <c r="E40" s="530" t="s">
        <v>403</v>
      </c>
      <c r="F40" s="531">
        <v>2468</v>
      </c>
      <c r="G40" s="530" t="s">
        <v>296</v>
      </c>
      <c r="H40" s="531">
        <v>2491</v>
      </c>
      <c r="I40" s="531">
        <v>2491</v>
      </c>
      <c r="J40" s="531">
        <v>0</v>
      </c>
      <c r="K40" s="532">
        <v>46137</v>
      </c>
      <c r="L40" s="532">
        <v>46503</v>
      </c>
      <c r="M40" s="530"/>
      <c r="N40" s="531">
        <v>100</v>
      </c>
      <c r="O40" s="533">
        <f t="shared" si="0"/>
        <v>90</v>
      </c>
      <c r="P40" s="534">
        <f t="shared" si="1"/>
        <v>0.20064493150684931</v>
      </c>
      <c r="Q40" s="534">
        <f t="shared" si="2"/>
        <v>18.058043835616438</v>
      </c>
    </row>
    <row r="41" spans="1:17" ht="15" customHeight="1" x14ac:dyDescent="0.25">
      <c r="A41" s="530" t="s">
        <v>404</v>
      </c>
      <c r="B41" s="530" t="s">
        <v>357</v>
      </c>
      <c r="C41" s="531">
        <v>808</v>
      </c>
      <c r="D41" s="530" t="s">
        <v>405</v>
      </c>
      <c r="E41" s="530" t="s">
        <v>406</v>
      </c>
      <c r="F41" s="531">
        <v>2000</v>
      </c>
      <c r="G41" s="530" t="s">
        <v>296</v>
      </c>
      <c r="H41" s="531">
        <v>1590</v>
      </c>
      <c r="I41" s="531">
        <v>500</v>
      </c>
      <c r="J41" s="531">
        <v>0</v>
      </c>
      <c r="K41" s="532">
        <v>45059</v>
      </c>
      <c r="L41" s="532">
        <v>46519</v>
      </c>
      <c r="M41" s="530"/>
      <c r="N41" s="531">
        <v>0</v>
      </c>
      <c r="O41" s="533">
        <f t="shared" si="0"/>
        <v>1168</v>
      </c>
      <c r="P41" s="534">
        <f t="shared" si="1"/>
        <v>4.0273972602739724E-2</v>
      </c>
      <c r="Q41" s="534">
        <f t="shared" si="2"/>
        <v>47.04</v>
      </c>
    </row>
    <row r="42" spans="1:17" ht="15" customHeight="1" x14ac:dyDescent="0.25">
      <c r="A42" s="530" t="s">
        <v>14183</v>
      </c>
      <c r="B42" s="530" t="s">
        <v>336</v>
      </c>
      <c r="C42" s="531">
        <v>1554</v>
      </c>
      <c r="D42" s="530" t="s">
        <v>14184</v>
      </c>
      <c r="E42" s="530" t="s">
        <v>400</v>
      </c>
      <c r="F42" s="531">
        <v>2945</v>
      </c>
      <c r="G42" s="530" t="s">
        <v>296</v>
      </c>
      <c r="H42" s="531">
        <v>2705</v>
      </c>
      <c r="I42" s="531">
        <v>0</v>
      </c>
      <c r="J42" s="531">
        <v>0</v>
      </c>
      <c r="K42" s="532">
        <v>46185</v>
      </c>
      <c r="L42" s="532">
        <v>46322</v>
      </c>
      <c r="M42" s="530"/>
      <c r="N42" s="531">
        <v>-95.79</v>
      </c>
      <c r="O42" s="533">
        <f t="shared" si="0"/>
        <v>42</v>
      </c>
      <c r="P42" s="534">
        <f t="shared" si="1"/>
        <v>0</v>
      </c>
      <c r="Q42" s="534">
        <f t="shared" si="2"/>
        <v>0</v>
      </c>
    </row>
    <row r="43" spans="1:17" ht="15" customHeight="1" x14ac:dyDescent="0.25">
      <c r="A43" s="530" t="s">
        <v>407</v>
      </c>
      <c r="B43" s="530" t="s">
        <v>302</v>
      </c>
      <c r="C43" s="531">
        <v>1581</v>
      </c>
      <c r="D43" s="530" t="s">
        <v>408</v>
      </c>
      <c r="E43" s="530" t="s">
        <v>409</v>
      </c>
      <c r="F43" s="531">
        <v>2851</v>
      </c>
      <c r="G43" s="530" t="s">
        <v>296</v>
      </c>
      <c r="H43" s="531">
        <v>2504</v>
      </c>
      <c r="I43" s="531">
        <v>2504</v>
      </c>
      <c r="J43" s="531">
        <v>0</v>
      </c>
      <c r="K43" s="532">
        <v>46044</v>
      </c>
      <c r="L43" s="532">
        <v>46498</v>
      </c>
      <c r="M43" s="530"/>
      <c r="N43" s="531">
        <v>6741.35</v>
      </c>
      <c r="O43" s="533">
        <f t="shared" si="0"/>
        <v>183</v>
      </c>
      <c r="P43" s="534">
        <f t="shared" si="1"/>
        <v>0.20169205479452054</v>
      </c>
      <c r="Q43" s="534">
        <f t="shared" si="2"/>
        <v>36.909646027397258</v>
      </c>
    </row>
    <row r="44" spans="1:17" ht="15" customHeight="1" x14ac:dyDescent="0.25">
      <c r="A44" s="530" t="s">
        <v>410</v>
      </c>
      <c r="B44" s="530" t="s">
        <v>411</v>
      </c>
      <c r="C44" s="531">
        <v>1415</v>
      </c>
      <c r="D44" s="530" t="s">
        <v>14185</v>
      </c>
      <c r="E44" s="530" t="s">
        <v>14186</v>
      </c>
      <c r="F44" s="531">
        <v>3067</v>
      </c>
      <c r="G44" s="530" t="s">
        <v>296</v>
      </c>
      <c r="H44" s="531">
        <v>2902</v>
      </c>
      <c r="I44" s="531">
        <v>0</v>
      </c>
      <c r="J44" s="531">
        <v>0</v>
      </c>
      <c r="K44" s="532">
        <v>46217</v>
      </c>
      <c r="L44" s="532">
        <v>46581</v>
      </c>
      <c r="M44" s="530"/>
      <c r="N44" s="531">
        <v>0</v>
      </c>
      <c r="O44" s="533">
        <f t="shared" si="0"/>
        <v>10</v>
      </c>
      <c r="P44" s="534">
        <f t="shared" si="1"/>
        <v>0</v>
      </c>
      <c r="Q44" s="534">
        <f t="shared" si="2"/>
        <v>0</v>
      </c>
    </row>
    <row r="45" spans="1:17" ht="15" customHeight="1" x14ac:dyDescent="0.25">
      <c r="A45" s="530" t="s">
        <v>412</v>
      </c>
      <c r="B45" s="530" t="s">
        <v>413</v>
      </c>
      <c r="C45" s="531">
        <v>979</v>
      </c>
      <c r="D45" s="530" t="s">
        <v>414</v>
      </c>
      <c r="E45" s="530" t="s">
        <v>415</v>
      </c>
      <c r="F45" s="531">
        <v>2365</v>
      </c>
      <c r="G45" s="530" t="s">
        <v>296</v>
      </c>
      <c r="H45" s="531">
        <v>1649</v>
      </c>
      <c r="I45" s="531">
        <v>500</v>
      </c>
      <c r="J45" s="531">
        <v>0</v>
      </c>
      <c r="K45" s="532">
        <v>45258</v>
      </c>
      <c r="L45" s="532">
        <v>46445</v>
      </c>
      <c r="M45" s="530"/>
      <c r="N45" s="531">
        <v>0</v>
      </c>
      <c r="O45" s="533">
        <f t="shared" si="0"/>
        <v>969</v>
      </c>
      <c r="P45" s="534">
        <f t="shared" si="1"/>
        <v>4.0273972602739724E-2</v>
      </c>
      <c r="Q45" s="534">
        <f t="shared" si="2"/>
        <v>39.025479452054796</v>
      </c>
    </row>
    <row r="46" spans="1:17" ht="15" customHeight="1" x14ac:dyDescent="0.25">
      <c r="A46" s="530" t="s">
        <v>416</v>
      </c>
      <c r="B46" s="530" t="s">
        <v>417</v>
      </c>
      <c r="C46" s="531">
        <v>1310</v>
      </c>
      <c r="D46" s="530" t="s">
        <v>418</v>
      </c>
      <c r="E46" s="530" t="s">
        <v>419</v>
      </c>
      <c r="F46" s="531">
        <v>2839</v>
      </c>
      <c r="G46" s="530" t="s">
        <v>296</v>
      </c>
      <c r="H46" s="531">
        <v>2340</v>
      </c>
      <c r="I46" s="531">
        <v>500</v>
      </c>
      <c r="J46" s="531">
        <v>0</v>
      </c>
      <c r="K46" s="532">
        <v>44849</v>
      </c>
      <c r="L46" s="532">
        <v>46370</v>
      </c>
      <c r="M46" s="530"/>
      <c r="N46" s="531">
        <v>0</v>
      </c>
      <c r="O46" s="533">
        <f t="shared" si="0"/>
        <v>1378</v>
      </c>
      <c r="P46" s="534">
        <f t="shared" si="1"/>
        <v>4.0273972602739724E-2</v>
      </c>
      <c r="Q46" s="534">
        <f t="shared" si="2"/>
        <v>55.497534246575341</v>
      </c>
    </row>
    <row r="47" spans="1:17" ht="15" customHeight="1" x14ac:dyDescent="0.25">
      <c r="A47" s="530" t="s">
        <v>420</v>
      </c>
      <c r="B47" s="530" t="s">
        <v>421</v>
      </c>
      <c r="C47" s="531">
        <v>1068</v>
      </c>
      <c r="D47" s="530" t="s">
        <v>14187</v>
      </c>
      <c r="E47" s="530" t="s">
        <v>14188</v>
      </c>
      <c r="F47" s="531">
        <v>3025</v>
      </c>
      <c r="G47" s="530" t="s">
        <v>296</v>
      </c>
      <c r="H47" s="531">
        <v>2318</v>
      </c>
      <c r="I47" s="531">
        <v>0</v>
      </c>
      <c r="J47" s="531">
        <v>0</v>
      </c>
      <c r="K47" s="532">
        <v>46220</v>
      </c>
      <c r="L47" s="532">
        <v>46584</v>
      </c>
      <c r="M47" s="530"/>
      <c r="N47" s="531">
        <v>36.29</v>
      </c>
      <c r="O47" s="533">
        <f t="shared" si="0"/>
        <v>7</v>
      </c>
      <c r="P47" s="534">
        <f t="shared" si="1"/>
        <v>0</v>
      </c>
      <c r="Q47" s="534">
        <f t="shared" si="2"/>
        <v>0</v>
      </c>
    </row>
    <row r="48" spans="1:17" ht="15" customHeight="1" x14ac:dyDescent="0.25">
      <c r="A48" s="530" t="s">
        <v>422</v>
      </c>
      <c r="B48" s="530" t="s">
        <v>423</v>
      </c>
      <c r="C48" s="531">
        <v>1613</v>
      </c>
      <c r="D48" s="530" t="s">
        <v>424</v>
      </c>
      <c r="E48" s="530" t="s">
        <v>425</v>
      </c>
      <c r="F48" s="531">
        <v>3410</v>
      </c>
      <c r="G48" s="530" t="s">
        <v>296</v>
      </c>
      <c r="H48" s="531">
        <v>2974.59</v>
      </c>
      <c r="I48" s="531">
        <v>700</v>
      </c>
      <c r="J48" s="531">
        <v>0</v>
      </c>
      <c r="K48" s="532">
        <v>45433</v>
      </c>
      <c r="L48" s="532">
        <v>46231</v>
      </c>
      <c r="M48" s="532">
        <v>46231</v>
      </c>
      <c r="N48" s="531">
        <v>2958.98</v>
      </c>
      <c r="O48" s="533">
        <f t="shared" si="0"/>
        <v>794</v>
      </c>
      <c r="P48" s="534">
        <f t="shared" si="1"/>
        <v>5.6383561643835609E-2</v>
      </c>
      <c r="Q48" s="534">
        <f t="shared" si="2"/>
        <v>44.768547945205476</v>
      </c>
    </row>
    <row r="49" spans="1:17" ht="15" customHeight="1" x14ac:dyDescent="0.25">
      <c r="A49" s="530" t="s">
        <v>426</v>
      </c>
      <c r="B49" s="530" t="s">
        <v>427</v>
      </c>
      <c r="C49" s="531">
        <v>1307</v>
      </c>
      <c r="D49" s="530" t="s">
        <v>428</v>
      </c>
      <c r="E49" s="530" t="s">
        <v>429</v>
      </c>
      <c r="F49" s="531">
        <v>2694</v>
      </c>
      <c r="G49" s="530" t="s">
        <v>296</v>
      </c>
      <c r="H49" s="531">
        <v>1971</v>
      </c>
      <c r="I49" s="531">
        <v>500</v>
      </c>
      <c r="J49" s="531">
        <v>0</v>
      </c>
      <c r="K49" s="532">
        <v>45141</v>
      </c>
      <c r="L49" s="532">
        <v>46267</v>
      </c>
      <c r="M49" s="530"/>
      <c r="N49" s="531">
        <v>0</v>
      </c>
      <c r="O49" s="533">
        <f t="shared" si="0"/>
        <v>1086</v>
      </c>
      <c r="P49" s="534">
        <f t="shared" si="1"/>
        <v>4.0273972602739724E-2</v>
      </c>
      <c r="Q49" s="534">
        <f t="shared" si="2"/>
        <v>43.737534246575343</v>
      </c>
    </row>
    <row r="50" spans="1:17" ht="16.5" customHeight="1" x14ac:dyDescent="0.25">
      <c r="A50" s="530" t="s">
        <v>430</v>
      </c>
      <c r="B50" s="530" t="s">
        <v>431</v>
      </c>
      <c r="C50" s="531">
        <v>1540</v>
      </c>
      <c r="D50" s="530" t="s">
        <v>432</v>
      </c>
      <c r="E50" s="530" t="s">
        <v>433</v>
      </c>
      <c r="F50" s="531">
        <v>3128</v>
      </c>
      <c r="G50" s="530" t="s">
        <v>296</v>
      </c>
      <c r="H50" s="531">
        <v>2645</v>
      </c>
      <c r="I50" s="531">
        <v>700</v>
      </c>
      <c r="J50" s="531">
        <v>0</v>
      </c>
      <c r="K50" s="532">
        <v>45077</v>
      </c>
      <c r="L50" s="532">
        <v>46264</v>
      </c>
      <c r="M50" s="530"/>
      <c r="N50" s="531">
        <v>0</v>
      </c>
      <c r="O50" s="533">
        <f t="shared" si="0"/>
        <v>1150</v>
      </c>
      <c r="P50" s="534">
        <f t="shared" si="1"/>
        <v>5.6383561643835609E-2</v>
      </c>
      <c r="Q50" s="534">
        <f t="shared" si="2"/>
        <v>64.841095890410955</v>
      </c>
    </row>
    <row r="51" spans="1:17" ht="15" customHeight="1" x14ac:dyDescent="0.25">
      <c r="A51" s="530" t="s">
        <v>14189</v>
      </c>
      <c r="B51" s="530" t="s">
        <v>324</v>
      </c>
      <c r="C51" s="531">
        <v>838</v>
      </c>
      <c r="D51" s="530" t="s">
        <v>14190</v>
      </c>
      <c r="E51" s="530" t="s">
        <v>14191</v>
      </c>
      <c r="F51" s="531">
        <v>2163</v>
      </c>
      <c r="G51" s="530" t="s">
        <v>296</v>
      </c>
      <c r="H51" s="531">
        <v>1898</v>
      </c>
      <c r="I51" s="531">
        <v>0</v>
      </c>
      <c r="J51" s="531">
        <v>0</v>
      </c>
      <c r="K51" s="532">
        <v>46216</v>
      </c>
      <c r="L51" s="532">
        <v>46580</v>
      </c>
      <c r="M51" s="530"/>
      <c r="N51" s="531">
        <v>0</v>
      </c>
      <c r="O51" s="533">
        <f t="shared" si="0"/>
        <v>11</v>
      </c>
      <c r="P51" s="534">
        <f t="shared" si="1"/>
        <v>0</v>
      </c>
      <c r="Q51" s="534">
        <f t="shared" si="2"/>
        <v>0</v>
      </c>
    </row>
    <row r="52" spans="1:17" ht="15" customHeight="1" x14ac:dyDescent="0.25">
      <c r="A52" s="530" t="s">
        <v>434</v>
      </c>
      <c r="B52" s="530" t="s">
        <v>298</v>
      </c>
      <c r="C52" s="531">
        <v>643</v>
      </c>
      <c r="D52" s="530" t="s">
        <v>435</v>
      </c>
      <c r="E52" s="530" t="s">
        <v>436</v>
      </c>
      <c r="F52" s="531">
        <v>1575</v>
      </c>
      <c r="G52" s="530" t="s">
        <v>296</v>
      </c>
      <c r="H52" s="531">
        <v>1489</v>
      </c>
      <c r="I52" s="531">
        <v>500</v>
      </c>
      <c r="J52" s="531">
        <v>0</v>
      </c>
      <c r="K52" s="532">
        <v>45462</v>
      </c>
      <c r="L52" s="532">
        <v>46556</v>
      </c>
      <c r="M52" s="530"/>
      <c r="N52" s="531">
        <v>-325</v>
      </c>
      <c r="O52" s="533">
        <f t="shared" si="0"/>
        <v>765</v>
      </c>
      <c r="P52" s="534">
        <f t="shared" si="1"/>
        <v>4.0273972602739724E-2</v>
      </c>
      <c r="Q52" s="534">
        <f t="shared" si="2"/>
        <v>30.80958904109589</v>
      </c>
    </row>
    <row r="53" spans="1:17" ht="15" customHeight="1" x14ac:dyDescent="0.25">
      <c r="A53" s="530" t="s">
        <v>437</v>
      </c>
      <c r="B53" s="530" t="s">
        <v>298</v>
      </c>
      <c r="C53" s="531">
        <v>643</v>
      </c>
      <c r="D53" s="530" t="s">
        <v>438</v>
      </c>
      <c r="E53" s="530" t="s">
        <v>439</v>
      </c>
      <c r="F53" s="531">
        <v>1625</v>
      </c>
      <c r="G53" s="530" t="s">
        <v>296</v>
      </c>
      <c r="H53" s="531">
        <v>1545</v>
      </c>
      <c r="I53" s="531">
        <v>500</v>
      </c>
      <c r="J53" s="531">
        <v>0</v>
      </c>
      <c r="K53" s="532">
        <v>45721</v>
      </c>
      <c r="L53" s="532">
        <v>46481</v>
      </c>
      <c r="M53" s="530"/>
      <c r="N53" s="531">
        <v>0</v>
      </c>
      <c r="O53" s="533">
        <f t="shared" si="0"/>
        <v>506</v>
      </c>
      <c r="P53" s="534">
        <f t="shared" si="1"/>
        <v>4.0273972602739724E-2</v>
      </c>
      <c r="Q53" s="534">
        <f t="shared" si="2"/>
        <v>20.378630136986299</v>
      </c>
    </row>
    <row r="54" spans="1:17" ht="15" customHeight="1" x14ac:dyDescent="0.25">
      <c r="A54" s="530" t="s">
        <v>440</v>
      </c>
      <c r="B54" s="530" t="s">
        <v>306</v>
      </c>
      <c r="C54" s="531">
        <v>1261</v>
      </c>
      <c r="D54" s="530" t="s">
        <v>441</v>
      </c>
      <c r="E54" s="530" t="s">
        <v>442</v>
      </c>
      <c r="F54" s="531">
        <v>2400</v>
      </c>
      <c r="G54" s="530" t="s">
        <v>296</v>
      </c>
      <c r="H54" s="531">
        <v>2121</v>
      </c>
      <c r="I54" s="531">
        <v>3794</v>
      </c>
      <c r="J54" s="531">
        <v>0</v>
      </c>
      <c r="K54" s="532">
        <v>45031</v>
      </c>
      <c r="L54" s="532">
        <v>46496</v>
      </c>
      <c r="M54" s="530"/>
      <c r="N54" s="531">
        <v>0</v>
      </c>
      <c r="O54" s="533">
        <f t="shared" si="0"/>
        <v>1196</v>
      </c>
      <c r="P54" s="534">
        <f t="shared" si="1"/>
        <v>0.30559890410958901</v>
      </c>
      <c r="Q54" s="534">
        <f t="shared" si="2"/>
        <v>365.49628931506845</v>
      </c>
    </row>
    <row r="55" spans="1:17" ht="15" customHeight="1" x14ac:dyDescent="0.25">
      <c r="A55" s="530" t="s">
        <v>443</v>
      </c>
      <c r="B55" s="530" t="s">
        <v>306</v>
      </c>
      <c r="C55" s="531">
        <v>1261</v>
      </c>
      <c r="D55" s="530" t="s">
        <v>444</v>
      </c>
      <c r="E55" s="530" t="s">
        <v>445</v>
      </c>
      <c r="F55" s="531">
        <v>2350</v>
      </c>
      <c r="G55" s="530" t="s">
        <v>296</v>
      </c>
      <c r="H55" s="531">
        <v>1930</v>
      </c>
      <c r="I55" s="531">
        <v>500</v>
      </c>
      <c r="J55" s="531">
        <v>0</v>
      </c>
      <c r="K55" s="532">
        <v>45598</v>
      </c>
      <c r="L55" s="532">
        <v>46406</v>
      </c>
      <c r="M55" s="530"/>
      <c r="N55" s="531">
        <v>0</v>
      </c>
      <c r="O55" s="533">
        <f t="shared" si="0"/>
        <v>629</v>
      </c>
      <c r="P55" s="534">
        <f t="shared" si="1"/>
        <v>4.0273972602739724E-2</v>
      </c>
      <c r="Q55" s="534">
        <f t="shared" si="2"/>
        <v>25.332328767123286</v>
      </c>
    </row>
    <row r="56" spans="1:17" ht="15" customHeight="1" x14ac:dyDescent="0.25">
      <c r="A56" s="530" t="s">
        <v>446</v>
      </c>
      <c r="B56" s="530" t="s">
        <v>316</v>
      </c>
      <c r="C56" s="531">
        <v>748</v>
      </c>
      <c r="D56" s="530" t="s">
        <v>447</v>
      </c>
      <c r="E56" s="530" t="s">
        <v>448</v>
      </c>
      <c r="F56" s="531">
        <v>1919</v>
      </c>
      <c r="G56" s="530" t="s">
        <v>296</v>
      </c>
      <c r="H56" s="531">
        <v>1677</v>
      </c>
      <c r="I56" s="531">
        <v>2938</v>
      </c>
      <c r="J56" s="531">
        <v>0</v>
      </c>
      <c r="K56" s="532">
        <v>45419</v>
      </c>
      <c r="L56" s="532">
        <v>46526</v>
      </c>
      <c r="M56" s="530"/>
      <c r="N56" s="531">
        <v>0</v>
      </c>
      <c r="O56" s="533">
        <f t="shared" si="0"/>
        <v>808</v>
      </c>
      <c r="P56" s="534">
        <f t="shared" si="1"/>
        <v>0.23664986301369864</v>
      </c>
      <c r="Q56" s="534">
        <f t="shared" si="2"/>
        <v>191.21308931506852</v>
      </c>
    </row>
    <row r="57" spans="1:17" ht="15" customHeight="1" x14ac:dyDescent="0.25">
      <c r="A57" s="530" t="s">
        <v>449</v>
      </c>
      <c r="B57" s="530" t="s">
        <v>320</v>
      </c>
      <c r="C57" s="531">
        <v>1171</v>
      </c>
      <c r="D57" s="530" t="s">
        <v>450</v>
      </c>
      <c r="E57" s="530" t="s">
        <v>451</v>
      </c>
      <c r="F57" s="531">
        <v>2323</v>
      </c>
      <c r="G57" s="530" t="s">
        <v>296</v>
      </c>
      <c r="H57" s="531">
        <v>2215</v>
      </c>
      <c r="I57" s="531">
        <v>500</v>
      </c>
      <c r="J57" s="531">
        <v>0</v>
      </c>
      <c r="K57" s="532">
        <v>45923</v>
      </c>
      <c r="L57" s="532">
        <v>46317</v>
      </c>
      <c r="M57" s="530"/>
      <c r="N57" s="531">
        <v>0</v>
      </c>
      <c r="O57" s="533">
        <f t="shared" si="0"/>
        <v>304</v>
      </c>
      <c r="P57" s="534">
        <f t="shared" si="1"/>
        <v>4.0273972602739724E-2</v>
      </c>
      <c r="Q57" s="534">
        <f t="shared" si="2"/>
        <v>12.243287671232876</v>
      </c>
    </row>
    <row r="58" spans="1:17" ht="15" customHeight="1" x14ac:dyDescent="0.25">
      <c r="A58" s="530" t="s">
        <v>452</v>
      </c>
      <c r="B58" s="530" t="s">
        <v>324</v>
      </c>
      <c r="C58" s="531">
        <v>838</v>
      </c>
      <c r="D58" s="530" t="s">
        <v>453</v>
      </c>
      <c r="E58" s="530" t="s">
        <v>454</v>
      </c>
      <c r="F58" s="531">
        <v>2163</v>
      </c>
      <c r="G58" s="530" t="s">
        <v>296</v>
      </c>
      <c r="H58" s="531">
        <v>1671</v>
      </c>
      <c r="I58" s="531">
        <v>0</v>
      </c>
      <c r="J58" s="531">
        <v>0</v>
      </c>
      <c r="K58" s="532">
        <v>46174</v>
      </c>
      <c r="L58" s="532">
        <v>46538</v>
      </c>
      <c r="M58" s="530"/>
      <c r="N58" s="531">
        <v>-6.06</v>
      </c>
      <c r="O58" s="533">
        <f t="shared" si="0"/>
        <v>53</v>
      </c>
      <c r="P58" s="534">
        <f t="shared" si="1"/>
        <v>0</v>
      </c>
      <c r="Q58" s="534">
        <f t="shared" si="2"/>
        <v>0</v>
      </c>
    </row>
    <row r="59" spans="1:17" ht="15" customHeight="1" x14ac:dyDescent="0.25">
      <c r="A59" s="530" t="s">
        <v>455</v>
      </c>
      <c r="B59" s="530" t="s">
        <v>328</v>
      </c>
      <c r="C59" s="531">
        <v>761</v>
      </c>
      <c r="D59" s="530" t="s">
        <v>456</v>
      </c>
      <c r="E59" s="530" t="s">
        <v>457</v>
      </c>
      <c r="F59" s="531">
        <v>1985</v>
      </c>
      <c r="G59" s="530" t="s">
        <v>296</v>
      </c>
      <c r="H59" s="531">
        <v>1623</v>
      </c>
      <c r="I59" s="531">
        <v>500</v>
      </c>
      <c r="J59" s="531">
        <v>0</v>
      </c>
      <c r="K59" s="532">
        <v>45994</v>
      </c>
      <c r="L59" s="532">
        <v>46358</v>
      </c>
      <c r="M59" s="530"/>
      <c r="N59" s="531">
        <v>0</v>
      </c>
      <c r="O59" s="533">
        <f t="shared" si="0"/>
        <v>233</v>
      </c>
      <c r="P59" s="534">
        <f t="shared" si="1"/>
        <v>4.0273972602739724E-2</v>
      </c>
      <c r="Q59" s="534">
        <f t="shared" si="2"/>
        <v>9.3838356164383558</v>
      </c>
    </row>
    <row r="60" spans="1:17" ht="15" customHeight="1" x14ac:dyDescent="0.25">
      <c r="A60" s="530" t="s">
        <v>458</v>
      </c>
      <c r="B60" s="530" t="s">
        <v>324</v>
      </c>
      <c r="C60" s="531">
        <v>838</v>
      </c>
      <c r="D60" s="530" t="s">
        <v>459</v>
      </c>
      <c r="E60" s="530" t="s">
        <v>460</v>
      </c>
      <c r="F60" s="531">
        <v>1988</v>
      </c>
      <c r="G60" s="530" t="s">
        <v>296</v>
      </c>
      <c r="H60" s="531">
        <v>1767</v>
      </c>
      <c r="I60" s="531">
        <v>500</v>
      </c>
      <c r="J60" s="531">
        <v>0</v>
      </c>
      <c r="K60" s="532">
        <v>45659</v>
      </c>
      <c r="L60" s="532">
        <v>46388</v>
      </c>
      <c r="M60" s="530"/>
      <c r="N60" s="531">
        <v>0</v>
      </c>
      <c r="O60" s="533">
        <f t="shared" si="0"/>
        <v>568</v>
      </c>
      <c r="P60" s="534">
        <f t="shared" si="1"/>
        <v>4.0273972602739724E-2</v>
      </c>
      <c r="Q60" s="534">
        <f t="shared" si="2"/>
        <v>22.875616438356165</v>
      </c>
    </row>
    <row r="61" spans="1:17" ht="15" customHeight="1" x14ac:dyDescent="0.25">
      <c r="A61" s="530" t="s">
        <v>461</v>
      </c>
      <c r="B61" s="530" t="s">
        <v>336</v>
      </c>
      <c r="C61" s="531">
        <v>1554</v>
      </c>
      <c r="D61" s="530" t="s">
        <v>462</v>
      </c>
      <c r="E61" s="530" t="s">
        <v>463</v>
      </c>
      <c r="F61" s="531">
        <v>2790</v>
      </c>
      <c r="G61" s="530" t="s">
        <v>296</v>
      </c>
      <c r="H61" s="531">
        <v>2268</v>
      </c>
      <c r="I61" s="531">
        <v>2268</v>
      </c>
      <c r="J61" s="531">
        <v>0</v>
      </c>
      <c r="K61" s="532">
        <v>46100</v>
      </c>
      <c r="L61" s="532">
        <v>46556</v>
      </c>
      <c r="M61" s="530"/>
      <c r="N61" s="531">
        <v>2536.02</v>
      </c>
      <c r="O61" s="533">
        <f t="shared" si="0"/>
        <v>127</v>
      </c>
      <c r="P61" s="534">
        <f t="shared" si="1"/>
        <v>0.18268273972602739</v>
      </c>
      <c r="Q61" s="534">
        <f t="shared" si="2"/>
        <v>23.20070794520548</v>
      </c>
    </row>
    <row r="62" spans="1:17" ht="16.5" customHeight="1" x14ac:dyDescent="0.25">
      <c r="A62" s="530" t="s">
        <v>464</v>
      </c>
      <c r="B62" s="530" t="s">
        <v>343</v>
      </c>
      <c r="C62" s="531">
        <v>1069</v>
      </c>
      <c r="D62" s="530" t="s">
        <v>465</v>
      </c>
      <c r="E62" s="530" t="s">
        <v>466</v>
      </c>
      <c r="F62" s="531">
        <v>2391</v>
      </c>
      <c r="G62" s="530" t="s">
        <v>296</v>
      </c>
      <c r="H62" s="531">
        <v>2094</v>
      </c>
      <c r="I62" s="531">
        <v>500</v>
      </c>
      <c r="J62" s="531">
        <v>0</v>
      </c>
      <c r="K62" s="532">
        <v>45869</v>
      </c>
      <c r="L62" s="532">
        <v>46233</v>
      </c>
      <c r="M62" s="530"/>
      <c r="N62" s="531">
        <v>0</v>
      </c>
      <c r="O62" s="533">
        <f t="shared" si="0"/>
        <v>358</v>
      </c>
      <c r="P62" s="534">
        <f t="shared" si="1"/>
        <v>4.0273972602739724E-2</v>
      </c>
      <c r="Q62" s="534">
        <f t="shared" si="2"/>
        <v>14.418082191780821</v>
      </c>
    </row>
    <row r="63" spans="1:17" ht="15" customHeight="1" x14ac:dyDescent="0.25">
      <c r="A63" s="530" t="s">
        <v>467</v>
      </c>
      <c r="B63" s="530" t="s">
        <v>316</v>
      </c>
      <c r="C63" s="531">
        <v>748</v>
      </c>
      <c r="D63" s="530" t="s">
        <v>468</v>
      </c>
      <c r="E63" s="530" t="s">
        <v>469</v>
      </c>
      <c r="F63" s="531">
        <v>1999</v>
      </c>
      <c r="G63" s="530" t="s">
        <v>296</v>
      </c>
      <c r="H63" s="531">
        <v>2221</v>
      </c>
      <c r="I63" s="531">
        <v>500</v>
      </c>
      <c r="J63" s="531">
        <v>0</v>
      </c>
      <c r="K63" s="532">
        <v>45864</v>
      </c>
      <c r="L63" s="532">
        <v>46266</v>
      </c>
      <c r="M63" s="532">
        <v>46266</v>
      </c>
      <c r="N63" s="531">
        <v>0</v>
      </c>
      <c r="O63" s="533">
        <f t="shared" si="0"/>
        <v>363</v>
      </c>
      <c r="P63" s="534">
        <f t="shared" si="1"/>
        <v>4.0273972602739724E-2</v>
      </c>
      <c r="Q63" s="534">
        <f t="shared" si="2"/>
        <v>14.61945205479452</v>
      </c>
    </row>
    <row r="64" spans="1:17" ht="15" customHeight="1" x14ac:dyDescent="0.25">
      <c r="A64" s="530" t="s">
        <v>470</v>
      </c>
      <c r="B64" s="530" t="s">
        <v>357</v>
      </c>
      <c r="C64" s="531">
        <v>808</v>
      </c>
      <c r="D64" s="530" t="s">
        <v>471</v>
      </c>
      <c r="E64" s="530" t="s">
        <v>472</v>
      </c>
      <c r="F64" s="531">
        <v>2050</v>
      </c>
      <c r="G64" s="530" t="s">
        <v>296</v>
      </c>
      <c r="H64" s="531">
        <v>1795</v>
      </c>
      <c r="I64" s="531">
        <v>500</v>
      </c>
      <c r="J64" s="531">
        <v>0</v>
      </c>
      <c r="K64" s="532">
        <v>45134</v>
      </c>
      <c r="L64" s="532">
        <v>46291</v>
      </c>
      <c r="M64" s="532">
        <v>46291</v>
      </c>
      <c r="N64" s="531">
        <v>0</v>
      </c>
      <c r="O64" s="533">
        <f t="shared" si="0"/>
        <v>1093</v>
      </c>
      <c r="P64" s="534">
        <f t="shared" si="1"/>
        <v>4.0273972602739724E-2</v>
      </c>
      <c r="Q64" s="534">
        <f t="shared" si="2"/>
        <v>44.01945205479452</v>
      </c>
    </row>
    <row r="65" spans="1:17" ht="15" customHeight="1" x14ac:dyDescent="0.25">
      <c r="A65" s="530" t="s">
        <v>473</v>
      </c>
      <c r="B65" s="530" t="s">
        <v>316</v>
      </c>
      <c r="C65" s="531">
        <v>748</v>
      </c>
      <c r="D65" s="530" t="s">
        <v>474</v>
      </c>
      <c r="E65" s="530" t="s">
        <v>475</v>
      </c>
      <c r="F65" s="531">
        <v>2169</v>
      </c>
      <c r="G65" s="530" t="s">
        <v>296</v>
      </c>
      <c r="H65" s="531">
        <v>1784</v>
      </c>
      <c r="I65" s="531">
        <v>500</v>
      </c>
      <c r="J65" s="531">
        <v>0</v>
      </c>
      <c r="K65" s="532">
        <v>46010</v>
      </c>
      <c r="L65" s="532">
        <v>46436</v>
      </c>
      <c r="M65" s="530"/>
      <c r="N65" s="531">
        <v>0</v>
      </c>
      <c r="O65" s="533">
        <f t="shared" si="0"/>
        <v>217</v>
      </c>
      <c r="P65" s="534">
        <f t="shared" si="1"/>
        <v>4.0273972602739724E-2</v>
      </c>
      <c r="Q65" s="534">
        <f t="shared" si="2"/>
        <v>8.7394520547945209</v>
      </c>
    </row>
    <row r="66" spans="1:17" ht="15" customHeight="1" x14ac:dyDescent="0.25">
      <c r="A66" s="530" t="s">
        <v>476</v>
      </c>
      <c r="B66" s="530" t="s">
        <v>320</v>
      </c>
      <c r="C66" s="531">
        <v>1171</v>
      </c>
      <c r="D66" s="530" t="s">
        <v>477</v>
      </c>
      <c r="E66" s="530" t="s">
        <v>478</v>
      </c>
      <c r="F66" s="531">
        <v>2323</v>
      </c>
      <c r="G66" s="530" t="s">
        <v>296</v>
      </c>
      <c r="H66" s="531">
        <v>2368</v>
      </c>
      <c r="I66" s="531">
        <v>500</v>
      </c>
      <c r="J66" s="531">
        <v>0</v>
      </c>
      <c r="K66" s="532">
        <v>45849</v>
      </c>
      <c r="L66" s="532">
        <v>46677</v>
      </c>
      <c r="M66" s="530"/>
      <c r="N66" s="531">
        <v>0</v>
      </c>
      <c r="O66" s="533">
        <f t="shared" si="0"/>
        <v>378</v>
      </c>
      <c r="P66" s="534">
        <f t="shared" si="1"/>
        <v>4.0273972602739724E-2</v>
      </c>
      <c r="Q66" s="534">
        <f t="shared" si="2"/>
        <v>15.223561643835616</v>
      </c>
    </row>
    <row r="67" spans="1:17" ht="15" customHeight="1" x14ac:dyDescent="0.25">
      <c r="A67" s="530" t="s">
        <v>479</v>
      </c>
      <c r="B67" s="530" t="s">
        <v>480</v>
      </c>
      <c r="C67" s="531">
        <v>702</v>
      </c>
      <c r="D67" s="530" t="s">
        <v>481</v>
      </c>
      <c r="E67" s="530" t="s">
        <v>482</v>
      </c>
      <c r="F67" s="531">
        <v>1562</v>
      </c>
      <c r="G67" s="530" t="s">
        <v>296</v>
      </c>
      <c r="H67" s="531">
        <v>1455.2</v>
      </c>
      <c r="I67" s="531">
        <v>500</v>
      </c>
      <c r="J67" s="531">
        <v>0</v>
      </c>
      <c r="K67" s="532">
        <v>45061</v>
      </c>
      <c r="L67" s="532">
        <v>46521</v>
      </c>
      <c r="M67" s="530"/>
      <c r="N67" s="531">
        <v>0</v>
      </c>
      <c r="O67" s="533">
        <f t="shared" si="0"/>
        <v>1166</v>
      </c>
      <c r="P67" s="534">
        <f t="shared" si="1"/>
        <v>4.0273972602739724E-2</v>
      </c>
      <c r="Q67" s="534">
        <f t="shared" si="2"/>
        <v>46.959452054794518</v>
      </c>
    </row>
    <row r="68" spans="1:17" ht="15" customHeight="1" x14ac:dyDescent="0.25">
      <c r="A68" s="530" t="s">
        <v>483</v>
      </c>
      <c r="B68" s="530" t="s">
        <v>370</v>
      </c>
      <c r="C68" s="531">
        <v>885</v>
      </c>
      <c r="D68" s="530" t="s">
        <v>484</v>
      </c>
      <c r="E68" s="530" t="s">
        <v>485</v>
      </c>
      <c r="F68" s="531">
        <v>1817</v>
      </c>
      <c r="G68" s="530" t="s">
        <v>296</v>
      </c>
      <c r="H68" s="531">
        <v>1779</v>
      </c>
      <c r="I68" s="531">
        <v>500</v>
      </c>
      <c r="J68" s="531">
        <v>0</v>
      </c>
      <c r="K68" s="532">
        <v>46151</v>
      </c>
      <c r="L68" s="532">
        <v>46546</v>
      </c>
      <c r="M68" s="530"/>
      <c r="N68" s="531">
        <v>0</v>
      </c>
      <c r="O68" s="533">
        <f t="shared" si="0"/>
        <v>76</v>
      </c>
      <c r="P68" s="534">
        <f t="shared" si="1"/>
        <v>4.0273972602739724E-2</v>
      </c>
      <c r="Q68" s="534">
        <f t="shared" si="2"/>
        <v>3.060821917808219</v>
      </c>
    </row>
    <row r="69" spans="1:17" ht="15" customHeight="1" x14ac:dyDescent="0.25">
      <c r="A69" s="530" t="s">
        <v>486</v>
      </c>
      <c r="B69" s="530" t="s">
        <v>306</v>
      </c>
      <c r="C69" s="531">
        <v>1261</v>
      </c>
      <c r="D69" s="530" t="s">
        <v>487</v>
      </c>
      <c r="E69" s="530" t="s">
        <v>488</v>
      </c>
      <c r="F69" s="531">
        <v>2575</v>
      </c>
      <c r="G69" s="530" t="s">
        <v>296</v>
      </c>
      <c r="H69" s="531">
        <v>2140</v>
      </c>
      <c r="I69" s="531">
        <v>500</v>
      </c>
      <c r="J69" s="531">
        <v>0</v>
      </c>
      <c r="K69" s="532">
        <v>45989</v>
      </c>
      <c r="L69" s="532">
        <v>46447</v>
      </c>
      <c r="M69" s="530"/>
      <c r="N69" s="531">
        <v>0</v>
      </c>
      <c r="O69" s="533">
        <f t="shared" si="0"/>
        <v>238</v>
      </c>
      <c r="P69" s="534">
        <f t="shared" si="1"/>
        <v>4.0273972602739724E-2</v>
      </c>
      <c r="Q69" s="534">
        <f t="shared" si="2"/>
        <v>9.5852054794520551</v>
      </c>
    </row>
    <row r="70" spans="1:17" ht="15" customHeight="1" x14ac:dyDescent="0.25">
      <c r="A70" s="530" t="s">
        <v>489</v>
      </c>
      <c r="B70" s="530" t="s">
        <v>320</v>
      </c>
      <c r="C70" s="531">
        <v>1171</v>
      </c>
      <c r="D70" s="530" t="s">
        <v>490</v>
      </c>
      <c r="E70" s="530" t="s">
        <v>491</v>
      </c>
      <c r="F70" s="531">
        <v>2418</v>
      </c>
      <c r="G70" s="530" t="s">
        <v>296</v>
      </c>
      <c r="H70" s="531">
        <v>2282</v>
      </c>
      <c r="I70" s="531">
        <v>500</v>
      </c>
      <c r="J70" s="531">
        <v>0</v>
      </c>
      <c r="K70" s="532">
        <v>45597</v>
      </c>
      <c r="L70" s="532">
        <v>46326</v>
      </c>
      <c r="M70" s="530"/>
      <c r="N70" s="531">
        <v>-222.62</v>
      </c>
      <c r="O70" s="533">
        <f t="shared" si="0"/>
        <v>630</v>
      </c>
      <c r="P70" s="534">
        <f t="shared" si="1"/>
        <v>4.0273972602739724E-2</v>
      </c>
      <c r="Q70" s="534">
        <f t="shared" si="2"/>
        <v>25.372602739726027</v>
      </c>
    </row>
    <row r="71" spans="1:17" ht="15" customHeight="1" x14ac:dyDescent="0.25">
      <c r="A71" s="530" t="s">
        <v>492</v>
      </c>
      <c r="B71" s="530" t="s">
        <v>378</v>
      </c>
      <c r="C71" s="531">
        <v>845</v>
      </c>
      <c r="D71" s="530" t="s">
        <v>493</v>
      </c>
      <c r="E71" s="530" t="s">
        <v>494</v>
      </c>
      <c r="F71" s="531">
        <v>1841</v>
      </c>
      <c r="G71" s="530" t="s">
        <v>296</v>
      </c>
      <c r="H71" s="531">
        <v>1587</v>
      </c>
      <c r="I71" s="531">
        <v>500</v>
      </c>
      <c r="J71" s="531">
        <v>0</v>
      </c>
      <c r="K71" s="532">
        <v>45071</v>
      </c>
      <c r="L71" s="532">
        <v>46555</v>
      </c>
      <c r="M71" s="530"/>
      <c r="N71" s="531">
        <v>0</v>
      </c>
      <c r="O71" s="533">
        <f t="shared" si="0"/>
        <v>1156</v>
      </c>
      <c r="P71" s="534">
        <f t="shared" si="1"/>
        <v>4.0273972602739724E-2</v>
      </c>
      <c r="Q71" s="534">
        <f t="shared" si="2"/>
        <v>46.556712328767119</v>
      </c>
    </row>
    <row r="72" spans="1:17" ht="15" customHeight="1" x14ac:dyDescent="0.25">
      <c r="A72" s="530" t="s">
        <v>495</v>
      </c>
      <c r="B72" s="530" t="s">
        <v>324</v>
      </c>
      <c r="C72" s="531">
        <v>838</v>
      </c>
      <c r="D72" s="530" t="s">
        <v>496</v>
      </c>
      <c r="E72" s="530" t="s">
        <v>497</v>
      </c>
      <c r="F72" s="531">
        <v>2113</v>
      </c>
      <c r="G72" s="530" t="s">
        <v>296</v>
      </c>
      <c r="H72" s="531">
        <v>1683</v>
      </c>
      <c r="I72" s="531">
        <v>2996</v>
      </c>
      <c r="J72" s="531">
        <v>0</v>
      </c>
      <c r="K72" s="532">
        <v>45170</v>
      </c>
      <c r="L72" s="532">
        <v>46295</v>
      </c>
      <c r="M72" s="530"/>
      <c r="N72" s="531">
        <v>-350</v>
      </c>
      <c r="O72" s="533">
        <f t="shared" si="0"/>
        <v>1057</v>
      </c>
      <c r="P72" s="534">
        <f t="shared" si="1"/>
        <v>0.24132164383561641</v>
      </c>
      <c r="Q72" s="534">
        <f t="shared" si="2"/>
        <v>255.07697753424654</v>
      </c>
    </row>
    <row r="73" spans="1:17" ht="15" customHeight="1" x14ac:dyDescent="0.25">
      <c r="A73" s="530" t="s">
        <v>498</v>
      </c>
      <c r="B73" s="530" t="s">
        <v>385</v>
      </c>
      <c r="C73" s="531">
        <v>843</v>
      </c>
      <c r="D73" s="530" t="s">
        <v>499</v>
      </c>
      <c r="E73" s="530" t="s">
        <v>500</v>
      </c>
      <c r="F73" s="531">
        <v>2010</v>
      </c>
      <c r="G73" s="530" t="s">
        <v>296</v>
      </c>
      <c r="H73" s="531">
        <v>1664</v>
      </c>
      <c r="I73" s="531">
        <v>300</v>
      </c>
      <c r="J73" s="531">
        <v>0</v>
      </c>
      <c r="K73" s="532">
        <v>44522</v>
      </c>
      <c r="L73" s="532">
        <v>46467</v>
      </c>
      <c r="M73" s="530"/>
      <c r="N73" s="531">
        <v>0</v>
      </c>
      <c r="O73" s="533">
        <f t="shared" si="0"/>
        <v>1705</v>
      </c>
      <c r="P73" s="534">
        <f t="shared" si="1"/>
        <v>2.4164383561643837E-2</v>
      </c>
      <c r="Q73" s="534">
        <f t="shared" si="2"/>
        <v>41.200273972602744</v>
      </c>
    </row>
    <row r="74" spans="1:17" ht="15" customHeight="1" x14ac:dyDescent="0.25">
      <c r="A74" s="530" t="s">
        <v>501</v>
      </c>
      <c r="B74" s="530" t="s">
        <v>378</v>
      </c>
      <c r="C74" s="531">
        <v>845</v>
      </c>
      <c r="D74" s="530" t="s">
        <v>502</v>
      </c>
      <c r="E74" s="530" t="s">
        <v>503</v>
      </c>
      <c r="F74" s="531">
        <v>1871</v>
      </c>
      <c r="G74" s="530" t="s">
        <v>296</v>
      </c>
      <c r="H74" s="531">
        <v>1590</v>
      </c>
      <c r="I74" s="531">
        <v>500</v>
      </c>
      <c r="J74" s="531">
        <v>0</v>
      </c>
      <c r="K74" s="532">
        <v>46017</v>
      </c>
      <c r="L74" s="532">
        <v>46443</v>
      </c>
      <c r="M74" s="530"/>
      <c r="N74" s="531">
        <v>1778.34</v>
      </c>
      <c r="O74" s="533">
        <f t="shared" ref="O74:O137" si="3">(+$G$3-K74 )</f>
        <v>210</v>
      </c>
      <c r="P74" s="534">
        <f t="shared" ref="P74:P137" si="4">(+I74*$G$5)/365</f>
        <v>4.0273972602739724E-2</v>
      </c>
      <c r="Q74" s="534">
        <f t="shared" ref="Q74:Q137" si="5">O74*P74</f>
        <v>8.4575342465753423</v>
      </c>
    </row>
    <row r="75" spans="1:17" ht="15" customHeight="1" x14ac:dyDescent="0.25">
      <c r="A75" s="530" t="s">
        <v>504</v>
      </c>
      <c r="B75" s="530" t="s">
        <v>306</v>
      </c>
      <c r="C75" s="531">
        <v>1261</v>
      </c>
      <c r="D75" s="530" t="s">
        <v>505</v>
      </c>
      <c r="E75" s="530" t="s">
        <v>506</v>
      </c>
      <c r="F75" s="531">
        <v>2575</v>
      </c>
      <c r="G75" s="530" t="s">
        <v>296</v>
      </c>
      <c r="H75" s="531">
        <v>2027</v>
      </c>
      <c r="I75" s="531">
        <v>500</v>
      </c>
      <c r="J75" s="531">
        <v>0</v>
      </c>
      <c r="K75" s="532">
        <v>46053</v>
      </c>
      <c r="L75" s="532">
        <v>46506</v>
      </c>
      <c r="M75" s="530"/>
      <c r="N75" s="531">
        <v>0</v>
      </c>
      <c r="O75" s="533">
        <f t="shared" si="3"/>
        <v>174</v>
      </c>
      <c r="P75" s="534">
        <f t="shared" si="4"/>
        <v>4.0273972602739724E-2</v>
      </c>
      <c r="Q75" s="534">
        <f t="shared" si="5"/>
        <v>7.0076712328767119</v>
      </c>
    </row>
    <row r="76" spans="1:17" ht="15" customHeight="1" x14ac:dyDescent="0.25">
      <c r="A76" s="530" t="s">
        <v>507</v>
      </c>
      <c r="B76" s="530" t="s">
        <v>320</v>
      </c>
      <c r="C76" s="531">
        <v>1171</v>
      </c>
      <c r="D76" s="530" t="s">
        <v>508</v>
      </c>
      <c r="E76" s="530" t="s">
        <v>509</v>
      </c>
      <c r="F76" s="531">
        <v>2418</v>
      </c>
      <c r="G76" s="530" t="s">
        <v>296</v>
      </c>
      <c r="H76" s="531">
        <v>2136</v>
      </c>
      <c r="I76" s="531">
        <v>500</v>
      </c>
      <c r="J76" s="531">
        <v>0</v>
      </c>
      <c r="K76" s="532">
        <v>45182</v>
      </c>
      <c r="L76" s="532">
        <v>46307</v>
      </c>
      <c r="M76" s="530"/>
      <c r="N76" s="531">
        <v>0</v>
      </c>
      <c r="O76" s="533">
        <f t="shared" si="3"/>
        <v>1045</v>
      </c>
      <c r="P76" s="534">
        <f t="shared" si="4"/>
        <v>4.0273972602739724E-2</v>
      </c>
      <c r="Q76" s="534">
        <f t="shared" si="5"/>
        <v>42.086301369863008</v>
      </c>
    </row>
    <row r="77" spans="1:17" ht="15" customHeight="1" x14ac:dyDescent="0.25">
      <c r="A77" s="530" t="s">
        <v>510</v>
      </c>
      <c r="B77" s="530" t="s">
        <v>320</v>
      </c>
      <c r="C77" s="531">
        <v>1171</v>
      </c>
      <c r="D77" s="530" t="s">
        <v>511</v>
      </c>
      <c r="E77" s="530" t="s">
        <v>512</v>
      </c>
      <c r="F77" s="531">
        <v>2323</v>
      </c>
      <c r="G77" s="530" t="s">
        <v>296</v>
      </c>
      <c r="H77" s="531">
        <v>2098</v>
      </c>
      <c r="I77" s="531">
        <v>500</v>
      </c>
      <c r="J77" s="531">
        <v>0</v>
      </c>
      <c r="K77" s="532">
        <v>45621</v>
      </c>
      <c r="L77" s="532">
        <v>46350</v>
      </c>
      <c r="M77" s="530"/>
      <c r="N77" s="531">
        <v>0</v>
      </c>
      <c r="O77" s="533">
        <f t="shared" si="3"/>
        <v>606</v>
      </c>
      <c r="P77" s="534">
        <f t="shared" si="4"/>
        <v>4.0273972602739724E-2</v>
      </c>
      <c r="Q77" s="534">
        <f t="shared" si="5"/>
        <v>24.406027397260274</v>
      </c>
    </row>
    <row r="78" spans="1:17" ht="15" customHeight="1" x14ac:dyDescent="0.25">
      <c r="A78" s="530" t="s">
        <v>513</v>
      </c>
      <c r="B78" s="530" t="s">
        <v>336</v>
      </c>
      <c r="C78" s="531">
        <v>1554</v>
      </c>
      <c r="D78" s="530" t="s">
        <v>514</v>
      </c>
      <c r="E78" s="530" t="s">
        <v>515</v>
      </c>
      <c r="F78" s="531">
        <v>2965</v>
      </c>
      <c r="G78" s="530" t="s">
        <v>296</v>
      </c>
      <c r="H78" s="531">
        <v>2608</v>
      </c>
      <c r="I78" s="531">
        <v>300</v>
      </c>
      <c r="J78" s="531">
        <v>0</v>
      </c>
      <c r="K78" s="532">
        <v>44324</v>
      </c>
      <c r="L78" s="532">
        <v>46233</v>
      </c>
      <c r="M78" s="530"/>
      <c r="N78" s="531">
        <v>0</v>
      </c>
      <c r="O78" s="533">
        <f t="shared" si="3"/>
        <v>1903</v>
      </c>
      <c r="P78" s="534">
        <f t="shared" si="4"/>
        <v>2.4164383561643837E-2</v>
      </c>
      <c r="Q78" s="534">
        <f t="shared" si="5"/>
        <v>45.984821917808219</v>
      </c>
    </row>
    <row r="79" spans="1:17" ht="15" customHeight="1" x14ac:dyDescent="0.25">
      <c r="A79" s="530" t="s">
        <v>516</v>
      </c>
      <c r="B79" s="530" t="s">
        <v>411</v>
      </c>
      <c r="C79" s="531">
        <v>1415</v>
      </c>
      <c r="D79" s="530" t="s">
        <v>517</v>
      </c>
      <c r="E79" s="530" t="s">
        <v>518</v>
      </c>
      <c r="F79" s="531">
        <v>2842</v>
      </c>
      <c r="G79" s="530" t="s">
        <v>296</v>
      </c>
      <c r="H79" s="531">
        <v>2450</v>
      </c>
      <c r="I79" s="531">
        <v>300</v>
      </c>
      <c r="J79" s="531">
        <v>0</v>
      </c>
      <c r="K79" s="532">
        <v>44060</v>
      </c>
      <c r="L79" s="532">
        <v>46250</v>
      </c>
      <c r="M79" s="530"/>
      <c r="N79" s="531">
        <v>0.56000000000000005</v>
      </c>
      <c r="O79" s="533">
        <f t="shared" si="3"/>
        <v>2167</v>
      </c>
      <c r="P79" s="534">
        <f t="shared" si="4"/>
        <v>2.4164383561643837E-2</v>
      </c>
      <c r="Q79" s="534">
        <f t="shared" si="5"/>
        <v>52.364219178082195</v>
      </c>
    </row>
    <row r="80" spans="1:17" ht="15" customHeight="1" x14ac:dyDescent="0.25">
      <c r="A80" s="530" t="s">
        <v>519</v>
      </c>
      <c r="B80" s="530" t="s">
        <v>413</v>
      </c>
      <c r="C80" s="531">
        <v>979</v>
      </c>
      <c r="D80" s="530" t="s">
        <v>520</v>
      </c>
      <c r="E80" s="530" t="s">
        <v>521</v>
      </c>
      <c r="F80" s="531">
        <v>2290</v>
      </c>
      <c r="G80" s="530" t="s">
        <v>296</v>
      </c>
      <c r="H80" s="531">
        <v>1815</v>
      </c>
      <c r="I80" s="531">
        <v>0</v>
      </c>
      <c r="J80" s="531">
        <v>0</v>
      </c>
      <c r="K80" s="532">
        <v>46188</v>
      </c>
      <c r="L80" s="532">
        <v>46552</v>
      </c>
      <c r="M80" s="530"/>
      <c r="N80" s="531">
        <v>0</v>
      </c>
      <c r="O80" s="533">
        <f t="shared" si="3"/>
        <v>39</v>
      </c>
      <c r="P80" s="534">
        <f t="shared" si="4"/>
        <v>0</v>
      </c>
      <c r="Q80" s="534">
        <f t="shared" si="5"/>
        <v>0</v>
      </c>
    </row>
    <row r="81" spans="1:17" ht="15" customHeight="1" x14ac:dyDescent="0.25">
      <c r="A81" s="530" t="s">
        <v>522</v>
      </c>
      <c r="B81" s="530" t="s">
        <v>417</v>
      </c>
      <c r="C81" s="531">
        <v>1310</v>
      </c>
      <c r="D81" s="530" t="s">
        <v>523</v>
      </c>
      <c r="E81" s="530" t="s">
        <v>524</v>
      </c>
      <c r="F81" s="531">
        <v>2594</v>
      </c>
      <c r="G81" s="530" t="s">
        <v>331</v>
      </c>
      <c r="H81" s="531">
        <v>1856</v>
      </c>
      <c r="I81" s="531">
        <v>2512</v>
      </c>
      <c r="J81" s="531">
        <v>0</v>
      </c>
      <c r="K81" s="532">
        <v>46142</v>
      </c>
      <c r="L81" s="532">
        <v>46507</v>
      </c>
      <c r="M81" s="530"/>
      <c r="N81" s="531">
        <v>0</v>
      </c>
      <c r="O81" s="533">
        <f t="shared" si="3"/>
        <v>85</v>
      </c>
      <c r="P81" s="534">
        <f t="shared" si="4"/>
        <v>0.20233643835616438</v>
      </c>
      <c r="Q81" s="534">
        <f t="shared" si="5"/>
        <v>17.198597260273974</v>
      </c>
    </row>
    <row r="82" spans="1:17" ht="15" customHeight="1" x14ac:dyDescent="0.25">
      <c r="A82" s="530" t="s">
        <v>525</v>
      </c>
      <c r="B82" s="530" t="s">
        <v>421</v>
      </c>
      <c r="C82" s="531">
        <v>1068</v>
      </c>
      <c r="D82" s="530" t="s">
        <v>526</v>
      </c>
      <c r="E82" s="530" t="s">
        <v>527</v>
      </c>
      <c r="F82" s="531">
        <v>3125</v>
      </c>
      <c r="G82" s="530" t="s">
        <v>296</v>
      </c>
      <c r="H82" s="531">
        <v>1793</v>
      </c>
      <c r="I82" s="531">
        <v>500</v>
      </c>
      <c r="J82" s="531">
        <v>0</v>
      </c>
      <c r="K82" s="532">
        <v>45092</v>
      </c>
      <c r="L82" s="532">
        <v>46292</v>
      </c>
      <c r="M82" s="530"/>
      <c r="N82" s="531">
        <v>0</v>
      </c>
      <c r="O82" s="533">
        <f t="shared" si="3"/>
        <v>1135</v>
      </c>
      <c r="P82" s="534">
        <f t="shared" si="4"/>
        <v>4.0273972602739724E-2</v>
      </c>
      <c r="Q82" s="534">
        <f t="shared" si="5"/>
        <v>45.710958904109589</v>
      </c>
    </row>
    <row r="83" spans="1:17" ht="15" customHeight="1" x14ac:dyDescent="0.25">
      <c r="A83" s="530" t="s">
        <v>528</v>
      </c>
      <c r="B83" s="530" t="s">
        <v>427</v>
      </c>
      <c r="C83" s="531">
        <v>1307</v>
      </c>
      <c r="D83" s="530" t="s">
        <v>529</v>
      </c>
      <c r="E83" s="530" t="s">
        <v>530</v>
      </c>
      <c r="F83" s="531">
        <v>2469</v>
      </c>
      <c r="G83" s="530" t="s">
        <v>296</v>
      </c>
      <c r="H83" s="531">
        <v>1983</v>
      </c>
      <c r="I83" s="531">
        <v>500</v>
      </c>
      <c r="J83" s="531">
        <v>0</v>
      </c>
      <c r="K83" s="532">
        <v>46116</v>
      </c>
      <c r="L83" s="532">
        <v>46571</v>
      </c>
      <c r="M83" s="530"/>
      <c r="N83" s="531">
        <v>0</v>
      </c>
      <c r="O83" s="533">
        <f t="shared" si="3"/>
        <v>111</v>
      </c>
      <c r="P83" s="534">
        <f t="shared" si="4"/>
        <v>4.0273972602739724E-2</v>
      </c>
      <c r="Q83" s="534">
        <f t="shared" si="5"/>
        <v>4.4704109589041092</v>
      </c>
    </row>
    <row r="84" spans="1:17" ht="15" customHeight="1" x14ac:dyDescent="0.25">
      <c r="A84" s="530" t="s">
        <v>531</v>
      </c>
      <c r="B84" s="530" t="s">
        <v>431</v>
      </c>
      <c r="C84" s="531">
        <v>1540</v>
      </c>
      <c r="D84" s="530" t="s">
        <v>532</v>
      </c>
      <c r="E84" s="530" t="s">
        <v>533</v>
      </c>
      <c r="F84" s="531">
        <v>3258</v>
      </c>
      <c r="G84" s="530" t="s">
        <v>331</v>
      </c>
      <c r="H84" s="531">
        <v>2962</v>
      </c>
      <c r="I84" s="531">
        <v>3234</v>
      </c>
      <c r="J84" s="531">
        <v>0</v>
      </c>
      <c r="K84" s="532">
        <v>46050</v>
      </c>
      <c r="L84" s="532">
        <v>46445</v>
      </c>
      <c r="M84" s="530"/>
      <c r="N84" s="531">
        <v>0</v>
      </c>
      <c r="O84" s="533">
        <f t="shared" si="3"/>
        <v>177</v>
      </c>
      <c r="P84" s="534">
        <f t="shared" si="4"/>
        <v>0.26049205479452053</v>
      </c>
      <c r="Q84" s="534">
        <f t="shared" si="5"/>
        <v>46.107093698630138</v>
      </c>
    </row>
    <row r="85" spans="1:17" ht="15" customHeight="1" x14ac:dyDescent="0.25">
      <c r="A85" s="530" t="s">
        <v>534</v>
      </c>
      <c r="B85" s="530" t="s">
        <v>324</v>
      </c>
      <c r="C85" s="531">
        <v>838</v>
      </c>
      <c r="D85" s="530" t="s">
        <v>535</v>
      </c>
      <c r="E85" s="530" t="s">
        <v>536</v>
      </c>
      <c r="F85" s="531">
        <v>2163</v>
      </c>
      <c r="G85" s="530" t="s">
        <v>296</v>
      </c>
      <c r="H85" s="531">
        <v>1862</v>
      </c>
      <c r="I85" s="531">
        <v>500</v>
      </c>
      <c r="J85" s="531">
        <v>0</v>
      </c>
      <c r="K85" s="532">
        <v>46129</v>
      </c>
      <c r="L85" s="532">
        <v>46496</v>
      </c>
      <c r="M85" s="530"/>
      <c r="N85" s="531">
        <v>-150</v>
      </c>
      <c r="O85" s="533">
        <f t="shared" si="3"/>
        <v>98</v>
      </c>
      <c r="P85" s="534">
        <f t="shared" si="4"/>
        <v>4.0273972602739724E-2</v>
      </c>
      <c r="Q85" s="534">
        <f t="shared" si="5"/>
        <v>3.9468493150684929</v>
      </c>
    </row>
    <row r="86" spans="1:17" ht="15" customHeight="1" x14ac:dyDescent="0.25">
      <c r="A86" s="530" t="s">
        <v>537</v>
      </c>
      <c r="B86" s="530" t="s">
        <v>298</v>
      </c>
      <c r="C86" s="531">
        <v>643</v>
      </c>
      <c r="D86" s="530" t="s">
        <v>538</v>
      </c>
      <c r="E86" s="530" t="s">
        <v>539</v>
      </c>
      <c r="F86" s="531">
        <v>1575</v>
      </c>
      <c r="G86" s="530" t="s">
        <v>296</v>
      </c>
      <c r="H86" s="531">
        <v>1433</v>
      </c>
      <c r="I86" s="531">
        <v>500</v>
      </c>
      <c r="J86" s="531">
        <v>0</v>
      </c>
      <c r="K86" s="532">
        <v>45990</v>
      </c>
      <c r="L86" s="532">
        <v>46384</v>
      </c>
      <c r="M86" s="530"/>
      <c r="N86" s="531">
        <v>0</v>
      </c>
      <c r="O86" s="533">
        <f t="shared" si="3"/>
        <v>237</v>
      </c>
      <c r="P86" s="534">
        <f t="shared" si="4"/>
        <v>4.0273972602739724E-2</v>
      </c>
      <c r="Q86" s="534">
        <f t="shared" si="5"/>
        <v>9.5449315068493146</v>
      </c>
    </row>
    <row r="87" spans="1:17" ht="15" customHeight="1" x14ac:dyDescent="0.25">
      <c r="A87" s="530" t="s">
        <v>540</v>
      </c>
      <c r="B87" s="530" t="s">
        <v>298</v>
      </c>
      <c r="C87" s="531">
        <v>643</v>
      </c>
      <c r="D87" s="530" t="s">
        <v>541</v>
      </c>
      <c r="E87" s="530" t="s">
        <v>542</v>
      </c>
      <c r="F87" s="531">
        <v>1705</v>
      </c>
      <c r="G87" s="530" t="s">
        <v>296</v>
      </c>
      <c r="H87" s="531">
        <v>1444</v>
      </c>
      <c r="I87" s="531">
        <v>500</v>
      </c>
      <c r="J87" s="531">
        <v>0</v>
      </c>
      <c r="K87" s="532">
        <v>46156</v>
      </c>
      <c r="L87" s="532">
        <v>46615</v>
      </c>
      <c r="M87" s="530"/>
      <c r="N87" s="531">
        <v>0</v>
      </c>
      <c r="O87" s="533">
        <f t="shared" si="3"/>
        <v>71</v>
      </c>
      <c r="P87" s="534">
        <f t="shared" si="4"/>
        <v>4.0273972602739724E-2</v>
      </c>
      <c r="Q87" s="534">
        <f t="shared" si="5"/>
        <v>2.8594520547945206</v>
      </c>
    </row>
    <row r="88" spans="1:17" ht="15" customHeight="1" x14ac:dyDescent="0.25">
      <c r="A88" s="530" t="s">
        <v>543</v>
      </c>
      <c r="B88" s="530" t="s">
        <v>328</v>
      </c>
      <c r="C88" s="531">
        <v>761</v>
      </c>
      <c r="D88" s="530" t="s">
        <v>544</v>
      </c>
      <c r="E88" s="530" t="s">
        <v>545</v>
      </c>
      <c r="F88" s="531">
        <v>1985</v>
      </c>
      <c r="G88" s="530" t="s">
        <v>296</v>
      </c>
      <c r="H88" s="531">
        <v>1546</v>
      </c>
      <c r="I88" s="531">
        <v>500</v>
      </c>
      <c r="J88" s="531">
        <v>0</v>
      </c>
      <c r="K88" s="532">
        <v>45081</v>
      </c>
      <c r="L88" s="532">
        <v>46571</v>
      </c>
      <c r="M88" s="530"/>
      <c r="N88" s="531">
        <v>0</v>
      </c>
      <c r="O88" s="533">
        <f t="shared" si="3"/>
        <v>1146</v>
      </c>
      <c r="P88" s="534">
        <f t="shared" si="4"/>
        <v>4.0273972602739724E-2</v>
      </c>
      <c r="Q88" s="534">
        <f t="shared" si="5"/>
        <v>46.153972602739721</v>
      </c>
    </row>
    <row r="89" spans="1:17" ht="15" customHeight="1" x14ac:dyDescent="0.25">
      <c r="A89" s="530" t="s">
        <v>546</v>
      </c>
      <c r="B89" s="530" t="s">
        <v>306</v>
      </c>
      <c r="C89" s="531">
        <v>1261</v>
      </c>
      <c r="D89" s="530" t="s">
        <v>547</v>
      </c>
      <c r="E89" s="530" t="s">
        <v>548</v>
      </c>
      <c r="F89" s="531">
        <v>2575</v>
      </c>
      <c r="G89" s="530" t="s">
        <v>331</v>
      </c>
      <c r="H89" s="531">
        <v>1821</v>
      </c>
      <c r="I89" s="531">
        <v>500</v>
      </c>
      <c r="J89" s="531">
        <v>0</v>
      </c>
      <c r="K89" s="532">
        <v>45869</v>
      </c>
      <c r="L89" s="532">
        <v>46257</v>
      </c>
      <c r="M89" s="530"/>
      <c r="N89" s="531">
        <v>-0.25</v>
      </c>
      <c r="O89" s="533">
        <f t="shared" si="3"/>
        <v>358</v>
      </c>
      <c r="P89" s="534">
        <f t="shared" si="4"/>
        <v>4.0273972602739724E-2</v>
      </c>
      <c r="Q89" s="534">
        <f t="shared" si="5"/>
        <v>14.418082191780821</v>
      </c>
    </row>
    <row r="90" spans="1:17" ht="15" customHeight="1" x14ac:dyDescent="0.25">
      <c r="A90" s="530" t="s">
        <v>549</v>
      </c>
      <c r="B90" s="530" t="s">
        <v>328</v>
      </c>
      <c r="C90" s="531">
        <v>761</v>
      </c>
      <c r="D90" s="530" t="s">
        <v>550</v>
      </c>
      <c r="E90" s="530" t="s">
        <v>551</v>
      </c>
      <c r="F90" s="531">
        <v>1890</v>
      </c>
      <c r="G90" s="530" t="s">
        <v>296</v>
      </c>
      <c r="H90" s="531">
        <v>1687</v>
      </c>
      <c r="I90" s="531">
        <v>500</v>
      </c>
      <c r="J90" s="531">
        <v>0</v>
      </c>
      <c r="K90" s="532">
        <v>45591</v>
      </c>
      <c r="L90" s="532">
        <v>46381</v>
      </c>
      <c r="M90" s="530"/>
      <c r="N90" s="531">
        <v>0</v>
      </c>
      <c r="O90" s="533">
        <f t="shared" si="3"/>
        <v>636</v>
      </c>
      <c r="P90" s="534">
        <f t="shared" si="4"/>
        <v>4.0273972602739724E-2</v>
      </c>
      <c r="Q90" s="534">
        <f t="shared" si="5"/>
        <v>25.614246575342463</v>
      </c>
    </row>
    <row r="91" spans="1:17" ht="15" customHeight="1" x14ac:dyDescent="0.25">
      <c r="A91" s="530" t="s">
        <v>552</v>
      </c>
      <c r="B91" s="530" t="s">
        <v>306</v>
      </c>
      <c r="C91" s="531">
        <v>1261</v>
      </c>
      <c r="D91" s="530" t="s">
        <v>553</v>
      </c>
      <c r="E91" s="530" t="s">
        <v>554</v>
      </c>
      <c r="F91" s="531">
        <v>2480</v>
      </c>
      <c r="G91" s="530" t="s">
        <v>296</v>
      </c>
      <c r="H91" s="531">
        <v>2336</v>
      </c>
      <c r="I91" s="531">
        <v>500</v>
      </c>
      <c r="J91" s="531">
        <v>0</v>
      </c>
      <c r="K91" s="532">
        <v>45836</v>
      </c>
      <c r="L91" s="532">
        <v>46407</v>
      </c>
      <c r="M91" s="530"/>
      <c r="N91" s="531">
        <v>0</v>
      </c>
      <c r="O91" s="533">
        <f t="shared" si="3"/>
        <v>391</v>
      </c>
      <c r="P91" s="534">
        <f t="shared" si="4"/>
        <v>4.0273972602739724E-2</v>
      </c>
      <c r="Q91" s="534">
        <f t="shared" si="5"/>
        <v>15.747123287671233</v>
      </c>
    </row>
    <row r="92" spans="1:17" ht="15" customHeight="1" x14ac:dyDescent="0.25">
      <c r="A92" s="530" t="s">
        <v>555</v>
      </c>
      <c r="B92" s="530" t="s">
        <v>316</v>
      </c>
      <c r="C92" s="531">
        <v>748</v>
      </c>
      <c r="D92" s="530" t="s">
        <v>556</v>
      </c>
      <c r="E92" s="530" t="s">
        <v>557</v>
      </c>
      <c r="F92" s="531">
        <v>1974</v>
      </c>
      <c r="G92" s="530" t="s">
        <v>296</v>
      </c>
      <c r="H92" s="531">
        <v>1600</v>
      </c>
      <c r="I92" s="531">
        <v>1600</v>
      </c>
      <c r="J92" s="531">
        <v>0</v>
      </c>
      <c r="K92" s="532">
        <v>45869</v>
      </c>
      <c r="L92" s="532">
        <v>46264</v>
      </c>
      <c r="M92" s="530"/>
      <c r="N92" s="531">
        <v>0</v>
      </c>
      <c r="O92" s="533">
        <f t="shared" si="3"/>
        <v>358</v>
      </c>
      <c r="P92" s="534">
        <f t="shared" si="4"/>
        <v>0.12887671232876713</v>
      </c>
      <c r="Q92" s="534">
        <f t="shared" si="5"/>
        <v>46.137863013698635</v>
      </c>
    </row>
    <row r="93" spans="1:17" ht="15" customHeight="1" x14ac:dyDescent="0.25">
      <c r="A93" s="530" t="s">
        <v>558</v>
      </c>
      <c r="B93" s="530" t="s">
        <v>320</v>
      </c>
      <c r="C93" s="531">
        <v>1171</v>
      </c>
      <c r="D93" s="530" t="s">
        <v>559</v>
      </c>
      <c r="E93" s="530" t="s">
        <v>560</v>
      </c>
      <c r="F93" s="531">
        <v>2373</v>
      </c>
      <c r="G93" s="530" t="s">
        <v>296</v>
      </c>
      <c r="H93" s="531">
        <v>2363</v>
      </c>
      <c r="I93" s="531">
        <v>500</v>
      </c>
      <c r="J93" s="531">
        <v>0</v>
      </c>
      <c r="K93" s="532">
        <v>44652</v>
      </c>
      <c r="L93" s="532">
        <v>46234</v>
      </c>
      <c r="M93" s="530"/>
      <c r="N93" s="531">
        <v>0</v>
      </c>
      <c r="O93" s="533">
        <f t="shared" si="3"/>
        <v>1575</v>
      </c>
      <c r="P93" s="534">
        <f t="shared" si="4"/>
        <v>4.0273972602739724E-2</v>
      </c>
      <c r="Q93" s="534">
        <f t="shared" si="5"/>
        <v>63.431506849315063</v>
      </c>
    </row>
    <row r="94" spans="1:17" ht="15" customHeight="1" x14ac:dyDescent="0.25">
      <c r="A94" s="530" t="s">
        <v>561</v>
      </c>
      <c r="B94" s="530" t="s">
        <v>324</v>
      </c>
      <c r="C94" s="531">
        <v>838</v>
      </c>
      <c r="D94" s="530" t="s">
        <v>562</v>
      </c>
      <c r="E94" s="530" t="s">
        <v>563</v>
      </c>
      <c r="F94" s="531">
        <v>1938</v>
      </c>
      <c r="G94" s="530" t="s">
        <v>296</v>
      </c>
      <c r="H94" s="531">
        <v>1514</v>
      </c>
      <c r="I94" s="531">
        <v>500</v>
      </c>
      <c r="J94" s="531">
        <v>0</v>
      </c>
      <c r="K94" s="532">
        <v>46006</v>
      </c>
      <c r="L94" s="532">
        <v>46405</v>
      </c>
      <c r="M94" s="530"/>
      <c r="N94" s="531">
        <v>682.7</v>
      </c>
      <c r="O94" s="533">
        <f t="shared" si="3"/>
        <v>221</v>
      </c>
      <c r="P94" s="534">
        <f t="shared" si="4"/>
        <v>4.0273972602739724E-2</v>
      </c>
      <c r="Q94" s="534">
        <f t="shared" si="5"/>
        <v>8.9005479452054796</v>
      </c>
    </row>
    <row r="95" spans="1:17" ht="15" customHeight="1" x14ac:dyDescent="0.25">
      <c r="A95" s="530" t="s">
        <v>564</v>
      </c>
      <c r="B95" s="530" t="s">
        <v>328</v>
      </c>
      <c r="C95" s="531">
        <v>761</v>
      </c>
      <c r="D95" s="530" t="s">
        <v>565</v>
      </c>
      <c r="E95" s="530" t="s">
        <v>566</v>
      </c>
      <c r="F95" s="531">
        <v>2035</v>
      </c>
      <c r="G95" s="530" t="s">
        <v>296</v>
      </c>
      <c r="H95" s="531">
        <v>1590</v>
      </c>
      <c r="I95" s="531">
        <v>500</v>
      </c>
      <c r="J95" s="531">
        <v>0</v>
      </c>
      <c r="K95" s="532">
        <v>45856</v>
      </c>
      <c r="L95" s="532">
        <v>46251</v>
      </c>
      <c r="M95" s="530"/>
      <c r="N95" s="531">
        <v>0</v>
      </c>
      <c r="O95" s="533">
        <f t="shared" si="3"/>
        <v>371</v>
      </c>
      <c r="P95" s="534">
        <f t="shared" si="4"/>
        <v>4.0273972602739724E-2</v>
      </c>
      <c r="Q95" s="534">
        <f t="shared" si="5"/>
        <v>14.941643835616437</v>
      </c>
    </row>
    <row r="96" spans="1:17" ht="15" customHeight="1" x14ac:dyDescent="0.25">
      <c r="A96" s="530" t="s">
        <v>567</v>
      </c>
      <c r="B96" s="530" t="s">
        <v>324</v>
      </c>
      <c r="C96" s="531">
        <v>838</v>
      </c>
      <c r="D96" s="530" t="s">
        <v>568</v>
      </c>
      <c r="E96" s="530" t="s">
        <v>569</v>
      </c>
      <c r="F96" s="531">
        <v>1988</v>
      </c>
      <c r="G96" s="530" t="s">
        <v>296</v>
      </c>
      <c r="H96" s="531">
        <v>1681</v>
      </c>
      <c r="I96" s="531">
        <v>1632</v>
      </c>
      <c r="J96" s="531">
        <v>0</v>
      </c>
      <c r="K96" s="532">
        <v>45163</v>
      </c>
      <c r="L96" s="532">
        <v>46470</v>
      </c>
      <c r="M96" s="530"/>
      <c r="N96" s="531">
        <v>0</v>
      </c>
      <c r="O96" s="533">
        <f t="shared" si="3"/>
        <v>1064</v>
      </c>
      <c r="P96" s="534">
        <f t="shared" si="4"/>
        <v>0.13145424657534246</v>
      </c>
      <c r="Q96" s="534">
        <f t="shared" si="5"/>
        <v>139.86731835616439</v>
      </c>
    </row>
    <row r="97" spans="1:17" ht="15" customHeight="1" x14ac:dyDescent="0.25">
      <c r="A97" s="530" t="s">
        <v>570</v>
      </c>
      <c r="B97" s="530" t="s">
        <v>328</v>
      </c>
      <c r="C97" s="531">
        <v>761</v>
      </c>
      <c r="D97" s="530" t="s">
        <v>571</v>
      </c>
      <c r="E97" s="530" t="s">
        <v>572</v>
      </c>
      <c r="F97" s="531">
        <v>1810</v>
      </c>
      <c r="G97" s="530" t="s">
        <v>296</v>
      </c>
      <c r="H97" s="531">
        <v>1591</v>
      </c>
      <c r="I97" s="531">
        <v>300</v>
      </c>
      <c r="J97" s="531">
        <v>0</v>
      </c>
      <c r="K97" s="532">
        <v>43826</v>
      </c>
      <c r="L97" s="532">
        <v>46352</v>
      </c>
      <c r="M97" s="530"/>
      <c r="N97" s="531">
        <v>0</v>
      </c>
      <c r="O97" s="533">
        <f t="shared" si="3"/>
        <v>2401</v>
      </c>
      <c r="P97" s="534">
        <f t="shared" si="4"/>
        <v>2.4164383561643837E-2</v>
      </c>
      <c r="Q97" s="534">
        <f t="shared" si="5"/>
        <v>58.018684931506854</v>
      </c>
    </row>
    <row r="98" spans="1:17" ht="15" customHeight="1" x14ac:dyDescent="0.25">
      <c r="A98" s="530" t="s">
        <v>573</v>
      </c>
      <c r="B98" s="530" t="s">
        <v>336</v>
      </c>
      <c r="C98" s="531">
        <v>1554</v>
      </c>
      <c r="D98" s="530" t="s">
        <v>574</v>
      </c>
      <c r="E98" s="530" t="s">
        <v>575</v>
      </c>
      <c r="F98" s="531">
        <v>2965</v>
      </c>
      <c r="G98" s="530" t="s">
        <v>296</v>
      </c>
      <c r="H98" s="531">
        <v>2621</v>
      </c>
      <c r="I98" s="531">
        <v>500</v>
      </c>
      <c r="J98" s="531">
        <v>0</v>
      </c>
      <c r="K98" s="532">
        <v>45810</v>
      </c>
      <c r="L98" s="532">
        <v>46661</v>
      </c>
      <c r="M98" s="530"/>
      <c r="N98" s="531">
        <v>0</v>
      </c>
      <c r="O98" s="533">
        <f t="shared" si="3"/>
        <v>417</v>
      </c>
      <c r="P98" s="534">
        <f t="shared" si="4"/>
        <v>4.0273972602739724E-2</v>
      </c>
      <c r="Q98" s="534">
        <f t="shared" si="5"/>
        <v>16.794246575342466</v>
      </c>
    </row>
    <row r="99" spans="1:17" ht="15" customHeight="1" x14ac:dyDescent="0.25">
      <c r="A99" s="530" t="s">
        <v>576</v>
      </c>
      <c r="B99" s="530" t="s">
        <v>343</v>
      </c>
      <c r="C99" s="531">
        <v>1069</v>
      </c>
      <c r="D99" s="530" t="s">
        <v>577</v>
      </c>
      <c r="E99" s="530" t="s">
        <v>578</v>
      </c>
      <c r="F99" s="531">
        <v>2361</v>
      </c>
      <c r="G99" s="530" t="s">
        <v>296</v>
      </c>
      <c r="H99" s="531">
        <v>1868</v>
      </c>
      <c r="I99" s="531">
        <v>0</v>
      </c>
      <c r="J99" s="531">
        <v>0</v>
      </c>
      <c r="K99" s="532">
        <v>46164</v>
      </c>
      <c r="L99" s="532">
        <v>46531</v>
      </c>
      <c r="M99" s="530"/>
      <c r="N99" s="531">
        <v>0</v>
      </c>
      <c r="O99" s="533">
        <f t="shared" si="3"/>
        <v>63</v>
      </c>
      <c r="P99" s="534">
        <f t="shared" si="4"/>
        <v>0</v>
      </c>
      <c r="Q99" s="534">
        <f t="shared" si="5"/>
        <v>0</v>
      </c>
    </row>
    <row r="100" spans="1:17" ht="15" customHeight="1" x14ac:dyDescent="0.25">
      <c r="A100" s="530" t="s">
        <v>579</v>
      </c>
      <c r="B100" s="530" t="s">
        <v>328</v>
      </c>
      <c r="C100" s="531">
        <v>761</v>
      </c>
      <c r="D100" s="530" t="s">
        <v>580</v>
      </c>
      <c r="E100" s="530" t="s">
        <v>581</v>
      </c>
      <c r="F100" s="531">
        <v>1985</v>
      </c>
      <c r="G100" s="530" t="s">
        <v>296</v>
      </c>
      <c r="H100" s="531">
        <v>1683</v>
      </c>
      <c r="I100" s="531">
        <v>300</v>
      </c>
      <c r="J100" s="531">
        <v>0</v>
      </c>
      <c r="K100" s="532">
        <v>44373</v>
      </c>
      <c r="L100" s="532">
        <v>46320</v>
      </c>
      <c r="M100" s="530"/>
      <c r="N100" s="531">
        <v>0</v>
      </c>
      <c r="O100" s="533">
        <f t="shared" si="3"/>
        <v>1854</v>
      </c>
      <c r="P100" s="534">
        <f t="shared" si="4"/>
        <v>2.4164383561643837E-2</v>
      </c>
      <c r="Q100" s="534">
        <f t="shared" si="5"/>
        <v>44.80076712328767</v>
      </c>
    </row>
    <row r="101" spans="1:17" ht="15" customHeight="1" x14ac:dyDescent="0.25">
      <c r="A101" s="530" t="s">
        <v>582</v>
      </c>
      <c r="B101" s="530" t="s">
        <v>583</v>
      </c>
      <c r="C101" s="531">
        <v>793</v>
      </c>
      <c r="D101" s="530" t="s">
        <v>584</v>
      </c>
      <c r="E101" s="530" t="s">
        <v>585</v>
      </c>
      <c r="F101" s="531">
        <v>2009</v>
      </c>
      <c r="G101" s="530" t="s">
        <v>296</v>
      </c>
      <c r="H101" s="531">
        <v>1593</v>
      </c>
      <c r="I101" s="531">
        <v>500</v>
      </c>
      <c r="J101" s="531">
        <v>0</v>
      </c>
      <c r="K101" s="532">
        <v>45913</v>
      </c>
      <c r="L101" s="532">
        <v>46368</v>
      </c>
      <c r="M101" s="530"/>
      <c r="N101" s="531">
        <v>0</v>
      </c>
      <c r="O101" s="533">
        <f t="shared" si="3"/>
        <v>314</v>
      </c>
      <c r="P101" s="534">
        <f t="shared" si="4"/>
        <v>4.0273972602739724E-2</v>
      </c>
      <c r="Q101" s="534">
        <f t="shared" si="5"/>
        <v>12.646027397260273</v>
      </c>
    </row>
    <row r="102" spans="1:17" ht="15" customHeight="1" x14ac:dyDescent="0.25">
      <c r="A102" s="530" t="s">
        <v>586</v>
      </c>
      <c r="B102" s="530" t="s">
        <v>316</v>
      </c>
      <c r="C102" s="531">
        <v>748</v>
      </c>
      <c r="D102" s="530" t="s">
        <v>587</v>
      </c>
      <c r="E102" s="530" t="s">
        <v>588</v>
      </c>
      <c r="F102" s="531">
        <v>2044</v>
      </c>
      <c r="G102" s="530" t="s">
        <v>296</v>
      </c>
      <c r="H102" s="531">
        <v>1710</v>
      </c>
      <c r="I102" s="531">
        <v>500</v>
      </c>
      <c r="J102" s="531">
        <v>0</v>
      </c>
      <c r="K102" s="532">
        <v>44774</v>
      </c>
      <c r="L102" s="532">
        <v>46234</v>
      </c>
      <c r="M102" s="530"/>
      <c r="N102" s="531">
        <v>0</v>
      </c>
      <c r="O102" s="533">
        <f t="shared" si="3"/>
        <v>1453</v>
      </c>
      <c r="P102" s="534">
        <f t="shared" si="4"/>
        <v>4.0273972602739724E-2</v>
      </c>
      <c r="Q102" s="534">
        <f t="shared" si="5"/>
        <v>58.51808219178082</v>
      </c>
    </row>
    <row r="103" spans="1:17" ht="15" customHeight="1" x14ac:dyDescent="0.25">
      <c r="A103" s="530" t="s">
        <v>589</v>
      </c>
      <c r="B103" s="530" t="s">
        <v>357</v>
      </c>
      <c r="C103" s="531">
        <v>808</v>
      </c>
      <c r="D103" s="530" t="s">
        <v>590</v>
      </c>
      <c r="E103" s="530" t="s">
        <v>591</v>
      </c>
      <c r="F103" s="531">
        <v>2100</v>
      </c>
      <c r="G103" s="530" t="s">
        <v>296</v>
      </c>
      <c r="H103" s="531">
        <v>1648</v>
      </c>
      <c r="I103" s="531">
        <v>500</v>
      </c>
      <c r="J103" s="531">
        <v>0</v>
      </c>
      <c r="K103" s="532">
        <v>45992</v>
      </c>
      <c r="L103" s="532">
        <v>46447</v>
      </c>
      <c r="M103" s="530"/>
      <c r="N103" s="531">
        <v>0</v>
      </c>
      <c r="O103" s="533">
        <f t="shared" si="3"/>
        <v>235</v>
      </c>
      <c r="P103" s="534">
        <f t="shared" si="4"/>
        <v>4.0273972602739724E-2</v>
      </c>
      <c r="Q103" s="534">
        <f t="shared" si="5"/>
        <v>9.4643835616438352</v>
      </c>
    </row>
    <row r="104" spans="1:17" ht="15" customHeight="1" x14ac:dyDescent="0.25">
      <c r="A104" s="530" t="s">
        <v>14192</v>
      </c>
      <c r="B104" s="530" t="s">
        <v>316</v>
      </c>
      <c r="C104" s="531">
        <v>748</v>
      </c>
      <c r="D104" s="530" t="s">
        <v>14193</v>
      </c>
      <c r="E104" s="530" t="s">
        <v>14194</v>
      </c>
      <c r="F104" s="531">
        <v>2044</v>
      </c>
      <c r="G104" s="530" t="s">
        <v>296</v>
      </c>
      <c r="H104" s="531">
        <v>1911</v>
      </c>
      <c r="I104" s="531">
        <v>0</v>
      </c>
      <c r="J104" s="531">
        <v>0</v>
      </c>
      <c r="K104" s="532">
        <v>46227</v>
      </c>
      <c r="L104" s="532">
        <v>46503</v>
      </c>
      <c r="M104" s="530"/>
      <c r="N104" s="531">
        <v>1052.19</v>
      </c>
      <c r="O104" s="533">
        <f t="shared" si="3"/>
        <v>0</v>
      </c>
      <c r="P104" s="534">
        <f t="shared" si="4"/>
        <v>0</v>
      </c>
      <c r="Q104" s="534">
        <f t="shared" si="5"/>
        <v>0</v>
      </c>
    </row>
    <row r="105" spans="1:17" ht="15" customHeight="1" x14ac:dyDescent="0.25">
      <c r="A105" s="530" t="s">
        <v>592</v>
      </c>
      <c r="B105" s="530" t="s">
        <v>320</v>
      </c>
      <c r="C105" s="531">
        <v>1171</v>
      </c>
      <c r="D105" s="530" t="s">
        <v>593</v>
      </c>
      <c r="E105" s="530" t="s">
        <v>594</v>
      </c>
      <c r="F105" s="531">
        <v>2398</v>
      </c>
      <c r="G105" s="530" t="s">
        <v>331</v>
      </c>
      <c r="H105" s="531">
        <v>2155</v>
      </c>
      <c r="I105" s="531">
        <v>500</v>
      </c>
      <c r="J105" s="531">
        <v>0</v>
      </c>
      <c r="K105" s="532">
        <v>45868</v>
      </c>
      <c r="L105" s="532">
        <v>46263</v>
      </c>
      <c r="M105" s="532">
        <v>46265</v>
      </c>
      <c r="N105" s="531">
        <v>2065</v>
      </c>
      <c r="O105" s="533">
        <f t="shared" si="3"/>
        <v>359</v>
      </c>
      <c r="P105" s="534">
        <f t="shared" si="4"/>
        <v>4.0273972602739724E-2</v>
      </c>
      <c r="Q105" s="534">
        <f t="shared" si="5"/>
        <v>14.458356164383561</v>
      </c>
    </row>
    <row r="106" spans="1:17" ht="15" customHeight="1" x14ac:dyDescent="0.25">
      <c r="A106" s="530" t="s">
        <v>595</v>
      </c>
      <c r="B106" s="530" t="s">
        <v>367</v>
      </c>
      <c r="C106" s="531">
        <v>702</v>
      </c>
      <c r="D106" s="530" t="s">
        <v>596</v>
      </c>
      <c r="E106" s="530" t="s">
        <v>597</v>
      </c>
      <c r="F106" s="531">
        <v>1721</v>
      </c>
      <c r="G106" s="530" t="s">
        <v>296</v>
      </c>
      <c r="H106" s="531">
        <v>1421</v>
      </c>
      <c r="I106" s="531">
        <v>500</v>
      </c>
      <c r="J106" s="531">
        <v>0</v>
      </c>
      <c r="K106" s="532">
        <v>45178</v>
      </c>
      <c r="L106" s="532">
        <v>46273</v>
      </c>
      <c r="M106" s="530"/>
      <c r="N106" s="531">
        <v>0</v>
      </c>
      <c r="O106" s="533">
        <f t="shared" si="3"/>
        <v>1049</v>
      </c>
      <c r="P106" s="534">
        <f t="shared" si="4"/>
        <v>4.0273972602739724E-2</v>
      </c>
      <c r="Q106" s="534">
        <f t="shared" si="5"/>
        <v>42.247397260273971</v>
      </c>
    </row>
    <row r="107" spans="1:17" ht="15" customHeight="1" x14ac:dyDescent="0.25">
      <c r="A107" s="530" t="s">
        <v>598</v>
      </c>
      <c r="B107" s="530" t="s">
        <v>370</v>
      </c>
      <c r="C107" s="531">
        <v>885</v>
      </c>
      <c r="D107" s="530" t="s">
        <v>599</v>
      </c>
      <c r="E107" s="530" t="s">
        <v>600</v>
      </c>
      <c r="F107" s="531">
        <v>1897</v>
      </c>
      <c r="G107" s="530" t="s">
        <v>296</v>
      </c>
      <c r="H107" s="531">
        <v>1690</v>
      </c>
      <c r="I107" s="531">
        <v>500</v>
      </c>
      <c r="J107" s="531">
        <v>0</v>
      </c>
      <c r="K107" s="532">
        <v>45811</v>
      </c>
      <c r="L107" s="532">
        <v>46570</v>
      </c>
      <c r="M107" s="530"/>
      <c r="N107" s="531">
        <v>0</v>
      </c>
      <c r="O107" s="533">
        <f t="shared" si="3"/>
        <v>416</v>
      </c>
      <c r="P107" s="534">
        <f t="shared" si="4"/>
        <v>4.0273972602739724E-2</v>
      </c>
      <c r="Q107" s="534">
        <f t="shared" si="5"/>
        <v>16.753972602739726</v>
      </c>
    </row>
    <row r="108" spans="1:17" ht="15" customHeight="1" x14ac:dyDescent="0.25">
      <c r="A108" s="530" t="s">
        <v>601</v>
      </c>
      <c r="B108" s="530" t="s">
        <v>306</v>
      </c>
      <c r="C108" s="531">
        <v>1261</v>
      </c>
      <c r="D108" s="530" t="s">
        <v>602</v>
      </c>
      <c r="E108" s="530" t="s">
        <v>603</v>
      </c>
      <c r="F108" s="531">
        <v>2430</v>
      </c>
      <c r="G108" s="530" t="s">
        <v>296</v>
      </c>
      <c r="H108" s="531">
        <v>2028</v>
      </c>
      <c r="I108" s="531">
        <v>500</v>
      </c>
      <c r="J108" s="531">
        <v>0</v>
      </c>
      <c r="K108" s="532">
        <v>46039</v>
      </c>
      <c r="L108" s="532">
        <v>46493</v>
      </c>
      <c r="M108" s="530"/>
      <c r="N108" s="531">
        <v>0</v>
      </c>
      <c r="O108" s="533">
        <f t="shared" si="3"/>
        <v>188</v>
      </c>
      <c r="P108" s="534">
        <f t="shared" si="4"/>
        <v>4.0273972602739724E-2</v>
      </c>
      <c r="Q108" s="534">
        <f t="shared" si="5"/>
        <v>7.5715068493150683</v>
      </c>
    </row>
    <row r="109" spans="1:17" ht="15" customHeight="1" x14ac:dyDescent="0.25">
      <c r="A109" s="530" t="s">
        <v>604</v>
      </c>
      <c r="B109" s="530" t="s">
        <v>320</v>
      </c>
      <c r="C109" s="531">
        <v>1171</v>
      </c>
      <c r="D109" s="530" t="s">
        <v>605</v>
      </c>
      <c r="E109" s="530" t="s">
        <v>606</v>
      </c>
      <c r="F109" s="531">
        <v>2373</v>
      </c>
      <c r="G109" s="530" t="s">
        <v>296</v>
      </c>
      <c r="H109" s="531">
        <v>2203</v>
      </c>
      <c r="I109" s="531">
        <v>2099</v>
      </c>
      <c r="J109" s="531">
        <v>0</v>
      </c>
      <c r="K109" s="532">
        <v>45639</v>
      </c>
      <c r="L109" s="532">
        <v>46430</v>
      </c>
      <c r="M109" s="530"/>
      <c r="N109" s="531">
        <v>0</v>
      </c>
      <c r="O109" s="533">
        <f t="shared" si="3"/>
        <v>588</v>
      </c>
      <c r="P109" s="534">
        <f t="shared" si="4"/>
        <v>0.16907013698630136</v>
      </c>
      <c r="Q109" s="534">
        <f t="shared" si="5"/>
        <v>99.413240547945193</v>
      </c>
    </row>
    <row r="110" spans="1:17" ht="15" customHeight="1" x14ac:dyDescent="0.25">
      <c r="A110" s="530" t="s">
        <v>607</v>
      </c>
      <c r="B110" s="530" t="s">
        <v>378</v>
      </c>
      <c r="C110" s="531">
        <v>845</v>
      </c>
      <c r="D110" s="530" t="s">
        <v>608</v>
      </c>
      <c r="E110" s="530" t="s">
        <v>609</v>
      </c>
      <c r="F110" s="531">
        <v>1951</v>
      </c>
      <c r="G110" s="530" t="s">
        <v>296</v>
      </c>
      <c r="H110" s="531">
        <v>1633</v>
      </c>
      <c r="I110" s="531">
        <v>500</v>
      </c>
      <c r="J110" s="531">
        <v>0</v>
      </c>
      <c r="K110" s="532">
        <v>45864</v>
      </c>
      <c r="L110" s="532">
        <v>46259</v>
      </c>
      <c r="M110" s="532">
        <v>46256</v>
      </c>
      <c r="N110" s="531">
        <v>0</v>
      </c>
      <c r="O110" s="533">
        <f t="shared" si="3"/>
        <v>363</v>
      </c>
      <c r="P110" s="534">
        <f t="shared" si="4"/>
        <v>4.0273972602739724E-2</v>
      </c>
      <c r="Q110" s="534">
        <f t="shared" si="5"/>
        <v>14.61945205479452</v>
      </c>
    </row>
    <row r="111" spans="1:17" ht="15" customHeight="1" x14ac:dyDescent="0.25">
      <c r="A111" s="530" t="s">
        <v>610</v>
      </c>
      <c r="B111" s="530" t="s">
        <v>324</v>
      </c>
      <c r="C111" s="531">
        <v>838</v>
      </c>
      <c r="D111" s="530" t="s">
        <v>611</v>
      </c>
      <c r="E111" s="530" t="s">
        <v>612</v>
      </c>
      <c r="F111" s="531">
        <v>2113</v>
      </c>
      <c r="G111" s="530" t="s">
        <v>296</v>
      </c>
      <c r="H111" s="531">
        <v>1594</v>
      </c>
      <c r="I111" s="531">
        <v>500</v>
      </c>
      <c r="J111" s="531">
        <v>0</v>
      </c>
      <c r="K111" s="532">
        <v>45045</v>
      </c>
      <c r="L111" s="532">
        <v>46231</v>
      </c>
      <c r="M111" s="530"/>
      <c r="N111" s="531">
        <v>0</v>
      </c>
      <c r="O111" s="533">
        <f t="shared" si="3"/>
        <v>1182</v>
      </c>
      <c r="P111" s="534">
        <f t="shared" si="4"/>
        <v>4.0273972602739724E-2</v>
      </c>
      <c r="Q111" s="534">
        <f t="shared" si="5"/>
        <v>47.603835616438353</v>
      </c>
    </row>
    <row r="112" spans="1:17" ht="15" customHeight="1" x14ac:dyDescent="0.25">
      <c r="A112" s="530" t="s">
        <v>613</v>
      </c>
      <c r="B112" s="530" t="s">
        <v>385</v>
      </c>
      <c r="C112" s="531">
        <v>843</v>
      </c>
      <c r="D112" s="530" t="s">
        <v>614</v>
      </c>
      <c r="E112" s="530" t="s">
        <v>615</v>
      </c>
      <c r="F112" s="531">
        <v>1930</v>
      </c>
      <c r="G112" s="530" t="s">
        <v>296</v>
      </c>
      <c r="H112" s="531">
        <v>1773.78</v>
      </c>
      <c r="I112" s="531">
        <v>500</v>
      </c>
      <c r="J112" s="531">
        <v>0</v>
      </c>
      <c r="K112" s="532">
        <v>45334</v>
      </c>
      <c r="L112" s="532">
        <v>46518</v>
      </c>
      <c r="M112" s="530"/>
      <c r="N112" s="531">
        <v>0</v>
      </c>
      <c r="O112" s="533">
        <f t="shared" si="3"/>
        <v>893</v>
      </c>
      <c r="P112" s="534">
        <f t="shared" si="4"/>
        <v>4.0273972602739724E-2</v>
      </c>
      <c r="Q112" s="534">
        <f t="shared" si="5"/>
        <v>35.964657534246577</v>
      </c>
    </row>
    <row r="113" spans="1:17" ht="15" customHeight="1" x14ac:dyDescent="0.25">
      <c r="A113" s="530" t="s">
        <v>14195</v>
      </c>
      <c r="B113" s="530" t="s">
        <v>328</v>
      </c>
      <c r="C113" s="531">
        <v>761</v>
      </c>
      <c r="D113" s="530" t="s">
        <v>14196</v>
      </c>
      <c r="E113" s="530" t="s">
        <v>14197</v>
      </c>
      <c r="F113" s="531">
        <v>2035</v>
      </c>
      <c r="G113" s="530" t="s">
        <v>296</v>
      </c>
      <c r="H113" s="531">
        <v>1892</v>
      </c>
      <c r="I113" s="531">
        <v>0</v>
      </c>
      <c r="J113" s="531">
        <v>0</v>
      </c>
      <c r="K113" s="532">
        <v>46210</v>
      </c>
      <c r="L113" s="532">
        <v>46574</v>
      </c>
      <c r="M113" s="530"/>
      <c r="N113" s="531">
        <v>0</v>
      </c>
      <c r="O113" s="533">
        <f t="shared" si="3"/>
        <v>17</v>
      </c>
      <c r="P113" s="534">
        <f t="shared" si="4"/>
        <v>0</v>
      </c>
      <c r="Q113" s="534">
        <f t="shared" si="5"/>
        <v>0</v>
      </c>
    </row>
    <row r="114" spans="1:17" ht="15" customHeight="1" x14ac:dyDescent="0.25">
      <c r="A114" s="530" t="s">
        <v>616</v>
      </c>
      <c r="B114" s="530" t="s">
        <v>378</v>
      </c>
      <c r="C114" s="531">
        <v>845</v>
      </c>
      <c r="D114" s="530" t="s">
        <v>617</v>
      </c>
      <c r="E114" s="530" t="s">
        <v>618</v>
      </c>
      <c r="F114" s="531">
        <v>1921</v>
      </c>
      <c r="G114" s="530" t="s">
        <v>296</v>
      </c>
      <c r="H114" s="531">
        <v>1626</v>
      </c>
      <c r="I114" s="531">
        <v>500</v>
      </c>
      <c r="J114" s="531">
        <v>0</v>
      </c>
      <c r="K114" s="532">
        <v>45047</v>
      </c>
      <c r="L114" s="532">
        <v>46234</v>
      </c>
      <c r="M114" s="530"/>
      <c r="N114" s="531">
        <v>0</v>
      </c>
      <c r="O114" s="533">
        <f t="shared" si="3"/>
        <v>1180</v>
      </c>
      <c r="P114" s="534">
        <f t="shared" si="4"/>
        <v>4.0273972602739724E-2</v>
      </c>
      <c r="Q114" s="534">
        <f t="shared" si="5"/>
        <v>47.523287671232872</v>
      </c>
    </row>
    <row r="115" spans="1:17" ht="15" customHeight="1" x14ac:dyDescent="0.25">
      <c r="A115" s="530" t="s">
        <v>619</v>
      </c>
      <c r="B115" s="530" t="s">
        <v>328</v>
      </c>
      <c r="C115" s="531">
        <v>761</v>
      </c>
      <c r="D115" s="530" t="s">
        <v>620</v>
      </c>
      <c r="E115" s="530" t="s">
        <v>621</v>
      </c>
      <c r="F115" s="531">
        <v>1810</v>
      </c>
      <c r="G115" s="530" t="s">
        <v>296</v>
      </c>
      <c r="H115" s="531">
        <v>1652</v>
      </c>
      <c r="I115" s="531">
        <v>500</v>
      </c>
      <c r="J115" s="531">
        <v>0</v>
      </c>
      <c r="K115" s="532">
        <v>46160</v>
      </c>
      <c r="L115" s="532">
        <v>46587</v>
      </c>
      <c r="M115" s="530"/>
      <c r="N115" s="531">
        <v>0</v>
      </c>
      <c r="O115" s="533">
        <f t="shared" si="3"/>
        <v>67</v>
      </c>
      <c r="P115" s="534">
        <f t="shared" si="4"/>
        <v>4.0273972602739724E-2</v>
      </c>
      <c r="Q115" s="534">
        <f t="shared" si="5"/>
        <v>2.6983561643835614</v>
      </c>
    </row>
    <row r="116" spans="1:17" ht="15.95" customHeight="1" x14ac:dyDescent="0.25">
      <c r="A116" s="530" t="s">
        <v>622</v>
      </c>
      <c r="B116" s="530" t="s">
        <v>306</v>
      </c>
      <c r="C116" s="531">
        <v>1261</v>
      </c>
      <c r="D116" s="530" t="s">
        <v>623</v>
      </c>
      <c r="E116" s="530" t="s">
        <v>624</v>
      </c>
      <c r="F116" s="531">
        <v>2525</v>
      </c>
      <c r="G116" s="530" t="s">
        <v>296</v>
      </c>
      <c r="H116" s="531">
        <v>2356</v>
      </c>
      <c r="I116" s="531">
        <v>500</v>
      </c>
      <c r="J116" s="531">
        <v>0</v>
      </c>
      <c r="K116" s="532">
        <v>45838</v>
      </c>
      <c r="L116" s="532">
        <v>46574</v>
      </c>
      <c r="M116" s="530"/>
      <c r="N116" s="531">
        <v>0</v>
      </c>
      <c r="O116" s="533">
        <f t="shared" si="3"/>
        <v>389</v>
      </c>
      <c r="P116" s="534">
        <f t="shared" si="4"/>
        <v>4.0273972602739724E-2</v>
      </c>
      <c r="Q116" s="534">
        <f t="shared" si="5"/>
        <v>15.666575342465753</v>
      </c>
    </row>
    <row r="117" spans="1:17" ht="15" customHeight="1" x14ac:dyDescent="0.25">
      <c r="A117" s="530" t="s">
        <v>625</v>
      </c>
      <c r="B117" s="530" t="s">
        <v>320</v>
      </c>
      <c r="C117" s="531">
        <v>1171</v>
      </c>
      <c r="D117" s="530" t="s">
        <v>626</v>
      </c>
      <c r="E117" s="530" t="s">
        <v>627</v>
      </c>
      <c r="F117" s="531">
        <v>2418</v>
      </c>
      <c r="G117" s="530" t="s">
        <v>296</v>
      </c>
      <c r="H117" s="531">
        <v>2054</v>
      </c>
      <c r="I117" s="531">
        <v>500</v>
      </c>
      <c r="J117" s="531">
        <v>0</v>
      </c>
      <c r="K117" s="532">
        <v>45964</v>
      </c>
      <c r="L117" s="532">
        <v>46358</v>
      </c>
      <c r="M117" s="530"/>
      <c r="N117" s="531">
        <v>100</v>
      </c>
      <c r="O117" s="533">
        <f t="shared" si="3"/>
        <v>263</v>
      </c>
      <c r="P117" s="534">
        <f t="shared" si="4"/>
        <v>4.0273972602739724E-2</v>
      </c>
      <c r="Q117" s="534">
        <f t="shared" si="5"/>
        <v>10.592054794520548</v>
      </c>
    </row>
    <row r="118" spans="1:17" ht="15" customHeight="1" x14ac:dyDescent="0.25">
      <c r="A118" s="530" t="s">
        <v>628</v>
      </c>
      <c r="B118" s="530" t="s">
        <v>629</v>
      </c>
      <c r="C118" s="531">
        <v>1262</v>
      </c>
      <c r="D118" s="530" t="s">
        <v>630</v>
      </c>
      <c r="E118" s="530" t="s">
        <v>631</v>
      </c>
      <c r="F118" s="531">
        <v>2113</v>
      </c>
      <c r="G118" s="530" t="s">
        <v>296</v>
      </c>
      <c r="H118" s="531">
        <v>2250</v>
      </c>
      <c r="I118" s="531">
        <v>300</v>
      </c>
      <c r="J118" s="531">
        <v>0</v>
      </c>
      <c r="K118" s="532">
        <v>43847</v>
      </c>
      <c r="L118" s="532">
        <v>46250</v>
      </c>
      <c r="M118" s="530"/>
      <c r="N118" s="531">
        <v>0</v>
      </c>
      <c r="O118" s="533">
        <f t="shared" si="3"/>
        <v>2380</v>
      </c>
      <c r="P118" s="534">
        <f t="shared" si="4"/>
        <v>2.4164383561643837E-2</v>
      </c>
      <c r="Q118" s="534">
        <f t="shared" si="5"/>
        <v>57.511232876712334</v>
      </c>
    </row>
    <row r="119" spans="1:17" ht="15" customHeight="1" x14ac:dyDescent="0.25">
      <c r="A119" s="530" t="s">
        <v>632</v>
      </c>
      <c r="B119" s="530" t="s">
        <v>320</v>
      </c>
      <c r="C119" s="531">
        <v>1171</v>
      </c>
      <c r="D119" s="530" t="s">
        <v>633</v>
      </c>
      <c r="E119" s="530" t="s">
        <v>634</v>
      </c>
      <c r="F119" s="531">
        <v>2418</v>
      </c>
      <c r="G119" s="530" t="s">
        <v>331</v>
      </c>
      <c r="H119" s="531">
        <v>2287</v>
      </c>
      <c r="I119" s="531">
        <v>2365</v>
      </c>
      <c r="J119" s="531">
        <v>0</v>
      </c>
      <c r="K119" s="532">
        <v>46114</v>
      </c>
      <c r="L119" s="532">
        <v>46477</v>
      </c>
      <c r="M119" s="530"/>
      <c r="N119" s="531">
        <v>0</v>
      </c>
      <c r="O119" s="533">
        <f t="shared" si="3"/>
        <v>113</v>
      </c>
      <c r="P119" s="534">
        <f t="shared" si="4"/>
        <v>0.19049589041095888</v>
      </c>
      <c r="Q119" s="534">
        <f t="shared" si="5"/>
        <v>21.526035616438353</v>
      </c>
    </row>
    <row r="120" spans="1:17" ht="15" customHeight="1" x14ac:dyDescent="0.25">
      <c r="A120" s="530" t="s">
        <v>635</v>
      </c>
      <c r="B120" s="530" t="s">
        <v>357</v>
      </c>
      <c r="C120" s="531">
        <v>808</v>
      </c>
      <c r="D120" s="530" t="s">
        <v>636</v>
      </c>
      <c r="E120" s="530" t="s">
        <v>637</v>
      </c>
      <c r="F120" s="531">
        <v>2005</v>
      </c>
      <c r="G120" s="530" t="s">
        <v>296</v>
      </c>
      <c r="H120" s="531">
        <v>1799</v>
      </c>
      <c r="I120" s="531">
        <v>500</v>
      </c>
      <c r="J120" s="531">
        <v>0</v>
      </c>
      <c r="K120" s="532">
        <v>44757</v>
      </c>
      <c r="L120" s="532">
        <v>46267</v>
      </c>
      <c r="M120" s="532">
        <v>46267</v>
      </c>
      <c r="N120" s="531">
        <v>0</v>
      </c>
      <c r="O120" s="533">
        <f t="shared" si="3"/>
        <v>1470</v>
      </c>
      <c r="P120" s="534">
        <f t="shared" si="4"/>
        <v>4.0273972602739724E-2</v>
      </c>
      <c r="Q120" s="534">
        <f t="shared" si="5"/>
        <v>59.202739726027396</v>
      </c>
    </row>
    <row r="121" spans="1:17" ht="15" customHeight="1" x14ac:dyDescent="0.25">
      <c r="A121" s="530" t="s">
        <v>638</v>
      </c>
      <c r="B121" s="530" t="s">
        <v>328</v>
      </c>
      <c r="C121" s="531">
        <v>761</v>
      </c>
      <c r="D121" s="530" t="s">
        <v>639</v>
      </c>
      <c r="E121" s="530" t="s">
        <v>640</v>
      </c>
      <c r="F121" s="531">
        <v>1985</v>
      </c>
      <c r="G121" s="530" t="s">
        <v>296</v>
      </c>
      <c r="H121" s="531">
        <v>1710</v>
      </c>
      <c r="I121" s="531">
        <v>500</v>
      </c>
      <c r="J121" s="531">
        <v>0</v>
      </c>
      <c r="K121" s="532">
        <v>45887</v>
      </c>
      <c r="L121" s="532">
        <v>46251</v>
      </c>
      <c r="M121" s="530"/>
      <c r="N121" s="531">
        <v>0</v>
      </c>
      <c r="O121" s="533">
        <f t="shared" si="3"/>
        <v>340</v>
      </c>
      <c r="P121" s="534">
        <f t="shared" si="4"/>
        <v>4.0273972602739724E-2</v>
      </c>
      <c r="Q121" s="534">
        <f t="shared" si="5"/>
        <v>13.693150684931506</v>
      </c>
    </row>
    <row r="122" spans="1:17" ht="15" customHeight="1" x14ac:dyDescent="0.25">
      <c r="A122" s="530" t="s">
        <v>641</v>
      </c>
      <c r="B122" s="530" t="s">
        <v>328</v>
      </c>
      <c r="C122" s="531">
        <v>761</v>
      </c>
      <c r="D122" s="530" t="s">
        <v>642</v>
      </c>
      <c r="E122" s="530" t="s">
        <v>643</v>
      </c>
      <c r="F122" s="531">
        <v>1890</v>
      </c>
      <c r="G122" s="530" t="s">
        <v>296</v>
      </c>
      <c r="H122" s="531">
        <v>1725</v>
      </c>
      <c r="I122" s="531">
        <v>300</v>
      </c>
      <c r="J122" s="531">
        <v>0</v>
      </c>
      <c r="K122" s="532">
        <v>42887</v>
      </c>
      <c r="L122" s="532">
        <v>46234</v>
      </c>
      <c r="M122" s="530"/>
      <c r="N122" s="531">
        <v>0</v>
      </c>
      <c r="O122" s="533">
        <f t="shared" si="3"/>
        <v>3340</v>
      </c>
      <c r="P122" s="534">
        <f t="shared" si="4"/>
        <v>2.4164383561643837E-2</v>
      </c>
      <c r="Q122" s="534">
        <f t="shared" si="5"/>
        <v>80.709041095890413</v>
      </c>
    </row>
    <row r="123" spans="1:17" ht="15" customHeight="1" x14ac:dyDescent="0.25">
      <c r="A123" s="530" t="s">
        <v>644</v>
      </c>
      <c r="B123" s="530" t="s">
        <v>411</v>
      </c>
      <c r="C123" s="531">
        <v>1415</v>
      </c>
      <c r="D123" s="530" t="s">
        <v>645</v>
      </c>
      <c r="E123" s="530" t="s">
        <v>646</v>
      </c>
      <c r="F123" s="531">
        <v>3017</v>
      </c>
      <c r="G123" s="530" t="s">
        <v>296</v>
      </c>
      <c r="H123" s="531">
        <v>2363</v>
      </c>
      <c r="I123" s="531">
        <v>500</v>
      </c>
      <c r="J123" s="531">
        <v>0</v>
      </c>
      <c r="K123" s="532">
        <v>46052</v>
      </c>
      <c r="L123" s="532">
        <v>46506</v>
      </c>
      <c r="M123" s="530"/>
      <c r="N123" s="531">
        <v>0</v>
      </c>
      <c r="O123" s="533">
        <f t="shared" si="3"/>
        <v>175</v>
      </c>
      <c r="P123" s="534">
        <f t="shared" si="4"/>
        <v>4.0273972602739724E-2</v>
      </c>
      <c r="Q123" s="534">
        <f t="shared" si="5"/>
        <v>7.0479452054794516</v>
      </c>
    </row>
    <row r="124" spans="1:17" ht="15" customHeight="1" x14ac:dyDescent="0.25">
      <c r="A124" s="530" t="s">
        <v>647</v>
      </c>
      <c r="B124" s="530" t="s">
        <v>413</v>
      </c>
      <c r="C124" s="531">
        <v>979</v>
      </c>
      <c r="D124" s="530" t="s">
        <v>648</v>
      </c>
      <c r="E124" s="530" t="s">
        <v>649</v>
      </c>
      <c r="F124" s="531">
        <v>2115</v>
      </c>
      <c r="G124" s="530" t="s">
        <v>296</v>
      </c>
      <c r="H124" s="531">
        <v>1838</v>
      </c>
      <c r="I124" s="531">
        <v>500</v>
      </c>
      <c r="J124" s="531">
        <v>0</v>
      </c>
      <c r="K124" s="532">
        <v>46143</v>
      </c>
      <c r="L124" s="532">
        <v>46507</v>
      </c>
      <c r="M124" s="530"/>
      <c r="N124" s="531">
        <v>0</v>
      </c>
      <c r="O124" s="533">
        <f t="shared" si="3"/>
        <v>84</v>
      </c>
      <c r="P124" s="534">
        <f t="shared" si="4"/>
        <v>4.0273972602739724E-2</v>
      </c>
      <c r="Q124" s="534">
        <f t="shared" si="5"/>
        <v>3.3830136986301369</v>
      </c>
    </row>
    <row r="125" spans="1:17" ht="15" customHeight="1" x14ac:dyDescent="0.25">
      <c r="A125" s="530" t="s">
        <v>650</v>
      </c>
      <c r="B125" s="530" t="s">
        <v>417</v>
      </c>
      <c r="C125" s="531">
        <v>1310</v>
      </c>
      <c r="D125" s="530" t="s">
        <v>651</v>
      </c>
      <c r="E125" s="530" t="s">
        <v>652</v>
      </c>
      <c r="F125" s="531">
        <v>2594</v>
      </c>
      <c r="G125" s="530" t="s">
        <v>296</v>
      </c>
      <c r="H125" s="531">
        <v>2634</v>
      </c>
      <c r="I125" s="531">
        <v>0</v>
      </c>
      <c r="J125" s="531">
        <v>0</v>
      </c>
      <c r="K125" s="532">
        <v>46197</v>
      </c>
      <c r="L125" s="532">
        <v>46503</v>
      </c>
      <c r="M125" s="530"/>
      <c r="N125" s="531">
        <v>0</v>
      </c>
      <c r="O125" s="533">
        <f t="shared" si="3"/>
        <v>30</v>
      </c>
      <c r="P125" s="534">
        <f t="shared" si="4"/>
        <v>0</v>
      </c>
      <c r="Q125" s="534">
        <f t="shared" si="5"/>
        <v>0</v>
      </c>
    </row>
    <row r="126" spans="1:17" ht="15" customHeight="1" x14ac:dyDescent="0.25">
      <c r="A126" s="530" t="s">
        <v>653</v>
      </c>
      <c r="B126" s="530" t="s">
        <v>421</v>
      </c>
      <c r="C126" s="531">
        <v>1068</v>
      </c>
      <c r="D126" s="530" t="s">
        <v>654</v>
      </c>
      <c r="E126" s="530" t="s">
        <v>655</v>
      </c>
      <c r="F126" s="531">
        <v>3030</v>
      </c>
      <c r="G126" s="530" t="s">
        <v>296</v>
      </c>
      <c r="H126" s="531">
        <v>2134</v>
      </c>
      <c r="I126" s="531">
        <v>4200</v>
      </c>
      <c r="J126" s="531">
        <v>0</v>
      </c>
      <c r="K126" s="532">
        <v>44820</v>
      </c>
      <c r="L126" s="532">
        <v>46310</v>
      </c>
      <c r="M126" s="530"/>
      <c r="N126" s="531">
        <v>0</v>
      </c>
      <c r="O126" s="533">
        <f t="shared" si="3"/>
        <v>1407</v>
      </c>
      <c r="P126" s="534">
        <f t="shared" si="4"/>
        <v>0.33830136986301368</v>
      </c>
      <c r="Q126" s="534">
        <f t="shared" si="5"/>
        <v>475.99002739726023</v>
      </c>
    </row>
    <row r="127" spans="1:17" ht="15" customHeight="1" x14ac:dyDescent="0.25">
      <c r="A127" s="530" t="s">
        <v>656</v>
      </c>
      <c r="B127" s="530" t="s">
        <v>423</v>
      </c>
      <c r="C127" s="531">
        <v>1613</v>
      </c>
      <c r="D127" s="530" t="s">
        <v>657</v>
      </c>
      <c r="E127" s="530" t="s">
        <v>658</v>
      </c>
      <c r="F127" s="531">
        <v>3255</v>
      </c>
      <c r="G127" s="530" t="s">
        <v>296</v>
      </c>
      <c r="H127" s="531">
        <v>3161</v>
      </c>
      <c r="I127" s="531">
        <v>5388</v>
      </c>
      <c r="J127" s="531">
        <v>0</v>
      </c>
      <c r="K127" s="532">
        <v>45063</v>
      </c>
      <c r="L127" s="532">
        <v>46584</v>
      </c>
      <c r="M127" s="530"/>
      <c r="N127" s="531">
        <v>0</v>
      </c>
      <c r="O127" s="533">
        <f t="shared" si="3"/>
        <v>1164</v>
      </c>
      <c r="P127" s="534">
        <f t="shared" si="4"/>
        <v>0.43399232876712324</v>
      </c>
      <c r="Q127" s="534">
        <f t="shared" si="5"/>
        <v>505.16707068493145</v>
      </c>
    </row>
    <row r="128" spans="1:17" ht="15" customHeight="1" x14ac:dyDescent="0.25">
      <c r="A128" s="530" t="s">
        <v>659</v>
      </c>
      <c r="B128" s="530" t="s">
        <v>427</v>
      </c>
      <c r="C128" s="531">
        <v>1307</v>
      </c>
      <c r="D128" s="530" t="s">
        <v>660</v>
      </c>
      <c r="E128" s="530" t="s">
        <v>661</v>
      </c>
      <c r="F128" s="531">
        <v>2644</v>
      </c>
      <c r="G128" s="530" t="s">
        <v>296</v>
      </c>
      <c r="H128" s="531">
        <v>2278</v>
      </c>
      <c r="I128" s="531">
        <v>500</v>
      </c>
      <c r="J128" s="531">
        <v>0</v>
      </c>
      <c r="K128" s="532">
        <v>46008</v>
      </c>
      <c r="L128" s="532">
        <v>46403</v>
      </c>
      <c r="M128" s="530"/>
      <c r="N128" s="531">
        <v>0</v>
      </c>
      <c r="O128" s="533">
        <f t="shared" si="3"/>
        <v>219</v>
      </c>
      <c r="P128" s="534">
        <f t="shared" si="4"/>
        <v>4.0273972602739724E-2</v>
      </c>
      <c r="Q128" s="534">
        <f t="shared" si="5"/>
        <v>8.82</v>
      </c>
    </row>
    <row r="129" spans="1:17" ht="15" customHeight="1" x14ac:dyDescent="0.25">
      <c r="A129" s="530" t="s">
        <v>662</v>
      </c>
      <c r="B129" s="530" t="s">
        <v>431</v>
      </c>
      <c r="C129" s="531">
        <v>1540</v>
      </c>
      <c r="D129" s="530" t="s">
        <v>663</v>
      </c>
      <c r="E129" s="530" t="s">
        <v>664</v>
      </c>
      <c r="F129" s="531">
        <v>3378</v>
      </c>
      <c r="G129" s="530" t="s">
        <v>331</v>
      </c>
      <c r="H129" s="531">
        <v>2657</v>
      </c>
      <c r="I129" s="531">
        <v>1420.57</v>
      </c>
      <c r="J129" s="531">
        <v>0</v>
      </c>
      <c r="K129" s="532">
        <v>46002</v>
      </c>
      <c r="L129" s="532">
        <v>46456</v>
      </c>
      <c r="M129" s="530"/>
      <c r="N129" s="531">
        <v>1050.67</v>
      </c>
      <c r="O129" s="533">
        <f t="shared" si="3"/>
        <v>225</v>
      </c>
      <c r="P129" s="534">
        <f t="shared" si="4"/>
        <v>0.11442399452054793</v>
      </c>
      <c r="Q129" s="534">
        <f t="shared" si="5"/>
        <v>25.745398767123284</v>
      </c>
    </row>
    <row r="130" spans="1:17" ht="15" customHeight="1" x14ac:dyDescent="0.25">
      <c r="A130" s="530" t="s">
        <v>665</v>
      </c>
      <c r="B130" s="530" t="s">
        <v>324</v>
      </c>
      <c r="C130" s="531">
        <v>838</v>
      </c>
      <c r="D130" s="530" t="s">
        <v>666</v>
      </c>
      <c r="E130" s="530" t="s">
        <v>667</v>
      </c>
      <c r="F130" s="531">
        <v>2238</v>
      </c>
      <c r="G130" s="530" t="s">
        <v>296</v>
      </c>
      <c r="H130" s="531">
        <v>1790</v>
      </c>
      <c r="I130" s="531">
        <v>0</v>
      </c>
      <c r="J130" s="531">
        <v>0</v>
      </c>
      <c r="K130" s="532">
        <v>46171</v>
      </c>
      <c r="L130" s="532">
        <v>46596</v>
      </c>
      <c r="M130" s="530"/>
      <c r="N130" s="531">
        <v>2101.94</v>
      </c>
      <c r="O130" s="533">
        <f t="shared" si="3"/>
        <v>56</v>
      </c>
      <c r="P130" s="534">
        <f t="shared" si="4"/>
        <v>0</v>
      </c>
      <c r="Q130" s="534">
        <f t="shared" si="5"/>
        <v>0</v>
      </c>
    </row>
    <row r="131" spans="1:17" ht="15" customHeight="1" x14ac:dyDescent="0.25">
      <c r="A131" s="530" t="s">
        <v>668</v>
      </c>
      <c r="B131" s="530" t="s">
        <v>298</v>
      </c>
      <c r="C131" s="531">
        <v>643</v>
      </c>
      <c r="D131" s="530" t="s">
        <v>669</v>
      </c>
      <c r="E131" s="530" t="s">
        <v>670</v>
      </c>
      <c r="F131" s="531">
        <v>1650</v>
      </c>
      <c r="G131" s="530" t="s">
        <v>296</v>
      </c>
      <c r="H131" s="531">
        <v>1631</v>
      </c>
      <c r="I131" s="531">
        <v>300</v>
      </c>
      <c r="J131" s="531">
        <v>0</v>
      </c>
      <c r="K131" s="532">
        <v>44357</v>
      </c>
      <c r="L131" s="532">
        <v>46608</v>
      </c>
      <c r="M131" s="530"/>
      <c r="N131" s="531">
        <v>-500</v>
      </c>
      <c r="O131" s="533">
        <f t="shared" si="3"/>
        <v>1870</v>
      </c>
      <c r="P131" s="534">
        <f t="shared" si="4"/>
        <v>2.4164383561643837E-2</v>
      </c>
      <c r="Q131" s="534">
        <f t="shared" si="5"/>
        <v>45.187397260273976</v>
      </c>
    </row>
    <row r="132" spans="1:17" ht="15" customHeight="1" x14ac:dyDescent="0.25">
      <c r="A132" s="530" t="s">
        <v>671</v>
      </c>
      <c r="B132" s="530" t="s">
        <v>298</v>
      </c>
      <c r="C132" s="531">
        <v>643</v>
      </c>
      <c r="D132" s="530" t="s">
        <v>672</v>
      </c>
      <c r="E132" s="530" t="s">
        <v>673</v>
      </c>
      <c r="F132" s="531">
        <v>1780</v>
      </c>
      <c r="G132" s="530" t="s">
        <v>296</v>
      </c>
      <c r="H132" s="531">
        <v>1595</v>
      </c>
      <c r="I132" s="531">
        <v>500</v>
      </c>
      <c r="J132" s="531">
        <v>0</v>
      </c>
      <c r="K132" s="532">
        <v>44819</v>
      </c>
      <c r="L132" s="532">
        <v>46279</v>
      </c>
      <c r="M132" s="530"/>
      <c r="N132" s="531">
        <v>0</v>
      </c>
      <c r="O132" s="533">
        <f t="shared" si="3"/>
        <v>1408</v>
      </c>
      <c r="P132" s="534">
        <f t="shared" si="4"/>
        <v>4.0273972602739724E-2</v>
      </c>
      <c r="Q132" s="534">
        <f t="shared" si="5"/>
        <v>56.70575342465753</v>
      </c>
    </row>
    <row r="133" spans="1:17" ht="15" customHeight="1" x14ac:dyDescent="0.25">
      <c r="A133" s="530" t="s">
        <v>674</v>
      </c>
      <c r="B133" s="530" t="s">
        <v>328</v>
      </c>
      <c r="C133" s="531">
        <v>761</v>
      </c>
      <c r="D133" s="530" t="s">
        <v>675</v>
      </c>
      <c r="E133" s="530" t="s">
        <v>676</v>
      </c>
      <c r="F133" s="531">
        <v>1885</v>
      </c>
      <c r="G133" s="530" t="s">
        <v>296</v>
      </c>
      <c r="H133" s="531">
        <v>1690</v>
      </c>
      <c r="I133" s="531">
        <v>500</v>
      </c>
      <c r="J133" s="531">
        <v>0</v>
      </c>
      <c r="K133" s="532">
        <v>46020</v>
      </c>
      <c r="L133" s="532">
        <v>46445</v>
      </c>
      <c r="M133" s="530"/>
      <c r="N133" s="531">
        <v>0</v>
      </c>
      <c r="O133" s="533">
        <f t="shared" si="3"/>
        <v>207</v>
      </c>
      <c r="P133" s="534">
        <f t="shared" si="4"/>
        <v>4.0273972602739724E-2</v>
      </c>
      <c r="Q133" s="534">
        <f t="shared" si="5"/>
        <v>8.3367123287671223</v>
      </c>
    </row>
    <row r="134" spans="1:17" ht="15" customHeight="1" x14ac:dyDescent="0.25">
      <c r="A134" s="530" t="s">
        <v>677</v>
      </c>
      <c r="B134" s="530" t="s">
        <v>306</v>
      </c>
      <c r="C134" s="531">
        <v>1261</v>
      </c>
      <c r="D134" s="530" t="s">
        <v>678</v>
      </c>
      <c r="E134" s="530" t="s">
        <v>679</v>
      </c>
      <c r="F134" s="531">
        <v>2650</v>
      </c>
      <c r="G134" s="530" t="s">
        <v>296</v>
      </c>
      <c r="H134" s="531">
        <v>2441</v>
      </c>
      <c r="I134" s="531">
        <v>500</v>
      </c>
      <c r="J134" s="531">
        <v>0</v>
      </c>
      <c r="K134" s="532">
        <v>45843</v>
      </c>
      <c r="L134" s="532">
        <v>46664</v>
      </c>
      <c r="M134" s="530"/>
      <c r="N134" s="531">
        <v>0</v>
      </c>
      <c r="O134" s="533">
        <f t="shared" si="3"/>
        <v>384</v>
      </c>
      <c r="P134" s="534">
        <f t="shared" si="4"/>
        <v>4.0273972602739724E-2</v>
      </c>
      <c r="Q134" s="534">
        <f t="shared" si="5"/>
        <v>15.465205479452054</v>
      </c>
    </row>
    <row r="135" spans="1:17" ht="15" customHeight="1" x14ac:dyDescent="0.25">
      <c r="A135" s="530" t="s">
        <v>680</v>
      </c>
      <c r="B135" s="530" t="s">
        <v>328</v>
      </c>
      <c r="C135" s="531">
        <v>761</v>
      </c>
      <c r="D135" s="530" t="s">
        <v>681</v>
      </c>
      <c r="E135" s="530" t="s">
        <v>682</v>
      </c>
      <c r="F135" s="531">
        <v>1965</v>
      </c>
      <c r="G135" s="530" t="s">
        <v>296</v>
      </c>
      <c r="H135" s="531">
        <v>1789</v>
      </c>
      <c r="I135" s="531">
        <v>1237</v>
      </c>
      <c r="J135" s="531">
        <v>0</v>
      </c>
      <c r="K135" s="532">
        <v>45108</v>
      </c>
      <c r="L135" s="532">
        <v>46295</v>
      </c>
      <c r="M135" s="530"/>
      <c r="N135" s="531">
        <v>-58.68</v>
      </c>
      <c r="O135" s="533">
        <f t="shared" si="3"/>
        <v>1119</v>
      </c>
      <c r="P135" s="534">
        <f t="shared" si="4"/>
        <v>9.9637808219178073E-2</v>
      </c>
      <c r="Q135" s="534">
        <f t="shared" si="5"/>
        <v>111.49470739726026</v>
      </c>
    </row>
    <row r="136" spans="1:17" ht="15" customHeight="1" x14ac:dyDescent="0.25">
      <c r="A136" s="530" t="s">
        <v>683</v>
      </c>
      <c r="B136" s="530" t="s">
        <v>306</v>
      </c>
      <c r="C136" s="531">
        <v>1261</v>
      </c>
      <c r="D136" s="530" t="s">
        <v>684</v>
      </c>
      <c r="E136" s="530" t="s">
        <v>685</v>
      </c>
      <c r="F136" s="531">
        <v>2475</v>
      </c>
      <c r="G136" s="530" t="s">
        <v>296</v>
      </c>
      <c r="H136" s="531">
        <v>2294</v>
      </c>
      <c r="I136" s="531">
        <v>500</v>
      </c>
      <c r="J136" s="531">
        <v>0</v>
      </c>
      <c r="K136" s="532">
        <v>46158</v>
      </c>
      <c r="L136" s="532">
        <v>46583</v>
      </c>
      <c r="M136" s="530"/>
      <c r="N136" s="531">
        <v>0</v>
      </c>
      <c r="O136" s="533">
        <f t="shared" si="3"/>
        <v>69</v>
      </c>
      <c r="P136" s="534">
        <f t="shared" si="4"/>
        <v>4.0273972602739724E-2</v>
      </c>
      <c r="Q136" s="534">
        <f t="shared" si="5"/>
        <v>2.7789041095890408</v>
      </c>
    </row>
    <row r="137" spans="1:17" ht="15" customHeight="1" x14ac:dyDescent="0.25">
      <c r="A137" s="530" t="s">
        <v>14198</v>
      </c>
      <c r="B137" s="530" t="s">
        <v>316</v>
      </c>
      <c r="C137" s="531">
        <v>748</v>
      </c>
      <c r="D137" s="530" t="s">
        <v>14199</v>
      </c>
      <c r="E137" s="530" t="s">
        <v>14200</v>
      </c>
      <c r="F137" s="531">
        <v>2119</v>
      </c>
      <c r="G137" s="530" t="s">
        <v>296</v>
      </c>
      <c r="H137" s="531">
        <v>1951</v>
      </c>
      <c r="I137" s="531">
        <v>0</v>
      </c>
      <c r="J137" s="531">
        <v>0</v>
      </c>
      <c r="K137" s="532">
        <v>46199</v>
      </c>
      <c r="L137" s="532">
        <v>46531</v>
      </c>
      <c r="M137" s="530"/>
      <c r="N137" s="531">
        <v>-6.06</v>
      </c>
      <c r="O137" s="533">
        <f t="shared" si="3"/>
        <v>28</v>
      </c>
      <c r="P137" s="534">
        <f t="shared" si="4"/>
        <v>0</v>
      </c>
      <c r="Q137" s="534">
        <f t="shared" si="5"/>
        <v>0</v>
      </c>
    </row>
    <row r="138" spans="1:17" ht="15" customHeight="1" x14ac:dyDescent="0.25">
      <c r="A138" s="530" t="s">
        <v>686</v>
      </c>
      <c r="B138" s="530" t="s">
        <v>320</v>
      </c>
      <c r="C138" s="531">
        <v>1171</v>
      </c>
      <c r="D138" s="530" t="s">
        <v>687</v>
      </c>
      <c r="E138" s="530" t="s">
        <v>688</v>
      </c>
      <c r="F138" s="531">
        <v>2448</v>
      </c>
      <c r="G138" s="530" t="s">
        <v>296</v>
      </c>
      <c r="H138" s="531">
        <v>2651</v>
      </c>
      <c r="I138" s="531">
        <v>2462</v>
      </c>
      <c r="J138" s="531">
        <v>0</v>
      </c>
      <c r="K138" s="532">
        <v>45839</v>
      </c>
      <c r="L138" s="532">
        <v>46484</v>
      </c>
      <c r="M138" s="530"/>
      <c r="N138" s="531">
        <v>6272.81</v>
      </c>
      <c r="O138" s="533">
        <f t="shared" ref="O138:O201" si="6">(+$G$3-K138 )</f>
        <v>388</v>
      </c>
      <c r="P138" s="534">
        <f t="shared" ref="P138:P201" si="7">(+I138*$G$5)/365</f>
        <v>0.19830904109589043</v>
      </c>
      <c r="Q138" s="534">
        <f t="shared" ref="Q138:Q201" si="8">O138*P138</f>
        <v>76.943907945205481</v>
      </c>
    </row>
    <row r="139" spans="1:17" ht="15" customHeight="1" x14ac:dyDescent="0.25">
      <c r="A139" s="530" t="s">
        <v>689</v>
      </c>
      <c r="B139" s="530" t="s">
        <v>328</v>
      </c>
      <c r="C139" s="531">
        <v>761</v>
      </c>
      <c r="D139" s="530" t="s">
        <v>690</v>
      </c>
      <c r="E139" s="530" t="s">
        <v>691</v>
      </c>
      <c r="F139" s="531">
        <v>2110</v>
      </c>
      <c r="G139" s="530" t="s">
        <v>296</v>
      </c>
      <c r="H139" s="531">
        <v>1802</v>
      </c>
      <c r="I139" s="531">
        <v>500</v>
      </c>
      <c r="J139" s="531">
        <v>0</v>
      </c>
      <c r="K139" s="532">
        <v>44774</v>
      </c>
      <c r="L139" s="532">
        <v>46234</v>
      </c>
      <c r="M139" s="532">
        <v>46234</v>
      </c>
      <c r="N139" s="531">
        <v>0</v>
      </c>
      <c r="O139" s="533">
        <f t="shared" si="6"/>
        <v>1453</v>
      </c>
      <c r="P139" s="534">
        <f t="shared" si="7"/>
        <v>4.0273972602739724E-2</v>
      </c>
      <c r="Q139" s="534">
        <f t="shared" si="8"/>
        <v>58.51808219178082</v>
      </c>
    </row>
    <row r="140" spans="1:17" ht="15" customHeight="1" x14ac:dyDescent="0.25">
      <c r="A140" s="530" t="s">
        <v>692</v>
      </c>
      <c r="B140" s="530" t="s">
        <v>324</v>
      </c>
      <c r="C140" s="531">
        <v>838</v>
      </c>
      <c r="D140" s="530" t="s">
        <v>693</v>
      </c>
      <c r="E140" s="530" t="s">
        <v>694</v>
      </c>
      <c r="F140" s="531">
        <v>2143</v>
      </c>
      <c r="G140" s="530" t="s">
        <v>296</v>
      </c>
      <c r="H140" s="531">
        <v>1708</v>
      </c>
      <c r="I140" s="531">
        <v>500</v>
      </c>
      <c r="J140" s="531">
        <v>0</v>
      </c>
      <c r="K140" s="532">
        <v>45923</v>
      </c>
      <c r="L140" s="532">
        <v>46317</v>
      </c>
      <c r="M140" s="530"/>
      <c r="N140" s="531">
        <v>787.93</v>
      </c>
      <c r="O140" s="533">
        <f t="shared" si="6"/>
        <v>304</v>
      </c>
      <c r="P140" s="534">
        <f t="shared" si="7"/>
        <v>4.0273972602739724E-2</v>
      </c>
      <c r="Q140" s="534">
        <f t="shared" si="8"/>
        <v>12.243287671232876</v>
      </c>
    </row>
    <row r="141" spans="1:17" ht="15" customHeight="1" x14ac:dyDescent="0.25">
      <c r="A141" s="530" t="s">
        <v>695</v>
      </c>
      <c r="B141" s="530" t="s">
        <v>336</v>
      </c>
      <c r="C141" s="531">
        <v>1554</v>
      </c>
      <c r="D141" s="530" t="s">
        <v>696</v>
      </c>
      <c r="E141" s="530" t="s">
        <v>697</v>
      </c>
      <c r="F141" s="531">
        <v>3040</v>
      </c>
      <c r="G141" s="530" t="s">
        <v>296</v>
      </c>
      <c r="H141" s="531">
        <v>2782</v>
      </c>
      <c r="I141" s="531">
        <v>500</v>
      </c>
      <c r="J141" s="531">
        <v>0</v>
      </c>
      <c r="K141" s="532">
        <v>45828</v>
      </c>
      <c r="L141" s="532">
        <v>46557</v>
      </c>
      <c r="M141" s="530"/>
      <c r="N141" s="531">
        <v>0</v>
      </c>
      <c r="O141" s="533">
        <f t="shared" si="6"/>
        <v>399</v>
      </c>
      <c r="P141" s="534">
        <f t="shared" si="7"/>
        <v>4.0273972602739724E-2</v>
      </c>
      <c r="Q141" s="534">
        <f t="shared" si="8"/>
        <v>16.06931506849315</v>
      </c>
    </row>
    <row r="142" spans="1:17" ht="15" customHeight="1" x14ac:dyDescent="0.25">
      <c r="A142" s="530" t="s">
        <v>698</v>
      </c>
      <c r="B142" s="530" t="s">
        <v>328</v>
      </c>
      <c r="C142" s="531">
        <v>761</v>
      </c>
      <c r="D142" s="530" t="s">
        <v>699</v>
      </c>
      <c r="E142" s="530" t="s">
        <v>700</v>
      </c>
      <c r="F142" s="531">
        <v>1965</v>
      </c>
      <c r="G142" s="530" t="s">
        <v>296</v>
      </c>
      <c r="H142" s="531">
        <v>1583</v>
      </c>
      <c r="I142" s="531">
        <v>500</v>
      </c>
      <c r="J142" s="531">
        <v>0</v>
      </c>
      <c r="K142" s="532">
        <v>45975</v>
      </c>
      <c r="L142" s="532">
        <v>46342</v>
      </c>
      <c r="M142" s="530"/>
      <c r="N142" s="531">
        <v>0</v>
      </c>
      <c r="O142" s="533">
        <f t="shared" si="6"/>
        <v>252</v>
      </c>
      <c r="P142" s="534">
        <f t="shared" si="7"/>
        <v>4.0273972602739724E-2</v>
      </c>
      <c r="Q142" s="534">
        <f t="shared" si="8"/>
        <v>10.149041095890411</v>
      </c>
    </row>
    <row r="143" spans="1:17" ht="15" customHeight="1" x14ac:dyDescent="0.25">
      <c r="A143" s="530" t="s">
        <v>701</v>
      </c>
      <c r="B143" s="530" t="s">
        <v>343</v>
      </c>
      <c r="C143" s="531">
        <v>1069</v>
      </c>
      <c r="D143" s="530" t="s">
        <v>702</v>
      </c>
      <c r="E143" s="530" t="s">
        <v>703</v>
      </c>
      <c r="F143" s="531">
        <v>2516</v>
      </c>
      <c r="G143" s="530" t="s">
        <v>296</v>
      </c>
      <c r="H143" s="531">
        <v>2052</v>
      </c>
      <c r="I143" s="531">
        <v>0</v>
      </c>
      <c r="J143" s="531">
        <v>0</v>
      </c>
      <c r="K143" s="532">
        <v>46146</v>
      </c>
      <c r="L143" s="532">
        <v>46510</v>
      </c>
      <c r="M143" s="532">
        <v>46283</v>
      </c>
      <c r="N143" s="531">
        <v>0</v>
      </c>
      <c r="O143" s="533">
        <f t="shared" si="6"/>
        <v>81</v>
      </c>
      <c r="P143" s="534">
        <f t="shared" si="7"/>
        <v>0</v>
      </c>
      <c r="Q143" s="534">
        <f t="shared" si="8"/>
        <v>0</v>
      </c>
    </row>
    <row r="144" spans="1:17" ht="15" customHeight="1" x14ac:dyDescent="0.25">
      <c r="A144" s="530" t="s">
        <v>704</v>
      </c>
      <c r="B144" s="530" t="s">
        <v>328</v>
      </c>
      <c r="C144" s="531">
        <v>761</v>
      </c>
      <c r="D144" s="530" t="s">
        <v>705</v>
      </c>
      <c r="E144" s="530" t="s">
        <v>706</v>
      </c>
      <c r="F144" s="531">
        <v>1885</v>
      </c>
      <c r="G144" s="530" t="s">
        <v>296</v>
      </c>
      <c r="H144" s="531">
        <v>1613</v>
      </c>
      <c r="I144" s="531">
        <v>300</v>
      </c>
      <c r="J144" s="531">
        <v>0</v>
      </c>
      <c r="K144" s="532">
        <v>44254</v>
      </c>
      <c r="L144" s="532">
        <v>46533</v>
      </c>
      <c r="M144" s="530"/>
      <c r="N144" s="531">
        <v>0</v>
      </c>
      <c r="O144" s="533">
        <f t="shared" si="6"/>
        <v>1973</v>
      </c>
      <c r="P144" s="534">
        <f t="shared" si="7"/>
        <v>2.4164383561643837E-2</v>
      </c>
      <c r="Q144" s="534">
        <f t="shared" si="8"/>
        <v>47.676328767123287</v>
      </c>
    </row>
    <row r="145" spans="1:17" ht="15" customHeight="1" x14ac:dyDescent="0.25">
      <c r="A145" s="530" t="s">
        <v>708</v>
      </c>
      <c r="B145" s="530" t="s">
        <v>316</v>
      </c>
      <c r="C145" s="531">
        <v>748</v>
      </c>
      <c r="D145" s="530" t="s">
        <v>709</v>
      </c>
      <c r="E145" s="530" t="s">
        <v>710</v>
      </c>
      <c r="F145" s="531">
        <v>2149</v>
      </c>
      <c r="G145" s="530" t="s">
        <v>296</v>
      </c>
      <c r="H145" s="531">
        <v>1837</v>
      </c>
      <c r="I145" s="531">
        <v>500</v>
      </c>
      <c r="J145" s="531">
        <v>0</v>
      </c>
      <c r="K145" s="532">
        <v>45776</v>
      </c>
      <c r="L145" s="532">
        <v>46535</v>
      </c>
      <c r="M145" s="530"/>
      <c r="N145" s="531">
        <v>0</v>
      </c>
      <c r="O145" s="533">
        <f t="shared" si="6"/>
        <v>451</v>
      </c>
      <c r="P145" s="534">
        <f t="shared" si="7"/>
        <v>4.0273972602739724E-2</v>
      </c>
      <c r="Q145" s="534">
        <f t="shared" si="8"/>
        <v>18.163561643835617</v>
      </c>
    </row>
    <row r="146" spans="1:17" ht="15" customHeight="1" x14ac:dyDescent="0.25">
      <c r="A146" s="530" t="s">
        <v>711</v>
      </c>
      <c r="B146" s="530" t="s">
        <v>357</v>
      </c>
      <c r="C146" s="531">
        <v>808</v>
      </c>
      <c r="D146" s="530" t="s">
        <v>712</v>
      </c>
      <c r="E146" s="530" t="s">
        <v>713</v>
      </c>
      <c r="F146" s="531">
        <v>2175</v>
      </c>
      <c r="G146" s="530" t="s">
        <v>296</v>
      </c>
      <c r="H146" s="531">
        <v>1657</v>
      </c>
      <c r="I146" s="531">
        <v>500</v>
      </c>
      <c r="J146" s="531">
        <v>0</v>
      </c>
      <c r="K146" s="532">
        <v>45843</v>
      </c>
      <c r="L146" s="532">
        <v>46269</v>
      </c>
      <c r="M146" s="532">
        <v>46269</v>
      </c>
      <c r="N146" s="531">
        <v>0</v>
      </c>
      <c r="O146" s="533">
        <f t="shared" si="6"/>
        <v>384</v>
      </c>
      <c r="P146" s="534">
        <f t="shared" si="7"/>
        <v>4.0273972602739724E-2</v>
      </c>
      <c r="Q146" s="534">
        <f t="shared" si="8"/>
        <v>15.465205479452054</v>
      </c>
    </row>
    <row r="147" spans="1:17" ht="15" customHeight="1" x14ac:dyDescent="0.25">
      <c r="A147" s="530" t="s">
        <v>714</v>
      </c>
      <c r="B147" s="530" t="s">
        <v>316</v>
      </c>
      <c r="C147" s="531">
        <v>748</v>
      </c>
      <c r="D147" s="530" t="s">
        <v>715</v>
      </c>
      <c r="E147" s="530" t="s">
        <v>716</v>
      </c>
      <c r="F147" s="531">
        <v>2119</v>
      </c>
      <c r="G147" s="530" t="s">
        <v>296</v>
      </c>
      <c r="H147" s="531">
        <v>1769</v>
      </c>
      <c r="I147" s="531">
        <v>3436</v>
      </c>
      <c r="J147" s="531">
        <v>0</v>
      </c>
      <c r="K147" s="532">
        <v>45525</v>
      </c>
      <c r="L147" s="532">
        <v>46248</v>
      </c>
      <c r="M147" s="530"/>
      <c r="N147" s="531">
        <v>0</v>
      </c>
      <c r="O147" s="533">
        <f t="shared" si="6"/>
        <v>702</v>
      </c>
      <c r="P147" s="534">
        <f t="shared" si="7"/>
        <v>0.27676273972602738</v>
      </c>
      <c r="Q147" s="534">
        <f t="shared" si="8"/>
        <v>194.28744328767124</v>
      </c>
    </row>
    <row r="148" spans="1:17" ht="15" customHeight="1" x14ac:dyDescent="0.25">
      <c r="A148" s="530" t="s">
        <v>717</v>
      </c>
      <c r="B148" s="530" t="s">
        <v>320</v>
      </c>
      <c r="C148" s="531">
        <v>1171</v>
      </c>
      <c r="D148" s="530" t="s">
        <v>718</v>
      </c>
      <c r="E148" s="530" t="s">
        <v>719</v>
      </c>
      <c r="F148" s="531">
        <v>2468</v>
      </c>
      <c r="G148" s="530" t="s">
        <v>296</v>
      </c>
      <c r="H148" s="531">
        <v>2244</v>
      </c>
      <c r="I148" s="531">
        <v>500</v>
      </c>
      <c r="J148" s="531">
        <v>0</v>
      </c>
      <c r="K148" s="532">
        <v>45730</v>
      </c>
      <c r="L148" s="532">
        <v>46643</v>
      </c>
      <c r="M148" s="530"/>
      <c r="N148" s="531">
        <v>0</v>
      </c>
      <c r="O148" s="533">
        <f t="shared" si="6"/>
        <v>497</v>
      </c>
      <c r="P148" s="534">
        <f t="shared" si="7"/>
        <v>4.0273972602739724E-2</v>
      </c>
      <c r="Q148" s="534">
        <f t="shared" si="8"/>
        <v>20.016164383561645</v>
      </c>
    </row>
    <row r="149" spans="1:17" ht="15" customHeight="1" x14ac:dyDescent="0.25">
      <c r="A149" s="530" t="s">
        <v>720</v>
      </c>
      <c r="B149" s="530" t="s">
        <v>367</v>
      </c>
      <c r="C149" s="531">
        <v>702</v>
      </c>
      <c r="D149" s="530" t="s">
        <v>721</v>
      </c>
      <c r="E149" s="530" t="s">
        <v>722</v>
      </c>
      <c r="F149" s="531">
        <v>1796</v>
      </c>
      <c r="G149" s="530" t="s">
        <v>296</v>
      </c>
      <c r="H149" s="531">
        <v>1320</v>
      </c>
      <c r="I149" s="531">
        <v>500</v>
      </c>
      <c r="J149" s="531">
        <v>0</v>
      </c>
      <c r="K149" s="532">
        <v>45047</v>
      </c>
      <c r="L149" s="532">
        <v>46265</v>
      </c>
      <c r="M149" s="532">
        <v>46234</v>
      </c>
      <c r="N149" s="531">
        <v>0</v>
      </c>
      <c r="O149" s="533">
        <f t="shared" si="6"/>
        <v>1180</v>
      </c>
      <c r="P149" s="534">
        <f t="shared" si="7"/>
        <v>4.0273972602739724E-2</v>
      </c>
      <c r="Q149" s="534">
        <f t="shared" si="8"/>
        <v>47.523287671232872</v>
      </c>
    </row>
    <row r="150" spans="1:17" ht="15" customHeight="1" x14ac:dyDescent="0.25">
      <c r="A150" s="530" t="s">
        <v>723</v>
      </c>
      <c r="B150" s="530" t="s">
        <v>724</v>
      </c>
      <c r="C150" s="531">
        <v>885</v>
      </c>
      <c r="D150" s="530" t="s">
        <v>725</v>
      </c>
      <c r="E150" s="530" t="s">
        <v>726</v>
      </c>
      <c r="F150" s="531">
        <v>1948</v>
      </c>
      <c r="G150" s="530" t="s">
        <v>296</v>
      </c>
      <c r="H150" s="531">
        <v>1766</v>
      </c>
      <c r="I150" s="531">
        <v>500</v>
      </c>
      <c r="J150" s="531">
        <v>0</v>
      </c>
      <c r="K150" s="532">
        <v>45887</v>
      </c>
      <c r="L150" s="532">
        <v>46251</v>
      </c>
      <c r="M150" s="530"/>
      <c r="N150" s="531">
        <v>8.32</v>
      </c>
      <c r="O150" s="533">
        <f t="shared" si="6"/>
        <v>340</v>
      </c>
      <c r="P150" s="534">
        <f t="shared" si="7"/>
        <v>4.0273972602739724E-2</v>
      </c>
      <c r="Q150" s="534">
        <f t="shared" si="8"/>
        <v>13.693150684931506</v>
      </c>
    </row>
    <row r="151" spans="1:17" ht="15" customHeight="1" x14ac:dyDescent="0.25">
      <c r="A151" s="530" t="s">
        <v>727</v>
      </c>
      <c r="B151" s="530" t="s">
        <v>306</v>
      </c>
      <c r="C151" s="531">
        <v>1261</v>
      </c>
      <c r="D151" s="530" t="s">
        <v>728</v>
      </c>
      <c r="E151" s="530" t="s">
        <v>729</v>
      </c>
      <c r="F151" s="531">
        <v>2425</v>
      </c>
      <c r="G151" s="530" t="s">
        <v>296</v>
      </c>
      <c r="H151" s="531">
        <v>2147</v>
      </c>
      <c r="I151" s="531">
        <v>500</v>
      </c>
      <c r="J151" s="531">
        <v>0</v>
      </c>
      <c r="K151" s="532">
        <v>45497</v>
      </c>
      <c r="L151" s="532">
        <v>46288</v>
      </c>
      <c r="M151" s="532">
        <v>46288</v>
      </c>
      <c r="N151" s="531">
        <v>0</v>
      </c>
      <c r="O151" s="533">
        <f t="shared" si="6"/>
        <v>730</v>
      </c>
      <c r="P151" s="534">
        <f t="shared" si="7"/>
        <v>4.0273972602739724E-2</v>
      </c>
      <c r="Q151" s="534">
        <f t="shared" si="8"/>
        <v>29.4</v>
      </c>
    </row>
    <row r="152" spans="1:17" ht="15" customHeight="1" x14ac:dyDescent="0.25">
      <c r="A152" s="530" t="s">
        <v>730</v>
      </c>
      <c r="B152" s="530" t="s">
        <v>378</v>
      </c>
      <c r="C152" s="531">
        <v>845</v>
      </c>
      <c r="D152" s="530" t="s">
        <v>731</v>
      </c>
      <c r="E152" s="530" t="s">
        <v>732</v>
      </c>
      <c r="F152" s="531">
        <v>1851</v>
      </c>
      <c r="G152" s="530" t="s">
        <v>296</v>
      </c>
      <c r="H152" s="531">
        <v>1590</v>
      </c>
      <c r="I152" s="531">
        <v>0</v>
      </c>
      <c r="J152" s="531">
        <v>0</v>
      </c>
      <c r="K152" s="532">
        <v>46185</v>
      </c>
      <c r="L152" s="532">
        <v>46643</v>
      </c>
      <c r="M152" s="530"/>
      <c r="N152" s="531">
        <v>0</v>
      </c>
      <c r="O152" s="533">
        <f t="shared" si="6"/>
        <v>42</v>
      </c>
      <c r="P152" s="534">
        <f t="shared" si="7"/>
        <v>0</v>
      </c>
      <c r="Q152" s="534">
        <f t="shared" si="8"/>
        <v>0</v>
      </c>
    </row>
    <row r="153" spans="1:17" ht="15" customHeight="1" x14ac:dyDescent="0.25">
      <c r="A153" s="530" t="s">
        <v>733</v>
      </c>
      <c r="B153" s="530" t="s">
        <v>324</v>
      </c>
      <c r="C153" s="531">
        <v>838</v>
      </c>
      <c r="D153" s="530" t="s">
        <v>734</v>
      </c>
      <c r="E153" s="530" t="s">
        <v>735</v>
      </c>
      <c r="F153" s="531">
        <v>2013</v>
      </c>
      <c r="G153" s="530" t="s">
        <v>296</v>
      </c>
      <c r="H153" s="531">
        <v>1622</v>
      </c>
      <c r="I153" s="531">
        <v>500</v>
      </c>
      <c r="J153" s="531">
        <v>0</v>
      </c>
      <c r="K153" s="532">
        <v>45383</v>
      </c>
      <c r="L153" s="532">
        <v>46568</v>
      </c>
      <c r="M153" s="530"/>
      <c r="N153" s="531">
        <v>0</v>
      </c>
      <c r="O153" s="533">
        <f t="shared" si="6"/>
        <v>844</v>
      </c>
      <c r="P153" s="534">
        <f t="shared" si="7"/>
        <v>4.0273972602739724E-2</v>
      </c>
      <c r="Q153" s="534">
        <f t="shared" si="8"/>
        <v>33.991232876712324</v>
      </c>
    </row>
    <row r="154" spans="1:17" ht="15" customHeight="1" x14ac:dyDescent="0.25">
      <c r="A154" s="530" t="s">
        <v>736</v>
      </c>
      <c r="B154" s="530" t="s">
        <v>385</v>
      </c>
      <c r="C154" s="531">
        <v>843</v>
      </c>
      <c r="D154" s="530" t="s">
        <v>737</v>
      </c>
      <c r="E154" s="530" t="s">
        <v>738</v>
      </c>
      <c r="F154" s="531">
        <v>2005</v>
      </c>
      <c r="G154" s="530" t="s">
        <v>296</v>
      </c>
      <c r="H154" s="531">
        <v>1571</v>
      </c>
      <c r="I154" s="531">
        <v>500</v>
      </c>
      <c r="J154" s="531">
        <v>0</v>
      </c>
      <c r="K154" s="532">
        <v>45063</v>
      </c>
      <c r="L154" s="532">
        <v>46554</v>
      </c>
      <c r="M154" s="530"/>
      <c r="N154" s="531">
        <v>0</v>
      </c>
      <c r="O154" s="533">
        <f t="shared" si="6"/>
        <v>1164</v>
      </c>
      <c r="P154" s="534">
        <f t="shared" si="7"/>
        <v>4.0273972602739724E-2</v>
      </c>
      <c r="Q154" s="534">
        <f t="shared" si="8"/>
        <v>46.878904109589037</v>
      </c>
    </row>
    <row r="155" spans="1:17" ht="15" customHeight="1" x14ac:dyDescent="0.25">
      <c r="A155" s="530" t="s">
        <v>739</v>
      </c>
      <c r="B155" s="530" t="s">
        <v>328</v>
      </c>
      <c r="C155" s="531">
        <v>761</v>
      </c>
      <c r="D155" s="530" t="s">
        <v>740</v>
      </c>
      <c r="E155" s="530" t="s">
        <v>741</v>
      </c>
      <c r="F155" s="531">
        <v>2160</v>
      </c>
      <c r="G155" s="530" t="s">
        <v>296</v>
      </c>
      <c r="H155" s="531">
        <v>1601</v>
      </c>
      <c r="I155" s="531">
        <v>500</v>
      </c>
      <c r="J155" s="531">
        <v>0</v>
      </c>
      <c r="K155" s="532">
        <v>45952</v>
      </c>
      <c r="L155" s="532">
        <v>46408</v>
      </c>
      <c r="M155" s="530"/>
      <c r="N155" s="531">
        <v>0</v>
      </c>
      <c r="O155" s="533">
        <f t="shared" si="6"/>
        <v>275</v>
      </c>
      <c r="P155" s="534">
        <f t="shared" si="7"/>
        <v>4.0273972602739724E-2</v>
      </c>
      <c r="Q155" s="534">
        <f t="shared" si="8"/>
        <v>11.075342465753424</v>
      </c>
    </row>
    <row r="156" spans="1:17" ht="15" customHeight="1" x14ac:dyDescent="0.25">
      <c r="A156" s="530" t="s">
        <v>742</v>
      </c>
      <c r="B156" s="530" t="s">
        <v>378</v>
      </c>
      <c r="C156" s="531">
        <v>845</v>
      </c>
      <c r="D156" s="530" t="s">
        <v>743</v>
      </c>
      <c r="E156" s="530" t="s">
        <v>744</v>
      </c>
      <c r="F156" s="531">
        <v>1901</v>
      </c>
      <c r="G156" s="530" t="s">
        <v>296</v>
      </c>
      <c r="H156" s="531">
        <v>1585</v>
      </c>
      <c r="I156" s="531">
        <v>300</v>
      </c>
      <c r="J156" s="531">
        <v>0</v>
      </c>
      <c r="K156" s="532">
        <v>44620</v>
      </c>
      <c r="L156" s="532">
        <v>46230</v>
      </c>
      <c r="M156" s="530"/>
      <c r="N156" s="531">
        <v>0</v>
      </c>
      <c r="O156" s="533">
        <f t="shared" si="6"/>
        <v>1607</v>
      </c>
      <c r="P156" s="534">
        <f t="shared" si="7"/>
        <v>2.4164383561643837E-2</v>
      </c>
      <c r="Q156" s="534">
        <f t="shared" si="8"/>
        <v>38.832164383561647</v>
      </c>
    </row>
    <row r="157" spans="1:17" ht="15" customHeight="1" x14ac:dyDescent="0.25">
      <c r="A157" s="530" t="s">
        <v>745</v>
      </c>
      <c r="B157" s="530" t="s">
        <v>328</v>
      </c>
      <c r="C157" s="531">
        <v>761</v>
      </c>
      <c r="D157" s="530" t="s">
        <v>746</v>
      </c>
      <c r="E157" s="530" t="s">
        <v>747</v>
      </c>
      <c r="F157" s="531">
        <v>1965</v>
      </c>
      <c r="G157" s="530" t="s">
        <v>296</v>
      </c>
      <c r="H157" s="531">
        <v>1451</v>
      </c>
      <c r="I157" s="531">
        <v>500</v>
      </c>
      <c r="J157" s="531">
        <v>0</v>
      </c>
      <c r="K157" s="532">
        <v>45099</v>
      </c>
      <c r="L157" s="532">
        <v>46286</v>
      </c>
      <c r="M157" s="530"/>
      <c r="N157" s="531">
        <v>0</v>
      </c>
      <c r="O157" s="533">
        <f t="shared" si="6"/>
        <v>1128</v>
      </c>
      <c r="P157" s="534">
        <f t="shared" si="7"/>
        <v>4.0273972602739724E-2</v>
      </c>
      <c r="Q157" s="534">
        <f t="shared" si="8"/>
        <v>45.429041095890412</v>
      </c>
    </row>
    <row r="158" spans="1:17" ht="15" customHeight="1" x14ac:dyDescent="0.25">
      <c r="A158" s="530" t="s">
        <v>748</v>
      </c>
      <c r="B158" s="530" t="s">
        <v>306</v>
      </c>
      <c r="C158" s="531">
        <v>1261</v>
      </c>
      <c r="D158" s="530" t="s">
        <v>749</v>
      </c>
      <c r="E158" s="530" t="s">
        <v>750</v>
      </c>
      <c r="F158" s="531">
        <v>2600</v>
      </c>
      <c r="G158" s="530" t="s">
        <v>296</v>
      </c>
      <c r="H158" s="531">
        <v>2216</v>
      </c>
      <c r="I158" s="531">
        <v>2216</v>
      </c>
      <c r="J158" s="531">
        <v>0</v>
      </c>
      <c r="K158" s="532">
        <v>45993</v>
      </c>
      <c r="L158" s="532">
        <v>46419</v>
      </c>
      <c r="M158" s="530"/>
      <c r="N158" s="531">
        <v>0</v>
      </c>
      <c r="O158" s="533">
        <f t="shared" si="6"/>
        <v>234</v>
      </c>
      <c r="P158" s="534">
        <f t="shared" si="7"/>
        <v>0.17849424657534249</v>
      </c>
      <c r="Q158" s="534">
        <f t="shared" si="8"/>
        <v>41.767653698630141</v>
      </c>
    </row>
    <row r="159" spans="1:17" ht="15" customHeight="1" x14ac:dyDescent="0.25">
      <c r="A159" s="530" t="s">
        <v>751</v>
      </c>
      <c r="B159" s="530" t="s">
        <v>320</v>
      </c>
      <c r="C159" s="531">
        <v>1171</v>
      </c>
      <c r="D159" s="530" t="s">
        <v>752</v>
      </c>
      <c r="E159" s="530" t="s">
        <v>753</v>
      </c>
      <c r="F159" s="531">
        <v>2493</v>
      </c>
      <c r="G159" s="530" t="s">
        <v>296</v>
      </c>
      <c r="H159" s="531">
        <v>2163</v>
      </c>
      <c r="I159" s="531">
        <v>300</v>
      </c>
      <c r="J159" s="531">
        <v>0</v>
      </c>
      <c r="K159" s="532">
        <v>44074</v>
      </c>
      <c r="L159" s="532">
        <v>46356</v>
      </c>
      <c r="M159" s="530"/>
      <c r="N159" s="531">
        <v>0</v>
      </c>
      <c r="O159" s="533">
        <f t="shared" si="6"/>
        <v>2153</v>
      </c>
      <c r="P159" s="534">
        <f t="shared" si="7"/>
        <v>2.4164383561643837E-2</v>
      </c>
      <c r="Q159" s="534">
        <f t="shared" si="8"/>
        <v>52.025917808219184</v>
      </c>
    </row>
    <row r="160" spans="1:17" ht="15" customHeight="1" x14ac:dyDescent="0.25">
      <c r="A160" s="530" t="s">
        <v>754</v>
      </c>
      <c r="B160" s="530" t="s">
        <v>306</v>
      </c>
      <c r="C160" s="531">
        <v>1261</v>
      </c>
      <c r="D160" s="530" t="s">
        <v>755</v>
      </c>
      <c r="E160" s="530" t="s">
        <v>756</v>
      </c>
      <c r="F160" s="531">
        <v>2555</v>
      </c>
      <c r="G160" s="530" t="s">
        <v>296</v>
      </c>
      <c r="H160" s="531">
        <v>2540</v>
      </c>
      <c r="I160" s="531">
        <v>500</v>
      </c>
      <c r="J160" s="531">
        <v>0</v>
      </c>
      <c r="K160" s="532">
        <v>44725</v>
      </c>
      <c r="L160" s="532">
        <v>46550</v>
      </c>
      <c r="M160" s="530"/>
      <c r="N160" s="531">
        <v>0</v>
      </c>
      <c r="O160" s="533">
        <f t="shared" si="6"/>
        <v>1502</v>
      </c>
      <c r="P160" s="534">
        <f t="shared" si="7"/>
        <v>4.0273972602739724E-2</v>
      </c>
      <c r="Q160" s="534">
        <f t="shared" si="8"/>
        <v>60.491506849315066</v>
      </c>
    </row>
    <row r="161" spans="1:17" ht="15" customHeight="1" x14ac:dyDescent="0.25">
      <c r="A161" s="530" t="s">
        <v>757</v>
      </c>
      <c r="B161" s="530" t="s">
        <v>320</v>
      </c>
      <c r="C161" s="531">
        <v>1171</v>
      </c>
      <c r="D161" s="530" t="s">
        <v>758</v>
      </c>
      <c r="E161" s="530" t="s">
        <v>759</v>
      </c>
      <c r="F161" s="531">
        <v>2318</v>
      </c>
      <c r="G161" s="530" t="s">
        <v>296</v>
      </c>
      <c r="H161" s="531">
        <v>2337</v>
      </c>
      <c r="I161" s="531">
        <v>4320</v>
      </c>
      <c r="J161" s="531">
        <v>0</v>
      </c>
      <c r="K161" s="532">
        <v>44604</v>
      </c>
      <c r="L161" s="532">
        <v>46429</v>
      </c>
      <c r="M161" s="530"/>
      <c r="N161" s="531">
        <v>0</v>
      </c>
      <c r="O161" s="533">
        <f t="shared" si="6"/>
        <v>1623</v>
      </c>
      <c r="P161" s="534">
        <f t="shared" si="7"/>
        <v>0.34796712328767121</v>
      </c>
      <c r="Q161" s="534">
        <f t="shared" si="8"/>
        <v>564.75064109589039</v>
      </c>
    </row>
    <row r="162" spans="1:17" ht="18" customHeight="1" x14ac:dyDescent="0.25">
      <c r="A162" s="530" t="s">
        <v>760</v>
      </c>
      <c r="B162" s="530" t="s">
        <v>357</v>
      </c>
      <c r="C162" s="531">
        <v>808</v>
      </c>
      <c r="D162" s="530" t="s">
        <v>761</v>
      </c>
      <c r="E162" s="530" t="s">
        <v>762</v>
      </c>
      <c r="F162" s="531">
        <v>2000</v>
      </c>
      <c r="G162" s="530" t="s">
        <v>296</v>
      </c>
      <c r="H162" s="531">
        <v>1583</v>
      </c>
      <c r="I162" s="531">
        <v>1583</v>
      </c>
      <c r="J162" s="531">
        <v>0</v>
      </c>
      <c r="K162" s="532">
        <v>45980</v>
      </c>
      <c r="L162" s="532">
        <v>46405</v>
      </c>
      <c r="M162" s="530"/>
      <c r="N162" s="531">
        <v>0</v>
      </c>
      <c r="O162" s="533">
        <f t="shared" si="6"/>
        <v>247</v>
      </c>
      <c r="P162" s="534">
        <f t="shared" si="7"/>
        <v>0.12750739726027396</v>
      </c>
      <c r="Q162" s="534">
        <f t="shared" si="8"/>
        <v>31.494327123287668</v>
      </c>
    </row>
    <row r="163" spans="1:17" ht="15" customHeight="1" x14ac:dyDescent="0.25">
      <c r="A163" s="530" t="s">
        <v>763</v>
      </c>
      <c r="B163" s="530" t="s">
        <v>328</v>
      </c>
      <c r="C163" s="531">
        <v>761</v>
      </c>
      <c r="D163" s="530" t="s">
        <v>764</v>
      </c>
      <c r="E163" s="530" t="s">
        <v>765</v>
      </c>
      <c r="F163" s="531">
        <v>1885</v>
      </c>
      <c r="G163" s="530" t="s">
        <v>296</v>
      </c>
      <c r="H163" s="531">
        <v>1614</v>
      </c>
      <c r="I163" s="531">
        <v>3032</v>
      </c>
      <c r="J163" s="531">
        <v>0</v>
      </c>
      <c r="K163" s="532">
        <v>45355</v>
      </c>
      <c r="L163" s="532">
        <v>46510</v>
      </c>
      <c r="M163" s="530"/>
      <c r="N163" s="531">
        <v>0</v>
      </c>
      <c r="O163" s="533">
        <f t="shared" si="6"/>
        <v>872</v>
      </c>
      <c r="P163" s="534">
        <f t="shared" si="7"/>
        <v>0.24422136986301368</v>
      </c>
      <c r="Q163" s="534">
        <f t="shared" si="8"/>
        <v>212.96103452054794</v>
      </c>
    </row>
    <row r="164" spans="1:17" ht="15" customHeight="1" x14ac:dyDescent="0.25">
      <c r="A164" s="530" t="s">
        <v>766</v>
      </c>
      <c r="B164" s="530" t="s">
        <v>336</v>
      </c>
      <c r="C164" s="531">
        <v>1554</v>
      </c>
      <c r="D164" s="530" t="s">
        <v>767</v>
      </c>
      <c r="E164" s="530" t="s">
        <v>768</v>
      </c>
      <c r="F164" s="531">
        <v>2865</v>
      </c>
      <c r="G164" s="530" t="s">
        <v>296</v>
      </c>
      <c r="H164" s="531">
        <v>2730</v>
      </c>
      <c r="I164" s="531">
        <v>300</v>
      </c>
      <c r="J164" s="531">
        <v>0</v>
      </c>
      <c r="K164" s="532">
        <v>44106</v>
      </c>
      <c r="L164" s="532">
        <v>46357</v>
      </c>
      <c r="M164" s="530"/>
      <c r="N164" s="531">
        <v>0</v>
      </c>
      <c r="O164" s="533">
        <f t="shared" si="6"/>
        <v>2121</v>
      </c>
      <c r="P164" s="534">
        <f t="shared" si="7"/>
        <v>2.4164383561643837E-2</v>
      </c>
      <c r="Q164" s="534">
        <f t="shared" si="8"/>
        <v>51.25265753424658</v>
      </c>
    </row>
    <row r="165" spans="1:17" ht="15" customHeight="1" x14ac:dyDescent="0.25">
      <c r="A165" s="530" t="s">
        <v>769</v>
      </c>
      <c r="B165" s="530" t="s">
        <v>328</v>
      </c>
      <c r="C165" s="531">
        <v>761</v>
      </c>
      <c r="D165" s="530" t="s">
        <v>770</v>
      </c>
      <c r="E165" s="530" t="s">
        <v>771</v>
      </c>
      <c r="F165" s="531">
        <v>2060</v>
      </c>
      <c r="G165" s="530" t="s">
        <v>296</v>
      </c>
      <c r="H165" s="531">
        <v>1978</v>
      </c>
      <c r="I165" s="531">
        <v>0</v>
      </c>
      <c r="J165" s="531">
        <v>0</v>
      </c>
      <c r="K165" s="532">
        <v>46193</v>
      </c>
      <c r="L165" s="532">
        <v>46531</v>
      </c>
      <c r="M165" s="530"/>
      <c r="N165" s="531">
        <v>-162.88</v>
      </c>
      <c r="O165" s="533">
        <f t="shared" si="6"/>
        <v>34</v>
      </c>
      <c r="P165" s="534">
        <f t="shared" si="7"/>
        <v>0</v>
      </c>
      <c r="Q165" s="534">
        <f t="shared" si="8"/>
        <v>0</v>
      </c>
    </row>
    <row r="166" spans="1:17" ht="15" customHeight="1" x14ac:dyDescent="0.25">
      <c r="A166" s="530" t="s">
        <v>772</v>
      </c>
      <c r="B166" s="530" t="s">
        <v>411</v>
      </c>
      <c r="C166" s="531">
        <v>1415</v>
      </c>
      <c r="D166" s="530" t="s">
        <v>773</v>
      </c>
      <c r="E166" s="530" t="s">
        <v>774</v>
      </c>
      <c r="F166" s="531">
        <v>3092</v>
      </c>
      <c r="G166" s="530" t="s">
        <v>296</v>
      </c>
      <c r="H166" s="531">
        <v>2526</v>
      </c>
      <c r="I166" s="531">
        <v>300</v>
      </c>
      <c r="J166" s="531">
        <v>0</v>
      </c>
      <c r="K166" s="532">
        <v>43781</v>
      </c>
      <c r="L166" s="532">
        <v>46398</v>
      </c>
      <c r="M166" s="530"/>
      <c r="N166" s="531">
        <v>0</v>
      </c>
      <c r="O166" s="533">
        <f t="shared" si="6"/>
        <v>2446</v>
      </c>
      <c r="P166" s="534">
        <f t="shared" si="7"/>
        <v>2.4164383561643837E-2</v>
      </c>
      <c r="Q166" s="534">
        <f t="shared" si="8"/>
        <v>59.106082191780821</v>
      </c>
    </row>
    <row r="167" spans="1:17" ht="15" customHeight="1" x14ac:dyDescent="0.25">
      <c r="A167" s="530" t="s">
        <v>775</v>
      </c>
      <c r="B167" s="530" t="s">
        <v>417</v>
      </c>
      <c r="C167" s="531">
        <v>1310</v>
      </c>
      <c r="D167" s="530" t="s">
        <v>776</v>
      </c>
      <c r="E167" s="530" t="s">
        <v>777</v>
      </c>
      <c r="F167" s="531">
        <v>2669</v>
      </c>
      <c r="G167" s="530" t="s">
        <v>296</v>
      </c>
      <c r="H167" s="531">
        <v>2280</v>
      </c>
      <c r="I167" s="531">
        <v>500</v>
      </c>
      <c r="J167" s="531">
        <v>0</v>
      </c>
      <c r="K167" s="532">
        <v>45208</v>
      </c>
      <c r="L167" s="532">
        <v>46395</v>
      </c>
      <c r="M167" s="530"/>
      <c r="N167" s="531">
        <v>0</v>
      </c>
      <c r="O167" s="533">
        <f t="shared" si="6"/>
        <v>1019</v>
      </c>
      <c r="P167" s="534">
        <f t="shared" si="7"/>
        <v>4.0273972602739724E-2</v>
      </c>
      <c r="Q167" s="534">
        <f t="shared" si="8"/>
        <v>41.039178082191782</v>
      </c>
    </row>
    <row r="168" spans="1:17" ht="15" customHeight="1" x14ac:dyDescent="0.25">
      <c r="A168" s="530" t="s">
        <v>778</v>
      </c>
      <c r="B168" s="530" t="s">
        <v>421</v>
      </c>
      <c r="C168" s="531">
        <v>1068</v>
      </c>
      <c r="D168" s="530" t="s">
        <v>779</v>
      </c>
      <c r="E168" s="530" t="s">
        <v>780</v>
      </c>
      <c r="F168" s="531">
        <v>3200</v>
      </c>
      <c r="G168" s="530" t="s">
        <v>296</v>
      </c>
      <c r="H168" s="531">
        <v>2160</v>
      </c>
      <c r="I168" s="531">
        <v>500</v>
      </c>
      <c r="J168" s="531">
        <v>0</v>
      </c>
      <c r="K168" s="532">
        <v>46088</v>
      </c>
      <c r="L168" s="532">
        <v>46452</v>
      </c>
      <c r="M168" s="530"/>
      <c r="N168" s="531">
        <v>0</v>
      </c>
      <c r="O168" s="533">
        <f t="shared" si="6"/>
        <v>139</v>
      </c>
      <c r="P168" s="534">
        <f t="shared" si="7"/>
        <v>4.0273972602739724E-2</v>
      </c>
      <c r="Q168" s="534">
        <f t="shared" si="8"/>
        <v>5.5980821917808221</v>
      </c>
    </row>
    <row r="169" spans="1:17" ht="15" customHeight="1" x14ac:dyDescent="0.25">
      <c r="A169" s="530" t="s">
        <v>781</v>
      </c>
      <c r="B169" s="530" t="s">
        <v>423</v>
      </c>
      <c r="C169" s="531">
        <v>1613</v>
      </c>
      <c r="D169" s="530" t="s">
        <v>782</v>
      </c>
      <c r="E169" s="530" t="s">
        <v>783</v>
      </c>
      <c r="F169" s="531">
        <v>3330</v>
      </c>
      <c r="G169" s="530" t="s">
        <v>296</v>
      </c>
      <c r="H169" s="531">
        <v>2879</v>
      </c>
      <c r="I169" s="531">
        <v>700</v>
      </c>
      <c r="J169" s="531">
        <v>0</v>
      </c>
      <c r="K169" s="532">
        <v>45129</v>
      </c>
      <c r="L169" s="532">
        <v>46286</v>
      </c>
      <c r="M169" s="530"/>
      <c r="N169" s="531">
        <v>0</v>
      </c>
      <c r="O169" s="533">
        <f t="shared" si="6"/>
        <v>1098</v>
      </c>
      <c r="P169" s="534">
        <f t="shared" si="7"/>
        <v>5.6383561643835609E-2</v>
      </c>
      <c r="Q169" s="534">
        <f t="shared" si="8"/>
        <v>61.909150684931497</v>
      </c>
    </row>
    <row r="170" spans="1:17" ht="15" customHeight="1" x14ac:dyDescent="0.25">
      <c r="A170" s="530" t="s">
        <v>784</v>
      </c>
      <c r="B170" s="530" t="s">
        <v>427</v>
      </c>
      <c r="C170" s="531">
        <v>1307</v>
      </c>
      <c r="D170" s="530" t="s">
        <v>785</v>
      </c>
      <c r="E170" s="530" t="s">
        <v>786</v>
      </c>
      <c r="F170" s="531">
        <v>2544</v>
      </c>
      <c r="G170" s="530" t="s">
        <v>296</v>
      </c>
      <c r="H170" s="531">
        <v>2002</v>
      </c>
      <c r="I170" s="531">
        <v>500</v>
      </c>
      <c r="J170" s="531">
        <v>0</v>
      </c>
      <c r="K170" s="532">
        <v>46127</v>
      </c>
      <c r="L170" s="532">
        <v>46491</v>
      </c>
      <c r="M170" s="530"/>
      <c r="N170" s="531">
        <v>0</v>
      </c>
      <c r="O170" s="533">
        <f t="shared" si="6"/>
        <v>100</v>
      </c>
      <c r="P170" s="534">
        <f t="shared" si="7"/>
        <v>4.0273972602739724E-2</v>
      </c>
      <c r="Q170" s="534">
        <f t="shared" si="8"/>
        <v>4.0273972602739727</v>
      </c>
    </row>
    <row r="171" spans="1:17" ht="15" customHeight="1" x14ac:dyDescent="0.25">
      <c r="A171" s="530" t="s">
        <v>787</v>
      </c>
      <c r="B171" s="530" t="s">
        <v>788</v>
      </c>
      <c r="C171" s="531">
        <v>1559</v>
      </c>
      <c r="D171" s="530" t="s">
        <v>789</v>
      </c>
      <c r="E171" s="530" t="s">
        <v>790</v>
      </c>
      <c r="F171" s="531">
        <v>2742</v>
      </c>
      <c r="G171" s="530" t="s">
        <v>296</v>
      </c>
      <c r="H171" s="531">
        <v>2440</v>
      </c>
      <c r="I171" s="531">
        <v>0</v>
      </c>
      <c r="J171" s="531">
        <v>0</v>
      </c>
      <c r="K171" s="532">
        <v>45989</v>
      </c>
      <c r="L171" s="532">
        <v>46387</v>
      </c>
      <c r="M171" s="530"/>
      <c r="N171" s="531">
        <v>0</v>
      </c>
      <c r="O171" s="533">
        <f t="shared" si="6"/>
        <v>238</v>
      </c>
      <c r="P171" s="534">
        <f t="shared" si="7"/>
        <v>0</v>
      </c>
      <c r="Q171" s="534">
        <f t="shared" si="8"/>
        <v>0</v>
      </c>
    </row>
    <row r="172" spans="1:17" ht="15" customHeight="1" x14ac:dyDescent="0.25">
      <c r="A172" s="530" t="s">
        <v>791</v>
      </c>
      <c r="B172" s="530" t="s">
        <v>788</v>
      </c>
      <c r="C172" s="531">
        <v>1559</v>
      </c>
      <c r="D172" s="530" t="s">
        <v>792</v>
      </c>
      <c r="E172" s="530" t="s">
        <v>793</v>
      </c>
      <c r="F172" s="531">
        <v>2767</v>
      </c>
      <c r="G172" s="530" t="s">
        <v>331</v>
      </c>
      <c r="H172" s="531">
        <v>2159</v>
      </c>
      <c r="I172" s="531">
        <v>500</v>
      </c>
      <c r="J172" s="531">
        <v>0</v>
      </c>
      <c r="K172" s="532">
        <v>45731</v>
      </c>
      <c r="L172" s="532">
        <v>46477</v>
      </c>
      <c r="M172" s="530"/>
      <c r="N172" s="531">
        <v>822.69</v>
      </c>
      <c r="O172" s="533">
        <f t="shared" si="6"/>
        <v>496</v>
      </c>
      <c r="P172" s="534">
        <f t="shared" si="7"/>
        <v>4.0273972602739724E-2</v>
      </c>
      <c r="Q172" s="534">
        <f t="shared" si="8"/>
        <v>19.975890410958904</v>
      </c>
    </row>
    <row r="173" spans="1:17" ht="15" customHeight="1" x14ac:dyDescent="0.25">
      <c r="A173" s="530" t="s">
        <v>794</v>
      </c>
      <c r="B173" s="530" t="s">
        <v>795</v>
      </c>
      <c r="C173" s="531">
        <v>812</v>
      </c>
      <c r="D173" s="530" t="s">
        <v>796</v>
      </c>
      <c r="E173" s="530" t="s">
        <v>797</v>
      </c>
      <c r="F173" s="531">
        <v>1931</v>
      </c>
      <c r="G173" s="530" t="s">
        <v>296</v>
      </c>
      <c r="H173" s="531">
        <v>1655</v>
      </c>
      <c r="I173" s="531">
        <v>500</v>
      </c>
      <c r="J173" s="531">
        <v>0</v>
      </c>
      <c r="K173" s="532">
        <v>45794</v>
      </c>
      <c r="L173" s="532">
        <v>46554</v>
      </c>
      <c r="M173" s="530"/>
      <c r="N173" s="531">
        <v>0</v>
      </c>
      <c r="O173" s="533">
        <f t="shared" si="6"/>
        <v>433</v>
      </c>
      <c r="P173" s="534">
        <f t="shared" si="7"/>
        <v>4.0273972602739724E-2</v>
      </c>
      <c r="Q173" s="534">
        <f t="shared" si="8"/>
        <v>17.438630136986301</v>
      </c>
    </row>
    <row r="174" spans="1:17" ht="15" customHeight="1" x14ac:dyDescent="0.25">
      <c r="A174" s="530" t="s">
        <v>798</v>
      </c>
      <c r="B174" s="530" t="s">
        <v>799</v>
      </c>
      <c r="C174" s="531">
        <v>1169</v>
      </c>
      <c r="D174" s="530" t="s">
        <v>800</v>
      </c>
      <c r="E174" s="530" t="s">
        <v>801</v>
      </c>
      <c r="F174" s="531">
        <v>2249</v>
      </c>
      <c r="G174" s="530" t="s">
        <v>296</v>
      </c>
      <c r="H174" s="531">
        <v>2056.08</v>
      </c>
      <c r="I174" s="531">
        <v>500</v>
      </c>
      <c r="J174" s="531">
        <v>0</v>
      </c>
      <c r="K174" s="532">
        <v>45098</v>
      </c>
      <c r="L174" s="532">
        <v>46558</v>
      </c>
      <c r="M174" s="530"/>
      <c r="N174" s="531">
        <v>-283.44</v>
      </c>
      <c r="O174" s="533">
        <f t="shared" si="6"/>
        <v>1129</v>
      </c>
      <c r="P174" s="534">
        <f t="shared" si="7"/>
        <v>4.0273972602739724E-2</v>
      </c>
      <c r="Q174" s="534">
        <f t="shared" si="8"/>
        <v>45.469315068493145</v>
      </c>
    </row>
    <row r="175" spans="1:17" ht="15" customHeight="1" x14ac:dyDescent="0.25">
      <c r="A175" s="530" t="s">
        <v>802</v>
      </c>
      <c r="B175" s="530" t="s">
        <v>799</v>
      </c>
      <c r="C175" s="531">
        <v>1169</v>
      </c>
      <c r="D175" s="530" t="s">
        <v>803</v>
      </c>
      <c r="E175" s="530" t="s">
        <v>804</v>
      </c>
      <c r="F175" s="531">
        <v>2329</v>
      </c>
      <c r="G175" s="530" t="s">
        <v>296</v>
      </c>
      <c r="H175" s="531">
        <v>2153</v>
      </c>
      <c r="I175" s="531">
        <v>2153</v>
      </c>
      <c r="J175" s="531">
        <v>0</v>
      </c>
      <c r="K175" s="532">
        <v>45976</v>
      </c>
      <c r="L175" s="532">
        <v>46340</v>
      </c>
      <c r="M175" s="530"/>
      <c r="N175" s="531">
        <v>65.81</v>
      </c>
      <c r="O175" s="533">
        <f t="shared" si="6"/>
        <v>251</v>
      </c>
      <c r="P175" s="534">
        <f t="shared" si="7"/>
        <v>0.17341972602739728</v>
      </c>
      <c r="Q175" s="534">
        <f t="shared" si="8"/>
        <v>43.528351232876716</v>
      </c>
    </row>
    <row r="176" spans="1:17" ht="15" customHeight="1" x14ac:dyDescent="0.25">
      <c r="A176" s="530" t="s">
        <v>805</v>
      </c>
      <c r="B176" s="530" t="s">
        <v>795</v>
      </c>
      <c r="C176" s="531">
        <v>812</v>
      </c>
      <c r="D176" s="530" t="s">
        <v>806</v>
      </c>
      <c r="E176" s="530" t="s">
        <v>807</v>
      </c>
      <c r="F176" s="531">
        <v>1931</v>
      </c>
      <c r="G176" s="530" t="s">
        <v>296</v>
      </c>
      <c r="H176" s="531">
        <v>1685</v>
      </c>
      <c r="I176" s="531">
        <v>500</v>
      </c>
      <c r="J176" s="531">
        <v>0</v>
      </c>
      <c r="K176" s="532">
        <v>45834</v>
      </c>
      <c r="L176" s="532">
        <v>46561</v>
      </c>
      <c r="M176" s="530"/>
      <c r="N176" s="531">
        <v>0</v>
      </c>
      <c r="O176" s="533">
        <f t="shared" si="6"/>
        <v>393</v>
      </c>
      <c r="P176" s="534">
        <f t="shared" si="7"/>
        <v>4.0273972602739724E-2</v>
      </c>
      <c r="Q176" s="534">
        <f t="shared" si="8"/>
        <v>15.827671232876712</v>
      </c>
    </row>
    <row r="177" spans="1:17" ht="15" customHeight="1" x14ac:dyDescent="0.25">
      <c r="A177" s="530" t="s">
        <v>808</v>
      </c>
      <c r="B177" s="530" t="s">
        <v>788</v>
      </c>
      <c r="C177" s="531">
        <v>1559</v>
      </c>
      <c r="D177" s="530" t="s">
        <v>809</v>
      </c>
      <c r="E177" s="530" t="s">
        <v>810</v>
      </c>
      <c r="F177" s="531">
        <v>2742</v>
      </c>
      <c r="G177" s="530" t="s">
        <v>296</v>
      </c>
      <c r="H177" s="531">
        <v>2364</v>
      </c>
      <c r="I177" s="531">
        <v>500</v>
      </c>
      <c r="J177" s="531">
        <v>0</v>
      </c>
      <c r="K177" s="532">
        <v>46095</v>
      </c>
      <c r="L177" s="532">
        <v>46520</v>
      </c>
      <c r="M177" s="530"/>
      <c r="N177" s="531">
        <v>-2525.38</v>
      </c>
      <c r="O177" s="533">
        <f t="shared" si="6"/>
        <v>132</v>
      </c>
      <c r="P177" s="534">
        <f t="shared" si="7"/>
        <v>4.0273972602739724E-2</v>
      </c>
      <c r="Q177" s="534">
        <f t="shared" si="8"/>
        <v>5.3161643835616434</v>
      </c>
    </row>
    <row r="178" spans="1:17" ht="15" customHeight="1" x14ac:dyDescent="0.25">
      <c r="A178" s="530" t="s">
        <v>811</v>
      </c>
      <c r="B178" s="530" t="s">
        <v>788</v>
      </c>
      <c r="C178" s="531">
        <v>1559</v>
      </c>
      <c r="D178" s="530" t="s">
        <v>812</v>
      </c>
      <c r="E178" s="530" t="s">
        <v>813</v>
      </c>
      <c r="F178" s="531">
        <v>2947</v>
      </c>
      <c r="G178" s="530" t="s">
        <v>331</v>
      </c>
      <c r="H178" s="531">
        <v>1377</v>
      </c>
      <c r="I178" s="531">
        <v>2496</v>
      </c>
      <c r="J178" s="531">
        <v>0</v>
      </c>
      <c r="K178" s="532">
        <v>45943</v>
      </c>
      <c r="L178" s="532">
        <v>46338</v>
      </c>
      <c r="M178" s="530"/>
      <c r="N178" s="531">
        <v>-0.03</v>
      </c>
      <c r="O178" s="533">
        <f t="shared" si="6"/>
        <v>284</v>
      </c>
      <c r="P178" s="534">
        <f t="shared" si="7"/>
        <v>0.20104767123287673</v>
      </c>
      <c r="Q178" s="534">
        <f t="shared" si="8"/>
        <v>57.097538630136988</v>
      </c>
    </row>
    <row r="179" spans="1:17" ht="15" customHeight="1" x14ac:dyDescent="0.25">
      <c r="A179" s="530" t="s">
        <v>814</v>
      </c>
      <c r="B179" s="530" t="s">
        <v>815</v>
      </c>
      <c r="C179" s="531">
        <v>1290</v>
      </c>
      <c r="D179" s="530" t="s">
        <v>816</v>
      </c>
      <c r="E179" s="530" t="s">
        <v>817</v>
      </c>
      <c r="F179" s="531">
        <v>2636</v>
      </c>
      <c r="G179" s="530" t="s">
        <v>296</v>
      </c>
      <c r="H179" s="531">
        <v>2024</v>
      </c>
      <c r="I179" s="531">
        <v>1796</v>
      </c>
      <c r="J179" s="531">
        <v>0</v>
      </c>
      <c r="K179" s="532">
        <v>45121</v>
      </c>
      <c r="L179" s="532">
        <v>46278</v>
      </c>
      <c r="M179" s="530"/>
      <c r="N179" s="531">
        <v>0</v>
      </c>
      <c r="O179" s="533">
        <f t="shared" si="6"/>
        <v>1106</v>
      </c>
      <c r="P179" s="534">
        <f t="shared" si="7"/>
        <v>0.14466410958904108</v>
      </c>
      <c r="Q179" s="534">
        <f t="shared" si="8"/>
        <v>159.99850520547943</v>
      </c>
    </row>
    <row r="180" spans="1:17" ht="15" customHeight="1" x14ac:dyDescent="0.25">
      <c r="A180" s="530" t="s">
        <v>818</v>
      </c>
      <c r="B180" s="530" t="s">
        <v>815</v>
      </c>
      <c r="C180" s="531">
        <v>1290</v>
      </c>
      <c r="D180" s="530" t="s">
        <v>819</v>
      </c>
      <c r="E180" s="530" t="s">
        <v>820</v>
      </c>
      <c r="F180" s="531">
        <v>2556</v>
      </c>
      <c r="G180" s="530" t="s">
        <v>296</v>
      </c>
      <c r="H180" s="531">
        <v>2290</v>
      </c>
      <c r="I180" s="531">
        <v>500</v>
      </c>
      <c r="J180" s="531">
        <v>0</v>
      </c>
      <c r="K180" s="532">
        <v>46010</v>
      </c>
      <c r="L180" s="532">
        <v>46191</v>
      </c>
      <c r="M180" s="532">
        <v>46295</v>
      </c>
      <c r="N180" s="531">
        <v>-1300</v>
      </c>
      <c r="O180" s="533">
        <f t="shared" si="6"/>
        <v>217</v>
      </c>
      <c r="P180" s="534">
        <f t="shared" si="7"/>
        <v>4.0273972602739724E-2</v>
      </c>
      <c r="Q180" s="534">
        <f t="shared" si="8"/>
        <v>8.7394520547945209</v>
      </c>
    </row>
    <row r="181" spans="1:17" ht="15" customHeight="1" x14ac:dyDescent="0.25">
      <c r="A181" s="530" t="s">
        <v>821</v>
      </c>
      <c r="B181" s="530" t="s">
        <v>795</v>
      </c>
      <c r="C181" s="531">
        <v>812</v>
      </c>
      <c r="D181" s="530" t="s">
        <v>822</v>
      </c>
      <c r="E181" s="530" t="s">
        <v>823</v>
      </c>
      <c r="F181" s="531">
        <v>1931</v>
      </c>
      <c r="G181" s="530" t="s">
        <v>296</v>
      </c>
      <c r="H181" s="531">
        <v>1612</v>
      </c>
      <c r="I181" s="531">
        <v>1612</v>
      </c>
      <c r="J181" s="531">
        <v>0</v>
      </c>
      <c r="K181" s="532">
        <v>46094</v>
      </c>
      <c r="L181" s="532">
        <v>46489</v>
      </c>
      <c r="M181" s="530"/>
      <c r="N181" s="531">
        <v>1870.13</v>
      </c>
      <c r="O181" s="533">
        <f t="shared" si="6"/>
        <v>133</v>
      </c>
      <c r="P181" s="534">
        <f t="shared" si="7"/>
        <v>0.12984328767123288</v>
      </c>
      <c r="Q181" s="534">
        <f t="shared" si="8"/>
        <v>17.269157260273971</v>
      </c>
    </row>
    <row r="182" spans="1:17" ht="15" customHeight="1" x14ac:dyDescent="0.25">
      <c r="A182" s="530" t="s">
        <v>824</v>
      </c>
      <c r="B182" s="530" t="s">
        <v>795</v>
      </c>
      <c r="C182" s="531">
        <v>812</v>
      </c>
      <c r="D182" s="530" t="s">
        <v>825</v>
      </c>
      <c r="E182" s="530" t="s">
        <v>826</v>
      </c>
      <c r="F182" s="531">
        <v>2011</v>
      </c>
      <c r="G182" s="530" t="s">
        <v>296</v>
      </c>
      <c r="H182" s="531">
        <v>1866</v>
      </c>
      <c r="I182" s="531">
        <v>300</v>
      </c>
      <c r="J182" s="531">
        <v>0</v>
      </c>
      <c r="K182" s="532">
        <v>44351</v>
      </c>
      <c r="L182" s="532">
        <v>46480</v>
      </c>
      <c r="M182" s="530"/>
      <c r="N182" s="531">
        <v>0</v>
      </c>
      <c r="O182" s="533">
        <f t="shared" si="6"/>
        <v>1876</v>
      </c>
      <c r="P182" s="534">
        <f t="shared" si="7"/>
        <v>2.4164383561643837E-2</v>
      </c>
      <c r="Q182" s="534">
        <f t="shared" si="8"/>
        <v>45.332383561643837</v>
      </c>
    </row>
    <row r="183" spans="1:17" ht="15" customHeight="1" x14ac:dyDescent="0.25">
      <c r="A183" s="530" t="s">
        <v>827</v>
      </c>
      <c r="B183" s="530" t="s">
        <v>799</v>
      </c>
      <c r="C183" s="531">
        <v>1169</v>
      </c>
      <c r="D183" s="530" t="s">
        <v>828</v>
      </c>
      <c r="E183" s="530" t="s">
        <v>829</v>
      </c>
      <c r="F183" s="531">
        <v>2249</v>
      </c>
      <c r="G183" s="530" t="s">
        <v>296</v>
      </c>
      <c r="H183" s="531">
        <v>2178</v>
      </c>
      <c r="I183" s="531">
        <v>500</v>
      </c>
      <c r="J183" s="531">
        <v>0</v>
      </c>
      <c r="K183" s="532">
        <v>44762</v>
      </c>
      <c r="L183" s="532">
        <v>46284</v>
      </c>
      <c r="M183" s="530"/>
      <c r="N183" s="531">
        <v>0</v>
      </c>
      <c r="O183" s="533">
        <f t="shared" si="6"/>
        <v>1465</v>
      </c>
      <c r="P183" s="534">
        <f t="shared" si="7"/>
        <v>4.0273972602739724E-2</v>
      </c>
      <c r="Q183" s="534">
        <f t="shared" si="8"/>
        <v>59.001369863013693</v>
      </c>
    </row>
    <row r="184" spans="1:17" ht="15" customHeight="1" x14ac:dyDescent="0.25">
      <c r="A184" s="530" t="s">
        <v>830</v>
      </c>
      <c r="B184" s="530" t="s">
        <v>795</v>
      </c>
      <c r="C184" s="531">
        <v>812</v>
      </c>
      <c r="D184" s="530" t="s">
        <v>831</v>
      </c>
      <c r="E184" s="530" t="s">
        <v>832</v>
      </c>
      <c r="F184" s="531">
        <v>2011</v>
      </c>
      <c r="G184" s="530" t="s">
        <v>296</v>
      </c>
      <c r="H184" s="531">
        <v>1741</v>
      </c>
      <c r="I184" s="531">
        <v>500</v>
      </c>
      <c r="J184" s="531">
        <v>0</v>
      </c>
      <c r="K184" s="532">
        <v>46154</v>
      </c>
      <c r="L184" s="532">
        <v>46518</v>
      </c>
      <c r="M184" s="530"/>
      <c r="N184" s="531">
        <v>0</v>
      </c>
      <c r="O184" s="533">
        <f t="shared" si="6"/>
        <v>73</v>
      </c>
      <c r="P184" s="534">
        <f t="shared" si="7"/>
        <v>4.0273972602739724E-2</v>
      </c>
      <c r="Q184" s="534">
        <f t="shared" si="8"/>
        <v>2.94</v>
      </c>
    </row>
    <row r="185" spans="1:17" ht="15" customHeight="1" x14ac:dyDescent="0.25">
      <c r="A185" s="530" t="s">
        <v>833</v>
      </c>
      <c r="B185" s="530" t="s">
        <v>795</v>
      </c>
      <c r="C185" s="531">
        <v>812</v>
      </c>
      <c r="D185" s="530" t="s">
        <v>834</v>
      </c>
      <c r="E185" s="530" t="s">
        <v>835</v>
      </c>
      <c r="F185" s="531">
        <v>1931</v>
      </c>
      <c r="G185" s="530" t="s">
        <v>296</v>
      </c>
      <c r="H185" s="531">
        <v>1678</v>
      </c>
      <c r="I185" s="531">
        <v>500</v>
      </c>
      <c r="J185" s="531">
        <v>0</v>
      </c>
      <c r="K185" s="532">
        <v>46188</v>
      </c>
      <c r="L185" s="532">
        <v>46582</v>
      </c>
      <c r="M185" s="530"/>
      <c r="N185" s="531">
        <v>36.29</v>
      </c>
      <c r="O185" s="533">
        <f t="shared" si="6"/>
        <v>39</v>
      </c>
      <c r="P185" s="534">
        <f t="shared" si="7"/>
        <v>4.0273972602739724E-2</v>
      </c>
      <c r="Q185" s="534">
        <f t="shared" si="8"/>
        <v>1.5706849315068492</v>
      </c>
    </row>
    <row r="186" spans="1:17" ht="15" customHeight="1" x14ac:dyDescent="0.25">
      <c r="A186" s="530" t="s">
        <v>836</v>
      </c>
      <c r="B186" s="530" t="s">
        <v>799</v>
      </c>
      <c r="C186" s="531">
        <v>1169</v>
      </c>
      <c r="D186" s="530" t="s">
        <v>837</v>
      </c>
      <c r="E186" s="530" t="s">
        <v>838</v>
      </c>
      <c r="F186" s="531">
        <v>2249</v>
      </c>
      <c r="G186" s="530" t="s">
        <v>296</v>
      </c>
      <c r="H186" s="531">
        <v>2252</v>
      </c>
      <c r="I186" s="531">
        <v>0</v>
      </c>
      <c r="J186" s="531">
        <v>0</v>
      </c>
      <c r="K186" s="532">
        <v>46197</v>
      </c>
      <c r="L186" s="532">
        <v>46561</v>
      </c>
      <c r="M186" s="530"/>
      <c r="N186" s="531">
        <v>36.29</v>
      </c>
      <c r="O186" s="533">
        <f t="shared" si="6"/>
        <v>30</v>
      </c>
      <c r="P186" s="534">
        <f t="shared" si="7"/>
        <v>0</v>
      </c>
      <c r="Q186" s="534">
        <f t="shared" si="8"/>
        <v>0</v>
      </c>
    </row>
    <row r="187" spans="1:17" ht="15" customHeight="1" x14ac:dyDescent="0.25">
      <c r="A187" s="530" t="s">
        <v>839</v>
      </c>
      <c r="B187" s="530" t="s">
        <v>795</v>
      </c>
      <c r="C187" s="531">
        <v>812</v>
      </c>
      <c r="D187" s="530" t="s">
        <v>840</v>
      </c>
      <c r="E187" s="530" t="s">
        <v>841</v>
      </c>
      <c r="F187" s="531">
        <v>1931</v>
      </c>
      <c r="G187" s="530" t="s">
        <v>296</v>
      </c>
      <c r="H187" s="531">
        <v>1575</v>
      </c>
      <c r="I187" s="531">
        <v>500</v>
      </c>
      <c r="J187" s="531">
        <v>0</v>
      </c>
      <c r="K187" s="532">
        <v>45627</v>
      </c>
      <c r="L187" s="532">
        <v>46356</v>
      </c>
      <c r="M187" s="530"/>
      <c r="N187" s="531">
        <v>0</v>
      </c>
      <c r="O187" s="533">
        <f t="shared" si="6"/>
        <v>600</v>
      </c>
      <c r="P187" s="534">
        <f t="shared" si="7"/>
        <v>4.0273972602739724E-2</v>
      </c>
      <c r="Q187" s="534">
        <f t="shared" si="8"/>
        <v>24.164383561643834</v>
      </c>
    </row>
    <row r="188" spans="1:17" ht="15" customHeight="1" x14ac:dyDescent="0.25">
      <c r="A188" s="530" t="s">
        <v>842</v>
      </c>
      <c r="B188" s="530" t="s">
        <v>795</v>
      </c>
      <c r="C188" s="531">
        <v>812</v>
      </c>
      <c r="D188" s="530" t="s">
        <v>843</v>
      </c>
      <c r="E188" s="530" t="s">
        <v>844</v>
      </c>
      <c r="F188" s="531">
        <v>1931</v>
      </c>
      <c r="G188" s="530" t="s">
        <v>296</v>
      </c>
      <c r="H188" s="531">
        <v>1611</v>
      </c>
      <c r="I188" s="531">
        <v>2700</v>
      </c>
      <c r="J188" s="531">
        <v>0</v>
      </c>
      <c r="K188" s="532">
        <v>44197</v>
      </c>
      <c r="L188" s="532">
        <v>46265</v>
      </c>
      <c r="M188" s="530"/>
      <c r="N188" s="531">
        <v>0</v>
      </c>
      <c r="O188" s="533">
        <f t="shared" si="6"/>
        <v>2030</v>
      </c>
      <c r="P188" s="534">
        <f t="shared" si="7"/>
        <v>0.21747945205479452</v>
      </c>
      <c r="Q188" s="534">
        <f t="shared" si="8"/>
        <v>441.48328767123286</v>
      </c>
    </row>
    <row r="189" spans="1:17" ht="15" customHeight="1" x14ac:dyDescent="0.25">
      <c r="A189" s="530" t="s">
        <v>14201</v>
      </c>
      <c r="B189" s="530" t="s">
        <v>795</v>
      </c>
      <c r="C189" s="531">
        <v>812</v>
      </c>
      <c r="D189" s="530" t="s">
        <v>14202</v>
      </c>
      <c r="E189" s="530" t="s">
        <v>14203</v>
      </c>
      <c r="F189" s="531">
        <v>1961</v>
      </c>
      <c r="G189" s="530" t="s">
        <v>296</v>
      </c>
      <c r="H189" s="531">
        <v>1562</v>
      </c>
      <c r="I189" s="531">
        <v>0</v>
      </c>
      <c r="J189" s="531">
        <v>0</v>
      </c>
      <c r="K189" s="532">
        <v>46203</v>
      </c>
      <c r="L189" s="532">
        <v>46594</v>
      </c>
      <c r="M189" s="530"/>
      <c r="N189" s="531">
        <v>0</v>
      </c>
      <c r="O189" s="533">
        <f t="shared" si="6"/>
        <v>24</v>
      </c>
      <c r="P189" s="534">
        <f t="shared" si="7"/>
        <v>0</v>
      </c>
      <c r="Q189" s="534">
        <f t="shared" si="8"/>
        <v>0</v>
      </c>
    </row>
    <row r="190" spans="1:17" ht="15" customHeight="1" x14ac:dyDescent="0.25">
      <c r="A190" s="530" t="s">
        <v>845</v>
      </c>
      <c r="B190" s="530" t="s">
        <v>799</v>
      </c>
      <c r="C190" s="531">
        <v>1169</v>
      </c>
      <c r="D190" s="530" t="s">
        <v>14204</v>
      </c>
      <c r="E190" s="530" t="s">
        <v>707</v>
      </c>
      <c r="F190" s="531">
        <v>2199</v>
      </c>
      <c r="G190" s="530" t="s">
        <v>296</v>
      </c>
      <c r="H190" s="531">
        <v>2386</v>
      </c>
      <c r="I190" s="531">
        <v>0</v>
      </c>
      <c r="J190" s="531">
        <v>0</v>
      </c>
      <c r="K190" s="532">
        <v>46217</v>
      </c>
      <c r="L190" s="532">
        <v>46581</v>
      </c>
      <c r="M190" s="530"/>
      <c r="N190" s="531">
        <v>-140.85</v>
      </c>
      <c r="O190" s="533">
        <f t="shared" si="6"/>
        <v>10</v>
      </c>
      <c r="P190" s="534">
        <f t="shared" si="7"/>
        <v>0</v>
      </c>
      <c r="Q190" s="534">
        <f t="shared" si="8"/>
        <v>0</v>
      </c>
    </row>
    <row r="191" spans="1:17" ht="15" customHeight="1" x14ac:dyDescent="0.25">
      <c r="A191" s="530" t="s">
        <v>846</v>
      </c>
      <c r="B191" s="530" t="s">
        <v>799</v>
      </c>
      <c r="C191" s="531">
        <v>1169</v>
      </c>
      <c r="D191" s="530" t="s">
        <v>847</v>
      </c>
      <c r="E191" s="530" t="s">
        <v>848</v>
      </c>
      <c r="F191" s="531">
        <v>2199</v>
      </c>
      <c r="G191" s="530" t="s">
        <v>296</v>
      </c>
      <c r="H191" s="531">
        <v>2251</v>
      </c>
      <c r="I191" s="531">
        <v>0</v>
      </c>
      <c r="J191" s="531">
        <v>0</v>
      </c>
      <c r="K191" s="532">
        <v>43030</v>
      </c>
      <c r="L191" s="532">
        <v>46528</v>
      </c>
      <c r="M191" s="530"/>
      <c r="N191" s="531">
        <v>0</v>
      </c>
      <c r="O191" s="533">
        <f t="shared" si="6"/>
        <v>3197</v>
      </c>
      <c r="P191" s="534">
        <f t="shared" si="7"/>
        <v>0</v>
      </c>
      <c r="Q191" s="534">
        <f t="shared" si="8"/>
        <v>0</v>
      </c>
    </row>
    <row r="192" spans="1:17" ht="15" customHeight="1" x14ac:dyDescent="0.25">
      <c r="A192" s="530" t="s">
        <v>849</v>
      </c>
      <c r="B192" s="530" t="s">
        <v>795</v>
      </c>
      <c r="C192" s="531">
        <v>812</v>
      </c>
      <c r="D192" s="530" t="s">
        <v>850</v>
      </c>
      <c r="E192" s="530" t="s">
        <v>851</v>
      </c>
      <c r="F192" s="531">
        <v>1881</v>
      </c>
      <c r="G192" s="530" t="s">
        <v>296</v>
      </c>
      <c r="H192" s="531">
        <v>1612</v>
      </c>
      <c r="I192" s="531">
        <v>500</v>
      </c>
      <c r="J192" s="531">
        <v>0</v>
      </c>
      <c r="K192" s="532">
        <v>45108</v>
      </c>
      <c r="L192" s="532">
        <v>46234</v>
      </c>
      <c r="M192" s="532">
        <v>46234</v>
      </c>
      <c r="N192" s="531">
        <v>0</v>
      </c>
      <c r="O192" s="533">
        <f t="shared" si="6"/>
        <v>1119</v>
      </c>
      <c r="P192" s="534">
        <f t="shared" si="7"/>
        <v>4.0273972602739724E-2</v>
      </c>
      <c r="Q192" s="534">
        <f t="shared" si="8"/>
        <v>45.066575342465754</v>
      </c>
    </row>
    <row r="193" spans="1:17" ht="15" customHeight="1" x14ac:dyDescent="0.25">
      <c r="A193" s="530" t="s">
        <v>852</v>
      </c>
      <c r="B193" s="530" t="s">
        <v>815</v>
      </c>
      <c r="C193" s="531">
        <v>1290</v>
      </c>
      <c r="D193" s="530" t="s">
        <v>853</v>
      </c>
      <c r="E193" s="530" t="s">
        <v>854</v>
      </c>
      <c r="F193" s="531">
        <v>2506</v>
      </c>
      <c r="G193" s="530" t="s">
        <v>296</v>
      </c>
      <c r="H193" s="531">
        <v>2011</v>
      </c>
      <c r="I193" s="531">
        <v>500</v>
      </c>
      <c r="J193" s="531">
        <v>0</v>
      </c>
      <c r="K193" s="532">
        <v>45108</v>
      </c>
      <c r="L193" s="532">
        <v>46234</v>
      </c>
      <c r="M193" s="530"/>
      <c r="N193" s="531">
        <v>0</v>
      </c>
      <c r="O193" s="533">
        <f t="shared" si="6"/>
        <v>1119</v>
      </c>
      <c r="P193" s="534">
        <f t="shared" si="7"/>
        <v>4.0273972602739724E-2</v>
      </c>
      <c r="Q193" s="534">
        <f t="shared" si="8"/>
        <v>45.066575342465754</v>
      </c>
    </row>
    <row r="194" spans="1:17" ht="15" customHeight="1" x14ac:dyDescent="0.25">
      <c r="A194" s="530" t="s">
        <v>855</v>
      </c>
      <c r="B194" s="530" t="s">
        <v>815</v>
      </c>
      <c r="C194" s="531">
        <v>1290</v>
      </c>
      <c r="D194" s="530" t="s">
        <v>856</v>
      </c>
      <c r="E194" s="530" t="s">
        <v>857</v>
      </c>
      <c r="F194" s="531">
        <v>2506</v>
      </c>
      <c r="G194" s="530" t="s">
        <v>296</v>
      </c>
      <c r="H194" s="531">
        <v>2110</v>
      </c>
      <c r="I194" s="531">
        <v>300</v>
      </c>
      <c r="J194" s="531">
        <v>0</v>
      </c>
      <c r="K194" s="532">
        <v>44287</v>
      </c>
      <c r="L194" s="532">
        <v>46507</v>
      </c>
      <c r="M194" s="530"/>
      <c r="N194" s="531">
        <v>0</v>
      </c>
      <c r="O194" s="533">
        <f t="shared" si="6"/>
        <v>1940</v>
      </c>
      <c r="P194" s="534">
        <f t="shared" si="7"/>
        <v>2.4164383561643837E-2</v>
      </c>
      <c r="Q194" s="534">
        <f t="shared" si="8"/>
        <v>46.878904109589044</v>
      </c>
    </row>
    <row r="195" spans="1:17" ht="15" customHeight="1" x14ac:dyDescent="0.25">
      <c r="A195" s="530" t="s">
        <v>858</v>
      </c>
      <c r="B195" s="530" t="s">
        <v>795</v>
      </c>
      <c r="C195" s="531">
        <v>812</v>
      </c>
      <c r="D195" s="530" t="s">
        <v>859</v>
      </c>
      <c r="E195" s="530" t="s">
        <v>860</v>
      </c>
      <c r="F195" s="531">
        <v>1881</v>
      </c>
      <c r="G195" s="530" t="s">
        <v>296</v>
      </c>
      <c r="H195" s="531">
        <v>1846</v>
      </c>
      <c r="I195" s="531">
        <v>500</v>
      </c>
      <c r="J195" s="531">
        <v>0</v>
      </c>
      <c r="K195" s="532">
        <v>45765</v>
      </c>
      <c r="L195" s="532">
        <v>46555</v>
      </c>
      <c r="M195" s="530"/>
      <c r="N195" s="531">
        <v>0</v>
      </c>
      <c r="O195" s="533">
        <f t="shared" si="6"/>
        <v>462</v>
      </c>
      <c r="P195" s="534">
        <f t="shared" si="7"/>
        <v>4.0273972602739724E-2</v>
      </c>
      <c r="Q195" s="534">
        <f t="shared" si="8"/>
        <v>18.606575342465753</v>
      </c>
    </row>
    <row r="196" spans="1:17" ht="15" customHeight="1" x14ac:dyDescent="0.25">
      <c r="A196" s="530" t="s">
        <v>861</v>
      </c>
      <c r="B196" s="530" t="s">
        <v>795</v>
      </c>
      <c r="C196" s="531">
        <v>812</v>
      </c>
      <c r="D196" s="530" t="s">
        <v>862</v>
      </c>
      <c r="E196" s="530" t="s">
        <v>863</v>
      </c>
      <c r="F196" s="531">
        <v>1881</v>
      </c>
      <c r="G196" s="530" t="s">
        <v>296</v>
      </c>
      <c r="H196" s="531">
        <v>1841</v>
      </c>
      <c r="I196" s="531">
        <v>1569</v>
      </c>
      <c r="J196" s="531">
        <v>0</v>
      </c>
      <c r="K196" s="532">
        <v>45048</v>
      </c>
      <c r="L196" s="532">
        <v>46600</v>
      </c>
      <c r="M196" s="530"/>
      <c r="N196" s="531">
        <v>3.51</v>
      </c>
      <c r="O196" s="533">
        <f t="shared" si="6"/>
        <v>1179</v>
      </c>
      <c r="P196" s="534">
        <f t="shared" si="7"/>
        <v>0.12637972602739725</v>
      </c>
      <c r="Q196" s="534">
        <f t="shared" si="8"/>
        <v>149.00169698630137</v>
      </c>
    </row>
    <row r="197" spans="1:17" ht="15" customHeight="1" x14ac:dyDescent="0.25">
      <c r="A197" s="530" t="s">
        <v>864</v>
      </c>
      <c r="B197" s="530" t="s">
        <v>799</v>
      </c>
      <c r="C197" s="531">
        <v>1169</v>
      </c>
      <c r="D197" s="530" t="s">
        <v>865</v>
      </c>
      <c r="E197" s="530" t="s">
        <v>866</v>
      </c>
      <c r="F197" s="531">
        <v>2374</v>
      </c>
      <c r="G197" s="530" t="s">
        <v>331</v>
      </c>
      <c r="H197" s="531">
        <v>1361</v>
      </c>
      <c r="I197" s="531">
        <v>500</v>
      </c>
      <c r="J197" s="531">
        <v>0</v>
      </c>
      <c r="K197" s="532">
        <v>45785</v>
      </c>
      <c r="L197" s="532">
        <v>46538</v>
      </c>
      <c r="M197" s="530"/>
      <c r="N197" s="531">
        <v>0</v>
      </c>
      <c r="O197" s="533">
        <f t="shared" si="6"/>
        <v>442</v>
      </c>
      <c r="P197" s="534">
        <f t="shared" si="7"/>
        <v>4.0273972602739724E-2</v>
      </c>
      <c r="Q197" s="534">
        <f t="shared" si="8"/>
        <v>17.801095890410959</v>
      </c>
    </row>
    <row r="198" spans="1:17" ht="15" customHeight="1" x14ac:dyDescent="0.25">
      <c r="A198" s="530" t="s">
        <v>867</v>
      </c>
      <c r="B198" s="530" t="s">
        <v>795</v>
      </c>
      <c r="C198" s="531">
        <v>812</v>
      </c>
      <c r="D198" s="530" t="s">
        <v>868</v>
      </c>
      <c r="E198" s="530" t="s">
        <v>869</v>
      </c>
      <c r="F198" s="531">
        <v>1881</v>
      </c>
      <c r="G198" s="530" t="s">
        <v>296</v>
      </c>
      <c r="H198" s="531">
        <v>1814</v>
      </c>
      <c r="I198" s="531">
        <v>500</v>
      </c>
      <c r="J198" s="531">
        <v>0</v>
      </c>
      <c r="K198" s="532">
        <v>45474</v>
      </c>
      <c r="L198" s="532">
        <v>46660</v>
      </c>
      <c r="M198" s="530"/>
      <c r="N198" s="531">
        <v>2009.52</v>
      </c>
      <c r="O198" s="533">
        <f t="shared" si="6"/>
        <v>753</v>
      </c>
      <c r="P198" s="534">
        <f t="shared" si="7"/>
        <v>4.0273972602739724E-2</v>
      </c>
      <c r="Q198" s="534">
        <f t="shared" si="8"/>
        <v>30.326301369863014</v>
      </c>
    </row>
    <row r="199" spans="1:17" ht="15" customHeight="1" x14ac:dyDescent="0.25">
      <c r="A199" s="530" t="s">
        <v>870</v>
      </c>
      <c r="B199" s="530" t="s">
        <v>795</v>
      </c>
      <c r="C199" s="531">
        <v>812</v>
      </c>
      <c r="D199" s="530" t="s">
        <v>871</v>
      </c>
      <c r="E199" s="530" t="s">
        <v>872</v>
      </c>
      <c r="F199" s="531">
        <v>1881</v>
      </c>
      <c r="G199" s="530" t="s">
        <v>296</v>
      </c>
      <c r="H199" s="531">
        <v>1683</v>
      </c>
      <c r="I199" s="531">
        <v>500</v>
      </c>
      <c r="J199" s="531">
        <v>0</v>
      </c>
      <c r="K199" s="532">
        <v>45794</v>
      </c>
      <c r="L199" s="532">
        <v>46523</v>
      </c>
      <c r="M199" s="530"/>
      <c r="N199" s="531">
        <v>0</v>
      </c>
      <c r="O199" s="533">
        <f t="shared" si="6"/>
        <v>433</v>
      </c>
      <c r="P199" s="534">
        <f t="shared" si="7"/>
        <v>4.0273972602739724E-2</v>
      </c>
      <c r="Q199" s="534">
        <f t="shared" si="8"/>
        <v>17.438630136986301</v>
      </c>
    </row>
    <row r="200" spans="1:17" ht="15" customHeight="1" x14ac:dyDescent="0.25">
      <c r="A200" s="530" t="s">
        <v>873</v>
      </c>
      <c r="B200" s="530" t="s">
        <v>795</v>
      </c>
      <c r="C200" s="531">
        <v>812</v>
      </c>
      <c r="D200" s="530" t="s">
        <v>874</v>
      </c>
      <c r="E200" s="530" t="s">
        <v>875</v>
      </c>
      <c r="F200" s="531">
        <v>1881</v>
      </c>
      <c r="G200" s="530" t="s">
        <v>296</v>
      </c>
      <c r="H200" s="531">
        <v>1590</v>
      </c>
      <c r="I200" s="531">
        <v>500</v>
      </c>
      <c r="J200" s="531">
        <v>0</v>
      </c>
      <c r="K200" s="532">
        <v>44953</v>
      </c>
      <c r="L200" s="532">
        <v>46444</v>
      </c>
      <c r="M200" s="530"/>
      <c r="N200" s="531">
        <v>0</v>
      </c>
      <c r="O200" s="533">
        <f t="shared" si="6"/>
        <v>1274</v>
      </c>
      <c r="P200" s="534">
        <f t="shared" si="7"/>
        <v>4.0273972602739724E-2</v>
      </c>
      <c r="Q200" s="534">
        <f t="shared" si="8"/>
        <v>51.309041095890407</v>
      </c>
    </row>
    <row r="201" spans="1:17" ht="15" customHeight="1" x14ac:dyDescent="0.25">
      <c r="A201" s="530" t="s">
        <v>876</v>
      </c>
      <c r="B201" s="530" t="s">
        <v>795</v>
      </c>
      <c r="C201" s="531">
        <v>812</v>
      </c>
      <c r="D201" s="530" t="s">
        <v>877</v>
      </c>
      <c r="E201" s="530" t="s">
        <v>878</v>
      </c>
      <c r="F201" s="531">
        <v>1881</v>
      </c>
      <c r="G201" s="530" t="s">
        <v>296</v>
      </c>
      <c r="H201" s="531">
        <v>1722</v>
      </c>
      <c r="I201" s="531">
        <v>500</v>
      </c>
      <c r="J201" s="531">
        <v>0</v>
      </c>
      <c r="K201" s="532">
        <v>44743</v>
      </c>
      <c r="L201" s="532">
        <v>46265</v>
      </c>
      <c r="M201" s="530"/>
      <c r="N201" s="531">
        <v>0</v>
      </c>
      <c r="O201" s="533">
        <f t="shared" si="6"/>
        <v>1484</v>
      </c>
      <c r="P201" s="534">
        <f t="shared" si="7"/>
        <v>4.0273972602739724E-2</v>
      </c>
      <c r="Q201" s="534">
        <f t="shared" si="8"/>
        <v>59.76657534246575</v>
      </c>
    </row>
    <row r="202" spans="1:17" ht="15" customHeight="1" x14ac:dyDescent="0.25">
      <c r="A202" s="530" t="s">
        <v>879</v>
      </c>
      <c r="B202" s="530" t="s">
        <v>880</v>
      </c>
      <c r="C202" s="531">
        <v>740</v>
      </c>
      <c r="D202" s="530" t="s">
        <v>881</v>
      </c>
      <c r="E202" s="530" t="s">
        <v>882</v>
      </c>
      <c r="F202" s="531">
        <v>1894</v>
      </c>
      <c r="G202" s="530" t="s">
        <v>296</v>
      </c>
      <c r="H202" s="531">
        <v>1747</v>
      </c>
      <c r="I202" s="531">
        <v>500</v>
      </c>
      <c r="J202" s="531">
        <v>0</v>
      </c>
      <c r="K202" s="532">
        <v>45898</v>
      </c>
      <c r="L202" s="532">
        <v>46566</v>
      </c>
      <c r="M202" s="530"/>
      <c r="N202" s="531">
        <v>-1613.66</v>
      </c>
      <c r="O202" s="533">
        <f t="shared" ref="O202:O265" si="9">(+$G$3-K202 )</f>
        <v>329</v>
      </c>
      <c r="P202" s="534">
        <f t="shared" ref="P202:P265" si="10">(+I202*$G$5)/365</f>
        <v>4.0273972602739724E-2</v>
      </c>
      <c r="Q202" s="534">
        <f t="shared" ref="Q202:Q265" si="11">O202*P202</f>
        <v>13.250136986301369</v>
      </c>
    </row>
    <row r="203" spans="1:17" ht="15" customHeight="1" x14ac:dyDescent="0.25">
      <c r="A203" s="530" t="s">
        <v>883</v>
      </c>
      <c r="B203" s="530" t="s">
        <v>880</v>
      </c>
      <c r="C203" s="531">
        <v>740</v>
      </c>
      <c r="D203" s="530" t="s">
        <v>884</v>
      </c>
      <c r="E203" s="530" t="s">
        <v>885</v>
      </c>
      <c r="F203" s="531">
        <v>1799</v>
      </c>
      <c r="G203" s="530" t="s">
        <v>296</v>
      </c>
      <c r="H203" s="531">
        <v>1468</v>
      </c>
      <c r="I203" s="531">
        <v>2800</v>
      </c>
      <c r="J203" s="531">
        <v>0</v>
      </c>
      <c r="K203" s="532">
        <v>45632</v>
      </c>
      <c r="L203" s="532">
        <v>46300</v>
      </c>
      <c r="M203" s="530"/>
      <c r="N203" s="531">
        <v>0</v>
      </c>
      <c r="O203" s="533">
        <f t="shared" si="9"/>
        <v>595</v>
      </c>
      <c r="P203" s="534">
        <f t="shared" si="10"/>
        <v>0.22553424657534243</v>
      </c>
      <c r="Q203" s="534">
        <f t="shared" si="11"/>
        <v>134.19287671232874</v>
      </c>
    </row>
    <row r="204" spans="1:17" ht="15" customHeight="1" x14ac:dyDescent="0.25">
      <c r="A204" s="530" t="s">
        <v>886</v>
      </c>
      <c r="B204" s="530" t="s">
        <v>795</v>
      </c>
      <c r="C204" s="531">
        <v>812</v>
      </c>
      <c r="D204" s="530" t="s">
        <v>887</v>
      </c>
      <c r="E204" s="530" t="s">
        <v>888</v>
      </c>
      <c r="F204" s="531">
        <v>1906</v>
      </c>
      <c r="G204" s="530" t="s">
        <v>331</v>
      </c>
      <c r="H204" s="531">
        <v>1757</v>
      </c>
      <c r="I204" s="531">
        <v>1700</v>
      </c>
      <c r="J204" s="531">
        <v>0</v>
      </c>
      <c r="K204" s="532">
        <v>45706</v>
      </c>
      <c r="L204" s="532">
        <v>46435</v>
      </c>
      <c r="M204" s="530"/>
      <c r="N204" s="531">
        <v>-12</v>
      </c>
      <c r="O204" s="533">
        <f t="shared" si="9"/>
        <v>521</v>
      </c>
      <c r="P204" s="534">
        <f t="shared" si="10"/>
        <v>0.13693150684931507</v>
      </c>
      <c r="Q204" s="534">
        <f t="shared" si="11"/>
        <v>71.341315068493145</v>
      </c>
    </row>
    <row r="205" spans="1:17" ht="15" customHeight="1" x14ac:dyDescent="0.25">
      <c r="A205" s="530" t="s">
        <v>889</v>
      </c>
      <c r="B205" s="530" t="s">
        <v>799</v>
      </c>
      <c r="C205" s="531">
        <v>1169</v>
      </c>
      <c r="D205" s="530" t="s">
        <v>890</v>
      </c>
      <c r="E205" s="530" t="s">
        <v>891</v>
      </c>
      <c r="F205" s="531">
        <v>2199</v>
      </c>
      <c r="G205" s="530" t="s">
        <v>296</v>
      </c>
      <c r="H205" s="531">
        <v>2324</v>
      </c>
      <c r="I205" s="531">
        <v>500</v>
      </c>
      <c r="J205" s="531">
        <v>0</v>
      </c>
      <c r="K205" s="532">
        <v>44783</v>
      </c>
      <c r="L205" s="532">
        <v>46243</v>
      </c>
      <c r="M205" s="530"/>
      <c r="N205" s="531">
        <v>0</v>
      </c>
      <c r="O205" s="533">
        <f t="shared" si="9"/>
        <v>1444</v>
      </c>
      <c r="P205" s="534">
        <f t="shared" si="10"/>
        <v>4.0273972602739724E-2</v>
      </c>
      <c r="Q205" s="534">
        <f t="shared" si="11"/>
        <v>58.155616438356162</v>
      </c>
    </row>
    <row r="206" spans="1:17" ht="15" customHeight="1" x14ac:dyDescent="0.25">
      <c r="A206" s="530" t="s">
        <v>892</v>
      </c>
      <c r="B206" s="530" t="s">
        <v>799</v>
      </c>
      <c r="C206" s="531">
        <v>1169</v>
      </c>
      <c r="D206" s="530" t="s">
        <v>893</v>
      </c>
      <c r="E206" s="530" t="s">
        <v>894</v>
      </c>
      <c r="F206" s="531">
        <v>2199</v>
      </c>
      <c r="G206" s="530" t="s">
        <v>296</v>
      </c>
      <c r="H206" s="531">
        <v>2079</v>
      </c>
      <c r="I206" s="531">
        <v>1999</v>
      </c>
      <c r="J206" s="531">
        <v>0</v>
      </c>
      <c r="K206" s="532">
        <v>45663</v>
      </c>
      <c r="L206" s="532">
        <v>46392</v>
      </c>
      <c r="M206" s="530"/>
      <c r="N206" s="531">
        <v>0</v>
      </c>
      <c r="O206" s="533">
        <f t="shared" si="9"/>
        <v>564</v>
      </c>
      <c r="P206" s="534">
        <f t="shared" si="10"/>
        <v>0.16101534246575341</v>
      </c>
      <c r="Q206" s="534">
        <f t="shared" si="11"/>
        <v>90.812653150684923</v>
      </c>
    </row>
    <row r="207" spans="1:17" ht="15" customHeight="1" x14ac:dyDescent="0.25">
      <c r="A207" s="530" t="s">
        <v>895</v>
      </c>
      <c r="B207" s="530" t="s">
        <v>795</v>
      </c>
      <c r="C207" s="531">
        <v>812</v>
      </c>
      <c r="D207" s="530" t="s">
        <v>896</v>
      </c>
      <c r="E207" s="530" t="s">
        <v>897</v>
      </c>
      <c r="F207" s="531">
        <v>1881</v>
      </c>
      <c r="G207" s="530" t="s">
        <v>296</v>
      </c>
      <c r="H207" s="531">
        <v>1662</v>
      </c>
      <c r="I207" s="531">
        <v>500</v>
      </c>
      <c r="J207" s="531">
        <v>0</v>
      </c>
      <c r="K207" s="532">
        <v>45499</v>
      </c>
      <c r="L207" s="532">
        <v>46259</v>
      </c>
      <c r="M207" s="530"/>
      <c r="N207" s="531">
        <v>0</v>
      </c>
      <c r="O207" s="533">
        <f t="shared" si="9"/>
        <v>728</v>
      </c>
      <c r="P207" s="534">
        <f t="shared" si="10"/>
        <v>4.0273972602739724E-2</v>
      </c>
      <c r="Q207" s="534">
        <f t="shared" si="11"/>
        <v>29.319452054794521</v>
      </c>
    </row>
    <row r="208" spans="1:17" ht="15" customHeight="1" x14ac:dyDescent="0.25">
      <c r="A208" s="530" t="s">
        <v>898</v>
      </c>
      <c r="B208" s="530" t="s">
        <v>880</v>
      </c>
      <c r="C208" s="531">
        <v>740</v>
      </c>
      <c r="D208" s="530" t="s">
        <v>899</v>
      </c>
      <c r="E208" s="530" t="s">
        <v>900</v>
      </c>
      <c r="F208" s="531">
        <v>1719</v>
      </c>
      <c r="G208" s="530" t="s">
        <v>296</v>
      </c>
      <c r="H208" s="531">
        <v>1519</v>
      </c>
      <c r="I208" s="531">
        <v>500</v>
      </c>
      <c r="J208" s="531">
        <v>0</v>
      </c>
      <c r="K208" s="532">
        <v>45198</v>
      </c>
      <c r="L208" s="532">
        <v>46323</v>
      </c>
      <c r="M208" s="530"/>
      <c r="N208" s="531">
        <v>0</v>
      </c>
      <c r="O208" s="533">
        <f t="shared" si="9"/>
        <v>1029</v>
      </c>
      <c r="P208" s="534">
        <f t="shared" si="10"/>
        <v>4.0273972602739724E-2</v>
      </c>
      <c r="Q208" s="534">
        <f t="shared" si="11"/>
        <v>41.441917808219173</v>
      </c>
    </row>
    <row r="209" spans="1:17" ht="15" customHeight="1" x14ac:dyDescent="0.25">
      <c r="A209" s="530" t="s">
        <v>901</v>
      </c>
      <c r="B209" s="530" t="s">
        <v>880</v>
      </c>
      <c r="C209" s="531">
        <v>740</v>
      </c>
      <c r="D209" s="530" t="s">
        <v>902</v>
      </c>
      <c r="E209" s="530" t="s">
        <v>903</v>
      </c>
      <c r="F209" s="531">
        <v>1719</v>
      </c>
      <c r="G209" s="530" t="s">
        <v>296</v>
      </c>
      <c r="H209" s="531">
        <v>1685</v>
      </c>
      <c r="I209" s="531">
        <v>300</v>
      </c>
      <c r="J209" s="531">
        <v>0</v>
      </c>
      <c r="K209" s="532">
        <v>42628</v>
      </c>
      <c r="L209" s="532">
        <v>46248</v>
      </c>
      <c r="M209" s="532">
        <v>46248</v>
      </c>
      <c r="N209" s="531">
        <v>-43</v>
      </c>
      <c r="O209" s="533">
        <f t="shared" si="9"/>
        <v>3599</v>
      </c>
      <c r="P209" s="534">
        <f t="shared" si="10"/>
        <v>2.4164383561643837E-2</v>
      </c>
      <c r="Q209" s="534">
        <f t="shared" si="11"/>
        <v>86.967616438356174</v>
      </c>
    </row>
    <row r="210" spans="1:17" ht="15" customHeight="1" x14ac:dyDescent="0.25">
      <c r="A210" s="530" t="s">
        <v>904</v>
      </c>
      <c r="B210" s="530" t="s">
        <v>815</v>
      </c>
      <c r="C210" s="531">
        <v>1290</v>
      </c>
      <c r="D210" s="530" t="s">
        <v>905</v>
      </c>
      <c r="E210" s="530" t="s">
        <v>906</v>
      </c>
      <c r="F210" s="531">
        <v>2586</v>
      </c>
      <c r="G210" s="530" t="s">
        <v>296</v>
      </c>
      <c r="H210" s="531">
        <v>2081</v>
      </c>
      <c r="I210" s="531">
        <v>500</v>
      </c>
      <c r="J210" s="531">
        <v>0</v>
      </c>
      <c r="K210" s="532">
        <v>44756</v>
      </c>
      <c r="L210" s="532">
        <v>46278</v>
      </c>
      <c r="M210" s="530"/>
      <c r="N210" s="531">
        <v>0</v>
      </c>
      <c r="O210" s="533">
        <f t="shared" si="9"/>
        <v>1471</v>
      </c>
      <c r="P210" s="534">
        <f t="shared" si="10"/>
        <v>4.0273972602739724E-2</v>
      </c>
      <c r="Q210" s="534">
        <f t="shared" si="11"/>
        <v>59.243013698630136</v>
      </c>
    </row>
    <row r="211" spans="1:17" ht="15" customHeight="1" x14ac:dyDescent="0.25">
      <c r="A211" s="530" t="s">
        <v>907</v>
      </c>
      <c r="B211" s="530" t="s">
        <v>815</v>
      </c>
      <c r="C211" s="531">
        <v>1290</v>
      </c>
      <c r="D211" s="530" t="s">
        <v>908</v>
      </c>
      <c r="E211" s="530" t="s">
        <v>909</v>
      </c>
      <c r="F211" s="531">
        <v>2506</v>
      </c>
      <c r="G211" s="530" t="s">
        <v>296</v>
      </c>
      <c r="H211" s="531">
        <v>2540</v>
      </c>
      <c r="I211" s="531">
        <v>500</v>
      </c>
      <c r="J211" s="531">
        <v>0</v>
      </c>
      <c r="K211" s="532">
        <v>44722</v>
      </c>
      <c r="L211" s="532">
        <v>46547</v>
      </c>
      <c r="M211" s="530"/>
      <c r="N211" s="531">
        <v>0</v>
      </c>
      <c r="O211" s="533">
        <f t="shared" si="9"/>
        <v>1505</v>
      </c>
      <c r="P211" s="534">
        <f t="shared" si="10"/>
        <v>4.0273972602739724E-2</v>
      </c>
      <c r="Q211" s="534">
        <f t="shared" si="11"/>
        <v>60.612328767123287</v>
      </c>
    </row>
    <row r="212" spans="1:17" ht="15" customHeight="1" x14ac:dyDescent="0.25">
      <c r="A212" s="530" t="s">
        <v>910</v>
      </c>
      <c r="B212" s="530" t="s">
        <v>795</v>
      </c>
      <c r="C212" s="531">
        <v>812</v>
      </c>
      <c r="D212" s="530" t="s">
        <v>911</v>
      </c>
      <c r="E212" s="530" t="s">
        <v>912</v>
      </c>
      <c r="F212" s="531">
        <v>1961</v>
      </c>
      <c r="G212" s="530" t="s">
        <v>296</v>
      </c>
      <c r="H212" s="531">
        <v>1590</v>
      </c>
      <c r="I212" s="531">
        <v>2942</v>
      </c>
      <c r="J212" s="531">
        <v>0</v>
      </c>
      <c r="K212" s="532">
        <v>45170</v>
      </c>
      <c r="L212" s="532">
        <v>46387</v>
      </c>
      <c r="M212" s="530"/>
      <c r="N212" s="531">
        <v>0</v>
      </c>
      <c r="O212" s="533">
        <f t="shared" si="9"/>
        <v>1057</v>
      </c>
      <c r="P212" s="534">
        <f t="shared" si="10"/>
        <v>0.23697205479452055</v>
      </c>
      <c r="Q212" s="534">
        <f t="shared" si="11"/>
        <v>250.47946191780821</v>
      </c>
    </row>
    <row r="213" spans="1:17" ht="15" customHeight="1" x14ac:dyDescent="0.25">
      <c r="A213" s="530" t="s">
        <v>913</v>
      </c>
      <c r="B213" s="530" t="s">
        <v>799</v>
      </c>
      <c r="C213" s="531">
        <v>1169</v>
      </c>
      <c r="D213" s="530" t="s">
        <v>914</v>
      </c>
      <c r="E213" s="530" t="s">
        <v>915</v>
      </c>
      <c r="F213" s="531">
        <v>2199</v>
      </c>
      <c r="G213" s="530" t="s">
        <v>296</v>
      </c>
      <c r="H213" s="531">
        <v>2059</v>
      </c>
      <c r="I213" s="531">
        <v>500</v>
      </c>
      <c r="J213" s="531">
        <v>0</v>
      </c>
      <c r="K213" s="532">
        <v>45209</v>
      </c>
      <c r="L213" s="532">
        <v>46304</v>
      </c>
      <c r="M213" s="530"/>
      <c r="N213" s="531">
        <v>0</v>
      </c>
      <c r="O213" s="533">
        <f t="shared" si="9"/>
        <v>1018</v>
      </c>
      <c r="P213" s="534">
        <f t="shared" si="10"/>
        <v>4.0273972602739724E-2</v>
      </c>
      <c r="Q213" s="534">
        <f t="shared" si="11"/>
        <v>40.998904109589041</v>
      </c>
    </row>
    <row r="214" spans="1:17" ht="15" customHeight="1" x14ac:dyDescent="0.25">
      <c r="A214" s="530" t="s">
        <v>916</v>
      </c>
      <c r="B214" s="530" t="s">
        <v>795</v>
      </c>
      <c r="C214" s="531">
        <v>812</v>
      </c>
      <c r="D214" s="530" t="s">
        <v>917</v>
      </c>
      <c r="E214" s="530" t="s">
        <v>918</v>
      </c>
      <c r="F214" s="531">
        <v>1961</v>
      </c>
      <c r="G214" s="530" t="s">
        <v>296</v>
      </c>
      <c r="H214" s="531">
        <v>1519</v>
      </c>
      <c r="I214" s="531">
        <v>1519</v>
      </c>
      <c r="J214" s="531">
        <v>0</v>
      </c>
      <c r="K214" s="532">
        <v>45911</v>
      </c>
      <c r="L214" s="532">
        <v>46366</v>
      </c>
      <c r="M214" s="530"/>
      <c r="N214" s="531">
        <v>0</v>
      </c>
      <c r="O214" s="533">
        <f t="shared" si="9"/>
        <v>316</v>
      </c>
      <c r="P214" s="534">
        <f t="shared" si="10"/>
        <v>0.12235232876712329</v>
      </c>
      <c r="Q214" s="534">
        <f t="shared" si="11"/>
        <v>38.663335890410963</v>
      </c>
    </row>
    <row r="215" spans="1:17" ht="15" customHeight="1" x14ac:dyDescent="0.25">
      <c r="A215" s="530" t="s">
        <v>919</v>
      </c>
      <c r="B215" s="530" t="s">
        <v>795</v>
      </c>
      <c r="C215" s="531">
        <v>812</v>
      </c>
      <c r="D215" s="530" t="s">
        <v>920</v>
      </c>
      <c r="E215" s="530" t="s">
        <v>921</v>
      </c>
      <c r="F215" s="531">
        <v>1881</v>
      </c>
      <c r="G215" s="530" t="s">
        <v>296</v>
      </c>
      <c r="H215" s="531">
        <v>1751</v>
      </c>
      <c r="I215" s="531">
        <v>500</v>
      </c>
      <c r="J215" s="531">
        <v>0</v>
      </c>
      <c r="K215" s="532">
        <v>45723</v>
      </c>
      <c r="L215" s="532">
        <v>46544</v>
      </c>
      <c r="M215" s="530"/>
      <c r="N215" s="531">
        <v>0</v>
      </c>
      <c r="O215" s="533">
        <f t="shared" si="9"/>
        <v>504</v>
      </c>
      <c r="P215" s="534">
        <f t="shared" si="10"/>
        <v>4.0273972602739724E-2</v>
      </c>
      <c r="Q215" s="534">
        <f t="shared" si="11"/>
        <v>20.298082191780821</v>
      </c>
    </row>
    <row r="216" spans="1:17" ht="15" customHeight="1" x14ac:dyDescent="0.25">
      <c r="A216" s="530" t="s">
        <v>922</v>
      </c>
      <c r="B216" s="530" t="s">
        <v>799</v>
      </c>
      <c r="C216" s="531">
        <v>1169</v>
      </c>
      <c r="D216" s="530" t="s">
        <v>923</v>
      </c>
      <c r="E216" s="530" t="s">
        <v>924</v>
      </c>
      <c r="F216" s="531">
        <v>2279</v>
      </c>
      <c r="G216" s="530" t="s">
        <v>296</v>
      </c>
      <c r="H216" s="531">
        <v>2232</v>
      </c>
      <c r="I216" s="531">
        <v>500</v>
      </c>
      <c r="J216" s="531">
        <v>0</v>
      </c>
      <c r="K216" s="532">
        <v>45868</v>
      </c>
      <c r="L216" s="532">
        <v>46232</v>
      </c>
      <c r="M216" s="532">
        <v>46234</v>
      </c>
      <c r="N216" s="531">
        <v>2242.75</v>
      </c>
      <c r="O216" s="533">
        <f t="shared" si="9"/>
        <v>359</v>
      </c>
      <c r="P216" s="534">
        <f t="shared" si="10"/>
        <v>4.0273972602739724E-2</v>
      </c>
      <c r="Q216" s="534">
        <f t="shared" si="11"/>
        <v>14.458356164383561</v>
      </c>
    </row>
    <row r="217" spans="1:17" ht="15" customHeight="1" x14ac:dyDescent="0.25">
      <c r="A217" s="530" t="s">
        <v>925</v>
      </c>
      <c r="B217" s="530" t="s">
        <v>795</v>
      </c>
      <c r="C217" s="531">
        <v>812</v>
      </c>
      <c r="D217" s="530" t="s">
        <v>926</v>
      </c>
      <c r="E217" s="530" t="s">
        <v>927</v>
      </c>
      <c r="F217" s="531">
        <v>1881</v>
      </c>
      <c r="G217" s="530" t="s">
        <v>296</v>
      </c>
      <c r="H217" s="531">
        <v>1468</v>
      </c>
      <c r="I217" s="531">
        <v>500</v>
      </c>
      <c r="J217" s="531">
        <v>0</v>
      </c>
      <c r="K217" s="532">
        <v>46017</v>
      </c>
      <c r="L217" s="532">
        <v>46384</v>
      </c>
      <c r="M217" s="530"/>
      <c r="N217" s="531">
        <v>-1700.09</v>
      </c>
      <c r="O217" s="533">
        <f t="shared" si="9"/>
        <v>210</v>
      </c>
      <c r="P217" s="534">
        <f t="shared" si="10"/>
        <v>4.0273972602739724E-2</v>
      </c>
      <c r="Q217" s="534">
        <f t="shared" si="11"/>
        <v>8.4575342465753423</v>
      </c>
    </row>
    <row r="218" spans="1:17" ht="15" customHeight="1" x14ac:dyDescent="0.25">
      <c r="A218" s="530" t="s">
        <v>928</v>
      </c>
      <c r="B218" s="530" t="s">
        <v>929</v>
      </c>
      <c r="C218" s="531">
        <v>810</v>
      </c>
      <c r="D218" s="530" t="s">
        <v>930</v>
      </c>
      <c r="E218" s="530" t="s">
        <v>931</v>
      </c>
      <c r="F218" s="531">
        <v>1667</v>
      </c>
      <c r="G218" s="530" t="s">
        <v>296</v>
      </c>
      <c r="H218" s="531">
        <v>1311</v>
      </c>
      <c r="I218" s="531">
        <v>500</v>
      </c>
      <c r="J218" s="531">
        <v>0</v>
      </c>
      <c r="K218" s="532">
        <v>45948</v>
      </c>
      <c r="L218" s="532">
        <v>46405</v>
      </c>
      <c r="M218" s="530"/>
      <c r="N218" s="531">
        <v>0</v>
      </c>
      <c r="O218" s="533">
        <f t="shared" si="9"/>
        <v>279</v>
      </c>
      <c r="P218" s="534">
        <f t="shared" si="10"/>
        <v>4.0273972602739724E-2</v>
      </c>
      <c r="Q218" s="534">
        <f t="shared" si="11"/>
        <v>11.236438356164383</v>
      </c>
    </row>
    <row r="219" spans="1:17" ht="15" customHeight="1" x14ac:dyDescent="0.25">
      <c r="A219" s="530" t="s">
        <v>932</v>
      </c>
      <c r="B219" s="530" t="s">
        <v>880</v>
      </c>
      <c r="C219" s="531">
        <v>740</v>
      </c>
      <c r="D219" s="530" t="s">
        <v>933</v>
      </c>
      <c r="E219" s="530" t="s">
        <v>934</v>
      </c>
      <c r="F219" s="531">
        <v>1794</v>
      </c>
      <c r="G219" s="530" t="s">
        <v>296</v>
      </c>
      <c r="H219" s="531">
        <v>1525</v>
      </c>
      <c r="I219" s="531">
        <v>500</v>
      </c>
      <c r="J219" s="531">
        <v>0</v>
      </c>
      <c r="K219" s="532">
        <v>45762</v>
      </c>
      <c r="L219" s="532">
        <v>46309</v>
      </c>
      <c r="M219" s="530"/>
      <c r="N219" s="531">
        <v>0</v>
      </c>
      <c r="O219" s="533">
        <f t="shared" si="9"/>
        <v>465</v>
      </c>
      <c r="P219" s="534">
        <f t="shared" si="10"/>
        <v>4.0273972602739724E-2</v>
      </c>
      <c r="Q219" s="534">
        <f t="shared" si="11"/>
        <v>18.727397260273971</v>
      </c>
    </row>
    <row r="220" spans="1:17" ht="15" customHeight="1" x14ac:dyDescent="0.25">
      <c r="A220" s="530" t="s">
        <v>935</v>
      </c>
      <c r="B220" s="530" t="s">
        <v>880</v>
      </c>
      <c r="C220" s="531">
        <v>740</v>
      </c>
      <c r="D220" s="530" t="s">
        <v>936</v>
      </c>
      <c r="E220" s="530" t="s">
        <v>937</v>
      </c>
      <c r="F220" s="531">
        <v>1794</v>
      </c>
      <c r="G220" s="530" t="s">
        <v>296</v>
      </c>
      <c r="H220" s="531">
        <v>1691</v>
      </c>
      <c r="I220" s="531">
        <v>300</v>
      </c>
      <c r="J220" s="531">
        <v>0</v>
      </c>
      <c r="K220" s="532">
        <v>44037</v>
      </c>
      <c r="L220" s="532">
        <v>46501</v>
      </c>
      <c r="M220" s="530"/>
      <c r="N220" s="531">
        <v>0</v>
      </c>
      <c r="O220" s="533">
        <f t="shared" si="9"/>
        <v>2190</v>
      </c>
      <c r="P220" s="534">
        <f t="shared" si="10"/>
        <v>2.4164383561643837E-2</v>
      </c>
      <c r="Q220" s="534">
        <f t="shared" si="11"/>
        <v>52.92</v>
      </c>
    </row>
    <row r="221" spans="1:17" ht="15" customHeight="1" x14ac:dyDescent="0.25">
      <c r="A221" s="530" t="s">
        <v>938</v>
      </c>
      <c r="B221" s="530" t="s">
        <v>795</v>
      </c>
      <c r="C221" s="531">
        <v>812</v>
      </c>
      <c r="D221" s="530" t="s">
        <v>939</v>
      </c>
      <c r="E221" s="530" t="s">
        <v>940</v>
      </c>
      <c r="F221" s="531">
        <v>1956</v>
      </c>
      <c r="G221" s="530" t="s">
        <v>296</v>
      </c>
      <c r="H221" s="531">
        <v>1723</v>
      </c>
      <c r="I221" s="531">
        <v>500</v>
      </c>
      <c r="J221" s="531">
        <v>0</v>
      </c>
      <c r="K221" s="532">
        <v>45785</v>
      </c>
      <c r="L221" s="532">
        <v>46575</v>
      </c>
      <c r="M221" s="530"/>
      <c r="N221" s="531">
        <v>0</v>
      </c>
      <c r="O221" s="533">
        <f t="shared" si="9"/>
        <v>442</v>
      </c>
      <c r="P221" s="534">
        <f t="shared" si="10"/>
        <v>4.0273972602739724E-2</v>
      </c>
      <c r="Q221" s="534">
        <f t="shared" si="11"/>
        <v>17.801095890410959</v>
      </c>
    </row>
    <row r="222" spans="1:17" ht="15" customHeight="1" x14ac:dyDescent="0.25">
      <c r="A222" s="530" t="s">
        <v>941</v>
      </c>
      <c r="B222" s="530" t="s">
        <v>942</v>
      </c>
      <c r="C222" s="531">
        <v>1166</v>
      </c>
      <c r="D222" s="530" t="s">
        <v>943</v>
      </c>
      <c r="E222" s="530" t="s">
        <v>944</v>
      </c>
      <c r="F222" s="531">
        <v>2163</v>
      </c>
      <c r="G222" s="530" t="s">
        <v>296</v>
      </c>
      <c r="H222" s="531">
        <v>2019</v>
      </c>
      <c r="I222" s="531">
        <v>0</v>
      </c>
      <c r="J222" s="531">
        <v>0</v>
      </c>
      <c r="K222" s="532">
        <v>46153</v>
      </c>
      <c r="L222" s="532">
        <v>46609</v>
      </c>
      <c r="M222" s="530"/>
      <c r="N222" s="531">
        <v>0</v>
      </c>
      <c r="O222" s="533">
        <f t="shared" si="9"/>
        <v>74</v>
      </c>
      <c r="P222" s="534">
        <f t="shared" si="10"/>
        <v>0</v>
      </c>
      <c r="Q222" s="534">
        <f t="shared" si="11"/>
        <v>0</v>
      </c>
    </row>
    <row r="223" spans="1:17" ht="15" customHeight="1" x14ac:dyDescent="0.25">
      <c r="A223" s="530" t="s">
        <v>945</v>
      </c>
      <c r="B223" s="530" t="s">
        <v>799</v>
      </c>
      <c r="C223" s="531">
        <v>1169</v>
      </c>
      <c r="D223" s="530" t="s">
        <v>946</v>
      </c>
      <c r="E223" s="530" t="s">
        <v>947</v>
      </c>
      <c r="F223" s="531">
        <v>2354</v>
      </c>
      <c r="G223" s="530" t="s">
        <v>296</v>
      </c>
      <c r="H223" s="531">
        <v>2385</v>
      </c>
      <c r="I223" s="531">
        <v>500</v>
      </c>
      <c r="J223" s="531">
        <v>0</v>
      </c>
      <c r="K223" s="532">
        <v>45887</v>
      </c>
      <c r="L223" s="532">
        <v>46282</v>
      </c>
      <c r="M223" s="530"/>
      <c r="N223" s="531">
        <v>0</v>
      </c>
      <c r="O223" s="533">
        <f t="shared" si="9"/>
        <v>340</v>
      </c>
      <c r="P223" s="534">
        <f t="shared" si="10"/>
        <v>4.0273972602739724E-2</v>
      </c>
      <c r="Q223" s="534">
        <f t="shared" si="11"/>
        <v>13.693150684931506</v>
      </c>
    </row>
    <row r="224" spans="1:17" ht="15" customHeight="1" x14ac:dyDescent="0.25">
      <c r="A224" s="530" t="s">
        <v>948</v>
      </c>
      <c r="B224" s="530" t="s">
        <v>795</v>
      </c>
      <c r="C224" s="531">
        <v>812</v>
      </c>
      <c r="D224" s="530" t="s">
        <v>949</v>
      </c>
      <c r="E224" s="530" t="s">
        <v>950</v>
      </c>
      <c r="F224" s="531">
        <v>1956</v>
      </c>
      <c r="G224" s="530" t="s">
        <v>331</v>
      </c>
      <c r="H224" s="531">
        <v>1767</v>
      </c>
      <c r="I224" s="531">
        <v>500</v>
      </c>
      <c r="J224" s="531">
        <v>0</v>
      </c>
      <c r="K224" s="532">
        <v>45728</v>
      </c>
      <c r="L224" s="532">
        <v>46538</v>
      </c>
      <c r="M224" s="530"/>
      <c r="N224" s="531">
        <v>-6</v>
      </c>
      <c r="O224" s="533">
        <f t="shared" si="9"/>
        <v>499</v>
      </c>
      <c r="P224" s="534">
        <f t="shared" si="10"/>
        <v>4.0273972602739724E-2</v>
      </c>
      <c r="Q224" s="534">
        <f t="shared" si="11"/>
        <v>20.096712328767122</v>
      </c>
    </row>
    <row r="225" spans="1:17" ht="15" customHeight="1" x14ac:dyDescent="0.25">
      <c r="A225" s="530" t="s">
        <v>951</v>
      </c>
      <c r="B225" s="530" t="s">
        <v>880</v>
      </c>
      <c r="C225" s="531">
        <v>740</v>
      </c>
      <c r="D225" s="530" t="s">
        <v>952</v>
      </c>
      <c r="E225" s="530" t="s">
        <v>953</v>
      </c>
      <c r="F225" s="531">
        <v>1969</v>
      </c>
      <c r="G225" s="530" t="s">
        <v>296</v>
      </c>
      <c r="H225" s="531">
        <v>1522</v>
      </c>
      <c r="I225" s="531">
        <v>300</v>
      </c>
      <c r="J225" s="531">
        <v>0</v>
      </c>
      <c r="K225" s="532">
        <v>44169</v>
      </c>
      <c r="L225" s="532">
        <v>46390</v>
      </c>
      <c r="M225" s="530"/>
      <c r="N225" s="531">
        <v>0</v>
      </c>
      <c r="O225" s="533">
        <f t="shared" si="9"/>
        <v>2058</v>
      </c>
      <c r="P225" s="534">
        <f t="shared" si="10"/>
        <v>2.4164383561643837E-2</v>
      </c>
      <c r="Q225" s="534">
        <f t="shared" si="11"/>
        <v>49.730301369863014</v>
      </c>
    </row>
    <row r="226" spans="1:17" ht="15" customHeight="1" x14ac:dyDescent="0.25">
      <c r="A226" s="530" t="s">
        <v>954</v>
      </c>
      <c r="B226" s="530" t="s">
        <v>880</v>
      </c>
      <c r="C226" s="531">
        <v>740</v>
      </c>
      <c r="D226" s="530" t="s">
        <v>955</v>
      </c>
      <c r="E226" s="530" t="s">
        <v>956</v>
      </c>
      <c r="F226" s="531">
        <v>1794</v>
      </c>
      <c r="G226" s="530" t="s">
        <v>296</v>
      </c>
      <c r="H226" s="531">
        <v>1522</v>
      </c>
      <c r="I226" s="531">
        <v>500</v>
      </c>
      <c r="J226" s="531">
        <v>0</v>
      </c>
      <c r="K226" s="532">
        <v>45632</v>
      </c>
      <c r="L226" s="532">
        <v>46392</v>
      </c>
      <c r="M226" s="530"/>
      <c r="N226" s="531">
        <v>35</v>
      </c>
      <c r="O226" s="533">
        <f t="shared" si="9"/>
        <v>595</v>
      </c>
      <c r="P226" s="534">
        <f t="shared" si="10"/>
        <v>4.0273972602739724E-2</v>
      </c>
      <c r="Q226" s="534">
        <f t="shared" si="11"/>
        <v>23.963013698630135</v>
      </c>
    </row>
    <row r="227" spans="1:17" ht="15" customHeight="1" x14ac:dyDescent="0.25">
      <c r="A227" s="530" t="s">
        <v>957</v>
      </c>
      <c r="B227" s="530" t="s">
        <v>815</v>
      </c>
      <c r="C227" s="531">
        <v>1290</v>
      </c>
      <c r="D227" s="530" t="s">
        <v>958</v>
      </c>
      <c r="E227" s="530" t="s">
        <v>959</v>
      </c>
      <c r="F227" s="531">
        <v>2661</v>
      </c>
      <c r="G227" s="530" t="s">
        <v>296</v>
      </c>
      <c r="H227" s="531">
        <v>2373</v>
      </c>
      <c r="I227" s="531">
        <v>500</v>
      </c>
      <c r="J227" s="531">
        <v>0</v>
      </c>
      <c r="K227" s="532">
        <v>45453</v>
      </c>
      <c r="L227" s="532">
        <v>46669</v>
      </c>
      <c r="M227" s="530"/>
      <c r="N227" s="531">
        <v>0</v>
      </c>
      <c r="O227" s="533">
        <f t="shared" si="9"/>
        <v>774</v>
      </c>
      <c r="P227" s="534">
        <f t="shared" si="10"/>
        <v>4.0273972602739724E-2</v>
      </c>
      <c r="Q227" s="534">
        <f t="shared" si="11"/>
        <v>31.172054794520548</v>
      </c>
    </row>
    <row r="228" spans="1:17" ht="14.1" customHeight="1" x14ac:dyDescent="0.25">
      <c r="A228" s="530" t="s">
        <v>960</v>
      </c>
      <c r="B228" s="530" t="s">
        <v>815</v>
      </c>
      <c r="C228" s="531">
        <v>1290</v>
      </c>
      <c r="D228" s="530" t="s">
        <v>961</v>
      </c>
      <c r="E228" s="530" t="s">
        <v>962</v>
      </c>
      <c r="F228" s="531">
        <v>2581</v>
      </c>
      <c r="G228" s="530" t="s">
        <v>296</v>
      </c>
      <c r="H228" s="531">
        <v>2283</v>
      </c>
      <c r="I228" s="531">
        <v>300</v>
      </c>
      <c r="J228" s="531">
        <v>0</v>
      </c>
      <c r="K228" s="532">
        <v>44069</v>
      </c>
      <c r="L228" s="532">
        <v>46290</v>
      </c>
      <c r="M228" s="530"/>
      <c r="N228" s="531">
        <v>0</v>
      </c>
      <c r="O228" s="533">
        <f t="shared" si="9"/>
        <v>2158</v>
      </c>
      <c r="P228" s="534">
        <f t="shared" si="10"/>
        <v>2.4164383561643837E-2</v>
      </c>
      <c r="Q228" s="534">
        <f t="shared" si="11"/>
        <v>52.146739726027398</v>
      </c>
    </row>
    <row r="229" spans="1:17" ht="15" customHeight="1" x14ac:dyDescent="0.25">
      <c r="A229" s="530" t="s">
        <v>963</v>
      </c>
      <c r="B229" s="530" t="s">
        <v>795</v>
      </c>
      <c r="C229" s="531">
        <v>812</v>
      </c>
      <c r="D229" s="530" t="s">
        <v>14205</v>
      </c>
      <c r="E229" s="530" t="s">
        <v>14206</v>
      </c>
      <c r="F229" s="531">
        <v>2036</v>
      </c>
      <c r="G229" s="530" t="s">
        <v>296</v>
      </c>
      <c r="H229" s="531">
        <v>1620</v>
      </c>
      <c r="I229" s="531">
        <v>0</v>
      </c>
      <c r="J229" s="531">
        <v>0</v>
      </c>
      <c r="K229" s="532">
        <v>46218</v>
      </c>
      <c r="L229" s="532">
        <v>46582</v>
      </c>
      <c r="M229" s="530"/>
      <c r="N229" s="531">
        <v>0</v>
      </c>
      <c r="O229" s="533">
        <f t="shared" si="9"/>
        <v>9</v>
      </c>
      <c r="P229" s="534">
        <f t="shared" si="10"/>
        <v>0</v>
      </c>
      <c r="Q229" s="534">
        <f t="shared" si="11"/>
        <v>0</v>
      </c>
    </row>
    <row r="230" spans="1:17" ht="15" customHeight="1" x14ac:dyDescent="0.25">
      <c r="A230" s="530" t="s">
        <v>964</v>
      </c>
      <c r="B230" s="530" t="s">
        <v>795</v>
      </c>
      <c r="C230" s="531">
        <v>812</v>
      </c>
      <c r="D230" s="530" t="s">
        <v>965</v>
      </c>
      <c r="E230" s="530" t="s">
        <v>966</v>
      </c>
      <c r="F230" s="531">
        <v>1956</v>
      </c>
      <c r="G230" s="530" t="s">
        <v>296</v>
      </c>
      <c r="H230" s="531">
        <v>1573</v>
      </c>
      <c r="I230" s="531">
        <v>300</v>
      </c>
      <c r="J230" s="531">
        <v>0</v>
      </c>
      <c r="K230" s="532">
        <v>44247</v>
      </c>
      <c r="L230" s="532">
        <v>46437</v>
      </c>
      <c r="M230" s="530"/>
      <c r="N230" s="531">
        <v>0</v>
      </c>
      <c r="O230" s="533">
        <f t="shared" si="9"/>
        <v>1980</v>
      </c>
      <c r="P230" s="534">
        <f t="shared" si="10"/>
        <v>2.4164383561643837E-2</v>
      </c>
      <c r="Q230" s="534">
        <f t="shared" si="11"/>
        <v>47.845479452054796</v>
      </c>
    </row>
    <row r="231" spans="1:17" ht="15" customHeight="1" x14ac:dyDescent="0.25">
      <c r="A231" s="530" t="s">
        <v>967</v>
      </c>
      <c r="B231" s="530" t="s">
        <v>799</v>
      </c>
      <c r="C231" s="531">
        <v>1169</v>
      </c>
      <c r="D231" s="530" t="s">
        <v>968</v>
      </c>
      <c r="E231" s="530" t="s">
        <v>969</v>
      </c>
      <c r="F231" s="531">
        <v>2274</v>
      </c>
      <c r="G231" s="530" t="s">
        <v>296</v>
      </c>
      <c r="H231" s="531">
        <v>2250</v>
      </c>
      <c r="I231" s="531">
        <v>500</v>
      </c>
      <c r="J231" s="531">
        <v>0</v>
      </c>
      <c r="K231" s="532">
        <v>45799</v>
      </c>
      <c r="L231" s="532">
        <v>46557</v>
      </c>
      <c r="M231" s="530"/>
      <c r="N231" s="531">
        <v>0</v>
      </c>
      <c r="O231" s="533">
        <f t="shared" si="9"/>
        <v>428</v>
      </c>
      <c r="P231" s="534">
        <f t="shared" si="10"/>
        <v>4.0273972602739724E-2</v>
      </c>
      <c r="Q231" s="534">
        <f t="shared" si="11"/>
        <v>17.237260273972602</v>
      </c>
    </row>
    <row r="232" spans="1:17" ht="15" customHeight="1" x14ac:dyDescent="0.25">
      <c r="A232" s="530" t="s">
        <v>970</v>
      </c>
      <c r="B232" s="530" t="s">
        <v>795</v>
      </c>
      <c r="C232" s="531">
        <v>812</v>
      </c>
      <c r="D232" s="530" t="s">
        <v>971</v>
      </c>
      <c r="E232" s="530" t="s">
        <v>972</v>
      </c>
      <c r="F232" s="531">
        <v>1956</v>
      </c>
      <c r="G232" s="530" t="s">
        <v>296</v>
      </c>
      <c r="H232" s="531">
        <v>1779</v>
      </c>
      <c r="I232" s="531">
        <v>500</v>
      </c>
      <c r="J232" s="531">
        <v>0</v>
      </c>
      <c r="K232" s="532">
        <v>45131</v>
      </c>
      <c r="L232" s="532">
        <v>46406</v>
      </c>
      <c r="M232" s="530"/>
      <c r="N232" s="531">
        <v>0</v>
      </c>
      <c r="O232" s="533">
        <f t="shared" si="9"/>
        <v>1096</v>
      </c>
      <c r="P232" s="534">
        <f t="shared" si="10"/>
        <v>4.0273972602739724E-2</v>
      </c>
      <c r="Q232" s="534">
        <f t="shared" si="11"/>
        <v>44.140273972602735</v>
      </c>
    </row>
    <row r="233" spans="1:17" ht="15" customHeight="1" x14ac:dyDescent="0.25">
      <c r="A233" s="530" t="s">
        <v>973</v>
      </c>
      <c r="B233" s="530" t="s">
        <v>795</v>
      </c>
      <c r="C233" s="531">
        <v>812</v>
      </c>
      <c r="D233" s="530" t="s">
        <v>974</v>
      </c>
      <c r="E233" s="530" t="s">
        <v>975</v>
      </c>
      <c r="F233" s="531">
        <v>1956</v>
      </c>
      <c r="G233" s="530" t="s">
        <v>296</v>
      </c>
      <c r="H233" s="531">
        <v>1860</v>
      </c>
      <c r="I233" s="531">
        <v>500</v>
      </c>
      <c r="J233" s="531">
        <v>0</v>
      </c>
      <c r="K233" s="532">
        <v>44817</v>
      </c>
      <c r="L233" s="532">
        <v>46277</v>
      </c>
      <c r="M233" s="530"/>
      <c r="N233" s="531">
        <v>0</v>
      </c>
      <c r="O233" s="533">
        <f t="shared" si="9"/>
        <v>1410</v>
      </c>
      <c r="P233" s="534">
        <f t="shared" si="10"/>
        <v>4.0273972602739724E-2</v>
      </c>
      <c r="Q233" s="534">
        <f t="shared" si="11"/>
        <v>56.786301369863011</v>
      </c>
    </row>
    <row r="234" spans="1:17" ht="15" customHeight="1" x14ac:dyDescent="0.25">
      <c r="A234" s="530" t="s">
        <v>976</v>
      </c>
      <c r="B234" s="530" t="s">
        <v>799</v>
      </c>
      <c r="C234" s="531">
        <v>1169</v>
      </c>
      <c r="D234" s="530" t="s">
        <v>977</v>
      </c>
      <c r="E234" s="530" t="s">
        <v>978</v>
      </c>
      <c r="F234" s="531">
        <v>2454</v>
      </c>
      <c r="G234" s="530" t="s">
        <v>296</v>
      </c>
      <c r="H234" s="531">
        <v>2470</v>
      </c>
      <c r="I234" s="531">
        <v>0</v>
      </c>
      <c r="J234" s="531">
        <v>0</v>
      </c>
      <c r="K234" s="532">
        <v>46161</v>
      </c>
      <c r="L234" s="532">
        <v>46440</v>
      </c>
      <c r="M234" s="530"/>
      <c r="N234" s="531">
        <v>-128.62</v>
      </c>
      <c r="O234" s="533">
        <f t="shared" si="9"/>
        <v>66</v>
      </c>
      <c r="P234" s="534">
        <f t="shared" si="10"/>
        <v>0</v>
      </c>
      <c r="Q234" s="534">
        <f t="shared" si="11"/>
        <v>0</v>
      </c>
    </row>
    <row r="235" spans="1:17" ht="15" customHeight="1" x14ac:dyDescent="0.25">
      <c r="A235" s="530" t="s">
        <v>979</v>
      </c>
      <c r="B235" s="530" t="s">
        <v>795</v>
      </c>
      <c r="C235" s="531">
        <v>812</v>
      </c>
      <c r="D235" s="530" t="s">
        <v>14207</v>
      </c>
      <c r="E235" s="530" t="s">
        <v>14208</v>
      </c>
      <c r="F235" s="531">
        <v>1956</v>
      </c>
      <c r="G235" s="530" t="s">
        <v>296</v>
      </c>
      <c r="H235" s="531">
        <v>1554</v>
      </c>
      <c r="I235" s="531">
        <v>0</v>
      </c>
      <c r="J235" s="531">
        <v>0</v>
      </c>
      <c r="K235" s="532">
        <v>46223</v>
      </c>
      <c r="L235" s="532">
        <v>46622</v>
      </c>
      <c r="M235" s="530"/>
      <c r="N235" s="531">
        <v>0</v>
      </c>
      <c r="O235" s="533">
        <f t="shared" si="9"/>
        <v>4</v>
      </c>
      <c r="P235" s="534">
        <f t="shared" si="10"/>
        <v>0</v>
      </c>
      <c r="Q235" s="534">
        <f t="shared" si="11"/>
        <v>0</v>
      </c>
    </row>
    <row r="236" spans="1:17" ht="15" customHeight="1" x14ac:dyDescent="0.25">
      <c r="A236" s="530" t="s">
        <v>980</v>
      </c>
      <c r="B236" s="530" t="s">
        <v>795</v>
      </c>
      <c r="C236" s="531">
        <v>812</v>
      </c>
      <c r="D236" s="530" t="s">
        <v>981</v>
      </c>
      <c r="E236" s="530" t="s">
        <v>982</v>
      </c>
      <c r="F236" s="531">
        <v>2131</v>
      </c>
      <c r="G236" s="530" t="s">
        <v>296</v>
      </c>
      <c r="H236" s="531">
        <v>1565</v>
      </c>
      <c r="I236" s="531">
        <v>500</v>
      </c>
      <c r="J236" s="531">
        <v>0</v>
      </c>
      <c r="K236" s="532">
        <v>45872</v>
      </c>
      <c r="L236" s="532">
        <v>46236</v>
      </c>
      <c r="M236" s="530"/>
      <c r="N236" s="531">
        <v>0</v>
      </c>
      <c r="O236" s="533">
        <f t="shared" si="9"/>
        <v>355</v>
      </c>
      <c r="P236" s="534">
        <f t="shared" si="10"/>
        <v>4.0273972602739724E-2</v>
      </c>
      <c r="Q236" s="534">
        <f t="shared" si="11"/>
        <v>14.297260273972602</v>
      </c>
    </row>
    <row r="237" spans="1:17" ht="15" customHeight="1" x14ac:dyDescent="0.25">
      <c r="A237" s="530" t="s">
        <v>983</v>
      </c>
      <c r="B237" s="530" t="s">
        <v>795</v>
      </c>
      <c r="C237" s="531">
        <v>812</v>
      </c>
      <c r="D237" s="530" t="s">
        <v>984</v>
      </c>
      <c r="E237" s="530" t="s">
        <v>985</v>
      </c>
      <c r="F237" s="531">
        <v>1931</v>
      </c>
      <c r="G237" s="530" t="s">
        <v>296</v>
      </c>
      <c r="H237" s="531">
        <v>1590</v>
      </c>
      <c r="I237" s="531">
        <v>500</v>
      </c>
      <c r="J237" s="531">
        <v>0</v>
      </c>
      <c r="K237" s="532">
        <v>45554</v>
      </c>
      <c r="L237" s="532">
        <v>46374</v>
      </c>
      <c r="M237" s="530"/>
      <c r="N237" s="531">
        <v>0</v>
      </c>
      <c r="O237" s="533">
        <f t="shared" si="9"/>
        <v>673</v>
      </c>
      <c r="P237" s="534">
        <f t="shared" si="10"/>
        <v>4.0273972602739724E-2</v>
      </c>
      <c r="Q237" s="534">
        <f t="shared" si="11"/>
        <v>27.104383561643836</v>
      </c>
    </row>
    <row r="238" spans="1:17" ht="15" customHeight="1" x14ac:dyDescent="0.25">
      <c r="A238" s="530" t="s">
        <v>14209</v>
      </c>
      <c r="B238" s="530" t="s">
        <v>880</v>
      </c>
      <c r="C238" s="531">
        <v>740</v>
      </c>
      <c r="D238" s="530" t="s">
        <v>14210</v>
      </c>
      <c r="E238" s="530" t="s">
        <v>14211</v>
      </c>
      <c r="F238" s="531">
        <v>1769</v>
      </c>
      <c r="G238" s="530" t="s">
        <v>296</v>
      </c>
      <c r="H238" s="531">
        <v>1764</v>
      </c>
      <c r="I238" s="531">
        <v>0</v>
      </c>
      <c r="J238" s="531">
        <v>0</v>
      </c>
      <c r="K238" s="532">
        <v>46202</v>
      </c>
      <c r="L238" s="532">
        <v>46594</v>
      </c>
      <c r="M238" s="530"/>
      <c r="N238" s="531">
        <v>0</v>
      </c>
      <c r="O238" s="533">
        <f t="shared" si="9"/>
        <v>25</v>
      </c>
      <c r="P238" s="534">
        <f t="shared" si="10"/>
        <v>0</v>
      </c>
      <c r="Q238" s="534">
        <f t="shared" si="11"/>
        <v>0</v>
      </c>
    </row>
    <row r="239" spans="1:17" ht="15" customHeight="1" x14ac:dyDescent="0.25">
      <c r="A239" s="530" t="s">
        <v>986</v>
      </c>
      <c r="B239" s="530" t="s">
        <v>799</v>
      </c>
      <c r="C239" s="531">
        <v>1169</v>
      </c>
      <c r="D239" s="530" t="s">
        <v>987</v>
      </c>
      <c r="E239" s="530" t="s">
        <v>988</v>
      </c>
      <c r="F239" s="531">
        <v>2329</v>
      </c>
      <c r="G239" s="530" t="s">
        <v>296</v>
      </c>
      <c r="H239" s="531">
        <v>1929</v>
      </c>
      <c r="I239" s="531">
        <v>500</v>
      </c>
      <c r="J239" s="531">
        <v>0</v>
      </c>
      <c r="K239" s="532">
        <v>45186</v>
      </c>
      <c r="L239" s="532">
        <v>46342</v>
      </c>
      <c r="M239" s="530"/>
      <c r="N239" s="531">
        <v>0</v>
      </c>
      <c r="O239" s="533">
        <f t="shared" si="9"/>
        <v>1041</v>
      </c>
      <c r="P239" s="534">
        <f t="shared" si="10"/>
        <v>4.0273972602739724E-2</v>
      </c>
      <c r="Q239" s="534">
        <f t="shared" si="11"/>
        <v>41.925205479452053</v>
      </c>
    </row>
    <row r="240" spans="1:17" ht="15" customHeight="1" x14ac:dyDescent="0.25">
      <c r="A240" s="530" t="s">
        <v>989</v>
      </c>
      <c r="B240" s="530" t="s">
        <v>815</v>
      </c>
      <c r="C240" s="531">
        <v>1290</v>
      </c>
      <c r="D240" s="530" t="s">
        <v>990</v>
      </c>
      <c r="E240" s="530" t="s">
        <v>991</v>
      </c>
      <c r="F240" s="531">
        <v>2636</v>
      </c>
      <c r="G240" s="530" t="s">
        <v>296</v>
      </c>
      <c r="H240" s="531">
        <v>1992</v>
      </c>
      <c r="I240" s="531">
        <v>500</v>
      </c>
      <c r="J240" s="531">
        <v>0</v>
      </c>
      <c r="K240" s="532">
        <v>45118</v>
      </c>
      <c r="L240" s="532">
        <v>46261</v>
      </c>
      <c r="M240" s="532">
        <v>46263</v>
      </c>
      <c r="N240" s="531">
        <v>0</v>
      </c>
      <c r="O240" s="533">
        <f t="shared" si="9"/>
        <v>1109</v>
      </c>
      <c r="P240" s="534">
        <f t="shared" si="10"/>
        <v>4.0273972602739724E-2</v>
      </c>
      <c r="Q240" s="534">
        <f t="shared" si="11"/>
        <v>44.663835616438355</v>
      </c>
    </row>
    <row r="241" spans="1:17" ht="15" customHeight="1" x14ac:dyDescent="0.25">
      <c r="A241" s="530" t="s">
        <v>992</v>
      </c>
      <c r="B241" s="530" t="s">
        <v>815</v>
      </c>
      <c r="C241" s="531">
        <v>1290</v>
      </c>
      <c r="D241" s="530" t="s">
        <v>993</v>
      </c>
      <c r="E241" s="530" t="s">
        <v>994</v>
      </c>
      <c r="F241" s="531">
        <v>2556</v>
      </c>
      <c r="G241" s="530" t="s">
        <v>296</v>
      </c>
      <c r="H241" s="531">
        <v>2181</v>
      </c>
      <c r="I241" s="531">
        <v>500</v>
      </c>
      <c r="J241" s="531">
        <v>0</v>
      </c>
      <c r="K241" s="532">
        <v>45539</v>
      </c>
      <c r="L241" s="532">
        <v>46304</v>
      </c>
      <c r="M241" s="530"/>
      <c r="N241" s="531">
        <v>2491.64</v>
      </c>
      <c r="O241" s="533">
        <f t="shared" si="9"/>
        <v>688</v>
      </c>
      <c r="P241" s="534">
        <f t="shared" si="10"/>
        <v>4.0273972602739724E-2</v>
      </c>
      <c r="Q241" s="534">
        <f t="shared" si="11"/>
        <v>27.70849315068493</v>
      </c>
    </row>
    <row r="242" spans="1:17" ht="15" customHeight="1" x14ac:dyDescent="0.25">
      <c r="A242" s="530" t="s">
        <v>995</v>
      </c>
      <c r="B242" s="530" t="s">
        <v>799</v>
      </c>
      <c r="C242" s="531">
        <v>1169</v>
      </c>
      <c r="D242" s="530" t="s">
        <v>996</v>
      </c>
      <c r="E242" s="530" t="s">
        <v>997</v>
      </c>
      <c r="F242" s="531">
        <v>2424</v>
      </c>
      <c r="G242" s="530" t="s">
        <v>296</v>
      </c>
      <c r="H242" s="531">
        <v>2223</v>
      </c>
      <c r="I242" s="531">
        <v>2223</v>
      </c>
      <c r="J242" s="531">
        <v>0</v>
      </c>
      <c r="K242" s="532">
        <v>45992</v>
      </c>
      <c r="L242" s="532">
        <v>46447</v>
      </c>
      <c r="M242" s="530"/>
      <c r="N242" s="531">
        <v>0</v>
      </c>
      <c r="O242" s="533">
        <f t="shared" si="9"/>
        <v>235</v>
      </c>
      <c r="P242" s="534">
        <f t="shared" si="10"/>
        <v>0.17905808219178082</v>
      </c>
      <c r="Q242" s="534">
        <f t="shared" si="11"/>
        <v>42.078649315068496</v>
      </c>
    </row>
    <row r="243" spans="1:17" ht="15" customHeight="1" x14ac:dyDescent="0.25">
      <c r="A243" s="530" t="s">
        <v>998</v>
      </c>
      <c r="B243" s="530" t="s">
        <v>880</v>
      </c>
      <c r="C243" s="531">
        <v>740</v>
      </c>
      <c r="D243" s="530" t="s">
        <v>999</v>
      </c>
      <c r="E243" s="530" t="s">
        <v>1000</v>
      </c>
      <c r="F243" s="531">
        <v>1849</v>
      </c>
      <c r="G243" s="530" t="s">
        <v>296</v>
      </c>
      <c r="H243" s="531">
        <v>1600</v>
      </c>
      <c r="I243" s="531">
        <v>500</v>
      </c>
      <c r="J243" s="531">
        <v>0</v>
      </c>
      <c r="K243" s="532">
        <v>45821</v>
      </c>
      <c r="L243" s="532">
        <v>46185</v>
      </c>
      <c r="M243" s="532">
        <v>46234</v>
      </c>
      <c r="N243" s="531">
        <v>0</v>
      </c>
      <c r="O243" s="533">
        <f t="shared" si="9"/>
        <v>406</v>
      </c>
      <c r="P243" s="534">
        <f t="shared" si="10"/>
        <v>4.0273972602739724E-2</v>
      </c>
      <c r="Q243" s="534">
        <f t="shared" si="11"/>
        <v>16.351232876712327</v>
      </c>
    </row>
    <row r="244" spans="1:17" ht="15" customHeight="1" x14ac:dyDescent="0.25">
      <c r="A244" s="530" t="s">
        <v>1001</v>
      </c>
      <c r="B244" s="530" t="s">
        <v>788</v>
      </c>
      <c r="C244" s="531">
        <v>1559</v>
      </c>
      <c r="D244" s="530" t="s">
        <v>1002</v>
      </c>
      <c r="E244" s="530" t="s">
        <v>1003</v>
      </c>
      <c r="F244" s="531">
        <v>2967</v>
      </c>
      <c r="G244" s="530" t="s">
        <v>296</v>
      </c>
      <c r="H244" s="531">
        <v>2660</v>
      </c>
      <c r="I244" s="531">
        <v>500</v>
      </c>
      <c r="J244" s="531">
        <v>0</v>
      </c>
      <c r="K244" s="532">
        <v>45994</v>
      </c>
      <c r="L244" s="532">
        <v>46358</v>
      </c>
      <c r="M244" s="530"/>
      <c r="N244" s="531">
        <v>0</v>
      </c>
      <c r="O244" s="533">
        <f t="shared" si="9"/>
        <v>233</v>
      </c>
      <c r="P244" s="534">
        <f t="shared" si="10"/>
        <v>4.0273972602739724E-2</v>
      </c>
      <c r="Q244" s="534">
        <f t="shared" si="11"/>
        <v>9.3838356164383558</v>
      </c>
    </row>
    <row r="245" spans="1:17" ht="15" customHeight="1" x14ac:dyDescent="0.25">
      <c r="A245" s="530" t="s">
        <v>1004</v>
      </c>
      <c r="B245" s="530" t="s">
        <v>1005</v>
      </c>
      <c r="C245" s="531">
        <v>923</v>
      </c>
      <c r="D245" s="530" t="s">
        <v>1006</v>
      </c>
      <c r="E245" s="530" t="s">
        <v>1007</v>
      </c>
      <c r="F245" s="531">
        <v>1980</v>
      </c>
      <c r="G245" s="530" t="s">
        <v>296</v>
      </c>
      <c r="H245" s="531">
        <v>1826</v>
      </c>
      <c r="I245" s="531">
        <v>500</v>
      </c>
      <c r="J245" s="531">
        <v>0</v>
      </c>
      <c r="K245" s="532">
        <v>45078</v>
      </c>
      <c r="L245" s="532">
        <v>46000</v>
      </c>
      <c r="M245" s="530"/>
      <c r="N245" s="531">
        <v>-600</v>
      </c>
      <c r="O245" s="533">
        <f t="shared" si="9"/>
        <v>1149</v>
      </c>
      <c r="P245" s="534">
        <f t="shared" si="10"/>
        <v>4.0273972602739724E-2</v>
      </c>
      <c r="Q245" s="534">
        <f t="shared" si="11"/>
        <v>46.274794520547943</v>
      </c>
    </row>
    <row r="246" spans="1:17" ht="15" customHeight="1" x14ac:dyDescent="0.25">
      <c r="A246" s="530" t="s">
        <v>1008</v>
      </c>
      <c r="B246" s="530" t="s">
        <v>880</v>
      </c>
      <c r="C246" s="531">
        <v>740</v>
      </c>
      <c r="D246" s="530" t="s">
        <v>1009</v>
      </c>
      <c r="E246" s="530" t="s">
        <v>1010</v>
      </c>
      <c r="F246" s="531">
        <v>1719</v>
      </c>
      <c r="G246" s="530" t="s">
        <v>296</v>
      </c>
      <c r="H246" s="531">
        <v>1722</v>
      </c>
      <c r="I246" s="531">
        <v>0</v>
      </c>
      <c r="J246" s="531">
        <v>0</v>
      </c>
      <c r="K246" s="532">
        <v>46142</v>
      </c>
      <c r="L246" s="532">
        <v>46538</v>
      </c>
      <c r="M246" s="530"/>
      <c r="N246" s="531">
        <v>0</v>
      </c>
      <c r="O246" s="533">
        <f t="shared" si="9"/>
        <v>85</v>
      </c>
      <c r="P246" s="534">
        <f t="shared" si="10"/>
        <v>0</v>
      </c>
      <c r="Q246" s="534">
        <f t="shared" si="11"/>
        <v>0</v>
      </c>
    </row>
    <row r="247" spans="1:17" ht="15" customHeight="1" x14ac:dyDescent="0.25">
      <c r="A247" s="530" t="s">
        <v>1011</v>
      </c>
      <c r="B247" s="530" t="s">
        <v>799</v>
      </c>
      <c r="C247" s="531">
        <v>1169</v>
      </c>
      <c r="D247" s="530" t="s">
        <v>1012</v>
      </c>
      <c r="E247" s="530" t="s">
        <v>1013</v>
      </c>
      <c r="F247" s="531">
        <v>2279</v>
      </c>
      <c r="G247" s="530" t="s">
        <v>331</v>
      </c>
      <c r="H247" s="531">
        <v>1142</v>
      </c>
      <c r="I247" s="531">
        <v>2383</v>
      </c>
      <c r="J247" s="531">
        <v>0</v>
      </c>
      <c r="K247" s="532">
        <v>45854</v>
      </c>
      <c r="L247" s="532">
        <v>46492</v>
      </c>
      <c r="M247" s="530"/>
      <c r="N247" s="531">
        <v>0</v>
      </c>
      <c r="O247" s="533">
        <f t="shared" si="9"/>
        <v>373</v>
      </c>
      <c r="P247" s="534">
        <f t="shared" si="10"/>
        <v>0.19194575342465753</v>
      </c>
      <c r="Q247" s="534">
        <f t="shared" si="11"/>
        <v>71.595766027397261</v>
      </c>
    </row>
    <row r="248" spans="1:17" ht="15" customHeight="1" x14ac:dyDescent="0.25">
      <c r="A248" s="530" t="s">
        <v>1014</v>
      </c>
      <c r="B248" s="530" t="s">
        <v>815</v>
      </c>
      <c r="C248" s="531">
        <v>1290</v>
      </c>
      <c r="D248" s="530" t="s">
        <v>1015</v>
      </c>
      <c r="E248" s="530" t="s">
        <v>1016</v>
      </c>
      <c r="F248" s="531">
        <v>2506</v>
      </c>
      <c r="G248" s="530" t="s">
        <v>296</v>
      </c>
      <c r="H248" s="531">
        <v>2297</v>
      </c>
      <c r="I248" s="531">
        <v>4370</v>
      </c>
      <c r="J248" s="531">
        <v>0</v>
      </c>
      <c r="K248" s="532">
        <v>45635</v>
      </c>
      <c r="L248" s="532">
        <v>46364</v>
      </c>
      <c r="M248" s="530"/>
      <c r="N248" s="531">
        <v>1581.58</v>
      </c>
      <c r="O248" s="533">
        <f t="shared" si="9"/>
        <v>592</v>
      </c>
      <c r="P248" s="534">
        <f t="shared" si="10"/>
        <v>0.35199452054794522</v>
      </c>
      <c r="Q248" s="534">
        <f t="shared" si="11"/>
        <v>208.38075616438357</v>
      </c>
    </row>
    <row r="249" spans="1:17" ht="15" customHeight="1" x14ac:dyDescent="0.25">
      <c r="A249" s="530" t="s">
        <v>1017</v>
      </c>
      <c r="B249" s="530" t="s">
        <v>799</v>
      </c>
      <c r="C249" s="531">
        <v>1169</v>
      </c>
      <c r="D249" s="530" t="s">
        <v>1018</v>
      </c>
      <c r="E249" s="530" t="s">
        <v>1019</v>
      </c>
      <c r="F249" s="531">
        <v>2199</v>
      </c>
      <c r="G249" s="530" t="s">
        <v>296</v>
      </c>
      <c r="H249" s="531">
        <v>1869</v>
      </c>
      <c r="I249" s="531">
        <v>500</v>
      </c>
      <c r="J249" s="531">
        <v>0</v>
      </c>
      <c r="K249" s="532">
        <v>45094</v>
      </c>
      <c r="L249" s="532">
        <v>46278</v>
      </c>
      <c r="M249" s="530"/>
      <c r="N249" s="531">
        <v>0</v>
      </c>
      <c r="O249" s="533">
        <f t="shared" si="9"/>
        <v>1133</v>
      </c>
      <c r="P249" s="534">
        <f t="shared" si="10"/>
        <v>4.0273972602739724E-2</v>
      </c>
      <c r="Q249" s="534">
        <f t="shared" si="11"/>
        <v>45.630410958904108</v>
      </c>
    </row>
    <row r="250" spans="1:17" ht="15" customHeight="1" x14ac:dyDescent="0.25">
      <c r="A250" s="530" t="s">
        <v>1020</v>
      </c>
      <c r="B250" s="530" t="s">
        <v>880</v>
      </c>
      <c r="C250" s="531">
        <v>740</v>
      </c>
      <c r="D250" s="530" t="s">
        <v>1021</v>
      </c>
      <c r="E250" s="530" t="s">
        <v>1022</v>
      </c>
      <c r="F250" s="531">
        <v>1719</v>
      </c>
      <c r="G250" s="530" t="s">
        <v>296</v>
      </c>
      <c r="H250" s="531">
        <v>1734</v>
      </c>
      <c r="I250" s="531">
        <v>0</v>
      </c>
      <c r="J250" s="531">
        <v>0</v>
      </c>
      <c r="K250" s="532">
        <v>43299</v>
      </c>
      <c r="L250" s="532">
        <v>46585</v>
      </c>
      <c r="M250" s="530"/>
      <c r="N250" s="531">
        <v>93.32</v>
      </c>
      <c r="O250" s="533">
        <f t="shared" si="9"/>
        <v>2928</v>
      </c>
      <c r="P250" s="534">
        <f t="shared" si="10"/>
        <v>0</v>
      </c>
      <c r="Q250" s="534">
        <f t="shared" si="11"/>
        <v>0</v>
      </c>
    </row>
    <row r="251" spans="1:17" ht="15" customHeight="1" x14ac:dyDescent="0.25">
      <c r="A251" s="530" t="s">
        <v>1023</v>
      </c>
      <c r="B251" s="530" t="s">
        <v>880</v>
      </c>
      <c r="C251" s="531">
        <v>740</v>
      </c>
      <c r="D251" s="530" t="s">
        <v>1024</v>
      </c>
      <c r="E251" s="530" t="s">
        <v>1025</v>
      </c>
      <c r="F251" s="531">
        <v>1894</v>
      </c>
      <c r="G251" s="530" t="s">
        <v>296</v>
      </c>
      <c r="H251" s="531">
        <v>1611</v>
      </c>
      <c r="I251" s="531">
        <v>1553</v>
      </c>
      <c r="J251" s="531">
        <v>0</v>
      </c>
      <c r="K251" s="532">
        <v>45813</v>
      </c>
      <c r="L251" s="532">
        <v>46572</v>
      </c>
      <c r="M251" s="530"/>
      <c r="N251" s="531">
        <v>0</v>
      </c>
      <c r="O251" s="533">
        <f t="shared" si="9"/>
        <v>414</v>
      </c>
      <c r="P251" s="534">
        <f t="shared" si="10"/>
        <v>0.12509095890410959</v>
      </c>
      <c r="Q251" s="534">
        <f t="shared" si="11"/>
        <v>51.787656986301371</v>
      </c>
    </row>
    <row r="252" spans="1:17" ht="15" customHeight="1" x14ac:dyDescent="0.25">
      <c r="A252" s="530" t="s">
        <v>1026</v>
      </c>
      <c r="B252" s="530" t="s">
        <v>799</v>
      </c>
      <c r="C252" s="531">
        <v>1169</v>
      </c>
      <c r="D252" s="530" t="s">
        <v>1027</v>
      </c>
      <c r="E252" s="530" t="s">
        <v>1028</v>
      </c>
      <c r="F252" s="531">
        <v>2279</v>
      </c>
      <c r="G252" s="530" t="s">
        <v>331</v>
      </c>
      <c r="H252" s="531">
        <v>1650</v>
      </c>
      <c r="I252" s="531">
        <v>2264</v>
      </c>
      <c r="J252" s="531">
        <v>0</v>
      </c>
      <c r="K252" s="532">
        <v>45839</v>
      </c>
      <c r="L252" s="532">
        <v>46568</v>
      </c>
      <c r="M252" s="530"/>
      <c r="N252" s="531">
        <v>879.91</v>
      </c>
      <c r="O252" s="533">
        <f t="shared" si="9"/>
        <v>388</v>
      </c>
      <c r="P252" s="534">
        <f t="shared" si="10"/>
        <v>0.18236054794520548</v>
      </c>
      <c r="Q252" s="534">
        <f t="shared" si="11"/>
        <v>70.755892602739721</v>
      </c>
    </row>
    <row r="253" spans="1:17" ht="15" customHeight="1" x14ac:dyDescent="0.25">
      <c r="A253" s="530" t="s">
        <v>1029</v>
      </c>
      <c r="B253" s="530" t="s">
        <v>815</v>
      </c>
      <c r="C253" s="531">
        <v>1290</v>
      </c>
      <c r="D253" s="530" t="s">
        <v>1030</v>
      </c>
      <c r="E253" s="530" t="s">
        <v>1031</v>
      </c>
      <c r="F253" s="531">
        <v>2586</v>
      </c>
      <c r="G253" s="530" t="s">
        <v>296</v>
      </c>
      <c r="H253" s="531">
        <v>2259</v>
      </c>
      <c r="I253" s="531">
        <v>500</v>
      </c>
      <c r="J253" s="531">
        <v>0</v>
      </c>
      <c r="K253" s="532">
        <v>45925</v>
      </c>
      <c r="L253" s="532">
        <v>46289</v>
      </c>
      <c r="M253" s="532">
        <v>46289</v>
      </c>
      <c r="N253" s="531">
        <v>0</v>
      </c>
      <c r="O253" s="533">
        <f t="shared" si="9"/>
        <v>302</v>
      </c>
      <c r="P253" s="534">
        <f t="shared" si="10"/>
        <v>4.0273972602739724E-2</v>
      </c>
      <c r="Q253" s="534">
        <f t="shared" si="11"/>
        <v>12.162739726027397</v>
      </c>
    </row>
    <row r="254" spans="1:17" ht="15" customHeight="1" x14ac:dyDescent="0.25">
      <c r="A254" s="530" t="s">
        <v>1032</v>
      </c>
      <c r="B254" s="530" t="s">
        <v>815</v>
      </c>
      <c r="C254" s="531">
        <v>1290</v>
      </c>
      <c r="D254" s="530" t="s">
        <v>1033</v>
      </c>
      <c r="E254" s="530" t="s">
        <v>1034</v>
      </c>
      <c r="F254" s="531">
        <v>2731</v>
      </c>
      <c r="G254" s="530" t="s">
        <v>296</v>
      </c>
      <c r="H254" s="531">
        <v>2573</v>
      </c>
      <c r="I254" s="531">
        <v>500</v>
      </c>
      <c r="J254" s="531">
        <v>0</v>
      </c>
      <c r="K254" s="532">
        <v>45801</v>
      </c>
      <c r="L254" s="532">
        <v>46621</v>
      </c>
      <c r="M254" s="530"/>
      <c r="N254" s="531">
        <v>-43</v>
      </c>
      <c r="O254" s="533">
        <f t="shared" si="9"/>
        <v>426</v>
      </c>
      <c r="P254" s="534">
        <f t="shared" si="10"/>
        <v>4.0273972602739724E-2</v>
      </c>
      <c r="Q254" s="534">
        <f t="shared" si="11"/>
        <v>17.156712328767121</v>
      </c>
    </row>
    <row r="255" spans="1:17" ht="15" customHeight="1" x14ac:dyDescent="0.25">
      <c r="A255" s="530" t="s">
        <v>1035</v>
      </c>
      <c r="B255" s="530" t="s">
        <v>880</v>
      </c>
      <c r="C255" s="531">
        <v>740</v>
      </c>
      <c r="D255" s="530" t="s">
        <v>1036</v>
      </c>
      <c r="E255" s="530" t="s">
        <v>1037</v>
      </c>
      <c r="F255" s="531">
        <v>1799</v>
      </c>
      <c r="G255" s="530" t="s">
        <v>296</v>
      </c>
      <c r="H255" s="531">
        <v>1438</v>
      </c>
      <c r="I255" s="531">
        <v>500</v>
      </c>
      <c r="J255" s="531">
        <v>0</v>
      </c>
      <c r="K255" s="532">
        <v>45118</v>
      </c>
      <c r="L255" s="532">
        <v>46275</v>
      </c>
      <c r="M255" s="530"/>
      <c r="N255" s="531">
        <v>0</v>
      </c>
      <c r="O255" s="533">
        <f t="shared" si="9"/>
        <v>1109</v>
      </c>
      <c r="P255" s="534">
        <f t="shared" si="10"/>
        <v>4.0273972602739724E-2</v>
      </c>
      <c r="Q255" s="534">
        <f t="shared" si="11"/>
        <v>44.663835616438355</v>
      </c>
    </row>
    <row r="256" spans="1:17" ht="15" customHeight="1" x14ac:dyDescent="0.25">
      <c r="A256" s="530" t="s">
        <v>1038</v>
      </c>
      <c r="B256" s="530" t="s">
        <v>799</v>
      </c>
      <c r="C256" s="531">
        <v>1169</v>
      </c>
      <c r="D256" s="530" t="s">
        <v>1039</v>
      </c>
      <c r="E256" s="530" t="s">
        <v>1040</v>
      </c>
      <c r="F256" s="531">
        <v>2199</v>
      </c>
      <c r="G256" s="530" t="s">
        <v>296</v>
      </c>
      <c r="H256" s="531">
        <v>2155</v>
      </c>
      <c r="I256" s="531">
        <v>300</v>
      </c>
      <c r="J256" s="531">
        <v>0</v>
      </c>
      <c r="K256" s="532">
        <v>44135</v>
      </c>
      <c r="L256" s="532">
        <v>46356</v>
      </c>
      <c r="M256" s="530"/>
      <c r="N256" s="531">
        <v>0</v>
      </c>
      <c r="O256" s="533">
        <f t="shared" si="9"/>
        <v>2092</v>
      </c>
      <c r="P256" s="534">
        <f t="shared" si="10"/>
        <v>2.4164383561643837E-2</v>
      </c>
      <c r="Q256" s="534">
        <f t="shared" si="11"/>
        <v>50.551890410958904</v>
      </c>
    </row>
    <row r="257" spans="1:17" ht="15" customHeight="1" x14ac:dyDescent="0.25">
      <c r="A257" s="530" t="s">
        <v>1041</v>
      </c>
      <c r="B257" s="530" t="s">
        <v>880</v>
      </c>
      <c r="C257" s="531">
        <v>740</v>
      </c>
      <c r="D257" s="530" t="s">
        <v>1042</v>
      </c>
      <c r="E257" s="530" t="s">
        <v>1043</v>
      </c>
      <c r="F257" s="531">
        <v>1719</v>
      </c>
      <c r="G257" s="530" t="s">
        <v>296</v>
      </c>
      <c r="H257" s="531">
        <v>1622</v>
      </c>
      <c r="I257" s="531">
        <v>500</v>
      </c>
      <c r="J257" s="531">
        <v>0</v>
      </c>
      <c r="K257" s="532">
        <v>45507</v>
      </c>
      <c r="L257" s="532">
        <v>46448</v>
      </c>
      <c r="M257" s="530"/>
      <c r="N257" s="531">
        <v>0</v>
      </c>
      <c r="O257" s="533">
        <f t="shared" si="9"/>
        <v>720</v>
      </c>
      <c r="P257" s="534">
        <f t="shared" si="10"/>
        <v>4.0273972602739724E-2</v>
      </c>
      <c r="Q257" s="534">
        <f t="shared" si="11"/>
        <v>28.9972602739726</v>
      </c>
    </row>
    <row r="258" spans="1:17" ht="15" customHeight="1" x14ac:dyDescent="0.25">
      <c r="A258" s="530" t="s">
        <v>1044</v>
      </c>
      <c r="B258" s="530" t="s">
        <v>880</v>
      </c>
      <c r="C258" s="531">
        <v>740</v>
      </c>
      <c r="D258" s="530" t="s">
        <v>1045</v>
      </c>
      <c r="E258" s="530" t="s">
        <v>1046</v>
      </c>
      <c r="F258" s="531">
        <v>1719</v>
      </c>
      <c r="G258" s="530" t="s">
        <v>296</v>
      </c>
      <c r="H258" s="531">
        <v>1600</v>
      </c>
      <c r="I258" s="531">
        <v>3200</v>
      </c>
      <c r="J258" s="531">
        <v>0</v>
      </c>
      <c r="K258" s="532">
        <v>45596</v>
      </c>
      <c r="L258" s="532">
        <v>46325</v>
      </c>
      <c r="M258" s="530"/>
      <c r="N258" s="531">
        <v>0</v>
      </c>
      <c r="O258" s="533">
        <f t="shared" si="9"/>
        <v>631</v>
      </c>
      <c r="P258" s="534">
        <f t="shared" si="10"/>
        <v>0.25775342465753426</v>
      </c>
      <c r="Q258" s="534">
        <f t="shared" si="11"/>
        <v>162.64241095890412</v>
      </c>
    </row>
    <row r="259" spans="1:17" ht="15" customHeight="1" x14ac:dyDescent="0.25">
      <c r="A259" s="530" t="s">
        <v>1047</v>
      </c>
      <c r="B259" s="530" t="s">
        <v>1048</v>
      </c>
      <c r="C259" s="531">
        <v>922</v>
      </c>
      <c r="D259" s="530" t="s">
        <v>1049</v>
      </c>
      <c r="E259" s="530" t="s">
        <v>1050</v>
      </c>
      <c r="F259" s="531">
        <v>2270</v>
      </c>
      <c r="G259" s="530" t="s">
        <v>296</v>
      </c>
      <c r="H259" s="531">
        <v>1907</v>
      </c>
      <c r="I259" s="531">
        <v>0</v>
      </c>
      <c r="J259" s="531">
        <v>0</v>
      </c>
      <c r="K259" s="532">
        <v>43215</v>
      </c>
      <c r="L259" s="532">
        <v>46380</v>
      </c>
      <c r="M259" s="530"/>
      <c r="N259" s="531">
        <v>0</v>
      </c>
      <c r="O259" s="533">
        <f t="shared" si="9"/>
        <v>3012</v>
      </c>
      <c r="P259" s="534">
        <f t="shared" si="10"/>
        <v>0</v>
      </c>
      <c r="Q259" s="534">
        <f t="shared" si="11"/>
        <v>0</v>
      </c>
    </row>
    <row r="260" spans="1:17" ht="15" customHeight="1" x14ac:dyDescent="0.25">
      <c r="A260" s="530" t="s">
        <v>1051</v>
      </c>
      <c r="B260" s="530" t="s">
        <v>880</v>
      </c>
      <c r="C260" s="531">
        <v>740</v>
      </c>
      <c r="D260" s="530" t="s">
        <v>1052</v>
      </c>
      <c r="E260" s="530" t="s">
        <v>1053</v>
      </c>
      <c r="F260" s="531">
        <v>1794</v>
      </c>
      <c r="G260" s="530" t="s">
        <v>296</v>
      </c>
      <c r="H260" s="531">
        <v>1803</v>
      </c>
      <c r="I260" s="531">
        <v>500</v>
      </c>
      <c r="J260" s="531">
        <v>0</v>
      </c>
      <c r="K260" s="532">
        <v>44805</v>
      </c>
      <c r="L260" s="532">
        <v>46273</v>
      </c>
      <c r="M260" s="530"/>
      <c r="N260" s="531">
        <v>0</v>
      </c>
      <c r="O260" s="533">
        <f t="shared" si="9"/>
        <v>1422</v>
      </c>
      <c r="P260" s="534">
        <f t="shared" si="10"/>
        <v>4.0273972602739724E-2</v>
      </c>
      <c r="Q260" s="534">
        <f t="shared" si="11"/>
        <v>57.269589041095891</v>
      </c>
    </row>
    <row r="261" spans="1:17" ht="15" customHeight="1" x14ac:dyDescent="0.25">
      <c r="A261" s="530" t="s">
        <v>1054</v>
      </c>
      <c r="B261" s="530" t="s">
        <v>799</v>
      </c>
      <c r="C261" s="531">
        <v>1169</v>
      </c>
      <c r="D261" s="530" t="s">
        <v>1055</v>
      </c>
      <c r="E261" s="530" t="s">
        <v>1056</v>
      </c>
      <c r="F261" s="531">
        <v>2274</v>
      </c>
      <c r="G261" s="530" t="s">
        <v>296</v>
      </c>
      <c r="H261" s="531">
        <v>1933</v>
      </c>
      <c r="I261" s="531">
        <v>500</v>
      </c>
      <c r="J261" s="531">
        <v>0</v>
      </c>
      <c r="K261" s="532">
        <v>45626</v>
      </c>
      <c r="L261" s="532">
        <v>46355</v>
      </c>
      <c r="M261" s="530"/>
      <c r="N261" s="531">
        <v>0</v>
      </c>
      <c r="O261" s="533">
        <f t="shared" si="9"/>
        <v>601</v>
      </c>
      <c r="P261" s="534">
        <f t="shared" si="10"/>
        <v>4.0273972602739724E-2</v>
      </c>
      <c r="Q261" s="534">
        <f t="shared" si="11"/>
        <v>24.204657534246575</v>
      </c>
    </row>
    <row r="262" spans="1:17" ht="15" customHeight="1" x14ac:dyDescent="0.25">
      <c r="A262" s="530" t="s">
        <v>1057</v>
      </c>
      <c r="B262" s="530" t="s">
        <v>815</v>
      </c>
      <c r="C262" s="531">
        <v>1290</v>
      </c>
      <c r="D262" s="530" t="s">
        <v>1058</v>
      </c>
      <c r="E262" s="530" t="s">
        <v>1059</v>
      </c>
      <c r="F262" s="531">
        <v>2661</v>
      </c>
      <c r="G262" s="530" t="s">
        <v>296</v>
      </c>
      <c r="H262" s="531">
        <v>2300</v>
      </c>
      <c r="I262" s="531">
        <v>500</v>
      </c>
      <c r="J262" s="531">
        <v>0</v>
      </c>
      <c r="K262" s="532">
        <v>45857</v>
      </c>
      <c r="L262" s="532">
        <v>46586</v>
      </c>
      <c r="M262" s="530"/>
      <c r="N262" s="531">
        <v>0</v>
      </c>
      <c r="O262" s="533">
        <f t="shared" si="9"/>
        <v>370</v>
      </c>
      <c r="P262" s="534">
        <f t="shared" si="10"/>
        <v>4.0273972602739724E-2</v>
      </c>
      <c r="Q262" s="534">
        <f t="shared" si="11"/>
        <v>14.901369863013699</v>
      </c>
    </row>
    <row r="263" spans="1:17" ht="15" customHeight="1" x14ac:dyDescent="0.25">
      <c r="A263" s="530" t="s">
        <v>1060</v>
      </c>
      <c r="B263" s="530" t="s">
        <v>815</v>
      </c>
      <c r="C263" s="531">
        <v>1290</v>
      </c>
      <c r="D263" s="530" t="s">
        <v>1061</v>
      </c>
      <c r="E263" s="530" t="s">
        <v>1062</v>
      </c>
      <c r="F263" s="531">
        <v>2581</v>
      </c>
      <c r="G263" s="530" t="s">
        <v>296</v>
      </c>
      <c r="H263" s="531">
        <v>2372</v>
      </c>
      <c r="I263" s="531">
        <v>0</v>
      </c>
      <c r="J263" s="531">
        <v>0</v>
      </c>
      <c r="K263" s="532">
        <v>42895</v>
      </c>
      <c r="L263" s="532">
        <v>46273</v>
      </c>
      <c r="M263" s="530"/>
      <c r="N263" s="531">
        <v>0</v>
      </c>
      <c r="O263" s="533">
        <f t="shared" si="9"/>
        <v>3332</v>
      </c>
      <c r="P263" s="534">
        <f t="shared" si="10"/>
        <v>0</v>
      </c>
      <c r="Q263" s="534">
        <f t="shared" si="11"/>
        <v>0</v>
      </c>
    </row>
    <row r="264" spans="1:17" ht="15" customHeight="1" x14ac:dyDescent="0.25">
      <c r="A264" s="530" t="s">
        <v>1063</v>
      </c>
      <c r="B264" s="530" t="s">
        <v>880</v>
      </c>
      <c r="C264" s="531">
        <v>740</v>
      </c>
      <c r="D264" s="530" t="s">
        <v>1064</v>
      </c>
      <c r="E264" s="530" t="s">
        <v>1065</v>
      </c>
      <c r="F264" s="531">
        <v>1794</v>
      </c>
      <c r="G264" s="530" t="s">
        <v>296</v>
      </c>
      <c r="H264" s="531">
        <v>1708</v>
      </c>
      <c r="I264" s="531">
        <v>500</v>
      </c>
      <c r="J264" s="531">
        <v>0</v>
      </c>
      <c r="K264" s="532">
        <v>45804</v>
      </c>
      <c r="L264" s="532">
        <v>46594</v>
      </c>
      <c r="M264" s="530"/>
      <c r="N264" s="531">
        <v>0</v>
      </c>
      <c r="O264" s="533">
        <f t="shared" si="9"/>
        <v>423</v>
      </c>
      <c r="P264" s="534">
        <f t="shared" si="10"/>
        <v>4.0273972602739724E-2</v>
      </c>
      <c r="Q264" s="534">
        <f t="shared" si="11"/>
        <v>17.035890410958903</v>
      </c>
    </row>
    <row r="265" spans="1:17" ht="15" customHeight="1" x14ac:dyDescent="0.25">
      <c r="A265" s="530" t="s">
        <v>1066</v>
      </c>
      <c r="B265" s="530" t="s">
        <v>799</v>
      </c>
      <c r="C265" s="531">
        <v>1169</v>
      </c>
      <c r="D265" s="530" t="s">
        <v>1067</v>
      </c>
      <c r="E265" s="530" t="s">
        <v>1068</v>
      </c>
      <c r="F265" s="531">
        <v>2274</v>
      </c>
      <c r="G265" s="530" t="s">
        <v>296</v>
      </c>
      <c r="H265" s="531">
        <v>2066</v>
      </c>
      <c r="I265" s="531">
        <v>1875</v>
      </c>
      <c r="J265" s="531">
        <v>0</v>
      </c>
      <c r="K265" s="532">
        <v>45275</v>
      </c>
      <c r="L265" s="532">
        <v>46370</v>
      </c>
      <c r="M265" s="530"/>
      <c r="N265" s="531">
        <v>0</v>
      </c>
      <c r="O265" s="533">
        <f t="shared" si="9"/>
        <v>952</v>
      </c>
      <c r="P265" s="534">
        <f t="shared" si="10"/>
        <v>0.15102739726027398</v>
      </c>
      <c r="Q265" s="534">
        <f t="shared" si="11"/>
        <v>143.77808219178084</v>
      </c>
    </row>
    <row r="266" spans="1:17" ht="15" customHeight="1" x14ac:dyDescent="0.25">
      <c r="A266" s="530" t="s">
        <v>1069</v>
      </c>
      <c r="B266" s="530" t="s">
        <v>880</v>
      </c>
      <c r="C266" s="531">
        <v>740</v>
      </c>
      <c r="D266" s="530" t="s">
        <v>1070</v>
      </c>
      <c r="E266" s="530" t="s">
        <v>1071</v>
      </c>
      <c r="F266" s="531">
        <v>1794</v>
      </c>
      <c r="G266" s="530" t="s">
        <v>296</v>
      </c>
      <c r="H266" s="531">
        <v>2372</v>
      </c>
      <c r="I266" s="531">
        <v>0</v>
      </c>
      <c r="J266" s="531">
        <v>0</v>
      </c>
      <c r="K266" s="532">
        <v>43726</v>
      </c>
      <c r="L266" s="532">
        <v>46463</v>
      </c>
      <c r="M266" s="530"/>
      <c r="N266" s="531">
        <v>0</v>
      </c>
      <c r="O266" s="533">
        <f t="shared" ref="O266:O329" si="12">(+$G$3-K266 )</f>
        <v>2501</v>
      </c>
      <c r="P266" s="534">
        <f t="shared" ref="P266:P329" si="13">(+I266*$G$5)/365</f>
        <v>0</v>
      </c>
      <c r="Q266" s="534">
        <f t="shared" ref="Q266:Q329" si="14">O266*P266</f>
        <v>0</v>
      </c>
    </row>
    <row r="267" spans="1:17" ht="15" customHeight="1" x14ac:dyDescent="0.25">
      <c r="A267" s="530" t="s">
        <v>1072</v>
      </c>
      <c r="B267" s="530" t="s">
        <v>880</v>
      </c>
      <c r="C267" s="531">
        <v>740</v>
      </c>
      <c r="D267" s="530" t="s">
        <v>1073</v>
      </c>
      <c r="E267" s="530" t="s">
        <v>1074</v>
      </c>
      <c r="F267" s="531">
        <v>1794</v>
      </c>
      <c r="G267" s="530" t="s">
        <v>296</v>
      </c>
      <c r="H267" s="531">
        <v>1683</v>
      </c>
      <c r="I267" s="531">
        <v>500</v>
      </c>
      <c r="J267" s="531">
        <v>0</v>
      </c>
      <c r="K267" s="532">
        <v>45626</v>
      </c>
      <c r="L267" s="532">
        <v>46355</v>
      </c>
      <c r="M267" s="530"/>
      <c r="N267" s="531">
        <v>0</v>
      </c>
      <c r="O267" s="533">
        <f t="shared" si="12"/>
        <v>601</v>
      </c>
      <c r="P267" s="534">
        <f t="shared" si="13"/>
        <v>4.0273972602739724E-2</v>
      </c>
      <c r="Q267" s="534">
        <f t="shared" si="14"/>
        <v>24.204657534246575</v>
      </c>
    </row>
    <row r="268" spans="1:17" ht="15" customHeight="1" x14ac:dyDescent="0.25">
      <c r="A268" s="530" t="s">
        <v>1075</v>
      </c>
      <c r="B268" s="530" t="s">
        <v>1076</v>
      </c>
      <c r="C268" s="531">
        <v>1677</v>
      </c>
      <c r="D268" s="530" t="s">
        <v>1077</v>
      </c>
      <c r="E268" s="530" t="s">
        <v>1078</v>
      </c>
      <c r="F268" s="531">
        <v>3081</v>
      </c>
      <c r="G268" s="530" t="s">
        <v>296</v>
      </c>
      <c r="H268" s="531">
        <v>2438</v>
      </c>
      <c r="I268" s="531">
        <v>500</v>
      </c>
      <c r="J268" s="531">
        <v>0</v>
      </c>
      <c r="K268" s="532">
        <v>45989</v>
      </c>
      <c r="L268" s="532">
        <v>46354</v>
      </c>
      <c r="M268" s="530"/>
      <c r="N268" s="531">
        <v>0</v>
      </c>
      <c r="O268" s="533">
        <f t="shared" si="12"/>
        <v>238</v>
      </c>
      <c r="P268" s="534">
        <f t="shared" si="13"/>
        <v>4.0273972602739724E-2</v>
      </c>
      <c r="Q268" s="534">
        <f t="shared" si="14"/>
        <v>9.5852054794520551</v>
      </c>
    </row>
    <row r="269" spans="1:17" ht="15" customHeight="1" x14ac:dyDescent="0.25">
      <c r="A269" s="530" t="s">
        <v>1079</v>
      </c>
      <c r="B269" s="530" t="s">
        <v>1076</v>
      </c>
      <c r="C269" s="531">
        <v>1677</v>
      </c>
      <c r="D269" s="530" t="s">
        <v>1080</v>
      </c>
      <c r="E269" s="530" t="s">
        <v>1081</v>
      </c>
      <c r="F269" s="531">
        <v>3001</v>
      </c>
      <c r="G269" s="530" t="s">
        <v>296</v>
      </c>
      <c r="H269" s="531">
        <v>2572</v>
      </c>
      <c r="I269" s="531">
        <v>2515</v>
      </c>
      <c r="J269" s="531">
        <v>0</v>
      </c>
      <c r="K269" s="532">
        <v>44742</v>
      </c>
      <c r="L269" s="532">
        <v>46265</v>
      </c>
      <c r="M269" s="530"/>
      <c r="N269" s="531">
        <v>0</v>
      </c>
      <c r="O269" s="533">
        <f t="shared" si="12"/>
        <v>1485</v>
      </c>
      <c r="P269" s="534">
        <f t="shared" si="13"/>
        <v>0.20257808219178083</v>
      </c>
      <c r="Q269" s="534">
        <f t="shared" si="14"/>
        <v>300.82845205479452</v>
      </c>
    </row>
    <row r="270" spans="1:17" ht="15" customHeight="1" x14ac:dyDescent="0.25">
      <c r="A270" s="530" t="s">
        <v>1082</v>
      </c>
      <c r="B270" s="530" t="s">
        <v>1083</v>
      </c>
      <c r="C270" s="531">
        <v>744</v>
      </c>
      <c r="D270" s="530" t="s">
        <v>1084</v>
      </c>
      <c r="E270" s="530" t="s">
        <v>1085</v>
      </c>
      <c r="F270" s="531">
        <v>1875</v>
      </c>
      <c r="G270" s="530" t="s">
        <v>296</v>
      </c>
      <c r="H270" s="531">
        <v>1712</v>
      </c>
      <c r="I270" s="531">
        <v>500</v>
      </c>
      <c r="J270" s="531">
        <v>0</v>
      </c>
      <c r="K270" s="532">
        <v>44772</v>
      </c>
      <c r="L270" s="532">
        <v>46294</v>
      </c>
      <c r="M270" s="530"/>
      <c r="N270" s="531">
        <v>0</v>
      </c>
      <c r="O270" s="533">
        <f t="shared" si="12"/>
        <v>1455</v>
      </c>
      <c r="P270" s="534">
        <f t="shared" si="13"/>
        <v>4.0273972602739724E-2</v>
      </c>
      <c r="Q270" s="534">
        <f t="shared" si="14"/>
        <v>58.598630136986301</v>
      </c>
    </row>
    <row r="271" spans="1:17" ht="15" customHeight="1" x14ac:dyDescent="0.25">
      <c r="A271" s="530" t="s">
        <v>1086</v>
      </c>
      <c r="B271" s="530" t="s">
        <v>1087</v>
      </c>
      <c r="C271" s="531">
        <v>1257</v>
      </c>
      <c r="D271" s="530" t="s">
        <v>1088</v>
      </c>
      <c r="E271" s="530" t="s">
        <v>1089</v>
      </c>
      <c r="F271" s="531">
        <v>2604</v>
      </c>
      <c r="G271" s="530" t="s">
        <v>296</v>
      </c>
      <c r="H271" s="531">
        <v>2050</v>
      </c>
      <c r="I271" s="531">
        <v>500</v>
      </c>
      <c r="J271" s="531">
        <v>0</v>
      </c>
      <c r="K271" s="532">
        <v>45047</v>
      </c>
      <c r="L271" s="532">
        <v>46234</v>
      </c>
      <c r="M271" s="530"/>
      <c r="N271" s="531">
        <v>0</v>
      </c>
      <c r="O271" s="533">
        <f t="shared" si="12"/>
        <v>1180</v>
      </c>
      <c r="P271" s="534">
        <f t="shared" si="13"/>
        <v>4.0273972602739724E-2</v>
      </c>
      <c r="Q271" s="534">
        <f t="shared" si="14"/>
        <v>47.523287671232872</v>
      </c>
    </row>
    <row r="272" spans="1:17" ht="15" customHeight="1" x14ac:dyDescent="0.25">
      <c r="A272" s="530" t="s">
        <v>1090</v>
      </c>
      <c r="B272" s="530" t="s">
        <v>1091</v>
      </c>
      <c r="C272" s="531">
        <v>1164</v>
      </c>
      <c r="D272" s="530" t="s">
        <v>1092</v>
      </c>
      <c r="E272" s="530" t="s">
        <v>1093</v>
      </c>
      <c r="F272" s="531">
        <v>3313</v>
      </c>
      <c r="G272" s="530" t="s">
        <v>331</v>
      </c>
      <c r="H272" s="531">
        <v>2147</v>
      </c>
      <c r="I272" s="531">
        <v>2430</v>
      </c>
      <c r="J272" s="531">
        <v>0</v>
      </c>
      <c r="K272" s="532">
        <v>46113</v>
      </c>
      <c r="L272" s="532">
        <v>46568</v>
      </c>
      <c r="M272" s="530"/>
      <c r="N272" s="531">
        <v>-1.42</v>
      </c>
      <c r="O272" s="533">
        <f t="shared" si="12"/>
        <v>114</v>
      </c>
      <c r="P272" s="534">
        <f t="shared" si="13"/>
        <v>0.19573150684931506</v>
      </c>
      <c r="Q272" s="534">
        <f t="shared" si="14"/>
        <v>22.313391780821917</v>
      </c>
    </row>
    <row r="273" spans="1:17" ht="15" customHeight="1" x14ac:dyDescent="0.25">
      <c r="A273" s="530" t="s">
        <v>1094</v>
      </c>
      <c r="B273" s="530" t="s">
        <v>1087</v>
      </c>
      <c r="C273" s="531">
        <v>1257</v>
      </c>
      <c r="D273" s="530" t="s">
        <v>1095</v>
      </c>
      <c r="E273" s="530" t="s">
        <v>1096</v>
      </c>
      <c r="F273" s="531">
        <v>2779</v>
      </c>
      <c r="G273" s="530" t="s">
        <v>296</v>
      </c>
      <c r="H273" s="531">
        <v>2190</v>
      </c>
      <c r="I273" s="531">
        <v>2190</v>
      </c>
      <c r="J273" s="531">
        <v>0</v>
      </c>
      <c r="K273" s="532">
        <v>45945</v>
      </c>
      <c r="L273" s="532">
        <v>46342</v>
      </c>
      <c r="M273" s="530"/>
      <c r="N273" s="531">
        <v>0</v>
      </c>
      <c r="O273" s="533">
        <f t="shared" si="12"/>
        <v>282</v>
      </c>
      <c r="P273" s="534">
        <f t="shared" si="13"/>
        <v>0.1764</v>
      </c>
      <c r="Q273" s="534">
        <f t="shared" si="14"/>
        <v>49.744799999999998</v>
      </c>
    </row>
    <row r="274" spans="1:17" ht="15" customHeight="1" x14ac:dyDescent="0.25">
      <c r="A274" s="530" t="s">
        <v>1097</v>
      </c>
      <c r="B274" s="530" t="s">
        <v>1098</v>
      </c>
      <c r="C274" s="531">
        <v>852</v>
      </c>
      <c r="D274" s="530" t="s">
        <v>1099</v>
      </c>
      <c r="E274" s="530" t="s">
        <v>1100</v>
      </c>
      <c r="F274" s="531">
        <v>1995</v>
      </c>
      <c r="G274" s="530" t="s">
        <v>296</v>
      </c>
      <c r="H274" s="531">
        <v>1767</v>
      </c>
      <c r="I274" s="531">
        <v>0</v>
      </c>
      <c r="J274" s="531">
        <v>0</v>
      </c>
      <c r="K274" s="532">
        <v>46158</v>
      </c>
      <c r="L274" s="532">
        <v>46553</v>
      </c>
      <c r="M274" s="530"/>
      <c r="N274" s="531">
        <v>0</v>
      </c>
      <c r="O274" s="533">
        <f t="shared" si="12"/>
        <v>69</v>
      </c>
      <c r="P274" s="534">
        <f t="shared" si="13"/>
        <v>0</v>
      </c>
      <c r="Q274" s="534">
        <f t="shared" si="14"/>
        <v>0</v>
      </c>
    </row>
    <row r="275" spans="1:17" ht="15" customHeight="1" x14ac:dyDescent="0.25">
      <c r="A275" s="530" t="s">
        <v>1101</v>
      </c>
      <c r="B275" s="530" t="s">
        <v>1083</v>
      </c>
      <c r="C275" s="531">
        <v>744</v>
      </c>
      <c r="D275" s="530" t="s">
        <v>1102</v>
      </c>
      <c r="E275" s="530" t="s">
        <v>1103</v>
      </c>
      <c r="F275" s="531">
        <v>1970</v>
      </c>
      <c r="G275" s="530" t="s">
        <v>296</v>
      </c>
      <c r="H275" s="531">
        <v>1688</v>
      </c>
      <c r="I275" s="531">
        <v>2900</v>
      </c>
      <c r="J275" s="531">
        <v>0</v>
      </c>
      <c r="K275" s="532">
        <v>43313</v>
      </c>
      <c r="L275" s="532">
        <v>46356</v>
      </c>
      <c r="M275" s="530"/>
      <c r="N275" s="531">
        <v>0</v>
      </c>
      <c r="O275" s="533">
        <f t="shared" si="12"/>
        <v>2914</v>
      </c>
      <c r="P275" s="534">
        <f t="shared" si="13"/>
        <v>0.23358904109589038</v>
      </c>
      <c r="Q275" s="534">
        <f t="shared" si="14"/>
        <v>680.67846575342458</v>
      </c>
    </row>
    <row r="276" spans="1:17" ht="15" customHeight="1" x14ac:dyDescent="0.25">
      <c r="A276" s="530" t="s">
        <v>1104</v>
      </c>
      <c r="B276" s="530" t="s">
        <v>1098</v>
      </c>
      <c r="C276" s="531">
        <v>852</v>
      </c>
      <c r="D276" s="530" t="s">
        <v>1105</v>
      </c>
      <c r="E276" s="530" t="s">
        <v>1106</v>
      </c>
      <c r="F276" s="531">
        <v>1915</v>
      </c>
      <c r="G276" s="530" t="s">
        <v>296</v>
      </c>
      <c r="H276" s="531">
        <v>1639</v>
      </c>
      <c r="I276" s="531">
        <v>2990</v>
      </c>
      <c r="J276" s="531">
        <v>0</v>
      </c>
      <c r="K276" s="532">
        <v>44953</v>
      </c>
      <c r="L276" s="532">
        <v>46057</v>
      </c>
      <c r="M276" s="530"/>
      <c r="N276" s="531">
        <v>12842.18</v>
      </c>
      <c r="O276" s="533">
        <f t="shared" si="12"/>
        <v>1274</v>
      </c>
      <c r="P276" s="534">
        <f t="shared" si="13"/>
        <v>0.24083835616438354</v>
      </c>
      <c r="Q276" s="534">
        <f t="shared" si="14"/>
        <v>306.82806575342465</v>
      </c>
    </row>
    <row r="277" spans="1:17" ht="15" customHeight="1" x14ac:dyDescent="0.25">
      <c r="A277" s="530" t="s">
        <v>1107</v>
      </c>
      <c r="B277" s="530" t="s">
        <v>1076</v>
      </c>
      <c r="C277" s="531">
        <v>1677</v>
      </c>
      <c r="D277" s="530" t="s">
        <v>1108</v>
      </c>
      <c r="E277" s="530" t="s">
        <v>1109</v>
      </c>
      <c r="F277" s="531">
        <v>3001</v>
      </c>
      <c r="G277" s="530" t="s">
        <v>296</v>
      </c>
      <c r="H277" s="531">
        <v>2358</v>
      </c>
      <c r="I277" s="531">
        <v>2358</v>
      </c>
      <c r="J277" s="531">
        <v>0</v>
      </c>
      <c r="K277" s="532">
        <v>46055</v>
      </c>
      <c r="L277" s="532">
        <v>46510</v>
      </c>
      <c r="M277" s="530"/>
      <c r="N277" s="531">
        <v>0</v>
      </c>
      <c r="O277" s="533">
        <f t="shared" si="12"/>
        <v>172</v>
      </c>
      <c r="P277" s="534">
        <f t="shared" si="13"/>
        <v>0.18993205479452052</v>
      </c>
      <c r="Q277" s="534">
        <f t="shared" si="14"/>
        <v>32.668313424657526</v>
      </c>
    </row>
    <row r="278" spans="1:17" ht="15" customHeight="1" x14ac:dyDescent="0.25">
      <c r="A278" s="530" t="s">
        <v>1110</v>
      </c>
      <c r="B278" s="530" t="s">
        <v>1111</v>
      </c>
      <c r="C278" s="531">
        <v>1642</v>
      </c>
      <c r="D278" s="530" t="s">
        <v>1112</v>
      </c>
      <c r="E278" s="530" t="s">
        <v>1113</v>
      </c>
      <c r="F278" s="531">
        <v>3057</v>
      </c>
      <c r="G278" s="530" t="s">
        <v>296</v>
      </c>
      <c r="H278" s="531">
        <v>2559.44</v>
      </c>
      <c r="I278" s="531">
        <v>500</v>
      </c>
      <c r="J278" s="531">
        <v>0</v>
      </c>
      <c r="K278" s="532">
        <v>45017</v>
      </c>
      <c r="L278" s="532">
        <v>46477</v>
      </c>
      <c r="M278" s="530"/>
      <c r="N278" s="531">
        <v>0</v>
      </c>
      <c r="O278" s="533">
        <f t="shared" si="12"/>
        <v>1210</v>
      </c>
      <c r="P278" s="534">
        <f t="shared" si="13"/>
        <v>4.0273972602739724E-2</v>
      </c>
      <c r="Q278" s="534">
        <f t="shared" si="14"/>
        <v>48.731506849315068</v>
      </c>
    </row>
    <row r="279" spans="1:17" ht="15" customHeight="1" x14ac:dyDescent="0.25">
      <c r="A279" s="530" t="s">
        <v>1114</v>
      </c>
      <c r="B279" s="530" t="s">
        <v>1076</v>
      </c>
      <c r="C279" s="531">
        <v>1677</v>
      </c>
      <c r="D279" s="530" t="s">
        <v>1115</v>
      </c>
      <c r="E279" s="530" t="s">
        <v>1116</v>
      </c>
      <c r="F279" s="531">
        <v>3001</v>
      </c>
      <c r="G279" s="530" t="s">
        <v>296</v>
      </c>
      <c r="H279" s="531">
        <v>2654</v>
      </c>
      <c r="I279" s="531">
        <v>700</v>
      </c>
      <c r="J279" s="531">
        <v>0</v>
      </c>
      <c r="K279" s="532">
        <v>45505</v>
      </c>
      <c r="L279" s="532">
        <v>46265</v>
      </c>
      <c r="M279" s="532">
        <v>46265</v>
      </c>
      <c r="N279" s="531">
        <v>0</v>
      </c>
      <c r="O279" s="533">
        <f t="shared" si="12"/>
        <v>722</v>
      </c>
      <c r="P279" s="534">
        <f t="shared" si="13"/>
        <v>5.6383561643835609E-2</v>
      </c>
      <c r="Q279" s="534">
        <f t="shared" si="14"/>
        <v>40.708931506849311</v>
      </c>
    </row>
    <row r="280" spans="1:17" ht="15" customHeight="1" x14ac:dyDescent="0.25">
      <c r="A280" s="530" t="s">
        <v>1117</v>
      </c>
      <c r="B280" s="530" t="s">
        <v>1118</v>
      </c>
      <c r="C280" s="531">
        <v>1399</v>
      </c>
      <c r="D280" s="530" t="s">
        <v>1119</v>
      </c>
      <c r="E280" s="530" t="s">
        <v>1120</v>
      </c>
      <c r="F280" s="531">
        <v>2997</v>
      </c>
      <c r="G280" s="530" t="s">
        <v>296</v>
      </c>
      <c r="H280" s="531">
        <v>2225</v>
      </c>
      <c r="I280" s="531">
        <v>500</v>
      </c>
      <c r="J280" s="531">
        <v>0</v>
      </c>
      <c r="K280" s="532">
        <v>45078</v>
      </c>
      <c r="L280" s="532">
        <v>46310</v>
      </c>
      <c r="M280" s="530"/>
      <c r="N280" s="531">
        <v>0</v>
      </c>
      <c r="O280" s="533">
        <f t="shared" si="12"/>
        <v>1149</v>
      </c>
      <c r="P280" s="534">
        <f t="shared" si="13"/>
        <v>4.0273972602739724E-2</v>
      </c>
      <c r="Q280" s="534">
        <f t="shared" si="14"/>
        <v>46.274794520547943</v>
      </c>
    </row>
    <row r="281" spans="1:17" ht="15" customHeight="1" x14ac:dyDescent="0.25">
      <c r="A281" s="530" t="s">
        <v>1121</v>
      </c>
      <c r="B281" s="530" t="s">
        <v>1122</v>
      </c>
      <c r="C281" s="531">
        <v>783</v>
      </c>
      <c r="D281" s="530" t="s">
        <v>1123</v>
      </c>
      <c r="E281" s="530" t="s">
        <v>1124</v>
      </c>
      <c r="F281" s="531">
        <v>1768</v>
      </c>
      <c r="G281" s="530" t="s">
        <v>296</v>
      </c>
      <c r="H281" s="531">
        <v>1438</v>
      </c>
      <c r="I281" s="531">
        <v>500</v>
      </c>
      <c r="J281" s="531">
        <v>0</v>
      </c>
      <c r="K281" s="532">
        <v>45078</v>
      </c>
      <c r="L281" s="532">
        <v>46234</v>
      </c>
      <c r="M281" s="532">
        <v>46234</v>
      </c>
      <c r="N281" s="531">
        <v>0</v>
      </c>
      <c r="O281" s="533">
        <f t="shared" si="12"/>
        <v>1149</v>
      </c>
      <c r="P281" s="534">
        <f t="shared" si="13"/>
        <v>4.0273972602739724E-2</v>
      </c>
      <c r="Q281" s="534">
        <f t="shared" si="14"/>
        <v>46.274794520547943</v>
      </c>
    </row>
    <row r="282" spans="1:17" ht="15" customHeight="1" x14ac:dyDescent="0.25">
      <c r="A282" s="530" t="s">
        <v>1125</v>
      </c>
      <c r="B282" s="530" t="s">
        <v>1122</v>
      </c>
      <c r="C282" s="531">
        <v>783</v>
      </c>
      <c r="D282" s="530" t="s">
        <v>1126</v>
      </c>
      <c r="E282" s="530" t="s">
        <v>1127</v>
      </c>
      <c r="F282" s="531">
        <v>1768</v>
      </c>
      <c r="G282" s="530" t="s">
        <v>296</v>
      </c>
      <c r="H282" s="531">
        <v>1492</v>
      </c>
      <c r="I282" s="531">
        <v>500</v>
      </c>
      <c r="J282" s="531">
        <v>0</v>
      </c>
      <c r="K282" s="532">
        <v>45665</v>
      </c>
      <c r="L282" s="532">
        <v>46394</v>
      </c>
      <c r="M282" s="530"/>
      <c r="N282" s="531">
        <v>0</v>
      </c>
      <c r="O282" s="533">
        <f t="shared" si="12"/>
        <v>562</v>
      </c>
      <c r="P282" s="534">
        <f t="shared" si="13"/>
        <v>4.0273972602739724E-2</v>
      </c>
      <c r="Q282" s="534">
        <f t="shared" si="14"/>
        <v>22.633972602739725</v>
      </c>
    </row>
    <row r="283" spans="1:17" ht="15" customHeight="1" x14ac:dyDescent="0.25">
      <c r="A283" s="530" t="s">
        <v>1128</v>
      </c>
      <c r="B283" s="530" t="s">
        <v>1098</v>
      </c>
      <c r="C283" s="531">
        <v>852</v>
      </c>
      <c r="D283" s="530" t="s">
        <v>1129</v>
      </c>
      <c r="E283" s="530" t="s">
        <v>1130</v>
      </c>
      <c r="F283" s="531">
        <v>2090</v>
      </c>
      <c r="G283" s="530" t="s">
        <v>296</v>
      </c>
      <c r="H283" s="531">
        <v>1992</v>
      </c>
      <c r="I283" s="531">
        <v>0</v>
      </c>
      <c r="J283" s="531">
        <v>0</v>
      </c>
      <c r="K283" s="532">
        <v>46143</v>
      </c>
      <c r="L283" s="532">
        <v>46510</v>
      </c>
      <c r="M283" s="530"/>
      <c r="N283" s="531">
        <v>0</v>
      </c>
      <c r="O283" s="533">
        <f t="shared" si="12"/>
        <v>84</v>
      </c>
      <c r="P283" s="534">
        <f t="shared" si="13"/>
        <v>0</v>
      </c>
      <c r="Q283" s="534">
        <f t="shared" si="14"/>
        <v>0</v>
      </c>
    </row>
    <row r="284" spans="1:17" ht="15" customHeight="1" x14ac:dyDescent="0.25">
      <c r="A284" s="530" t="s">
        <v>1131</v>
      </c>
      <c r="B284" s="530" t="s">
        <v>1132</v>
      </c>
      <c r="C284" s="531">
        <v>795</v>
      </c>
      <c r="D284" s="530" t="s">
        <v>1133</v>
      </c>
      <c r="E284" s="530" t="s">
        <v>1134</v>
      </c>
      <c r="F284" s="531">
        <v>1665</v>
      </c>
      <c r="G284" s="530" t="s">
        <v>296</v>
      </c>
      <c r="H284" s="531">
        <v>1857</v>
      </c>
      <c r="I284" s="531">
        <v>500</v>
      </c>
      <c r="J284" s="531">
        <v>0</v>
      </c>
      <c r="K284" s="532">
        <v>45166</v>
      </c>
      <c r="L284" s="532">
        <v>46565</v>
      </c>
      <c r="M284" s="530"/>
      <c r="N284" s="531">
        <v>0</v>
      </c>
      <c r="O284" s="533">
        <f t="shared" si="12"/>
        <v>1061</v>
      </c>
      <c r="P284" s="534">
        <f t="shared" si="13"/>
        <v>4.0273972602739724E-2</v>
      </c>
      <c r="Q284" s="534">
        <f t="shared" si="14"/>
        <v>42.73068493150685</v>
      </c>
    </row>
    <row r="285" spans="1:17" ht="15" customHeight="1" x14ac:dyDescent="0.25">
      <c r="A285" s="530" t="s">
        <v>1135</v>
      </c>
      <c r="B285" s="530" t="s">
        <v>1087</v>
      </c>
      <c r="C285" s="531">
        <v>1257</v>
      </c>
      <c r="D285" s="530" t="s">
        <v>1136</v>
      </c>
      <c r="E285" s="530" t="s">
        <v>1137</v>
      </c>
      <c r="F285" s="531">
        <v>2684</v>
      </c>
      <c r="G285" s="530" t="s">
        <v>296</v>
      </c>
      <c r="H285" s="531">
        <v>2189</v>
      </c>
      <c r="I285" s="531">
        <v>2066</v>
      </c>
      <c r="J285" s="531">
        <v>0</v>
      </c>
      <c r="K285" s="532">
        <v>45505</v>
      </c>
      <c r="L285" s="532">
        <v>46234</v>
      </c>
      <c r="M285" s="530"/>
      <c r="N285" s="531">
        <v>0</v>
      </c>
      <c r="O285" s="533">
        <f t="shared" si="12"/>
        <v>722</v>
      </c>
      <c r="P285" s="534">
        <f t="shared" si="13"/>
        <v>0.16641205479452056</v>
      </c>
      <c r="Q285" s="534">
        <f t="shared" si="14"/>
        <v>120.14950356164385</v>
      </c>
    </row>
    <row r="286" spans="1:17" ht="15" customHeight="1" x14ac:dyDescent="0.25">
      <c r="A286" s="530" t="s">
        <v>1138</v>
      </c>
      <c r="B286" s="530" t="s">
        <v>1091</v>
      </c>
      <c r="C286" s="531">
        <v>1164</v>
      </c>
      <c r="D286" s="530" t="s">
        <v>1139</v>
      </c>
      <c r="E286" s="530" t="s">
        <v>1140</v>
      </c>
      <c r="F286" s="531">
        <v>3168</v>
      </c>
      <c r="G286" s="530" t="s">
        <v>296</v>
      </c>
      <c r="H286" s="531">
        <v>2013.9</v>
      </c>
      <c r="I286" s="531">
        <v>500</v>
      </c>
      <c r="J286" s="531">
        <v>0</v>
      </c>
      <c r="K286" s="532">
        <v>45516</v>
      </c>
      <c r="L286" s="532">
        <v>46276</v>
      </c>
      <c r="M286" s="530"/>
      <c r="N286" s="531">
        <v>-800</v>
      </c>
      <c r="O286" s="533">
        <f t="shared" si="12"/>
        <v>711</v>
      </c>
      <c r="P286" s="534">
        <f t="shared" si="13"/>
        <v>4.0273972602739724E-2</v>
      </c>
      <c r="Q286" s="534">
        <f t="shared" si="14"/>
        <v>28.634794520547945</v>
      </c>
    </row>
    <row r="287" spans="1:17" ht="15" customHeight="1" x14ac:dyDescent="0.25">
      <c r="A287" s="530" t="s">
        <v>1141</v>
      </c>
      <c r="B287" s="530" t="s">
        <v>1142</v>
      </c>
      <c r="C287" s="531">
        <v>690</v>
      </c>
      <c r="D287" s="530" t="s">
        <v>1143</v>
      </c>
      <c r="E287" s="530" t="s">
        <v>1144</v>
      </c>
      <c r="F287" s="531">
        <v>1654</v>
      </c>
      <c r="G287" s="530" t="s">
        <v>296</v>
      </c>
      <c r="H287" s="531">
        <v>1544</v>
      </c>
      <c r="I287" s="531">
        <v>500</v>
      </c>
      <c r="J287" s="531">
        <v>0</v>
      </c>
      <c r="K287" s="532">
        <v>46174</v>
      </c>
      <c r="L287" s="532">
        <v>46538</v>
      </c>
      <c r="M287" s="530"/>
      <c r="N287" s="531">
        <v>0</v>
      </c>
      <c r="O287" s="533">
        <f t="shared" si="12"/>
        <v>53</v>
      </c>
      <c r="P287" s="534">
        <f t="shared" si="13"/>
        <v>4.0273972602739724E-2</v>
      </c>
      <c r="Q287" s="534">
        <f t="shared" si="14"/>
        <v>2.1345205479452054</v>
      </c>
    </row>
    <row r="288" spans="1:17" ht="15" customHeight="1" x14ac:dyDescent="0.25">
      <c r="A288" s="530" t="s">
        <v>1145</v>
      </c>
      <c r="B288" s="530" t="s">
        <v>1122</v>
      </c>
      <c r="C288" s="531">
        <v>783</v>
      </c>
      <c r="D288" s="530" t="s">
        <v>1146</v>
      </c>
      <c r="E288" s="530" t="s">
        <v>1147</v>
      </c>
      <c r="F288" s="531">
        <v>1768</v>
      </c>
      <c r="G288" s="530" t="s">
        <v>331</v>
      </c>
      <c r="H288" s="531">
        <v>1488</v>
      </c>
      <c r="I288" s="531">
        <v>1616</v>
      </c>
      <c r="J288" s="531">
        <v>0</v>
      </c>
      <c r="K288" s="532">
        <v>46052</v>
      </c>
      <c r="L288" s="532">
        <v>46445</v>
      </c>
      <c r="M288" s="530"/>
      <c r="N288" s="531">
        <v>-0.87</v>
      </c>
      <c r="O288" s="533">
        <f t="shared" si="12"/>
        <v>175</v>
      </c>
      <c r="P288" s="534">
        <f t="shared" si="13"/>
        <v>0.13016547945205478</v>
      </c>
      <c r="Q288" s="534">
        <f t="shared" si="14"/>
        <v>22.778958904109587</v>
      </c>
    </row>
    <row r="289" spans="1:17" ht="15" customHeight="1" x14ac:dyDescent="0.25">
      <c r="A289" s="530" t="s">
        <v>1148</v>
      </c>
      <c r="B289" s="530" t="s">
        <v>1142</v>
      </c>
      <c r="C289" s="531">
        <v>690</v>
      </c>
      <c r="D289" s="530" t="s">
        <v>1149</v>
      </c>
      <c r="E289" s="530" t="s">
        <v>1150</v>
      </c>
      <c r="F289" s="531">
        <v>1654</v>
      </c>
      <c r="G289" s="530" t="s">
        <v>1669</v>
      </c>
      <c r="H289" s="531">
        <v>75</v>
      </c>
      <c r="I289" s="531">
        <v>500</v>
      </c>
      <c r="J289" s="531">
        <v>0</v>
      </c>
      <c r="K289" s="532">
        <v>45638</v>
      </c>
      <c r="L289" s="532">
        <v>46457</v>
      </c>
      <c r="M289" s="530"/>
      <c r="N289" s="531">
        <v>0</v>
      </c>
      <c r="O289" s="533">
        <f t="shared" si="12"/>
        <v>589</v>
      </c>
      <c r="P289" s="534">
        <f t="shared" si="13"/>
        <v>4.0273972602739724E-2</v>
      </c>
      <c r="Q289" s="534">
        <f t="shared" si="14"/>
        <v>23.721369863013699</v>
      </c>
    </row>
    <row r="290" spans="1:17" ht="15" customHeight="1" x14ac:dyDescent="0.25">
      <c r="A290" s="530" t="s">
        <v>1151</v>
      </c>
      <c r="B290" s="530" t="s">
        <v>1122</v>
      </c>
      <c r="C290" s="531">
        <v>783</v>
      </c>
      <c r="D290" s="530" t="s">
        <v>1152</v>
      </c>
      <c r="E290" s="530" t="s">
        <v>1153</v>
      </c>
      <c r="F290" s="531">
        <v>1848</v>
      </c>
      <c r="G290" s="530" t="s">
        <v>296</v>
      </c>
      <c r="H290" s="531">
        <v>1627</v>
      </c>
      <c r="I290" s="531">
        <v>500</v>
      </c>
      <c r="J290" s="531">
        <v>0</v>
      </c>
      <c r="K290" s="532">
        <v>45927</v>
      </c>
      <c r="L290" s="532">
        <v>46321</v>
      </c>
      <c r="M290" s="530"/>
      <c r="N290" s="531">
        <v>0</v>
      </c>
      <c r="O290" s="533">
        <f t="shared" si="12"/>
        <v>300</v>
      </c>
      <c r="P290" s="534">
        <f t="shared" si="13"/>
        <v>4.0273972602739724E-2</v>
      </c>
      <c r="Q290" s="534">
        <f t="shared" si="14"/>
        <v>12.082191780821917</v>
      </c>
    </row>
    <row r="291" spans="1:17" ht="15" customHeight="1" x14ac:dyDescent="0.25">
      <c r="A291" s="530" t="s">
        <v>1154</v>
      </c>
      <c r="B291" s="530" t="s">
        <v>1155</v>
      </c>
      <c r="C291" s="531">
        <v>1608</v>
      </c>
      <c r="D291" s="530" t="s">
        <v>1156</v>
      </c>
      <c r="E291" s="530" t="s">
        <v>1157</v>
      </c>
      <c r="F291" s="531">
        <v>3125</v>
      </c>
      <c r="G291" s="530" t="s">
        <v>296</v>
      </c>
      <c r="H291" s="531">
        <v>2627</v>
      </c>
      <c r="I291" s="531">
        <v>500</v>
      </c>
      <c r="J291" s="531">
        <v>0</v>
      </c>
      <c r="K291" s="532">
        <v>45959</v>
      </c>
      <c r="L291" s="532">
        <v>46356</v>
      </c>
      <c r="M291" s="530"/>
      <c r="N291" s="531">
        <v>0</v>
      </c>
      <c r="O291" s="533">
        <f t="shared" si="12"/>
        <v>268</v>
      </c>
      <c r="P291" s="534">
        <f t="shared" si="13"/>
        <v>4.0273972602739724E-2</v>
      </c>
      <c r="Q291" s="534">
        <f t="shared" si="14"/>
        <v>10.793424657534246</v>
      </c>
    </row>
    <row r="292" spans="1:17" ht="15" customHeight="1" x14ac:dyDescent="0.25">
      <c r="A292" s="530" t="s">
        <v>1158</v>
      </c>
      <c r="B292" s="530" t="s">
        <v>1159</v>
      </c>
      <c r="C292" s="531">
        <v>803</v>
      </c>
      <c r="D292" s="530" t="s">
        <v>1160</v>
      </c>
      <c r="E292" s="530" t="s">
        <v>1161</v>
      </c>
      <c r="F292" s="531">
        <v>2134</v>
      </c>
      <c r="G292" s="530" t="s">
        <v>296</v>
      </c>
      <c r="H292" s="531">
        <v>1725</v>
      </c>
      <c r="I292" s="531">
        <v>500</v>
      </c>
      <c r="J292" s="531">
        <v>0</v>
      </c>
      <c r="K292" s="532">
        <v>45435</v>
      </c>
      <c r="L292" s="532">
        <v>46225</v>
      </c>
      <c r="M292" s="532">
        <v>46236</v>
      </c>
      <c r="N292" s="531">
        <v>0</v>
      </c>
      <c r="O292" s="533">
        <f t="shared" si="12"/>
        <v>792</v>
      </c>
      <c r="P292" s="534">
        <f t="shared" si="13"/>
        <v>4.0273972602739724E-2</v>
      </c>
      <c r="Q292" s="534">
        <f t="shared" si="14"/>
        <v>31.896986301369861</v>
      </c>
    </row>
    <row r="293" spans="1:17" ht="15" customHeight="1" x14ac:dyDescent="0.25">
      <c r="A293" s="530" t="s">
        <v>1162</v>
      </c>
      <c r="B293" s="530" t="s">
        <v>1163</v>
      </c>
      <c r="C293" s="531">
        <v>1692</v>
      </c>
      <c r="D293" s="530" t="s">
        <v>1164</v>
      </c>
      <c r="E293" s="530" t="s">
        <v>1165</v>
      </c>
      <c r="F293" s="531">
        <v>3435</v>
      </c>
      <c r="G293" s="530" t="s">
        <v>296</v>
      </c>
      <c r="H293" s="531">
        <v>3033</v>
      </c>
      <c r="I293" s="531">
        <v>300</v>
      </c>
      <c r="J293" s="531">
        <v>0</v>
      </c>
      <c r="K293" s="532">
        <v>44415</v>
      </c>
      <c r="L293" s="532">
        <v>46240</v>
      </c>
      <c r="M293" s="530"/>
      <c r="N293" s="531">
        <v>0</v>
      </c>
      <c r="O293" s="533">
        <f t="shared" si="12"/>
        <v>1812</v>
      </c>
      <c r="P293" s="534">
        <f t="shared" si="13"/>
        <v>2.4164383561643837E-2</v>
      </c>
      <c r="Q293" s="534">
        <f t="shared" si="14"/>
        <v>43.785863013698631</v>
      </c>
    </row>
    <row r="294" spans="1:17" ht="15" customHeight="1" x14ac:dyDescent="0.25">
      <c r="A294" s="530" t="s">
        <v>1166</v>
      </c>
      <c r="B294" s="530" t="s">
        <v>1167</v>
      </c>
      <c r="C294" s="531">
        <v>735</v>
      </c>
      <c r="D294" s="530" t="s">
        <v>1168</v>
      </c>
      <c r="E294" s="530" t="s">
        <v>1169</v>
      </c>
      <c r="F294" s="531">
        <v>1646</v>
      </c>
      <c r="G294" s="530" t="s">
        <v>296</v>
      </c>
      <c r="H294" s="531">
        <v>1555</v>
      </c>
      <c r="I294" s="531">
        <v>500</v>
      </c>
      <c r="J294" s="531">
        <v>0</v>
      </c>
      <c r="K294" s="532">
        <v>46122</v>
      </c>
      <c r="L294" s="532">
        <v>46489</v>
      </c>
      <c r="M294" s="530"/>
      <c r="N294" s="531">
        <v>0</v>
      </c>
      <c r="O294" s="533">
        <f t="shared" si="12"/>
        <v>105</v>
      </c>
      <c r="P294" s="534">
        <f t="shared" si="13"/>
        <v>4.0273972602739724E-2</v>
      </c>
      <c r="Q294" s="534">
        <f t="shared" si="14"/>
        <v>4.2287671232876711</v>
      </c>
    </row>
    <row r="295" spans="1:17" ht="15" customHeight="1" x14ac:dyDescent="0.25">
      <c r="A295" s="530" t="s">
        <v>1170</v>
      </c>
      <c r="B295" s="530" t="s">
        <v>1171</v>
      </c>
      <c r="C295" s="531">
        <v>730</v>
      </c>
      <c r="D295" s="530" t="s">
        <v>1172</v>
      </c>
      <c r="E295" s="530" t="s">
        <v>1173</v>
      </c>
      <c r="F295" s="531">
        <v>1818</v>
      </c>
      <c r="G295" s="530" t="s">
        <v>296</v>
      </c>
      <c r="H295" s="531">
        <v>1768.06</v>
      </c>
      <c r="I295" s="531">
        <v>2672</v>
      </c>
      <c r="J295" s="531">
        <v>0</v>
      </c>
      <c r="K295" s="532">
        <v>45129</v>
      </c>
      <c r="L295" s="532">
        <v>46463</v>
      </c>
      <c r="M295" s="530"/>
      <c r="N295" s="531">
        <v>0</v>
      </c>
      <c r="O295" s="533">
        <f t="shared" si="12"/>
        <v>1098</v>
      </c>
      <c r="P295" s="534">
        <f t="shared" si="13"/>
        <v>0.21522410958904109</v>
      </c>
      <c r="Q295" s="534">
        <f t="shared" si="14"/>
        <v>236.31607232876712</v>
      </c>
    </row>
    <row r="296" spans="1:17" ht="15" customHeight="1" x14ac:dyDescent="0.25">
      <c r="A296" s="530" t="s">
        <v>1174</v>
      </c>
      <c r="B296" s="530" t="s">
        <v>1098</v>
      </c>
      <c r="C296" s="531">
        <v>852</v>
      </c>
      <c r="D296" s="530" t="s">
        <v>1175</v>
      </c>
      <c r="E296" s="530" t="s">
        <v>1176</v>
      </c>
      <c r="F296" s="531">
        <v>1865</v>
      </c>
      <c r="G296" s="530" t="s">
        <v>296</v>
      </c>
      <c r="H296" s="531">
        <v>1610</v>
      </c>
      <c r="I296" s="531">
        <v>3126</v>
      </c>
      <c r="J296" s="531">
        <v>0</v>
      </c>
      <c r="K296" s="532">
        <v>45428</v>
      </c>
      <c r="L296" s="532">
        <v>46251</v>
      </c>
      <c r="M296" s="532">
        <v>46266</v>
      </c>
      <c r="N296" s="531">
        <v>0</v>
      </c>
      <c r="O296" s="533">
        <f t="shared" si="12"/>
        <v>799</v>
      </c>
      <c r="P296" s="534">
        <f t="shared" si="13"/>
        <v>0.25179287671232875</v>
      </c>
      <c r="Q296" s="534">
        <f t="shared" si="14"/>
        <v>201.18250849315066</v>
      </c>
    </row>
    <row r="297" spans="1:17" ht="15" customHeight="1" x14ac:dyDescent="0.25">
      <c r="A297" s="530" t="s">
        <v>1177</v>
      </c>
      <c r="B297" s="530" t="s">
        <v>1178</v>
      </c>
      <c r="C297" s="531">
        <v>867</v>
      </c>
      <c r="D297" s="530" t="s">
        <v>1179</v>
      </c>
      <c r="E297" s="530" t="s">
        <v>1180</v>
      </c>
      <c r="F297" s="531">
        <v>1892</v>
      </c>
      <c r="G297" s="530" t="s">
        <v>296</v>
      </c>
      <c r="H297" s="531">
        <v>1925</v>
      </c>
      <c r="I297" s="531">
        <v>300</v>
      </c>
      <c r="J297" s="531">
        <v>0</v>
      </c>
      <c r="K297" s="532">
        <v>43597</v>
      </c>
      <c r="L297" s="532">
        <v>46549</v>
      </c>
      <c r="M297" s="530"/>
      <c r="N297" s="531">
        <v>0</v>
      </c>
      <c r="O297" s="533">
        <f t="shared" si="12"/>
        <v>2630</v>
      </c>
      <c r="P297" s="534">
        <f t="shared" si="13"/>
        <v>2.4164383561643837E-2</v>
      </c>
      <c r="Q297" s="534">
        <f t="shared" si="14"/>
        <v>63.552328767123292</v>
      </c>
    </row>
    <row r="298" spans="1:17" ht="15" customHeight="1" x14ac:dyDescent="0.25">
      <c r="A298" s="530" t="s">
        <v>1181</v>
      </c>
      <c r="B298" s="530" t="s">
        <v>1171</v>
      </c>
      <c r="C298" s="531">
        <v>730</v>
      </c>
      <c r="D298" s="530" t="s">
        <v>1182</v>
      </c>
      <c r="E298" s="530" t="s">
        <v>1183</v>
      </c>
      <c r="F298" s="531">
        <v>1738</v>
      </c>
      <c r="G298" s="530" t="s">
        <v>296</v>
      </c>
      <c r="H298" s="531">
        <v>1722</v>
      </c>
      <c r="I298" s="531">
        <v>2990</v>
      </c>
      <c r="J298" s="531">
        <v>0</v>
      </c>
      <c r="K298" s="532">
        <v>44345</v>
      </c>
      <c r="L298" s="532">
        <v>46231</v>
      </c>
      <c r="M298" s="530"/>
      <c r="N298" s="531">
        <v>0</v>
      </c>
      <c r="O298" s="533">
        <f t="shared" si="12"/>
        <v>1882</v>
      </c>
      <c r="P298" s="534">
        <f t="shared" si="13"/>
        <v>0.24083835616438354</v>
      </c>
      <c r="Q298" s="534">
        <f t="shared" si="14"/>
        <v>453.25778630136983</v>
      </c>
    </row>
    <row r="299" spans="1:17" ht="15" customHeight="1" x14ac:dyDescent="0.25">
      <c r="A299" s="530" t="s">
        <v>1184</v>
      </c>
      <c r="B299" s="530" t="s">
        <v>1098</v>
      </c>
      <c r="C299" s="531">
        <v>852</v>
      </c>
      <c r="D299" s="530" t="s">
        <v>1185</v>
      </c>
      <c r="E299" s="530" t="s">
        <v>1186</v>
      </c>
      <c r="F299" s="531">
        <v>1865</v>
      </c>
      <c r="G299" s="530" t="s">
        <v>296</v>
      </c>
      <c r="H299" s="531">
        <v>1824</v>
      </c>
      <c r="I299" s="531">
        <v>500</v>
      </c>
      <c r="J299" s="531">
        <v>0</v>
      </c>
      <c r="K299" s="532">
        <v>46113</v>
      </c>
      <c r="L299" s="532">
        <v>46477</v>
      </c>
      <c r="M299" s="530"/>
      <c r="N299" s="531">
        <v>-323.83999999999997</v>
      </c>
      <c r="O299" s="533">
        <f t="shared" si="12"/>
        <v>114</v>
      </c>
      <c r="P299" s="534">
        <f t="shared" si="13"/>
        <v>4.0273972602739724E-2</v>
      </c>
      <c r="Q299" s="534">
        <f t="shared" si="14"/>
        <v>4.5912328767123283</v>
      </c>
    </row>
    <row r="300" spans="1:17" ht="15" customHeight="1" x14ac:dyDescent="0.25">
      <c r="A300" s="530" t="s">
        <v>1187</v>
      </c>
      <c r="B300" s="530" t="s">
        <v>1132</v>
      </c>
      <c r="C300" s="531">
        <v>795</v>
      </c>
      <c r="D300" s="530" t="s">
        <v>1188</v>
      </c>
      <c r="E300" s="530" t="s">
        <v>1189</v>
      </c>
      <c r="F300" s="531">
        <v>1665</v>
      </c>
      <c r="G300" s="530" t="s">
        <v>296</v>
      </c>
      <c r="H300" s="531">
        <v>2037</v>
      </c>
      <c r="I300" s="531">
        <v>500</v>
      </c>
      <c r="J300" s="531">
        <v>0</v>
      </c>
      <c r="K300" s="532">
        <v>46136</v>
      </c>
      <c r="L300" s="532">
        <v>46591</v>
      </c>
      <c r="M300" s="530"/>
      <c r="N300" s="531">
        <v>0</v>
      </c>
      <c r="O300" s="533">
        <f t="shared" si="12"/>
        <v>91</v>
      </c>
      <c r="P300" s="534">
        <f t="shared" si="13"/>
        <v>4.0273972602739724E-2</v>
      </c>
      <c r="Q300" s="534">
        <f t="shared" si="14"/>
        <v>3.6649315068493151</v>
      </c>
    </row>
    <row r="301" spans="1:17" ht="15" customHeight="1" x14ac:dyDescent="0.25">
      <c r="A301" s="530" t="s">
        <v>1190</v>
      </c>
      <c r="B301" s="530" t="s">
        <v>1142</v>
      </c>
      <c r="C301" s="531">
        <v>690</v>
      </c>
      <c r="D301" s="530" t="s">
        <v>1191</v>
      </c>
      <c r="E301" s="530" t="s">
        <v>1192</v>
      </c>
      <c r="F301" s="531">
        <v>1654</v>
      </c>
      <c r="G301" s="530" t="s">
        <v>296</v>
      </c>
      <c r="H301" s="531">
        <v>1658</v>
      </c>
      <c r="I301" s="531">
        <v>500</v>
      </c>
      <c r="J301" s="531">
        <v>0</v>
      </c>
      <c r="K301" s="532">
        <v>46081</v>
      </c>
      <c r="L301" s="532">
        <v>46261</v>
      </c>
      <c r="M301" s="532">
        <v>46261</v>
      </c>
      <c r="N301" s="531">
        <v>0</v>
      </c>
      <c r="O301" s="533">
        <f t="shared" si="12"/>
        <v>146</v>
      </c>
      <c r="P301" s="534">
        <f t="shared" si="13"/>
        <v>4.0273972602739724E-2</v>
      </c>
      <c r="Q301" s="534">
        <f t="shared" si="14"/>
        <v>5.88</v>
      </c>
    </row>
    <row r="302" spans="1:17" ht="15" customHeight="1" x14ac:dyDescent="0.25">
      <c r="A302" s="530" t="s">
        <v>1193</v>
      </c>
      <c r="B302" s="530" t="s">
        <v>1171</v>
      </c>
      <c r="C302" s="531">
        <v>730</v>
      </c>
      <c r="D302" s="530" t="s">
        <v>1194</v>
      </c>
      <c r="E302" s="530" t="s">
        <v>1195</v>
      </c>
      <c r="F302" s="531">
        <v>1818</v>
      </c>
      <c r="G302" s="530" t="s">
        <v>296</v>
      </c>
      <c r="H302" s="531">
        <v>1626</v>
      </c>
      <c r="I302" s="531">
        <v>0</v>
      </c>
      <c r="J302" s="531">
        <v>0</v>
      </c>
      <c r="K302" s="532">
        <v>46191</v>
      </c>
      <c r="L302" s="532">
        <v>46587</v>
      </c>
      <c r="M302" s="530"/>
      <c r="N302" s="531">
        <v>0</v>
      </c>
      <c r="O302" s="533">
        <f t="shared" si="12"/>
        <v>36</v>
      </c>
      <c r="P302" s="534">
        <f t="shared" si="13"/>
        <v>0</v>
      </c>
      <c r="Q302" s="534">
        <f t="shared" si="14"/>
        <v>0</v>
      </c>
    </row>
    <row r="303" spans="1:17" ht="15" customHeight="1" x14ac:dyDescent="0.25">
      <c r="A303" s="530" t="s">
        <v>1196</v>
      </c>
      <c r="B303" s="530" t="s">
        <v>1098</v>
      </c>
      <c r="C303" s="531">
        <v>852</v>
      </c>
      <c r="D303" s="530" t="s">
        <v>1197</v>
      </c>
      <c r="E303" s="530" t="s">
        <v>1198</v>
      </c>
      <c r="F303" s="531">
        <v>1915</v>
      </c>
      <c r="G303" s="530" t="s">
        <v>296</v>
      </c>
      <c r="H303" s="531">
        <v>1835</v>
      </c>
      <c r="I303" s="531">
        <v>300</v>
      </c>
      <c r="J303" s="531">
        <v>0</v>
      </c>
      <c r="K303" s="532">
        <v>43582</v>
      </c>
      <c r="L303" s="532">
        <v>46413</v>
      </c>
      <c r="M303" s="530"/>
      <c r="N303" s="531">
        <v>0</v>
      </c>
      <c r="O303" s="533">
        <f t="shared" si="12"/>
        <v>2645</v>
      </c>
      <c r="P303" s="534">
        <f t="shared" si="13"/>
        <v>2.4164383561643837E-2</v>
      </c>
      <c r="Q303" s="534">
        <f t="shared" si="14"/>
        <v>63.91479452054795</v>
      </c>
    </row>
    <row r="304" spans="1:17" ht="15" customHeight="1" x14ac:dyDescent="0.25">
      <c r="A304" s="530" t="s">
        <v>1199</v>
      </c>
      <c r="B304" s="530" t="s">
        <v>1091</v>
      </c>
      <c r="C304" s="531">
        <v>1164</v>
      </c>
      <c r="D304" s="530" t="s">
        <v>1200</v>
      </c>
      <c r="E304" s="530" t="s">
        <v>1201</v>
      </c>
      <c r="F304" s="531">
        <v>3088</v>
      </c>
      <c r="G304" s="530" t="s">
        <v>296</v>
      </c>
      <c r="H304" s="531">
        <v>1878</v>
      </c>
      <c r="I304" s="531">
        <v>500</v>
      </c>
      <c r="J304" s="531">
        <v>0</v>
      </c>
      <c r="K304" s="532">
        <v>45058</v>
      </c>
      <c r="L304" s="532">
        <v>46245</v>
      </c>
      <c r="M304" s="530"/>
      <c r="N304" s="531">
        <v>0</v>
      </c>
      <c r="O304" s="533">
        <f t="shared" si="12"/>
        <v>1169</v>
      </c>
      <c r="P304" s="534">
        <f t="shared" si="13"/>
        <v>4.0273972602739724E-2</v>
      </c>
      <c r="Q304" s="534">
        <f t="shared" si="14"/>
        <v>47.08027397260274</v>
      </c>
    </row>
    <row r="305" spans="1:17" ht="15" customHeight="1" x14ac:dyDescent="0.25">
      <c r="A305" s="530" t="s">
        <v>1202</v>
      </c>
      <c r="B305" s="530" t="s">
        <v>1098</v>
      </c>
      <c r="C305" s="531">
        <v>852</v>
      </c>
      <c r="D305" s="530" t="s">
        <v>1203</v>
      </c>
      <c r="E305" s="530" t="s">
        <v>1204</v>
      </c>
      <c r="F305" s="531">
        <v>1915</v>
      </c>
      <c r="G305" s="530" t="s">
        <v>296</v>
      </c>
      <c r="H305" s="531">
        <v>1750</v>
      </c>
      <c r="I305" s="531">
        <v>500</v>
      </c>
      <c r="J305" s="531">
        <v>0</v>
      </c>
      <c r="K305" s="532">
        <v>45708</v>
      </c>
      <c r="L305" s="532">
        <v>46526</v>
      </c>
      <c r="M305" s="530"/>
      <c r="N305" s="531">
        <v>0</v>
      </c>
      <c r="O305" s="533">
        <f t="shared" si="12"/>
        <v>519</v>
      </c>
      <c r="P305" s="534">
        <f t="shared" si="13"/>
        <v>4.0273972602739724E-2</v>
      </c>
      <c r="Q305" s="534">
        <f t="shared" si="14"/>
        <v>20.902191780821916</v>
      </c>
    </row>
    <row r="306" spans="1:17" ht="15" customHeight="1" x14ac:dyDescent="0.25">
      <c r="A306" s="530" t="s">
        <v>14212</v>
      </c>
      <c r="B306" s="530" t="s">
        <v>1210</v>
      </c>
      <c r="C306" s="531">
        <v>664</v>
      </c>
      <c r="D306" s="530" t="s">
        <v>14213</v>
      </c>
      <c r="E306" s="530" t="s">
        <v>14214</v>
      </c>
      <c r="F306" s="531">
        <v>1658</v>
      </c>
      <c r="G306" s="530" t="s">
        <v>296</v>
      </c>
      <c r="H306" s="531">
        <v>1662</v>
      </c>
      <c r="I306" s="531">
        <v>0</v>
      </c>
      <c r="J306" s="531">
        <v>0</v>
      </c>
      <c r="K306" s="532">
        <v>46220</v>
      </c>
      <c r="L306" s="532">
        <v>46615</v>
      </c>
      <c r="M306" s="530"/>
      <c r="N306" s="531">
        <v>0</v>
      </c>
      <c r="O306" s="533">
        <f t="shared" si="12"/>
        <v>7</v>
      </c>
      <c r="P306" s="534">
        <f t="shared" si="13"/>
        <v>0</v>
      </c>
      <c r="Q306" s="534">
        <f t="shared" si="14"/>
        <v>0</v>
      </c>
    </row>
    <row r="307" spans="1:17" ht="15" customHeight="1" x14ac:dyDescent="0.25">
      <c r="A307" s="530" t="s">
        <v>1205</v>
      </c>
      <c r="B307" s="530" t="s">
        <v>1206</v>
      </c>
      <c r="C307" s="531">
        <v>1117</v>
      </c>
      <c r="D307" s="530" t="s">
        <v>1207</v>
      </c>
      <c r="E307" s="530" t="s">
        <v>1208</v>
      </c>
      <c r="F307" s="531">
        <v>2644</v>
      </c>
      <c r="G307" s="530" t="s">
        <v>296</v>
      </c>
      <c r="H307" s="531">
        <v>2121</v>
      </c>
      <c r="I307" s="531">
        <v>500</v>
      </c>
      <c r="J307" s="531">
        <v>0</v>
      </c>
      <c r="K307" s="532">
        <v>45458</v>
      </c>
      <c r="L307" s="532">
        <v>46248</v>
      </c>
      <c r="M307" s="530"/>
      <c r="N307" s="531">
        <v>0</v>
      </c>
      <c r="O307" s="533">
        <f t="shared" si="12"/>
        <v>769</v>
      </c>
      <c r="P307" s="534">
        <f t="shared" si="13"/>
        <v>4.0273972602739724E-2</v>
      </c>
      <c r="Q307" s="534">
        <f t="shared" si="14"/>
        <v>30.970684931506849</v>
      </c>
    </row>
    <row r="308" spans="1:17" ht="15" customHeight="1" x14ac:dyDescent="0.25">
      <c r="A308" s="530" t="s">
        <v>1209</v>
      </c>
      <c r="B308" s="530" t="s">
        <v>1210</v>
      </c>
      <c r="C308" s="531">
        <v>664</v>
      </c>
      <c r="D308" s="530" t="s">
        <v>1211</v>
      </c>
      <c r="E308" s="530" t="s">
        <v>1212</v>
      </c>
      <c r="F308" s="531">
        <v>1753</v>
      </c>
      <c r="G308" s="530" t="s">
        <v>296</v>
      </c>
      <c r="H308" s="531">
        <v>1584</v>
      </c>
      <c r="I308" s="531">
        <v>500</v>
      </c>
      <c r="J308" s="531">
        <v>0</v>
      </c>
      <c r="K308" s="532">
        <v>45965</v>
      </c>
      <c r="L308" s="532">
        <v>46421</v>
      </c>
      <c r="M308" s="530"/>
      <c r="N308" s="531">
        <v>0</v>
      </c>
      <c r="O308" s="533">
        <f t="shared" si="12"/>
        <v>262</v>
      </c>
      <c r="P308" s="534">
        <f t="shared" si="13"/>
        <v>4.0273972602739724E-2</v>
      </c>
      <c r="Q308" s="534">
        <f t="shared" si="14"/>
        <v>10.551780821917808</v>
      </c>
    </row>
    <row r="309" spans="1:17" ht="15" customHeight="1" x14ac:dyDescent="0.25">
      <c r="A309" s="530" t="s">
        <v>1213</v>
      </c>
      <c r="B309" s="530" t="s">
        <v>1210</v>
      </c>
      <c r="C309" s="531">
        <v>664</v>
      </c>
      <c r="D309" s="530" t="s">
        <v>1214</v>
      </c>
      <c r="E309" s="530" t="s">
        <v>1215</v>
      </c>
      <c r="F309" s="531">
        <v>1658</v>
      </c>
      <c r="G309" s="530" t="s">
        <v>296</v>
      </c>
      <c r="H309" s="531">
        <v>1548</v>
      </c>
      <c r="I309" s="531">
        <v>500</v>
      </c>
      <c r="J309" s="531">
        <v>0</v>
      </c>
      <c r="K309" s="532">
        <v>45929</v>
      </c>
      <c r="L309" s="532">
        <v>46356</v>
      </c>
      <c r="M309" s="530"/>
      <c r="N309" s="531">
        <v>0</v>
      </c>
      <c r="O309" s="533">
        <f t="shared" si="12"/>
        <v>298</v>
      </c>
      <c r="P309" s="534">
        <f t="shared" si="13"/>
        <v>4.0273972602739724E-2</v>
      </c>
      <c r="Q309" s="534">
        <f t="shared" si="14"/>
        <v>12.001643835616438</v>
      </c>
    </row>
    <row r="310" spans="1:17" ht="15" customHeight="1" x14ac:dyDescent="0.25">
      <c r="A310" s="530" t="s">
        <v>1216</v>
      </c>
      <c r="B310" s="530" t="s">
        <v>1217</v>
      </c>
      <c r="C310" s="531">
        <v>825</v>
      </c>
      <c r="D310" s="530" t="s">
        <v>1218</v>
      </c>
      <c r="E310" s="530" t="s">
        <v>1219</v>
      </c>
      <c r="F310" s="531">
        <v>1824</v>
      </c>
      <c r="G310" s="530" t="s">
        <v>296</v>
      </c>
      <c r="H310" s="531">
        <v>1745</v>
      </c>
      <c r="I310" s="531">
        <v>300</v>
      </c>
      <c r="J310" s="531">
        <v>0</v>
      </c>
      <c r="K310" s="532">
        <v>43736</v>
      </c>
      <c r="L310" s="532">
        <v>46292</v>
      </c>
      <c r="M310" s="530"/>
      <c r="N310" s="531">
        <v>0</v>
      </c>
      <c r="O310" s="533">
        <f t="shared" si="12"/>
        <v>2491</v>
      </c>
      <c r="P310" s="534">
        <f t="shared" si="13"/>
        <v>2.4164383561643837E-2</v>
      </c>
      <c r="Q310" s="534">
        <f t="shared" si="14"/>
        <v>60.193479452054795</v>
      </c>
    </row>
    <row r="311" spans="1:17" ht="15" customHeight="1" x14ac:dyDescent="0.25">
      <c r="A311" s="530" t="s">
        <v>1220</v>
      </c>
      <c r="B311" s="530" t="s">
        <v>1221</v>
      </c>
      <c r="C311" s="531">
        <v>1420</v>
      </c>
      <c r="D311" s="530" t="s">
        <v>1222</v>
      </c>
      <c r="E311" s="530" t="s">
        <v>1223</v>
      </c>
      <c r="F311" s="531">
        <v>2877</v>
      </c>
      <c r="G311" s="530" t="s">
        <v>296</v>
      </c>
      <c r="H311" s="531">
        <v>2773</v>
      </c>
      <c r="I311" s="531">
        <v>500</v>
      </c>
      <c r="J311" s="531">
        <v>0</v>
      </c>
      <c r="K311" s="532">
        <v>44993</v>
      </c>
      <c r="L311" s="532">
        <v>46545</v>
      </c>
      <c r="M311" s="530"/>
      <c r="N311" s="531">
        <v>0</v>
      </c>
      <c r="O311" s="533">
        <f t="shared" si="12"/>
        <v>1234</v>
      </c>
      <c r="P311" s="534">
        <f t="shared" si="13"/>
        <v>4.0273972602739724E-2</v>
      </c>
      <c r="Q311" s="534">
        <f t="shared" si="14"/>
        <v>49.69808219178082</v>
      </c>
    </row>
    <row r="312" spans="1:17" ht="15" customHeight="1" x14ac:dyDescent="0.25">
      <c r="A312" s="530" t="s">
        <v>1224</v>
      </c>
      <c r="B312" s="530" t="s">
        <v>1221</v>
      </c>
      <c r="C312" s="531">
        <v>1420</v>
      </c>
      <c r="D312" s="530" t="s">
        <v>1225</v>
      </c>
      <c r="E312" s="530" t="s">
        <v>1226</v>
      </c>
      <c r="F312" s="531">
        <v>2777</v>
      </c>
      <c r="G312" s="530" t="s">
        <v>296</v>
      </c>
      <c r="H312" s="531">
        <v>2491</v>
      </c>
      <c r="I312" s="531">
        <v>500</v>
      </c>
      <c r="J312" s="531">
        <v>0</v>
      </c>
      <c r="K312" s="532">
        <v>46137</v>
      </c>
      <c r="L312" s="532">
        <v>46531</v>
      </c>
      <c r="M312" s="530"/>
      <c r="N312" s="531">
        <v>0</v>
      </c>
      <c r="O312" s="533">
        <f t="shared" si="12"/>
        <v>90</v>
      </c>
      <c r="P312" s="534">
        <f t="shared" si="13"/>
        <v>4.0273972602739724E-2</v>
      </c>
      <c r="Q312" s="534">
        <f t="shared" si="14"/>
        <v>3.624657534246575</v>
      </c>
    </row>
    <row r="313" spans="1:17" ht="15" customHeight="1" x14ac:dyDescent="0.25">
      <c r="A313" s="530" t="s">
        <v>1227</v>
      </c>
      <c r="B313" s="530" t="s">
        <v>1228</v>
      </c>
      <c r="C313" s="531">
        <v>1491</v>
      </c>
      <c r="D313" s="530" t="s">
        <v>1229</v>
      </c>
      <c r="E313" s="530" t="s">
        <v>1230</v>
      </c>
      <c r="F313" s="531">
        <v>3180</v>
      </c>
      <c r="G313" s="530" t="s">
        <v>296</v>
      </c>
      <c r="H313" s="531">
        <v>2757</v>
      </c>
      <c r="I313" s="531">
        <v>300</v>
      </c>
      <c r="J313" s="531">
        <v>0</v>
      </c>
      <c r="K313" s="532">
        <v>43315</v>
      </c>
      <c r="L313" s="532">
        <v>46267</v>
      </c>
      <c r="M313" s="530"/>
      <c r="N313" s="531">
        <v>0</v>
      </c>
      <c r="O313" s="533">
        <f t="shared" si="12"/>
        <v>2912</v>
      </c>
      <c r="P313" s="534">
        <f t="shared" si="13"/>
        <v>2.4164383561643837E-2</v>
      </c>
      <c r="Q313" s="534">
        <f t="shared" si="14"/>
        <v>70.366684931506853</v>
      </c>
    </row>
    <row r="314" spans="1:17" ht="15" customHeight="1" x14ac:dyDescent="0.25">
      <c r="A314" s="530" t="s">
        <v>1231</v>
      </c>
      <c r="B314" s="530" t="s">
        <v>1210</v>
      </c>
      <c r="C314" s="531">
        <v>664</v>
      </c>
      <c r="D314" s="530" t="s">
        <v>1232</v>
      </c>
      <c r="E314" s="530" t="s">
        <v>1233</v>
      </c>
      <c r="F314" s="531">
        <v>1528</v>
      </c>
      <c r="G314" s="530" t="s">
        <v>296</v>
      </c>
      <c r="H314" s="531">
        <v>1779</v>
      </c>
      <c r="I314" s="531">
        <v>500</v>
      </c>
      <c r="J314" s="531">
        <v>0</v>
      </c>
      <c r="K314" s="532">
        <v>45856</v>
      </c>
      <c r="L314" s="532">
        <v>46524</v>
      </c>
      <c r="M314" s="530"/>
      <c r="N314" s="531">
        <v>0</v>
      </c>
      <c r="O314" s="533">
        <f t="shared" si="12"/>
        <v>371</v>
      </c>
      <c r="P314" s="534">
        <f t="shared" si="13"/>
        <v>4.0273972602739724E-2</v>
      </c>
      <c r="Q314" s="534">
        <f t="shared" si="14"/>
        <v>14.941643835616437</v>
      </c>
    </row>
    <row r="315" spans="1:17" ht="15" customHeight="1" x14ac:dyDescent="0.25">
      <c r="A315" s="530" t="s">
        <v>1235</v>
      </c>
      <c r="B315" s="530" t="s">
        <v>1098</v>
      </c>
      <c r="C315" s="531">
        <v>852</v>
      </c>
      <c r="D315" s="530" t="s">
        <v>1236</v>
      </c>
      <c r="E315" s="530" t="s">
        <v>1237</v>
      </c>
      <c r="F315" s="531">
        <v>1815</v>
      </c>
      <c r="G315" s="530" t="s">
        <v>331</v>
      </c>
      <c r="H315" s="531">
        <v>1751</v>
      </c>
      <c r="I315" s="531">
        <v>500</v>
      </c>
      <c r="J315" s="531">
        <v>0</v>
      </c>
      <c r="K315" s="532">
        <v>46074</v>
      </c>
      <c r="L315" s="532">
        <v>46527</v>
      </c>
      <c r="M315" s="530"/>
      <c r="N315" s="531">
        <v>116.62</v>
      </c>
      <c r="O315" s="533">
        <f t="shared" si="12"/>
        <v>153</v>
      </c>
      <c r="P315" s="534">
        <f t="shared" si="13"/>
        <v>4.0273972602739724E-2</v>
      </c>
      <c r="Q315" s="534">
        <f t="shared" si="14"/>
        <v>6.1619178082191777</v>
      </c>
    </row>
    <row r="316" spans="1:17" ht="15" customHeight="1" x14ac:dyDescent="0.25">
      <c r="A316" s="530" t="s">
        <v>1238</v>
      </c>
      <c r="B316" s="530" t="s">
        <v>1083</v>
      </c>
      <c r="C316" s="531">
        <v>744</v>
      </c>
      <c r="D316" s="530" t="s">
        <v>1239</v>
      </c>
      <c r="E316" s="530" t="s">
        <v>1240</v>
      </c>
      <c r="F316" s="531">
        <v>1825</v>
      </c>
      <c r="G316" s="530" t="s">
        <v>296</v>
      </c>
      <c r="H316" s="531">
        <v>1565</v>
      </c>
      <c r="I316" s="531">
        <v>500</v>
      </c>
      <c r="J316" s="531">
        <v>0</v>
      </c>
      <c r="K316" s="532">
        <v>45980</v>
      </c>
      <c r="L316" s="532">
        <v>46436</v>
      </c>
      <c r="M316" s="530"/>
      <c r="N316" s="531">
        <v>1743.3</v>
      </c>
      <c r="O316" s="533">
        <f t="shared" si="12"/>
        <v>247</v>
      </c>
      <c r="P316" s="534">
        <f t="shared" si="13"/>
        <v>4.0273972602739724E-2</v>
      </c>
      <c r="Q316" s="534">
        <f t="shared" si="14"/>
        <v>9.9476712328767114</v>
      </c>
    </row>
    <row r="317" spans="1:17" ht="15" customHeight="1" x14ac:dyDescent="0.25">
      <c r="A317" s="530" t="s">
        <v>14215</v>
      </c>
      <c r="B317" s="530" t="s">
        <v>1087</v>
      </c>
      <c r="C317" s="531">
        <v>1257</v>
      </c>
      <c r="D317" s="530" t="s">
        <v>14216</v>
      </c>
      <c r="E317" s="530" t="s">
        <v>14217</v>
      </c>
      <c r="F317" s="531">
        <v>2504</v>
      </c>
      <c r="G317" s="530" t="s">
        <v>296</v>
      </c>
      <c r="H317" s="531">
        <v>2303</v>
      </c>
      <c r="I317" s="531">
        <v>0</v>
      </c>
      <c r="J317" s="531">
        <v>0</v>
      </c>
      <c r="K317" s="532">
        <v>46202</v>
      </c>
      <c r="L317" s="532">
        <v>46566</v>
      </c>
      <c r="M317" s="530"/>
      <c r="N317" s="531">
        <v>36.29</v>
      </c>
      <c r="O317" s="533">
        <f t="shared" si="12"/>
        <v>25</v>
      </c>
      <c r="P317" s="534">
        <f t="shared" si="13"/>
        <v>0</v>
      </c>
      <c r="Q317" s="534">
        <f t="shared" si="14"/>
        <v>0</v>
      </c>
    </row>
    <row r="318" spans="1:17" ht="15" customHeight="1" x14ac:dyDescent="0.25">
      <c r="A318" s="530" t="s">
        <v>1241</v>
      </c>
      <c r="B318" s="530" t="s">
        <v>1091</v>
      </c>
      <c r="C318" s="531">
        <v>1164</v>
      </c>
      <c r="D318" s="530" t="s">
        <v>1242</v>
      </c>
      <c r="E318" s="530" t="s">
        <v>1243</v>
      </c>
      <c r="F318" s="531">
        <v>3038</v>
      </c>
      <c r="G318" s="530" t="s">
        <v>296</v>
      </c>
      <c r="H318" s="531">
        <v>1794</v>
      </c>
      <c r="I318" s="531">
        <v>500</v>
      </c>
      <c r="J318" s="531">
        <v>0</v>
      </c>
      <c r="K318" s="532">
        <v>45391</v>
      </c>
      <c r="L318" s="532">
        <v>46546</v>
      </c>
      <c r="M318" s="530"/>
      <c r="N318" s="531">
        <v>0</v>
      </c>
      <c r="O318" s="533">
        <f t="shared" si="12"/>
        <v>836</v>
      </c>
      <c r="P318" s="534">
        <f t="shared" si="13"/>
        <v>4.0273972602739724E-2</v>
      </c>
      <c r="Q318" s="534">
        <f t="shared" si="14"/>
        <v>33.669041095890407</v>
      </c>
    </row>
    <row r="319" spans="1:17" ht="15" customHeight="1" x14ac:dyDescent="0.25">
      <c r="A319" s="530" t="s">
        <v>1244</v>
      </c>
      <c r="B319" s="530" t="s">
        <v>1087</v>
      </c>
      <c r="C319" s="531">
        <v>1257</v>
      </c>
      <c r="D319" s="530" t="s">
        <v>1245</v>
      </c>
      <c r="E319" s="530" t="s">
        <v>1246</v>
      </c>
      <c r="F319" s="531">
        <v>2504</v>
      </c>
      <c r="G319" s="530" t="s">
        <v>296</v>
      </c>
      <c r="H319" s="531">
        <v>2142</v>
      </c>
      <c r="I319" s="531">
        <v>500</v>
      </c>
      <c r="J319" s="531">
        <v>0</v>
      </c>
      <c r="K319" s="532">
        <v>45944</v>
      </c>
      <c r="L319" s="532">
        <v>46308</v>
      </c>
      <c r="M319" s="530"/>
      <c r="N319" s="531">
        <v>0</v>
      </c>
      <c r="O319" s="533">
        <f t="shared" si="12"/>
        <v>283</v>
      </c>
      <c r="P319" s="534">
        <f t="shared" si="13"/>
        <v>4.0273972602739724E-2</v>
      </c>
      <c r="Q319" s="534">
        <f t="shared" si="14"/>
        <v>11.397534246575342</v>
      </c>
    </row>
    <row r="320" spans="1:17" ht="15" customHeight="1" x14ac:dyDescent="0.25">
      <c r="A320" s="530" t="s">
        <v>1247</v>
      </c>
      <c r="B320" s="530" t="s">
        <v>1091</v>
      </c>
      <c r="C320" s="531">
        <v>1164</v>
      </c>
      <c r="D320" s="530" t="s">
        <v>1248</v>
      </c>
      <c r="E320" s="530" t="s">
        <v>1249</v>
      </c>
      <c r="F320" s="531">
        <v>3038</v>
      </c>
      <c r="G320" s="530" t="s">
        <v>296</v>
      </c>
      <c r="H320" s="531">
        <v>2131</v>
      </c>
      <c r="I320" s="531">
        <v>2002</v>
      </c>
      <c r="J320" s="531">
        <v>0</v>
      </c>
      <c r="K320" s="532">
        <v>45748</v>
      </c>
      <c r="L320" s="532">
        <v>46599</v>
      </c>
      <c r="M320" s="530"/>
      <c r="N320" s="531">
        <v>5.81</v>
      </c>
      <c r="O320" s="533">
        <f t="shared" si="12"/>
        <v>479</v>
      </c>
      <c r="P320" s="534">
        <f t="shared" si="13"/>
        <v>0.16125698630136984</v>
      </c>
      <c r="Q320" s="534">
        <f t="shared" si="14"/>
        <v>77.242096438356157</v>
      </c>
    </row>
    <row r="321" spans="1:17" ht="15" customHeight="1" x14ac:dyDescent="0.25">
      <c r="A321" s="530" t="s">
        <v>1250</v>
      </c>
      <c r="B321" s="530" t="s">
        <v>1098</v>
      </c>
      <c r="C321" s="531">
        <v>852</v>
      </c>
      <c r="D321" s="530" t="s">
        <v>1251</v>
      </c>
      <c r="E321" s="530" t="s">
        <v>1252</v>
      </c>
      <c r="F321" s="531">
        <v>1815</v>
      </c>
      <c r="G321" s="530" t="s">
        <v>296</v>
      </c>
      <c r="H321" s="531">
        <v>1656</v>
      </c>
      <c r="I321" s="531">
        <v>500</v>
      </c>
      <c r="J321" s="531">
        <v>0</v>
      </c>
      <c r="K321" s="532">
        <v>45395</v>
      </c>
      <c r="L321" s="532">
        <v>46581</v>
      </c>
      <c r="M321" s="530"/>
      <c r="N321" s="531">
        <v>0</v>
      </c>
      <c r="O321" s="533">
        <f t="shared" si="12"/>
        <v>832</v>
      </c>
      <c r="P321" s="534">
        <f t="shared" si="13"/>
        <v>4.0273972602739724E-2</v>
      </c>
      <c r="Q321" s="534">
        <f t="shared" si="14"/>
        <v>33.507945205479452</v>
      </c>
    </row>
    <row r="322" spans="1:17" ht="15" customHeight="1" x14ac:dyDescent="0.25">
      <c r="A322" s="530" t="s">
        <v>14218</v>
      </c>
      <c r="B322" s="530" t="s">
        <v>1098</v>
      </c>
      <c r="C322" s="531">
        <v>852</v>
      </c>
      <c r="D322" s="530" t="s">
        <v>14219</v>
      </c>
      <c r="E322" s="530" t="s">
        <v>14220</v>
      </c>
      <c r="F322" s="531">
        <v>1815</v>
      </c>
      <c r="G322" s="530" t="s">
        <v>296</v>
      </c>
      <c r="H322" s="531">
        <v>1594</v>
      </c>
      <c r="I322" s="531">
        <v>0</v>
      </c>
      <c r="J322" s="531">
        <v>0</v>
      </c>
      <c r="K322" s="532">
        <v>46202</v>
      </c>
      <c r="L322" s="532">
        <v>46594</v>
      </c>
      <c r="M322" s="530"/>
      <c r="N322" s="531">
        <v>36.29</v>
      </c>
      <c r="O322" s="533">
        <f t="shared" si="12"/>
        <v>25</v>
      </c>
      <c r="P322" s="534">
        <f t="shared" si="13"/>
        <v>0</v>
      </c>
      <c r="Q322" s="534">
        <f t="shared" si="14"/>
        <v>0</v>
      </c>
    </row>
    <row r="323" spans="1:17" ht="15" customHeight="1" x14ac:dyDescent="0.25">
      <c r="A323" s="530" t="s">
        <v>1253</v>
      </c>
      <c r="B323" s="530" t="s">
        <v>1111</v>
      </c>
      <c r="C323" s="531">
        <v>1642</v>
      </c>
      <c r="D323" s="530" t="s">
        <v>1254</v>
      </c>
      <c r="E323" s="530" t="s">
        <v>1255</v>
      </c>
      <c r="F323" s="531">
        <v>2957</v>
      </c>
      <c r="G323" s="530" t="s">
        <v>331</v>
      </c>
      <c r="H323" s="531">
        <v>1758</v>
      </c>
      <c r="I323" s="531">
        <v>2559</v>
      </c>
      <c r="J323" s="531">
        <v>0</v>
      </c>
      <c r="K323" s="532">
        <v>46112</v>
      </c>
      <c r="L323" s="532">
        <v>46507</v>
      </c>
      <c r="M323" s="530"/>
      <c r="N323" s="531">
        <v>0</v>
      </c>
      <c r="O323" s="533">
        <f t="shared" si="12"/>
        <v>115</v>
      </c>
      <c r="P323" s="534">
        <f t="shared" si="13"/>
        <v>0.20612219178082192</v>
      </c>
      <c r="Q323" s="534">
        <f t="shared" si="14"/>
        <v>23.70405205479452</v>
      </c>
    </row>
    <row r="324" spans="1:17" ht="15" customHeight="1" x14ac:dyDescent="0.25">
      <c r="A324" s="530" t="s">
        <v>1256</v>
      </c>
      <c r="B324" s="530" t="s">
        <v>1118</v>
      </c>
      <c r="C324" s="531">
        <v>1399</v>
      </c>
      <c r="D324" s="530" t="s">
        <v>1257</v>
      </c>
      <c r="E324" s="530" t="s">
        <v>1258</v>
      </c>
      <c r="F324" s="531">
        <v>2947</v>
      </c>
      <c r="G324" s="530" t="s">
        <v>296</v>
      </c>
      <c r="H324" s="531">
        <v>2562</v>
      </c>
      <c r="I324" s="531">
        <v>500</v>
      </c>
      <c r="J324" s="531">
        <v>0</v>
      </c>
      <c r="K324" s="532">
        <v>45381</v>
      </c>
      <c r="L324" s="532">
        <v>46536</v>
      </c>
      <c r="M324" s="530"/>
      <c r="N324" s="531">
        <v>0</v>
      </c>
      <c r="O324" s="533">
        <f t="shared" si="12"/>
        <v>846</v>
      </c>
      <c r="P324" s="534">
        <f t="shared" si="13"/>
        <v>4.0273972602739724E-2</v>
      </c>
      <c r="Q324" s="534">
        <f t="shared" si="14"/>
        <v>34.071780821917805</v>
      </c>
    </row>
    <row r="325" spans="1:17" ht="15" customHeight="1" x14ac:dyDescent="0.25">
      <c r="A325" s="530" t="s">
        <v>1259</v>
      </c>
      <c r="B325" s="530" t="s">
        <v>1122</v>
      </c>
      <c r="C325" s="531">
        <v>783</v>
      </c>
      <c r="D325" s="530" t="s">
        <v>1260</v>
      </c>
      <c r="E325" s="530" t="s">
        <v>1261</v>
      </c>
      <c r="F325" s="531">
        <v>1718</v>
      </c>
      <c r="G325" s="530" t="s">
        <v>296</v>
      </c>
      <c r="H325" s="531">
        <v>1697</v>
      </c>
      <c r="I325" s="531">
        <v>500</v>
      </c>
      <c r="J325" s="531">
        <v>0</v>
      </c>
      <c r="K325" s="532">
        <v>45927</v>
      </c>
      <c r="L325" s="532">
        <v>46321</v>
      </c>
      <c r="M325" s="530"/>
      <c r="N325" s="531">
        <v>0</v>
      </c>
      <c r="O325" s="533">
        <f t="shared" si="12"/>
        <v>300</v>
      </c>
      <c r="P325" s="534">
        <f t="shared" si="13"/>
        <v>4.0273972602739724E-2</v>
      </c>
      <c r="Q325" s="534">
        <f t="shared" si="14"/>
        <v>12.082191780821917</v>
      </c>
    </row>
    <row r="326" spans="1:17" ht="15" customHeight="1" x14ac:dyDescent="0.25">
      <c r="A326" s="530" t="s">
        <v>1262</v>
      </c>
      <c r="B326" s="530" t="s">
        <v>1122</v>
      </c>
      <c r="C326" s="531">
        <v>783</v>
      </c>
      <c r="D326" s="530" t="s">
        <v>1263</v>
      </c>
      <c r="E326" s="530" t="s">
        <v>1264</v>
      </c>
      <c r="F326" s="531">
        <v>1798</v>
      </c>
      <c r="G326" s="530" t="s">
        <v>296</v>
      </c>
      <c r="H326" s="531">
        <v>1824</v>
      </c>
      <c r="I326" s="531">
        <v>500</v>
      </c>
      <c r="J326" s="531">
        <v>0</v>
      </c>
      <c r="K326" s="532">
        <v>45839</v>
      </c>
      <c r="L326" s="532">
        <v>46568</v>
      </c>
      <c r="M326" s="530"/>
      <c r="N326" s="531">
        <v>2084.0700000000002</v>
      </c>
      <c r="O326" s="533">
        <f t="shared" si="12"/>
        <v>388</v>
      </c>
      <c r="P326" s="534">
        <f t="shared" si="13"/>
        <v>4.0273972602739724E-2</v>
      </c>
      <c r="Q326" s="534">
        <f t="shared" si="14"/>
        <v>15.626301369863013</v>
      </c>
    </row>
    <row r="327" spans="1:17" ht="15" customHeight="1" x14ac:dyDescent="0.25">
      <c r="A327" s="530" t="s">
        <v>1265</v>
      </c>
      <c r="B327" s="530" t="s">
        <v>1098</v>
      </c>
      <c r="C327" s="531">
        <v>852</v>
      </c>
      <c r="D327" s="530" t="s">
        <v>1266</v>
      </c>
      <c r="E327" s="530" t="s">
        <v>1267</v>
      </c>
      <c r="F327" s="531">
        <v>1815</v>
      </c>
      <c r="G327" s="530" t="s">
        <v>296</v>
      </c>
      <c r="H327" s="531">
        <v>1652</v>
      </c>
      <c r="I327" s="531">
        <v>300</v>
      </c>
      <c r="J327" s="531">
        <v>0</v>
      </c>
      <c r="K327" s="532">
        <v>43680</v>
      </c>
      <c r="L327" s="532">
        <v>46358</v>
      </c>
      <c r="M327" s="530"/>
      <c r="N327" s="531">
        <v>0</v>
      </c>
      <c r="O327" s="533">
        <f t="shared" si="12"/>
        <v>2547</v>
      </c>
      <c r="P327" s="534">
        <f t="shared" si="13"/>
        <v>2.4164383561643837E-2</v>
      </c>
      <c r="Q327" s="534">
        <f t="shared" si="14"/>
        <v>61.546684931506853</v>
      </c>
    </row>
    <row r="328" spans="1:17" ht="15" customHeight="1" x14ac:dyDescent="0.25">
      <c r="A328" s="530" t="s">
        <v>1268</v>
      </c>
      <c r="B328" s="530" t="s">
        <v>1132</v>
      </c>
      <c r="C328" s="531">
        <v>795</v>
      </c>
      <c r="D328" s="530" t="s">
        <v>14221</v>
      </c>
      <c r="E328" s="530" t="s">
        <v>1269</v>
      </c>
      <c r="F328" s="531">
        <v>1790</v>
      </c>
      <c r="G328" s="530" t="s">
        <v>296</v>
      </c>
      <c r="H328" s="531">
        <v>1862</v>
      </c>
      <c r="I328" s="531">
        <v>500</v>
      </c>
      <c r="J328" s="531">
        <v>0</v>
      </c>
      <c r="K328" s="532">
        <v>45884</v>
      </c>
      <c r="L328" s="532">
        <v>46248</v>
      </c>
      <c r="M328" s="532">
        <v>46235</v>
      </c>
      <c r="N328" s="531">
        <v>0</v>
      </c>
      <c r="O328" s="533">
        <f t="shared" si="12"/>
        <v>343</v>
      </c>
      <c r="P328" s="534">
        <f t="shared" si="13"/>
        <v>4.0273972602739724E-2</v>
      </c>
      <c r="Q328" s="534">
        <f t="shared" si="14"/>
        <v>13.813972602739726</v>
      </c>
    </row>
    <row r="329" spans="1:17" ht="15" customHeight="1" x14ac:dyDescent="0.25">
      <c r="A329" s="530" t="s">
        <v>1270</v>
      </c>
      <c r="B329" s="530" t="s">
        <v>1087</v>
      </c>
      <c r="C329" s="531">
        <v>1257</v>
      </c>
      <c r="D329" s="530" t="s">
        <v>1271</v>
      </c>
      <c r="E329" s="530" t="s">
        <v>1272</v>
      </c>
      <c r="F329" s="531">
        <v>2584</v>
      </c>
      <c r="G329" s="530" t="s">
        <v>296</v>
      </c>
      <c r="H329" s="531">
        <v>2194</v>
      </c>
      <c r="I329" s="531">
        <v>500</v>
      </c>
      <c r="J329" s="531">
        <v>0</v>
      </c>
      <c r="K329" s="532">
        <v>45150</v>
      </c>
      <c r="L329" s="532">
        <v>46276</v>
      </c>
      <c r="M329" s="530"/>
      <c r="N329" s="531">
        <v>0</v>
      </c>
      <c r="O329" s="533">
        <f t="shared" si="12"/>
        <v>1077</v>
      </c>
      <c r="P329" s="534">
        <f t="shared" si="13"/>
        <v>4.0273972602739724E-2</v>
      </c>
      <c r="Q329" s="534">
        <f t="shared" si="14"/>
        <v>43.375068493150685</v>
      </c>
    </row>
    <row r="330" spans="1:17" ht="15" customHeight="1" x14ac:dyDescent="0.25">
      <c r="A330" s="530" t="s">
        <v>1273</v>
      </c>
      <c r="B330" s="530" t="s">
        <v>1091</v>
      </c>
      <c r="C330" s="531">
        <v>1164</v>
      </c>
      <c r="D330" s="530" t="s">
        <v>1274</v>
      </c>
      <c r="E330" s="530" t="s">
        <v>1275</v>
      </c>
      <c r="F330" s="531">
        <v>3118</v>
      </c>
      <c r="G330" s="530" t="s">
        <v>296</v>
      </c>
      <c r="H330" s="531">
        <v>2089</v>
      </c>
      <c r="I330" s="531">
        <v>2089</v>
      </c>
      <c r="J330" s="531">
        <v>0</v>
      </c>
      <c r="K330" s="532">
        <v>45992</v>
      </c>
      <c r="L330" s="532">
        <v>46447</v>
      </c>
      <c r="M330" s="530"/>
      <c r="N330" s="531">
        <v>7678.17</v>
      </c>
      <c r="O330" s="533">
        <f t="shared" ref="O330:O393" si="15">(+$G$3-K330 )</f>
        <v>235</v>
      </c>
      <c r="P330" s="534">
        <f t="shared" ref="P330:P393" si="16">(+I330*$G$5)/365</f>
        <v>0.16826465753424658</v>
      </c>
      <c r="Q330" s="534">
        <f t="shared" ref="Q330:Q393" si="17">O330*P330</f>
        <v>39.542194520547945</v>
      </c>
    </row>
    <row r="331" spans="1:17" ht="15" customHeight="1" x14ac:dyDescent="0.25">
      <c r="A331" s="530" t="s">
        <v>1276</v>
      </c>
      <c r="B331" s="530" t="s">
        <v>1142</v>
      </c>
      <c r="C331" s="531">
        <v>690</v>
      </c>
      <c r="D331" s="530" t="s">
        <v>1277</v>
      </c>
      <c r="E331" s="530" t="s">
        <v>1278</v>
      </c>
      <c r="F331" s="531">
        <v>1554</v>
      </c>
      <c r="G331" s="530" t="s">
        <v>296</v>
      </c>
      <c r="H331" s="531">
        <v>1499</v>
      </c>
      <c r="I331" s="531">
        <v>1399</v>
      </c>
      <c r="J331" s="531">
        <v>0</v>
      </c>
      <c r="K331" s="532">
        <v>45689</v>
      </c>
      <c r="L331" s="532">
        <v>46326</v>
      </c>
      <c r="M331" s="530"/>
      <c r="N331" s="531">
        <v>-14.5</v>
      </c>
      <c r="O331" s="533">
        <f t="shared" si="15"/>
        <v>538</v>
      </c>
      <c r="P331" s="534">
        <f t="shared" si="16"/>
        <v>0.11268657534246576</v>
      </c>
      <c r="Q331" s="534">
        <f t="shared" si="17"/>
        <v>60.625377534246581</v>
      </c>
    </row>
    <row r="332" spans="1:17" ht="15" customHeight="1" x14ac:dyDescent="0.25">
      <c r="A332" s="530" t="s">
        <v>1279</v>
      </c>
      <c r="B332" s="530" t="s">
        <v>1122</v>
      </c>
      <c r="C332" s="531">
        <v>783</v>
      </c>
      <c r="D332" s="530" t="s">
        <v>1280</v>
      </c>
      <c r="E332" s="530" t="s">
        <v>1281</v>
      </c>
      <c r="F332" s="531">
        <v>1718</v>
      </c>
      <c r="G332" s="530" t="s">
        <v>296</v>
      </c>
      <c r="H332" s="531">
        <v>1688</v>
      </c>
      <c r="I332" s="531">
        <v>500</v>
      </c>
      <c r="J332" s="531">
        <v>0</v>
      </c>
      <c r="K332" s="532">
        <v>45220</v>
      </c>
      <c r="L332" s="532">
        <v>45950</v>
      </c>
      <c r="M332" s="530"/>
      <c r="N332" s="531">
        <v>2349.36</v>
      </c>
      <c r="O332" s="533">
        <f t="shared" si="15"/>
        <v>1007</v>
      </c>
      <c r="P332" s="534">
        <f t="shared" si="16"/>
        <v>4.0273972602739724E-2</v>
      </c>
      <c r="Q332" s="534">
        <f t="shared" si="17"/>
        <v>40.555890410958902</v>
      </c>
    </row>
    <row r="333" spans="1:17" ht="15" customHeight="1" x14ac:dyDescent="0.25">
      <c r="A333" s="530" t="s">
        <v>1282</v>
      </c>
      <c r="B333" s="530" t="s">
        <v>1142</v>
      </c>
      <c r="C333" s="531">
        <v>690</v>
      </c>
      <c r="D333" s="530" t="s">
        <v>1283</v>
      </c>
      <c r="E333" s="530" t="s">
        <v>1284</v>
      </c>
      <c r="F333" s="531">
        <v>1729</v>
      </c>
      <c r="G333" s="530" t="s">
        <v>296</v>
      </c>
      <c r="H333" s="531">
        <v>1738</v>
      </c>
      <c r="I333" s="531">
        <v>2936</v>
      </c>
      <c r="J333" s="531">
        <v>0</v>
      </c>
      <c r="K333" s="532">
        <v>45469</v>
      </c>
      <c r="L333" s="532">
        <v>46412</v>
      </c>
      <c r="M333" s="530"/>
      <c r="N333" s="531">
        <v>-0.06</v>
      </c>
      <c r="O333" s="533">
        <f t="shared" si="15"/>
        <v>758</v>
      </c>
      <c r="P333" s="534">
        <f t="shared" si="16"/>
        <v>0.23648876712328767</v>
      </c>
      <c r="Q333" s="534">
        <f t="shared" si="17"/>
        <v>179.25848547945205</v>
      </c>
    </row>
    <row r="334" spans="1:17" ht="15" customHeight="1" x14ac:dyDescent="0.25">
      <c r="A334" s="530" t="s">
        <v>1285</v>
      </c>
      <c r="B334" s="530" t="s">
        <v>1122</v>
      </c>
      <c r="C334" s="531">
        <v>783</v>
      </c>
      <c r="D334" s="530" t="s">
        <v>1286</v>
      </c>
      <c r="E334" s="530" t="s">
        <v>1287</v>
      </c>
      <c r="F334" s="531">
        <v>1718</v>
      </c>
      <c r="G334" s="530" t="s">
        <v>296</v>
      </c>
      <c r="H334" s="531">
        <v>1752</v>
      </c>
      <c r="I334" s="531">
        <v>500</v>
      </c>
      <c r="J334" s="531">
        <v>0</v>
      </c>
      <c r="K334" s="532">
        <v>45510</v>
      </c>
      <c r="L334" s="532">
        <v>46270</v>
      </c>
      <c r="M334" s="530"/>
      <c r="N334" s="531">
        <v>0</v>
      </c>
      <c r="O334" s="533">
        <f t="shared" si="15"/>
        <v>717</v>
      </c>
      <c r="P334" s="534">
        <f t="shared" si="16"/>
        <v>4.0273972602739724E-2</v>
      </c>
      <c r="Q334" s="534">
        <f t="shared" si="17"/>
        <v>28.876438356164382</v>
      </c>
    </row>
    <row r="335" spans="1:17" ht="15" customHeight="1" x14ac:dyDescent="0.25">
      <c r="A335" s="530" t="s">
        <v>1288</v>
      </c>
      <c r="B335" s="530" t="s">
        <v>1155</v>
      </c>
      <c r="C335" s="531">
        <v>1608</v>
      </c>
      <c r="D335" s="530" t="s">
        <v>1289</v>
      </c>
      <c r="E335" s="530" t="s">
        <v>1290</v>
      </c>
      <c r="F335" s="531">
        <v>3025</v>
      </c>
      <c r="G335" s="530" t="s">
        <v>296</v>
      </c>
      <c r="H335" s="531">
        <v>2580</v>
      </c>
      <c r="I335" s="531">
        <v>500</v>
      </c>
      <c r="J335" s="531">
        <v>0</v>
      </c>
      <c r="K335" s="532">
        <v>45637</v>
      </c>
      <c r="L335" s="532">
        <v>46366</v>
      </c>
      <c r="M335" s="530"/>
      <c r="N335" s="531">
        <v>0</v>
      </c>
      <c r="O335" s="533">
        <f t="shared" si="15"/>
        <v>590</v>
      </c>
      <c r="P335" s="534">
        <f t="shared" si="16"/>
        <v>4.0273972602739724E-2</v>
      </c>
      <c r="Q335" s="534">
        <f t="shared" si="17"/>
        <v>23.761643835616436</v>
      </c>
    </row>
    <row r="336" spans="1:17" ht="15" customHeight="1" x14ac:dyDescent="0.25">
      <c r="A336" s="530" t="s">
        <v>1291</v>
      </c>
      <c r="B336" s="530" t="s">
        <v>1159</v>
      </c>
      <c r="C336" s="531">
        <v>803</v>
      </c>
      <c r="D336" s="530" t="s">
        <v>1292</v>
      </c>
      <c r="E336" s="530" t="s">
        <v>1293</v>
      </c>
      <c r="F336" s="531">
        <v>1909</v>
      </c>
      <c r="G336" s="530" t="s">
        <v>296</v>
      </c>
      <c r="H336" s="531">
        <v>1692</v>
      </c>
      <c r="I336" s="531">
        <v>1535</v>
      </c>
      <c r="J336" s="531">
        <v>0</v>
      </c>
      <c r="K336" s="532">
        <v>43547</v>
      </c>
      <c r="L336" s="532">
        <v>46378</v>
      </c>
      <c r="M336" s="530"/>
      <c r="N336" s="531">
        <v>0</v>
      </c>
      <c r="O336" s="533">
        <f t="shared" si="15"/>
        <v>2680</v>
      </c>
      <c r="P336" s="534">
        <f t="shared" si="16"/>
        <v>0.12364109589041096</v>
      </c>
      <c r="Q336" s="534">
        <f t="shared" si="17"/>
        <v>331.35813698630136</v>
      </c>
    </row>
    <row r="337" spans="1:17" ht="15" customHeight="1" x14ac:dyDescent="0.25">
      <c r="A337" s="530" t="s">
        <v>1294</v>
      </c>
      <c r="B337" s="530" t="s">
        <v>1163</v>
      </c>
      <c r="C337" s="531">
        <v>1692</v>
      </c>
      <c r="D337" s="530" t="s">
        <v>1295</v>
      </c>
      <c r="E337" s="530" t="s">
        <v>14222</v>
      </c>
      <c r="F337" s="531">
        <v>3410</v>
      </c>
      <c r="G337" s="530" t="s">
        <v>331</v>
      </c>
      <c r="H337" s="531">
        <v>2337</v>
      </c>
      <c r="I337" s="531">
        <v>0</v>
      </c>
      <c r="J337" s="531">
        <v>0</v>
      </c>
      <c r="K337" s="532">
        <v>46182</v>
      </c>
      <c r="L337" s="532">
        <v>46568</v>
      </c>
      <c r="M337" s="530"/>
      <c r="N337" s="531">
        <v>0</v>
      </c>
      <c r="O337" s="533">
        <f t="shared" si="15"/>
        <v>45</v>
      </c>
      <c r="P337" s="534">
        <f t="shared" si="16"/>
        <v>0</v>
      </c>
      <c r="Q337" s="534">
        <f t="shared" si="17"/>
        <v>0</v>
      </c>
    </row>
    <row r="338" spans="1:17" ht="15" customHeight="1" x14ac:dyDescent="0.25">
      <c r="A338" s="530" t="s">
        <v>1296</v>
      </c>
      <c r="B338" s="530" t="s">
        <v>1167</v>
      </c>
      <c r="C338" s="531">
        <v>735</v>
      </c>
      <c r="D338" s="530" t="s">
        <v>1297</v>
      </c>
      <c r="E338" s="530" t="s">
        <v>1298</v>
      </c>
      <c r="F338" s="531">
        <v>1596</v>
      </c>
      <c r="G338" s="530" t="s">
        <v>296</v>
      </c>
      <c r="H338" s="531">
        <v>1486</v>
      </c>
      <c r="I338" s="531">
        <v>500</v>
      </c>
      <c r="J338" s="531">
        <v>0</v>
      </c>
      <c r="K338" s="532">
        <v>46144</v>
      </c>
      <c r="L338" s="532">
        <v>46601</v>
      </c>
      <c r="M338" s="530"/>
      <c r="N338" s="531">
        <v>0</v>
      </c>
      <c r="O338" s="533">
        <f t="shared" si="15"/>
        <v>83</v>
      </c>
      <c r="P338" s="534">
        <f t="shared" si="16"/>
        <v>4.0273972602739724E-2</v>
      </c>
      <c r="Q338" s="534">
        <f t="shared" si="17"/>
        <v>3.3427397260273972</v>
      </c>
    </row>
    <row r="339" spans="1:17" ht="15" customHeight="1" x14ac:dyDescent="0.25">
      <c r="A339" s="530" t="s">
        <v>1299</v>
      </c>
      <c r="B339" s="530" t="s">
        <v>1171</v>
      </c>
      <c r="C339" s="531">
        <v>730</v>
      </c>
      <c r="D339" s="530" t="s">
        <v>1300</v>
      </c>
      <c r="E339" s="530" t="s">
        <v>1301</v>
      </c>
      <c r="F339" s="531">
        <v>1768</v>
      </c>
      <c r="G339" s="530" t="s">
        <v>296</v>
      </c>
      <c r="H339" s="531">
        <v>1437</v>
      </c>
      <c r="I339" s="531">
        <v>500</v>
      </c>
      <c r="J339" s="531">
        <v>0</v>
      </c>
      <c r="K339" s="532">
        <v>45148</v>
      </c>
      <c r="L339" s="532">
        <v>46304</v>
      </c>
      <c r="M339" s="530"/>
      <c r="N339" s="531">
        <v>0</v>
      </c>
      <c r="O339" s="533">
        <f t="shared" si="15"/>
        <v>1079</v>
      </c>
      <c r="P339" s="534">
        <f t="shared" si="16"/>
        <v>4.0273972602739724E-2</v>
      </c>
      <c r="Q339" s="534">
        <f t="shared" si="17"/>
        <v>43.455616438356159</v>
      </c>
    </row>
    <row r="340" spans="1:17" ht="15" customHeight="1" x14ac:dyDescent="0.25">
      <c r="A340" s="530" t="s">
        <v>1302</v>
      </c>
      <c r="B340" s="530" t="s">
        <v>1098</v>
      </c>
      <c r="C340" s="531">
        <v>852</v>
      </c>
      <c r="D340" s="530" t="s">
        <v>1303</v>
      </c>
      <c r="E340" s="530" t="s">
        <v>1304</v>
      </c>
      <c r="F340" s="531">
        <v>1815</v>
      </c>
      <c r="G340" s="530" t="s">
        <v>296</v>
      </c>
      <c r="H340" s="531">
        <v>1698</v>
      </c>
      <c r="I340" s="531">
        <v>300</v>
      </c>
      <c r="J340" s="531">
        <v>0</v>
      </c>
      <c r="K340" s="532">
        <v>44145</v>
      </c>
      <c r="L340" s="532">
        <v>46335</v>
      </c>
      <c r="M340" s="530"/>
      <c r="N340" s="531">
        <v>0</v>
      </c>
      <c r="O340" s="533">
        <f t="shared" si="15"/>
        <v>2082</v>
      </c>
      <c r="P340" s="534">
        <f t="shared" si="16"/>
        <v>2.4164383561643837E-2</v>
      </c>
      <c r="Q340" s="534">
        <f t="shared" si="17"/>
        <v>50.310246575342468</v>
      </c>
    </row>
    <row r="341" spans="1:17" ht="15" customHeight="1" x14ac:dyDescent="0.25">
      <c r="A341" s="530" t="s">
        <v>1305</v>
      </c>
      <c r="B341" s="530" t="s">
        <v>1178</v>
      </c>
      <c r="C341" s="531">
        <v>867</v>
      </c>
      <c r="D341" s="530" t="s">
        <v>1306</v>
      </c>
      <c r="E341" s="530" t="s">
        <v>1307</v>
      </c>
      <c r="F341" s="531">
        <v>1842</v>
      </c>
      <c r="G341" s="530" t="s">
        <v>296</v>
      </c>
      <c r="H341" s="531">
        <v>1800</v>
      </c>
      <c r="I341" s="531">
        <v>300</v>
      </c>
      <c r="J341" s="531">
        <v>0</v>
      </c>
      <c r="K341" s="532">
        <v>44127</v>
      </c>
      <c r="L341" s="532">
        <v>46317</v>
      </c>
      <c r="M341" s="530"/>
      <c r="N341" s="531">
        <v>-2.17</v>
      </c>
      <c r="O341" s="533">
        <f t="shared" si="15"/>
        <v>2100</v>
      </c>
      <c r="P341" s="534">
        <f t="shared" si="16"/>
        <v>2.4164383561643837E-2</v>
      </c>
      <c r="Q341" s="534">
        <f t="shared" si="17"/>
        <v>50.745205479452054</v>
      </c>
    </row>
    <row r="342" spans="1:17" ht="15" customHeight="1" x14ac:dyDescent="0.25">
      <c r="A342" s="530" t="s">
        <v>1308</v>
      </c>
      <c r="B342" s="530" t="s">
        <v>1309</v>
      </c>
      <c r="C342" s="531">
        <v>670</v>
      </c>
      <c r="D342" s="530" t="s">
        <v>1310</v>
      </c>
      <c r="E342" s="530" t="s">
        <v>1311</v>
      </c>
      <c r="F342" s="531">
        <v>1742</v>
      </c>
      <c r="G342" s="530" t="s">
        <v>296</v>
      </c>
      <c r="H342" s="531">
        <v>1599</v>
      </c>
      <c r="I342" s="531">
        <v>1599</v>
      </c>
      <c r="J342" s="531">
        <v>0</v>
      </c>
      <c r="K342" s="532">
        <v>46083</v>
      </c>
      <c r="L342" s="532">
        <v>46447</v>
      </c>
      <c r="M342" s="530"/>
      <c r="N342" s="531">
        <v>0</v>
      </c>
      <c r="O342" s="533">
        <f t="shared" si="15"/>
        <v>144</v>
      </c>
      <c r="P342" s="534">
        <f t="shared" si="16"/>
        <v>0.12879616438356165</v>
      </c>
      <c r="Q342" s="534">
        <f t="shared" si="17"/>
        <v>18.546647671232876</v>
      </c>
    </row>
    <row r="343" spans="1:17" ht="15" customHeight="1" x14ac:dyDescent="0.25">
      <c r="A343" s="530" t="s">
        <v>1312</v>
      </c>
      <c r="B343" s="530" t="s">
        <v>1171</v>
      </c>
      <c r="C343" s="531">
        <v>730</v>
      </c>
      <c r="D343" s="530" t="s">
        <v>1313</v>
      </c>
      <c r="E343" s="530" t="s">
        <v>1314</v>
      </c>
      <c r="F343" s="531">
        <v>1768</v>
      </c>
      <c r="G343" s="530" t="s">
        <v>296</v>
      </c>
      <c r="H343" s="531">
        <v>1563</v>
      </c>
      <c r="I343" s="531">
        <v>500</v>
      </c>
      <c r="J343" s="531">
        <v>0</v>
      </c>
      <c r="K343" s="532">
        <v>45896</v>
      </c>
      <c r="L343" s="532">
        <v>46260</v>
      </c>
      <c r="M343" s="530"/>
      <c r="N343" s="531">
        <v>0</v>
      </c>
      <c r="O343" s="533">
        <f t="shared" si="15"/>
        <v>331</v>
      </c>
      <c r="P343" s="534">
        <f t="shared" si="16"/>
        <v>4.0273972602739724E-2</v>
      </c>
      <c r="Q343" s="534">
        <f t="shared" si="17"/>
        <v>13.330684931506848</v>
      </c>
    </row>
    <row r="344" spans="1:17" ht="15" customHeight="1" x14ac:dyDescent="0.25">
      <c r="A344" s="530" t="s">
        <v>1315</v>
      </c>
      <c r="B344" s="530" t="s">
        <v>1098</v>
      </c>
      <c r="C344" s="531">
        <v>852</v>
      </c>
      <c r="D344" s="530" t="s">
        <v>1316</v>
      </c>
      <c r="E344" s="530" t="s">
        <v>1317</v>
      </c>
      <c r="F344" s="531">
        <v>2115</v>
      </c>
      <c r="G344" s="530" t="s">
        <v>296</v>
      </c>
      <c r="H344" s="531">
        <v>1899</v>
      </c>
      <c r="I344" s="531">
        <v>500</v>
      </c>
      <c r="J344" s="531">
        <v>0</v>
      </c>
      <c r="K344" s="532">
        <v>45882</v>
      </c>
      <c r="L344" s="532">
        <v>46277</v>
      </c>
      <c r="M344" s="530"/>
      <c r="N344" s="531">
        <v>0</v>
      </c>
      <c r="O344" s="533">
        <f t="shared" si="15"/>
        <v>345</v>
      </c>
      <c r="P344" s="534">
        <f t="shared" si="16"/>
        <v>4.0273972602739724E-2</v>
      </c>
      <c r="Q344" s="534">
        <f t="shared" si="17"/>
        <v>13.894520547945206</v>
      </c>
    </row>
    <row r="345" spans="1:17" ht="15" customHeight="1" x14ac:dyDescent="0.25">
      <c r="A345" s="530" t="s">
        <v>1318</v>
      </c>
      <c r="B345" s="530" t="s">
        <v>1132</v>
      </c>
      <c r="C345" s="531">
        <v>795</v>
      </c>
      <c r="D345" s="530" t="s">
        <v>1319</v>
      </c>
      <c r="E345" s="530" t="s">
        <v>1320</v>
      </c>
      <c r="F345" s="531">
        <v>1615</v>
      </c>
      <c r="G345" s="530" t="s">
        <v>296</v>
      </c>
      <c r="H345" s="531">
        <v>1544</v>
      </c>
      <c r="I345" s="531">
        <v>500</v>
      </c>
      <c r="J345" s="531">
        <v>0</v>
      </c>
      <c r="K345" s="532">
        <v>46046</v>
      </c>
      <c r="L345" s="532">
        <v>46441</v>
      </c>
      <c r="M345" s="530"/>
      <c r="N345" s="531">
        <v>-1745.07</v>
      </c>
      <c r="O345" s="533">
        <f t="shared" si="15"/>
        <v>181</v>
      </c>
      <c r="P345" s="534">
        <f t="shared" si="16"/>
        <v>4.0273972602739724E-2</v>
      </c>
      <c r="Q345" s="534">
        <f t="shared" si="17"/>
        <v>7.2895890410958897</v>
      </c>
    </row>
    <row r="346" spans="1:17" ht="15" customHeight="1" x14ac:dyDescent="0.25">
      <c r="A346" s="530" t="s">
        <v>1321</v>
      </c>
      <c r="B346" s="530" t="s">
        <v>1142</v>
      </c>
      <c r="C346" s="531">
        <v>690</v>
      </c>
      <c r="D346" s="530" t="s">
        <v>1322</v>
      </c>
      <c r="E346" s="530" t="s">
        <v>1323</v>
      </c>
      <c r="F346" s="531">
        <v>1554</v>
      </c>
      <c r="G346" s="530" t="s">
        <v>296</v>
      </c>
      <c r="H346" s="531">
        <v>1440.97</v>
      </c>
      <c r="I346" s="531">
        <v>500</v>
      </c>
      <c r="J346" s="531">
        <v>0</v>
      </c>
      <c r="K346" s="532">
        <v>45612</v>
      </c>
      <c r="L346" s="532">
        <v>46341</v>
      </c>
      <c r="M346" s="530"/>
      <c r="N346" s="531">
        <v>0</v>
      </c>
      <c r="O346" s="533">
        <f t="shared" si="15"/>
        <v>615</v>
      </c>
      <c r="P346" s="534">
        <f t="shared" si="16"/>
        <v>4.0273972602739724E-2</v>
      </c>
      <c r="Q346" s="534">
        <f t="shared" si="17"/>
        <v>24.768493150684929</v>
      </c>
    </row>
    <row r="347" spans="1:17" ht="15" customHeight="1" x14ac:dyDescent="0.25">
      <c r="A347" s="530" t="s">
        <v>1324</v>
      </c>
      <c r="B347" s="530" t="s">
        <v>1142</v>
      </c>
      <c r="C347" s="531">
        <v>690</v>
      </c>
      <c r="D347" s="530" t="s">
        <v>1325</v>
      </c>
      <c r="E347" s="530" t="s">
        <v>1326</v>
      </c>
      <c r="F347" s="531">
        <v>1554</v>
      </c>
      <c r="G347" s="530" t="s">
        <v>296</v>
      </c>
      <c r="H347" s="531">
        <v>1311</v>
      </c>
      <c r="I347" s="531">
        <v>500</v>
      </c>
      <c r="J347" s="531">
        <v>0</v>
      </c>
      <c r="K347" s="532">
        <v>45659</v>
      </c>
      <c r="L347" s="532">
        <v>46478</v>
      </c>
      <c r="M347" s="530"/>
      <c r="N347" s="531">
        <v>0</v>
      </c>
      <c r="O347" s="533">
        <f t="shared" si="15"/>
        <v>568</v>
      </c>
      <c r="P347" s="534">
        <f t="shared" si="16"/>
        <v>4.0273972602739724E-2</v>
      </c>
      <c r="Q347" s="534">
        <f t="shared" si="17"/>
        <v>22.875616438356165</v>
      </c>
    </row>
    <row r="348" spans="1:17" ht="15" customHeight="1" x14ac:dyDescent="0.25">
      <c r="A348" s="530" t="s">
        <v>1327</v>
      </c>
      <c r="B348" s="530" t="s">
        <v>1171</v>
      </c>
      <c r="C348" s="531">
        <v>730</v>
      </c>
      <c r="D348" s="530" t="s">
        <v>1328</v>
      </c>
      <c r="E348" s="530" t="s">
        <v>1329</v>
      </c>
      <c r="F348" s="531">
        <v>1768</v>
      </c>
      <c r="G348" s="530" t="s">
        <v>296</v>
      </c>
      <c r="H348" s="531">
        <v>1579</v>
      </c>
      <c r="I348" s="531">
        <v>500</v>
      </c>
      <c r="J348" s="531">
        <v>0</v>
      </c>
      <c r="K348" s="532">
        <v>45561</v>
      </c>
      <c r="L348" s="532">
        <v>46381</v>
      </c>
      <c r="M348" s="530"/>
      <c r="N348" s="531">
        <v>0</v>
      </c>
      <c r="O348" s="533">
        <f t="shared" si="15"/>
        <v>666</v>
      </c>
      <c r="P348" s="534">
        <f t="shared" si="16"/>
        <v>4.0273972602739724E-2</v>
      </c>
      <c r="Q348" s="534">
        <f t="shared" si="17"/>
        <v>26.822465753424655</v>
      </c>
    </row>
    <row r="349" spans="1:17" ht="15" customHeight="1" x14ac:dyDescent="0.25">
      <c r="A349" s="530" t="s">
        <v>1330</v>
      </c>
      <c r="B349" s="530" t="s">
        <v>1098</v>
      </c>
      <c r="C349" s="531">
        <v>852</v>
      </c>
      <c r="D349" s="530" t="s">
        <v>1331</v>
      </c>
      <c r="E349" s="530" t="s">
        <v>1332</v>
      </c>
      <c r="F349" s="531">
        <v>1895</v>
      </c>
      <c r="G349" s="530" t="s">
        <v>296</v>
      </c>
      <c r="H349" s="531">
        <v>1700</v>
      </c>
      <c r="I349" s="531">
        <v>500</v>
      </c>
      <c r="J349" s="531">
        <v>0</v>
      </c>
      <c r="K349" s="532">
        <v>46001</v>
      </c>
      <c r="L349" s="532">
        <v>46455</v>
      </c>
      <c r="M349" s="530"/>
      <c r="N349" s="531">
        <v>0</v>
      </c>
      <c r="O349" s="533">
        <f t="shared" si="15"/>
        <v>226</v>
      </c>
      <c r="P349" s="534">
        <f t="shared" si="16"/>
        <v>4.0273972602739724E-2</v>
      </c>
      <c r="Q349" s="534">
        <f t="shared" si="17"/>
        <v>9.1019178082191772</v>
      </c>
    </row>
    <row r="350" spans="1:17" ht="15" customHeight="1" x14ac:dyDescent="0.25">
      <c r="A350" s="530" t="s">
        <v>1333</v>
      </c>
      <c r="B350" s="530" t="s">
        <v>1091</v>
      </c>
      <c r="C350" s="531">
        <v>1164</v>
      </c>
      <c r="D350" s="530" t="s">
        <v>1334</v>
      </c>
      <c r="E350" s="530" t="s">
        <v>1335</v>
      </c>
      <c r="F350" s="531">
        <v>3038</v>
      </c>
      <c r="G350" s="530" t="s">
        <v>331</v>
      </c>
      <c r="H350" s="531">
        <v>1561</v>
      </c>
      <c r="I350" s="531">
        <v>500</v>
      </c>
      <c r="J350" s="531">
        <v>0</v>
      </c>
      <c r="K350" s="532">
        <v>45944</v>
      </c>
      <c r="L350" s="532">
        <v>46400</v>
      </c>
      <c r="M350" s="530"/>
      <c r="N350" s="531">
        <v>-4563.3</v>
      </c>
      <c r="O350" s="533">
        <f t="shared" si="15"/>
        <v>283</v>
      </c>
      <c r="P350" s="534">
        <f t="shared" si="16"/>
        <v>4.0273972602739724E-2</v>
      </c>
      <c r="Q350" s="534">
        <f t="shared" si="17"/>
        <v>11.397534246575342</v>
      </c>
    </row>
    <row r="351" spans="1:17" ht="15" customHeight="1" x14ac:dyDescent="0.25">
      <c r="A351" s="530" t="s">
        <v>1336</v>
      </c>
      <c r="B351" s="530" t="s">
        <v>1098</v>
      </c>
      <c r="C351" s="531">
        <v>852</v>
      </c>
      <c r="D351" s="530" t="s">
        <v>1337</v>
      </c>
      <c r="E351" s="530" t="s">
        <v>1338</v>
      </c>
      <c r="F351" s="531">
        <v>1815</v>
      </c>
      <c r="G351" s="530" t="s">
        <v>296</v>
      </c>
      <c r="H351" s="531">
        <v>1521</v>
      </c>
      <c r="I351" s="531">
        <v>500</v>
      </c>
      <c r="J351" s="531">
        <v>0</v>
      </c>
      <c r="K351" s="532">
        <v>45604</v>
      </c>
      <c r="L351" s="532">
        <v>46394</v>
      </c>
      <c r="M351" s="530"/>
      <c r="N351" s="531">
        <v>0</v>
      </c>
      <c r="O351" s="533">
        <f t="shared" si="15"/>
        <v>623</v>
      </c>
      <c r="P351" s="534">
        <f t="shared" si="16"/>
        <v>4.0273972602739724E-2</v>
      </c>
      <c r="Q351" s="534">
        <f t="shared" si="17"/>
        <v>25.09068493150685</v>
      </c>
    </row>
    <row r="352" spans="1:17" ht="15" customHeight="1" x14ac:dyDescent="0.25">
      <c r="A352" s="530" t="s">
        <v>1339</v>
      </c>
      <c r="B352" s="530" t="s">
        <v>1210</v>
      </c>
      <c r="C352" s="531">
        <v>664</v>
      </c>
      <c r="D352" s="530" t="s">
        <v>1340</v>
      </c>
      <c r="E352" s="530" t="s">
        <v>1341</v>
      </c>
      <c r="F352" s="531">
        <v>1608</v>
      </c>
      <c r="G352" s="530" t="s">
        <v>296</v>
      </c>
      <c r="H352" s="531">
        <v>1671</v>
      </c>
      <c r="I352" s="531">
        <v>0</v>
      </c>
      <c r="J352" s="531">
        <v>0</v>
      </c>
      <c r="K352" s="532">
        <v>46163</v>
      </c>
      <c r="L352" s="532">
        <v>46531</v>
      </c>
      <c r="M352" s="530"/>
      <c r="N352" s="531">
        <v>0</v>
      </c>
      <c r="O352" s="533">
        <f t="shared" si="15"/>
        <v>64</v>
      </c>
      <c r="P352" s="534">
        <f t="shared" si="16"/>
        <v>0</v>
      </c>
      <c r="Q352" s="534">
        <f t="shared" si="17"/>
        <v>0</v>
      </c>
    </row>
    <row r="353" spans="1:17" ht="15" customHeight="1" x14ac:dyDescent="0.25">
      <c r="A353" s="530" t="s">
        <v>1342</v>
      </c>
      <c r="B353" s="530" t="s">
        <v>1206</v>
      </c>
      <c r="C353" s="531">
        <v>1117</v>
      </c>
      <c r="D353" s="530" t="s">
        <v>1343</v>
      </c>
      <c r="E353" s="530" t="s">
        <v>1344</v>
      </c>
      <c r="F353" s="531">
        <v>2464</v>
      </c>
      <c r="G353" s="530" t="s">
        <v>296</v>
      </c>
      <c r="H353" s="531">
        <v>2176</v>
      </c>
      <c r="I353" s="531">
        <v>500</v>
      </c>
      <c r="J353" s="531">
        <v>0</v>
      </c>
      <c r="K353" s="532">
        <v>46153</v>
      </c>
      <c r="L353" s="532">
        <v>46578</v>
      </c>
      <c r="M353" s="530"/>
      <c r="N353" s="531">
        <v>0</v>
      </c>
      <c r="O353" s="533">
        <f t="shared" si="15"/>
        <v>74</v>
      </c>
      <c r="P353" s="534">
        <f t="shared" si="16"/>
        <v>4.0273972602739724E-2</v>
      </c>
      <c r="Q353" s="534">
        <f t="shared" si="17"/>
        <v>2.9802739726027396</v>
      </c>
    </row>
    <row r="354" spans="1:17" ht="15" customHeight="1" x14ac:dyDescent="0.25">
      <c r="A354" s="530" t="s">
        <v>1345</v>
      </c>
      <c r="B354" s="530" t="s">
        <v>1210</v>
      </c>
      <c r="C354" s="531">
        <v>664</v>
      </c>
      <c r="D354" s="530" t="s">
        <v>1346</v>
      </c>
      <c r="E354" s="530" t="s">
        <v>1347</v>
      </c>
      <c r="F354" s="531">
        <v>1528</v>
      </c>
      <c r="G354" s="530" t="s">
        <v>296</v>
      </c>
      <c r="H354" s="531">
        <v>1614</v>
      </c>
      <c r="I354" s="531">
        <v>300</v>
      </c>
      <c r="J354" s="531">
        <v>0</v>
      </c>
      <c r="K354" s="532">
        <v>43525</v>
      </c>
      <c r="L354" s="532">
        <v>46599</v>
      </c>
      <c r="M354" s="530"/>
      <c r="N354" s="531">
        <v>0</v>
      </c>
      <c r="O354" s="533">
        <f t="shared" si="15"/>
        <v>2702</v>
      </c>
      <c r="P354" s="534">
        <f t="shared" si="16"/>
        <v>2.4164383561643837E-2</v>
      </c>
      <c r="Q354" s="534">
        <f t="shared" si="17"/>
        <v>65.292164383561641</v>
      </c>
    </row>
    <row r="355" spans="1:17" ht="15" customHeight="1" x14ac:dyDescent="0.25">
      <c r="A355" s="530" t="s">
        <v>1348</v>
      </c>
      <c r="B355" s="530" t="s">
        <v>1210</v>
      </c>
      <c r="C355" s="531">
        <v>664</v>
      </c>
      <c r="D355" s="530" t="s">
        <v>1349</v>
      </c>
      <c r="E355" s="530" t="s">
        <v>1350</v>
      </c>
      <c r="F355" s="531">
        <v>1528</v>
      </c>
      <c r="G355" s="530" t="s">
        <v>296</v>
      </c>
      <c r="H355" s="531">
        <v>1496</v>
      </c>
      <c r="I355" s="531">
        <v>300</v>
      </c>
      <c r="J355" s="531">
        <v>0</v>
      </c>
      <c r="K355" s="532">
        <v>44510</v>
      </c>
      <c r="L355" s="532">
        <v>46335</v>
      </c>
      <c r="M355" s="530"/>
      <c r="N355" s="531">
        <v>-64.5</v>
      </c>
      <c r="O355" s="533">
        <f t="shared" si="15"/>
        <v>1717</v>
      </c>
      <c r="P355" s="534">
        <f t="shared" si="16"/>
        <v>2.4164383561643837E-2</v>
      </c>
      <c r="Q355" s="534">
        <f t="shared" si="17"/>
        <v>41.490246575342468</v>
      </c>
    </row>
    <row r="356" spans="1:17" ht="15" customHeight="1" x14ac:dyDescent="0.25">
      <c r="A356" s="530" t="s">
        <v>1351</v>
      </c>
      <c r="B356" s="530" t="s">
        <v>1217</v>
      </c>
      <c r="C356" s="531">
        <v>825</v>
      </c>
      <c r="D356" s="530" t="s">
        <v>1352</v>
      </c>
      <c r="E356" s="530" t="s">
        <v>1353</v>
      </c>
      <c r="F356" s="531">
        <v>1774</v>
      </c>
      <c r="G356" s="530" t="s">
        <v>296</v>
      </c>
      <c r="H356" s="531">
        <v>1602</v>
      </c>
      <c r="I356" s="531">
        <v>500</v>
      </c>
      <c r="J356" s="531">
        <v>0</v>
      </c>
      <c r="K356" s="532">
        <v>45332</v>
      </c>
      <c r="L356" s="532">
        <v>46427</v>
      </c>
      <c r="M356" s="530"/>
      <c r="N356" s="531">
        <v>0</v>
      </c>
      <c r="O356" s="533">
        <f t="shared" si="15"/>
        <v>895</v>
      </c>
      <c r="P356" s="534">
        <f t="shared" si="16"/>
        <v>4.0273972602739724E-2</v>
      </c>
      <c r="Q356" s="534">
        <f t="shared" si="17"/>
        <v>36.045205479452051</v>
      </c>
    </row>
    <row r="357" spans="1:17" ht="15" customHeight="1" x14ac:dyDescent="0.25">
      <c r="A357" s="530" t="s">
        <v>1354</v>
      </c>
      <c r="B357" s="530" t="s">
        <v>1221</v>
      </c>
      <c r="C357" s="531">
        <v>1420</v>
      </c>
      <c r="D357" s="530" t="s">
        <v>1355</v>
      </c>
      <c r="E357" s="530" t="s">
        <v>1356</v>
      </c>
      <c r="F357" s="531">
        <v>2857</v>
      </c>
      <c r="G357" s="530" t="s">
        <v>296</v>
      </c>
      <c r="H357" s="531">
        <v>2415</v>
      </c>
      <c r="I357" s="531">
        <v>300</v>
      </c>
      <c r="J357" s="531">
        <v>0</v>
      </c>
      <c r="K357" s="532">
        <v>44066</v>
      </c>
      <c r="L357" s="532">
        <v>46529</v>
      </c>
      <c r="M357" s="530"/>
      <c r="N357" s="531">
        <v>0</v>
      </c>
      <c r="O357" s="533">
        <f t="shared" si="15"/>
        <v>2161</v>
      </c>
      <c r="P357" s="534">
        <f t="shared" si="16"/>
        <v>2.4164383561643837E-2</v>
      </c>
      <c r="Q357" s="534">
        <f t="shared" si="17"/>
        <v>52.219232876712333</v>
      </c>
    </row>
    <row r="358" spans="1:17" ht="15" customHeight="1" x14ac:dyDescent="0.25">
      <c r="A358" s="530" t="s">
        <v>1357</v>
      </c>
      <c r="B358" s="530" t="s">
        <v>1221</v>
      </c>
      <c r="C358" s="531">
        <v>1420</v>
      </c>
      <c r="D358" s="530" t="s">
        <v>1358</v>
      </c>
      <c r="E358" s="530" t="s">
        <v>1359</v>
      </c>
      <c r="F358" s="531">
        <v>2902</v>
      </c>
      <c r="G358" s="530" t="s">
        <v>296</v>
      </c>
      <c r="H358" s="531">
        <v>2407</v>
      </c>
      <c r="I358" s="531">
        <v>500</v>
      </c>
      <c r="J358" s="531">
        <v>0</v>
      </c>
      <c r="K358" s="532">
        <v>45947</v>
      </c>
      <c r="L358" s="532">
        <v>46403</v>
      </c>
      <c r="M358" s="530"/>
      <c r="N358" s="531">
        <v>-2465.1</v>
      </c>
      <c r="O358" s="533">
        <f t="shared" si="15"/>
        <v>280</v>
      </c>
      <c r="P358" s="534">
        <f t="shared" si="16"/>
        <v>4.0273972602739724E-2</v>
      </c>
      <c r="Q358" s="534">
        <f t="shared" si="17"/>
        <v>11.276712328767124</v>
      </c>
    </row>
    <row r="359" spans="1:17" ht="15" customHeight="1" x14ac:dyDescent="0.25">
      <c r="A359" s="530" t="s">
        <v>1360</v>
      </c>
      <c r="B359" s="530" t="s">
        <v>1228</v>
      </c>
      <c r="C359" s="531">
        <v>1491</v>
      </c>
      <c r="D359" s="530" t="s">
        <v>1361</v>
      </c>
      <c r="E359" s="530" t="s">
        <v>1362</v>
      </c>
      <c r="F359" s="531">
        <v>3100</v>
      </c>
      <c r="G359" s="530" t="s">
        <v>296</v>
      </c>
      <c r="H359" s="531">
        <v>2968</v>
      </c>
      <c r="I359" s="531">
        <v>700</v>
      </c>
      <c r="J359" s="531">
        <v>0</v>
      </c>
      <c r="K359" s="532">
        <v>45475</v>
      </c>
      <c r="L359" s="532">
        <v>46237</v>
      </c>
      <c r="M359" s="532">
        <v>46265</v>
      </c>
      <c r="N359" s="531">
        <v>0</v>
      </c>
      <c r="O359" s="533">
        <f t="shared" si="15"/>
        <v>752</v>
      </c>
      <c r="P359" s="534">
        <f t="shared" si="16"/>
        <v>5.6383561643835609E-2</v>
      </c>
      <c r="Q359" s="534">
        <f t="shared" si="17"/>
        <v>42.400438356164379</v>
      </c>
    </row>
    <row r="360" spans="1:17" ht="15" customHeight="1" x14ac:dyDescent="0.25">
      <c r="A360" s="530" t="s">
        <v>1363</v>
      </c>
      <c r="B360" s="530" t="s">
        <v>1210</v>
      </c>
      <c r="C360" s="531">
        <v>664</v>
      </c>
      <c r="D360" s="530" t="s">
        <v>1364</v>
      </c>
      <c r="E360" s="530" t="s">
        <v>1365</v>
      </c>
      <c r="F360" s="531">
        <v>1578</v>
      </c>
      <c r="G360" s="530" t="s">
        <v>296</v>
      </c>
      <c r="H360" s="531">
        <v>1456</v>
      </c>
      <c r="I360" s="531">
        <v>0</v>
      </c>
      <c r="J360" s="531">
        <v>0</v>
      </c>
      <c r="K360" s="532">
        <v>46144</v>
      </c>
      <c r="L360" s="532">
        <v>46538</v>
      </c>
      <c r="M360" s="530"/>
      <c r="N360" s="531">
        <v>0</v>
      </c>
      <c r="O360" s="533">
        <f t="shared" si="15"/>
        <v>83</v>
      </c>
      <c r="P360" s="534">
        <f t="shared" si="16"/>
        <v>0</v>
      </c>
      <c r="Q360" s="534">
        <f t="shared" si="17"/>
        <v>0</v>
      </c>
    </row>
    <row r="361" spans="1:17" ht="15" customHeight="1" x14ac:dyDescent="0.25">
      <c r="A361" s="530" t="s">
        <v>1366</v>
      </c>
      <c r="B361" s="530" t="s">
        <v>1367</v>
      </c>
      <c r="C361" s="531">
        <v>825</v>
      </c>
      <c r="D361" s="530" t="s">
        <v>1368</v>
      </c>
      <c r="E361" s="530" t="s">
        <v>1369</v>
      </c>
      <c r="F361" s="531">
        <v>1971</v>
      </c>
      <c r="G361" s="530" t="s">
        <v>296</v>
      </c>
      <c r="H361" s="531">
        <v>1598</v>
      </c>
      <c r="I361" s="531">
        <v>500</v>
      </c>
      <c r="J361" s="531">
        <v>0</v>
      </c>
      <c r="K361" s="532">
        <v>45821</v>
      </c>
      <c r="L361" s="532">
        <v>46185</v>
      </c>
      <c r="M361" s="532">
        <v>46235</v>
      </c>
      <c r="N361" s="531">
        <v>0</v>
      </c>
      <c r="O361" s="533">
        <f t="shared" si="15"/>
        <v>406</v>
      </c>
      <c r="P361" s="534">
        <f t="shared" si="16"/>
        <v>4.0273972602739724E-2</v>
      </c>
      <c r="Q361" s="534">
        <f t="shared" si="17"/>
        <v>16.351232876712327</v>
      </c>
    </row>
    <row r="362" spans="1:17" ht="15" customHeight="1" x14ac:dyDescent="0.25">
      <c r="A362" s="530" t="s">
        <v>1370</v>
      </c>
      <c r="B362" s="530" t="s">
        <v>1234</v>
      </c>
      <c r="C362" s="531">
        <v>864</v>
      </c>
      <c r="D362" s="530" t="s">
        <v>1371</v>
      </c>
      <c r="E362" s="530" t="s">
        <v>1372</v>
      </c>
      <c r="F362" s="531">
        <v>1831</v>
      </c>
      <c r="G362" s="530" t="s">
        <v>296</v>
      </c>
      <c r="H362" s="531">
        <v>1589</v>
      </c>
      <c r="I362" s="531">
        <v>500</v>
      </c>
      <c r="J362" s="531">
        <v>0</v>
      </c>
      <c r="K362" s="532">
        <v>46006</v>
      </c>
      <c r="L362" s="532">
        <v>46405</v>
      </c>
      <c r="M362" s="530"/>
      <c r="N362" s="531">
        <v>0</v>
      </c>
      <c r="O362" s="533">
        <f t="shared" si="15"/>
        <v>221</v>
      </c>
      <c r="P362" s="534">
        <f t="shared" si="16"/>
        <v>4.0273972602739724E-2</v>
      </c>
      <c r="Q362" s="534">
        <f t="shared" si="17"/>
        <v>8.9005479452054796</v>
      </c>
    </row>
    <row r="363" spans="1:17" ht="15" customHeight="1" x14ac:dyDescent="0.25">
      <c r="A363" s="530" t="s">
        <v>1373</v>
      </c>
      <c r="B363" s="530" t="s">
        <v>1098</v>
      </c>
      <c r="C363" s="531">
        <v>852</v>
      </c>
      <c r="D363" s="530" t="s">
        <v>1374</v>
      </c>
      <c r="E363" s="530" t="s">
        <v>1375</v>
      </c>
      <c r="F363" s="531">
        <v>1815</v>
      </c>
      <c r="G363" s="530" t="s">
        <v>296</v>
      </c>
      <c r="H363" s="531">
        <v>1586</v>
      </c>
      <c r="I363" s="531">
        <v>500</v>
      </c>
      <c r="J363" s="531">
        <v>0</v>
      </c>
      <c r="K363" s="532">
        <v>46024</v>
      </c>
      <c r="L363" s="532">
        <v>46391</v>
      </c>
      <c r="M363" s="530"/>
      <c r="N363" s="531">
        <v>0</v>
      </c>
      <c r="O363" s="533">
        <f t="shared" si="15"/>
        <v>203</v>
      </c>
      <c r="P363" s="534">
        <f t="shared" si="16"/>
        <v>4.0273972602739724E-2</v>
      </c>
      <c r="Q363" s="534">
        <f t="shared" si="17"/>
        <v>8.1756164383561636</v>
      </c>
    </row>
    <row r="364" spans="1:17" ht="15" customHeight="1" x14ac:dyDescent="0.25">
      <c r="A364" s="530" t="s">
        <v>1376</v>
      </c>
      <c r="B364" s="530" t="s">
        <v>1367</v>
      </c>
      <c r="C364" s="531">
        <v>825</v>
      </c>
      <c r="D364" s="530" t="s">
        <v>1377</v>
      </c>
      <c r="E364" s="530" t="s">
        <v>1378</v>
      </c>
      <c r="F364" s="531">
        <v>2066</v>
      </c>
      <c r="G364" s="530" t="s">
        <v>296</v>
      </c>
      <c r="H364" s="531">
        <v>1577</v>
      </c>
      <c r="I364" s="531">
        <v>500</v>
      </c>
      <c r="J364" s="531">
        <v>0</v>
      </c>
      <c r="K364" s="532">
        <v>45864</v>
      </c>
      <c r="L364" s="532">
        <v>46228</v>
      </c>
      <c r="M364" s="530"/>
      <c r="N364" s="531">
        <v>0</v>
      </c>
      <c r="O364" s="533">
        <f t="shared" si="15"/>
        <v>363</v>
      </c>
      <c r="P364" s="534">
        <f t="shared" si="16"/>
        <v>4.0273972602739724E-2</v>
      </c>
      <c r="Q364" s="534">
        <f t="shared" si="17"/>
        <v>14.61945205479452</v>
      </c>
    </row>
    <row r="365" spans="1:17" ht="15" customHeight="1" x14ac:dyDescent="0.25">
      <c r="A365" s="530" t="s">
        <v>1379</v>
      </c>
      <c r="B365" s="530" t="s">
        <v>1083</v>
      </c>
      <c r="C365" s="531">
        <v>744</v>
      </c>
      <c r="D365" s="530" t="s">
        <v>1380</v>
      </c>
      <c r="E365" s="530" t="s">
        <v>1381</v>
      </c>
      <c r="F365" s="531">
        <v>1745</v>
      </c>
      <c r="G365" s="530" t="s">
        <v>296</v>
      </c>
      <c r="H365" s="531">
        <v>1786.4</v>
      </c>
      <c r="I365" s="531">
        <v>500</v>
      </c>
      <c r="J365" s="531">
        <v>0</v>
      </c>
      <c r="K365" s="532">
        <v>45979</v>
      </c>
      <c r="L365" s="532">
        <v>46344</v>
      </c>
      <c r="M365" s="530"/>
      <c r="N365" s="531">
        <v>0</v>
      </c>
      <c r="O365" s="533">
        <f t="shared" si="15"/>
        <v>248</v>
      </c>
      <c r="P365" s="534">
        <f t="shared" si="16"/>
        <v>4.0273972602739724E-2</v>
      </c>
      <c r="Q365" s="534">
        <f t="shared" si="17"/>
        <v>9.987945205479452</v>
      </c>
    </row>
    <row r="366" spans="1:17" ht="15" customHeight="1" x14ac:dyDescent="0.25">
      <c r="A366" s="530" t="s">
        <v>1382</v>
      </c>
      <c r="B366" s="530" t="s">
        <v>1087</v>
      </c>
      <c r="C366" s="531">
        <v>1257</v>
      </c>
      <c r="D366" s="530" t="s">
        <v>1383</v>
      </c>
      <c r="E366" s="530" t="s">
        <v>1384</v>
      </c>
      <c r="F366" s="531">
        <v>2504</v>
      </c>
      <c r="G366" s="530" t="s">
        <v>296</v>
      </c>
      <c r="H366" s="531">
        <v>1970</v>
      </c>
      <c r="I366" s="531">
        <v>1970</v>
      </c>
      <c r="J366" s="531">
        <v>0</v>
      </c>
      <c r="K366" s="532">
        <v>46003</v>
      </c>
      <c r="L366" s="532">
        <v>46429</v>
      </c>
      <c r="M366" s="530"/>
      <c r="N366" s="531">
        <v>0</v>
      </c>
      <c r="O366" s="533">
        <f t="shared" si="15"/>
        <v>224</v>
      </c>
      <c r="P366" s="534">
        <f t="shared" si="16"/>
        <v>0.15867945205479453</v>
      </c>
      <c r="Q366" s="534">
        <f t="shared" si="17"/>
        <v>35.544197260273975</v>
      </c>
    </row>
    <row r="367" spans="1:17" ht="15" customHeight="1" x14ac:dyDescent="0.25">
      <c r="A367" s="530" t="s">
        <v>1385</v>
      </c>
      <c r="B367" s="530" t="s">
        <v>1386</v>
      </c>
      <c r="C367" s="531">
        <v>1164</v>
      </c>
      <c r="D367" s="530" t="s">
        <v>1387</v>
      </c>
      <c r="E367" s="530" t="s">
        <v>1388</v>
      </c>
      <c r="F367" s="531">
        <v>1868</v>
      </c>
      <c r="G367" s="530" t="s">
        <v>296</v>
      </c>
      <c r="H367" s="531">
        <v>2088</v>
      </c>
      <c r="I367" s="531">
        <v>1895</v>
      </c>
      <c r="J367" s="531">
        <v>0</v>
      </c>
      <c r="K367" s="532">
        <v>44760</v>
      </c>
      <c r="L367" s="532">
        <v>46251</v>
      </c>
      <c r="M367" s="530"/>
      <c r="N367" s="531">
        <v>0</v>
      </c>
      <c r="O367" s="533">
        <f t="shared" si="15"/>
        <v>1467</v>
      </c>
      <c r="P367" s="534">
        <f t="shared" si="16"/>
        <v>0.15263835616438357</v>
      </c>
      <c r="Q367" s="534">
        <f t="shared" si="17"/>
        <v>223.92046849315068</v>
      </c>
    </row>
    <row r="368" spans="1:17" ht="15" customHeight="1" x14ac:dyDescent="0.25">
      <c r="A368" s="530" t="s">
        <v>1389</v>
      </c>
      <c r="B368" s="530" t="s">
        <v>1087</v>
      </c>
      <c r="C368" s="531">
        <v>1257</v>
      </c>
      <c r="D368" s="530" t="s">
        <v>1390</v>
      </c>
      <c r="E368" s="530" t="s">
        <v>1391</v>
      </c>
      <c r="F368" s="531">
        <v>2504</v>
      </c>
      <c r="G368" s="530" t="s">
        <v>296</v>
      </c>
      <c r="H368" s="531">
        <v>2035</v>
      </c>
      <c r="I368" s="531">
        <v>500</v>
      </c>
      <c r="J368" s="531">
        <v>0</v>
      </c>
      <c r="K368" s="532">
        <v>45509</v>
      </c>
      <c r="L368" s="532">
        <v>46269</v>
      </c>
      <c r="M368" s="530"/>
      <c r="N368" s="531">
        <v>0</v>
      </c>
      <c r="O368" s="533">
        <f t="shared" si="15"/>
        <v>718</v>
      </c>
      <c r="P368" s="534">
        <f t="shared" si="16"/>
        <v>4.0273972602739724E-2</v>
      </c>
      <c r="Q368" s="534">
        <f t="shared" si="17"/>
        <v>28.916712328767122</v>
      </c>
    </row>
    <row r="369" spans="1:17" ht="15" customHeight="1" x14ac:dyDescent="0.25">
      <c r="A369" s="530" t="s">
        <v>1392</v>
      </c>
      <c r="B369" s="530" t="s">
        <v>1091</v>
      </c>
      <c r="C369" s="531">
        <v>1164</v>
      </c>
      <c r="D369" s="530" t="s">
        <v>1393</v>
      </c>
      <c r="E369" s="530" t="s">
        <v>1394</v>
      </c>
      <c r="F369" s="531">
        <v>3118</v>
      </c>
      <c r="G369" s="530" t="s">
        <v>296</v>
      </c>
      <c r="H369" s="531">
        <v>2036</v>
      </c>
      <c r="I369" s="531">
        <v>500</v>
      </c>
      <c r="J369" s="531">
        <v>0</v>
      </c>
      <c r="K369" s="532">
        <v>45499</v>
      </c>
      <c r="L369" s="532">
        <v>46228</v>
      </c>
      <c r="M369" s="532">
        <v>46228</v>
      </c>
      <c r="N369" s="531">
        <v>0</v>
      </c>
      <c r="O369" s="533">
        <f t="shared" si="15"/>
        <v>728</v>
      </c>
      <c r="P369" s="534">
        <f t="shared" si="16"/>
        <v>4.0273972602739724E-2</v>
      </c>
      <c r="Q369" s="534">
        <f t="shared" si="17"/>
        <v>29.319452054794521</v>
      </c>
    </row>
    <row r="370" spans="1:17" ht="15" customHeight="1" x14ac:dyDescent="0.25">
      <c r="A370" s="530" t="s">
        <v>1395</v>
      </c>
      <c r="B370" s="530" t="s">
        <v>1098</v>
      </c>
      <c r="C370" s="531">
        <v>852</v>
      </c>
      <c r="D370" s="530" t="s">
        <v>1396</v>
      </c>
      <c r="E370" s="530" t="s">
        <v>1397</v>
      </c>
      <c r="F370" s="531">
        <v>1895</v>
      </c>
      <c r="G370" s="530" t="s">
        <v>296</v>
      </c>
      <c r="H370" s="531">
        <v>1604</v>
      </c>
      <c r="I370" s="531">
        <v>500</v>
      </c>
      <c r="J370" s="531">
        <v>0</v>
      </c>
      <c r="K370" s="532">
        <v>45869</v>
      </c>
      <c r="L370" s="532">
        <v>46264</v>
      </c>
      <c r="M370" s="530"/>
      <c r="N370" s="531">
        <v>0</v>
      </c>
      <c r="O370" s="533">
        <f t="shared" si="15"/>
        <v>358</v>
      </c>
      <c r="P370" s="534">
        <f t="shared" si="16"/>
        <v>4.0273972602739724E-2</v>
      </c>
      <c r="Q370" s="534">
        <f t="shared" si="17"/>
        <v>14.418082191780821</v>
      </c>
    </row>
    <row r="371" spans="1:17" ht="15" customHeight="1" x14ac:dyDescent="0.25">
      <c r="A371" s="530" t="s">
        <v>1398</v>
      </c>
      <c r="B371" s="530" t="s">
        <v>1083</v>
      </c>
      <c r="C371" s="531">
        <v>744</v>
      </c>
      <c r="D371" s="530" t="s">
        <v>1399</v>
      </c>
      <c r="E371" s="530" t="s">
        <v>1400</v>
      </c>
      <c r="F371" s="531">
        <v>1745</v>
      </c>
      <c r="G371" s="530" t="s">
        <v>296</v>
      </c>
      <c r="H371" s="531">
        <v>1685</v>
      </c>
      <c r="I371" s="531">
        <v>300</v>
      </c>
      <c r="J371" s="531">
        <v>0</v>
      </c>
      <c r="K371" s="532">
        <v>44471</v>
      </c>
      <c r="L371" s="532">
        <v>46296</v>
      </c>
      <c r="M371" s="530"/>
      <c r="N371" s="531">
        <v>-108.38</v>
      </c>
      <c r="O371" s="533">
        <f t="shared" si="15"/>
        <v>1756</v>
      </c>
      <c r="P371" s="534">
        <f t="shared" si="16"/>
        <v>2.4164383561643837E-2</v>
      </c>
      <c r="Q371" s="534">
        <f t="shared" si="17"/>
        <v>42.43265753424658</v>
      </c>
    </row>
    <row r="372" spans="1:17" ht="15" customHeight="1" x14ac:dyDescent="0.25">
      <c r="A372" s="530" t="s">
        <v>1401</v>
      </c>
      <c r="B372" s="530" t="s">
        <v>1098</v>
      </c>
      <c r="C372" s="531">
        <v>852</v>
      </c>
      <c r="D372" s="530" t="s">
        <v>1402</v>
      </c>
      <c r="E372" s="530" t="s">
        <v>1403</v>
      </c>
      <c r="F372" s="531">
        <v>1815</v>
      </c>
      <c r="G372" s="530" t="s">
        <v>296</v>
      </c>
      <c r="H372" s="531">
        <v>1731</v>
      </c>
      <c r="I372" s="531">
        <v>500</v>
      </c>
      <c r="J372" s="531">
        <v>0</v>
      </c>
      <c r="K372" s="532">
        <v>46178</v>
      </c>
      <c r="L372" s="532">
        <v>46542</v>
      </c>
      <c r="M372" s="530"/>
      <c r="N372" s="531">
        <v>0</v>
      </c>
      <c r="O372" s="533">
        <f t="shared" si="15"/>
        <v>49</v>
      </c>
      <c r="P372" s="534">
        <f t="shared" si="16"/>
        <v>4.0273972602739724E-2</v>
      </c>
      <c r="Q372" s="534">
        <f t="shared" si="17"/>
        <v>1.9734246575342465</v>
      </c>
    </row>
    <row r="373" spans="1:17" ht="15" customHeight="1" x14ac:dyDescent="0.25">
      <c r="A373" s="530" t="s">
        <v>1404</v>
      </c>
      <c r="B373" s="530" t="s">
        <v>1367</v>
      </c>
      <c r="C373" s="531">
        <v>825</v>
      </c>
      <c r="D373" s="530" t="s">
        <v>1405</v>
      </c>
      <c r="E373" s="530" t="s">
        <v>1406</v>
      </c>
      <c r="F373" s="531">
        <v>1971</v>
      </c>
      <c r="G373" s="530" t="s">
        <v>296</v>
      </c>
      <c r="H373" s="531">
        <v>1559</v>
      </c>
      <c r="I373" s="531">
        <v>0</v>
      </c>
      <c r="J373" s="531">
        <v>0</v>
      </c>
      <c r="K373" s="532">
        <v>46193</v>
      </c>
      <c r="L373" s="532">
        <v>46587</v>
      </c>
      <c r="M373" s="530"/>
      <c r="N373" s="531">
        <v>0</v>
      </c>
      <c r="O373" s="533">
        <f t="shared" si="15"/>
        <v>34</v>
      </c>
      <c r="P373" s="534">
        <f t="shared" si="16"/>
        <v>0</v>
      </c>
      <c r="Q373" s="534">
        <f t="shared" si="17"/>
        <v>0</v>
      </c>
    </row>
    <row r="374" spans="1:17" ht="15" customHeight="1" x14ac:dyDescent="0.25">
      <c r="A374" s="530" t="s">
        <v>1407</v>
      </c>
      <c r="B374" s="530" t="s">
        <v>1111</v>
      </c>
      <c r="C374" s="531">
        <v>1642</v>
      </c>
      <c r="D374" s="530" t="s">
        <v>1408</v>
      </c>
      <c r="E374" s="530" t="s">
        <v>1409</v>
      </c>
      <c r="F374" s="531">
        <v>2957</v>
      </c>
      <c r="G374" s="530" t="s">
        <v>296</v>
      </c>
      <c r="H374" s="531">
        <v>2489</v>
      </c>
      <c r="I374" s="531">
        <v>500</v>
      </c>
      <c r="J374" s="531">
        <v>0</v>
      </c>
      <c r="K374" s="532">
        <v>46020</v>
      </c>
      <c r="L374" s="532">
        <v>46384</v>
      </c>
      <c r="M374" s="530"/>
      <c r="N374" s="531">
        <v>0</v>
      </c>
      <c r="O374" s="533">
        <f t="shared" si="15"/>
        <v>207</v>
      </c>
      <c r="P374" s="534">
        <f t="shared" si="16"/>
        <v>4.0273972602739724E-2</v>
      </c>
      <c r="Q374" s="534">
        <f t="shared" si="17"/>
        <v>8.3367123287671223</v>
      </c>
    </row>
    <row r="375" spans="1:17" ht="15" customHeight="1" x14ac:dyDescent="0.25">
      <c r="A375" s="530" t="s">
        <v>1410</v>
      </c>
      <c r="B375" s="530" t="s">
        <v>1367</v>
      </c>
      <c r="C375" s="531">
        <v>825</v>
      </c>
      <c r="D375" s="530" t="s">
        <v>1411</v>
      </c>
      <c r="E375" s="530" t="s">
        <v>1412</v>
      </c>
      <c r="F375" s="531">
        <v>1891</v>
      </c>
      <c r="G375" s="530" t="s">
        <v>331</v>
      </c>
      <c r="H375" s="531">
        <v>1509</v>
      </c>
      <c r="I375" s="531">
        <v>500</v>
      </c>
      <c r="J375" s="531">
        <v>0</v>
      </c>
      <c r="K375" s="532">
        <v>46086</v>
      </c>
      <c r="L375" s="532">
        <v>46542</v>
      </c>
      <c r="M375" s="530"/>
      <c r="N375" s="531">
        <v>0</v>
      </c>
      <c r="O375" s="533">
        <f t="shared" si="15"/>
        <v>141</v>
      </c>
      <c r="P375" s="534">
        <f t="shared" si="16"/>
        <v>4.0273972602739724E-2</v>
      </c>
      <c r="Q375" s="534">
        <f t="shared" si="17"/>
        <v>5.6786301369863015</v>
      </c>
    </row>
    <row r="376" spans="1:17" ht="15" customHeight="1" x14ac:dyDescent="0.25">
      <c r="A376" s="530" t="s">
        <v>1413</v>
      </c>
      <c r="B376" s="530" t="s">
        <v>1118</v>
      </c>
      <c r="C376" s="531">
        <v>1399</v>
      </c>
      <c r="D376" s="530" t="s">
        <v>1414</v>
      </c>
      <c r="E376" s="530" t="s">
        <v>1415</v>
      </c>
      <c r="F376" s="531">
        <v>2867</v>
      </c>
      <c r="G376" s="530" t="s">
        <v>296</v>
      </c>
      <c r="H376" s="531">
        <v>2254</v>
      </c>
      <c r="I376" s="531">
        <v>500</v>
      </c>
      <c r="J376" s="531">
        <v>0</v>
      </c>
      <c r="K376" s="532">
        <v>46022</v>
      </c>
      <c r="L376" s="532">
        <v>46446</v>
      </c>
      <c r="M376" s="530"/>
      <c r="N376" s="531">
        <v>-25.27</v>
      </c>
      <c r="O376" s="533">
        <f t="shared" si="15"/>
        <v>205</v>
      </c>
      <c r="P376" s="534">
        <f t="shared" si="16"/>
        <v>4.0273972602739724E-2</v>
      </c>
      <c r="Q376" s="534">
        <f t="shared" si="17"/>
        <v>8.2561643835616429</v>
      </c>
    </row>
    <row r="377" spans="1:17" ht="15" customHeight="1" x14ac:dyDescent="0.25">
      <c r="A377" s="530" t="s">
        <v>1416</v>
      </c>
      <c r="B377" s="530" t="s">
        <v>1122</v>
      </c>
      <c r="C377" s="531">
        <v>783</v>
      </c>
      <c r="D377" s="530" t="s">
        <v>1417</v>
      </c>
      <c r="E377" s="530" t="s">
        <v>1418</v>
      </c>
      <c r="F377" s="531">
        <v>1718</v>
      </c>
      <c r="G377" s="530" t="s">
        <v>296</v>
      </c>
      <c r="H377" s="531">
        <v>1727</v>
      </c>
      <c r="I377" s="531">
        <v>0</v>
      </c>
      <c r="J377" s="531">
        <v>0</v>
      </c>
      <c r="K377" s="532">
        <v>46165</v>
      </c>
      <c r="L377" s="532">
        <v>46594</v>
      </c>
      <c r="M377" s="530"/>
      <c r="N377" s="531">
        <v>0</v>
      </c>
      <c r="O377" s="533">
        <f t="shared" si="15"/>
        <v>62</v>
      </c>
      <c r="P377" s="534">
        <f t="shared" si="16"/>
        <v>0</v>
      </c>
      <c r="Q377" s="534">
        <f t="shared" si="17"/>
        <v>0</v>
      </c>
    </row>
    <row r="378" spans="1:17" ht="15" customHeight="1" x14ac:dyDescent="0.25">
      <c r="A378" s="530" t="s">
        <v>1419</v>
      </c>
      <c r="B378" s="530" t="s">
        <v>1122</v>
      </c>
      <c r="C378" s="531">
        <v>783</v>
      </c>
      <c r="D378" s="530" t="s">
        <v>1420</v>
      </c>
      <c r="E378" s="530" t="s">
        <v>1421</v>
      </c>
      <c r="F378" s="531">
        <v>1798</v>
      </c>
      <c r="G378" s="530" t="s">
        <v>296</v>
      </c>
      <c r="H378" s="531">
        <v>1744</v>
      </c>
      <c r="I378" s="531">
        <v>500</v>
      </c>
      <c r="J378" s="531">
        <v>0</v>
      </c>
      <c r="K378" s="532">
        <v>45890</v>
      </c>
      <c r="L378" s="532">
        <v>46223</v>
      </c>
      <c r="M378" s="532">
        <v>46241</v>
      </c>
      <c r="N378" s="531">
        <v>0</v>
      </c>
      <c r="O378" s="533">
        <f t="shared" si="15"/>
        <v>337</v>
      </c>
      <c r="P378" s="534">
        <f t="shared" si="16"/>
        <v>4.0273972602739724E-2</v>
      </c>
      <c r="Q378" s="534">
        <f t="shared" si="17"/>
        <v>13.572328767123286</v>
      </c>
    </row>
    <row r="379" spans="1:17" ht="15" customHeight="1" x14ac:dyDescent="0.25">
      <c r="A379" s="530" t="s">
        <v>1422</v>
      </c>
      <c r="B379" s="530" t="s">
        <v>1098</v>
      </c>
      <c r="C379" s="531">
        <v>852</v>
      </c>
      <c r="D379" s="530" t="s">
        <v>1423</v>
      </c>
      <c r="E379" s="530" t="s">
        <v>1424</v>
      </c>
      <c r="F379" s="531">
        <v>1815</v>
      </c>
      <c r="G379" s="530" t="s">
        <v>296</v>
      </c>
      <c r="H379" s="531">
        <v>1921</v>
      </c>
      <c r="I379" s="531">
        <v>300</v>
      </c>
      <c r="J379" s="531">
        <v>0</v>
      </c>
      <c r="K379" s="532">
        <v>43714</v>
      </c>
      <c r="L379" s="532">
        <v>46423</v>
      </c>
      <c r="M379" s="530"/>
      <c r="N379" s="531">
        <v>0</v>
      </c>
      <c r="O379" s="533">
        <f t="shared" si="15"/>
        <v>2513</v>
      </c>
      <c r="P379" s="534">
        <f t="shared" si="16"/>
        <v>2.4164383561643837E-2</v>
      </c>
      <c r="Q379" s="534">
        <f t="shared" si="17"/>
        <v>60.725095890410962</v>
      </c>
    </row>
    <row r="380" spans="1:17" ht="15" customHeight="1" x14ac:dyDescent="0.25">
      <c r="A380" s="530" t="s">
        <v>14223</v>
      </c>
      <c r="B380" s="530" t="s">
        <v>1132</v>
      </c>
      <c r="C380" s="531">
        <v>795</v>
      </c>
      <c r="D380" s="530" t="s">
        <v>14224</v>
      </c>
      <c r="E380" s="530" t="s">
        <v>14225</v>
      </c>
      <c r="F380" s="531">
        <v>1615</v>
      </c>
      <c r="G380" s="530" t="s">
        <v>296</v>
      </c>
      <c r="H380" s="531">
        <v>1772</v>
      </c>
      <c r="I380" s="531">
        <v>0</v>
      </c>
      <c r="J380" s="531">
        <v>0</v>
      </c>
      <c r="K380" s="532">
        <v>46204</v>
      </c>
      <c r="L380" s="532">
        <v>46601</v>
      </c>
      <c r="M380" s="530"/>
      <c r="N380" s="531">
        <v>66.52</v>
      </c>
      <c r="O380" s="533">
        <f t="shared" si="15"/>
        <v>23</v>
      </c>
      <c r="P380" s="534">
        <f t="shared" si="16"/>
        <v>0</v>
      </c>
      <c r="Q380" s="534">
        <f t="shared" si="17"/>
        <v>0</v>
      </c>
    </row>
    <row r="381" spans="1:17" ht="15" customHeight="1" x14ac:dyDescent="0.25">
      <c r="A381" s="530" t="s">
        <v>1425</v>
      </c>
      <c r="B381" s="530" t="s">
        <v>1087</v>
      </c>
      <c r="C381" s="531">
        <v>1257</v>
      </c>
      <c r="D381" s="530" t="s">
        <v>1426</v>
      </c>
      <c r="E381" s="530" t="s">
        <v>1427</v>
      </c>
      <c r="F381" s="531">
        <v>2584</v>
      </c>
      <c r="G381" s="530" t="s">
        <v>296</v>
      </c>
      <c r="H381" s="531">
        <v>2209</v>
      </c>
      <c r="I381" s="531">
        <v>2209</v>
      </c>
      <c r="J381" s="531">
        <v>0</v>
      </c>
      <c r="K381" s="532">
        <v>45883</v>
      </c>
      <c r="L381" s="532">
        <v>46247</v>
      </c>
      <c r="M381" s="530"/>
      <c r="N381" s="531">
        <v>2667.65</v>
      </c>
      <c r="O381" s="533">
        <f t="shared" si="15"/>
        <v>344</v>
      </c>
      <c r="P381" s="534">
        <f t="shared" si="16"/>
        <v>0.17793041095890411</v>
      </c>
      <c r="Q381" s="534">
        <f t="shared" si="17"/>
        <v>61.20806136986301</v>
      </c>
    </row>
    <row r="382" spans="1:17" ht="15" customHeight="1" x14ac:dyDescent="0.25">
      <c r="A382" s="530" t="s">
        <v>1428</v>
      </c>
      <c r="B382" s="530" t="s">
        <v>1091</v>
      </c>
      <c r="C382" s="531">
        <v>1164</v>
      </c>
      <c r="D382" s="530" t="s">
        <v>1429</v>
      </c>
      <c r="E382" s="530" t="s">
        <v>1430</v>
      </c>
      <c r="F382" s="531">
        <v>3118</v>
      </c>
      <c r="G382" s="530" t="s">
        <v>331</v>
      </c>
      <c r="H382" s="531">
        <v>2315</v>
      </c>
      <c r="I382" s="531">
        <v>500</v>
      </c>
      <c r="J382" s="531">
        <v>0</v>
      </c>
      <c r="K382" s="532">
        <v>45881</v>
      </c>
      <c r="L382" s="532">
        <v>46276</v>
      </c>
      <c r="M382" s="532">
        <v>46295</v>
      </c>
      <c r="N382" s="531">
        <v>-98.93</v>
      </c>
      <c r="O382" s="533">
        <f t="shared" si="15"/>
        <v>346</v>
      </c>
      <c r="P382" s="534">
        <f t="shared" si="16"/>
        <v>4.0273972602739724E-2</v>
      </c>
      <c r="Q382" s="534">
        <f t="shared" si="17"/>
        <v>13.934794520547944</v>
      </c>
    </row>
    <row r="383" spans="1:17" ht="15" customHeight="1" x14ac:dyDescent="0.25">
      <c r="A383" s="530" t="s">
        <v>1431</v>
      </c>
      <c r="B383" s="530" t="s">
        <v>1142</v>
      </c>
      <c r="C383" s="531">
        <v>690</v>
      </c>
      <c r="D383" s="530" t="s">
        <v>1432</v>
      </c>
      <c r="E383" s="530" t="s">
        <v>1433</v>
      </c>
      <c r="F383" s="531">
        <v>1554</v>
      </c>
      <c r="G383" s="530" t="s">
        <v>296</v>
      </c>
      <c r="H383" s="531">
        <v>1500</v>
      </c>
      <c r="I383" s="531">
        <v>500</v>
      </c>
      <c r="J383" s="531">
        <v>0</v>
      </c>
      <c r="K383" s="532">
        <v>45573</v>
      </c>
      <c r="L383" s="532">
        <v>46333</v>
      </c>
      <c r="M383" s="530"/>
      <c r="N383" s="531">
        <v>3729.09</v>
      </c>
      <c r="O383" s="533">
        <f t="shared" si="15"/>
        <v>654</v>
      </c>
      <c r="P383" s="534">
        <f t="shared" si="16"/>
        <v>4.0273972602739724E-2</v>
      </c>
      <c r="Q383" s="534">
        <f t="shared" si="17"/>
        <v>26.339178082191779</v>
      </c>
    </row>
    <row r="384" spans="1:17" ht="15" customHeight="1" x14ac:dyDescent="0.25">
      <c r="A384" s="530" t="s">
        <v>1434</v>
      </c>
      <c r="B384" s="530" t="s">
        <v>1122</v>
      </c>
      <c r="C384" s="531">
        <v>783</v>
      </c>
      <c r="D384" s="530" t="s">
        <v>1435</v>
      </c>
      <c r="E384" s="530" t="s">
        <v>1436</v>
      </c>
      <c r="F384" s="531">
        <v>1718</v>
      </c>
      <c r="G384" s="530" t="s">
        <v>296</v>
      </c>
      <c r="H384" s="531">
        <v>1637</v>
      </c>
      <c r="I384" s="531">
        <v>500</v>
      </c>
      <c r="J384" s="531">
        <v>0</v>
      </c>
      <c r="K384" s="532">
        <v>45260</v>
      </c>
      <c r="L384" s="532">
        <v>46416</v>
      </c>
      <c r="M384" s="530"/>
      <c r="N384" s="531">
        <v>0</v>
      </c>
      <c r="O384" s="533">
        <f t="shared" si="15"/>
        <v>967</v>
      </c>
      <c r="P384" s="534">
        <f t="shared" si="16"/>
        <v>4.0273972602739724E-2</v>
      </c>
      <c r="Q384" s="534">
        <f t="shared" si="17"/>
        <v>38.944931506849315</v>
      </c>
    </row>
    <row r="385" spans="1:17" ht="15" customHeight="1" x14ac:dyDescent="0.25">
      <c r="A385" s="530" t="s">
        <v>1437</v>
      </c>
      <c r="B385" s="530" t="s">
        <v>1142</v>
      </c>
      <c r="C385" s="531">
        <v>690</v>
      </c>
      <c r="D385" s="530" t="s">
        <v>1438</v>
      </c>
      <c r="E385" s="530" t="s">
        <v>1439</v>
      </c>
      <c r="F385" s="531">
        <v>1554</v>
      </c>
      <c r="G385" s="530" t="s">
        <v>296</v>
      </c>
      <c r="H385" s="531">
        <v>1394</v>
      </c>
      <c r="I385" s="531">
        <v>300</v>
      </c>
      <c r="J385" s="531">
        <v>0</v>
      </c>
      <c r="K385" s="532">
        <v>44072</v>
      </c>
      <c r="L385" s="532">
        <v>46293</v>
      </c>
      <c r="M385" s="530"/>
      <c r="N385" s="531">
        <v>-315</v>
      </c>
      <c r="O385" s="533">
        <f t="shared" si="15"/>
        <v>2155</v>
      </c>
      <c r="P385" s="534">
        <f t="shared" si="16"/>
        <v>2.4164383561643837E-2</v>
      </c>
      <c r="Q385" s="534">
        <f t="shared" si="17"/>
        <v>52.074246575342471</v>
      </c>
    </row>
    <row r="386" spans="1:17" ht="15" customHeight="1" x14ac:dyDescent="0.25">
      <c r="A386" s="530" t="s">
        <v>1440</v>
      </c>
      <c r="B386" s="530" t="s">
        <v>1155</v>
      </c>
      <c r="C386" s="531">
        <v>1608</v>
      </c>
      <c r="D386" s="530" t="s">
        <v>1441</v>
      </c>
      <c r="E386" s="530" t="s">
        <v>1442</v>
      </c>
      <c r="F386" s="531">
        <v>3025</v>
      </c>
      <c r="G386" s="530" t="s">
        <v>296</v>
      </c>
      <c r="H386" s="531">
        <v>2298</v>
      </c>
      <c r="I386" s="531">
        <v>500</v>
      </c>
      <c r="J386" s="531">
        <v>0</v>
      </c>
      <c r="K386" s="532">
        <v>46087</v>
      </c>
      <c r="L386" s="532">
        <v>46543</v>
      </c>
      <c r="M386" s="530"/>
      <c r="N386" s="531">
        <v>0</v>
      </c>
      <c r="O386" s="533">
        <f t="shared" si="15"/>
        <v>140</v>
      </c>
      <c r="P386" s="534">
        <f t="shared" si="16"/>
        <v>4.0273972602739724E-2</v>
      </c>
      <c r="Q386" s="534">
        <f t="shared" si="17"/>
        <v>5.6383561643835618</v>
      </c>
    </row>
    <row r="387" spans="1:17" ht="15" customHeight="1" x14ac:dyDescent="0.25">
      <c r="A387" s="530" t="s">
        <v>1443</v>
      </c>
      <c r="B387" s="530" t="s">
        <v>1159</v>
      </c>
      <c r="C387" s="531">
        <v>803</v>
      </c>
      <c r="D387" s="530" t="s">
        <v>1444</v>
      </c>
      <c r="E387" s="530" t="s">
        <v>1445</v>
      </c>
      <c r="F387" s="531">
        <v>2134</v>
      </c>
      <c r="G387" s="530" t="s">
        <v>296</v>
      </c>
      <c r="H387" s="531">
        <v>1593</v>
      </c>
      <c r="I387" s="531">
        <v>500</v>
      </c>
      <c r="J387" s="531">
        <v>0</v>
      </c>
      <c r="K387" s="532">
        <v>45951</v>
      </c>
      <c r="L387" s="532">
        <v>46349</v>
      </c>
      <c r="M387" s="530"/>
      <c r="N387" s="531">
        <v>0</v>
      </c>
      <c r="O387" s="533">
        <f t="shared" si="15"/>
        <v>276</v>
      </c>
      <c r="P387" s="534">
        <f t="shared" si="16"/>
        <v>4.0273972602739724E-2</v>
      </c>
      <c r="Q387" s="534">
        <f t="shared" si="17"/>
        <v>11.115616438356163</v>
      </c>
    </row>
    <row r="388" spans="1:17" ht="15" customHeight="1" x14ac:dyDescent="0.25">
      <c r="A388" s="530" t="s">
        <v>14226</v>
      </c>
      <c r="B388" s="530" t="s">
        <v>1163</v>
      </c>
      <c r="C388" s="531">
        <v>1692</v>
      </c>
      <c r="D388" s="530" t="s">
        <v>14227</v>
      </c>
      <c r="E388" s="530" t="s">
        <v>14228</v>
      </c>
      <c r="F388" s="531">
        <v>3355</v>
      </c>
      <c r="G388" s="530" t="s">
        <v>331</v>
      </c>
      <c r="H388" s="531">
        <v>2863</v>
      </c>
      <c r="I388" s="531">
        <v>0</v>
      </c>
      <c r="J388" s="531">
        <v>0</v>
      </c>
      <c r="K388" s="532">
        <v>46202</v>
      </c>
      <c r="L388" s="532">
        <v>46568</v>
      </c>
      <c r="M388" s="530"/>
      <c r="N388" s="531">
        <v>3110.53</v>
      </c>
      <c r="O388" s="533">
        <f t="shared" si="15"/>
        <v>25</v>
      </c>
      <c r="P388" s="534">
        <f t="shared" si="16"/>
        <v>0</v>
      </c>
      <c r="Q388" s="534">
        <f t="shared" si="17"/>
        <v>0</v>
      </c>
    </row>
    <row r="389" spans="1:17" ht="15" customHeight="1" x14ac:dyDescent="0.25">
      <c r="A389" s="530" t="s">
        <v>1446</v>
      </c>
      <c r="B389" s="530" t="s">
        <v>1171</v>
      </c>
      <c r="C389" s="531">
        <v>730</v>
      </c>
      <c r="D389" s="530" t="s">
        <v>1447</v>
      </c>
      <c r="E389" s="530" t="s">
        <v>1448</v>
      </c>
      <c r="F389" s="531">
        <v>1688</v>
      </c>
      <c r="G389" s="530" t="s">
        <v>296</v>
      </c>
      <c r="H389" s="531">
        <v>1660</v>
      </c>
      <c r="I389" s="531">
        <v>500</v>
      </c>
      <c r="J389" s="531">
        <v>0</v>
      </c>
      <c r="K389" s="532">
        <v>46144</v>
      </c>
      <c r="L389" s="532">
        <v>46508</v>
      </c>
      <c r="M389" s="530"/>
      <c r="N389" s="531">
        <v>0</v>
      </c>
      <c r="O389" s="533">
        <f t="shared" si="15"/>
        <v>83</v>
      </c>
      <c r="P389" s="534">
        <f t="shared" si="16"/>
        <v>4.0273972602739724E-2</v>
      </c>
      <c r="Q389" s="534">
        <f t="shared" si="17"/>
        <v>3.3427397260273972</v>
      </c>
    </row>
    <row r="390" spans="1:17" ht="15" customHeight="1" x14ac:dyDescent="0.25">
      <c r="A390" s="530" t="s">
        <v>14229</v>
      </c>
      <c r="B390" s="530" t="s">
        <v>1171</v>
      </c>
      <c r="C390" s="531">
        <v>730</v>
      </c>
      <c r="D390" s="530" t="s">
        <v>14230</v>
      </c>
      <c r="E390" s="530" t="s">
        <v>14231</v>
      </c>
      <c r="F390" s="531">
        <v>1688</v>
      </c>
      <c r="G390" s="530" t="s">
        <v>296</v>
      </c>
      <c r="H390" s="531">
        <v>1553</v>
      </c>
      <c r="I390" s="531">
        <v>0</v>
      </c>
      <c r="J390" s="531">
        <v>0</v>
      </c>
      <c r="K390" s="532">
        <v>46204</v>
      </c>
      <c r="L390" s="532">
        <v>46601</v>
      </c>
      <c r="M390" s="532">
        <v>46248</v>
      </c>
      <c r="N390" s="531">
        <v>0</v>
      </c>
      <c r="O390" s="533">
        <f t="shared" si="15"/>
        <v>23</v>
      </c>
      <c r="P390" s="534">
        <f t="shared" si="16"/>
        <v>0</v>
      </c>
      <c r="Q390" s="534">
        <f t="shared" si="17"/>
        <v>0</v>
      </c>
    </row>
    <row r="391" spans="1:17" ht="15" customHeight="1" x14ac:dyDescent="0.25">
      <c r="A391" s="530" t="s">
        <v>1449</v>
      </c>
      <c r="B391" s="530" t="s">
        <v>1098</v>
      </c>
      <c r="C391" s="531">
        <v>852</v>
      </c>
      <c r="D391" s="530" t="s">
        <v>1450</v>
      </c>
      <c r="E391" s="530" t="s">
        <v>1451</v>
      </c>
      <c r="F391" s="531">
        <v>1815</v>
      </c>
      <c r="G391" s="530" t="s">
        <v>296</v>
      </c>
      <c r="H391" s="531">
        <v>1851</v>
      </c>
      <c r="I391" s="531">
        <v>500</v>
      </c>
      <c r="J391" s="531">
        <v>0</v>
      </c>
      <c r="K391" s="532">
        <v>46088</v>
      </c>
      <c r="L391" s="532">
        <v>46483</v>
      </c>
      <c r="M391" s="530"/>
      <c r="N391" s="531">
        <v>0</v>
      </c>
      <c r="O391" s="533">
        <f t="shared" si="15"/>
        <v>139</v>
      </c>
      <c r="P391" s="534">
        <f t="shared" si="16"/>
        <v>4.0273972602739724E-2</v>
      </c>
      <c r="Q391" s="534">
        <f t="shared" si="17"/>
        <v>5.5980821917808221</v>
      </c>
    </row>
    <row r="392" spans="1:17" ht="15" customHeight="1" x14ac:dyDescent="0.25">
      <c r="A392" s="530" t="s">
        <v>1452</v>
      </c>
      <c r="B392" s="530" t="s">
        <v>1309</v>
      </c>
      <c r="C392" s="531">
        <v>670</v>
      </c>
      <c r="D392" s="530" t="s">
        <v>1453</v>
      </c>
      <c r="E392" s="530" t="s">
        <v>1454</v>
      </c>
      <c r="F392" s="531">
        <v>1742</v>
      </c>
      <c r="G392" s="530" t="s">
        <v>296</v>
      </c>
      <c r="H392" s="531">
        <v>1550</v>
      </c>
      <c r="I392" s="531">
        <v>500</v>
      </c>
      <c r="J392" s="531">
        <v>0</v>
      </c>
      <c r="K392" s="532">
        <v>44985</v>
      </c>
      <c r="L392" s="532">
        <v>46445</v>
      </c>
      <c r="M392" s="530"/>
      <c r="N392" s="531">
        <v>0</v>
      </c>
      <c r="O392" s="533">
        <f t="shared" si="15"/>
        <v>1242</v>
      </c>
      <c r="P392" s="534">
        <f t="shared" si="16"/>
        <v>4.0273972602739724E-2</v>
      </c>
      <c r="Q392" s="534">
        <f t="shared" si="17"/>
        <v>50.020273972602737</v>
      </c>
    </row>
    <row r="393" spans="1:17" ht="15" customHeight="1" x14ac:dyDescent="0.25">
      <c r="A393" s="530" t="s">
        <v>1455</v>
      </c>
      <c r="B393" s="530" t="s">
        <v>1171</v>
      </c>
      <c r="C393" s="531">
        <v>730</v>
      </c>
      <c r="D393" s="530" t="s">
        <v>1456</v>
      </c>
      <c r="E393" s="530" t="s">
        <v>1457</v>
      </c>
      <c r="F393" s="531">
        <v>1768</v>
      </c>
      <c r="G393" s="530" t="s">
        <v>296</v>
      </c>
      <c r="H393" s="531">
        <v>1644</v>
      </c>
      <c r="I393" s="531">
        <v>500</v>
      </c>
      <c r="J393" s="531">
        <v>0</v>
      </c>
      <c r="K393" s="532">
        <v>44723</v>
      </c>
      <c r="L393" s="532">
        <v>46282</v>
      </c>
      <c r="M393" s="532">
        <v>46282</v>
      </c>
      <c r="N393" s="531">
        <v>0</v>
      </c>
      <c r="O393" s="533">
        <f t="shared" si="15"/>
        <v>1504</v>
      </c>
      <c r="P393" s="534">
        <f t="shared" si="16"/>
        <v>4.0273972602739724E-2</v>
      </c>
      <c r="Q393" s="534">
        <f t="shared" si="17"/>
        <v>60.572054794520547</v>
      </c>
    </row>
    <row r="394" spans="1:17" ht="15" customHeight="1" x14ac:dyDescent="0.25">
      <c r="A394" s="530" t="s">
        <v>1458</v>
      </c>
      <c r="B394" s="530" t="s">
        <v>1098</v>
      </c>
      <c r="C394" s="531">
        <v>852</v>
      </c>
      <c r="D394" s="530" t="s">
        <v>1459</v>
      </c>
      <c r="E394" s="530" t="s">
        <v>1460</v>
      </c>
      <c r="F394" s="531">
        <v>1815</v>
      </c>
      <c r="G394" s="530" t="s">
        <v>296</v>
      </c>
      <c r="H394" s="531">
        <v>1547</v>
      </c>
      <c r="I394" s="531">
        <v>2739.29</v>
      </c>
      <c r="J394" s="531">
        <v>0</v>
      </c>
      <c r="K394" s="532">
        <v>45688</v>
      </c>
      <c r="L394" s="532">
        <v>46484</v>
      </c>
      <c r="M394" s="530"/>
      <c r="N394" s="531">
        <v>0</v>
      </c>
      <c r="O394" s="533">
        <f t="shared" ref="O394:O456" si="18">(+$G$3-K394 )</f>
        <v>539</v>
      </c>
      <c r="P394" s="534">
        <f t="shared" ref="P394:P456" si="19">(+I394*$G$5)/365</f>
        <v>0.22064418082191778</v>
      </c>
      <c r="Q394" s="534">
        <f t="shared" ref="Q394:Q456" si="20">O394*P394</f>
        <v>118.92721346301369</v>
      </c>
    </row>
    <row r="395" spans="1:17" ht="15" customHeight="1" x14ac:dyDescent="0.25">
      <c r="A395" s="530" t="s">
        <v>1461</v>
      </c>
      <c r="B395" s="530" t="s">
        <v>1132</v>
      </c>
      <c r="C395" s="531">
        <v>795</v>
      </c>
      <c r="D395" s="530" t="s">
        <v>1462</v>
      </c>
      <c r="E395" s="530" t="s">
        <v>1463</v>
      </c>
      <c r="F395" s="531">
        <v>1615</v>
      </c>
      <c r="G395" s="530" t="s">
        <v>296</v>
      </c>
      <c r="H395" s="531">
        <v>1801</v>
      </c>
      <c r="I395" s="531">
        <v>0</v>
      </c>
      <c r="J395" s="531">
        <v>0</v>
      </c>
      <c r="K395" s="532">
        <v>43753</v>
      </c>
      <c r="L395" s="532">
        <v>46370</v>
      </c>
      <c r="M395" s="530"/>
      <c r="N395" s="531">
        <v>0</v>
      </c>
      <c r="O395" s="533">
        <f t="shared" si="18"/>
        <v>2474</v>
      </c>
      <c r="P395" s="534">
        <f t="shared" si="19"/>
        <v>0</v>
      </c>
      <c r="Q395" s="534">
        <f t="shared" si="20"/>
        <v>0</v>
      </c>
    </row>
    <row r="396" spans="1:17" ht="15" customHeight="1" x14ac:dyDescent="0.25">
      <c r="A396" s="530" t="s">
        <v>1464</v>
      </c>
      <c r="B396" s="530" t="s">
        <v>1142</v>
      </c>
      <c r="C396" s="531">
        <v>690</v>
      </c>
      <c r="D396" s="530" t="s">
        <v>1465</v>
      </c>
      <c r="E396" s="530" t="s">
        <v>1466</v>
      </c>
      <c r="F396" s="531">
        <v>1634</v>
      </c>
      <c r="G396" s="530" t="s">
        <v>296</v>
      </c>
      <c r="H396" s="531">
        <v>1504</v>
      </c>
      <c r="I396" s="531">
        <v>500</v>
      </c>
      <c r="J396" s="531">
        <v>0</v>
      </c>
      <c r="K396" s="532">
        <v>45917</v>
      </c>
      <c r="L396" s="532">
        <v>46281</v>
      </c>
      <c r="M396" s="530"/>
      <c r="N396" s="531">
        <v>0</v>
      </c>
      <c r="O396" s="533">
        <f t="shared" si="18"/>
        <v>310</v>
      </c>
      <c r="P396" s="534">
        <f t="shared" si="19"/>
        <v>4.0273972602739724E-2</v>
      </c>
      <c r="Q396" s="534">
        <f t="shared" si="20"/>
        <v>12.484931506849314</v>
      </c>
    </row>
    <row r="397" spans="1:17" ht="15" customHeight="1" x14ac:dyDescent="0.25">
      <c r="A397" s="530" t="s">
        <v>1467</v>
      </c>
      <c r="B397" s="530" t="s">
        <v>1142</v>
      </c>
      <c r="C397" s="531">
        <v>690</v>
      </c>
      <c r="D397" s="530" t="s">
        <v>1468</v>
      </c>
      <c r="E397" s="530" t="s">
        <v>1469</v>
      </c>
      <c r="F397" s="531">
        <v>1554</v>
      </c>
      <c r="G397" s="530" t="s">
        <v>296</v>
      </c>
      <c r="H397" s="531">
        <v>1690</v>
      </c>
      <c r="I397" s="531">
        <v>500</v>
      </c>
      <c r="J397" s="531">
        <v>0</v>
      </c>
      <c r="K397" s="532">
        <v>46113</v>
      </c>
      <c r="L397" s="532">
        <v>46507</v>
      </c>
      <c r="M397" s="530"/>
      <c r="N397" s="531">
        <v>0</v>
      </c>
      <c r="O397" s="533">
        <f t="shared" si="18"/>
        <v>114</v>
      </c>
      <c r="P397" s="534">
        <f t="shared" si="19"/>
        <v>4.0273972602739724E-2</v>
      </c>
      <c r="Q397" s="534">
        <f t="shared" si="20"/>
        <v>4.5912328767123283</v>
      </c>
    </row>
    <row r="398" spans="1:17" ht="15" customHeight="1" x14ac:dyDescent="0.25">
      <c r="A398" s="530" t="s">
        <v>1470</v>
      </c>
      <c r="B398" s="530" t="s">
        <v>1171</v>
      </c>
      <c r="C398" s="531">
        <v>730</v>
      </c>
      <c r="D398" s="530" t="s">
        <v>1471</v>
      </c>
      <c r="E398" s="530" t="s">
        <v>1472</v>
      </c>
      <c r="F398" s="531">
        <v>1688</v>
      </c>
      <c r="G398" s="530" t="s">
        <v>296</v>
      </c>
      <c r="H398" s="531">
        <v>1745</v>
      </c>
      <c r="I398" s="531">
        <v>500</v>
      </c>
      <c r="J398" s="531">
        <v>0</v>
      </c>
      <c r="K398" s="532">
        <v>45488</v>
      </c>
      <c r="L398" s="532">
        <v>46582</v>
      </c>
      <c r="M398" s="530"/>
      <c r="N398" s="531">
        <v>0</v>
      </c>
      <c r="O398" s="533">
        <f t="shared" si="18"/>
        <v>739</v>
      </c>
      <c r="P398" s="534">
        <f t="shared" si="19"/>
        <v>4.0273972602739724E-2</v>
      </c>
      <c r="Q398" s="534">
        <f t="shared" si="20"/>
        <v>29.762465753424657</v>
      </c>
    </row>
    <row r="399" spans="1:17" ht="15" customHeight="1" x14ac:dyDescent="0.25">
      <c r="A399" s="530" t="s">
        <v>1473</v>
      </c>
      <c r="B399" s="530" t="s">
        <v>1098</v>
      </c>
      <c r="C399" s="531">
        <v>852</v>
      </c>
      <c r="D399" s="530" t="s">
        <v>1474</v>
      </c>
      <c r="E399" s="530" t="s">
        <v>1475</v>
      </c>
      <c r="F399" s="531">
        <v>1895</v>
      </c>
      <c r="G399" s="530" t="s">
        <v>296</v>
      </c>
      <c r="H399" s="531">
        <v>1590</v>
      </c>
      <c r="I399" s="531">
        <v>500</v>
      </c>
      <c r="J399" s="531">
        <v>0</v>
      </c>
      <c r="K399" s="532">
        <v>45911</v>
      </c>
      <c r="L399" s="532">
        <v>46366</v>
      </c>
      <c r="M399" s="530"/>
      <c r="N399" s="531">
        <v>0</v>
      </c>
      <c r="O399" s="533">
        <f t="shared" si="18"/>
        <v>316</v>
      </c>
      <c r="P399" s="534">
        <f t="shared" si="19"/>
        <v>4.0273972602739724E-2</v>
      </c>
      <c r="Q399" s="534">
        <f t="shared" si="20"/>
        <v>12.726575342465752</v>
      </c>
    </row>
    <row r="400" spans="1:17" ht="15" customHeight="1" x14ac:dyDescent="0.25">
      <c r="A400" s="530" t="s">
        <v>1476</v>
      </c>
      <c r="B400" s="530" t="s">
        <v>1091</v>
      </c>
      <c r="C400" s="531">
        <v>1164</v>
      </c>
      <c r="D400" s="530" t="s">
        <v>1477</v>
      </c>
      <c r="E400" s="530" t="s">
        <v>1478</v>
      </c>
      <c r="F400" s="531">
        <v>3038</v>
      </c>
      <c r="G400" s="530" t="s">
        <v>296</v>
      </c>
      <c r="H400" s="531">
        <v>2099</v>
      </c>
      <c r="I400" s="531">
        <v>0</v>
      </c>
      <c r="J400" s="531">
        <v>0</v>
      </c>
      <c r="K400" s="532">
        <v>46179</v>
      </c>
      <c r="L400" s="532">
        <v>46545</v>
      </c>
      <c r="M400" s="530"/>
      <c r="N400" s="531">
        <v>0</v>
      </c>
      <c r="O400" s="533">
        <f t="shared" si="18"/>
        <v>48</v>
      </c>
      <c r="P400" s="534">
        <f t="shared" si="19"/>
        <v>0</v>
      </c>
      <c r="Q400" s="534">
        <f t="shared" si="20"/>
        <v>0</v>
      </c>
    </row>
    <row r="401" spans="1:17" ht="15" customHeight="1" x14ac:dyDescent="0.25">
      <c r="A401" s="530" t="s">
        <v>1479</v>
      </c>
      <c r="B401" s="530" t="s">
        <v>1098</v>
      </c>
      <c r="C401" s="531">
        <v>852</v>
      </c>
      <c r="D401" s="530" t="s">
        <v>1480</v>
      </c>
      <c r="E401" s="530" t="s">
        <v>1481</v>
      </c>
      <c r="F401" s="531">
        <v>1815</v>
      </c>
      <c r="G401" s="530" t="s">
        <v>296</v>
      </c>
      <c r="H401" s="531">
        <v>1547</v>
      </c>
      <c r="I401" s="531">
        <v>500</v>
      </c>
      <c r="J401" s="531">
        <v>0</v>
      </c>
      <c r="K401" s="532">
        <v>45633</v>
      </c>
      <c r="L401" s="532">
        <v>46362</v>
      </c>
      <c r="M401" s="530"/>
      <c r="N401" s="531">
        <v>0</v>
      </c>
      <c r="O401" s="533">
        <f t="shared" si="18"/>
        <v>594</v>
      </c>
      <c r="P401" s="534">
        <f t="shared" si="19"/>
        <v>4.0273972602739724E-2</v>
      </c>
      <c r="Q401" s="534">
        <f t="shared" si="20"/>
        <v>23.922739726027395</v>
      </c>
    </row>
    <row r="402" spans="1:17" ht="15" customHeight="1" x14ac:dyDescent="0.25">
      <c r="A402" s="530" t="s">
        <v>1482</v>
      </c>
      <c r="B402" s="530" t="s">
        <v>1210</v>
      </c>
      <c r="C402" s="531">
        <v>664</v>
      </c>
      <c r="D402" s="530" t="s">
        <v>1483</v>
      </c>
      <c r="E402" s="530" t="s">
        <v>1484</v>
      </c>
      <c r="F402" s="531">
        <v>1528</v>
      </c>
      <c r="G402" s="530" t="s">
        <v>296</v>
      </c>
      <c r="H402" s="531">
        <v>1522</v>
      </c>
      <c r="I402" s="531">
        <v>500</v>
      </c>
      <c r="J402" s="531">
        <v>0</v>
      </c>
      <c r="K402" s="532">
        <v>45325</v>
      </c>
      <c r="L402" s="532">
        <v>46485</v>
      </c>
      <c r="M402" s="530"/>
      <c r="N402" s="531">
        <v>0</v>
      </c>
      <c r="O402" s="533">
        <f t="shared" si="18"/>
        <v>902</v>
      </c>
      <c r="P402" s="534">
        <f t="shared" si="19"/>
        <v>4.0273972602739724E-2</v>
      </c>
      <c r="Q402" s="534">
        <f t="shared" si="20"/>
        <v>36.327123287671235</v>
      </c>
    </row>
    <row r="403" spans="1:17" ht="15" customHeight="1" x14ac:dyDescent="0.25">
      <c r="A403" s="530" t="s">
        <v>1485</v>
      </c>
      <c r="B403" s="530" t="s">
        <v>1206</v>
      </c>
      <c r="C403" s="531">
        <v>1117</v>
      </c>
      <c r="D403" s="530" t="s">
        <v>1486</v>
      </c>
      <c r="E403" s="530" t="s">
        <v>1487</v>
      </c>
      <c r="F403" s="531">
        <v>2464</v>
      </c>
      <c r="G403" s="530" t="s">
        <v>296</v>
      </c>
      <c r="H403" s="531">
        <v>2106</v>
      </c>
      <c r="I403" s="531">
        <v>0</v>
      </c>
      <c r="J403" s="531">
        <v>0</v>
      </c>
      <c r="K403" s="532">
        <v>46143</v>
      </c>
      <c r="L403" s="532">
        <v>46387</v>
      </c>
      <c r="M403" s="530"/>
      <c r="N403" s="531">
        <v>0</v>
      </c>
      <c r="O403" s="533">
        <f t="shared" si="18"/>
        <v>84</v>
      </c>
      <c r="P403" s="534">
        <f t="shared" si="19"/>
        <v>0</v>
      </c>
      <c r="Q403" s="534">
        <f t="shared" si="20"/>
        <v>0</v>
      </c>
    </row>
    <row r="404" spans="1:17" ht="15" customHeight="1" x14ac:dyDescent="0.25">
      <c r="A404" s="530" t="s">
        <v>1488</v>
      </c>
      <c r="B404" s="530" t="s">
        <v>1210</v>
      </c>
      <c r="C404" s="531">
        <v>664</v>
      </c>
      <c r="D404" s="530" t="s">
        <v>1489</v>
      </c>
      <c r="E404" s="530" t="s">
        <v>1490</v>
      </c>
      <c r="F404" s="531">
        <v>1528</v>
      </c>
      <c r="G404" s="530" t="s">
        <v>296</v>
      </c>
      <c r="H404" s="531">
        <v>1572</v>
      </c>
      <c r="I404" s="531">
        <v>300</v>
      </c>
      <c r="J404" s="531">
        <v>0</v>
      </c>
      <c r="K404" s="532">
        <v>44373</v>
      </c>
      <c r="L404" s="532">
        <v>46228</v>
      </c>
      <c r="M404" s="530"/>
      <c r="N404" s="531">
        <v>0</v>
      </c>
      <c r="O404" s="533">
        <f t="shared" si="18"/>
        <v>1854</v>
      </c>
      <c r="P404" s="534">
        <f t="shared" si="19"/>
        <v>2.4164383561643837E-2</v>
      </c>
      <c r="Q404" s="534">
        <f t="shared" si="20"/>
        <v>44.80076712328767</v>
      </c>
    </row>
    <row r="405" spans="1:17" ht="15" customHeight="1" x14ac:dyDescent="0.25">
      <c r="A405" s="530" t="s">
        <v>1491</v>
      </c>
      <c r="B405" s="530" t="s">
        <v>1210</v>
      </c>
      <c r="C405" s="531">
        <v>664</v>
      </c>
      <c r="D405" s="530" t="s">
        <v>1492</v>
      </c>
      <c r="E405" s="530" t="s">
        <v>1493</v>
      </c>
      <c r="F405" s="531">
        <v>1528</v>
      </c>
      <c r="G405" s="530" t="s">
        <v>296</v>
      </c>
      <c r="H405" s="531">
        <v>1335</v>
      </c>
      <c r="I405" s="531">
        <v>500</v>
      </c>
      <c r="J405" s="531">
        <v>0</v>
      </c>
      <c r="K405" s="532">
        <v>45061</v>
      </c>
      <c r="L405" s="532">
        <v>46248</v>
      </c>
      <c r="M405" s="530"/>
      <c r="N405" s="531">
        <v>0</v>
      </c>
      <c r="O405" s="533">
        <f t="shared" si="18"/>
        <v>1166</v>
      </c>
      <c r="P405" s="534">
        <f t="shared" si="19"/>
        <v>4.0273972602739724E-2</v>
      </c>
      <c r="Q405" s="534">
        <f t="shared" si="20"/>
        <v>46.959452054794518</v>
      </c>
    </row>
    <row r="406" spans="1:17" ht="15" customHeight="1" x14ac:dyDescent="0.25">
      <c r="A406" s="530" t="s">
        <v>1494</v>
      </c>
      <c r="B406" s="530" t="s">
        <v>1217</v>
      </c>
      <c r="C406" s="531">
        <v>825</v>
      </c>
      <c r="D406" s="530" t="s">
        <v>1495</v>
      </c>
      <c r="E406" s="530" t="s">
        <v>1496</v>
      </c>
      <c r="F406" s="531">
        <v>1774</v>
      </c>
      <c r="G406" s="530" t="s">
        <v>331</v>
      </c>
      <c r="H406" s="531">
        <v>1698</v>
      </c>
      <c r="I406" s="531">
        <v>500</v>
      </c>
      <c r="J406" s="531">
        <v>0</v>
      </c>
      <c r="K406" s="532">
        <v>45777</v>
      </c>
      <c r="L406" s="532">
        <v>46538</v>
      </c>
      <c r="M406" s="530"/>
      <c r="N406" s="531">
        <v>0</v>
      </c>
      <c r="O406" s="533">
        <f t="shared" si="18"/>
        <v>450</v>
      </c>
      <c r="P406" s="534">
        <f t="shared" si="19"/>
        <v>4.0273972602739724E-2</v>
      </c>
      <c r="Q406" s="534">
        <f t="shared" si="20"/>
        <v>18.123287671232877</v>
      </c>
    </row>
    <row r="407" spans="1:17" ht="15" customHeight="1" x14ac:dyDescent="0.25">
      <c r="A407" s="530" t="s">
        <v>14232</v>
      </c>
      <c r="B407" s="530" t="s">
        <v>1221</v>
      </c>
      <c r="C407" s="531">
        <v>1420</v>
      </c>
      <c r="D407" s="530" t="s">
        <v>14233</v>
      </c>
      <c r="E407" s="530" t="s">
        <v>14234</v>
      </c>
      <c r="F407" s="531">
        <v>2857</v>
      </c>
      <c r="G407" s="530" t="s">
        <v>331</v>
      </c>
      <c r="H407" s="531">
        <v>2394</v>
      </c>
      <c r="I407" s="531">
        <v>0</v>
      </c>
      <c r="J407" s="531">
        <v>0</v>
      </c>
      <c r="K407" s="532">
        <v>46204</v>
      </c>
      <c r="L407" s="532">
        <v>46599</v>
      </c>
      <c r="M407" s="530"/>
      <c r="N407" s="531">
        <v>2394</v>
      </c>
      <c r="O407" s="533">
        <f t="shared" si="18"/>
        <v>23</v>
      </c>
      <c r="P407" s="534">
        <f t="shared" si="19"/>
        <v>0</v>
      </c>
      <c r="Q407" s="534">
        <f t="shared" si="20"/>
        <v>0</v>
      </c>
    </row>
    <row r="408" spans="1:17" ht="15" customHeight="1" x14ac:dyDescent="0.25">
      <c r="A408" s="530" t="s">
        <v>1497</v>
      </c>
      <c r="B408" s="530" t="s">
        <v>1221</v>
      </c>
      <c r="C408" s="531">
        <v>1420</v>
      </c>
      <c r="D408" s="530" t="s">
        <v>1498</v>
      </c>
      <c r="E408" s="530" t="s">
        <v>1499</v>
      </c>
      <c r="F408" s="531">
        <v>3002</v>
      </c>
      <c r="G408" s="530" t="s">
        <v>296</v>
      </c>
      <c r="H408" s="531">
        <v>2887</v>
      </c>
      <c r="I408" s="531">
        <v>0</v>
      </c>
      <c r="J408" s="531">
        <v>0</v>
      </c>
      <c r="K408" s="532">
        <v>46185</v>
      </c>
      <c r="L408" s="532">
        <v>46552</v>
      </c>
      <c r="M408" s="530"/>
      <c r="N408" s="531">
        <v>0</v>
      </c>
      <c r="O408" s="533">
        <f t="shared" si="18"/>
        <v>42</v>
      </c>
      <c r="P408" s="534">
        <f t="shared" si="19"/>
        <v>0</v>
      </c>
      <c r="Q408" s="534">
        <f t="shared" si="20"/>
        <v>0</v>
      </c>
    </row>
    <row r="409" spans="1:17" ht="15" customHeight="1" x14ac:dyDescent="0.25">
      <c r="A409" s="530" t="s">
        <v>1500</v>
      </c>
      <c r="B409" s="530" t="s">
        <v>1228</v>
      </c>
      <c r="C409" s="531">
        <v>1491</v>
      </c>
      <c r="D409" s="530" t="s">
        <v>1501</v>
      </c>
      <c r="E409" s="530" t="s">
        <v>1502</v>
      </c>
      <c r="F409" s="531">
        <v>3175</v>
      </c>
      <c r="G409" s="530" t="s">
        <v>296</v>
      </c>
      <c r="H409" s="531">
        <v>2939</v>
      </c>
      <c r="I409" s="531">
        <v>500</v>
      </c>
      <c r="J409" s="531">
        <v>0</v>
      </c>
      <c r="K409" s="532">
        <v>45688</v>
      </c>
      <c r="L409" s="532">
        <v>46507</v>
      </c>
      <c r="M409" s="530"/>
      <c r="N409" s="531">
        <v>0</v>
      </c>
      <c r="O409" s="533">
        <f t="shared" si="18"/>
        <v>539</v>
      </c>
      <c r="P409" s="534">
        <f t="shared" si="19"/>
        <v>4.0273972602739724E-2</v>
      </c>
      <c r="Q409" s="534">
        <f t="shared" si="20"/>
        <v>21.707671232876713</v>
      </c>
    </row>
    <row r="410" spans="1:17" ht="15" customHeight="1" x14ac:dyDescent="0.25">
      <c r="A410" s="530" t="s">
        <v>1503</v>
      </c>
      <c r="B410" s="530" t="s">
        <v>1367</v>
      </c>
      <c r="C410" s="531">
        <v>825</v>
      </c>
      <c r="D410" s="530" t="s">
        <v>1504</v>
      </c>
      <c r="E410" s="530" t="s">
        <v>1505</v>
      </c>
      <c r="F410" s="531">
        <v>2046</v>
      </c>
      <c r="G410" s="530" t="s">
        <v>296</v>
      </c>
      <c r="H410" s="531">
        <v>1660</v>
      </c>
      <c r="I410" s="531">
        <v>500</v>
      </c>
      <c r="J410" s="531">
        <v>0</v>
      </c>
      <c r="K410" s="532">
        <v>45148</v>
      </c>
      <c r="L410" s="532">
        <v>46243</v>
      </c>
      <c r="M410" s="530"/>
      <c r="N410" s="531">
        <v>0</v>
      </c>
      <c r="O410" s="533">
        <f t="shared" si="18"/>
        <v>1079</v>
      </c>
      <c r="P410" s="534">
        <f t="shared" si="19"/>
        <v>4.0273972602739724E-2</v>
      </c>
      <c r="Q410" s="534">
        <f t="shared" si="20"/>
        <v>43.455616438356159</v>
      </c>
    </row>
    <row r="411" spans="1:17" ht="15" customHeight="1" x14ac:dyDescent="0.25">
      <c r="A411" s="530" t="s">
        <v>1506</v>
      </c>
      <c r="B411" s="530" t="s">
        <v>1234</v>
      </c>
      <c r="C411" s="531">
        <v>864</v>
      </c>
      <c r="D411" s="530" t="s">
        <v>1507</v>
      </c>
      <c r="E411" s="530" t="s">
        <v>1508</v>
      </c>
      <c r="F411" s="531">
        <v>1906</v>
      </c>
      <c r="G411" s="530" t="s">
        <v>296</v>
      </c>
      <c r="H411" s="531">
        <v>1742</v>
      </c>
      <c r="I411" s="531">
        <v>500</v>
      </c>
      <c r="J411" s="531">
        <v>0</v>
      </c>
      <c r="K411" s="532">
        <v>45665</v>
      </c>
      <c r="L411" s="532">
        <v>46394</v>
      </c>
      <c r="M411" s="530"/>
      <c r="N411" s="531">
        <v>0</v>
      </c>
      <c r="O411" s="533">
        <f t="shared" si="18"/>
        <v>562</v>
      </c>
      <c r="P411" s="534">
        <f t="shared" si="19"/>
        <v>4.0273972602739724E-2</v>
      </c>
      <c r="Q411" s="534">
        <f t="shared" si="20"/>
        <v>22.633972602739725</v>
      </c>
    </row>
    <row r="412" spans="1:17" ht="15" customHeight="1" x14ac:dyDescent="0.25">
      <c r="A412" s="530" t="s">
        <v>1509</v>
      </c>
      <c r="B412" s="530" t="s">
        <v>1098</v>
      </c>
      <c r="C412" s="531">
        <v>852</v>
      </c>
      <c r="D412" s="530" t="s">
        <v>1510</v>
      </c>
      <c r="E412" s="530" t="s">
        <v>1511</v>
      </c>
      <c r="F412" s="531">
        <v>1890</v>
      </c>
      <c r="G412" s="530" t="s">
        <v>296</v>
      </c>
      <c r="H412" s="531">
        <v>1712</v>
      </c>
      <c r="I412" s="531">
        <v>500</v>
      </c>
      <c r="J412" s="531">
        <v>0</v>
      </c>
      <c r="K412" s="532">
        <v>45738</v>
      </c>
      <c r="L412" s="532">
        <v>46467</v>
      </c>
      <c r="M412" s="530"/>
      <c r="N412" s="531">
        <v>0</v>
      </c>
      <c r="O412" s="533">
        <f t="shared" si="18"/>
        <v>489</v>
      </c>
      <c r="P412" s="534">
        <f t="shared" si="19"/>
        <v>4.0273972602739724E-2</v>
      </c>
      <c r="Q412" s="534">
        <f t="shared" si="20"/>
        <v>19.693972602739723</v>
      </c>
    </row>
    <row r="413" spans="1:17" ht="15" customHeight="1" x14ac:dyDescent="0.25">
      <c r="A413" s="530" t="s">
        <v>1512</v>
      </c>
      <c r="B413" s="530" t="s">
        <v>1367</v>
      </c>
      <c r="C413" s="531">
        <v>825</v>
      </c>
      <c r="D413" s="530" t="s">
        <v>1513</v>
      </c>
      <c r="E413" s="530" t="s">
        <v>1514</v>
      </c>
      <c r="F413" s="531">
        <v>1966</v>
      </c>
      <c r="G413" s="530" t="s">
        <v>296</v>
      </c>
      <c r="H413" s="531">
        <v>1450</v>
      </c>
      <c r="I413" s="531">
        <v>500</v>
      </c>
      <c r="J413" s="531">
        <v>0</v>
      </c>
      <c r="K413" s="532">
        <v>45072</v>
      </c>
      <c r="L413" s="532">
        <v>46259</v>
      </c>
      <c r="M413" s="530"/>
      <c r="N413" s="531">
        <v>0</v>
      </c>
      <c r="O413" s="533">
        <f t="shared" si="18"/>
        <v>1155</v>
      </c>
      <c r="P413" s="534">
        <f t="shared" si="19"/>
        <v>4.0273972602739724E-2</v>
      </c>
      <c r="Q413" s="534">
        <f t="shared" si="20"/>
        <v>46.516438356164379</v>
      </c>
    </row>
    <row r="414" spans="1:17" ht="15" customHeight="1" x14ac:dyDescent="0.25">
      <c r="A414" s="530" t="s">
        <v>1515</v>
      </c>
      <c r="B414" s="530" t="s">
        <v>1087</v>
      </c>
      <c r="C414" s="531">
        <v>1257</v>
      </c>
      <c r="D414" s="530" t="s">
        <v>1516</v>
      </c>
      <c r="E414" s="530" t="s">
        <v>1517</v>
      </c>
      <c r="F414" s="531">
        <v>2659</v>
      </c>
      <c r="G414" s="530" t="s">
        <v>296</v>
      </c>
      <c r="H414" s="531">
        <v>2217</v>
      </c>
      <c r="I414" s="531">
        <v>500</v>
      </c>
      <c r="J414" s="531">
        <v>0</v>
      </c>
      <c r="K414" s="532">
        <v>45528</v>
      </c>
      <c r="L414" s="532">
        <v>46257</v>
      </c>
      <c r="M414" s="532">
        <v>46257</v>
      </c>
      <c r="N414" s="531">
        <v>0</v>
      </c>
      <c r="O414" s="533">
        <f t="shared" si="18"/>
        <v>699</v>
      </c>
      <c r="P414" s="534">
        <f t="shared" si="19"/>
        <v>4.0273972602739724E-2</v>
      </c>
      <c r="Q414" s="534">
        <f t="shared" si="20"/>
        <v>28.151506849315066</v>
      </c>
    </row>
    <row r="415" spans="1:17" ht="15" customHeight="1" x14ac:dyDescent="0.25">
      <c r="A415" s="530" t="s">
        <v>1518</v>
      </c>
      <c r="B415" s="530" t="s">
        <v>1386</v>
      </c>
      <c r="C415" s="531">
        <v>1164</v>
      </c>
      <c r="D415" s="530" t="s">
        <v>1519</v>
      </c>
      <c r="E415" s="530" t="s">
        <v>1520</v>
      </c>
      <c r="F415" s="531">
        <v>1943</v>
      </c>
      <c r="G415" s="530" t="s">
        <v>296</v>
      </c>
      <c r="H415" s="531">
        <v>1740</v>
      </c>
      <c r="I415" s="531">
        <v>500</v>
      </c>
      <c r="J415" s="531">
        <v>0</v>
      </c>
      <c r="K415" s="532">
        <v>45075</v>
      </c>
      <c r="L415" s="532">
        <v>46231</v>
      </c>
      <c r="M415" s="530"/>
      <c r="N415" s="531">
        <v>0</v>
      </c>
      <c r="O415" s="533">
        <f t="shared" si="18"/>
        <v>1152</v>
      </c>
      <c r="P415" s="534">
        <f t="shared" si="19"/>
        <v>4.0273972602739724E-2</v>
      </c>
      <c r="Q415" s="534">
        <f t="shared" si="20"/>
        <v>46.395616438356164</v>
      </c>
    </row>
    <row r="416" spans="1:17" ht="15" customHeight="1" x14ac:dyDescent="0.25">
      <c r="A416" s="530" t="s">
        <v>1521</v>
      </c>
      <c r="B416" s="530" t="s">
        <v>1087</v>
      </c>
      <c r="C416" s="531">
        <v>1257</v>
      </c>
      <c r="D416" s="530" t="s">
        <v>1522</v>
      </c>
      <c r="E416" s="530" t="s">
        <v>1523</v>
      </c>
      <c r="F416" s="531">
        <v>2579</v>
      </c>
      <c r="G416" s="530" t="s">
        <v>296</v>
      </c>
      <c r="H416" s="531">
        <v>1939</v>
      </c>
      <c r="I416" s="531">
        <v>500</v>
      </c>
      <c r="J416" s="531">
        <v>0</v>
      </c>
      <c r="K416" s="532">
        <v>46066</v>
      </c>
      <c r="L416" s="532">
        <v>46519</v>
      </c>
      <c r="M416" s="530"/>
      <c r="N416" s="531">
        <v>0</v>
      </c>
      <c r="O416" s="533">
        <f t="shared" si="18"/>
        <v>161</v>
      </c>
      <c r="P416" s="534">
        <f t="shared" si="19"/>
        <v>4.0273972602739724E-2</v>
      </c>
      <c r="Q416" s="534">
        <f t="shared" si="20"/>
        <v>6.484109589041096</v>
      </c>
    </row>
    <row r="417" spans="1:17" ht="15" customHeight="1" x14ac:dyDescent="0.25">
      <c r="A417" s="530" t="s">
        <v>1524</v>
      </c>
      <c r="B417" s="530" t="s">
        <v>1091</v>
      </c>
      <c r="C417" s="531">
        <v>1164</v>
      </c>
      <c r="D417" s="530" t="s">
        <v>1525</v>
      </c>
      <c r="E417" s="530" t="s">
        <v>1526</v>
      </c>
      <c r="F417" s="531">
        <v>3193</v>
      </c>
      <c r="G417" s="530" t="s">
        <v>296</v>
      </c>
      <c r="H417" s="531">
        <v>2128</v>
      </c>
      <c r="I417" s="531">
        <v>500</v>
      </c>
      <c r="J417" s="531">
        <v>0</v>
      </c>
      <c r="K417" s="532">
        <v>45514</v>
      </c>
      <c r="L417" s="532">
        <v>46275</v>
      </c>
      <c r="M417" s="530"/>
      <c r="N417" s="531">
        <v>0</v>
      </c>
      <c r="O417" s="533">
        <f t="shared" si="18"/>
        <v>713</v>
      </c>
      <c r="P417" s="534">
        <f t="shared" si="19"/>
        <v>4.0273972602739724E-2</v>
      </c>
      <c r="Q417" s="534">
        <f t="shared" si="20"/>
        <v>28.715342465753423</v>
      </c>
    </row>
    <row r="418" spans="1:17" ht="15" customHeight="1" x14ac:dyDescent="0.25">
      <c r="A418" s="530" t="s">
        <v>1527</v>
      </c>
      <c r="B418" s="530" t="s">
        <v>1098</v>
      </c>
      <c r="C418" s="531">
        <v>852</v>
      </c>
      <c r="D418" s="530" t="s">
        <v>1528</v>
      </c>
      <c r="E418" s="530" t="s">
        <v>1529</v>
      </c>
      <c r="F418" s="531">
        <v>1970</v>
      </c>
      <c r="G418" s="530" t="s">
        <v>331</v>
      </c>
      <c r="H418" s="531">
        <v>1064</v>
      </c>
      <c r="I418" s="531">
        <v>500</v>
      </c>
      <c r="J418" s="531">
        <v>0</v>
      </c>
      <c r="K418" s="532">
        <v>45947</v>
      </c>
      <c r="L418" s="532">
        <v>46403</v>
      </c>
      <c r="M418" s="530"/>
      <c r="N418" s="531">
        <v>-1590.39</v>
      </c>
      <c r="O418" s="533">
        <f t="shared" si="18"/>
        <v>280</v>
      </c>
      <c r="P418" s="534">
        <f t="shared" si="19"/>
        <v>4.0273972602739724E-2</v>
      </c>
      <c r="Q418" s="534">
        <f t="shared" si="20"/>
        <v>11.276712328767124</v>
      </c>
    </row>
    <row r="419" spans="1:17" ht="15" customHeight="1" x14ac:dyDescent="0.25">
      <c r="A419" s="530" t="s">
        <v>1530</v>
      </c>
      <c r="B419" s="530" t="s">
        <v>1083</v>
      </c>
      <c r="C419" s="531">
        <v>744</v>
      </c>
      <c r="D419" s="530" t="s">
        <v>1531</v>
      </c>
      <c r="E419" s="530" t="s">
        <v>1532</v>
      </c>
      <c r="F419" s="531">
        <v>1820</v>
      </c>
      <c r="G419" s="530" t="s">
        <v>296</v>
      </c>
      <c r="H419" s="531">
        <v>1561</v>
      </c>
      <c r="I419" s="531">
        <v>500</v>
      </c>
      <c r="J419" s="531">
        <v>350</v>
      </c>
      <c r="K419" s="532">
        <v>45964</v>
      </c>
      <c r="L419" s="532">
        <v>46420</v>
      </c>
      <c r="M419" s="530"/>
      <c r="N419" s="531">
        <v>0</v>
      </c>
      <c r="O419" s="533">
        <f t="shared" si="18"/>
        <v>263</v>
      </c>
      <c r="P419" s="534">
        <f t="shared" si="19"/>
        <v>4.0273972602739724E-2</v>
      </c>
      <c r="Q419" s="534">
        <f t="shared" si="20"/>
        <v>10.592054794520548</v>
      </c>
    </row>
    <row r="420" spans="1:17" ht="15" customHeight="1" x14ac:dyDescent="0.25">
      <c r="A420" s="530" t="s">
        <v>1533</v>
      </c>
      <c r="B420" s="530" t="s">
        <v>1098</v>
      </c>
      <c r="C420" s="531">
        <v>852</v>
      </c>
      <c r="D420" s="530" t="s">
        <v>1534</v>
      </c>
      <c r="E420" s="530" t="s">
        <v>1535</v>
      </c>
      <c r="F420" s="531">
        <v>1890</v>
      </c>
      <c r="G420" s="530" t="s">
        <v>296</v>
      </c>
      <c r="H420" s="531">
        <v>1622</v>
      </c>
      <c r="I420" s="531">
        <v>500</v>
      </c>
      <c r="J420" s="531">
        <v>0</v>
      </c>
      <c r="K420" s="532">
        <v>45623</v>
      </c>
      <c r="L420" s="532">
        <v>46321</v>
      </c>
      <c r="M420" s="532">
        <v>46321</v>
      </c>
      <c r="N420" s="531">
        <v>0</v>
      </c>
      <c r="O420" s="533">
        <f t="shared" si="18"/>
        <v>604</v>
      </c>
      <c r="P420" s="534">
        <f t="shared" si="19"/>
        <v>4.0273972602739724E-2</v>
      </c>
      <c r="Q420" s="534">
        <f t="shared" si="20"/>
        <v>24.325479452054793</v>
      </c>
    </row>
    <row r="421" spans="1:17" ht="15" customHeight="1" x14ac:dyDescent="0.25">
      <c r="A421" s="530" t="s">
        <v>1536</v>
      </c>
      <c r="B421" s="530" t="s">
        <v>1367</v>
      </c>
      <c r="C421" s="531">
        <v>825</v>
      </c>
      <c r="D421" s="530" t="s">
        <v>1537</v>
      </c>
      <c r="E421" s="530" t="s">
        <v>1538</v>
      </c>
      <c r="F421" s="531">
        <v>1966</v>
      </c>
      <c r="G421" s="530" t="s">
        <v>296</v>
      </c>
      <c r="H421" s="531">
        <v>1503.8</v>
      </c>
      <c r="I421" s="531">
        <v>300</v>
      </c>
      <c r="J421" s="531">
        <v>0</v>
      </c>
      <c r="K421" s="532">
        <v>44564</v>
      </c>
      <c r="L421" s="532">
        <v>46389</v>
      </c>
      <c r="M421" s="530"/>
      <c r="N421" s="531">
        <v>0</v>
      </c>
      <c r="O421" s="533">
        <f t="shared" si="18"/>
        <v>1663</v>
      </c>
      <c r="P421" s="534">
        <f t="shared" si="19"/>
        <v>2.4164383561643837E-2</v>
      </c>
      <c r="Q421" s="534">
        <f t="shared" si="20"/>
        <v>40.185369863013698</v>
      </c>
    </row>
    <row r="422" spans="1:17" ht="15" customHeight="1" x14ac:dyDescent="0.25">
      <c r="A422" s="530" t="s">
        <v>1539</v>
      </c>
      <c r="B422" s="530" t="s">
        <v>1111</v>
      </c>
      <c r="C422" s="531">
        <v>1642</v>
      </c>
      <c r="D422" s="530" t="s">
        <v>1540</v>
      </c>
      <c r="E422" s="530" t="s">
        <v>1541</v>
      </c>
      <c r="F422" s="531">
        <v>3112</v>
      </c>
      <c r="G422" s="530" t="s">
        <v>296</v>
      </c>
      <c r="H422" s="531">
        <v>2627</v>
      </c>
      <c r="I422" s="531">
        <v>2627</v>
      </c>
      <c r="J422" s="531">
        <v>0</v>
      </c>
      <c r="K422" s="532">
        <v>45964</v>
      </c>
      <c r="L422" s="532">
        <v>46420</v>
      </c>
      <c r="M422" s="530"/>
      <c r="N422" s="531">
        <v>0</v>
      </c>
      <c r="O422" s="533">
        <f t="shared" si="18"/>
        <v>263</v>
      </c>
      <c r="P422" s="534">
        <f t="shared" si="19"/>
        <v>0.21159945205479452</v>
      </c>
      <c r="Q422" s="534">
        <f t="shared" si="20"/>
        <v>55.65065589041096</v>
      </c>
    </row>
    <row r="423" spans="1:17" ht="15" customHeight="1" x14ac:dyDescent="0.25">
      <c r="A423" s="530" t="s">
        <v>1542</v>
      </c>
      <c r="B423" s="530" t="s">
        <v>1367</v>
      </c>
      <c r="C423" s="531">
        <v>825</v>
      </c>
      <c r="D423" s="530" t="s">
        <v>1543</v>
      </c>
      <c r="E423" s="530" t="s">
        <v>1544</v>
      </c>
      <c r="F423" s="531">
        <v>2141</v>
      </c>
      <c r="G423" s="530" t="s">
        <v>296</v>
      </c>
      <c r="H423" s="531">
        <v>1737</v>
      </c>
      <c r="I423" s="531">
        <v>1737</v>
      </c>
      <c r="J423" s="531">
        <v>0</v>
      </c>
      <c r="K423" s="532">
        <v>46081</v>
      </c>
      <c r="L423" s="532">
        <v>46534</v>
      </c>
      <c r="M423" s="530"/>
      <c r="N423" s="531">
        <v>0</v>
      </c>
      <c r="O423" s="533">
        <f t="shared" si="18"/>
        <v>146</v>
      </c>
      <c r="P423" s="534">
        <f t="shared" si="19"/>
        <v>0.1399117808219178</v>
      </c>
      <c r="Q423" s="534">
        <f t="shared" si="20"/>
        <v>20.427119999999999</v>
      </c>
    </row>
    <row r="424" spans="1:17" ht="15" customHeight="1" x14ac:dyDescent="0.25">
      <c r="A424" s="530" t="s">
        <v>1545</v>
      </c>
      <c r="B424" s="530" t="s">
        <v>1122</v>
      </c>
      <c r="C424" s="531">
        <v>783</v>
      </c>
      <c r="D424" s="530" t="s">
        <v>1546</v>
      </c>
      <c r="E424" s="530" t="s">
        <v>1547</v>
      </c>
      <c r="F424" s="531">
        <v>1793</v>
      </c>
      <c r="G424" s="530" t="s">
        <v>296</v>
      </c>
      <c r="H424" s="531">
        <v>1755.36</v>
      </c>
      <c r="I424" s="531">
        <v>500</v>
      </c>
      <c r="J424" s="531">
        <v>0</v>
      </c>
      <c r="K424" s="532">
        <v>45806</v>
      </c>
      <c r="L424" s="532">
        <v>46535</v>
      </c>
      <c r="M424" s="530"/>
      <c r="N424" s="531">
        <v>0</v>
      </c>
      <c r="O424" s="533">
        <f t="shared" si="18"/>
        <v>421</v>
      </c>
      <c r="P424" s="534">
        <f t="shared" si="19"/>
        <v>4.0273972602739724E-2</v>
      </c>
      <c r="Q424" s="534">
        <f t="shared" si="20"/>
        <v>16.955342465753425</v>
      </c>
    </row>
    <row r="425" spans="1:17" ht="15" customHeight="1" x14ac:dyDescent="0.25">
      <c r="A425" s="530" t="s">
        <v>1548</v>
      </c>
      <c r="B425" s="530" t="s">
        <v>1122</v>
      </c>
      <c r="C425" s="531">
        <v>783</v>
      </c>
      <c r="D425" s="530" t="s">
        <v>1549</v>
      </c>
      <c r="E425" s="530" t="s">
        <v>1550</v>
      </c>
      <c r="F425" s="531">
        <v>1793</v>
      </c>
      <c r="G425" s="530" t="s">
        <v>296</v>
      </c>
      <c r="H425" s="531">
        <v>1593</v>
      </c>
      <c r="I425" s="531">
        <v>500</v>
      </c>
      <c r="J425" s="531">
        <v>0</v>
      </c>
      <c r="K425" s="532">
        <v>46024</v>
      </c>
      <c r="L425" s="532">
        <v>46478</v>
      </c>
      <c r="M425" s="530"/>
      <c r="N425" s="531">
        <v>0</v>
      </c>
      <c r="O425" s="533">
        <f t="shared" si="18"/>
        <v>203</v>
      </c>
      <c r="P425" s="534">
        <f t="shared" si="19"/>
        <v>4.0273972602739724E-2</v>
      </c>
      <c r="Q425" s="534">
        <f t="shared" si="20"/>
        <v>8.1756164383561636</v>
      </c>
    </row>
    <row r="426" spans="1:17" ht="15" customHeight="1" x14ac:dyDescent="0.25">
      <c r="A426" s="530" t="s">
        <v>14235</v>
      </c>
      <c r="B426" s="530" t="s">
        <v>1098</v>
      </c>
      <c r="C426" s="531">
        <v>852</v>
      </c>
      <c r="D426" s="530" t="s">
        <v>14236</v>
      </c>
      <c r="E426" s="530" t="s">
        <v>14237</v>
      </c>
      <c r="F426" s="531">
        <v>1970</v>
      </c>
      <c r="G426" s="530" t="s">
        <v>296</v>
      </c>
      <c r="H426" s="531">
        <v>2106</v>
      </c>
      <c r="I426" s="531">
        <v>0</v>
      </c>
      <c r="J426" s="531">
        <v>0</v>
      </c>
      <c r="K426" s="532">
        <v>46227</v>
      </c>
      <c r="L426" s="532">
        <v>46559</v>
      </c>
      <c r="M426" s="530"/>
      <c r="N426" s="531">
        <v>493.48</v>
      </c>
      <c r="O426" s="533">
        <f t="shared" si="18"/>
        <v>0</v>
      </c>
      <c r="P426" s="534">
        <f t="shared" si="19"/>
        <v>0</v>
      </c>
      <c r="Q426" s="534">
        <f t="shared" si="20"/>
        <v>0</v>
      </c>
    </row>
    <row r="427" spans="1:17" ht="15" customHeight="1" x14ac:dyDescent="0.25">
      <c r="A427" s="530" t="s">
        <v>1551</v>
      </c>
      <c r="B427" s="530" t="s">
        <v>1132</v>
      </c>
      <c r="C427" s="531">
        <v>795</v>
      </c>
      <c r="D427" s="530" t="s">
        <v>1552</v>
      </c>
      <c r="E427" s="530" t="s">
        <v>1553</v>
      </c>
      <c r="F427" s="531">
        <v>1690</v>
      </c>
      <c r="G427" s="530" t="s">
        <v>296</v>
      </c>
      <c r="H427" s="531">
        <v>1826</v>
      </c>
      <c r="I427" s="531">
        <v>1760</v>
      </c>
      <c r="J427" s="531">
        <v>0</v>
      </c>
      <c r="K427" s="532">
        <v>45852</v>
      </c>
      <c r="L427" s="532">
        <v>46581</v>
      </c>
      <c r="M427" s="530"/>
      <c r="N427" s="531">
        <v>0</v>
      </c>
      <c r="O427" s="533">
        <f t="shared" si="18"/>
        <v>375</v>
      </c>
      <c r="P427" s="534">
        <f t="shared" si="19"/>
        <v>0.14176438356164384</v>
      </c>
      <c r="Q427" s="534">
        <f t="shared" si="20"/>
        <v>53.161643835616438</v>
      </c>
    </row>
    <row r="428" spans="1:17" ht="15" customHeight="1" x14ac:dyDescent="0.25">
      <c r="A428" s="530" t="s">
        <v>1554</v>
      </c>
      <c r="B428" s="530" t="s">
        <v>1087</v>
      </c>
      <c r="C428" s="531">
        <v>1257</v>
      </c>
      <c r="D428" s="530" t="s">
        <v>1555</v>
      </c>
      <c r="E428" s="530" t="s">
        <v>1556</v>
      </c>
      <c r="F428" s="531">
        <v>2659</v>
      </c>
      <c r="G428" s="530" t="s">
        <v>296</v>
      </c>
      <c r="H428" s="531">
        <v>2147</v>
      </c>
      <c r="I428" s="531">
        <v>500</v>
      </c>
      <c r="J428" s="531">
        <v>0</v>
      </c>
      <c r="K428" s="532">
        <v>45532</v>
      </c>
      <c r="L428" s="532">
        <v>46258</v>
      </c>
      <c r="M428" s="532">
        <v>46258</v>
      </c>
      <c r="N428" s="531">
        <v>-500</v>
      </c>
      <c r="O428" s="533">
        <f t="shared" si="18"/>
        <v>695</v>
      </c>
      <c r="P428" s="534">
        <f t="shared" si="19"/>
        <v>4.0273972602739724E-2</v>
      </c>
      <c r="Q428" s="534">
        <f t="shared" si="20"/>
        <v>27.990410958904107</v>
      </c>
    </row>
    <row r="429" spans="1:17" ht="15" customHeight="1" x14ac:dyDescent="0.25">
      <c r="A429" s="530" t="s">
        <v>1557</v>
      </c>
      <c r="B429" s="530" t="s">
        <v>1091</v>
      </c>
      <c r="C429" s="531">
        <v>1164</v>
      </c>
      <c r="D429" s="530" t="s">
        <v>1558</v>
      </c>
      <c r="E429" s="530" t="s">
        <v>1559</v>
      </c>
      <c r="F429" s="531">
        <v>3113</v>
      </c>
      <c r="G429" s="530" t="s">
        <v>296</v>
      </c>
      <c r="H429" s="531">
        <v>2189</v>
      </c>
      <c r="I429" s="531">
        <v>0</v>
      </c>
      <c r="J429" s="531">
        <v>0</v>
      </c>
      <c r="K429" s="532">
        <v>43577</v>
      </c>
      <c r="L429" s="532">
        <v>46347</v>
      </c>
      <c r="M429" s="530"/>
      <c r="N429" s="531">
        <v>0</v>
      </c>
      <c r="O429" s="533">
        <f t="shared" si="18"/>
        <v>2650</v>
      </c>
      <c r="P429" s="534">
        <f t="shared" si="19"/>
        <v>0</v>
      </c>
      <c r="Q429" s="534">
        <f t="shared" si="20"/>
        <v>0</v>
      </c>
    </row>
    <row r="430" spans="1:17" ht="15" customHeight="1" x14ac:dyDescent="0.25">
      <c r="A430" s="530" t="s">
        <v>1560</v>
      </c>
      <c r="B430" s="530" t="s">
        <v>1142</v>
      </c>
      <c r="C430" s="531">
        <v>690</v>
      </c>
      <c r="D430" s="530" t="s">
        <v>1561</v>
      </c>
      <c r="E430" s="530" t="s">
        <v>1562</v>
      </c>
      <c r="F430" s="531">
        <v>1629</v>
      </c>
      <c r="G430" s="530" t="s">
        <v>296</v>
      </c>
      <c r="H430" s="531">
        <v>1643</v>
      </c>
      <c r="I430" s="531">
        <v>500</v>
      </c>
      <c r="J430" s="531">
        <v>0</v>
      </c>
      <c r="K430" s="532">
        <v>45533</v>
      </c>
      <c r="L430" s="532">
        <v>46262</v>
      </c>
      <c r="M430" s="530"/>
      <c r="N430" s="531">
        <v>0</v>
      </c>
      <c r="O430" s="533">
        <f t="shared" si="18"/>
        <v>694</v>
      </c>
      <c r="P430" s="534">
        <f t="shared" si="19"/>
        <v>4.0273972602739724E-2</v>
      </c>
      <c r="Q430" s="534">
        <f t="shared" si="20"/>
        <v>27.95013698630137</v>
      </c>
    </row>
    <row r="431" spans="1:17" ht="15" customHeight="1" x14ac:dyDescent="0.25">
      <c r="A431" s="530" t="s">
        <v>1563</v>
      </c>
      <c r="B431" s="530" t="s">
        <v>1122</v>
      </c>
      <c r="C431" s="531">
        <v>783</v>
      </c>
      <c r="D431" s="530" t="s">
        <v>1564</v>
      </c>
      <c r="E431" s="530" t="s">
        <v>1565</v>
      </c>
      <c r="F431" s="531">
        <v>1968</v>
      </c>
      <c r="G431" s="530" t="s">
        <v>331</v>
      </c>
      <c r="H431" s="531">
        <v>1444</v>
      </c>
      <c r="I431" s="531">
        <v>1881</v>
      </c>
      <c r="J431" s="531">
        <v>0</v>
      </c>
      <c r="K431" s="532">
        <v>45926</v>
      </c>
      <c r="L431" s="532">
        <v>46320</v>
      </c>
      <c r="M431" s="530"/>
      <c r="N431" s="531">
        <v>-41.01</v>
      </c>
      <c r="O431" s="533">
        <f t="shared" si="18"/>
        <v>301</v>
      </c>
      <c r="P431" s="534">
        <f t="shared" si="19"/>
        <v>0.15151068493150685</v>
      </c>
      <c r="Q431" s="534">
        <f t="shared" si="20"/>
        <v>45.604716164383561</v>
      </c>
    </row>
    <row r="432" spans="1:17" ht="15" customHeight="1" x14ac:dyDescent="0.25">
      <c r="A432" s="530" t="s">
        <v>1566</v>
      </c>
      <c r="B432" s="530" t="s">
        <v>1122</v>
      </c>
      <c r="C432" s="531">
        <v>783</v>
      </c>
      <c r="D432" s="530" t="s">
        <v>1567</v>
      </c>
      <c r="E432" s="530" t="s">
        <v>1568</v>
      </c>
      <c r="F432" s="531">
        <v>1923</v>
      </c>
      <c r="G432" s="530" t="s">
        <v>296</v>
      </c>
      <c r="H432" s="531">
        <v>1828</v>
      </c>
      <c r="I432" s="531">
        <v>0</v>
      </c>
      <c r="J432" s="531">
        <v>0</v>
      </c>
      <c r="K432" s="532">
        <v>46143</v>
      </c>
      <c r="L432" s="532">
        <v>46538</v>
      </c>
      <c r="M432" s="530"/>
      <c r="N432" s="531">
        <v>0</v>
      </c>
      <c r="O432" s="533">
        <f t="shared" si="18"/>
        <v>84</v>
      </c>
      <c r="P432" s="534">
        <f t="shared" si="19"/>
        <v>0</v>
      </c>
      <c r="Q432" s="534">
        <f t="shared" si="20"/>
        <v>0</v>
      </c>
    </row>
    <row r="433" spans="1:17" ht="15" customHeight="1" x14ac:dyDescent="0.25">
      <c r="A433" s="530" t="s">
        <v>1569</v>
      </c>
      <c r="B433" s="530" t="s">
        <v>1155</v>
      </c>
      <c r="C433" s="531">
        <v>1608</v>
      </c>
      <c r="D433" s="530" t="s">
        <v>1570</v>
      </c>
      <c r="E433" s="530" t="s">
        <v>1571</v>
      </c>
      <c r="F433" s="531">
        <v>3100</v>
      </c>
      <c r="G433" s="530" t="s">
        <v>296</v>
      </c>
      <c r="H433" s="531">
        <v>2377</v>
      </c>
      <c r="I433" s="531">
        <v>500</v>
      </c>
      <c r="J433" s="531">
        <v>0</v>
      </c>
      <c r="K433" s="532">
        <v>46086</v>
      </c>
      <c r="L433" s="532">
        <v>46450</v>
      </c>
      <c r="M433" s="530"/>
      <c r="N433" s="531">
        <v>250</v>
      </c>
      <c r="O433" s="533">
        <f t="shared" si="18"/>
        <v>141</v>
      </c>
      <c r="P433" s="534">
        <f t="shared" si="19"/>
        <v>4.0273972602739724E-2</v>
      </c>
      <c r="Q433" s="534">
        <f t="shared" si="20"/>
        <v>5.6786301369863015</v>
      </c>
    </row>
    <row r="434" spans="1:17" ht="15" customHeight="1" x14ac:dyDescent="0.25">
      <c r="A434" s="530" t="s">
        <v>1572</v>
      </c>
      <c r="B434" s="530" t="s">
        <v>1159</v>
      </c>
      <c r="C434" s="531">
        <v>803</v>
      </c>
      <c r="D434" s="530" t="s">
        <v>1573</v>
      </c>
      <c r="E434" s="530" t="s">
        <v>1574</v>
      </c>
      <c r="F434" s="531">
        <v>1984</v>
      </c>
      <c r="G434" s="530" t="s">
        <v>296</v>
      </c>
      <c r="H434" s="531">
        <v>1482</v>
      </c>
      <c r="I434" s="531">
        <v>500</v>
      </c>
      <c r="J434" s="531">
        <v>0</v>
      </c>
      <c r="K434" s="532">
        <v>46070</v>
      </c>
      <c r="L434" s="532">
        <v>46434</v>
      </c>
      <c r="M434" s="530"/>
      <c r="N434" s="531">
        <v>0</v>
      </c>
      <c r="O434" s="533">
        <f t="shared" si="18"/>
        <v>157</v>
      </c>
      <c r="P434" s="534">
        <f t="shared" si="19"/>
        <v>4.0273972602739724E-2</v>
      </c>
      <c r="Q434" s="534">
        <f t="shared" si="20"/>
        <v>6.3230136986301364</v>
      </c>
    </row>
    <row r="435" spans="1:17" ht="15" customHeight="1" x14ac:dyDescent="0.25">
      <c r="A435" s="530" t="s">
        <v>1575</v>
      </c>
      <c r="B435" s="530" t="s">
        <v>1163</v>
      </c>
      <c r="C435" s="531">
        <v>1692</v>
      </c>
      <c r="D435" s="530" t="s">
        <v>1576</v>
      </c>
      <c r="E435" s="530" t="s">
        <v>1577</v>
      </c>
      <c r="F435" s="531">
        <v>3460</v>
      </c>
      <c r="G435" s="530" t="s">
        <v>296</v>
      </c>
      <c r="H435" s="531">
        <v>3115</v>
      </c>
      <c r="I435" s="531">
        <v>700</v>
      </c>
      <c r="J435" s="531">
        <v>0</v>
      </c>
      <c r="K435" s="532">
        <v>45444</v>
      </c>
      <c r="L435" s="532">
        <v>46234</v>
      </c>
      <c r="M435" s="530"/>
      <c r="N435" s="531">
        <v>0</v>
      </c>
      <c r="O435" s="533">
        <f t="shared" si="18"/>
        <v>783</v>
      </c>
      <c r="P435" s="534">
        <f t="shared" si="19"/>
        <v>5.6383561643835609E-2</v>
      </c>
      <c r="Q435" s="534">
        <f t="shared" si="20"/>
        <v>44.148328767123282</v>
      </c>
    </row>
    <row r="436" spans="1:17" ht="15" customHeight="1" x14ac:dyDescent="0.25">
      <c r="A436" s="530" t="s">
        <v>1578</v>
      </c>
      <c r="B436" s="530" t="s">
        <v>1171</v>
      </c>
      <c r="C436" s="531">
        <v>730</v>
      </c>
      <c r="D436" s="530" t="s">
        <v>1579</v>
      </c>
      <c r="E436" s="530" t="s">
        <v>1580</v>
      </c>
      <c r="F436" s="531">
        <v>1763</v>
      </c>
      <c r="G436" s="530" t="s">
        <v>296</v>
      </c>
      <c r="H436" s="531">
        <v>1662</v>
      </c>
      <c r="I436" s="531">
        <v>500</v>
      </c>
      <c r="J436" s="531">
        <v>0</v>
      </c>
      <c r="K436" s="532">
        <v>45131</v>
      </c>
      <c r="L436" s="532">
        <v>46288</v>
      </c>
      <c r="M436" s="530"/>
      <c r="N436" s="531">
        <v>0</v>
      </c>
      <c r="O436" s="533">
        <f t="shared" si="18"/>
        <v>1096</v>
      </c>
      <c r="P436" s="534">
        <f t="shared" si="19"/>
        <v>4.0273972602739724E-2</v>
      </c>
      <c r="Q436" s="534">
        <f t="shared" si="20"/>
        <v>44.140273972602735</v>
      </c>
    </row>
    <row r="437" spans="1:17" ht="15" customHeight="1" x14ac:dyDescent="0.25">
      <c r="A437" s="530" t="s">
        <v>14238</v>
      </c>
      <c r="B437" s="530" t="s">
        <v>1171</v>
      </c>
      <c r="C437" s="531">
        <v>730</v>
      </c>
      <c r="D437" s="530" t="s">
        <v>14239</v>
      </c>
      <c r="E437" s="530" t="s">
        <v>14240</v>
      </c>
      <c r="F437" s="531">
        <v>1843</v>
      </c>
      <c r="G437" s="530" t="s">
        <v>296</v>
      </c>
      <c r="H437" s="531">
        <v>1779</v>
      </c>
      <c r="I437" s="531">
        <v>0</v>
      </c>
      <c r="J437" s="531">
        <v>0</v>
      </c>
      <c r="K437" s="532">
        <v>46218</v>
      </c>
      <c r="L437" s="532">
        <v>46521</v>
      </c>
      <c r="M437" s="530"/>
      <c r="N437" s="531">
        <v>0</v>
      </c>
      <c r="O437" s="533">
        <f t="shared" si="18"/>
        <v>9</v>
      </c>
      <c r="P437" s="534">
        <f t="shared" si="19"/>
        <v>0</v>
      </c>
      <c r="Q437" s="534">
        <f t="shared" si="20"/>
        <v>0</v>
      </c>
    </row>
    <row r="438" spans="1:17" ht="15" customHeight="1" x14ac:dyDescent="0.25">
      <c r="A438" s="530" t="s">
        <v>1581</v>
      </c>
      <c r="B438" s="530" t="s">
        <v>1098</v>
      </c>
      <c r="C438" s="531">
        <v>852</v>
      </c>
      <c r="D438" s="530" t="s">
        <v>1582</v>
      </c>
      <c r="E438" s="530" t="s">
        <v>1583</v>
      </c>
      <c r="F438" s="531">
        <v>1890</v>
      </c>
      <c r="G438" s="530" t="s">
        <v>296</v>
      </c>
      <c r="H438" s="531">
        <v>1894</v>
      </c>
      <c r="I438" s="531">
        <v>500</v>
      </c>
      <c r="J438" s="531">
        <v>0</v>
      </c>
      <c r="K438" s="532">
        <v>44807</v>
      </c>
      <c r="L438" s="532">
        <v>46301</v>
      </c>
      <c r="M438" s="530"/>
      <c r="N438" s="531">
        <v>0</v>
      </c>
      <c r="O438" s="533">
        <f t="shared" si="18"/>
        <v>1420</v>
      </c>
      <c r="P438" s="534">
        <f t="shared" si="19"/>
        <v>4.0273972602739724E-2</v>
      </c>
      <c r="Q438" s="534">
        <f t="shared" si="20"/>
        <v>57.18904109589041</v>
      </c>
    </row>
    <row r="439" spans="1:17" ht="15" customHeight="1" x14ac:dyDescent="0.25">
      <c r="A439" s="530" t="s">
        <v>1584</v>
      </c>
      <c r="B439" s="530" t="s">
        <v>1178</v>
      </c>
      <c r="C439" s="531">
        <v>867</v>
      </c>
      <c r="D439" s="530" t="s">
        <v>1585</v>
      </c>
      <c r="E439" s="530" t="s">
        <v>1586</v>
      </c>
      <c r="F439" s="531">
        <v>1917</v>
      </c>
      <c r="G439" s="530" t="s">
        <v>296</v>
      </c>
      <c r="H439" s="531">
        <v>1656</v>
      </c>
      <c r="I439" s="531">
        <v>500</v>
      </c>
      <c r="J439" s="531">
        <v>0</v>
      </c>
      <c r="K439" s="532">
        <v>45031</v>
      </c>
      <c r="L439" s="532">
        <v>46582</v>
      </c>
      <c r="M439" s="530"/>
      <c r="N439" s="531">
        <v>0</v>
      </c>
      <c r="O439" s="533">
        <f t="shared" si="18"/>
        <v>1196</v>
      </c>
      <c r="P439" s="534">
        <f t="shared" si="19"/>
        <v>4.0273972602739724E-2</v>
      </c>
      <c r="Q439" s="534">
        <f t="shared" si="20"/>
        <v>48.167671232876714</v>
      </c>
    </row>
    <row r="440" spans="1:17" ht="15" customHeight="1" x14ac:dyDescent="0.25">
      <c r="A440" s="530" t="s">
        <v>1587</v>
      </c>
      <c r="B440" s="530" t="s">
        <v>1309</v>
      </c>
      <c r="C440" s="531">
        <v>670</v>
      </c>
      <c r="D440" s="530" t="s">
        <v>1588</v>
      </c>
      <c r="E440" s="530" t="s">
        <v>1589</v>
      </c>
      <c r="F440" s="531">
        <v>1817</v>
      </c>
      <c r="G440" s="530" t="s">
        <v>296</v>
      </c>
      <c r="H440" s="531">
        <v>1844</v>
      </c>
      <c r="I440" s="531">
        <v>300</v>
      </c>
      <c r="J440" s="531">
        <v>0</v>
      </c>
      <c r="K440" s="532">
        <v>43526</v>
      </c>
      <c r="L440" s="532">
        <v>46388</v>
      </c>
      <c r="M440" s="530"/>
      <c r="N440" s="531">
        <v>0</v>
      </c>
      <c r="O440" s="533">
        <f t="shared" si="18"/>
        <v>2701</v>
      </c>
      <c r="P440" s="534">
        <f t="shared" si="19"/>
        <v>2.4164383561643837E-2</v>
      </c>
      <c r="Q440" s="534">
        <f t="shared" si="20"/>
        <v>65.268000000000001</v>
      </c>
    </row>
    <row r="441" spans="1:17" ht="15" customHeight="1" x14ac:dyDescent="0.25">
      <c r="A441" s="530" t="s">
        <v>1590</v>
      </c>
      <c r="B441" s="530" t="s">
        <v>1171</v>
      </c>
      <c r="C441" s="531">
        <v>730</v>
      </c>
      <c r="D441" s="530" t="s">
        <v>1591</v>
      </c>
      <c r="E441" s="530" t="s">
        <v>1592</v>
      </c>
      <c r="F441" s="531">
        <v>1763</v>
      </c>
      <c r="G441" s="530" t="s">
        <v>296</v>
      </c>
      <c r="H441" s="531">
        <v>1814</v>
      </c>
      <c r="I441" s="531">
        <v>500</v>
      </c>
      <c r="J441" s="531">
        <v>0</v>
      </c>
      <c r="K441" s="532">
        <v>44799</v>
      </c>
      <c r="L441" s="532">
        <v>46259</v>
      </c>
      <c r="M441" s="530"/>
      <c r="N441" s="531">
        <v>0</v>
      </c>
      <c r="O441" s="533">
        <f t="shared" si="18"/>
        <v>1428</v>
      </c>
      <c r="P441" s="534">
        <f t="shared" si="19"/>
        <v>4.0273972602739724E-2</v>
      </c>
      <c r="Q441" s="534">
        <f t="shared" si="20"/>
        <v>57.511232876712327</v>
      </c>
    </row>
    <row r="442" spans="1:17" ht="15" customHeight="1" x14ac:dyDescent="0.25">
      <c r="A442" s="530" t="s">
        <v>1593</v>
      </c>
      <c r="B442" s="530" t="s">
        <v>1098</v>
      </c>
      <c r="C442" s="531">
        <v>852</v>
      </c>
      <c r="D442" s="530" t="s">
        <v>1594</v>
      </c>
      <c r="E442" s="530" t="s">
        <v>1595</v>
      </c>
      <c r="F442" s="531">
        <v>1890</v>
      </c>
      <c r="G442" s="530" t="s">
        <v>296</v>
      </c>
      <c r="H442" s="531">
        <v>1772</v>
      </c>
      <c r="I442" s="531">
        <v>300</v>
      </c>
      <c r="J442" s="531">
        <v>0</v>
      </c>
      <c r="K442" s="532">
        <v>43973</v>
      </c>
      <c r="L442" s="532">
        <v>46255</v>
      </c>
      <c r="M442" s="530"/>
      <c r="N442" s="531">
        <v>0</v>
      </c>
      <c r="O442" s="533">
        <f t="shared" si="18"/>
        <v>2254</v>
      </c>
      <c r="P442" s="534">
        <f t="shared" si="19"/>
        <v>2.4164383561643837E-2</v>
      </c>
      <c r="Q442" s="534">
        <f t="shared" si="20"/>
        <v>54.466520547945208</v>
      </c>
    </row>
    <row r="443" spans="1:17" ht="15" customHeight="1" x14ac:dyDescent="0.25">
      <c r="A443" s="530" t="s">
        <v>1596</v>
      </c>
      <c r="B443" s="530" t="s">
        <v>1132</v>
      </c>
      <c r="C443" s="531">
        <v>795</v>
      </c>
      <c r="D443" s="530" t="s">
        <v>1597</v>
      </c>
      <c r="E443" s="530" t="s">
        <v>1598</v>
      </c>
      <c r="F443" s="531">
        <v>1865</v>
      </c>
      <c r="G443" s="530" t="s">
        <v>296</v>
      </c>
      <c r="H443" s="531">
        <v>1569.72</v>
      </c>
      <c r="I443" s="531">
        <v>500</v>
      </c>
      <c r="J443" s="531">
        <v>0</v>
      </c>
      <c r="K443" s="532">
        <v>45657</v>
      </c>
      <c r="L443" s="532">
        <v>46386</v>
      </c>
      <c r="M443" s="530"/>
      <c r="N443" s="531">
        <v>-3.11</v>
      </c>
      <c r="O443" s="533">
        <f t="shared" si="18"/>
        <v>570</v>
      </c>
      <c r="P443" s="534">
        <f t="shared" si="19"/>
        <v>4.0273972602739724E-2</v>
      </c>
      <c r="Q443" s="534">
        <f t="shared" si="20"/>
        <v>22.956164383561642</v>
      </c>
    </row>
    <row r="444" spans="1:17" ht="15" customHeight="1" x14ac:dyDescent="0.25">
      <c r="A444" s="530" t="s">
        <v>1599</v>
      </c>
      <c r="B444" s="530" t="s">
        <v>1142</v>
      </c>
      <c r="C444" s="531">
        <v>690</v>
      </c>
      <c r="D444" s="530" t="s">
        <v>1600</v>
      </c>
      <c r="E444" s="530" t="s">
        <v>1601</v>
      </c>
      <c r="F444" s="531">
        <v>1629</v>
      </c>
      <c r="G444" s="530" t="s">
        <v>296</v>
      </c>
      <c r="H444" s="531">
        <v>1515</v>
      </c>
      <c r="I444" s="531">
        <v>500</v>
      </c>
      <c r="J444" s="531">
        <v>0</v>
      </c>
      <c r="K444" s="532">
        <v>46113</v>
      </c>
      <c r="L444" s="532">
        <v>46295</v>
      </c>
      <c r="M444" s="530"/>
      <c r="N444" s="531">
        <v>0</v>
      </c>
      <c r="O444" s="533">
        <f t="shared" si="18"/>
        <v>114</v>
      </c>
      <c r="P444" s="534">
        <f t="shared" si="19"/>
        <v>4.0273972602739724E-2</v>
      </c>
      <c r="Q444" s="534">
        <f t="shared" si="20"/>
        <v>4.5912328767123283</v>
      </c>
    </row>
    <row r="445" spans="1:17" ht="15" customHeight="1" x14ac:dyDescent="0.25">
      <c r="A445" s="530" t="s">
        <v>1602</v>
      </c>
      <c r="B445" s="530" t="s">
        <v>1142</v>
      </c>
      <c r="C445" s="531">
        <v>690</v>
      </c>
      <c r="D445" s="530" t="s">
        <v>1603</v>
      </c>
      <c r="E445" s="530" t="s">
        <v>1604</v>
      </c>
      <c r="F445" s="531">
        <v>1629</v>
      </c>
      <c r="G445" s="530" t="s">
        <v>296</v>
      </c>
      <c r="H445" s="531">
        <v>1410</v>
      </c>
      <c r="I445" s="531">
        <v>300</v>
      </c>
      <c r="J445" s="531">
        <v>0</v>
      </c>
      <c r="K445" s="532">
        <v>44051</v>
      </c>
      <c r="L445" s="532">
        <v>46241</v>
      </c>
      <c r="M445" s="530"/>
      <c r="N445" s="531">
        <v>1742.27</v>
      </c>
      <c r="O445" s="533">
        <f t="shared" si="18"/>
        <v>2176</v>
      </c>
      <c r="P445" s="534">
        <f t="shared" si="19"/>
        <v>2.4164383561643837E-2</v>
      </c>
      <c r="Q445" s="534">
        <f t="shared" si="20"/>
        <v>52.581698630136991</v>
      </c>
    </row>
    <row r="446" spans="1:17" ht="15" customHeight="1" x14ac:dyDescent="0.25">
      <c r="A446" s="530" t="s">
        <v>1605</v>
      </c>
      <c r="B446" s="530" t="s">
        <v>1171</v>
      </c>
      <c r="C446" s="531">
        <v>730</v>
      </c>
      <c r="D446" s="530" t="s">
        <v>1606</v>
      </c>
      <c r="E446" s="530" t="s">
        <v>1607</v>
      </c>
      <c r="F446" s="531">
        <v>1763</v>
      </c>
      <c r="G446" s="530" t="s">
        <v>296</v>
      </c>
      <c r="H446" s="531">
        <v>1532</v>
      </c>
      <c r="I446" s="531">
        <v>500</v>
      </c>
      <c r="J446" s="531">
        <v>0</v>
      </c>
      <c r="K446" s="532">
        <v>45519</v>
      </c>
      <c r="L446" s="532">
        <v>46309</v>
      </c>
      <c r="M446" s="530"/>
      <c r="N446" s="531">
        <v>0</v>
      </c>
      <c r="O446" s="533">
        <f t="shared" si="18"/>
        <v>708</v>
      </c>
      <c r="P446" s="534">
        <f t="shared" si="19"/>
        <v>4.0273972602739724E-2</v>
      </c>
      <c r="Q446" s="534">
        <f t="shared" si="20"/>
        <v>28.513972602739724</v>
      </c>
    </row>
    <row r="447" spans="1:17" ht="15" customHeight="1" x14ac:dyDescent="0.25">
      <c r="A447" s="530" t="s">
        <v>1608</v>
      </c>
      <c r="B447" s="530" t="s">
        <v>1098</v>
      </c>
      <c r="C447" s="531">
        <v>852</v>
      </c>
      <c r="D447" s="530" t="s">
        <v>1609</v>
      </c>
      <c r="E447" s="530" t="s">
        <v>1610</v>
      </c>
      <c r="F447" s="531">
        <v>1890</v>
      </c>
      <c r="G447" s="530" t="s">
        <v>296</v>
      </c>
      <c r="H447" s="531">
        <v>1758</v>
      </c>
      <c r="I447" s="531">
        <v>500</v>
      </c>
      <c r="J447" s="531">
        <v>0</v>
      </c>
      <c r="K447" s="532">
        <v>45769</v>
      </c>
      <c r="L447" s="532">
        <v>46589</v>
      </c>
      <c r="M447" s="530"/>
      <c r="N447" s="531">
        <v>0</v>
      </c>
      <c r="O447" s="533">
        <f t="shared" si="18"/>
        <v>458</v>
      </c>
      <c r="P447" s="534">
        <f t="shared" si="19"/>
        <v>4.0273972602739724E-2</v>
      </c>
      <c r="Q447" s="534">
        <f t="shared" si="20"/>
        <v>18.445479452054794</v>
      </c>
    </row>
    <row r="448" spans="1:17" ht="15" customHeight="1" x14ac:dyDescent="0.25">
      <c r="A448" s="530" t="s">
        <v>1611</v>
      </c>
      <c r="B448" s="530" t="s">
        <v>1091</v>
      </c>
      <c r="C448" s="531">
        <v>1164</v>
      </c>
      <c r="D448" s="530" t="s">
        <v>1612</v>
      </c>
      <c r="E448" s="530" t="s">
        <v>1613</v>
      </c>
      <c r="F448" s="531">
        <v>3113</v>
      </c>
      <c r="G448" s="530" t="s">
        <v>296</v>
      </c>
      <c r="H448" s="531">
        <v>2053</v>
      </c>
      <c r="I448" s="531">
        <v>500</v>
      </c>
      <c r="J448" s="531">
        <v>0</v>
      </c>
      <c r="K448" s="532">
        <v>45077</v>
      </c>
      <c r="L448" s="532">
        <v>46568</v>
      </c>
      <c r="M448" s="530"/>
      <c r="N448" s="531">
        <v>0</v>
      </c>
      <c r="O448" s="533">
        <f t="shared" si="18"/>
        <v>1150</v>
      </c>
      <c r="P448" s="534">
        <f t="shared" si="19"/>
        <v>4.0273972602739724E-2</v>
      </c>
      <c r="Q448" s="534">
        <f t="shared" si="20"/>
        <v>46.315068493150683</v>
      </c>
    </row>
    <row r="449" spans="1:17" ht="15" customHeight="1" x14ac:dyDescent="0.25">
      <c r="A449" s="530" t="s">
        <v>1614</v>
      </c>
      <c r="B449" s="530" t="s">
        <v>1098</v>
      </c>
      <c r="C449" s="531">
        <v>852</v>
      </c>
      <c r="D449" s="530" t="s">
        <v>1615</v>
      </c>
      <c r="E449" s="530" t="s">
        <v>1616</v>
      </c>
      <c r="F449" s="531">
        <v>1890</v>
      </c>
      <c r="G449" s="530" t="s">
        <v>296</v>
      </c>
      <c r="H449" s="531">
        <v>1693</v>
      </c>
      <c r="I449" s="531">
        <v>500</v>
      </c>
      <c r="J449" s="531">
        <v>0</v>
      </c>
      <c r="K449" s="532">
        <v>45999</v>
      </c>
      <c r="L449" s="532">
        <v>46453</v>
      </c>
      <c r="M449" s="530"/>
      <c r="N449" s="531">
        <v>0</v>
      </c>
      <c r="O449" s="533">
        <f t="shared" si="18"/>
        <v>228</v>
      </c>
      <c r="P449" s="534">
        <f t="shared" si="19"/>
        <v>4.0273972602739724E-2</v>
      </c>
      <c r="Q449" s="534">
        <f t="shared" si="20"/>
        <v>9.1824657534246565</v>
      </c>
    </row>
    <row r="450" spans="1:17" ht="15" customHeight="1" x14ac:dyDescent="0.25">
      <c r="A450" s="530" t="s">
        <v>1617</v>
      </c>
      <c r="B450" s="530" t="s">
        <v>1210</v>
      </c>
      <c r="C450" s="531">
        <v>664</v>
      </c>
      <c r="D450" s="530" t="s">
        <v>1618</v>
      </c>
      <c r="E450" s="530" t="s">
        <v>1619</v>
      </c>
      <c r="F450" s="531">
        <v>1683</v>
      </c>
      <c r="G450" s="530" t="s">
        <v>296</v>
      </c>
      <c r="H450" s="531">
        <v>1647</v>
      </c>
      <c r="I450" s="531">
        <v>500</v>
      </c>
      <c r="J450" s="531">
        <v>0</v>
      </c>
      <c r="K450" s="532">
        <v>45850</v>
      </c>
      <c r="L450" s="532">
        <v>46579</v>
      </c>
      <c r="M450" s="530"/>
      <c r="N450" s="531">
        <v>100</v>
      </c>
      <c r="O450" s="533">
        <f t="shared" si="18"/>
        <v>377</v>
      </c>
      <c r="P450" s="534">
        <f t="shared" si="19"/>
        <v>4.0273972602739724E-2</v>
      </c>
      <c r="Q450" s="534">
        <f t="shared" si="20"/>
        <v>15.183287671232875</v>
      </c>
    </row>
    <row r="451" spans="1:17" ht="15" customHeight="1" x14ac:dyDescent="0.25">
      <c r="A451" s="530" t="s">
        <v>1620</v>
      </c>
      <c r="B451" s="530" t="s">
        <v>1206</v>
      </c>
      <c r="C451" s="531">
        <v>1117</v>
      </c>
      <c r="D451" s="530" t="s">
        <v>1621</v>
      </c>
      <c r="E451" s="530" t="s">
        <v>1622</v>
      </c>
      <c r="F451" s="531">
        <v>2619</v>
      </c>
      <c r="G451" s="530" t="s">
        <v>331</v>
      </c>
      <c r="H451" s="531">
        <v>1173</v>
      </c>
      <c r="I451" s="531">
        <v>2096</v>
      </c>
      <c r="J451" s="531">
        <v>0</v>
      </c>
      <c r="K451" s="532">
        <v>45968</v>
      </c>
      <c r="L451" s="532">
        <v>46332</v>
      </c>
      <c r="M451" s="530"/>
      <c r="N451" s="531">
        <v>-5.91</v>
      </c>
      <c r="O451" s="533">
        <f t="shared" si="18"/>
        <v>259</v>
      </c>
      <c r="P451" s="534">
        <f t="shared" si="19"/>
        <v>0.16882849315068493</v>
      </c>
      <c r="Q451" s="534">
        <f t="shared" si="20"/>
        <v>43.726579726027396</v>
      </c>
    </row>
    <row r="452" spans="1:17" ht="15" customHeight="1" x14ac:dyDescent="0.25">
      <c r="A452" s="530" t="s">
        <v>1623</v>
      </c>
      <c r="B452" s="530" t="s">
        <v>1210</v>
      </c>
      <c r="C452" s="531">
        <v>664</v>
      </c>
      <c r="D452" s="530" t="s">
        <v>1624</v>
      </c>
      <c r="E452" s="530" t="s">
        <v>1625</v>
      </c>
      <c r="F452" s="531">
        <v>1778</v>
      </c>
      <c r="G452" s="530" t="s">
        <v>296</v>
      </c>
      <c r="H452" s="531">
        <v>1585</v>
      </c>
      <c r="I452" s="531">
        <v>500</v>
      </c>
      <c r="J452" s="531">
        <v>0</v>
      </c>
      <c r="K452" s="532">
        <v>44625</v>
      </c>
      <c r="L452" s="532">
        <v>46450</v>
      </c>
      <c r="M452" s="530"/>
      <c r="N452" s="531">
        <v>0</v>
      </c>
      <c r="O452" s="533">
        <f t="shared" si="18"/>
        <v>1602</v>
      </c>
      <c r="P452" s="534">
        <f t="shared" si="19"/>
        <v>4.0273972602739724E-2</v>
      </c>
      <c r="Q452" s="534">
        <f t="shared" si="20"/>
        <v>64.518904109589045</v>
      </c>
    </row>
    <row r="453" spans="1:17" ht="15" customHeight="1" x14ac:dyDescent="0.25">
      <c r="A453" s="530" t="s">
        <v>1626</v>
      </c>
      <c r="B453" s="530" t="s">
        <v>1210</v>
      </c>
      <c r="C453" s="531">
        <v>664</v>
      </c>
      <c r="D453" s="530" t="s">
        <v>1627</v>
      </c>
      <c r="E453" s="530" t="s">
        <v>1628</v>
      </c>
      <c r="F453" s="531">
        <v>1603</v>
      </c>
      <c r="G453" s="530" t="s">
        <v>296</v>
      </c>
      <c r="H453" s="531">
        <v>1391</v>
      </c>
      <c r="I453" s="531">
        <v>500</v>
      </c>
      <c r="J453" s="531">
        <v>0</v>
      </c>
      <c r="K453" s="532">
        <v>45233</v>
      </c>
      <c r="L453" s="532">
        <v>46448</v>
      </c>
      <c r="M453" s="530"/>
      <c r="N453" s="531">
        <v>0</v>
      </c>
      <c r="O453" s="533">
        <f t="shared" si="18"/>
        <v>994</v>
      </c>
      <c r="P453" s="534">
        <f t="shared" si="19"/>
        <v>4.0273972602739724E-2</v>
      </c>
      <c r="Q453" s="534">
        <f t="shared" si="20"/>
        <v>40.032328767123289</v>
      </c>
    </row>
    <row r="454" spans="1:17" ht="15" customHeight="1" x14ac:dyDescent="0.25">
      <c r="A454" s="530" t="s">
        <v>1629</v>
      </c>
      <c r="B454" s="530" t="s">
        <v>1217</v>
      </c>
      <c r="C454" s="531">
        <v>825</v>
      </c>
      <c r="D454" s="530" t="s">
        <v>1630</v>
      </c>
      <c r="E454" s="530" t="s">
        <v>1631</v>
      </c>
      <c r="F454" s="531">
        <v>1849</v>
      </c>
      <c r="G454" s="530" t="s">
        <v>296</v>
      </c>
      <c r="H454" s="531">
        <v>1602</v>
      </c>
      <c r="I454" s="531">
        <v>500</v>
      </c>
      <c r="J454" s="531">
        <v>0</v>
      </c>
      <c r="K454" s="532">
        <v>45190</v>
      </c>
      <c r="L454" s="532">
        <v>46315</v>
      </c>
      <c r="M454" s="530"/>
      <c r="N454" s="531">
        <v>0</v>
      </c>
      <c r="O454" s="533">
        <f t="shared" si="18"/>
        <v>1037</v>
      </c>
      <c r="P454" s="534">
        <f t="shared" si="19"/>
        <v>4.0273972602739724E-2</v>
      </c>
      <c r="Q454" s="534">
        <f t="shared" si="20"/>
        <v>41.764109589041091</v>
      </c>
    </row>
    <row r="455" spans="1:17" ht="15" customHeight="1" x14ac:dyDescent="0.25">
      <c r="A455" s="530" t="s">
        <v>1632</v>
      </c>
      <c r="B455" s="530" t="s">
        <v>1221</v>
      </c>
      <c r="C455" s="531">
        <v>1420</v>
      </c>
      <c r="D455" s="530" t="s">
        <v>1633</v>
      </c>
      <c r="E455" s="530" t="s">
        <v>1634</v>
      </c>
      <c r="F455" s="531">
        <v>2947</v>
      </c>
      <c r="G455" s="530" t="s">
        <v>296</v>
      </c>
      <c r="H455" s="531">
        <v>2675</v>
      </c>
      <c r="I455" s="531">
        <v>500</v>
      </c>
      <c r="J455" s="531">
        <v>0</v>
      </c>
      <c r="K455" s="532">
        <v>45947</v>
      </c>
      <c r="L455" s="532">
        <v>46584</v>
      </c>
      <c r="M455" s="530"/>
      <c r="N455" s="531">
        <v>0</v>
      </c>
      <c r="O455" s="533">
        <f t="shared" si="18"/>
        <v>280</v>
      </c>
      <c r="P455" s="534">
        <f t="shared" si="19"/>
        <v>4.0273972602739724E-2</v>
      </c>
      <c r="Q455" s="534">
        <f t="shared" si="20"/>
        <v>11.276712328767124</v>
      </c>
    </row>
    <row r="456" spans="1:17" ht="15" customHeight="1" x14ac:dyDescent="0.25">
      <c r="A456" s="530" t="s">
        <v>1635</v>
      </c>
      <c r="B456" s="530" t="s">
        <v>1221</v>
      </c>
      <c r="C456" s="531">
        <v>1420</v>
      </c>
      <c r="D456" s="530" t="s">
        <v>1636</v>
      </c>
      <c r="E456" s="530" t="s">
        <v>1637</v>
      </c>
      <c r="F456" s="531">
        <v>2852</v>
      </c>
      <c r="G456" s="530" t="s">
        <v>296</v>
      </c>
      <c r="H456" s="531">
        <v>2657</v>
      </c>
      <c r="I456" s="531">
        <v>0</v>
      </c>
      <c r="J456" s="531">
        <v>0</v>
      </c>
      <c r="K456" s="532">
        <v>46174</v>
      </c>
      <c r="L456" s="532">
        <v>46601</v>
      </c>
      <c r="M456" s="530"/>
      <c r="N456" s="531">
        <v>0</v>
      </c>
      <c r="O456" s="533">
        <f t="shared" si="18"/>
        <v>53</v>
      </c>
      <c r="P456" s="534">
        <f t="shared" si="19"/>
        <v>0</v>
      </c>
      <c r="Q456" s="534">
        <f t="shared" si="20"/>
        <v>0</v>
      </c>
    </row>
    <row r="457" spans="1:17" ht="15" customHeight="1" x14ac:dyDescent="0.25">
      <c r="A457" s="581"/>
      <c r="B457" s="581"/>
      <c r="C457" s="581"/>
      <c r="D457" s="581"/>
      <c r="E457" s="581"/>
      <c r="F457" s="581"/>
      <c r="G457" s="581"/>
      <c r="H457" s="581"/>
      <c r="I457" s="581"/>
      <c r="J457" s="581"/>
      <c r="K457" s="581"/>
      <c r="L457" s="581"/>
      <c r="M457" s="581"/>
      <c r="N457" s="581"/>
    </row>
    <row r="458" spans="1:17" ht="15" customHeight="1" x14ac:dyDescent="0.25">
      <c r="A458" s="576" t="s">
        <v>1638</v>
      </c>
      <c r="B458" s="576"/>
      <c r="C458" s="576"/>
      <c r="D458" s="576"/>
      <c r="E458" s="576"/>
      <c r="F458" s="535" t="s">
        <v>1639</v>
      </c>
      <c r="G458" s="535" t="s">
        <v>275</v>
      </c>
      <c r="H458" s="535" t="s">
        <v>280</v>
      </c>
      <c r="I458" s="535" t="s">
        <v>1640</v>
      </c>
      <c r="J458" s="535" t="s">
        <v>278</v>
      </c>
      <c r="K458" s="535" t="s">
        <v>1641</v>
      </c>
      <c r="L458" s="535" t="s">
        <v>1642</v>
      </c>
      <c r="M458" s="535" t="s">
        <v>1643</v>
      </c>
      <c r="N458" s="535" t="s">
        <v>282</v>
      </c>
    </row>
    <row r="459" spans="1:17" ht="15" customHeight="1" x14ac:dyDescent="0.25">
      <c r="A459" s="576"/>
      <c r="B459" s="576"/>
      <c r="C459" s="576"/>
      <c r="D459" s="576"/>
      <c r="E459" s="576"/>
      <c r="F459" s="535" t="s">
        <v>1644</v>
      </c>
      <c r="G459" s="535" t="s">
        <v>287</v>
      </c>
      <c r="H459" s="535" t="s">
        <v>1645</v>
      </c>
      <c r="I459" s="535" t="s">
        <v>289</v>
      </c>
      <c r="J459" s="535" t="s">
        <v>1646</v>
      </c>
      <c r="K459" s="535" t="s">
        <v>1647</v>
      </c>
      <c r="L459" s="535" t="s">
        <v>1648</v>
      </c>
      <c r="M459" s="535" t="s">
        <v>1649</v>
      </c>
      <c r="N459" s="535"/>
    </row>
    <row r="460" spans="1:17" ht="15" customHeight="1" x14ac:dyDescent="0.25">
      <c r="A460" s="575" t="s">
        <v>291</v>
      </c>
      <c r="B460" s="575"/>
      <c r="C460" s="575"/>
      <c r="D460" s="575"/>
      <c r="E460" s="575"/>
      <c r="F460" s="537" t="s">
        <v>1650</v>
      </c>
      <c r="G460" s="537" t="s">
        <v>14241</v>
      </c>
      <c r="H460" s="537" t="s">
        <v>14242</v>
      </c>
      <c r="I460" s="537" t="s">
        <v>14243</v>
      </c>
      <c r="J460" s="537" t="s">
        <v>1651</v>
      </c>
      <c r="K460" s="537" t="s">
        <v>1652</v>
      </c>
      <c r="L460" s="537" t="s">
        <v>14244</v>
      </c>
      <c r="M460" s="537" t="s">
        <v>14245</v>
      </c>
      <c r="N460" s="537" t="s">
        <v>14246</v>
      </c>
    </row>
    <row r="461" spans="1:17" ht="15" customHeight="1" x14ac:dyDescent="0.25">
      <c r="A461" s="575" t="s">
        <v>1653</v>
      </c>
      <c r="B461" s="575"/>
      <c r="C461" s="575"/>
      <c r="D461" s="575"/>
      <c r="E461" s="575"/>
      <c r="F461" s="537" t="s">
        <v>14247</v>
      </c>
      <c r="G461" s="537" t="s">
        <v>14248</v>
      </c>
      <c r="H461" s="537" t="s">
        <v>1654</v>
      </c>
      <c r="I461" s="537" t="s">
        <v>1654</v>
      </c>
      <c r="J461" s="537" t="s">
        <v>1654</v>
      </c>
      <c r="K461" s="537" t="s">
        <v>14249</v>
      </c>
      <c r="L461" s="536"/>
      <c r="M461" s="536"/>
      <c r="N461" s="537" t="s">
        <v>1654</v>
      </c>
    </row>
    <row r="462" spans="1:17" ht="15" customHeight="1" x14ac:dyDescent="0.25">
      <c r="A462" s="575" t="s">
        <v>1656</v>
      </c>
      <c r="B462" s="575"/>
      <c r="C462" s="575"/>
      <c r="D462" s="575"/>
      <c r="E462" s="575"/>
      <c r="F462" s="537" t="s">
        <v>14250</v>
      </c>
      <c r="G462" s="537" t="s">
        <v>14251</v>
      </c>
      <c r="H462" s="536"/>
      <c r="I462" s="536"/>
      <c r="J462" s="536"/>
      <c r="K462" s="537" t="s">
        <v>14252</v>
      </c>
      <c r="L462" s="537" t="s">
        <v>14244</v>
      </c>
      <c r="M462" s="537" t="s">
        <v>14245</v>
      </c>
      <c r="N462" s="536"/>
    </row>
    <row r="463" spans="1:17" ht="15" customHeight="1" x14ac:dyDescent="0.25">
      <c r="A463" s="575" t="s">
        <v>1657</v>
      </c>
      <c r="B463" s="575"/>
      <c r="C463" s="575"/>
      <c r="D463" s="575"/>
      <c r="E463" s="575"/>
      <c r="F463" s="537" t="s">
        <v>1658</v>
      </c>
      <c r="G463" s="537" t="s">
        <v>14253</v>
      </c>
      <c r="H463" s="536"/>
      <c r="I463" s="536"/>
      <c r="J463" s="536"/>
      <c r="K463" s="537" t="s">
        <v>1659</v>
      </c>
      <c r="L463" s="537" t="s">
        <v>1660</v>
      </c>
      <c r="M463" s="537" t="s">
        <v>1661</v>
      </c>
      <c r="N463" s="536"/>
    </row>
    <row r="464" spans="1:17" ht="15" customHeight="1" x14ac:dyDescent="0.25">
      <c r="A464" s="582" t="s">
        <v>1662</v>
      </c>
      <c r="B464" s="582"/>
      <c r="C464" s="582"/>
      <c r="D464" s="582"/>
      <c r="E464" s="582"/>
      <c r="F464" s="539" t="s">
        <v>14254</v>
      </c>
      <c r="G464" s="539" t="s">
        <v>14255</v>
      </c>
      <c r="H464" s="538"/>
      <c r="I464" s="538"/>
      <c r="J464" s="538"/>
      <c r="K464" s="539" t="s">
        <v>1655</v>
      </c>
      <c r="L464" s="539" t="s">
        <v>14256</v>
      </c>
      <c r="M464" s="539" t="s">
        <v>14257</v>
      </c>
      <c r="N464" s="538"/>
    </row>
    <row r="465" spans="1:17" ht="33.950000000000003" customHeight="1" x14ac:dyDescent="0.25">
      <c r="A465" s="583" t="s">
        <v>1663</v>
      </c>
      <c r="B465" s="583"/>
      <c r="C465" s="583"/>
      <c r="D465" s="583"/>
      <c r="E465" s="583"/>
      <c r="F465" s="540" t="s">
        <v>1650</v>
      </c>
      <c r="G465" s="540" t="s">
        <v>14241</v>
      </c>
      <c r="H465" s="540" t="s">
        <v>14242</v>
      </c>
      <c r="I465" s="540" t="s">
        <v>14243</v>
      </c>
      <c r="J465" s="540" t="s">
        <v>1651</v>
      </c>
      <c r="K465" s="540" t="s">
        <v>1652</v>
      </c>
      <c r="L465" s="540" t="s">
        <v>1664</v>
      </c>
      <c r="M465" s="540" t="s">
        <v>1664</v>
      </c>
      <c r="N465" s="540" t="s">
        <v>14246</v>
      </c>
      <c r="P465" s="541" t="s">
        <v>1665</v>
      </c>
      <c r="Q465" s="542">
        <f>SUM(Q9:Q456)</f>
        <v>19169.373868668503</v>
      </c>
    </row>
    <row r="466" spans="1:17" ht="15" customHeight="1" x14ac:dyDescent="0.25">
      <c r="A466" s="581"/>
      <c r="B466" s="581"/>
      <c r="C466" s="581"/>
      <c r="D466" s="581"/>
      <c r="E466" s="581"/>
      <c r="F466" s="581"/>
      <c r="G466" s="581"/>
      <c r="H466" s="581"/>
      <c r="I466" s="581"/>
      <c r="J466" s="581"/>
      <c r="K466" s="581"/>
      <c r="L466" s="581"/>
      <c r="M466" s="581"/>
      <c r="N466" s="581"/>
    </row>
    <row r="467" spans="1:17" ht="15" customHeight="1" x14ac:dyDescent="0.25">
      <c r="A467" s="581"/>
      <c r="B467" s="581"/>
      <c r="C467" s="581"/>
      <c r="D467" s="581"/>
      <c r="E467" s="581"/>
      <c r="F467" s="581"/>
      <c r="G467" s="581"/>
      <c r="H467" s="581"/>
      <c r="I467" s="581"/>
      <c r="J467" s="581"/>
      <c r="K467" s="581"/>
      <c r="L467" s="581"/>
      <c r="M467" s="581"/>
      <c r="N467" s="581"/>
    </row>
    <row r="468" spans="1:17" ht="15" customHeight="1" x14ac:dyDescent="0.25">
      <c r="A468" s="576" t="s">
        <v>1666</v>
      </c>
      <c r="B468" s="576"/>
      <c r="C468" s="576"/>
      <c r="D468" s="576"/>
      <c r="E468" s="577"/>
      <c r="F468" s="577"/>
      <c r="G468" s="577"/>
      <c r="H468" s="577"/>
      <c r="I468" s="577"/>
      <c r="J468" s="577"/>
      <c r="K468" s="577"/>
      <c r="L468" s="577"/>
      <c r="M468" s="577"/>
      <c r="N468" s="577"/>
    </row>
    <row r="469" spans="1:17" ht="15" customHeight="1" x14ac:dyDescent="0.25">
      <c r="A469" s="576" t="s">
        <v>1667</v>
      </c>
      <c r="B469" s="576"/>
      <c r="C469" s="576"/>
      <c r="D469" s="576"/>
      <c r="E469" s="577"/>
      <c r="F469" s="577"/>
      <c r="G469" s="577"/>
      <c r="H469" s="577"/>
      <c r="I469" s="577"/>
      <c r="J469" s="577"/>
      <c r="K469" s="577"/>
      <c r="L469" s="577"/>
      <c r="M469" s="577"/>
      <c r="N469" s="577"/>
    </row>
    <row r="470" spans="1:17" ht="15.75" customHeight="1" x14ac:dyDescent="0.25">
      <c r="A470" s="576" t="s">
        <v>1668</v>
      </c>
      <c r="B470" s="576"/>
      <c r="C470" s="576"/>
      <c r="D470" s="535" t="s">
        <v>277</v>
      </c>
      <c r="E470" s="577"/>
      <c r="F470" s="577"/>
      <c r="G470" s="577"/>
      <c r="H470" s="577"/>
      <c r="I470" s="577"/>
      <c r="J470" s="577"/>
      <c r="K470" s="577"/>
      <c r="L470" s="577"/>
      <c r="M470" s="577"/>
      <c r="N470" s="577"/>
    </row>
    <row r="471" spans="1:17" ht="15" customHeight="1" x14ac:dyDescent="0.25">
      <c r="A471" s="575" t="s">
        <v>296</v>
      </c>
      <c r="B471" s="575"/>
      <c r="C471" s="575"/>
      <c r="D471" s="537" t="s">
        <v>14258</v>
      </c>
      <c r="E471" s="577"/>
      <c r="F471" s="577"/>
      <c r="G471" s="577"/>
      <c r="H471" s="577"/>
      <c r="I471" s="577"/>
      <c r="J471" s="577"/>
      <c r="K471" s="577"/>
      <c r="L471" s="577"/>
      <c r="M471" s="577"/>
      <c r="N471" s="577"/>
    </row>
    <row r="472" spans="1:17" ht="15" customHeight="1" x14ac:dyDescent="0.25">
      <c r="A472" s="575" t="s">
        <v>1669</v>
      </c>
      <c r="B472" s="575"/>
      <c r="C472" s="575"/>
      <c r="D472" s="537" t="s">
        <v>14259</v>
      </c>
      <c r="E472" s="577"/>
      <c r="F472" s="577"/>
      <c r="G472" s="577"/>
      <c r="H472" s="577"/>
      <c r="I472" s="577"/>
      <c r="J472" s="577"/>
      <c r="K472" s="577"/>
      <c r="L472" s="577"/>
      <c r="M472" s="577"/>
      <c r="N472" s="577"/>
    </row>
    <row r="473" spans="1:17" ht="15" customHeight="1" x14ac:dyDescent="0.25">
      <c r="A473" s="575" t="s">
        <v>1670</v>
      </c>
      <c r="B473" s="575"/>
      <c r="C473" s="575"/>
      <c r="D473" s="537" t="s">
        <v>14260</v>
      </c>
      <c r="E473" s="577"/>
      <c r="F473" s="577"/>
      <c r="G473" s="577"/>
      <c r="H473" s="577"/>
      <c r="I473" s="577"/>
      <c r="J473" s="577"/>
      <c r="K473" s="577"/>
      <c r="L473" s="577"/>
      <c r="M473" s="577"/>
      <c r="N473" s="577"/>
    </row>
    <row r="474" spans="1:17" ht="15" customHeight="1" x14ac:dyDescent="0.25">
      <c r="A474" s="575" t="s">
        <v>331</v>
      </c>
      <c r="B474" s="575"/>
      <c r="C474" s="575"/>
      <c r="D474" s="537" t="s">
        <v>14261</v>
      </c>
      <c r="E474" s="577"/>
      <c r="F474" s="577"/>
      <c r="G474" s="577"/>
      <c r="H474" s="577"/>
      <c r="I474" s="577"/>
      <c r="J474" s="577"/>
      <c r="K474" s="577"/>
      <c r="L474" s="577"/>
      <c r="M474" s="577"/>
      <c r="N474" s="577"/>
    </row>
    <row r="475" spans="1:17" ht="15" customHeight="1" x14ac:dyDescent="0.25">
      <c r="A475" s="575" t="s">
        <v>1671</v>
      </c>
      <c r="B475" s="575"/>
      <c r="C475" s="575"/>
      <c r="D475" s="537" t="s">
        <v>14262</v>
      </c>
      <c r="E475" s="577"/>
      <c r="F475" s="577"/>
      <c r="G475" s="577"/>
      <c r="H475" s="577"/>
      <c r="I475" s="577"/>
      <c r="J475" s="577"/>
      <c r="K475" s="577"/>
      <c r="L475" s="577"/>
      <c r="M475" s="577"/>
      <c r="N475" s="577"/>
    </row>
    <row r="476" spans="1:17" ht="15" customHeight="1" x14ac:dyDescent="0.25">
      <c r="A476" s="575" t="s">
        <v>1672</v>
      </c>
      <c r="B476" s="575"/>
      <c r="C476" s="575"/>
      <c r="D476" s="537" t="s">
        <v>14263</v>
      </c>
      <c r="E476" s="577"/>
      <c r="F476" s="577"/>
      <c r="G476" s="577"/>
      <c r="H476" s="577"/>
      <c r="I476" s="577"/>
      <c r="J476" s="577"/>
      <c r="K476" s="577"/>
      <c r="L476" s="577"/>
      <c r="M476" s="577"/>
      <c r="N476" s="577"/>
    </row>
    <row r="477" spans="1:17" ht="15" customHeight="1" x14ac:dyDescent="0.25">
      <c r="A477" s="575" t="s">
        <v>1673</v>
      </c>
      <c r="B477" s="575"/>
      <c r="C477" s="575"/>
      <c r="D477" s="537" t="s">
        <v>14264</v>
      </c>
      <c r="E477" s="577"/>
      <c r="F477" s="577"/>
      <c r="G477" s="577"/>
      <c r="H477" s="577"/>
      <c r="I477" s="577"/>
      <c r="J477" s="577"/>
      <c r="K477" s="577"/>
      <c r="L477" s="577"/>
      <c r="M477" s="577"/>
      <c r="N477" s="577"/>
    </row>
    <row r="478" spans="1:17" ht="15" customHeight="1" x14ac:dyDescent="0.25">
      <c r="A478" s="575" t="s">
        <v>1674</v>
      </c>
      <c r="B478" s="575"/>
      <c r="C478" s="575"/>
      <c r="D478" s="537" t="s">
        <v>1675</v>
      </c>
      <c r="E478" s="577"/>
      <c r="F478" s="577"/>
      <c r="G478" s="577"/>
      <c r="H478" s="577"/>
      <c r="I478" s="577"/>
      <c r="J478" s="577"/>
      <c r="K478" s="577"/>
      <c r="L478" s="577"/>
      <c r="M478" s="577"/>
      <c r="N478" s="577"/>
    </row>
    <row r="479" spans="1:17" ht="15" customHeight="1" x14ac:dyDescent="0.25">
      <c r="A479" s="575" t="s">
        <v>1676</v>
      </c>
      <c r="B479" s="575"/>
      <c r="C479" s="575"/>
      <c r="D479" s="537" t="s">
        <v>1677</v>
      </c>
      <c r="E479" s="577"/>
      <c r="F479" s="577"/>
      <c r="G479" s="577"/>
      <c r="H479" s="577"/>
      <c r="I479" s="577"/>
      <c r="J479" s="577"/>
      <c r="K479" s="577"/>
      <c r="L479" s="577"/>
      <c r="M479" s="577"/>
      <c r="N479" s="577"/>
    </row>
    <row r="480" spans="1:17" ht="15" customHeight="1" x14ac:dyDescent="0.25">
      <c r="A480" s="575" t="s">
        <v>1678</v>
      </c>
      <c r="B480" s="575"/>
      <c r="C480" s="575"/>
      <c r="D480" s="537" t="s">
        <v>14265</v>
      </c>
      <c r="E480" s="577"/>
      <c r="F480" s="577"/>
      <c r="G480" s="577"/>
      <c r="H480" s="577"/>
      <c r="I480" s="577"/>
      <c r="J480" s="577"/>
      <c r="K480" s="577"/>
      <c r="L480" s="577"/>
      <c r="M480" s="577"/>
      <c r="N480" s="577"/>
    </row>
    <row r="481" spans="1:14" ht="15" customHeight="1" x14ac:dyDescent="0.25">
      <c r="A481" s="575" t="s">
        <v>1679</v>
      </c>
      <c r="B481" s="575"/>
      <c r="C481" s="575"/>
      <c r="D481" s="537" t="s">
        <v>14266</v>
      </c>
      <c r="E481" s="577"/>
      <c r="F481" s="577"/>
      <c r="G481" s="577"/>
      <c r="H481" s="577"/>
      <c r="I481" s="577"/>
      <c r="J481" s="577"/>
      <c r="K481" s="577"/>
      <c r="L481" s="577"/>
      <c r="M481" s="577"/>
      <c r="N481" s="577"/>
    </row>
    <row r="482" spans="1:14" ht="15" customHeight="1" x14ac:dyDescent="0.25">
      <c r="A482" s="582" t="s">
        <v>1680</v>
      </c>
      <c r="B482" s="582"/>
      <c r="C482" s="582"/>
      <c r="D482" s="539" t="s">
        <v>1681</v>
      </c>
      <c r="E482" s="584"/>
      <c r="F482" s="584"/>
      <c r="G482" s="584"/>
      <c r="H482" s="584"/>
      <c r="I482" s="584"/>
      <c r="J482" s="584"/>
      <c r="K482" s="584"/>
      <c r="L482" s="584"/>
      <c r="M482" s="584"/>
      <c r="N482" s="584"/>
    </row>
    <row r="483" spans="1:14" ht="15" customHeight="1" x14ac:dyDescent="0.25">
      <c r="A483" s="583" t="s">
        <v>123</v>
      </c>
      <c r="B483" s="583"/>
      <c r="C483" s="583"/>
      <c r="D483" s="540" t="s">
        <v>14242</v>
      </c>
      <c r="E483" s="583"/>
      <c r="F483" s="583"/>
      <c r="G483" s="583"/>
      <c r="H483" s="583"/>
      <c r="I483" s="583"/>
      <c r="J483" s="583"/>
      <c r="K483" s="583"/>
      <c r="L483" s="583"/>
      <c r="M483" s="583"/>
      <c r="N483" s="583"/>
    </row>
  </sheetData>
  <mergeCells count="47">
    <mergeCell ref="A481:C481"/>
    <mergeCell ref="E481:N481"/>
    <mergeCell ref="A482:C482"/>
    <mergeCell ref="E482:N482"/>
    <mergeCell ref="A483:C483"/>
    <mergeCell ref="E483:N483"/>
    <mergeCell ref="A478:C478"/>
    <mergeCell ref="E478:N478"/>
    <mergeCell ref="A479:C479"/>
    <mergeCell ref="E479:N479"/>
    <mergeCell ref="A480:C480"/>
    <mergeCell ref="E480:N480"/>
    <mergeCell ref="A475:C475"/>
    <mergeCell ref="E475:N475"/>
    <mergeCell ref="A476:C476"/>
    <mergeCell ref="E476:N476"/>
    <mergeCell ref="A477:C477"/>
    <mergeCell ref="E477:N477"/>
    <mergeCell ref="A472:C472"/>
    <mergeCell ref="E472:N472"/>
    <mergeCell ref="A473:C473"/>
    <mergeCell ref="E473:N473"/>
    <mergeCell ref="A474:C474"/>
    <mergeCell ref="E474:N474"/>
    <mergeCell ref="A461:E461"/>
    <mergeCell ref="A462:E462"/>
    <mergeCell ref="A463:E463"/>
    <mergeCell ref="A464:E464"/>
    <mergeCell ref="E470:N470"/>
    <mergeCell ref="A466:N466"/>
    <mergeCell ref="A470:C470"/>
    <mergeCell ref="A465:E465"/>
    <mergeCell ref="A467:N467"/>
    <mergeCell ref="A469:D469"/>
    <mergeCell ref="A460:E460"/>
    <mergeCell ref="A1:N1"/>
    <mergeCell ref="A2:N2"/>
    <mergeCell ref="A4:N4"/>
    <mergeCell ref="A8:N8"/>
    <mergeCell ref="A458:E458"/>
    <mergeCell ref="A459:E459"/>
    <mergeCell ref="A457:N457"/>
    <mergeCell ref="A471:C471"/>
    <mergeCell ref="A468:D468"/>
    <mergeCell ref="E468:N468"/>
    <mergeCell ref="E469:N469"/>
    <mergeCell ref="E471:N471"/>
  </mergeCells>
  <hyperlinks>
    <hyperlink ref="D9" r:id="rId1" xr:uid="{1F0295F9-B322-4DB7-BCF4-687DE59DE9F7}"/>
    <hyperlink ref="D10" r:id="rId2" xr:uid="{742DFC86-3298-4B20-B45D-69EE498FA7D1}"/>
    <hyperlink ref="D11" r:id="rId3" xr:uid="{373605E7-02F5-4EEC-BE96-82D3AF590DE9}"/>
    <hyperlink ref="D12" r:id="rId4" xr:uid="{FEF2ACA5-731B-42AA-AC7F-D242C0DAF4F5}"/>
    <hyperlink ref="D13" r:id="rId5" xr:uid="{67A9C0F5-3BED-41B5-9058-DD80FCEF720C}"/>
    <hyperlink ref="D14" r:id="rId6" xr:uid="{CD9BA1DD-FDCD-46C9-90A5-66992D1252EF}"/>
    <hyperlink ref="D15" r:id="rId7" xr:uid="{43491DB9-D761-4BDB-A779-EC9F2BE5E37E}"/>
    <hyperlink ref="D16" r:id="rId8" xr:uid="{4863DC1D-22F8-4DF1-8658-1020C014DC37}"/>
    <hyperlink ref="D17" r:id="rId9" xr:uid="{64823BAF-825C-4909-9550-D97227132197}"/>
    <hyperlink ref="D18" r:id="rId10" xr:uid="{5D9615B0-D268-4840-B563-A41DEB56E7B2}"/>
    <hyperlink ref="D19" r:id="rId11" xr:uid="{142ADC51-61BF-4A39-9F27-6306A2D2B751}"/>
    <hyperlink ref="D20" r:id="rId12" xr:uid="{90999190-68C3-4E54-B3EC-940A70CB6D2F}"/>
    <hyperlink ref="D21" r:id="rId13" xr:uid="{40868F3C-3A77-42D4-A204-700E4920930D}"/>
    <hyperlink ref="D22" r:id="rId14" xr:uid="{8D1BB787-4C54-4968-85C4-3D0A971516B8}"/>
    <hyperlink ref="D23" r:id="rId15" xr:uid="{BB49C7AE-3616-4A9A-A9D2-63C2FC9C43B9}"/>
    <hyperlink ref="D24" r:id="rId16" xr:uid="{D312F38B-7903-4283-AF13-1D2607E9AFE3}"/>
    <hyperlink ref="D25" r:id="rId17" xr:uid="{AD20DFD7-236E-42D6-AF95-FBFEB5F767B9}"/>
    <hyperlink ref="D26" r:id="rId18" xr:uid="{1E413A76-65F6-4C6D-B5BA-7B421870FACD}"/>
    <hyperlink ref="D27" r:id="rId19" xr:uid="{461A7133-DD05-4A9F-AAF7-1282A74277D4}"/>
    <hyperlink ref="D28" r:id="rId20" xr:uid="{C1DBFBE3-E165-4079-BFD9-ADC282551CD7}"/>
    <hyperlink ref="D29" r:id="rId21" xr:uid="{C88A40AB-60A1-43E6-BDCE-244CEFA576E9}"/>
    <hyperlink ref="D30" r:id="rId22" xr:uid="{0D5425D9-E05A-4C76-AFEA-8DC50E8C9662}"/>
    <hyperlink ref="D31" r:id="rId23" xr:uid="{12B3962E-FB8C-48D9-B60F-0F018F68A1B8}"/>
    <hyperlink ref="D32" r:id="rId24" xr:uid="{60622DDF-E57B-469A-BDDA-1101D5C222DF}"/>
    <hyperlink ref="D33" r:id="rId25" xr:uid="{770C450B-447E-461D-BA66-2A610EFBB2A5}"/>
    <hyperlink ref="D34" r:id="rId26" xr:uid="{BCC45A96-86F2-45CC-94A8-DBD3ED1119C3}"/>
    <hyperlink ref="D35" r:id="rId27" xr:uid="{C4CA9A6B-1C75-4A31-8C27-286F02096060}"/>
    <hyperlink ref="D36" r:id="rId28" xr:uid="{22A628F3-0070-4539-B33E-A00A6914AC11}"/>
    <hyperlink ref="D37" r:id="rId29" xr:uid="{D47E7EF5-5D76-44A5-99DC-C8AB3EF0F205}"/>
    <hyperlink ref="D38" r:id="rId30" xr:uid="{B765C003-4CED-4E00-819B-E3BE316C61E3}"/>
    <hyperlink ref="D39" r:id="rId31" xr:uid="{84AD0679-12F9-4737-A5F1-564C4D36C90F}"/>
    <hyperlink ref="D40" r:id="rId32" xr:uid="{FD5C2B98-0322-4740-AAC2-26EDD8FA2DF1}"/>
    <hyperlink ref="D41" r:id="rId33" xr:uid="{9654DAA5-8519-41DA-BD37-7B7F23C5E7DB}"/>
    <hyperlink ref="D42" r:id="rId34" xr:uid="{689797C9-2F3F-48B9-BF48-5E23B5BA92C9}"/>
    <hyperlink ref="D43" r:id="rId35" xr:uid="{FC4E7599-97CF-4C18-A191-25A7BC72C6C8}"/>
    <hyperlink ref="D44" r:id="rId36" xr:uid="{D6585E12-F7D1-4052-A687-6F5867B21298}"/>
    <hyperlink ref="D45" r:id="rId37" xr:uid="{69FA3FB6-3F11-49A5-9F15-284DAD45041B}"/>
    <hyperlink ref="D46" r:id="rId38" xr:uid="{1C4F28C8-CEF9-42A0-86DA-7F9DE031DFF4}"/>
    <hyperlink ref="D47" r:id="rId39" xr:uid="{9689E05B-C319-4B1C-AB3C-1DCFC6F1E62E}"/>
    <hyperlink ref="D48" r:id="rId40" xr:uid="{685C0C37-846C-402B-97AD-BBFBEA5E3231}"/>
    <hyperlink ref="D49" r:id="rId41" xr:uid="{F1165EDD-7AD3-4F9B-A88F-0B733309946B}"/>
    <hyperlink ref="D50" r:id="rId42" xr:uid="{ECBE2DC5-168D-4124-9BEA-4B34482C18FD}"/>
    <hyperlink ref="D51" r:id="rId43" xr:uid="{B88CACFE-956D-482A-90D4-689D47E8F330}"/>
    <hyperlink ref="D52" r:id="rId44" xr:uid="{F70E1F9B-7071-4431-A54C-81297EB6C208}"/>
    <hyperlink ref="D53" r:id="rId45" xr:uid="{79552C6E-10A1-4E51-81C3-6FAA2ED357B4}"/>
    <hyperlink ref="D54" r:id="rId46" xr:uid="{95787D0F-75FD-4067-B396-4AEED1627043}"/>
    <hyperlink ref="D55" r:id="rId47" xr:uid="{5CCB2F90-2AFB-4490-806F-7C2C339CC353}"/>
    <hyperlink ref="D56" r:id="rId48" xr:uid="{B63E170A-B7EA-4C93-8947-767B443619DC}"/>
    <hyperlink ref="D57" r:id="rId49" xr:uid="{D70A6B6C-1DD5-448B-8FB9-8B45751564EC}"/>
    <hyperlink ref="D58" r:id="rId50" xr:uid="{7CD93AC0-E4CE-411C-96DD-AAD5DE7E5949}"/>
    <hyperlink ref="D59" r:id="rId51" xr:uid="{7AA733DA-A163-4D2C-9136-0BF28626F868}"/>
    <hyperlink ref="D60" r:id="rId52" xr:uid="{63B6397B-E949-44B9-B26A-075FE2DA7D5C}"/>
    <hyperlink ref="D61" r:id="rId53" xr:uid="{75261832-5AB8-4A12-AF37-B44E8FFE4FEE}"/>
    <hyperlink ref="D62" r:id="rId54" xr:uid="{9A36FB30-3676-4990-8B34-77E47E0948B7}"/>
    <hyperlink ref="D63" r:id="rId55" xr:uid="{ACA89B6F-C137-432D-B436-52DDD11A62EF}"/>
    <hyperlink ref="D64" r:id="rId56" xr:uid="{20413313-5538-4314-ADE6-1DED42E1ADC8}"/>
    <hyperlink ref="D65" r:id="rId57" xr:uid="{CFE53174-687A-4450-868F-A04A1C5A5471}"/>
    <hyperlink ref="D66" r:id="rId58" xr:uid="{38F38BA7-489F-45EA-95F4-B54F238EAC76}"/>
    <hyperlink ref="D67" r:id="rId59" xr:uid="{5F1EAAC5-37A7-47C0-88F7-109CB282FC8D}"/>
    <hyperlink ref="D68" r:id="rId60" xr:uid="{04758A32-1958-47C5-B6E7-27CC90C31FC6}"/>
    <hyperlink ref="D69" r:id="rId61" xr:uid="{66173BDE-2652-48F1-B8D6-6BBC3CA6E2B5}"/>
    <hyperlink ref="D70" r:id="rId62" xr:uid="{B7E70AF8-5567-4C55-A0D3-0457F3C1F050}"/>
    <hyperlink ref="D71" r:id="rId63" xr:uid="{DCD83316-B41C-4E51-A537-A46404C0C4AD}"/>
    <hyperlink ref="D72" r:id="rId64" xr:uid="{2E6F907D-020B-4FEA-BABD-BC696BE97031}"/>
    <hyperlink ref="D73" r:id="rId65" xr:uid="{BFDAD1B8-533D-4FFA-A380-F25A3BC02225}"/>
    <hyperlink ref="D74" r:id="rId66" xr:uid="{66FE2F8A-B830-4BB5-A92B-1D03A7203C15}"/>
    <hyperlink ref="D75" r:id="rId67" xr:uid="{77ED05DE-B4D4-43B9-97FD-3A2C2DEFCDC8}"/>
    <hyperlink ref="D76" r:id="rId68" xr:uid="{FAB00F2A-8542-4376-B509-B4C3751AC446}"/>
    <hyperlink ref="D77" r:id="rId69" xr:uid="{98106E68-CBCD-49F3-B79F-78C26FC412F7}"/>
    <hyperlink ref="D78" r:id="rId70" xr:uid="{FA11F9D9-8B8F-402C-AD16-A8BACC871BE5}"/>
    <hyperlink ref="D79" r:id="rId71" xr:uid="{DCBAE117-B1CE-4D89-AC4A-2EB271E02C47}"/>
    <hyperlink ref="D80" r:id="rId72" xr:uid="{DD781BD1-A4FD-48D2-980F-6B8DB5A725F8}"/>
    <hyperlink ref="D81" r:id="rId73" xr:uid="{D0B6075A-9053-437D-B293-D58730445D0D}"/>
    <hyperlink ref="D82" r:id="rId74" xr:uid="{98724EF6-D5C5-4FA4-97EB-366B33B051FD}"/>
    <hyperlink ref="D83" r:id="rId75" xr:uid="{197186EC-BE86-48E4-BA34-4E3AB708603A}"/>
    <hyperlink ref="D84" r:id="rId76" xr:uid="{D6A6D492-DF5B-4C26-83BF-5E2766B1503D}"/>
    <hyperlink ref="D85" r:id="rId77" xr:uid="{9AE3BBBE-1D12-4205-B806-BC9AF0AA521A}"/>
    <hyperlink ref="D86" r:id="rId78" xr:uid="{7DF893BC-E838-41C0-8A41-AA57C3E26FDA}"/>
    <hyperlink ref="D87" r:id="rId79" xr:uid="{4537F0EA-91D0-45B5-90E2-4A0EBFEEE9D3}"/>
    <hyperlink ref="D88" r:id="rId80" xr:uid="{890BBA45-D4A2-4487-BE92-E5A53D282002}"/>
    <hyperlink ref="D89" r:id="rId81" xr:uid="{A65439F7-3352-4818-A670-3D7B46E9A0BF}"/>
    <hyperlink ref="D90" r:id="rId82" xr:uid="{C5EEB099-1290-4F9E-AE22-FBBBE8FCBB4C}"/>
    <hyperlink ref="D91" r:id="rId83" xr:uid="{7A95B73C-1850-4B6C-A87E-F3F3D8F5609C}"/>
    <hyperlink ref="D92" r:id="rId84" xr:uid="{D5201DB3-4C87-477A-84B4-C99B6C82E06F}"/>
    <hyperlink ref="D93" r:id="rId85" xr:uid="{95276B5A-C3D2-4F19-AED3-E088707C82FD}"/>
    <hyperlink ref="D94" r:id="rId86" xr:uid="{38EFA16D-CC4C-48FC-AA81-AEC7CCA83E14}"/>
    <hyperlink ref="D95" r:id="rId87" xr:uid="{8DD1D8D5-BC7F-42B7-B447-594814B44354}"/>
    <hyperlink ref="D96" r:id="rId88" xr:uid="{22C7F8FA-9C76-475E-A781-22739138CF59}"/>
    <hyperlink ref="D97" r:id="rId89" xr:uid="{271BEF38-5B2A-4566-A080-E94F0386FA5A}"/>
    <hyperlink ref="D98" r:id="rId90" xr:uid="{344AF644-302B-4A4C-A2DD-79BCF10621B5}"/>
    <hyperlink ref="D99" r:id="rId91" xr:uid="{A908A65D-2284-4285-8170-B914C878838E}"/>
    <hyperlink ref="D100" r:id="rId92" xr:uid="{02515032-0129-46C4-9081-3057B4930166}"/>
    <hyperlink ref="D101" r:id="rId93" xr:uid="{1E4627FF-8DFC-42AB-B917-2BC276E97619}"/>
    <hyperlink ref="D102" r:id="rId94" xr:uid="{224E5920-ECE0-4879-8831-95D838981341}"/>
    <hyperlink ref="D103" r:id="rId95" xr:uid="{69F55D44-0AD3-49CC-96DF-66A54A7E6E44}"/>
    <hyperlink ref="D104" r:id="rId96" xr:uid="{56310E16-48B6-466A-B0EF-6FD77B3A2E7F}"/>
    <hyperlink ref="D105" r:id="rId97" xr:uid="{B587DA44-B9AE-4761-9F13-6B9C68A270E0}"/>
    <hyperlink ref="D106" r:id="rId98" xr:uid="{166AD22D-B93D-4CAE-93CA-E7FF28DF383E}"/>
    <hyperlink ref="D107" r:id="rId99" xr:uid="{E30D08EF-FEA7-4150-A39A-FF2C38F2E9B5}"/>
    <hyperlink ref="D108" r:id="rId100" xr:uid="{751C9E72-3861-495C-A6D9-2F1230487E44}"/>
    <hyperlink ref="D109" r:id="rId101" xr:uid="{BA69B350-C95A-4A69-AA29-DED05B2E8A70}"/>
    <hyperlink ref="D110" r:id="rId102" xr:uid="{0AAA8DA3-8695-4066-933D-149CCE6A1A81}"/>
    <hyperlink ref="D111" r:id="rId103" xr:uid="{6A632BE8-4484-4277-8548-78785BC3E994}"/>
    <hyperlink ref="D112" r:id="rId104" xr:uid="{89469BE0-4915-4F41-AEBD-E8415303C92E}"/>
    <hyperlink ref="D113" r:id="rId105" xr:uid="{AA16A80E-274B-4677-8FAA-E3CF765A62B8}"/>
    <hyperlink ref="D114" r:id="rId106" xr:uid="{80AA7158-F5D4-4CE5-971C-F3759C300CD6}"/>
    <hyperlink ref="D115" r:id="rId107" xr:uid="{1B610416-9862-44EF-A636-B7B3B17A5A3E}"/>
    <hyperlink ref="D116" r:id="rId108" xr:uid="{F242AA1E-9B54-4895-BFEB-93B27DC0810B}"/>
    <hyperlink ref="D117" r:id="rId109" xr:uid="{67AB6054-DC25-4520-9FB3-1AF8D2A11873}"/>
    <hyperlink ref="D118" r:id="rId110" xr:uid="{A452F767-16B2-42A1-84D8-D2C0FB3B90D8}"/>
    <hyperlink ref="D119" r:id="rId111" xr:uid="{0161C4FB-FEE2-4005-8FE6-1456EDD33063}"/>
    <hyperlink ref="D120" r:id="rId112" xr:uid="{E0F504CF-2078-47C8-A906-032D10C93588}"/>
    <hyperlink ref="D121" r:id="rId113" xr:uid="{AFB24559-A1D5-40CC-AF16-5AD390FC356B}"/>
    <hyperlink ref="D122" r:id="rId114" xr:uid="{9C155E55-966B-4415-BAF2-70CD659CE227}"/>
    <hyperlink ref="D123" r:id="rId115" xr:uid="{5ECA9191-5646-4455-A3C1-9CC04B11BB1A}"/>
    <hyperlink ref="D124" r:id="rId116" xr:uid="{903FF653-C3B6-4B79-9E22-70202EAD393F}"/>
    <hyperlink ref="D125" r:id="rId117" xr:uid="{51EAF5D1-481E-432D-8A7E-B6EA6BC5BEE5}"/>
    <hyperlink ref="D126" r:id="rId118" xr:uid="{1720A620-E832-40A9-80B2-86F7E0B6777A}"/>
    <hyperlink ref="D127" r:id="rId119" xr:uid="{4092D581-9740-45CA-91BF-3CC6E55097EC}"/>
    <hyperlink ref="D128" r:id="rId120" xr:uid="{0860D417-5D54-41FF-AE29-9160A6CDEF17}"/>
    <hyperlink ref="D129" r:id="rId121" xr:uid="{1A70083D-6895-4E83-9F5D-15D8D26F401C}"/>
    <hyperlink ref="D130" r:id="rId122" xr:uid="{77147BDA-24D4-46AC-BC7C-B458D9D68E21}"/>
    <hyperlink ref="D131" r:id="rId123" xr:uid="{5DD68253-BAFF-40FB-83DD-68C8C52BE359}"/>
    <hyperlink ref="D132" r:id="rId124" xr:uid="{49B2FD79-AD1B-4BEE-8FB4-C3D4C47F2B2E}"/>
    <hyperlink ref="D133" r:id="rId125" xr:uid="{1F4ECF2B-6AC6-4CA1-84D1-9A131E7CFE91}"/>
    <hyperlink ref="D134" r:id="rId126" xr:uid="{1D2AA4B3-064B-44D4-BB1D-67A66678E990}"/>
    <hyperlink ref="D135" r:id="rId127" xr:uid="{F6F2CC42-DFFF-4B75-85B4-C26AA7B50CDA}"/>
    <hyperlink ref="D136" r:id="rId128" xr:uid="{83FDD241-5C81-491E-BE5A-732C3DAE8856}"/>
    <hyperlink ref="D137" r:id="rId129" xr:uid="{1311C3A8-E5A4-452D-9229-A29925185208}"/>
    <hyperlink ref="D138" r:id="rId130" xr:uid="{89F87044-0CAB-4F15-A1F4-D529E9113504}"/>
    <hyperlink ref="D139" r:id="rId131" xr:uid="{D67C84B6-6BAC-4889-8B1B-1E95F56A2E93}"/>
    <hyperlink ref="D140" r:id="rId132" xr:uid="{13DEC7C0-F814-4E7C-8205-BD50502982F6}"/>
    <hyperlink ref="D141" r:id="rId133" xr:uid="{66564B28-18E4-48E0-8325-C32996C158B7}"/>
    <hyperlink ref="D142" r:id="rId134" xr:uid="{1F399CD4-DA73-499B-832C-773A911B8859}"/>
    <hyperlink ref="D143" r:id="rId135" xr:uid="{F4362CCB-6AB1-45EC-9A9D-B35DB76E4F73}"/>
    <hyperlink ref="D144" r:id="rId136" xr:uid="{A3DA3077-8F47-48DA-96E2-AD6D7D137B40}"/>
    <hyperlink ref="D145" r:id="rId137" xr:uid="{6130E71F-D0F9-4C3F-96D5-29127AAB9CF5}"/>
    <hyperlink ref="D146" r:id="rId138" xr:uid="{A9D08837-97B5-40F9-92F1-79B5BCA075E8}"/>
    <hyperlink ref="D147" r:id="rId139" xr:uid="{B873A75A-CD41-4AC7-A2E7-A5D3E187EC1F}"/>
    <hyperlink ref="D148" r:id="rId140" xr:uid="{48F1644E-1A02-4ABD-BD5F-C25D7620C01F}"/>
    <hyperlink ref="D149" r:id="rId141" xr:uid="{EC9719C9-1D61-48E3-B039-AB2EEFBD7FA2}"/>
    <hyperlink ref="D150" r:id="rId142" xr:uid="{C3BF3210-970D-480B-ACDC-A03CA8AA1040}"/>
    <hyperlink ref="D151" r:id="rId143" xr:uid="{221B8D5C-3310-42E6-A03A-DE7959EF2079}"/>
    <hyperlink ref="D152" r:id="rId144" xr:uid="{2247837F-0E86-40AA-9EA4-27A4C0EC3206}"/>
    <hyperlink ref="D153" r:id="rId145" xr:uid="{A719470F-F006-4753-B80C-84F2035698D0}"/>
    <hyperlink ref="D154" r:id="rId146" xr:uid="{BFC9106B-9AA3-452F-83B6-6630F7DCF9B7}"/>
    <hyperlink ref="D155" r:id="rId147" xr:uid="{158B9856-744E-4B44-9AA5-711451F67E86}"/>
    <hyperlink ref="D156" r:id="rId148" xr:uid="{8CC3893E-D65C-42F9-80CC-943235A969AB}"/>
    <hyperlink ref="D157" r:id="rId149" xr:uid="{5758CBF8-4A12-4BA6-AF85-160EDD9BAEDE}"/>
    <hyperlink ref="D158" r:id="rId150" xr:uid="{1E687587-98B1-4BF3-8EE7-760CC5D9C9C8}"/>
    <hyperlink ref="D159" r:id="rId151" xr:uid="{C688B742-257E-4205-B8B8-5EF149047A2A}"/>
    <hyperlink ref="D160" r:id="rId152" xr:uid="{973BC692-13D1-4F9E-8E9C-BCC5ACE3E88A}"/>
    <hyperlink ref="D161" r:id="rId153" xr:uid="{A3D7C811-420A-4BAC-BEAD-2F81E14618E8}"/>
    <hyperlink ref="D162" r:id="rId154" xr:uid="{877B7B50-2F43-4F2A-B21B-F4345E47BBF5}"/>
    <hyperlink ref="D163" r:id="rId155" xr:uid="{59F16A17-2BBA-47B5-BB65-7B6C17DBA1F9}"/>
    <hyperlink ref="D164" r:id="rId156" xr:uid="{FF542783-DFAD-40FB-BE7B-64F4B99B997C}"/>
    <hyperlink ref="D165" r:id="rId157" xr:uid="{7069462F-BD26-4747-81A7-72B6718734BB}"/>
    <hyperlink ref="D166" r:id="rId158" xr:uid="{419BEE97-B654-48B2-B558-EE7E4D746326}"/>
    <hyperlink ref="D167" r:id="rId159" xr:uid="{057C19B3-7371-4F35-A509-A8C9C7EC464C}"/>
    <hyperlink ref="D168" r:id="rId160" xr:uid="{265ED2C0-FE08-4D8E-8F1B-BD218C61CEEA}"/>
    <hyperlink ref="D169" r:id="rId161" xr:uid="{E1A44098-BB0B-4E43-ABE9-E40906EA1B08}"/>
    <hyperlink ref="D170" r:id="rId162" xr:uid="{0CA54BA2-C37D-4740-9A2F-4FDC11506BF0}"/>
    <hyperlink ref="D171" r:id="rId163" xr:uid="{FD69F1E5-5953-497A-AD7C-98381649AEF2}"/>
    <hyperlink ref="D172" r:id="rId164" xr:uid="{7DB3010A-B42A-4FC5-A58E-B183BBBFE0DD}"/>
    <hyperlink ref="D173" r:id="rId165" xr:uid="{664FBF8D-E075-4D72-8C89-135E06451CD7}"/>
    <hyperlink ref="D174" r:id="rId166" xr:uid="{8A56A3FC-C76A-4384-9728-180FDEE95C12}"/>
    <hyperlink ref="D175" r:id="rId167" xr:uid="{980D68E3-90C4-4F90-AC04-963A05E19E80}"/>
    <hyperlink ref="D176" r:id="rId168" xr:uid="{BC7881C5-139C-42E5-93AA-BCB6C4278AAB}"/>
    <hyperlink ref="D177" r:id="rId169" xr:uid="{59544A45-C93D-472D-BBBA-05CD352DE6C3}"/>
    <hyperlink ref="D178" r:id="rId170" xr:uid="{D0F73662-D353-47F1-AE54-9125BCC4F117}"/>
    <hyperlink ref="D179" r:id="rId171" xr:uid="{A0C1C2E1-506C-4075-A9D8-EAEF3E3F3009}"/>
    <hyperlink ref="D180" r:id="rId172" xr:uid="{1710ADE3-3BD9-48AE-9585-C2EBFF144D91}"/>
    <hyperlink ref="D181" r:id="rId173" xr:uid="{057E67E3-381E-4E10-A5D3-3D34B58A673A}"/>
    <hyperlink ref="D182" r:id="rId174" xr:uid="{CBEDFA3F-5764-46FB-85DB-AC33A8767089}"/>
    <hyperlink ref="D183" r:id="rId175" xr:uid="{CE7ED862-3F67-483A-8F5D-C5C7D4E29108}"/>
    <hyperlink ref="D184" r:id="rId176" xr:uid="{28B337C1-1800-4E23-A722-DBDCF7366FC2}"/>
    <hyperlink ref="D185" r:id="rId177" xr:uid="{185387BB-3F32-472D-801E-19ECF2F5B91F}"/>
    <hyperlink ref="D186" r:id="rId178" xr:uid="{8A3D4E49-3CC3-4106-B8E3-87B87B645466}"/>
    <hyperlink ref="D187" r:id="rId179" xr:uid="{43607E51-C4DC-4634-AE83-763D0AFD12F9}"/>
    <hyperlink ref="D188" r:id="rId180" xr:uid="{7CB922C8-B3B1-4AC2-8EDC-F4695ABBD100}"/>
    <hyperlink ref="D189" r:id="rId181" xr:uid="{6DA63EBF-F328-4A47-B883-04C6F0928FAE}"/>
    <hyperlink ref="D190" r:id="rId182" xr:uid="{FD7F90AE-615A-4270-AD8B-5D3130300E2D}"/>
    <hyperlink ref="D191" r:id="rId183" xr:uid="{5B76754B-E207-40C8-85A1-DEA009636CC0}"/>
    <hyperlink ref="D192" r:id="rId184" xr:uid="{0A15AE69-E468-4F5B-8A87-A78F4DB1D990}"/>
    <hyperlink ref="D193" r:id="rId185" xr:uid="{A585E953-1B9B-4F1D-8F40-58CB50F6BE8D}"/>
    <hyperlink ref="D194" r:id="rId186" xr:uid="{FBA3D4E7-0632-4AEF-8287-4230E70A285A}"/>
    <hyperlink ref="D195" r:id="rId187" xr:uid="{696C2D7C-E0D1-44AC-A99B-DE4C456739F8}"/>
    <hyperlink ref="D196" r:id="rId188" xr:uid="{CE1705B5-21A4-4CDC-B10D-AF4B9A6107CD}"/>
    <hyperlink ref="D197" r:id="rId189" xr:uid="{FBA0746F-49DD-4426-B594-AAFAFE7939CF}"/>
    <hyperlink ref="D198" r:id="rId190" xr:uid="{CD66DAAB-B801-4081-A5B3-81FC6764CB5D}"/>
    <hyperlink ref="D199" r:id="rId191" xr:uid="{70FA3ED6-C043-4629-A811-6C07B168FA05}"/>
    <hyperlink ref="D200" r:id="rId192" xr:uid="{7367F415-9538-41CC-B655-498C66A8BEE7}"/>
    <hyperlink ref="D201" r:id="rId193" xr:uid="{4CA179EC-5963-454E-BB6A-225D7EB05B61}"/>
    <hyperlink ref="D202" r:id="rId194" xr:uid="{4BA7FB0A-D37E-4CAE-8D30-2961B36AC22D}"/>
    <hyperlink ref="D203" r:id="rId195" xr:uid="{A794245E-6428-4585-B9C6-A9B43DC1866B}"/>
    <hyperlink ref="D204" r:id="rId196" xr:uid="{1AF02D91-336C-47B9-8D68-37F5BF6C6C6D}"/>
    <hyperlink ref="D205" r:id="rId197" xr:uid="{C87A5426-7676-4CC3-8547-073FE040BCDD}"/>
    <hyperlink ref="D206" r:id="rId198" xr:uid="{14608B5D-C7BD-4F6B-B6A0-5A2BEEB63118}"/>
    <hyperlink ref="D207" r:id="rId199" xr:uid="{4274056D-A819-4F35-A7D7-FC036E2F6D1F}"/>
    <hyperlink ref="D208" r:id="rId200" xr:uid="{88D4A109-9F3C-446E-AD54-8A50BCCBAC54}"/>
    <hyperlink ref="D209" r:id="rId201" xr:uid="{E15A5B40-C36D-4130-B516-37B048D672A0}"/>
    <hyperlink ref="D210" r:id="rId202" xr:uid="{4FE79242-5725-4315-A244-9CE33647E1D7}"/>
    <hyperlink ref="D211" r:id="rId203" xr:uid="{57C2AE27-B5D4-4EA7-A768-074F42FD71E4}"/>
    <hyperlink ref="D212" r:id="rId204" xr:uid="{4D5B2ACE-EF1A-4464-8B80-9D6DBA0F9D79}"/>
    <hyperlink ref="D213" r:id="rId205" xr:uid="{D655D34C-2195-41E9-8259-91C670DD7114}"/>
    <hyperlink ref="D214" r:id="rId206" xr:uid="{5D76C056-8E80-4EB6-A168-380FB469680B}"/>
    <hyperlink ref="D215" r:id="rId207" xr:uid="{B6E507B4-6DF4-4E03-A683-4543071D8E20}"/>
    <hyperlink ref="D216" r:id="rId208" xr:uid="{BD29CF7F-D041-42DE-89D2-FFBCB940CE8A}"/>
    <hyperlink ref="D217" r:id="rId209" xr:uid="{13ED53FF-B13C-447B-B195-1A8B66782695}"/>
    <hyperlink ref="D218" r:id="rId210" xr:uid="{DE54A84F-4DAC-4FA6-A69C-3A44AC1633DC}"/>
    <hyperlink ref="D219" r:id="rId211" xr:uid="{39E9157E-E6F2-48F5-89C1-937B0208DC38}"/>
    <hyperlink ref="D220" r:id="rId212" xr:uid="{4AC16998-3D96-4D37-ABE0-D6877C7482E3}"/>
    <hyperlink ref="D221" r:id="rId213" xr:uid="{194DDB4A-52DC-44CC-8A00-C0412F0DAA40}"/>
    <hyperlink ref="D222" r:id="rId214" xr:uid="{D1826E1C-166D-40E6-8607-1C69D200A5F0}"/>
    <hyperlink ref="D223" r:id="rId215" xr:uid="{87827A81-08BE-4527-A5CA-E73C29851799}"/>
    <hyperlink ref="D224" r:id="rId216" xr:uid="{A521EFA4-C03E-4EA3-A23C-CC074CB37839}"/>
    <hyperlink ref="D225" r:id="rId217" xr:uid="{F5364BEA-AAD8-41D7-903A-A8DAA9C522D9}"/>
    <hyperlink ref="D226" r:id="rId218" xr:uid="{D5CA0D85-BD1B-4FC9-9BB7-64C22EF160D7}"/>
    <hyperlink ref="D227" r:id="rId219" xr:uid="{264E2752-78A6-42CE-88BB-625E4F0AFA08}"/>
    <hyperlink ref="D228" r:id="rId220" xr:uid="{99A63B13-21D9-4AD1-B84D-B80C59BC82FB}"/>
    <hyperlink ref="D229" r:id="rId221" xr:uid="{9C9769D0-360A-44A8-8520-EDCB54451FA6}"/>
    <hyperlink ref="D230" r:id="rId222" xr:uid="{DF0BF966-B7EE-47E8-BAA8-3DCA52608FC2}"/>
    <hyperlink ref="D231" r:id="rId223" xr:uid="{27391F71-C08B-40F8-83F8-5648F0D941BC}"/>
    <hyperlink ref="D232" r:id="rId224" xr:uid="{0265C928-5807-4214-B04E-E051887F7C89}"/>
    <hyperlink ref="D233" r:id="rId225" xr:uid="{A8369BB2-3613-4644-80A4-3E22301B88F4}"/>
    <hyperlink ref="D234" r:id="rId226" xr:uid="{53484B7B-B654-44E0-B678-220F14AE7DBA}"/>
    <hyperlink ref="D235" r:id="rId227" xr:uid="{1E325EAD-1CF8-4FE7-83B9-5AB240A9D7F1}"/>
    <hyperlink ref="D236" r:id="rId228" xr:uid="{27EA7DC3-6756-4A4B-98E7-9AE39B132156}"/>
    <hyperlink ref="D237" r:id="rId229" xr:uid="{B812AB76-E4FA-40C8-B2DC-AE0AA4112BF1}"/>
    <hyperlink ref="D238" r:id="rId230" xr:uid="{E85BFC73-D0AF-490B-8107-9424AF2CBCFB}"/>
    <hyperlink ref="D239" r:id="rId231" xr:uid="{755E52C7-0C5F-4D6C-A3A1-FB2924ACECED}"/>
    <hyperlink ref="D240" r:id="rId232" xr:uid="{27C60179-47FF-4C74-A282-728CB70A1495}"/>
    <hyperlink ref="D241" r:id="rId233" xr:uid="{F5311997-E4FF-4563-8504-C23CE13964C6}"/>
    <hyperlink ref="D242" r:id="rId234" xr:uid="{55AB0EA9-E60E-443C-998E-69427EF7E966}"/>
    <hyperlink ref="D243" r:id="rId235" xr:uid="{EF3A9215-0A89-475E-861D-E900CC5917D0}"/>
    <hyperlink ref="D244" r:id="rId236" xr:uid="{03C8B7F6-B67B-4A24-83F9-62181C55CC96}"/>
    <hyperlink ref="D245" r:id="rId237" xr:uid="{13AF860B-8282-40F5-ABAF-9592D556F113}"/>
    <hyperlink ref="D246" r:id="rId238" xr:uid="{0286B209-7ABA-4B6F-B1FF-6B937718C72C}"/>
    <hyperlink ref="D247" r:id="rId239" xr:uid="{B7266ED3-42F1-431B-A39E-DE5E9F6C463D}"/>
    <hyperlink ref="D248" r:id="rId240" xr:uid="{D139D400-43D8-434A-BBFE-67A4A2DC8F33}"/>
    <hyperlink ref="D249" r:id="rId241" xr:uid="{9A440BFB-1E7A-4E86-B28F-0408DF2B4125}"/>
    <hyperlink ref="D250" r:id="rId242" xr:uid="{3BE337A6-2F66-451E-ABA8-321DC89B8B73}"/>
    <hyperlink ref="D251" r:id="rId243" xr:uid="{C0323A2C-0F76-4DD8-B059-AE0F6CC81715}"/>
    <hyperlink ref="D252" r:id="rId244" xr:uid="{944B7FF9-C18B-470C-A8FB-3C84385EBCDE}"/>
    <hyperlink ref="D253" r:id="rId245" xr:uid="{E2AC6EC2-16C8-42CE-9E33-4E653FE40248}"/>
    <hyperlink ref="D254" r:id="rId246" xr:uid="{96E06930-A589-4009-AF08-84342D95CB2C}"/>
    <hyperlink ref="D255" r:id="rId247" xr:uid="{A6455156-5B1C-4946-86A0-791C3B22CD61}"/>
    <hyperlink ref="D256" r:id="rId248" xr:uid="{8B1E019C-37B9-44BE-A485-B1D6453DF273}"/>
    <hyperlink ref="D257" r:id="rId249" xr:uid="{F40BC0DB-90A6-48F6-9E38-D8D6C3F5AF57}"/>
    <hyperlink ref="D258" r:id="rId250" xr:uid="{60C3C751-B2F5-4DBA-BEE8-FD059FA53EA8}"/>
    <hyperlink ref="D259" r:id="rId251" xr:uid="{8A9CC13B-0DA0-4500-BBC6-E419A906E8DC}"/>
    <hyperlink ref="D260" r:id="rId252" xr:uid="{D5ECCC02-9651-47A5-903D-8157E16F2E79}"/>
    <hyperlink ref="D261" r:id="rId253" xr:uid="{7818F913-A627-41B3-A5B7-729131A7091B}"/>
    <hyperlink ref="D262" r:id="rId254" xr:uid="{D0ABC41F-57FA-4C8A-BE7E-5CE472EE0B7B}"/>
    <hyperlink ref="D263" r:id="rId255" xr:uid="{A74FB9C0-0368-49F9-8D97-14940074A308}"/>
    <hyperlink ref="D264" r:id="rId256" xr:uid="{A1223051-A22D-4EBB-B934-47EE3C13BE27}"/>
    <hyperlink ref="D265" r:id="rId257" xr:uid="{A5742548-714F-49EC-A27C-F1619E16576D}"/>
    <hyperlink ref="D266" r:id="rId258" xr:uid="{A6FB3DCD-09A1-4181-89B9-3B5873209B52}"/>
    <hyperlink ref="D267" r:id="rId259" xr:uid="{89558FE1-175E-45EA-89AE-9038F716ED42}"/>
    <hyperlink ref="D268" r:id="rId260" xr:uid="{DDA08063-3F9C-4FDD-A4B1-5B99B0AA0C3B}"/>
    <hyperlink ref="D269" r:id="rId261" xr:uid="{311AA65C-0EC8-4399-B188-E29F89CD2ED7}"/>
    <hyperlink ref="D270" r:id="rId262" xr:uid="{B9AA6FEB-3B26-4C59-BE1F-5C2F7F5A504A}"/>
    <hyperlink ref="D271" r:id="rId263" xr:uid="{D635E03F-BC5E-4837-87BC-299F086EEC47}"/>
    <hyperlink ref="D272" r:id="rId264" xr:uid="{B418A45A-0254-4A20-A208-B137DEDD26A0}"/>
    <hyperlink ref="D273" r:id="rId265" xr:uid="{873C0FC6-05F7-4D1B-A2FA-0B68C7EB9D0C}"/>
    <hyperlink ref="D274" r:id="rId266" xr:uid="{6BA1B47E-C27D-4731-867A-93A76973D6DC}"/>
    <hyperlink ref="D275" r:id="rId267" xr:uid="{45D9F552-FFDF-4820-8E15-99E1EA0DDDC7}"/>
    <hyperlink ref="D276" r:id="rId268" xr:uid="{AFE8E7C6-B179-4691-B74E-C89E88BE09AC}"/>
    <hyperlink ref="D277" r:id="rId269" xr:uid="{3DF65B5A-D193-4B2A-9319-0A949E564653}"/>
    <hyperlink ref="D278" r:id="rId270" xr:uid="{9B0D17BD-5060-4F7D-96D4-7A32612A3A6C}"/>
    <hyperlink ref="D279" r:id="rId271" xr:uid="{E7845291-7520-4E63-8E30-2B524B1592ED}"/>
    <hyperlink ref="D280" r:id="rId272" xr:uid="{A6C6F220-5025-49B9-B5B1-224508298663}"/>
    <hyperlink ref="D281" r:id="rId273" xr:uid="{0E5B534A-B695-4F4E-834D-03EA39DF9929}"/>
    <hyperlink ref="D282" r:id="rId274" xr:uid="{25A6AEE7-CCDF-4C37-9A9F-DB979FA3C4AF}"/>
    <hyperlink ref="D283" r:id="rId275" xr:uid="{DD922EDF-7339-4A89-A74E-6229676B1E5C}"/>
    <hyperlink ref="D284" r:id="rId276" xr:uid="{68AF361A-D97E-40BF-8E5E-03FAEA8AB65C}"/>
    <hyperlink ref="D285" r:id="rId277" xr:uid="{E8637E36-90A0-43B2-9422-3946E4C83D40}"/>
    <hyperlink ref="D286" r:id="rId278" xr:uid="{545C622E-2DA8-4D79-8D7D-4CA8028B0881}"/>
    <hyperlink ref="D287" r:id="rId279" xr:uid="{BFCF624F-49D0-4339-9C3F-9163ED9CE37D}"/>
    <hyperlink ref="D288" r:id="rId280" xr:uid="{CB35A13B-6847-4C14-A325-660E48FD2052}"/>
    <hyperlink ref="D289" r:id="rId281" xr:uid="{438606DE-BC8C-4949-B3D3-9188932191AB}"/>
    <hyperlink ref="D290" r:id="rId282" xr:uid="{512EB9A5-6A8A-46FA-8E0D-1D6695288821}"/>
    <hyperlink ref="D291" r:id="rId283" xr:uid="{2DB7ACD7-F811-4090-823B-3863F9A0818A}"/>
    <hyperlink ref="D292" r:id="rId284" xr:uid="{6362F710-20C8-4915-86AA-5EE334D1A1DC}"/>
    <hyperlink ref="D293" r:id="rId285" xr:uid="{E7BB67DC-6EA6-4F23-9E3D-E82997AF6462}"/>
    <hyperlink ref="D294" r:id="rId286" xr:uid="{2622057A-019F-4197-A8BF-3E2479EDC94D}"/>
    <hyperlink ref="D295" r:id="rId287" xr:uid="{BCB6311C-C604-4F0D-82CA-A397044C2F61}"/>
    <hyperlink ref="D296" r:id="rId288" xr:uid="{01992331-E176-4FE3-BBBA-7EE27A35C00D}"/>
    <hyperlink ref="D297" r:id="rId289" xr:uid="{F67DF55D-E9B4-4F3C-B457-B254EA7C2CEF}"/>
    <hyperlink ref="D298" r:id="rId290" xr:uid="{2C35BA2A-B9B6-4575-8573-3AFECA21D642}"/>
    <hyperlink ref="D299" r:id="rId291" xr:uid="{D0563894-D9FB-41E6-A1F6-C857C08C2252}"/>
    <hyperlink ref="D300" r:id="rId292" xr:uid="{D8246001-568C-4F9B-AB38-9A5005EB9591}"/>
    <hyperlink ref="D301" r:id="rId293" xr:uid="{6E53D302-8880-4A59-9E18-84492BD1C1B8}"/>
    <hyperlink ref="D302" r:id="rId294" xr:uid="{ED47B4EB-DE6B-44DF-816A-19D0BBCD71CF}"/>
    <hyperlink ref="D303" r:id="rId295" xr:uid="{542415D4-FF79-40B3-8EDD-3237BCD4EFDB}"/>
    <hyperlink ref="D304" r:id="rId296" xr:uid="{BCF45C4A-3973-4B67-8D2D-3EF2401F454B}"/>
    <hyperlink ref="D305" r:id="rId297" xr:uid="{9EBEFC6B-0EFB-4B79-974D-9C77FF59B190}"/>
    <hyperlink ref="D306" r:id="rId298" xr:uid="{E5F74385-5BDF-41C6-AFD4-4A47634E40B1}"/>
    <hyperlink ref="D307" r:id="rId299" xr:uid="{D909F4F5-56E5-46B4-A6F0-40C7A33BD571}"/>
    <hyperlink ref="D308" r:id="rId300" xr:uid="{A0006BD2-D6D0-4D7D-90A7-A6CE3053D76D}"/>
    <hyperlink ref="D309" r:id="rId301" xr:uid="{88FF079D-4B84-4342-B42A-3019F0BC98AE}"/>
    <hyperlink ref="D310" r:id="rId302" xr:uid="{F08B1A17-8591-48A9-B0BC-F41A52736898}"/>
    <hyperlink ref="D311" r:id="rId303" xr:uid="{A93D07EF-B42B-459E-8293-1A01CDC4BA3D}"/>
    <hyperlink ref="D312" r:id="rId304" xr:uid="{59134594-86A0-4689-8610-960C3C66F749}"/>
    <hyperlink ref="D313" r:id="rId305" xr:uid="{BB95FEFF-645E-4E8E-AF29-32B687E2A0FD}"/>
    <hyperlink ref="D314" r:id="rId306" xr:uid="{F04A5BB1-F549-4979-88EF-255DC354093B}"/>
    <hyperlink ref="D315" r:id="rId307" xr:uid="{7BE49304-F67E-4E28-8A89-0B28E6438E6E}"/>
    <hyperlink ref="D316" r:id="rId308" xr:uid="{E2FE5461-73CC-4666-AD68-D28B4940BBA7}"/>
    <hyperlink ref="D317" r:id="rId309" xr:uid="{B4C215F7-5BF6-4797-B366-1E5390366B33}"/>
    <hyperlink ref="D318" r:id="rId310" xr:uid="{D4F52CF3-843A-4377-8374-435D3A016AAB}"/>
    <hyperlink ref="D319" r:id="rId311" xr:uid="{F55A1DD8-36E7-4E78-B6F6-1FE12C1CC792}"/>
    <hyperlink ref="D320" r:id="rId312" xr:uid="{D91248D7-F897-48DD-ADD1-D78724D1116B}"/>
    <hyperlink ref="D321" r:id="rId313" xr:uid="{32C2FD6E-B572-47A3-A76E-C4879F6B872D}"/>
    <hyperlink ref="D322" r:id="rId314" xr:uid="{C10EF004-E312-4022-896A-002ED5A8EDED}"/>
    <hyperlink ref="D323" r:id="rId315" xr:uid="{13AD5BCE-1E6B-41AB-B525-434D35CA11BE}"/>
    <hyperlink ref="D324" r:id="rId316" xr:uid="{8A0F8FCF-69AC-48D9-B156-3CC6D9349547}"/>
    <hyperlink ref="D325" r:id="rId317" xr:uid="{7E15C630-5C90-476B-86FB-6F3F13E18650}"/>
    <hyperlink ref="D326" r:id="rId318" xr:uid="{59628FCE-712E-4B3F-A75C-7C6540141193}"/>
    <hyperlink ref="D327" r:id="rId319" xr:uid="{A4BA47F2-7E51-421E-BE81-BE1B43D68F18}"/>
    <hyperlink ref="D328" r:id="rId320" xr:uid="{21F11963-9791-49B7-A3F8-74ADA7496022}"/>
    <hyperlink ref="D329" r:id="rId321" xr:uid="{BA3BDF12-E2AC-4498-8FE2-26B179C6D778}"/>
    <hyperlink ref="D330" r:id="rId322" xr:uid="{CACF8FD2-013D-4E49-AD3F-45A4E807C637}"/>
    <hyperlink ref="D331" r:id="rId323" xr:uid="{33F10150-22B9-45FA-9AA3-ED8CF8AF4CF4}"/>
    <hyperlink ref="D332" r:id="rId324" xr:uid="{F64AA547-3A22-42AB-B28B-B9BDEBC562BF}"/>
    <hyperlink ref="D333" r:id="rId325" xr:uid="{BF6CEC18-4E82-4091-92FB-97A552FEC724}"/>
    <hyperlink ref="D334" r:id="rId326" xr:uid="{3E4F19FE-CEE3-412D-8A89-70CEC85AF2F7}"/>
    <hyperlink ref="D335" r:id="rId327" xr:uid="{0E5A9FAC-3C4F-4B91-9589-7445EEA4EDF9}"/>
    <hyperlink ref="D336" r:id="rId328" xr:uid="{CD579A2A-4A4D-4C24-96F5-18197D16DDFA}"/>
    <hyperlink ref="D337" r:id="rId329" xr:uid="{28CA610A-1E85-4A38-A3FF-96D3DC5AD869}"/>
    <hyperlink ref="D338" r:id="rId330" xr:uid="{DA781349-980B-4C6B-9F0B-639B03EFE808}"/>
    <hyperlink ref="D339" r:id="rId331" xr:uid="{A110F746-DB26-4DFD-82BB-3304FF4D71E5}"/>
    <hyperlink ref="D340" r:id="rId332" xr:uid="{B6A30A6F-70AC-4BC7-BD5E-BB2EA9E77C2C}"/>
    <hyperlink ref="D341" r:id="rId333" xr:uid="{FB1FCA0E-0C61-440C-8CF9-71629419FDD4}"/>
    <hyperlink ref="D342" r:id="rId334" xr:uid="{167A58CE-63FC-44AF-A241-82D24C8F07FE}"/>
    <hyperlink ref="D343" r:id="rId335" xr:uid="{116E1A27-56F5-479C-B693-710ABA62EB47}"/>
    <hyperlink ref="D344" r:id="rId336" xr:uid="{9606A69B-99F7-49ED-AE9A-06B3E2FF2AC6}"/>
    <hyperlink ref="D345" r:id="rId337" xr:uid="{22C221E1-BEAE-43AE-A31C-1751690525FB}"/>
    <hyperlink ref="D346" r:id="rId338" xr:uid="{840C6CA1-0318-442F-8F16-5D988D3914B1}"/>
    <hyperlink ref="D347" r:id="rId339" xr:uid="{1458F089-9A80-4036-B16E-80A5F67F2230}"/>
    <hyperlink ref="D348" r:id="rId340" xr:uid="{C5377088-7E85-447A-BA21-25DCAB6389E2}"/>
    <hyperlink ref="D349" r:id="rId341" xr:uid="{2B4C05E7-BB81-456A-BA18-A2D90AEBFF0E}"/>
    <hyperlink ref="D350" r:id="rId342" xr:uid="{715ACB49-C5C9-4F40-8D98-E263136AEF6B}"/>
    <hyperlink ref="D351" r:id="rId343" xr:uid="{AB3F527E-8369-47BC-B6B2-A9F321278E04}"/>
    <hyperlink ref="D352" r:id="rId344" xr:uid="{A3F07B04-65EB-4005-A2F2-3764EC51A644}"/>
    <hyperlink ref="D353" r:id="rId345" xr:uid="{F8AF1F00-162E-40C9-AFD1-FD3B6B62D5DB}"/>
    <hyperlink ref="D354" r:id="rId346" xr:uid="{78B1FB92-0037-479A-9053-B45AC8A507D7}"/>
    <hyperlink ref="D355" r:id="rId347" xr:uid="{318F8799-BA05-4036-8A32-F4D72D47DA15}"/>
    <hyperlink ref="D356" r:id="rId348" xr:uid="{EA018388-AFA9-493D-8CF2-5688E33381B1}"/>
    <hyperlink ref="D357" r:id="rId349" xr:uid="{86F1E1B8-6EC8-4167-99DE-75579734B6B4}"/>
    <hyperlink ref="D358" r:id="rId350" xr:uid="{B6D370FD-BC60-4A4A-8035-3491D9D28DEC}"/>
    <hyperlink ref="D359" r:id="rId351" xr:uid="{FD10FF60-B462-4C00-B920-6EB90F38F46D}"/>
    <hyperlink ref="D360" r:id="rId352" xr:uid="{3E323166-B08A-4D82-BD49-A63627150017}"/>
    <hyperlink ref="D361" r:id="rId353" xr:uid="{8F566599-50FB-41FB-B3A1-39830036D8C5}"/>
    <hyperlink ref="D362" r:id="rId354" xr:uid="{1354E77A-01E2-4CE8-A000-1917455EED73}"/>
    <hyperlink ref="D363" r:id="rId355" xr:uid="{D20056F8-9183-466F-B25E-6AA4BC170CD1}"/>
    <hyperlink ref="D364" r:id="rId356" xr:uid="{1667C180-B22C-4FDF-9FB1-7C971D060A52}"/>
    <hyperlink ref="D365" r:id="rId357" xr:uid="{553AC8D4-17F5-4B5A-A595-9D8AEDA92D01}"/>
    <hyperlink ref="D366" r:id="rId358" xr:uid="{76270BB5-476B-4F7C-B32B-729B93F6B353}"/>
    <hyperlink ref="D367" r:id="rId359" xr:uid="{7F840A8A-1BFA-4263-B555-10CCA6E66BFD}"/>
    <hyperlink ref="D368" r:id="rId360" xr:uid="{3D2CFAE4-ABE8-47C0-A23F-CAD92A14F126}"/>
    <hyperlink ref="D369" r:id="rId361" xr:uid="{2CA9DC5D-AA60-4B9D-8651-12771AF4F173}"/>
    <hyperlink ref="D370" r:id="rId362" xr:uid="{60598525-9D10-4411-802F-7B17630A87AA}"/>
    <hyperlink ref="D371" r:id="rId363" xr:uid="{9210425E-28C2-40B4-8190-66048C88A95F}"/>
    <hyperlink ref="D372" r:id="rId364" xr:uid="{106AA96B-FB49-4169-8720-C94711D30DF9}"/>
    <hyperlink ref="D373" r:id="rId365" xr:uid="{211473E4-8A39-4D9C-8DF2-B798F99443E1}"/>
    <hyperlink ref="D374" r:id="rId366" xr:uid="{C7188B61-8AAB-42C7-9E4F-13F760ABACB2}"/>
    <hyperlink ref="D375" r:id="rId367" xr:uid="{355C97E1-8BFD-4417-9463-CA3AA0E49913}"/>
    <hyperlink ref="D376" r:id="rId368" xr:uid="{27573A98-D503-484A-ACF4-1B6E9106C83F}"/>
    <hyperlink ref="D377" r:id="rId369" xr:uid="{E1DE76D7-59B4-4B40-8254-E9472C996E21}"/>
    <hyperlink ref="D378" r:id="rId370" xr:uid="{2E026EC2-FD78-448B-A1B7-AFDAF85FA4C2}"/>
    <hyperlink ref="D379" r:id="rId371" xr:uid="{21CDF1E9-A070-4827-939A-2A85EF7AB018}"/>
    <hyperlink ref="D380" r:id="rId372" xr:uid="{C7D15C2E-AA8C-493E-8EB4-DEBFAC553145}"/>
    <hyperlink ref="D381" r:id="rId373" xr:uid="{182BD0F5-E7B8-4D0B-BCBE-DAD7AF8D21BC}"/>
    <hyperlink ref="D382" r:id="rId374" xr:uid="{CE70A3F4-C0AF-47AF-9FEC-6306C82061F2}"/>
    <hyperlink ref="D383" r:id="rId375" xr:uid="{CFD25463-3DCF-48EA-89EE-153C98ECC18C}"/>
    <hyperlink ref="D384" r:id="rId376" xr:uid="{9A618B99-8300-4672-8365-886B6A83865F}"/>
    <hyperlink ref="D385" r:id="rId377" xr:uid="{7C924D83-E871-4961-AF1D-62FD51B1B6B8}"/>
    <hyperlink ref="D386" r:id="rId378" xr:uid="{40EF54F2-692F-499E-9A38-E8029DEFCA6F}"/>
    <hyperlink ref="D387" r:id="rId379" xr:uid="{0530D446-7F3F-4936-9A61-5BED220F1201}"/>
    <hyperlink ref="D388" r:id="rId380" xr:uid="{1BB3F5DD-BB83-4DDC-8935-0A63CC9CF5B4}"/>
    <hyperlink ref="D389" r:id="rId381" xr:uid="{B3153E60-76AD-4968-8C84-79ED5CB15B06}"/>
    <hyperlink ref="D390" r:id="rId382" xr:uid="{7BD899F7-967E-47F4-9613-713872AAA69B}"/>
    <hyperlink ref="D391" r:id="rId383" xr:uid="{7F25FF2D-2A99-4300-B686-208E0C21124C}"/>
    <hyperlink ref="D392" r:id="rId384" xr:uid="{7BAAB670-F06F-40E3-BA6D-FECF80E0B651}"/>
    <hyperlink ref="D393" r:id="rId385" xr:uid="{E237E652-9552-4774-A8B9-1F7F5107E256}"/>
    <hyperlink ref="D394" r:id="rId386" xr:uid="{E74E0306-76BE-4990-81A9-EED1F916A92D}"/>
    <hyperlink ref="D395" r:id="rId387" xr:uid="{E81E72A3-722A-4E6D-9DEF-54D3F65FE355}"/>
    <hyperlink ref="D396" r:id="rId388" xr:uid="{C44C4CAF-92D4-4D13-8728-D6E88DA674B9}"/>
    <hyperlink ref="D397" r:id="rId389" xr:uid="{9D8FD748-C046-4CD9-8A4F-4000CDE14374}"/>
    <hyperlink ref="D398" r:id="rId390" xr:uid="{B2E2912A-A497-45BF-A540-D671CF5E1813}"/>
    <hyperlink ref="D399" r:id="rId391" xr:uid="{71EB29CD-B5FC-42BD-BFA8-CD58D706E63B}"/>
    <hyperlink ref="D400" r:id="rId392" xr:uid="{B6F4134D-01E4-4485-B17F-D7C270BDB48D}"/>
    <hyperlink ref="D401" r:id="rId393" xr:uid="{8AFD19E8-D0B2-4096-9912-520EE46DF11B}"/>
    <hyperlink ref="D402" r:id="rId394" xr:uid="{873DD255-E746-44A6-9E7D-68D2F65EA9BE}"/>
    <hyperlink ref="D403" r:id="rId395" xr:uid="{C7C36412-16D8-4E77-B579-2E777013A3D9}"/>
    <hyperlink ref="D404" r:id="rId396" xr:uid="{483BA53F-17C7-40FD-8480-1104CF81CF7D}"/>
    <hyperlink ref="D405" r:id="rId397" xr:uid="{04BF0DE5-E39E-4834-A4A2-B148A7E63C70}"/>
    <hyperlink ref="D406" r:id="rId398" xr:uid="{52C6480C-5150-4BC9-B7DF-D50C25646FD3}"/>
    <hyperlink ref="D407" r:id="rId399" xr:uid="{390D98D6-0C56-4EE9-96F7-C1461EA85D8F}"/>
    <hyperlink ref="D408" r:id="rId400" xr:uid="{69C4299F-3EB4-426D-A5F1-A079588774AA}"/>
    <hyperlink ref="D409" r:id="rId401" xr:uid="{10A125D2-8EBE-4006-B960-AE6F613DDDD6}"/>
    <hyperlink ref="D410" r:id="rId402" xr:uid="{30AB4B48-598D-46EA-A31A-A7BBE7AC40B0}"/>
    <hyperlink ref="D411" r:id="rId403" xr:uid="{CB1A45D6-CA66-4CA1-A7F8-9C7B5A567230}"/>
    <hyperlink ref="D412" r:id="rId404" xr:uid="{1083F20A-B260-49EB-B34A-BAE3B83CCBAC}"/>
    <hyperlink ref="D413" r:id="rId405" xr:uid="{CDBCE7A5-E978-40AC-BCEC-0C578ABBB379}"/>
    <hyperlink ref="D414" r:id="rId406" xr:uid="{F3E181E0-B153-449A-A3E2-9DA8170C6604}"/>
    <hyperlink ref="D415" r:id="rId407" xr:uid="{B1271A97-5DCF-44E5-B95D-E932EF70A526}"/>
    <hyperlink ref="D416" r:id="rId408" xr:uid="{6AD0A81F-F0FF-48C1-A6D3-18CF82A5E120}"/>
    <hyperlink ref="D417" r:id="rId409" xr:uid="{3B628B3A-F1B7-42EB-AF3A-DC83EF72C05C}"/>
    <hyperlink ref="D418" r:id="rId410" xr:uid="{902CD176-2DC6-4F77-BFA4-DDDF4803B854}"/>
    <hyperlink ref="D419" r:id="rId411" xr:uid="{F3315824-ABEE-48A5-90CD-384C1CF2E63A}"/>
    <hyperlink ref="D420" r:id="rId412" xr:uid="{C5D49831-5C73-4395-A557-ACB4A3DCBAF7}"/>
    <hyperlink ref="D421" r:id="rId413" xr:uid="{2BD9BD64-F2FB-42DD-B395-9EDAE4C573F5}"/>
    <hyperlink ref="D422" r:id="rId414" xr:uid="{D8BCCBDA-5C0A-40E8-904C-9E7F7DB449D3}"/>
    <hyperlink ref="D423" r:id="rId415" xr:uid="{DAA8F5EF-26BB-4A37-9188-F46156162E60}"/>
    <hyperlink ref="D424" r:id="rId416" xr:uid="{1B3E3C1D-0B8B-4008-B269-35D2B561F480}"/>
    <hyperlink ref="D425" r:id="rId417" xr:uid="{186E3E61-BFC6-4B8D-82CE-6141BFB489C3}"/>
    <hyperlink ref="D426" r:id="rId418" xr:uid="{B6284EC0-A883-48A9-B3EF-9062AE6216F2}"/>
    <hyperlink ref="D427" r:id="rId419" xr:uid="{D6825C62-C2A9-400F-A8AC-5E5AE63F7242}"/>
    <hyperlink ref="D428" r:id="rId420" xr:uid="{BF04C3DB-8F1E-4EBC-BF12-EEB663FFB5A4}"/>
    <hyperlink ref="D429" r:id="rId421" xr:uid="{BB9B0CF5-A74D-4F80-B62B-6FB24C95C651}"/>
    <hyperlink ref="D430" r:id="rId422" xr:uid="{4D63C411-9C7E-4715-B5DD-90012876C860}"/>
    <hyperlink ref="D431" r:id="rId423" xr:uid="{2DD52F89-126B-4B57-BF79-82AA0F3AE924}"/>
    <hyperlink ref="D432" r:id="rId424" xr:uid="{D4E8F685-FD23-4781-80F9-F25C2B57F816}"/>
    <hyperlink ref="D433" r:id="rId425" xr:uid="{005579C8-6DF2-4334-9EC8-6CA74CA6C7D4}"/>
    <hyperlink ref="D434" r:id="rId426" xr:uid="{3FD8B8E3-6266-41BB-9484-87B33E84E66F}"/>
    <hyperlink ref="D435" r:id="rId427" xr:uid="{6531D24A-00CB-44A0-93BE-AF1450C26663}"/>
    <hyperlink ref="D436" r:id="rId428" xr:uid="{6DED6D9A-524B-403E-BCA8-B8E4BFB3ACFA}"/>
    <hyperlink ref="D437" r:id="rId429" xr:uid="{1F41BA8A-AA3A-4102-9F98-2DB6EC6A1358}"/>
    <hyperlink ref="D438" r:id="rId430" xr:uid="{6832136D-8FDA-454D-8D64-CA818F3211A8}"/>
    <hyperlink ref="D439" r:id="rId431" xr:uid="{6489BEBD-F6C5-4A8F-9F50-B3748ED238BE}"/>
    <hyperlink ref="D440" r:id="rId432" xr:uid="{6E07D19B-C2BA-4ED8-9D85-75F45BA6EDE0}"/>
    <hyperlink ref="D441" r:id="rId433" xr:uid="{49DD336D-A7B5-4411-B337-71707FE0ADEA}"/>
    <hyperlink ref="D442" r:id="rId434" xr:uid="{AC12CF85-0C76-4117-8383-B9F990A9FF35}"/>
    <hyperlink ref="D443" r:id="rId435" xr:uid="{D2ECF592-E74F-4BAC-A45B-DEBA7B533A00}"/>
    <hyperlink ref="D444" r:id="rId436" xr:uid="{3CE9849E-E486-47A2-A45C-6B80C30B2638}"/>
    <hyperlink ref="D445" r:id="rId437" xr:uid="{D4E17C46-2261-4F53-BA54-220E91545256}"/>
    <hyperlink ref="D446" r:id="rId438" xr:uid="{405CF35A-4242-4CB9-A72F-90A805BE64E4}"/>
    <hyperlink ref="D447" r:id="rId439" xr:uid="{9E576242-9405-49C9-A1D8-523678701AF4}"/>
    <hyperlink ref="D448" r:id="rId440" xr:uid="{9CA1FDF8-E377-4418-AC9B-31F34B0F5485}"/>
    <hyperlink ref="D449" r:id="rId441" xr:uid="{050B2A2E-2120-4E48-9420-BB27CF0965A1}"/>
    <hyperlink ref="D450" r:id="rId442" xr:uid="{B29E343F-515A-475F-87E5-5601403EA1EE}"/>
    <hyperlink ref="D451" r:id="rId443" xr:uid="{A2F29697-AEB1-4029-B497-EFB2A1791561}"/>
    <hyperlink ref="D452" r:id="rId444" xr:uid="{31E2043D-F0EE-415C-9D01-68EA74DA86E6}"/>
    <hyperlink ref="D453" r:id="rId445" xr:uid="{DAC20E89-6EF3-49A6-A6A3-C0DC974EF17A}"/>
    <hyperlink ref="D454" r:id="rId446" xr:uid="{9CDD0F38-EAAD-484F-B0B8-0ECFB01B1B9B}"/>
    <hyperlink ref="D455" r:id="rId447" xr:uid="{301894CA-C804-43EF-992A-F1E2BB6E4C12}"/>
    <hyperlink ref="D456" r:id="rId448" xr:uid="{D875C552-19F3-41C2-B333-306B30CB4ED8}"/>
  </hyperlinks>
  <pageMargins left="0.7" right="0.7" top="0.7" bottom="0.7" header="0.5" footer="0.5"/>
  <pageSetup fitToHeight="990" orientation="landscape" useFirstPageNumber="1"/>
  <headerFooter alignWithMargins="0">
    <oddHeader>&amp;R&amp;B&amp;D &amp;T</oddHeader>
    <oddFooter>&amp;C&amp;B 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7B69B-6772-4C41-8D19-B49F13F9C004}">
  <sheetPr codeName="Sheet9">
    <pageSetUpPr fitToPage="1"/>
  </sheetPr>
  <dimension ref="A1:M264"/>
  <sheetViews>
    <sheetView zoomScale="90" zoomScaleNormal="90" workbookViewId="0">
      <selection activeCell="F49" sqref="F49"/>
    </sheetView>
  </sheetViews>
  <sheetFormatPr defaultColWidth="9.140625" defaultRowHeight="12.75" x14ac:dyDescent="0.2"/>
  <cols>
    <col min="1" max="1" width="16" style="51" customWidth="1"/>
    <col min="2" max="2" width="35.85546875" style="51" customWidth="1"/>
    <col min="3" max="3" width="12.85546875" style="51" customWidth="1"/>
    <col min="4" max="4" width="19.5703125" style="51" customWidth="1"/>
    <col min="5" max="5" width="16.85546875" style="51" customWidth="1"/>
    <col min="6" max="6" width="39.5703125" style="51" customWidth="1"/>
    <col min="7" max="7" width="16.140625" style="51" customWidth="1"/>
    <col min="8" max="8" width="68" style="51" customWidth="1"/>
    <col min="9" max="9" width="15.42578125" style="51" customWidth="1"/>
    <col min="10" max="10" width="84.42578125" style="51" bestFit="1" customWidth="1"/>
    <col min="11" max="11" width="9.140625" style="51"/>
    <col min="12" max="12" width="10.5703125" style="51" bestFit="1" customWidth="1"/>
    <col min="13" max="16384" width="9.140625" style="51"/>
  </cols>
  <sheetData>
    <row r="1" spans="1:13" ht="21.75" customHeight="1" x14ac:dyDescent="0.35">
      <c r="A1" s="585" t="str">
        <f>'Input-Instructions'!B3</f>
        <v>610 West</v>
      </c>
      <c r="B1" s="585"/>
      <c r="C1" s="585"/>
      <c r="D1" s="585"/>
      <c r="E1" s="585"/>
      <c r="F1" s="585"/>
      <c r="G1" s="585"/>
      <c r="H1" s="442"/>
      <c r="I1" s="442"/>
      <c r="J1" s="442"/>
      <c r="K1" s="442"/>
      <c r="L1" s="442"/>
      <c r="M1" s="442"/>
    </row>
    <row r="2" spans="1:13" ht="21.75" customHeight="1" x14ac:dyDescent="0.35">
      <c r="A2" s="585" t="s">
        <v>1682</v>
      </c>
      <c r="B2" s="585"/>
      <c r="C2" s="585"/>
      <c r="D2" s="585"/>
      <c r="E2" s="585"/>
      <c r="F2" s="585"/>
      <c r="G2" s="585"/>
      <c r="H2" s="442"/>
      <c r="I2" s="442"/>
      <c r="J2" s="442"/>
      <c r="K2" s="442"/>
      <c r="L2" s="442"/>
      <c r="M2" s="442"/>
    </row>
    <row r="3" spans="1:13" ht="21.75" customHeight="1" x14ac:dyDescent="0.35">
      <c r="A3" s="586" t="str">
        <f>TEXT('Input-Instructions'!$B$6,"MMMM YYYY")</f>
        <v>July 2026</v>
      </c>
      <c r="B3" s="586"/>
      <c r="C3" s="586"/>
      <c r="D3" s="586"/>
      <c r="E3" s="586"/>
      <c r="F3" s="586"/>
      <c r="G3" s="586"/>
      <c r="H3" s="442"/>
      <c r="I3" s="442"/>
      <c r="J3" s="442"/>
      <c r="K3" s="442"/>
      <c r="L3" s="442"/>
      <c r="M3" s="442"/>
    </row>
    <row r="4" spans="1:13" ht="15" customHeight="1" x14ac:dyDescent="0.25">
      <c r="A4" s="587" t="str">
        <f>IFERROR(IF(A5="","",VLOOKUP(A5,'Mapped COA'!A:G,2,0)),IF(A5="","",VLOOKUP(A5,COA!A:G,2,0)))</f>
        <v>Accrued Expense</v>
      </c>
      <c r="B4" s="587"/>
      <c r="C4" s="52"/>
      <c r="D4" s="52"/>
      <c r="E4" s="52"/>
      <c r="F4" s="52"/>
      <c r="G4" s="52"/>
    </row>
    <row r="5" spans="1:13" ht="15" x14ac:dyDescent="0.25">
      <c r="A5" s="423" t="s">
        <v>1683</v>
      </c>
      <c r="B5" s="53"/>
      <c r="C5" s="54"/>
      <c r="D5" s="54"/>
      <c r="E5" s="54"/>
      <c r="F5" s="54"/>
      <c r="G5" s="54"/>
    </row>
    <row r="6" spans="1:13" x14ac:dyDescent="0.2">
      <c r="A6" s="55" t="s">
        <v>139</v>
      </c>
      <c r="B6" s="55" t="s">
        <v>86</v>
      </c>
      <c r="C6" s="55" t="s">
        <v>1684</v>
      </c>
      <c r="D6" s="55" t="s">
        <v>1685</v>
      </c>
      <c r="E6" s="55" t="s">
        <v>1686</v>
      </c>
      <c r="F6" s="55" t="s">
        <v>32</v>
      </c>
      <c r="G6" s="55" t="s">
        <v>277</v>
      </c>
    </row>
    <row r="7" spans="1:13" x14ac:dyDescent="0.2">
      <c r="A7" s="193" t="s">
        <v>1690</v>
      </c>
      <c r="B7" s="189" t="s">
        <v>1691</v>
      </c>
      <c r="C7" s="498">
        <v>46234</v>
      </c>
      <c r="D7" s="190" t="s">
        <v>14162</v>
      </c>
      <c r="E7" s="191" t="s">
        <v>14163</v>
      </c>
      <c r="F7" s="191" t="s">
        <v>14131</v>
      </c>
      <c r="G7" s="192">
        <v>6000</v>
      </c>
      <c r="H7" s="503" t="s">
        <v>1689</v>
      </c>
      <c r="I7" s="56"/>
    </row>
    <row r="8" spans="1:13" ht="12.75" customHeight="1" x14ac:dyDescent="0.2">
      <c r="A8" s="193" t="s">
        <v>11981</v>
      </c>
      <c r="B8" s="189" t="s">
        <v>4244</v>
      </c>
      <c r="C8" s="498">
        <v>46234</v>
      </c>
      <c r="D8" s="190" t="s">
        <v>14164</v>
      </c>
      <c r="E8" s="191" t="s">
        <v>14163</v>
      </c>
      <c r="F8" s="191" t="s">
        <v>14132</v>
      </c>
      <c r="G8" s="192">
        <v>5017</v>
      </c>
      <c r="I8" s="502"/>
      <c r="J8" s="501"/>
    </row>
    <row r="9" spans="1:13" ht="12.75" customHeight="1" x14ac:dyDescent="0.2">
      <c r="A9" s="193" t="s">
        <v>1692</v>
      </c>
      <c r="B9" s="189" t="s">
        <v>1693</v>
      </c>
      <c r="C9" s="498">
        <v>46234</v>
      </c>
      <c r="D9" s="190" t="s">
        <v>14165</v>
      </c>
      <c r="E9" s="191" t="s">
        <v>14163</v>
      </c>
      <c r="F9" s="191" t="s">
        <v>14133</v>
      </c>
      <c r="G9" s="192">
        <v>3500</v>
      </c>
      <c r="I9" s="502"/>
      <c r="J9" s="501"/>
    </row>
    <row r="10" spans="1:13" x14ac:dyDescent="0.2">
      <c r="A10" s="193" t="s">
        <v>1694</v>
      </c>
      <c r="B10" s="189" t="s">
        <v>1695</v>
      </c>
      <c r="C10" s="498">
        <v>46234</v>
      </c>
      <c r="D10" s="190" t="s">
        <v>14166</v>
      </c>
      <c r="E10" s="191" t="s">
        <v>14163</v>
      </c>
      <c r="F10" s="191" t="s">
        <v>14134</v>
      </c>
      <c r="G10" s="192">
        <v>2907.82</v>
      </c>
      <c r="I10" s="56"/>
    </row>
    <row r="11" spans="1:13" x14ac:dyDescent="0.2">
      <c r="A11" s="193" t="s">
        <v>1696</v>
      </c>
      <c r="B11" s="189" t="s">
        <v>1697</v>
      </c>
      <c r="C11" s="498">
        <v>46234</v>
      </c>
      <c r="D11" s="190" t="s">
        <v>14167</v>
      </c>
      <c r="E11" s="191" t="s">
        <v>14163</v>
      </c>
      <c r="F11" s="191" t="s">
        <v>14135</v>
      </c>
      <c r="G11" s="192">
        <v>604</v>
      </c>
      <c r="I11" s="56"/>
      <c r="J11" s="56"/>
    </row>
    <row r="12" spans="1:13" x14ac:dyDescent="0.2">
      <c r="A12" s="193" t="s">
        <v>1698</v>
      </c>
      <c r="B12" s="189" t="s">
        <v>1699</v>
      </c>
      <c r="C12" s="498">
        <v>46234</v>
      </c>
      <c r="D12" s="190" t="s">
        <v>14168</v>
      </c>
      <c r="E12" s="191" t="s">
        <v>14163</v>
      </c>
      <c r="F12" s="191" t="s">
        <v>14136</v>
      </c>
      <c r="G12" s="192">
        <v>408.69</v>
      </c>
      <c r="I12" s="56"/>
      <c r="J12" s="56"/>
    </row>
    <row r="13" spans="1:13" x14ac:dyDescent="0.2">
      <c r="A13" s="193" t="s">
        <v>1700</v>
      </c>
      <c r="B13" s="189" t="s">
        <v>1701</v>
      </c>
      <c r="C13" s="498">
        <v>46234</v>
      </c>
      <c r="D13" s="190" t="s">
        <v>14169</v>
      </c>
      <c r="E13" s="191" t="s">
        <v>14163</v>
      </c>
      <c r="F13" s="191" t="s">
        <v>14137</v>
      </c>
      <c r="G13" s="192">
        <v>140</v>
      </c>
      <c r="I13" s="56"/>
      <c r="J13" s="56"/>
    </row>
    <row r="14" spans="1:13" x14ac:dyDescent="0.2">
      <c r="A14" s="193" t="s">
        <v>1702</v>
      </c>
      <c r="B14" s="189" t="s">
        <v>1703</v>
      </c>
      <c r="C14" s="498">
        <v>46234</v>
      </c>
      <c r="D14" s="190" t="s">
        <v>14170</v>
      </c>
      <c r="E14" s="191" t="s">
        <v>14163</v>
      </c>
      <c r="F14" s="191" t="s">
        <v>14138</v>
      </c>
      <c r="G14" s="192">
        <v>106</v>
      </c>
      <c r="I14" s="56"/>
      <c r="J14" s="56"/>
    </row>
    <row r="15" spans="1:13" x14ac:dyDescent="0.2">
      <c r="A15" s="193" t="s">
        <v>11978</v>
      </c>
      <c r="B15" s="189" t="s">
        <v>4241</v>
      </c>
      <c r="C15" s="498">
        <v>46234</v>
      </c>
      <c r="D15" s="190" t="s">
        <v>14171</v>
      </c>
      <c r="E15" s="191" t="s">
        <v>14163</v>
      </c>
      <c r="F15" s="191" t="s">
        <v>14139</v>
      </c>
      <c r="G15" s="192">
        <v>9706.48</v>
      </c>
      <c r="I15" s="56"/>
      <c r="J15" s="56"/>
    </row>
    <row r="16" spans="1:13" x14ac:dyDescent="0.2">
      <c r="A16" s="193" t="s">
        <v>1687</v>
      </c>
      <c r="B16" s="189" t="s">
        <v>1688</v>
      </c>
      <c r="C16" s="498">
        <v>46234</v>
      </c>
      <c r="D16" s="190" t="s">
        <v>14172</v>
      </c>
      <c r="E16" s="191" t="s">
        <v>14163</v>
      </c>
      <c r="F16" s="191" t="s">
        <v>14140</v>
      </c>
      <c r="G16" s="192">
        <v>4536.8599999999997</v>
      </c>
      <c r="I16" s="56"/>
      <c r="J16" s="56"/>
    </row>
    <row r="17" spans="1:10" x14ac:dyDescent="0.2">
      <c r="A17" s="193" t="s">
        <v>1687</v>
      </c>
      <c r="B17" s="189" t="s">
        <v>1688</v>
      </c>
      <c r="C17" s="498">
        <v>46234</v>
      </c>
      <c r="D17" s="190" t="s">
        <v>14172</v>
      </c>
      <c r="E17" s="191" t="s">
        <v>14163</v>
      </c>
      <c r="F17" s="191" t="s">
        <v>14141</v>
      </c>
      <c r="G17" s="192">
        <v>2500</v>
      </c>
      <c r="I17" s="56"/>
      <c r="J17" s="56"/>
    </row>
    <row r="18" spans="1:10" x14ac:dyDescent="0.2">
      <c r="A18" s="193" t="s">
        <v>1687</v>
      </c>
      <c r="B18" s="189" t="s">
        <v>1688</v>
      </c>
      <c r="C18" s="498">
        <v>46234</v>
      </c>
      <c r="D18" s="190" t="s">
        <v>14172</v>
      </c>
      <c r="E18" s="191" t="s">
        <v>14163</v>
      </c>
      <c r="F18" s="191" t="s">
        <v>14142</v>
      </c>
      <c r="G18" s="192">
        <v>3100</v>
      </c>
      <c r="I18" s="56"/>
      <c r="J18" s="56"/>
    </row>
    <row r="19" spans="1:10" x14ac:dyDescent="0.2">
      <c r="A19" s="193" t="s">
        <v>11924</v>
      </c>
      <c r="B19" s="189" t="s">
        <v>4121</v>
      </c>
      <c r="C19" s="498">
        <v>46234</v>
      </c>
      <c r="D19" s="190" t="s">
        <v>14172</v>
      </c>
      <c r="E19" s="191" t="s">
        <v>14163</v>
      </c>
      <c r="F19" s="191" t="s">
        <v>14143</v>
      </c>
      <c r="G19" s="192">
        <v>915.69</v>
      </c>
      <c r="I19" s="56"/>
      <c r="J19" s="56"/>
    </row>
    <row r="20" spans="1:10" x14ac:dyDescent="0.2">
      <c r="A20" s="193" t="s">
        <v>1704</v>
      </c>
      <c r="B20" s="189" t="s">
        <v>1705</v>
      </c>
      <c r="C20" s="498">
        <v>46234</v>
      </c>
      <c r="D20" s="190" t="s">
        <v>14173</v>
      </c>
      <c r="E20" s="191" t="s">
        <v>14163</v>
      </c>
      <c r="F20" s="191" t="s">
        <v>14144</v>
      </c>
      <c r="G20" s="192">
        <v>10688.21</v>
      </c>
      <c r="I20" s="56"/>
      <c r="J20" s="56"/>
    </row>
    <row r="21" spans="1:10" x14ac:dyDescent="0.2">
      <c r="A21" s="193" t="s">
        <v>1706</v>
      </c>
      <c r="B21" s="189" t="s">
        <v>1707</v>
      </c>
      <c r="C21" s="498">
        <v>46234</v>
      </c>
      <c r="D21" s="190" t="s">
        <v>14174</v>
      </c>
      <c r="E21" s="191" t="s">
        <v>14163</v>
      </c>
      <c r="F21" s="191" t="s">
        <v>14145</v>
      </c>
      <c r="G21" s="192">
        <v>1869.61</v>
      </c>
      <c r="I21" s="56"/>
      <c r="J21" s="56"/>
    </row>
    <row r="22" spans="1:10" x14ac:dyDescent="0.2">
      <c r="A22" s="193" t="s">
        <v>1706</v>
      </c>
      <c r="B22" s="189" t="s">
        <v>1707</v>
      </c>
      <c r="C22" s="498">
        <v>46234</v>
      </c>
      <c r="D22" s="190" t="s">
        <v>14174</v>
      </c>
      <c r="E22" s="191" t="s">
        <v>14163</v>
      </c>
      <c r="F22" s="191" t="s">
        <v>14146</v>
      </c>
      <c r="G22" s="192">
        <v>1915.05</v>
      </c>
      <c r="I22" s="56"/>
      <c r="J22" s="56"/>
    </row>
    <row r="23" spans="1:10" x14ac:dyDescent="0.2">
      <c r="A23" s="193" t="s">
        <v>1706</v>
      </c>
      <c r="B23" s="189" t="s">
        <v>1707</v>
      </c>
      <c r="C23" s="498">
        <v>46234</v>
      </c>
      <c r="D23" s="190" t="s">
        <v>14174</v>
      </c>
      <c r="E23" s="191" t="s">
        <v>14163</v>
      </c>
      <c r="F23" s="191" t="s">
        <v>14147</v>
      </c>
      <c r="G23" s="192">
        <v>1371.65</v>
      </c>
      <c r="I23" s="56"/>
      <c r="J23" s="56"/>
    </row>
    <row r="24" spans="1:10" x14ac:dyDescent="0.2">
      <c r="A24" s="193" t="s">
        <v>1708</v>
      </c>
      <c r="B24" s="189" t="s">
        <v>1709</v>
      </c>
      <c r="C24" s="498">
        <v>46234</v>
      </c>
      <c r="D24" s="190" t="s">
        <v>14172</v>
      </c>
      <c r="E24" s="191" t="s">
        <v>14163</v>
      </c>
      <c r="F24" s="191" t="s">
        <v>14148</v>
      </c>
      <c r="G24" s="192">
        <v>3924.1</v>
      </c>
      <c r="I24" s="56"/>
      <c r="J24" s="56"/>
    </row>
    <row r="25" spans="1:10" x14ac:dyDescent="0.2">
      <c r="A25" s="193" t="s">
        <v>1710</v>
      </c>
      <c r="B25" s="189" t="s">
        <v>1711</v>
      </c>
      <c r="C25" s="498">
        <v>46234</v>
      </c>
      <c r="D25" s="190" t="s">
        <v>14175</v>
      </c>
      <c r="E25" s="191" t="s">
        <v>14163</v>
      </c>
      <c r="F25" s="191" t="s">
        <v>14149</v>
      </c>
      <c r="G25" s="192">
        <v>3869.36</v>
      </c>
      <c r="I25" s="56"/>
      <c r="J25" s="56"/>
    </row>
    <row r="26" spans="1:10" x14ac:dyDescent="0.2">
      <c r="A26" s="193" t="s">
        <v>1710</v>
      </c>
      <c r="B26" s="189" t="s">
        <v>1711</v>
      </c>
      <c r="C26" s="498">
        <v>46234</v>
      </c>
      <c r="D26" s="190" t="s">
        <v>14175</v>
      </c>
      <c r="E26" s="191" t="s">
        <v>14163</v>
      </c>
      <c r="F26" s="191" t="s">
        <v>14150</v>
      </c>
      <c r="G26" s="192">
        <v>7467.44</v>
      </c>
      <c r="I26" s="56"/>
      <c r="J26" s="56"/>
    </row>
    <row r="27" spans="1:10" x14ac:dyDescent="0.2">
      <c r="A27" s="193" t="s">
        <v>1710</v>
      </c>
      <c r="B27" s="189" t="s">
        <v>1711</v>
      </c>
      <c r="C27" s="498">
        <v>46234</v>
      </c>
      <c r="D27" s="190" t="s">
        <v>14175</v>
      </c>
      <c r="E27" s="191" t="s">
        <v>14163</v>
      </c>
      <c r="F27" s="191" t="s">
        <v>14151</v>
      </c>
      <c r="G27" s="192">
        <v>5414.97</v>
      </c>
      <c r="I27" s="56"/>
      <c r="J27" s="56"/>
    </row>
    <row r="28" spans="1:10" x14ac:dyDescent="0.2">
      <c r="A28" s="193" t="s">
        <v>1712</v>
      </c>
      <c r="B28" s="189" t="s">
        <v>1713</v>
      </c>
      <c r="C28" s="498">
        <v>46234</v>
      </c>
      <c r="D28" s="190" t="s">
        <v>14176</v>
      </c>
      <c r="E28" s="191" t="s">
        <v>14163</v>
      </c>
      <c r="F28" s="191" t="s">
        <v>14152</v>
      </c>
      <c r="G28" s="192">
        <v>-68.97</v>
      </c>
      <c r="I28" s="56"/>
      <c r="J28" s="56"/>
    </row>
    <row r="29" spans="1:10" x14ac:dyDescent="0.2">
      <c r="A29" s="193" t="s">
        <v>1698</v>
      </c>
      <c r="B29" s="189" t="s">
        <v>1699</v>
      </c>
      <c r="C29" s="498">
        <v>46234</v>
      </c>
      <c r="D29" s="190" t="s">
        <v>14168</v>
      </c>
      <c r="E29" s="191" t="s">
        <v>14163</v>
      </c>
      <c r="F29" s="191" t="s">
        <v>14153</v>
      </c>
      <c r="G29" s="192">
        <v>408.69</v>
      </c>
      <c r="I29" s="56"/>
      <c r="J29" s="56"/>
    </row>
    <row r="30" spans="1:10" x14ac:dyDescent="0.2">
      <c r="A30" s="193" t="s">
        <v>1690</v>
      </c>
      <c r="B30" s="189" t="s">
        <v>1691</v>
      </c>
      <c r="C30" s="498">
        <v>46234</v>
      </c>
      <c r="D30" s="190" t="s">
        <v>14162</v>
      </c>
      <c r="E30" s="191" t="s">
        <v>14163</v>
      </c>
      <c r="F30" s="191" t="s">
        <v>14154</v>
      </c>
      <c r="G30" s="192">
        <v>6000</v>
      </c>
      <c r="I30" s="56"/>
      <c r="J30" s="56"/>
    </row>
    <row r="31" spans="1:10" x14ac:dyDescent="0.2">
      <c r="A31" s="193" t="s">
        <v>1714</v>
      </c>
      <c r="B31" s="189" t="s">
        <v>1715</v>
      </c>
      <c r="C31" s="498">
        <v>46234</v>
      </c>
      <c r="D31" s="190" t="s">
        <v>14172</v>
      </c>
      <c r="E31" s="191" t="s">
        <v>14163</v>
      </c>
      <c r="F31" s="191" t="s">
        <v>14155</v>
      </c>
      <c r="G31" s="192">
        <v>1158.5</v>
      </c>
      <c r="I31" s="56"/>
      <c r="J31" s="56"/>
    </row>
    <row r="32" spans="1:10" x14ac:dyDescent="0.2">
      <c r="A32" s="193" t="s">
        <v>1716</v>
      </c>
      <c r="B32" s="189" t="s">
        <v>1717</v>
      </c>
      <c r="C32" s="498">
        <v>46234</v>
      </c>
      <c r="D32" s="190" t="s">
        <v>1718</v>
      </c>
      <c r="E32" s="191" t="s">
        <v>14163</v>
      </c>
      <c r="F32" s="191" t="s">
        <v>14156</v>
      </c>
      <c r="G32" s="192">
        <v>360.75</v>
      </c>
      <c r="I32" s="56"/>
      <c r="J32" s="56"/>
    </row>
    <row r="33" spans="1:10" x14ac:dyDescent="0.2">
      <c r="A33" s="193" t="s">
        <v>1716</v>
      </c>
      <c r="B33" s="189" t="s">
        <v>1717</v>
      </c>
      <c r="C33" s="498">
        <v>46234</v>
      </c>
      <c r="D33" s="190" t="s">
        <v>1718</v>
      </c>
      <c r="E33" s="191" t="s">
        <v>14163</v>
      </c>
      <c r="F33" s="191" t="s">
        <v>14157</v>
      </c>
      <c r="G33" s="192">
        <v>196.2</v>
      </c>
      <c r="I33" s="56"/>
      <c r="J33" s="56"/>
    </row>
    <row r="34" spans="1:10" x14ac:dyDescent="0.2">
      <c r="A34" s="193" t="s">
        <v>1716</v>
      </c>
      <c r="B34" s="189" t="s">
        <v>1717</v>
      </c>
      <c r="C34" s="498">
        <v>46234</v>
      </c>
      <c r="D34" s="190" t="s">
        <v>1718</v>
      </c>
      <c r="E34" s="191" t="s">
        <v>14163</v>
      </c>
      <c r="F34" s="191" t="s">
        <v>14158</v>
      </c>
      <c r="G34" s="192">
        <v>360.75</v>
      </c>
      <c r="I34" s="56"/>
      <c r="J34" s="56"/>
    </row>
    <row r="35" spans="1:10" x14ac:dyDescent="0.2">
      <c r="A35" s="193" t="s">
        <v>1719</v>
      </c>
      <c r="B35" s="189" t="s">
        <v>1720</v>
      </c>
      <c r="C35" s="498">
        <v>46234</v>
      </c>
      <c r="D35" s="190" t="s">
        <v>14177</v>
      </c>
      <c r="E35" s="191" t="s">
        <v>14163</v>
      </c>
      <c r="F35" s="191" t="s">
        <v>14159</v>
      </c>
      <c r="G35" s="192">
        <v>104</v>
      </c>
      <c r="I35" s="56"/>
      <c r="J35" s="56"/>
    </row>
    <row r="36" spans="1:10" x14ac:dyDescent="0.2">
      <c r="A36" s="193" t="s">
        <v>1719</v>
      </c>
      <c r="B36" s="189" t="s">
        <v>1720</v>
      </c>
      <c r="C36" s="498">
        <v>46234</v>
      </c>
      <c r="D36" s="190" t="s">
        <v>14177</v>
      </c>
      <c r="E36" s="191" t="s">
        <v>14163</v>
      </c>
      <c r="F36" s="191" t="s">
        <v>14160</v>
      </c>
      <c r="G36" s="192">
        <v>104</v>
      </c>
      <c r="I36" s="56"/>
      <c r="J36" s="56"/>
    </row>
    <row r="37" spans="1:10" x14ac:dyDescent="0.2">
      <c r="A37" s="193" t="s">
        <v>1714</v>
      </c>
      <c r="B37" s="189" t="s">
        <v>1715</v>
      </c>
      <c r="C37" s="498">
        <v>46234</v>
      </c>
      <c r="D37" s="190" t="s">
        <v>14172</v>
      </c>
      <c r="E37" s="191" t="s">
        <v>14163</v>
      </c>
      <c r="F37" s="191" t="s">
        <v>14161</v>
      </c>
      <c r="G37" s="192">
        <v>1158.5</v>
      </c>
      <c r="I37" s="56"/>
      <c r="J37" s="56"/>
    </row>
    <row r="38" spans="1:10" x14ac:dyDescent="0.2">
      <c r="A38" s="193"/>
      <c r="B38" s="189"/>
      <c r="C38" s="498"/>
      <c r="D38" s="190"/>
      <c r="E38" s="191"/>
      <c r="F38" s="191"/>
      <c r="G38" s="192"/>
      <c r="I38" s="56"/>
      <c r="J38" s="56"/>
    </row>
    <row r="39" spans="1:10" x14ac:dyDescent="0.2">
      <c r="A39" s="193"/>
      <c r="B39" s="189"/>
      <c r="C39" s="498"/>
      <c r="D39" s="190"/>
      <c r="E39" s="191"/>
      <c r="F39" s="191"/>
      <c r="G39" s="192"/>
      <c r="I39" s="56"/>
      <c r="J39" s="56"/>
    </row>
    <row r="40" spans="1:10" x14ac:dyDescent="0.2">
      <c r="A40" s="193"/>
      <c r="B40" s="189"/>
      <c r="C40" s="498"/>
      <c r="D40" s="190"/>
      <c r="E40" s="191"/>
      <c r="F40" s="191"/>
      <c r="G40" s="192"/>
      <c r="I40" s="56"/>
      <c r="J40" s="56"/>
    </row>
    <row r="41" spans="1:10" x14ac:dyDescent="0.2">
      <c r="A41" s="193"/>
      <c r="B41" s="189"/>
      <c r="C41" s="498"/>
      <c r="D41" s="190"/>
      <c r="E41" s="191"/>
      <c r="F41" s="191"/>
      <c r="G41" s="192"/>
      <c r="I41" s="56"/>
      <c r="J41" s="56"/>
    </row>
    <row r="42" spans="1:10" x14ac:dyDescent="0.2">
      <c r="A42" s="193"/>
      <c r="B42" s="189"/>
      <c r="C42" s="498"/>
      <c r="D42" s="190"/>
      <c r="E42" s="191"/>
      <c r="F42" s="191"/>
      <c r="G42" s="192"/>
      <c r="I42" s="56"/>
      <c r="J42" s="56"/>
    </row>
    <row r="43" spans="1:10" x14ac:dyDescent="0.2">
      <c r="A43" s="193"/>
      <c r="B43" s="189"/>
      <c r="C43" s="498"/>
      <c r="D43" s="190"/>
      <c r="E43" s="191"/>
      <c r="F43" s="191"/>
      <c r="G43" s="192"/>
      <c r="I43" s="56"/>
      <c r="J43" s="56"/>
    </row>
    <row r="44" spans="1:10" x14ac:dyDescent="0.2">
      <c r="A44" s="193"/>
      <c r="B44" s="189"/>
      <c r="C44" s="498"/>
      <c r="D44" s="190"/>
      <c r="E44" s="191"/>
      <c r="F44" s="191"/>
      <c r="G44" s="192"/>
      <c r="I44" s="56"/>
      <c r="J44" s="56"/>
    </row>
    <row r="45" spans="1:10" x14ac:dyDescent="0.2">
      <c r="A45" s="193"/>
      <c r="B45" s="189"/>
      <c r="C45" s="498"/>
      <c r="D45" s="190"/>
      <c r="E45" s="191"/>
      <c r="F45" s="191"/>
      <c r="G45" s="192"/>
      <c r="I45" s="56"/>
      <c r="J45" s="56"/>
    </row>
    <row r="46" spans="1:10" x14ac:dyDescent="0.2">
      <c r="A46" s="193"/>
      <c r="B46" s="189"/>
      <c r="C46" s="498"/>
      <c r="D46" s="190"/>
      <c r="E46" s="191"/>
      <c r="F46" s="191"/>
      <c r="G46" s="192"/>
      <c r="I46" s="56"/>
      <c r="J46" s="56"/>
    </row>
    <row r="47" spans="1:10" x14ac:dyDescent="0.2">
      <c r="A47" s="193"/>
      <c r="B47" s="189"/>
      <c r="C47" s="498"/>
      <c r="D47" s="190"/>
      <c r="E47" s="191"/>
      <c r="F47" s="191"/>
      <c r="G47" s="192"/>
      <c r="I47" s="56"/>
      <c r="J47" s="56"/>
    </row>
    <row r="48" spans="1:10" x14ac:dyDescent="0.2">
      <c r="A48" s="193"/>
      <c r="B48" s="189"/>
      <c r="C48" s="498"/>
      <c r="D48" s="190"/>
      <c r="E48" s="191"/>
      <c r="F48" s="191"/>
      <c r="G48" s="192"/>
      <c r="I48" s="56"/>
      <c r="J48" s="56"/>
    </row>
    <row r="49" spans="1:10" x14ac:dyDescent="0.2">
      <c r="A49" s="193"/>
      <c r="B49" s="189"/>
      <c r="C49" s="498"/>
      <c r="D49" s="190"/>
      <c r="E49" s="191"/>
      <c r="F49" s="191"/>
      <c r="G49" s="192"/>
      <c r="I49" s="56"/>
      <c r="J49" s="56"/>
    </row>
    <row r="50" spans="1:10" x14ac:dyDescent="0.2">
      <c r="A50" s="193"/>
      <c r="B50" s="189"/>
      <c r="C50" s="498"/>
      <c r="D50" s="190"/>
      <c r="E50" s="191"/>
      <c r="F50" s="191"/>
      <c r="G50" s="192"/>
      <c r="I50" s="56"/>
      <c r="J50" s="56"/>
    </row>
    <row r="51" spans="1:10" x14ac:dyDescent="0.2">
      <c r="A51" s="193"/>
      <c r="B51" s="189"/>
      <c r="C51" s="498"/>
      <c r="D51" s="190"/>
      <c r="E51" s="191"/>
      <c r="F51" s="191"/>
      <c r="G51" s="192"/>
      <c r="I51" s="56"/>
      <c r="J51" s="56"/>
    </row>
    <row r="52" spans="1:10" x14ac:dyDescent="0.2">
      <c r="A52" s="193"/>
      <c r="B52" s="189"/>
      <c r="C52" s="498"/>
      <c r="D52" s="190"/>
      <c r="E52" s="191"/>
      <c r="F52" s="191"/>
      <c r="G52" s="192"/>
      <c r="I52" s="56"/>
      <c r="J52" s="56"/>
    </row>
    <row r="53" spans="1:10" x14ac:dyDescent="0.2">
      <c r="A53" s="193"/>
      <c r="B53" s="189"/>
      <c r="C53" s="498"/>
      <c r="D53" s="190"/>
      <c r="E53" s="191"/>
      <c r="F53" s="191"/>
      <c r="G53" s="192"/>
      <c r="I53" s="56"/>
      <c r="J53" s="56"/>
    </row>
    <row r="54" spans="1:10" x14ac:dyDescent="0.2">
      <c r="A54" s="193"/>
      <c r="B54" s="189"/>
      <c r="C54" s="498"/>
      <c r="D54" s="190"/>
      <c r="E54" s="191"/>
      <c r="F54" s="191"/>
      <c r="G54" s="192"/>
      <c r="I54" s="56"/>
      <c r="J54" s="56"/>
    </row>
    <row r="55" spans="1:10" x14ac:dyDescent="0.2">
      <c r="A55" s="193"/>
      <c r="B55" s="189"/>
      <c r="C55" s="498"/>
      <c r="D55" s="190"/>
      <c r="E55" s="191"/>
      <c r="F55" s="191"/>
      <c r="G55" s="192"/>
      <c r="I55" s="56"/>
      <c r="J55" s="56"/>
    </row>
    <row r="56" spans="1:10" x14ac:dyDescent="0.2">
      <c r="A56" s="193"/>
      <c r="B56" s="189"/>
      <c r="C56" s="498"/>
      <c r="D56" s="190"/>
      <c r="E56" s="191"/>
      <c r="F56" s="191"/>
      <c r="G56" s="192"/>
      <c r="I56" s="56"/>
      <c r="J56" s="56"/>
    </row>
    <row r="57" spans="1:10" x14ac:dyDescent="0.2">
      <c r="A57" s="193"/>
      <c r="B57" s="189"/>
      <c r="C57" s="498"/>
      <c r="D57" s="190"/>
      <c r="E57" s="191"/>
      <c r="F57" s="191"/>
      <c r="G57" s="192"/>
      <c r="I57" s="56"/>
      <c r="J57" s="56"/>
    </row>
    <row r="58" spans="1:10" x14ac:dyDescent="0.2">
      <c r="A58" s="193"/>
      <c r="B58" s="189"/>
      <c r="C58" s="498"/>
      <c r="D58" s="190"/>
      <c r="E58" s="191"/>
      <c r="F58" s="191"/>
      <c r="G58" s="192"/>
      <c r="I58" s="56"/>
      <c r="J58" s="56"/>
    </row>
    <row r="59" spans="1:10" x14ac:dyDescent="0.2">
      <c r="A59" s="193"/>
      <c r="B59" s="189"/>
      <c r="C59" s="498"/>
      <c r="D59" s="190"/>
      <c r="E59" s="191"/>
      <c r="F59" s="191"/>
      <c r="G59" s="192"/>
      <c r="I59" s="56"/>
      <c r="J59" s="56"/>
    </row>
    <row r="60" spans="1:10" x14ac:dyDescent="0.2">
      <c r="A60" s="193"/>
      <c r="B60" s="189"/>
      <c r="C60" s="498"/>
      <c r="D60" s="190"/>
      <c r="E60" s="191"/>
      <c r="F60" s="191"/>
      <c r="G60" s="192"/>
      <c r="I60" s="56"/>
      <c r="J60" s="56"/>
    </row>
    <row r="61" spans="1:10" x14ac:dyDescent="0.2">
      <c r="A61" s="193"/>
      <c r="B61" s="189"/>
      <c r="C61" s="498"/>
      <c r="D61" s="190"/>
      <c r="E61" s="191"/>
      <c r="F61" s="191"/>
      <c r="G61" s="192"/>
      <c r="I61" s="56"/>
      <c r="J61" s="56"/>
    </row>
    <row r="62" spans="1:10" x14ac:dyDescent="0.2">
      <c r="A62" s="193"/>
      <c r="B62" s="189"/>
      <c r="C62" s="498"/>
      <c r="D62" s="190"/>
      <c r="E62" s="191"/>
      <c r="F62" s="191"/>
      <c r="G62" s="192"/>
      <c r="I62" s="56"/>
      <c r="J62" s="56"/>
    </row>
    <row r="63" spans="1:10" x14ac:dyDescent="0.2">
      <c r="A63" s="193"/>
      <c r="B63" s="189"/>
      <c r="C63" s="498"/>
      <c r="D63" s="190"/>
      <c r="E63" s="191"/>
      <c r="F63" s="191"/>
      <c r="G63" s="192"/>
      <c r="I63" s="56"/>
      <c r="J63" s="56"/>
    </row>
    <row r="64" spans="1:10" x14ac:dyDescent="0.2">
      <c r="A64" s="193"/>
      <c r="B64" s="189"/>
      <c r="C64" s="498"/>
      <c r="D64" s="190"/>
      <c r="E64" s="191"/>
      <c r="F64" s="191"/>
      <c r="G64" s="192"/>
      <c r="I64" s="56"/>
      <c r="J64" s="56"/>
    </row>
    <row r="65" spans="1:10" x14ac:dyDescent="0.2">
      <c r="A65" s="193"/>
      <c r="B65" s="189"/>
      <c r="C65" s="498"/>
      <c r="D65" s="190"/>
      <c r="E65" s="191"/>
      <c r="F65" s="191"/>
      <c r="G65" s="192"/>
      <c r="I65" s="56"/>
      <c r="J65" s="56"/>
    </row>
    <row r="66" spans="1:10" x14ac:dyDescent="0.2">
      <c r="A66" s="193"/>
      <c r="B66" s="189"/>
      <c r="C66" s="498"/>
      <c r="D66" s="190"/>
      <c r="E66" s="191"/>
      <c r="F66" s="191"/>
      <c r="G66" s="192"/>
      <c r="I66" s="56"/>
      <c r="J66" s="56"/>
    </row>
    <row r="67" spans="1:10" x14ac:dyDescent="0.2">
      <c r="A67" s="193"/>
      <c r="B67" s="189"/>
      <c r="C67" s="498"/>
      <c r="D67" s="190"/>
      <c r="E67" s="191"/>
      <c r="F67" s="191"/>
      <c r="G67" s="192"/>
      <c r="I67" s="56"/>
      <c r="J67" s="56"/>
    </row>
    <row r="68" spans="1:10" x14ac:dyDescent="0.2">
      <c r="A68" s="193"/>
      <c r="B68" s="189"/>
      <c r="C68" s="498"/>
      <c r="D68" s="190"/>
      <c r="E68" s="191"/>
      <c r="F68" s="191"/>
      <c r="G68" s="192"/>
      <c r="I68" s="56"/>
      <c r="J68" s="56"/>
    </row>
    <row r="69" spans="1:10" x14ac:dyDescent="0.2">
      <c r="A69" s="193"/>
      <c r="B69" s="189"/>
      <c r="C69" s="498"/>
      <c r="D69" s="190"/>
      <c r="E69" s="191"/>
      <c r="F69" s="191"/>
      <c r="G69" s="192"/>
      <c r="I69" s="56"/>
      <c r="J69" s="56"/>
    </row>
    <row r="70" spans="1:10" x14ac:dyDescent="0.2">
      <c r="A70" s="193"/>
      <c r="B70" s="189"/>
      <c r="C70" s="498"/>
      <c r="D70" s="190"/>
      <c r="E70" s="191"/>
      <c r="F70" s="191"/>
      <c r="G70" s="192"/>
      <c r="I70" s="56"/>
      <c r="J70" s="56"/>
    </row>
    <row r="71" spans="1:10" x14ac:dyDescent="0.2">
      <c r="A71" s="193"/>
      <c r="B71" s="189"/>
      <c r="C71" s="498"/>
      <c r="D71" s="190"/>
      <c r="E71" s="191"/>
      <c r="F71" s="191"/>
      <c r="G71" s="192"/>
      <c r="I71" s="56"/>
      <c r="J71" s="56"/>
    </row>
    <row r="72" spans="1:10" x14ac:dyDescent="0.2">
      <c r="A72" s="193"/>
      <c r="B72" s="189"/>
      <c r="C72" s="498"/>
      <c r="D72" s="190"/>
      <c r="E72" s="191"/>
      <c r="F72" s="191"/>
      <c r="G72" s="192"/>
      <c r="I72" s="56"/>
      <c r="J72" s="56"/>
    </row>
    <row r="73" spans="1:10" x14ac:dyDescent="0.2">
      <c r="A73" s="193"/>
      <c r="B73" s="189"/>
      <c r="C73" s="498"/>
      <c r="D73" s="190"/>
      <c r="E73" s="191"/>
      <c r="F73" s="191"/>
      <c r="G73" s="192"/>
      <c r="I73" s="56"/>
      <c r="J73" s="56"/>
    </row>
    <row r="74" spans="1:10" x14ac:dyDescent="0.2">
      <c r="A74" s="193"/>
      <c r="B74" s="189"/>
      <c r="C74" s="498"/>
      <c r="D74" s="190"/>
      <c r="E74" s="191"/>
      <c r="F74" s="191"/>
      <c r="G74" s="192"/>
      <c r="I74" s="56"/>
      <c r="J74" s="56"/>
    </row>
    <row r="75" spans="1:10" x14ac:dyDescent="0.2">
      <c r="A75" s="193"/>
      <c r="B75" s="189"/>
      <c r="C75" s="498"/>
      <c r="D75" s="190"/>
      <c r="E75" s="191"/>
      <c r="F75" s="191"/>
      <c r="G75" s="192"/>
      <c r="I75" s="56"/>
      <c r="J75" s="56"/>
    </row>
    <row r="76" spans="1:10" x14ac:dyDescent="0.2">
      <c r="A76" s="193"/>
      <c r="B76" s="189"/>
      <c r="C76" s="498"/>
      <c r="D76" s="190"/>
      <c r="E76" s="191"/>
      <c r="F76" s="191"/>
      <c r="G76" s="192"/>
      <c r="I76" s="56"/>
      <c r="J76" s="56"/>
    </row>
    <row r="77" spans="1:10" x14ac:dyDescent="0.2">
      <c r="A77" s="193"/>
      <c r="B77" s="189"/>
      <c r="C77" s="498"/>
      <c r="D77" s="190"/>
      <c r="E77" s="191"/>
      <c r="F77" s="191"/>
      <c r="G77" s="192"/>
      <c r="I77" s="56"/>
      <c r="J77" s="56"/>
    </row>
    <row r="78" spans="1:10" x14ac:dyDescent="0.2">
      <c r="A78" s="193"/>
      <c r="B78" s="189"/>
      <c r="C78" s="498"/>
      <c r="D78" s="190"/>
      <c r="E78" s="191"/>
      <c r="F78" s="191"/>
      <c r="G78" s="192"/>
      <c r="I78" s="56"/>
      <c r="J78" s="56"/>
    </row>
    <row r="79" spans="1:10" x14ac:dyDescent="0.2">
      <c r="A79" s="193"/>
      <c r="B79" s="189"/>
      <c r="C79" s="498"/>
      <c r="D79" s="190"/>
      <c r="E79" s="191"/>
      <c r="F79" s="191"/>
      <c r="G79" s="192"/>
      <c r="I79" s="56"/>
      <c r="J79" s="56"/>
    </row>
    <row r="80" spans="1:10" x14ac:dyDescent="0.2">
      <c r="A80" s="193"/>
      <c r="B80" s="189"/>
      <c r="C80" s="498"/>
      <c r="D80" s="190"/>
      <c r="E80" s="191"/>
      <c r="F80" s="191"/>
      <c r="G80" s="192"/>
      <c r="I80" s="56"/>
      <c r="J80" s="56"/>
    </row>
    <row r="81" spans="1:10" x14ac:dyDescent="0.2">
      <c r="A81" s="193"/>
      <c r="B81" s="189"/>
      <c r="C81" s="498"/>
      <c r="D81" s="190"/>
      <c r="E81" s="191"/>
      <c r="F81" s="191"/>
      <c r="G81" s="192"/>
      <c r="I81" s="56"/>
      <c r="J81" s="56"/>
    </row>
    <row r="82" spans="1:10" x14ac:dyDescent="0.2">
      <c r="A82" s="193"/>
      <c r="B82" s="189"/>
      <c r="C82" s="498"/>
      <c r="D82" s="190"/>
      <c r="E82" s="191"/>
      <c r="F82" s="191"/>
      <c r="G82" s="192"/>
      <c r="I82" s="56"/>
      <c r="J82" s="56"/>
    </row>
    <row r="83" spans="1:10" x14ac:dyDescent="0.2">
      <c r="A83" s="193"/>
      <c r="B83" s="189"/>
      <c r="C83" s="498"/>
      <c r="D83" s="190"/>
      <c r="E83" s="191"/>
      <c r="F83" s="191"/>
      <c r="G83" s="192"/>
      <c r="I83" s="56"/>
      <c r="J83" s="56"/>
    </row>
    <row r="84" spans="1:10" x14ac:dyDescent="0.2">
      <c r="A84" s="193"/>
      <c r="B84" s="189"/>
      <c r="C84" s="498"/>
      <c r="D84" s="190"/>
      <c r="E84" s="191"/>
      <c r="F84" s="191"/>
      <c r="G84" s="192"/>
      <c r="I84" s="56"/>
      <c r="J84" s="56"/>
    </row>
    <row r="85" spans="1:10" x14ac:dyDescent="0.2">
      <c r="A85" s="193"/>
      <c r="B85" s="189"/>
      <c r="C85" s="498"/>
      <c r="D85" s="190"/>
      <c r="E85" s="191"/>
      <c r="F85" s="191"/>
      <c r="G85" s="192"/>
      <c r="I85" s="56"/>
      <c r="J85" s="56"/>
    </row>
    <row r="86" spans="1:10" x14ac:dyDescent="0.2">
      <c r="A86" s="193"/>
      <c r="B86" s="189"/>
      <c r="C86" s="498"/>
      <c r="D86" s="190"/>
      <c r="E86" s="191"/>
      <c r="F86" s="191"/>
      <c r="G86" s="192"/>
      <c r="I86" s="56"/>
      <c r="J86" s="56"/>
    </row>
    <row r="87" spans="1:10" x14ac:dyDescent="0.2">
      <c r="A87" s="193"/>
      <c r="B87" s="189"/>
      <c r="C87" s="498"/>
      <c r="D87" s="190"/>
      <c r="E87" s="191"/>
      <c r="F87" s="191"/>
      <c r="G87" s="192"/>
      <c r="I87" s="56"/>
      <c r="J87" s="56"/>
    </row>
    <row r="88" spans="1:10" x14ac:dyDescent="0.2">
      <c r="A88" s="193"/>
      <c r="B88" s="189"/>
      <c r="C88" s="498"/>
      <c r="D88" s="190"/>
      <c r="E88" s="191"/>
      <c r="F88" s="191"/>
      <c r="G88" s="192"/>
      <c r="I88" s="56"/>
      <c r="J88" s="56"/>
    </row>
    <row r="89" spans="1:10" x14ac:dyDescent="0.2">
      <c r="A89" s="193"/>
      <c r="B89" s="189"/>
      <c r="C89" s="498"/>
      <c r="D89" s="190"/>
      <c r="E89" s="191"/>
      <c r="F89" s="191"/>
      <c r="G89" s="192"/>
      <c r="I89" s="56"/>
      <c r="J89" s="56"/>
    </row>
    <row r="90" spans="1:10" x14ac:dyDescent="0.2">
      <c r="A90" s="193"/>
      <c r="B90" s="189"/>
      <c r="C90" s="498"/>
      <c r="D90" s="190"/>
      <c r="E90" s="191"/>
      <c r="F90" s="191"/>
      <c r="G90" s="192"/>
      <c r="I90" s="56"/>
      <c r="J90" s="56"/>
    </row>
    <row r="91" spans="1:10" x14ac:dyDescent="0.2">
      <c r="A91" s="193"/>
      <c r="B91" s="189"/>
      <c r="C91" s="498"/>
      <c r="D91" s="190"/>
      <c r="E91" s="191"/>
      <c r="F91" s="191"/>
      <c r="G91" s="192"/>
      <c r="I91" s="56"/>
      <c r="J91" s="56"/>
    </row>
    <row r="92" spans="1:10" x14ac:dyDescent="0.2">
      <c r="A92" s="193"/>
      <c r="B92" s="189"/>
      <c r="C92" s="498"/>
      <c r="D92" s="190"/>
      <c r="E92" s="191"/>
      <c r="F92" s="191"/>
      <c r="G92" s="192"/>
      <c r="I92" s="56"/>
      <c r="J92" s="56"/>
    </row>
    <row r="93" spans="1:10" x14ac:dyDescent="0.2">
      <c r="A93" s="193"/>
      <c r="B93" s="189"/>
      <c r="C93" s="498"/>
      <c r="D93" s="190"/>
      <c r="E93" s="191"/>
      <c r="F93" s="191"/>
      <c r="G93" s="192"/>
      <c r="I93" s="56"/>
      <c r="J93" s="56"/>
    </row>
    <row r="94" spans="1:10" x14ac:dyDescent="0.2">
      <c r="A94" s="193"/>
      <c r="B94" s="189"/>
      <c r="C94" s="498"/>
      <c r="D94" s="190"/>
      <c r="E94" s="191"/>
      <c r="F94" s="191"/>
      <c r="G94" s="192"/>
      <c r="I94" s="56"/>
      <c r="J94" s="56"/>
    </row>
    <row r="95" spans="1:10" x14ac:dyDescent="0.2">
      <c r="A95" s="193"/>
      <c r="B95" s="189"/>
      <c r="C95" s="498"/>
      <c r="D95" s="190"/>
      <c r="E95" s="191"/>
      <c r="F95" s="191"/>
      <c r="G95" s="192"/>
      <c r="I95" s="56"/>
      <c r="J95" s="56"/>
    </row>
    <row r="96" spans="1:10" x14ac:dyDescent="0.2">
      <c r="A96" s="193"/>
      <c r="B96" s="189"/>
      <c r="C96" s="498"/>
      <c r="D96" s="190"/>
      <c r="E96" s="191"/>
      <c r="F96" s="191"/>
      <c r="G96" s="192"/>
      <c r="I96" s="56"/>
      <c r="J96" s="56"/>
    </row>
    <row r="97" spans="1:10" x14ac:dyDescent="0.2">
      <c r="A97" s="193"/>
      <c r="B97" s="189"/>
      <c r="C97" s="498"/>
      <c r="D97" s="190"/>
      <c r="E97" s="191"/>
      <c r="F97" s="191"/>
      <c r="G97" s="192"/>
      <c r="I97" s="56"/>
      <c r="J97" s="56"/>
    </row>
    <row r="98" spans="1:10" x14ac:dyDescent="0.2">
      <c r="A98" s="193"/>
      <c r="B98" s="189"/>
      <c r="C98" s="498"/>
      <c r="D98" s="190"/>
      <c r="E98" s="191"/>
      <c r="F98" s="191"/>
      <c r="G98" s="192"/>
      <c r="I98" s="56"/>
      <c r="J98" s="56"/>
    </row>
    <row r="99" spans="1:10" x14ac:dyDescent="0.2">
      <c r="A99" s="193"/>
      <c r="B99" s="189"/>
      <c r="C99" s="498"/>
      <c r="D99" s="190"/>
      <c r="E99" s="191"/>
      <c r="F99" s="191"/>
      <c r="G99" s="192"/>
      <c r="I99" s="56"/>
      <c r="J99" s="56"/>
    </row>
    <row r="100" spans="1:10" x14ac:dyDescent="0.2">
      <c r="A100" s="193"/>
      <c r="B100" s="189"/>
      <c r="C100" s="498"/>
      <c r="D100" s="190"/>
      <c r="E100" s="191"/>
      <c r="F100" s="191"/>
      <c r="G100" s="192"/>
      <c r="I100" s="56"/>
      <c r="J100" s="56"/>
    </row>
    <row r="101" spans="1:10" x14ac:dyDescent="0.2">
      <c r="A101" s="193"/>
      <c r="B101" s="189"/>
      <c r="C101" s="498"/>
      <c r="D101" s="190"/>
      <c r="E101" s="191"/>
      <c r="F101" s="191"/>
      <c r="G101" s="192"/>
      <c r="I101" s="56"/>
      <c r="J101" s="56"/>
    </row>
    <row r="102" spans="1:10" x14ac:dyDescent="0.2">
      <c r="A102" s="193"/>
      <c r="B102" s="189"/>
      <c r="C102" s="498"/>
      <c r="D102" s="190"/>
      <c r="E102" s="191"/>
      <c r="F102" s="191"/>
      <c r="G102" s="192"/>
      <c r="I102" s="56"/>
      <c r="J102" s="56"/>
    </row>
    <row r="103" spans="1:10" x14ac:dyDescent="0.2">
      <c r="A103" s="193"/>
      <c r="B103" s="189"/>
      <c r="C103" s="498"/>
      <c r="D103" s="190"/>
      <c r="E103" s="191"/>
      <c r="F103" s="191"/>
      <c r="G103" s="192"/>
      <c r="I103" s="56"/>
      <c r="J103" s="56"/>
    </row>
    <row r="104" spans="1:10" x14ac:dyDescent="0.2">
      <c r="A104" s="193"/>
      <c r="B104" s="189"/>
      <c r="C104" s="498"/>
      <c r="D104" s="190"/>
      <c r="E104" s="191"/>
      <c r="F104" s="191"/>
      <c r="G104" s="192"/>
      <c r="I104" s="56"/>
      <c r="J104" s="56"/>
    </row>
    <row r="105" spans="1:10" x14ac:dyDescent="0.2">
      <c r="A105" s="193"/>
      <c r="B105" s="189"/>
      <c r="C105" s="498"/>
      <c r="D105" s="190"/>
      <c r="E105" s="191"/>
      <c r="F105" s="191"/>
      <c r="G105" s="192"/>
      <c r="I105" s="56"/>
      <c r="J105" s="56"/>
    </row>
    <row r="106" spans="1:10" x14ac:dyDescent="0.2">
      <c r="A106" s="193"/>
      <c r="B106" s="189"/>
      <c r="C106" s="498"/>
      <c r="D106" s="190"/>
      <c r="E106" s="191"/>
      <c r="F106" s="191"/>
      <c r="G106" s="192"/>
      <c r="I106" s="56"/>
      <c r="J106" s="56"/>
    </row>
    <row r="107" spans="1:10" x14ac:dyDescent="0.2">
      <c r="A107" s="193"/>
      <c r="B107" s="189"/>
      <c r="C107" s="498"/>
      <c r="D107" s="190"/>
      <c r="E107" s="191"/>
      <c r="F107" s="191"/>
      <c r="G107" s="192"/>
      <c r="I107" s="56"/>
      <c r="J107" s="56"/>
    </row>
    <row r="108" spans="1:10" x14ac:dyDescent="0.2">
      <c r="A108" s="193"/>
      <c r="B108" s="189"/>
      <c r="C108" s="498"/>
      <c r="D108" s="190"/>
      <c r="E108" s="191"/>
      <c r="F108" s="191"/>
      <c r="G108" s="192"/>
      <c r="I108" s="56"/>
      <c r="J108" s="56"/>
    </row>
    <row r="109" spans="1:10" x14ac:dyDescent="0.2">
      <c r="A109" s="193"/>
      <c r="B109" s="189"/>
      <c r="C109" s="498"/>
      <c r="D109" s="190"/>
      <c r="E109" s="191"/>
      <c r="F109" s="191"/>
      <c r="G109" s="192"/>
      <c r="I109" s="56"/>
      <c r="J109" s="56"/>
    </row>
    <row r="110" spans="1:10" x14ac:dyDescent="0.2">
      <c r="A110" s="193"/>
      <c r="B110" s="189"/>
      <c r="C110" s="498"/>
      <c r="D110" s="190"/>
      <c r="E110" s="191"/>
      <c r="F110" s="191"/>
      <c r="G110" s="192"/>
    </row>
    <row r="111" spans="1:10" x14ac:dyDescent="0.2">
      <c r="A111" s="193"/>
      <c r="B111" s="189"/>
      <c r="C111" s="498"/>
      <c r="D111" s="190"/>
      <c r="E111" s="191"/>
      <c r="F111" s="191"/>
      <c r="G111" s="192"/>
    </row>
    <row r="112" spans="1:10" x14ac:dyDescent="0.2">
      <c r="A112" s="193"/>
      <c r="B112" s="189"/>
      <c r="C112" s="498"/>
      <c r="D112" s="190"/>
      <c r="E112" s="191"/>
      <c r="F112" s="191"/>
      <c r="G112" s="192"/>
    </row>
    <row r="113" spans="1:7" x14ac:dyDescent="0.2">
      <c r="A113" s="193"/>
      <c r="B113" s="189"/>
      <c r="C113" s="498"/>
      <c r="D113" s="190"/>
      <c r="E113" s="191"/>
      <c r="F113" s="191"/>
      <c r="G113" s="192"/>
    </row>
    <row r="114" spans="1:7" x14ac:dyDescent="0.2">
      <c r="A114" s="193"/>
      <c r="B114" s="189"/>
      <c r="C114" s="498"/>
      <c r="D114" s="190"/>
      <c r="E114" s="191"/>
      <c r="F114" s="191"/>
      <c r="G114" s="192"/>
    </row>
    <row r="115" spans="1:7" x14ac:dyDescent="0.2">
      <c r="A115" s="193"/>
      <c r="B115" s="189"/>
      <c r="C115" s="498"/>
      <c r="D115" s="190"/>
      <c r="E115" s="191"/>
      <c r="F115" s="191"/>
      <c r="G115" s="192"/>
    </row>
    <row r="116" spans="1:7" x14ac:dyDescent="0.2">
      <c r="A116" s="193"/>
      <c r="B116" s="189"/>
      <c r="C116" s="498"/>
      <c r="D116" s="190"/>
      <c r="E116" s="191"/>
      <c r="F116" s="191"/>
      <c r="G116" s="192"/>
    </row>
    <row r="117" spans="1:7" x14ac:dyDescent="0.2">
      <c r="A117" s="193"/>
      <c r="B117" s="189"/>
      <c r="C117" s="498"/>
      <c r="D117" s="190"/>
      <c r="E117" s="191"/>
      <c r="F117" s="191"/>
      <c r="G117" s="192"/>
    </row>
    <row r="118" spans="1:7" x14ac:dyDescent="0.2">
      <c r="A118" s="193"/>
      <c r="B118" s="189"/>
      <c r="C118" s="498"/>
      <c r="D118" s="190"/>
      <c r="E118" s="191"/>
      <c r="F118" s="191"/>
      <c r="G118" s="192"/>
    </row>
    <row r="119" spans="1:7" x14ac:dyDescent="0.2">
      <c r="A119" s="193"/>
      <c r="B119" s="189"/>
      <c r="C119" s="498"/>
      <c r="D119" s="190"/>
      <c r="E119" s="191"/>
      <c r="F119" s="191"/>
      <c r="G119" s="192"/>
    </row>
    <row r="120" spans="1:7" x14ac:dyDescent="0.2">
      <c r="A120" s="193"/>
      <c r="B120" s="189"/>
      <c r="C120" s="498"/>
      <c r="D120" s="190"/>
      <c r="E120" s="191"/>
      <c r="F120" s="191"/>
      <c r="G120" s="192"/>
    </row>
    <row r="121" spans="1:7" x14ac:dyDescent="0.2">
      <c r="A121" s="193"/>
      <c r="B121" s="189"/>
      <c r="C121" s="498"/>
      <c r="D121" s="190"/>
      <c r="E121" s="191"/>
      <c r="F121" s="191"/>
      <c r="G121" s="192"/>
    </row>
    <row r="122" spans="1:7" x14ac:dyDescent="0.2">
      <c r="A122" s="193"/>
      <c r="B122" s="189"/>
      <c r="C122" s="498"/>
      <c r="D122" s="190"/>
      <c r="E122" s="191"/>
      <c r="F122" s="191"/>
      <c r="G122" s="192"/>
    </row>
    <row r="123" spans="1:7" x14ac:dyDescent="0.2">
      <c r="A123" s="193"/>
      <c r="B123" s="189"/>
      <c r="C123" s="498"/>
      <c r="D123" s="190"/>
      <c r="E123" s="191"/>
      <c r="F123" s="191"/>
      <c r="G123" s="192"/>
    </row>
    <row r="124" spans="1:7" x14ac:dyDescent="0.2">
      <c r="A124" s="193"/>
      <c r="B124" s="189"/>
      <c r="C124" s="498"/>
      <c r="D124" s="190"/>
      <c r="E124" s="191"/>
      <c r="F124" s="191"/>
      <c r="G124" s="192"/>
    </row>
    <row r="125" spans="1:7" x14ac:dyDescent="0.2">
      <c r="A125" s="193"/>
      <c r="B125" s="189"/>
      <c r="C125" s="498"/>
      <c r="D125" s="190"/>
      <c r="E125" s="191"/>
      <c r="F125" s="191"/>
      <c r="G125" s="192"/>
    </row>
    <row r="126" spans="1:7" x14ac:dyDescent="0.2">
      <c r="A126" s="193"/>
      <c r="B126" s="189"/>
      <c r="C126" s="498"/>
      <c r="D126" s="190"/>
      <c r="E126" s="191"/>
      <c r="F126" s="191"/>
      <c r="G126" s="192"/>
    </row>
    <row r="127" spans="1:7" x14ac:dyDescent="0.2">
      <c r="A127" s="193"/>
      <c r="B127" s="189"/>
      <c r="C127" s="498"/>
      <c r="D127" s="190"/>
      <c r="E127" s="191"/>
      <c r="F127" s="191"/>
      <c r="G127" s="192"/>
    </row>
    <row r="128" spans="1:7" x14ac:dyDescent="0.2">
      <c r="A128" s="193"/>
      <c r="B128" s="189"/>
      <c r="C128" s="498"/>
      <c r="D128" s="190"/>
      <c r="E128" s="191"/>
      <c r="F128" s="191"/>
      <c r="G128" s="192"/>
    </row>
    <row r="129" spans="1:7" x14ac:dyDescent="0.2">
      <c r="A129" s="193"/>
      <c r="B129" s="189"/>
      <c r="C129" s="498"/>
      <c r="D129" s="190"/>
      <c r="E129" s="191"/>
      <c r="F129" s="191"/>
      <c r="G129" s="192"/>
    </row>
    <row r="130" spans="1:7" x14ac:dyDescent="0.2">
      <c r="A130" s="193"/>
      <c r="B130" s="189"/>
      <c r="C130" s="498"/>
      <c r="D130" s="190"/>
      <c r="E130" s="191"/>
      <c r="F130" s="191"/>
      <c r="G130" s="192"/>
    </row>
    <row r="131" spans="1:7" x14ac:dyDescent="0.2">
      <c r="A131" s="193"/>
      <c r="B131" s="189"/>
      <c r="C131" s="498"/>
      <c r="D131" s="190"/>
      <c r="E131" s="191"/>
      <c r="F131" s="191"/>
      <c r="G131" s="192"/>
    </row>
    <row r="132" spans="1:7" x14ac:dyDescent="0.2">
      <c r="A132" s="193"/>
      <c r="B132" s="189"/>
      <c r="C132" s="498"/>
      <c r="D132" s="190"/>
      <c r="E132" s="191"/>
      <c r="F132" s="191"/>
      <c r="G132" s="192"/>
    </row>
    <row r="133" spans="1:7" x14ac:dyDescent="0.2">
      <c r="A133" s="193"/>
      <c r="B133" s="189"/>
      <c r="C133" s="498"/>
      <c r="D133" s="190"/>
      <c r="E133" s="191"/>
      <c r="F133" s="191"/>
      <c r="G133" s="192"/>
    </row>
    <row r="134" spans="1:7" x14ac:dyDescent="0.2">
      <c r="A134" s="193"/>
      <c r="B134" s="189"/>
      <c r="C134" s="498"/>
      <c r="D134" s="190"/>
      <c r="E134" s="191"/>
      <c r="F134" s="191"/>
      <c r="G134" s="192"/>
    </row>
    <row r="135" spans="1:7" x14ac:dyDescent="0.2">
      <c r="A135" s="193"/>
      <c r="B135" s="189"/>
      <c r="C135" s="498"/>
      <c r="D135" s="190"/>
      <c r="E135" s="191"/>
      <c r="F135" s="191"/>
      <c r="G135" s="192"/>
    </row>
    <row r="136" spans="1:7" x14ac:dyDescent="0.2">
      <c r="A136" s="193"/>
      <c r="B136" s="189"/>
      <c r="C136" s="498"/>
      <c r="D136" s="190"/>
      <c r="E136" s="191"/>
      <c r="F136" s="191"/>
      <c r="G136" s="192"/>
    </row>
    <row r="137" spans="1:7" x14ac:dyDescent="0.2">
      <c r="A137" s="193"/>
      <c r="B137" s="189"/>
      <c r="C137" s="498"/>
      <c r="D137" s="190"/>
      <c r="E137" s="191"/>
      <c r="F137" s="191"/>
      <c r="G137" s="192"/>
    </row>
    <row r="138" spans="1:7" x14ac:dyDescent="0.2">
      <c r="A138" s="193"/>
      <c r="B138" s="189"/>
      <c r="C138" s="498"/>
      <c r="D138" s="190"/>
      <c r="E138" s="191"/>
      <c r="F138" s="191"/>
      <c r="G138" s="192"/>
    </row>
    <row r="139" spans="1:7" x14ac:dyDescent="0.2">
      <c r="A139" s="193"/>
      <c r="B139" s="189"/>
      <c r="C139" s="498"/>
      <c r="D139" s="190"/>
      <c r="E139" s="191"/>
      <c r="F139" s="191"/>
      <c r="G139" s="192"/>
    </row>
    <row r="140" spans="1:7" x14ac:dyDescent="0.2">
      <c r="A140" s="193"/>
      <c r="B140" s="189"/>
      <c r="C140" s="498"/>
      <c r="D140" s="190"/>
      <c r="E140" s="191"/>
      <c r="F140" s="191"/>
      <c r="G140" s="192"/>
    </row>
    <row r="141" spans="1:7" x14ac:dyDescent="0.2">
      <c r="A141" s="193"/>
      <c r="B141" s="189"/>
      <c r="C141" s="498"/>
      <c r="D141" s="190"/>
      <c r="E141" s="191"/>
      <c r="F141" s="191"/>
      <c r="G141" s="192"/>
    </row>
    <row r="142" spans="1:7" x14ac:dyDescent="0.2">
      <c r="A142" s="193"/>
      <c r="B142" s="189"/>
      <c r="C142" s="498"/>
      <c r="D142" s="190"/>
      <c r="E142" s="191"/>
      <c r="F142" s="191"/>
      <c r="G142" s="192"/>
    </row>
    <row r="143" spans="1:7" x14ac:dyDescent="0.2">
      <c r="A143" s="193"/>
      <c r="B143" s="189"/>
      <c r="C143" s="498"/>
      <c r="D143" s="190"/>
      <c r="E143" s="191"/>
      <c r="F143" s="191"/>
      <c r="G143" s="192"/>
    </row>
    <row r="144" spans="1:7" x14ac:dyDescent="0.2">
      <c r="A144" s="193"/>
      <c r="B144" s="189"/>
      <c r="C144" s="498"/>
      <c r="D144" s="190"/>
      <c r="E144" s="191"/>
      <c r="F144" s="191"/>
      <c r="G144" s="192"/>
    </row>
    <row r="145" spans="1:7" x14ac:dyDescent="0.2">
      <c r="A145" s="193"/>
      <c r="B145" s="189"/>
      <c r="C145" s="498"/>
      <c r="D145" s="190"/>
      <c r="E145" s="191"/>
      <c r="F145" s="191"/>
      <c r="G145" s="192"/>
    </row>
    <row r="146" spans="1:7" x14ac:dyDescent="0.2">
      <c r="A146" s="193"/>
      <c r="B146" s="189"/>
      <c r="C146" s="498"/>
      <c r="D146" s="190"/>
      <c r="E146" s="191"/>
      <c r="F146" s="191"/>
      <c r="G146" s="192"/>
    </row>
    <row r="147" spans="1:7" x14ac:dyDescent="0.2">
      <c r="A147" s="193"/>
      <c r="B147" s="189"/>
      <c r="C147" s="498"/>
      <c r="D147" s="190"/>
      <c r="E147" s="191"/>
      <c r="F147" s="191"/>
      <c r="G147" s="192"/>
    </row>
    <row r="148" spans="1:7" x14ac:dyDescent="0.2">
      <c r="A148" s="193"/>
      <c r="B148" s="189"/>
      <c r="C148" s="498"/>
      <c r="D148" s="190"/>
      <c r="E148" s="191"/>
      <c r="F148" s="191"/>
      <c r="G148" s="192"/>
    </row>
    <row r="149" spans="1:7" x14ac:dyDescent="0.2">
      <c r="A149" s="193"/>
      <c r="B149" s="189"/>
      <c r="C149" s="498"/>
      <c r="D149" s="190"/>
      <c r="E149" s="191"/>
      <c r="F149" s="191"/>
      <c r="G149" s="192"/>
    </row>
    <row r="150" spans="1:7" x14ac:dyDescent="0.2">
      <c r="A150" s="193"/>
      <c r="B150" s="189"/>
      <c r="C150" s="498"/>
      <c r="D150" s="190"/>
      <c r="E150" s="191"/>
      <c r="F150" s="191"/>
      <c r="G150" s="192"/>
    </row>
    <row r="151" spans="1:7" x14ac:dyDescent="0.2">
      <c r="A151" s="193"/>
      <c r="B151" s="189"/>
      <c r="C151" s="498"/>
      <c r="D151" s="190"/>
      <c r="E151" s="191"/>
      <c r="F151" s="191"/>
      <c r="G151" s="192"/>
    </row>
    <row r="152" spans="1:7" ht="13.5" thickBot="1" x14ac:dyDescent="0.25">
      <c r="C152" s="480"/>
      <c r="D152" s="57"/>
      <c r="E152" s="57"/>
      <c r="F152" s="58"/>
      <c r="G152" s="58"/>
    </row>
    <row r="153" spans="1:7" x14ac:dyDescent="0.2">
      <c r="D153" s="59"/>
      <c r="E153" s="59"/>
      <c r="F153" s="86" t="str">
        <f>CONCATENATE("Total Calculated ",A4,":")</f>
        <v>Total Calculated Accrued Expense:</v>
      </c>
      <c r="G153" s="60">
        <f>SUM(G7:G139)</f>
        <v>85745.35</v>
      </c>
    </row>
    <row r="154" spans="1:7" x14ac:dyDescent="0.2">
      <c r="D154" s="59"/>
      <c r="E154" s="59"/>
      <c r="F154" s="86"/>
      <c r="G154" s="60"/>
    </row>
    <row r="155" spans="1:7" ht="15" x14ac:dyDescent="0.25">
      <c r="A155" s="587" t="str">
        <f>IFERROR(IF(A156="","",VLOOKUP(A156,'Mapped COA'!A:G,2,0)),IF(A156="","",VLOOKUP(A156,COA!A:G,2,0)))</f>
        <v>Accrued Capital Asset</v>
      </c>
      <c r="B155" s="587"/>
      <c r="C155" s="52"/>
      <c r="D155" s="52"/>
      <c r="E155" s="52"/>
      <c r="F155" s="52"/>
      <c r="G155" s="52"/>
    </row>
    <row r="156" spans="1:7" ht="15" x14ac:dyDescent="0.25">
      <c r="A156" s="423" t="s">
        <v>1733</v>
      </c>
      <c r="B156" s="53"/>
      <c r="C156" s="54"/>
      <c r="D156" s="54"/>
      <c r="E156" s="54"/>
      <c r="F156" s="54"/>
      <c r="G156" s="54"/>
    </row>
    <row r="157" spans="1:7" x14ac:dyDescent="0.2">
      <c r="A157" s="55" t="s">
        <v>139</v>
      </c>
      <c r="B157" s="55" t="s">
        <v>86</v>
      </c>
      <c r="C157" s="55" t="s">
        <v>1684</v>
      </c>
      <c r="D157" s="55" t="s">
        <v>1685</v>
      </c>
      <c r="E157" s="55" t="s">
        <v>1686</v>
      </c>
      <c r="F157" s="55" t="s">
        <v>32</v>
      </c>
      <c r="G157" s="55" t="s">
        <v>277</v>
      </c>
    </row>
    <row r="158" spans="1:7" x14ac:dyDescent="0.2">
      <c r="A158" s="188"/>
      <c r="B158" s="189" t="str">
        <f>IFERROR(IF(A158="","",VLOOKUP(A158,'Mapped COA'!A:G,2,0)),IF(A158="","",VLOOKUP(A158,COA!A:G,2,0)))</f>
        <v/>
      </c>
      <c r="C158" s="498"/>
      <c r="D158" s="190"/>
      <c r="E158" s="191"/>
      <c r="F158" s="191"/>
      <c r="G158" s="192"/>
    </row>
    <row r="159" spans="1:7" x14ac:dyDescent="0.2">
      <c r="A159" s="188"/>
      <c r="B159" s="189" t="str">
        <f>IFERROR(IF(A159="","",VLOOKUP(A159,'Mapped COA'!A:G,2,0)),IF(A159="","",VLOOKUP(A159,COA!A:G,2,0)))</f>
        <v/>
      </c>
      <c r="C159" s="498"/>
      <c r="D159" s="190"/>
      <c r="E159" s="191"/>
      <c r="F159" s="191"/>
      <c r="G159" s="192"/>
    </row>
    <row r="160" spans="1:7" x14ac:dyDescent="0.2">
      <c r="A160" s="188"/>
      <c r="B160" s="189" t="str">
        <f>IFERROR(IF(A160="","",VLOOKUP(A160,'Mapped COA'!A:G,2,0)),IF(A160="","",VLOOKUP(A160,COA!A:G,2,0)))</f>
        <v/>
      </c>
      <c r="C160" s="498"/>
      <c r="D160" s="190"/>
      <c r="E160" s="191"/>
      <c r="F160" s="191"/>
      <c r="G160" s="192"/>
    </row>
    <row r="161" spans="1:7" x14ac:dyDescent="0.2">
      <c r="A161" s="188"/>
      <c r="B161" s="189" t="str">
        <f>IFERROR(IF(A161="","",VLOOKUP(A161,'Mapped COA'!A:G,2,0)),IF(A161="","",VLOOKUP(A161,COA!A:G,2,0)))</f>
        <v/>
      </c>
      <c r="C161" s="498"/>
      <c r="D161" s="190"/>
      <c r="E161" s="191"/>
      <c r="F161" s="191"/>
      <c r="G161" s="192"/>
    </row>
    <row r="162" spans="1:7" x14ac:dyDescent="0.2">
      <c r="A162" s="188"/>
      <c r="B162" s="189" t="str">
        <f>IFERROR(IF(A162="","",VLOOKUP(A162,'Mapped COA'!A:G,2,0)),IF(A162="","",VLOOKUP(A162,COA!A:G,2,0)))</f>
        <v/>
      </c>
      <c r="C162" s="498"/>
      <c r="D162" s="190"/>
      <c r="E162" s="191"/>
      <c r="F162" s="191"/>
      <c r="G162" s="192"/>
    </row>
    <row r="163" spans="1:7" x14ac:dyDescent="0.2">
      <c r="A163" s="188"/>
      <c r="B163" s="189" t="str">
        <f>IFERROR(IF(A163="","",VLOOKUP(A163,'Mapped COA'!A:G,2,0)),IF(A163="","",VLOOKUP(A163,COA!A:G,2,0)))</f>
        <v/>
      </c>
      <c r="C163" s="498"/>
      <c r="D163" s="190"/>
      <c r="E163" s="191"/>
      <c r="F163" s="191"/>
      <c r="G163" s="192"/>
    </row>
    <row r="164" spans="1:7" x14ac:dyDescent="0.2">
      <c r="A164" s="188"/>
      <c r="B164" s="189" t="str">
        <f>IFERROR(IF(A164="","",VLOOKUP(A164,'Mapped COA'!A:G,2,0)),IF(A164="","",VLOOKUP(A164,COA!A:G,2,0)))</f>
        <v/>
      </c>
      <c r="C164" s="498"/>
      <c r="D164" s="190"/>
      <c r="E164" s="191"/>
      <c r="F164" s="191"/>
      <c r="G164" s="192"/>
    </row>
    <row r="165" spans="1:7" x14ac:dyDescent="0.2">
      <c r="A165" s="188"/>
      <c r="B165" s="189" t="str">
        <f>IFERROR(IF(A165="","",VLOOKUP(A165,'Mapped COA'!A:G,2,0)),IF(A165="","",VLOOKUP(A165,COA!A:G,2,0)))</f>
        <v/>
      </c>
      <c r="C165" s="498"/>
      <c r="D165" s="190"/>
      <c r="E165" s="191"/>
      <c r="F165" s="191"/>
      <c r="G165" s="192"/>
    </row>
    <row r="166" spans="1:7" x14ac:dyDescent="0.2">
      <c r="A166" s="188"/>
      <c r="B166" s="189" t="str">
        <f>IFERROR(IF(A166="","",VLOOKUP(A166,'Mapped COA'!A:G,2,0)),IF(A166="","",VLOOKUP(A166,COA!A:G,2,0)))</f>
        <v/>
      </c>
      <c r="C166" s="498"/>
      <c r="D166" s="190"/>
      <c r="E166" s="191"/>
      <c r="F166" s="191"/>
      <c r="G166" s="192"/>
    </row>
    <row r="167" spans="1:7" x14ac:dyDescent="0.2">
      <c r="A167" s="188"/>
      <c r="B167" s="189" t="str">
        <f>IFERROR(IF(A167="","",VLOOKUP(A167,'Mapped COA'!A:G,2,0)),IF(A167="","",VLOOKUP(A167,COA!A:G,2,0)))</f>
        <v/>
      </c>
      <c r="C167" s="498"/>
      <c r="D167" s="190"/>
      <c r="E167" s="191"/>
      <c r="F167" s="191"/>
      <c r="G167" s="192"/>
    </row>
    <row r="168" spans="1:7" x14ac:dyDescent="0.2">
      <c r="A168" s="188"/>
      <c r="B168" s="189" t="str">
        <f>IFERROR(IF(A168="","",VLOOKUP(A168,'Mapped COA'!A:G,2,0)),IF(A168="","",VLOOKUP(A168,COA!A:G,2,0)))</f>
        <v/>
      </c>
      <c r="C168" s="498"/>
      <c r="D168" s="190"/>
      <c r="E168" s="191"/>
      <c r="F168" s="191"/>
      <c r="G168" s="192"/>
    </row>
    <row r="169" spans="1:7" x14ac:dyDescent="0.2">
      <c r="A169" s="188"/>
      <c r="B169" s="189" t="str">
        <f>IFERROR(IF(A169="","",VLOOKUP(A169,'Mapped COA'!A:G,2,0)),IF(A169="","",VLOOKUP(A169,COA!A:G,2,0)))</f>
        <v/>
      </c>
      <c r="C169" s="498"/>
      <c r="D169" s="190"/>
      <c r="E169" s="191"/>
      <c r="F169" s="191"/>
      <c r="G169" s="192"/>
    </row>
    <row r="170" spans="1:7" x14ac:dyDescent="0.2">
      <c r="A170" s="188"/>
      <c r="B170" s="189" t="str">
        <f>IFERROR(IF(A170="","",VLOOKUP(A170,'Mapped COA'!A:G,2,0)),IF(A170="","",VLOOKUP(A170,COA!A:G,2,0)))</f>
        <v/>
      </c>
      <c r="C170" s="498"/>
      <c r="D170" s="190"/>
      <c r="E170" s="191"/>
      <c r="F170" s="191"/>
      <c r="G170" s="192"/>
    </row>
    <row r="171" spans="1:7" x14ac:dyDescent="0.2">
      <c r="A171" s="188"/>
      <c r="B171" s="189" t="str">
        <f>IFERROR(IF(A171="","",VLOOKUP(A171,'Mapped COA'!A:G,2,0)),IF(A171="","",VLOOKUP(A171,COA!A:G,2,0)))</f>
        <v/>
      </c>
      <c r="C171" s="498"/>
      <c r="D171" s="190"/>
      <c r="E171" s="191"/>
      <c r="F171" s="191"/>
      <c r="G171" s="192"/>
    </row>
    <row r="172" spans="1:7" x14ac:dyDescent="0.2">
      <c r="A172" s="188"/>
      <c r="B172" s="189" t="str">
        <f>IFERROR(IF(A172="","",VLOOKUP(A172,'Mapped COA'!A:G,2,0)),IF(A172="","",VLOOKUP(A172,COA!A:G,2,0)))</f>
        <v/>
      </c>
      <c r="C172" s="498"/>
      <c r="D172" s="190"/>
      <c r="E172" s="191"/>
      <c r="F172" s="191"/>
      <c r="G172" s="192"/>
    </row>
    <row r="173" spans="1:7" x14ac:dyDescent="0.2">
      <c r="A173" s="188"/>
      <c r="B173" s="189" t="str">
        <f>IFERROR(IF(A173="","",VLOOKUP(A173,'Mapped COA'!A:G,2,0)),IF(A173="","",VLOOKUP(A173,COA!A:G,2,0)))</f>
        <v/>
      </c>
      <c r="C173" s="498"/>
      <c r="D173" s="190"/>
      <c r="E173" s="191"/>
      <c r="F173" s="191"/>
      <c r="G173" s="192"/>
    </row>
    <row r="174" spans="1:7" x14ac:dyDescent="0.2">
      <c r="A174" s="188"/>
      <c r="B174" s="189" t="str">
        <f>IFERROR(IF(A174="","",VLOOKUP(A174,'Mapped COA'!A:G,2,0)),IF(A174="","",VLOOKUP(A174,COA!A:G,2,0)))</f>
        <v/>
      </c>
      <c r="C174" s="498"/>
      <c r="D174" s="190"/>
      <c r="E174" s="191"/>
      <c r="F174" s="191"/>
      <c r="G174" s="192"/>
    </row>
    <row r="175" spans="1:7" x14ac:dyDescent="0.2">
      <c r="A175" s="188"/>
      <c r="B175" s="189" t="str">
        <f>IFERROR(IF(A175="","",VLOOKUP(A175,'Mapped COA'!A:G,2,0)),IF(A175="","",VLOOKUP(A175,COA!A:G,2,0)))</f>
        <v/>
      </c>
      <c r="C175" s="498"/>
      <c r="D175" s="190"/>
      <c r="E175" s="191"/>
      <c r="F175" s="191"/>
      <c r="G175" s="192"/>
    </row>
    <row r="176" spans="1:7" x14ac:dyDescent="0.2">
      <c r="A176" s="188"/>
      <c r="B176" s="189" t="str">
        <f>IFERROR(IF(A176="","",VLOOKUP(A176,'Mapped COA'!A:G,2,0)),IF(A176="","",VLOOKUP(A176,COA!A:G,2,0)))</f>
        <v/>
      </c>
      <c r="C176" s="498"/>
      <c r="D176" s="190"/>
      <c r="E176" s="191"/>
      <c r="F176" s="191"/>
      <c r="G176" s="192"/>
    </row>
    <row r="177" spans="1:7" x14ac:dyDescent="0.2">
      <c r="A177" s="188"/>
      <c r="B177" s="189" t="str">
        <f>IFERROR(IF(A177="","",VLOOKUP(A177,'Mapped COA'!A:G,2,0)),IF(A177="","",VLOOKUP(A177,COA!A:G,2,0)))</f>
        <v/>
      </c>
      <c r="C177" s="498"/>
      <c r="D177" s="190"/>
      <c r="E177" s="191"/>
      <c r="F177" s="191"/>
      <c r="G177" s="192"/>
    </row>
    <row r="178" spans="1:7" x14ac:dyDescent="0.2">
      <c r="A178" s="188"/>
      <c r="B178" s="189" t="str">
        <f>IFERROR(IF(A178="","",VLOOKUP(A178,'Mapped COA'!A:G,2,0)),IF(A178="","",VLOOKUP(A178,COA!A:G,2,0)))</f>
        <v/>
      </c>
      <c r="C178" s="498"/>
      <c r="D178" s="190"/>
      <c r="E178" s="191"/>
      <c r="F178" s="191"/>
      <c r="G178" s="192"/>
    </row>
    <row r="179" spans="1:7" x14ac:dyDescent="0.2">
      <c r="A179" s="188"/>
      <c r="B179" s="189" t="str">
        <f>IFERROR(IF(A179="","",VLOOKUP(A179,'Mapped COA'!A:G,2,0)),IF(A179="","",VLOOKUP(A179,COA!A:G,2,0)))</f>
        <v/>
      </c>
      <c r="C179" s="498"/>
      <c r="D179" s="190"/>
      <c r="E179" s="191"/>
      <c r="F179" s="191"/>
      <c r="G179" s="192"/>
    </row>
    <row r="180" spans="1:7" ht="12.75" customHeight="1" x14ac:dyDescent="0.2">
      <c r="A180" s="188"/>
      <c r="B180" s="189" t="str">
        <f>IFERROR(IF(A180="","",VLOOKUP(A180,'Mapped COA'!A:G,2,0)),IF(A180="","",VLOOKUP(A180,COA!A:G,2,0)))</f>
        <v/>
      </c>
      <c r="C180" s="498"/>
      <c r="D180" s="190"/>
      <c r="E180" s="191"/>
      <c r="F180" s="191"/>
      <c r="G180" s="192"/>
    </row>
    <row r="181" spans="1:7" ht="12.75" customHeight="1" x14ac:dyDescent="0.2">
      <c r="A181" s="188"/>
      <c r="B181" s="189" t="str">
        <f>IFERROR(IF(A181="","",VLOOKUP(A181,'Mapped COA'!A:G,2,0)),IF(A181="","",VLOOKUP(A181,COA!A:G,2,0)))</f>
        <v/>
      </c>
      <c r="C181" s="498"/>
      <c r="D181" s="190"/>
      <c r="E181" s="191"/>
      <c r="F181" s="191"/>
      <c r="G181" s="192"/>
    </row>
    <row r="182" spans="1:7" ht="12.75" customHeight="1" x14ac:dyDescent="0.2">
      <c r="A182" s="188"/>
      <c r="B182" s="189" t="str">
        <f>IFERROR(IF(A182="","",VLOOKUP(A182,'Mapped COA'!A:G,2,0)),IF(A182="","",VLOOKUP(A182,COA!A:G,2,0)))</f>
        <v/>
      </c>
      <c r="C182" s="498"/>
      <c r="D182" s="190"/>
      <c r="E182" s="191"/>
      <c r="F182" s="191"/>
      <c r="G182" s="192"/>
    </row>
    <row r="183" spans="1:7" ht="12.75" customHeight="1" x14ac:dyDescent="0.2">
      <c r="A183" s="188"/>
      <c r="B183" s="189" t="str">
        <f>IFERROR(IF(A183="","",VLOOKUP(A183,'Mapped COA'!A:G,2,0)),IF(A183="","",VLOOKUP(A183,COA!A:G,2,0)))</f>
        <v/>
      </c>
      <c r="C183" s="498"/>
      <c r="D183" s="190"/>
      <c r="E183" s="191"/>
      <c r="F183" s="191"/>
      <c r="G183" s="192"/>
    </row>
    <row r="184" spans="1:7" ht="12.75" customHeight="1" x14ac:dyDescent="0.2">
      <c r="A184" s="188"/>
      <c r="B184" s="189" t="str">
        <f>IFERROR(IF(A184="","",VLOOKUP(A184,'Mapped COA'!A:G,2,0)),IF(A184="","",VLOOKUP(A184,COA!A:G,2,0)))</f>
        <v/>
      </c>
      <c r="C184" s="498"/>
      <c r="D184" s="190"/>
      <c r="E184" s="191"/>
      <c r="F184" s="191"/>
      <c r="G184" s="192"/>
    </row>
    <row r="185" spans="1:7" ht="12.75" customHeight="1" x14ac:dyDescent="0.2">
      <c r="A185" s="188"/>
      <c r="B185" s="189" t="str">
        <f>IFERROR(IF(A185="","",VLOOKUP(A185,'Mapped COA'!A:G,2,0)),IF(A185="","",VLOOKUP(A185,COA!A:G,2,0)))</f>
        <v/>
      </c>
      <c r="C185" s="498"/>
      <c r="D185" s="190"/>
      <c r="E185" s="191"/>
      <c r="F185" s="191"/>
      <c r="G185" s="192"/>
    </row>
    <row r="186" spans="1:7" ht="12.75" customHeight="1" x14ac:dyDescent="0.2">
      <c r="A186" s="188"/>
      <c r="B186" s="189" t="str">
        <f>IFERROR(IF(A186="","",VLOOKUP(A186,'Mapped COA'!A:G,2,0)),IF(A186="","",VLOOKUP(A186,COA!A:G,2,0)))</f>
        <v/>
      </c>
      <c r="C186" s="498"/>
      <c r="D186" s="190"/>
      <c r="E186" s="191"/>
      <c r="F186" s="191"/>
      <c r="G186" s="192"/>
    </row>
    <row r="187" spans="1:7" ht="12.75" customHeight="1" x14ac:dyDescent="0.2">
      <c r="A187" s="188"/>
      <c r="B187" s="189" t="str">
        <f>IFERROR(IF(A187="","",VLOOKUP(A187,'Mapped COA'!A:G,2,0)),IF(A187="","",VLOOKUP(A187,COA!A:G,2,0)))</f>
        <v/>
      </c>
      <c r="C187" s="498"/>
      <c r="D187" s="190"/>
      <c r="E187" s="191"/>
      <c r="F187" s="191"/>
      <c r="G187" s="192"/>
    </row>
    <row r="188" spans="1:7" ht="12.75" customHeight="1" x14ac:dyDescent="0.2">
      <c r="A188" s="188"/>
      <c r="B188" s="189" t="str">
        <f>IFERROR(IF(A188="","",VLOOKUP(A188,'Mapped COA'!A:G,2,0)),IF(A188="","",VLOOKUP(A188,COA!A:G,2,0)))</f>
        <v/>
      </c>
      <c r="C188" s="498"/>
      <c r="D188" s="190"/>
      <c r="E188" s="191"/>
      <c r="F188" s="191"/>
      <c r="G188" s="192"/>
    </row>
    <row r="189" spans="1:7" ht="12.75" customHeight="1" x14ac:dyDescent="0.2">
      <c r="A189" s="188"/>
      <c r="B189" s="189" t="str">
        <f>IFERROR(IF(A189="","",VLOOKUP(A189,'Mapped COA'!A:G,2,0)),IF(A189="","",VLOOKUP(A189,COA!A:G,2,0)))</f>
        <v/>
      </c>
      <c r="C189" s="498"/>
      <c r="D189" s="190"/>
      <c r="E189" s="191"/>
      <c r="F189" s="191"/>
      <c r="G189" s="192"/>
    </row>
    <row r="190" spans="1:7" ht="12.75" customHeight="1" x14ac:dyDescent="0.2">
      <c r="A190" s="188"/>
      <c r="B190" s="189" t="str">
        <f>IFERROR(IF(A190="","",VLOOKUP(A190,'Mapped COA'!A:G,2,0)),IF(A190="","",VLOOKUP(A190,COA!A:G,2,0)))</f>
        <v/>
      </c>
      <c r="C190" s="498"/>
      <c r="D190" s="190"/>
      <c r="E190" s="191"/>
      <c r="F190" s="191"/>
      <c r="G190" s="192"/>
    </row>
    <row r="191" spans="1:7" ht="12.75" customHeight="1" x14ac:dyDescent="0.2">
      <c r="A191" s="188"/>
      <c r="B191" s="189" t="str">
        <f>IFERROR(IF(A191="","",VLOOKUP(A191,'Mapped COA'!A:G,2,0)),IF(A191="","",VLOOKUP(A191,COA!A:G,2,0)))</f>
        <v/>
      </c>
      <c r="C191" s="498"/>
      <c r="D191" s="190"/>
      <c r="E191" s="191"/>
      <c r="F191" s="191"/>
      <c r="G191" s="192"/>
    </row>
    <row r="192" spans="1:7" ht="12.75" customHeight="1" x14ac:dyDescent="0.2">
      <c r="A192" s="188"/>
      <c r="B192" s="189" t="str">
        <f>IFERROR(IF(A192="","",VLOOKUP(A192,'Mapped COA'!A:G,2,0)),IF(A192="","",VLOOKUP(A192,COA!A:G,2,0)))</f>
        <v/>
      </c>
      <c r="C192" s="498"/>
      <c r="D192" s="190"/>
      <c r="E192" s="191"/>
      <c r="F192" s="191"/>
      <c r="G192" s="192"/>
    </row>
    <row r="193" spans="1:7" ht="12.75" customHeight="1" x14ac:dyDescent="0.2">
      <c r="A193" s="188"/>
      <c r="B193" s="189" t="str">
        <f>IFERROR(IF(A193="","",VLOOKUP(A193,'Mapped COA'!A:G,2,0)),IF(A193="","",VLOOKUP(A193,COA!A:G,2,0)))</f>
        <v/>
      </c>
      <c r="C193" s="498"/>
      <c r="D193" s="190"/>
      <c r="E193" s="191"/>
      <c r="F193" s="191"/>
      <c r="G193" s="192"/>
    </row>
    <row r="194" spans="1:7" ht="12.75" customHeight="1" x14ac:dyDescent="0.2">
      <c r="A194" s="188"/>
      <c r="B194" s="189" t="str">
        <f>IFERROR(IF(A194="","",VLOOKUP(A194,'Mapped COA'!A:G,2,0)),IF(A194="","",VLOOKUP(A194,COA!A:G,2,0)))</f>
        <v/>
      </c>
      <c r="C194" s="498"/>
      <c r="D194" s="190"/>
      <c r="E194" s="191"/>
      <c r="F194" s="191"/>
      <c r="G194" s="192"/>
    </row>
    <row r="195" spans="1:7" ht="12.75" customHeight="1" x14ac:dyDescent="0.2">
      <c r="A195" s="188"/>
      <c r="B195" s="189" t="str">
        <f>IFERROR(IF(A195="","",VLOOKUP(A195,'Mapped COA'!A:G,2,0)),IF(A195="","",VLOOKUP(A195,COA!A:G,2,0)))</f>
        <v/>
      </c>
      <c r="C195" s="498"/>
      <c r="D195" s="190"/>
      <c r="E195" s="191"/>
      <c r="F195" s="191"/>
      <c r="G195" s="192"/>
    </row>
    <row r="196" spans="1:7" ht="12.75" customHeight="1" x14ac:dyDescent="0.2">
      <c r="A196" s="188"/>
      <c r="B196" s="189" t="str">
        <f>IFERROR(IF(A196="","",VLOOKUP(A196,'Mapped COA'!A:G,2,0)),IF(A196="","",VLOOKUP(A196,COA!A:G,2,0)))</f>
        <v/>
      </c>
      <c r="C196" s="498"/>
      <c r="D196" s="190"/>
      <c r="E196" s="191"/>
      <c r="F196" s="191"/>
      <c r="G196" s="192"/>
    </row>
    <row r="197" spans="1:7" ht="12.75" customHeight="1" x14ac:dyDescent="0.2">
      <c r="A197" s="188"/>
      <c r="B197" s="189" t="str">
        <f>IFERROR(IF(A197="","",VLOOKUP(A197,'Mapped COA'!A:G,2,0)),IF(A197="","",VLOOKUP(A197,COA!A:G,2,0)))</f>
        <v/>
      </c>
      <c r="C197" s="498"/>
      <c r="D197" s="190"/>
      <c r="E197" s="191"/>
      <c r="F197" s="191"/>
      <c r="G197" s="192"/>
    </row>
    <row r="198" spans="1:7" ht="12.75" customHeight="1" x14ac:dyDescent="0.2">
      <c r="A198" s="188"/>
      <c r="B198" s="189" t="str">
        <f>IFERROR(IF(A198="","",VLOOKUP(A198,'Mapped COA'!A:G,2,0)),IF(A198="","",VLOOKUP(A198,COA!A:G,2,0)))</f>
        <v/>
      </c>
      <c r="C198" s="498"/>
      <c r="D198" s="190"/>
      <c r="E198" s="191"/>
      <c r="F198" s="191"/>
      <c r="G198" s="192"/>
    </row>
    <row r="199" spans="1:7" ht="12.75" customHeight="1" x14ac:dyDescent="0.2">
      <c r="A199" s="188"/>
      <c r="B199" s="189" t="str">
        <f>IFERROR(IF(A199="","",VLOOKUP(A199,'Mapped COA'!A:G,2,0)),IF(A199="","",VLOOKUP(A199,COA!A:G,2,0)))</f>
        <v/>
      </c>
      <c r="C199" s="498"/>
      <c r="D199" s="190"/>
      <c r="E199" s="191"/>
      <c r="F199" s="191"/>
      <c r="G199" s="192"/>
    </row>
    <row r="200" spans="1:7" ht="12.75" customHeight="1" x14ac:dyDescent="0.2">
      <c r="A200" s="188"/>
      <c r="B200" s="189" t="str">
        <f>IFERROR(IF(A200="","",VLOOKUP(A200,'Mapped COA'!A:G,2,0)),IF(A200="","",VLOOKUP(A200,COA!A:G,2,0)))</f>
        <v/>
      </c>
      <c r="C200" s="498"/>
      <c r="D200" s="190"/>
      <c r="E200" s="191"/>
      <c r="F200" s="191"/>
      <c r="G200" s="192"/>
    </row>
    <row r="201" spans="1:7" ht="12.75" customHeight="1" x14ac:dyDescent="0.2">
      <c r="A201" s="188"/>
      <c r="B201" s="189" t="str">
        <f>IFERROR(IF(A201="","",VLOOKUP(A201,'Mapped COA'!A:G,2,0)),IF(A201="","",VLOOKUP(A201,COA!A:G,2,0)))</f>
        <v/>
      </c>
      <c r="C201" s="498"/>
      <c r="D201" s="190"/>
      <c r="E201" s="191"/>
      <c r="F201" s="191"/>
      <c r="G201" s="192"/>
    </row>
    <row r="202" spans="1:7" ht="12.75" customHeight="1" x14ac:dyDescent="0.2">
      <c r="A202" s="188"/>
      <c r="B202" s="189" t="str">
        <f>IFERROR(IF(A202="","",VLOOKUP(A202,'Mapped COA'!A:G,2,0)),IF(A202="","",VLOOKUP(A202,COA!A:G,2,0)))</f>
        <v/>
      </c>
      <c r="C202" s="498"/>
      <c r="D202" s="190"/>
      <c r="E202" s="191"/>
      <c r="F202" s="191"/>
      <c r="G202" s="192"/>
    </row>
    <row r="203" spans="1:7" ht="12.75" customHeight="1" x14ac:dyDescent="0.2">
      <c r="A203" s="188"/>
      <c r="B203" s="189" t="str">
        <f>IFERROR(IF(A203="","",VLOOKUP(A203,'Mapped COA'!A:G,2,0)),IF(A203="","",VLOOKUP(A203,COA!A:G,2,0)))</f>
        <v/>
      </c>
      <c r="C203" s="498"/>
      <c r="D203" s="190"/>
      <c r="E203" s="191"/>
      <c r="F203" s="191"/>
      <c r="G203" s="192"/>
    </row>
    <row r="204" spans="1:7" ht="12.75" customHeight="1" x14ac:dyDescent="0.2">
      <c r="A204" s="188"/>
      <c r="B204" s="189" t="str">
        <f>IFERROR(IF(A204="","",VLOOKUP(A204,'Mapped COA'!A:G,2,0)),IF(A204="","",VLOOKUP(A204,COA!A:G,2,0)))</f>
        <v/>
      </c>
      <c r="C204" s="498"/>
      <c r="D204" s="190"/>
      <c r="E204" s="191"/>
      <c r="F204" s="191"/>
      <c r="G204" s="192"/>
    </row>
    <row r="205" spans="1:7" ht="12.75" customHeight="1" x14ac:dyDescent="0.2">
      <c r="A205" s="188"/>
      <c r="B205" s="189" t="str">
        <f>IFERROR(IF(A205="","",VLOOKUP(A205,'Mapped COA'!A:G,2,0)),IF(A205="","",VLOOKUP(A205,COA!A:G,2,0)))</f>
        <v/>
      </c>
      <c r="C205" s="498"/>
      <c r="D205" s="190"/>
      <c r="E205" s="191"/>
      <c r="F205" s="191"/>
      <c r="G205" s="192"/>
    </row>
    <row r="206" spans="1:7" ht="12.75" customHeight="1" x14ac:dyDescent="0.2">
      <c r="A206" s="188"/>
      <c r="B206" s="189" t="str">
        <f>IFERROR(IF(A206="","",VLOOKUP(A206,'Mapped COA'!A:G,2,0)),IF(A206="","",VLOOKUP(A206,COA!A:G,2,0)))</f>
        <v/>
      </c>
      <c r="C206" s="498"/>
      <c r="D206" s="190"/>
      <c r="E206" s="191"/>
      <c r="F206" s="191"/>
      <c r="G206" s="192"/>
    </row>
    <row r="207" spans="1:7" ht="12.75" customHeight="1" x14ac:dyDescent="0.2">
      <c r="A207" s="188"/>
      <c r="B207" s="189" t="str">
        <f>IFERROR(IF(A207="","",VLOOKUP(A207,'Mapped COA'!A:G,2,0)),IF(A207="","",VLOOKUP(A207,COA!A:G,2,0)))</f>
        <v/>
      </c>
      <c r="C207" s="498"/>
      <c r="D207" s="190"/>
      <c r="E207" s="191"/>
      <c r="F207" s="191"/>
      <c r="G207" s="192"/>
    </row>
    <row r="208" spans="1:7" ht="12.75" customHeight="1" x14ac:dyDescent="0.2">
      <c r="A208" s="188"/>
      <c r="B208" s="189" t="str">
        <f>IFERROR(IF(A208="","",VLOOKUP(A208,'Mapped COA'!A:G,2,0)),IF(A208="","",VLOOKUP(A208,COA!A:G,2,0)))</f>
        <v/>
      </c>
      <c r="C208" s="498"/>
      <c r="D208" s="190"/>
      <c r="E208" s="191"/>
      <c r="F208" s="191"/>
      <c r="G208" s="192"/>
    </row>
    <row r="209" spans="1:7" ht="12.75" customHeight="1" x14ac:dyDescent="0.2">
      <c r="A209" s="188"/>
      <c r="B209" s="189" t="str">
        <f>IFERROR(IF(A209="","",VLOOKUP(A209,'Mapped COA'!A:G,2,0)),IF(A209="","",VLOOKUP(A209,COA!A:G,2,0)))</f>
        <v/>
      </c>
      <c r="C209" s="498"/>
      <c r="D209" s="190"/>
      <c r="E209" s="191"/>
      <c r="F209" s="191"/>
      <c r="G209" s="192"/>
    </row>
    <row r="210" spans="1:7" ht="12.75" customHeight="1" x14ac:dyDescent="0.2">
      <c r="A210" s="188"/>
      <c r="B210" s="189" t="str">
        <f>IFERROR(IF(A210="","",VLOOKUP(A210,'Mapped COA'!A:G,2,0)),IF(A210="","",VLOOKUP(A210,COA!A:G,2,0)))</f>
        <v/>
      </c>
      <c r="C210" s="498"/>
      <c r="D210" s="190"/>
      <c r="E210" s="191"/>
      <c r="F210" s="191"/>
      <c r="G210" s="192"/>
    </row>
    <row r="211" spans="1:7" ht="12.75" customHeight="1" x14ac:dyDescent="0.2">
      <c r="A211" s="193"/>
      <c r="B211" s="189" t="str">
        <f>IFERROR(IF(A211="","",VLOOKUP(A211,'Mapped COA'!A:G,2,0)),IF(A211="","",VLOOKUP(A211,COA!A:G,2,0)))</f>
        <v/>
      </c>
      <c r="C211" s="498"/>
      <c r="D211" s="190"/>
      <c r="E211" s="191"/>
      <c r="F211" s="191"/>
      <c r="G211" s="192"/>
    </row>
    <row r="212" spans="1:7" ht="12.75" customHeight="1" x14ac:dyDescent="0.2">
      <c r="A212" s="193"/>
      <c r="B212" s="189" t="str">
        <f>IFERROR(IF(A212="","",VLOOKUP(A212,'Mapped COA'!A:G,2,0)),IF(A212="","",VLOOKUP(A212,COA!A:G,2,0)))</f>
        <v/>
      </c>
      <c r="C212" s="498"/>
      <c r="D212" s="190"/>
      <c r="E212" s="191"/>
      <c r="F212" s="191"/>
      <c r="G212" s="192"/>
    </row>
    <row r="213" spans="1:7" ht="12.75" customHeight="1" x14ac:dyDescent="0.2">
      <c r="A213" s="193"/>
      <c r="B213" s="189" t="str">
        <f>IFERROR(IF(A213="","",VLOOKUP(A213,'Mapped COA'!A:G,2,0)),IF(A213="","",VLOOKUP(A213,COA!A:G,2,0)))</f>
        <v/>
      </c>
      <c r="C213" s="498"/>
      <c r="D213" s="190"/>
      <c r="E213" s="191"/>
      <c r="F213" s="191"/>
      <c r="G213" s="192"/>
    </row>
    <row r="214" spans="1:7" x14ac:dyDescent="0.2">
      <c r="A214" s="193"/>
      <c r="B214" s="189" t="str">
        <f>IFERROR(IF(A214="","",VLOOKUP(A214,'Mapped COA'!A:G,2,0)),IF(A214="","",VLOOKUP(A214,COA!A:G,2,0)))</f>
        <v/>
      </c>
      <c r="C214" s="498"/>
      <c r="D214" s="190"/>
      <c r="E214" s="191"/>
      <c r="F214" s="191"/>
      <c r="G214" s="192"/>
    </row>
    <row r="215" spans="1:7" x14ac:dyDescent="0.2">
      <c r="A215" s="193"/>
      <c r="B215" s="189" t="str">
        <f>IFERROR(IF(A215="","",VLOOKUP(A215,'Mapped COA'!A:G,2,0)),IF(A215="","",VLOOKUP(A215,COA!A:G,2,0)))</f>
        <v/>
      </c>
      <c r="C215" s="498"/>
      <c r="D215" s="190"/>
      <c r="E215" s="191"/>
      <c r="F215" s="191"/>
      <c r="G215" s="192"/>
    </row>
    <row r="216" spans="1:7" x14ac:dyDescent="0.2">
      <c r="A216" s="193"/>
      <c r="B216" s="189" t="str">
        <f>IFERROR(IF(A216="","",VLOOKUP(A216,'Mapped COA'!A:G,2,0)),IF(A216="","",VLOOKUP(A216,COA!A:G,2,0)))</f>
        <v/>
      </c>
      <c r="C216" s="498"/>
      <c r="D216" s="190"/>
      <c r="E216" s="191"/>
      <c r="F216" s="191"/>
      <c r="G216" s="192"/>
    </row>
    <row r="217" spans="1:7" x14ac:dyDescent="0.2">
      <c r="A217" s="193"/>
      <c r="B217" s="189" t="str">
        <f>IFERROR(IF(A217="","",VLOOKUP(A217,'Mapped COA'!A:G,2,0)),IF(A217="","",VLOOKUP(A217,COA!A:G,2,0)))</f>
        <v/>
      </c>
      <c r="C217" s="498"/>
      <c r="D217" s="190"/>
      <c r="E217" s="191"/>
      <c r="F217" s="191"/>
      <c r="G217" s="192"/>
    </row>
    <row r="218" spans="1:7" x14ac:dyDescent="0.2">
      <c r="A218" s="193"/>
      <c r="B218" s="189" t="str">
        <f>IFERROR(IF(A218="","",VLOOKUP(A218,'Mapped COA'!A:G,2,0)),IF(A218="","",VLOOKUP(A218,COA!A:G,2,0)))</f>
        <v/>
      </c>
      <c r="C218" s="498"/>
      <c r="D218" s="190"/>
      <c r="E218" s="191"/>
      <c r="F218" s="191"/>
      <c r="G218" s="192"/>
    </row>
    <row r="219" spans="1:7" x14ac:dyDescent="0.2">
      <c r="A219" s="193"/>
      <c r="B219" s="189" t="str">
        <f>IFERROR(IF(A219="","",VLOOKUP(A219,'Mapped COA'!A:G,2,0)),IF(A219="","",VLOOKUP(A219,COA!A:G,2,0)))</f>
        <v/>
      </c>
      <c r="C219" s="498"/>
      <c r="D219" s="190"/>
      <c r="E219" s="191"/>
      <c r="F219" s="191"/>
      <c r="G219" s="192"/>
    </row>
    <row r="220" spans="1:7" x14ac:dyDescent="0.2">
      <c r="A220" s="193"/>
      <c r="B220" s="189" t="str">
        <f>IFERROR(IF(A220="","",VLOOKUP(A220,'Mapped COA'!A:G,2,0)),IF(A220="","",VLOOKUP(A220,COA!A:G,2,0)))</f>
        <v/>
      </c>
      <c r="C220" s="498"/>
      <c r="D220" s="190"/>
      <c r="E220" s="191"/>
      <c r="F220" s="191"/>
      <c r="G220" s="192"/>
    </row>
    <row r="221" spans="1:7" x14ac:dyDescent="0.2">
      <c r="A221" s="193"/>
      <c r="B221" s="189" t="str">
        <f>IFERROR(IF(A221="","",VLOOKUP(A221,'Mapped COA'!A:G,2,0)),IF(A221="","",VLOOKUP(A221,COA!A:G,2,0)))</f>
        <v/>
      </c>
      <c r="C221" s="498"/>
      <c r="D221" s="190"/>
      <c r="E221" s="191"/>
      <c r="F221" s="191"/>
      <c r="G221" s="192"/>
    </row>
    <row r="222" spans="1:7" x14ac:dyDescent="0.2">
      <c r="A222" s="193"/>
      <c r="B222" s="189" t="str">
        <f>IFERROR(IF(A222="","",VLOOKUP(A222,'Mapped COA'!A:G,2,0)),IF(A222="","",VLOOKUP(A222,COA!A:G,2,0)))</f>
        <v/>
      </c>
      <c r="C222" s="498"/>
      <c r="D222" s="190"/>
      <c r="E222" s="191"/>
      <c r="F222" s="191"/>
      <c r="G222" s="192"/>
    </row>
    <row r="223" spans="1:7" hidden="1" x14ac:dyDescent="0.2">
      <c r="A223" s="193"/>
      <c r="B223" s="189" t="str">
        <f>IFERROR(IF(A223="","",VLOOKUP(A223,'Mapped COA'!A:G,2,0)),IF(A223="","",VLOOKUP(A223,COA!A:G,2,0)))</f>
        <v/>
      </c>
      <c r="C223" s="498"/>
      <c r="D223" s="190"/>
      <c r="E223" s="191"/>
      <c r="F223" s="191"/>
      <c r="G223" s="192"/>
    </row>
    <row r="224" spans="1:7" hidden="1" x14ac:dyDescent="0.2">
      <c r="A224" s="193"/>
      <c r="B224" s="189" t="str">
        <f>IFERROR(IF(A224="","",VLOOKUP(A224,'Mapped COA'!A:G,2,0)),IF(A224="","",VLOOKUP(A224,COA!A:G,2,0)))</f>
        <v/>
      </c>
      <c r="C224" s="498"/>
      <c r="D224" s="190"/>
      <c r="E224" s="191"/>
      <c r="F224" s="191"/>
      <c r="G224" s="192"/>
    </row>
    <row r="225" spans="1:7" hidden="1" x14ac:dyDescent="0.2">
      <c r="A225" s="193"/>
      <c r="B225" s="189" t="str">
        <f>IFERROR(IF(A225="","",VLOOKUP(A225,'Mapped COA'!A:G,2,0)),IF(A225="","",VLOOKUP(A225,COA!A:G,2,0)))</f>
        <v/>
      </c>
      <c r="C225" s="498"/>
      <c r="D225" s="190"/>
      <c r="E225" s="191"/>
      <c r="F225" s="191"/>
      <c r="G225" s="192"/>
    </row>
    <row r="226" spans="1:7" hidden="1" x14ac:dyDescent="0.2">
      <c r="A226" s="193"/>
      <c r="B226" s="189" t="str">
        <f>IFERROR(IF(A226="","",VLOOKUP(A226,'Mapped COA'!A:G,2,0)),IF(A226="","",VLOOKUP(A226,COA!A:G,2,0)))</f>
        <v/>
      </c>
      <c r="C226" s="498"/>
      <c r="D226" s="190"/>
      <c r="E226" s="191"/>
      <c r="F226" s="191"/>
      <c r="G226" s="192"/>
    </row>
    <row r="227" spans="1:7" hidden="1" x14ac:dyDescent="0.2">
      <c r="A227" s="193"/>
      <c r="B227" s="189" t="str">
        <f>IFERROR(IF(A227="","",VLOOKUP(A227,'Mapped COA'!A:G,2,0)),IF(A227="","",VLOOKUP(A227,COA!A:G,2,0)))</f>
        <v/>
      </c>
      <c r="C227" s="498"/>
      <c r="D227" s="190"/>
      <c r="E227" s="191"/>
      <c r="F227" s="191"/>
      <c r="G227" s="192"/>
    </row>
    <row r="228" spans="1:7" hidden="1" x14ac:dyDescent="0.2">
      <c r="A228" s="193"/>
      <c r="B228" s="189" t="str">
        <f>IFERROR(IF(A228="","",VLOOKUP(A228,'Mapped COA'!A:G,2,0)),IF(A228="","",VLOOKUP(A228,COA!A:G,2,0)))</f>
        <v/>
      </c>
      <c r="C228" s="498"/>
      <c r="D228" s="190"/>
      <c r="E228" s="191"/>
      <c r="F228" s="191"/>
      <c r="G228" s="192"/>
    </row>
    <row r="229" spans="1:7" hidden="1" x14ac:dyDescent="0.2">
      <c r="A229" s="193"/>
      <c r="B229" s="189" t="str">
        <f>IFERROR(IF(A229="","",VLOOKUP(A229,'Mapped COA'!A:G,2,0)),IF(A229="","",VLOOKUP(A229,COA!A:G,2,0)))</f>
        <v/>
      </c>
      <c r="C229" s="498"/>
      <c r="D229" s="190"/>
      <c r="E229" s="191"/>
      <c r="F229" s="191"/>
      <c r="G229" s="192"/>
    </row>
    <row r="230" spans="1:7" hidden="1" x14ac:dyDescent="0.2">
      <c r="A230" s="193"/>
      <c r="B230" s="189" t="str">
        <f>IFERROR(IF(A230="","",VLOOKUP(A230,'Mapped COA'!A:G,2,0)),IF(A230="","",VLOOKUP(A230,COA!A:G,2,0)))</f>
        <v/>
      </c>
      <c r="C230" s="498"/>
      <c r="D230" s="190"/>
      <c r="E230" s="191"/>
      <c r="F230" s="191"/>
      <c r="G230" s="192"/>
    </row>
    <row r="231" spans="1:7" hidden="1" x14ac:dyDescent="0.2">
      <c r="A231" s="193"/>
      <c r="B231" s="189" t="str">
        <f>IFERROR(IF(A231="","",VLOOKUP(A231,'Mapped COA'!A:G,2,0)),IF(A231="","",VLOOKUP(A231,COA!A:G,2,0)))</f>
        <v/>
      </c>
      <c r="C231" s="498"/>
      <c r="D231" s="190"/>
      <c r="E231" s="191"/>
      <c r="F231" s="191"/>
      <c r="G231" s="192"/>
    </row>
    <row r="232" spans="1:7" hidden="1" x14ac:dyDescent="0.2">
      <c r="A232" s="193"/>
      <c r="B232" s="189" t="str">
        <f>IFERROR(IF(A232="","",VLOOKUP(A232,'Mapped COA'!A:G,2,0)),IF(A232="","",VLOOKUP(A232,COA!A:G,2,0)))</f>
        <v/>
      </c>
      <c r="C232" s="498"/>
      <c r="D232" s="190"/>
      <c r="E232" s="191"/>
      <c r="F232" s="191"/>
      <c r="G232" s="192"/>
    </row>
    <row r="233" spans="1:7" hidden="1" x14ac:dyDescent="0.2">
      <c r="A233" s="193"/>
      <c r="B233" s="189" t="str">
        <f>IFERROR(IF(A233="","",VLOOKUP(A233,'Mapped COA'!A:G,2,0)),IF(A233="","",VLOOKUP(A233,COA!A:G,2,0)))</f>
        <v/>
      </c>
      <c r="C233" s="498"/>
      <c r="D233" s="190"/>
      <c r="E233" s="191"/>
      <c r="F233" s="191"/>
      <c r="G233" s="192"/>
    </row>
    <row r="234" spans="1:7" hidden="1" x14ac:dyDescent="0.2">
      <c r="A234" s="193"/>
      <c r="B234" s="189" t="str">
        <f>IFERROR(IF(A234="","",VLOOKUP(A234,'Mapped COA'!A:G,2,0)),IF(A234="","",VLOOKUP(A234,COA!A:G,2,0)))</f>
        <v/>
      </c>
      <c r="C234" s="498"/>
      <c r="D234" s="190"/>
      <c r="E234" s="191"/>
      <c r="F234" s="191"/>
      <c r="G234" s="192"/>
    </row>
    <row r="235" spans="1:7" hidden="1" x14ac:dyDescent="0.2">
      <c r="A235" s="193"/>
      <c r="B235" s="189" t="str">
        <f>IFERROR(IF(A235="","",VLOOKUP(A235,'Mapped COA'!A:G,2,0)),IF(A235="","",VLOOKUP(A235,COA!A:G,2,0)))</f>
        <v/>
      </c>
      <c r="C235" s="498"/>
      <c r="D235" s="190"/>
      <c r="E235" s="191"/>
      <c r="F235" s="191"/>
      <c r="G235" s="192"/>
    </row>
    <row r="236" spans="1:7" hidden="1" x14ac:dyDescent="0.2">
      <c r="A236" s="193"/>
      <c r="B236" s="189" t="str">
        <f>IFERROR(IF(A236="","",VLOOKUP(A236,'Mapped COA'!A:G,2,0)),IF(A236="","",VLOOKUP(A236,COA!A:G,2,0)))</f>
        <v/>
      </c>
      <c r="C236" s="498"/>
      <c r="D236" s="190"/>
      <c r="E236" s="191"/>
      <c r="F236" s="191"/>
      <c r="G236" s="192"/>
    </row>
    <row r="237" spans="1:7" hidden="1" x14ac:dyDescent="0.2">
      <c r="A237" s="193"/>
      <c r="B237" s="189" t="str">
        <f>IFERROR(IF(A237="","",VLOOKUP(A237,'Mapped COA'!A:G,2,0)),IF(A237="","",VLOOKUP(A237,COA!A:G,2,0)))</f>
        <v/>
      </c>
      <c r="C237" s="498"/>
      <c r="D237" s="190"/>
      <c r="E237" s="191"/>
      <c r="F237" s="191"/>
      <c r="G237" s="192"/>
    </row>
    <row r="238" spans="1:7" hidden="1" x14ac:dyDescent="0.2">
      <c r="A238" s="193"/>
      <c r="B238" s="189" t="str">
        <f>IFERROR(IF(A238="","",VLOOKUP(A238,'Mapped COA'!A:G,2,0)),IF(A238="","",VLOOKUP(A238,COA!A:G,2,0)))</f>
        <v/>
      </c>
      <c r="C238" s="498"/>
      <c r="D238" s="190"/>
      <c r="E238" s="191"/>
      <c r="F238" s="191"/>
      <c r="G238" s="192"/>
    </row>
    <row r="239" spans="1:7" hidden="1" x14ac:dyDescent="0.2">
      <c r="A239" s="193"/>
      <c r="B239" s="189" t="str">
        <f>IFERROR(IF(A239="","",VLOOKUP(A239,'Mapped COA'!A:G,2,0)),IF(A239="","",VLOOKUP(A239,COA!A:G,2,0)))</f>
        <v/>
      </c>
      <c r="C239" s="498"/>
      <c r="D239" s="190"/>
      <c r="E239" s="191"/>
      <c r="F239" s="191"/>
      <c r="G239" s="192"/>
    </row>
    <row r="240" spans="1:7" hidden="1" x14ac:dyDescent="0.2">
      <c r="A240" s="193"/>
      <c r="B240" s="189" t="str">
        <f>IFERROR(IF(A240="","",VLOOKUP(A240,'Mapped COA'!A:G,2,0)),IF(A240="","",VLOOKUP(A240,COA!A:G,2,0)))</f>
        <v/>
      </c>
      <c r="C240" s="498"/>
      <c r="D240" s="190"/>
      <c r="E240" s="191"/>
      <c r="F240" s="191"/>
      <c r="G240" s="192"/>
    </row>
    <row r="241" spans="1:7" hidden="1" x14ac:dyDescent="0.2">
      <c r="A241" s="193"/>
      <c r="B241" s="189" t="str">
        <f>IFERROR(IF(A241="","",VLOOKUP(A241,'Mapped COA'!A:G,2,0)),IF(A241="","",VLOOKUP(A241,COA!A:G,2,0)))</f>
        <v/>
      </c>
      <c r="C241" s="498"/>
      <c r="D241" s="190"/>
      <c r="E241" s="191"/>
      <c r="F241" s="191"/>
      <c r="G241" s="192"/>
    </row>
    <row r="242" spans="1:7" hidden="1" x14ac:dyDescent="0.2">
      <c r="A242" s="193"/>
      <c r="B242" s="189" t="str">
        <f>IFERROR(IF(A242="","",VLOOKUP(A242,'Mapped COA'!A:G,2,0)),IF(A242="","",VLOOKUP(A242,COA!A:G,2,0)))</f>
        <v/>
      </c>
      <c r="C242" s="498"/>
      <c r="D242" s="190"/>
      <c r="E242" s="191"/>
      <c r="F242" s="191"/>
      <c r="G242" s="192"/>
    </row>
    <row r="243" spans="1:7" hidden="1" x14ac:dyDescent="0.2">
      <c r="A243" s="193"/>
      <c r="B243" s="189" t="str">
        <f>IFERROR(IF(A243="","",VLOOKUP(A243,'Mapped COA'!A:G,2,0)),IF(A243="","",VLOOKUP(A243,COA!A:G,2,0)))</f>
        <v/>
      </c>
      <c r="C243" s="498"/>
      <c r="D243" s="190"/>
      <c r="E243" s="191"/>
      <c r="F243" s="191"/>
      <c r="G243" s="192"/>
    </row>
    <row r="244" spans="1:7" hidden="1" x14ac:dyDescent="0.2">
      <c r="A244" s="193"/>
      <c r="B244" s="189" t="str">
        <f>IFERROR(IF(A244="","",VLOOKUP(A244,'Mapped COA'!A:G,2,0)),IF(A244="","",VLOOKUP(A244,COA!A:G,2,0)))</f>
        <v/>
      </c>
      <c r="C244" s="498"/>
      <c r="D244" s="190"/>
      <c r="E244" s="191"/>
      <c r="F244" s="191"/>
      <c r="G244" s="192"/>
    </row>
    <row r="245" spans="1:7" hidden="1" x14ac:dyDescent="0.2">
      <c r="A245" s="193"/>
      <c r="B245" s="189" t="str">
        <f>IFERROR(IF(A245="","",VLOOKUP(A245,'Mapped COA'!A:G,2,0)),IF(A245="","",VLOOKUP(A245,COA!A:G,2,0)))</f>
        <v/>
      </c>
      <c r="C245" s="498"/>
      <c r="D245" s="190"/>
      <c r="E245" s="191"/>
      <c r="F245" s="191"/>
      <c r="G245" s="192"/>
    </row>
    <row r="246" spans="1:7" hidden="1" x14ac:dyDescent="0.2">
      <c r="A246" s="193"/>
      <c r="B246" s="189" t="str">
        <f>IFERROR(IF(A246="","",VLOOKUP(A246,'Mapped COA'!A:G,2,0)),IF(A246="","",VLOOKUP(A246,COA!A:G,2,0)))</f>
        <v/>
      </c>
      <c r="C246" s="498"/>
      <c r="D246" s="190"/>
      <c r="E246" s="191"/>
      <c r="F246" s="191"/>
      <c r="G246" s="192"/>
    </row>
    <row r="247" spans="1:7" hidden="1" x14ac:dyDescent="0.2">
      <c r="A247" s="193"/>
      <c r="B247" s="189" t="str">
        <f>IFERROR(IF(A247="","",VLOOKUP(A247,'Mapped COA'!A:G,2,0)),IF(A247="","",VLOOKUP(A247,COA!A:G,2,0)))</f>
        <v/>
      </c>
      <c r="C247" s="498"/>
      <c r="D247" s="190"/>
      <c r="E247" s="191"/>
      <c r="F247" s="191"/>
      <c r="G247" s="192"/>
    </row>
    <row r="248" spans="1:7" hidden="1" x14ac:dyDescent="0.2">
      <c r="A248" s="193"/>
      <c r="B248" s="189" t="str">
        <f>IFERROR(IF(A248="","",VLOOKUP(A248,'Mapped COA'!A:G,2,0)),IF(A248="","",VLOOKUP(A248,COA!A:G,2,0)))</f>
        <v/>
      </c>
      <c r="C248" s="498"/>
      <c r="D248" s="190"/>
      <c r="E248" s="191"/>
      <c r="F248" s="191"/>
      <c r="G248" s="192"/>
    </row>
    <row r="249" spans="1:7" hidden="1" x14ac:dyDescent="0.2">
      <c r="A249" s="193"/>
      <c r="B249" s="189" t="str">
        <f>IFERROR(IF(A249="","",VLOOKUP(A249,'Mapped COA'!A:G,2,0)),IF(A249="","",VLOOKUP(A249,COA!A:G,2,0)))</f>
        <v/>
      </c>
      <c r="C249" s="498"/>
      <c r="D249" s="190"/>
      <c r="E249" s="191"/>
      <c r="F249" s="191"/>
      <c r="G249" s="192"/>
    </row>
    <row r="250" spans="1:7" ht="13.5" hidden="1" thickBot="1" x14ac:dyDescent="0.25">
      <c r="C250" s="499"/>
      <c r="F250" s="58"/>
      <c r="G250" s="58"/>
    </row>
    <row r="251" spans="1:7" hidden="1" x14ac:dyDescent="0.2">
      <c r="F251" s="86" t="str">
        <f>CONCATENATE("Total Calculated ",A155,":")</f>
        <v>Total Calculated Accrued Capital Asset:</v>
      </c>
      <c r="G251" s="60">
        <f>SUM(G158:G249)</f>
        <v>0</v>
      </c>
    </row>
    <row r="252" spans="1:7" hidden="1" x14ac:dyDescent="0.2"/>
    <row r="253" spans="1:7" hidden="1" x14ac:dyDescent="0.2"/>
    <row r="254" spans="1:7" hidden="1" x14ac:dyDescent="0.2"/>
    <row r="255" spans="1:7" hidden="1" x14ac:dyDescent="0.2"/>
    <row r="256" spans="1:7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</sheetData>
  <mergeCells count="5">
    <mergeCell ref="A1:G1"/>
    <mergeCell ref="A2:G2"/>
    <mergeCell ref="A3:G3"/>
    <mergeCell ref="A4:B4"/>
    <mergeCell ref="A155:B155"/>
  </mergeCells>
  <printOptions horizontalCentered="1"/>
  <pageMargins left="0.25" right="0.25" top="0.35" bottom="0.75" header="0.3" footer="0.3"/>
  <pageSetup scale="71" fitToHeight="0" orientation="portrait" r:id="rId1"/>
  <rowBreaks count="1" manualBreakCount="1">
    <brk id="169" max="16383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9BA39-E0A5-4BCD-AD86-5BFEDD08901E}">
  <sheetPr codeName="Sheet10">
    <pageSetUpPr fitToPage="1"/>
  </sheetPr>
  <dimension ref="A1:AA41"/>
  <sheetViews>
    <sheetView zoomScale="90" zoomScaleNormal="90" workbookViewId="0">
      <selection activeCell="D39" sqref="D39"/>
    </sheetView>
  </sheetViews>
  <sheetFormatPr defaultColWidth="9.140625" defaultRowHeight="15" x14ac:dyDescent="0.25"/>
  <cols>
    <col min="1" max="1" width="18.5703125" style="1" customWidth="1"/>
    <col min="2" max="2" width="28.42578125" style="1" bestFit="1" customWidth="1"/>
    <col min="3" max="3" width="16" style="1" customWidth="1"/>
    <col min="4" max="4" width="94.85546875" style="1" bestFit="1" customWidth="1"/>
    <col min="5" max="5" width="20.85546875" style="62" customWidth="1"/>
    <col min="6" max="26" width="9.140625" style="1"/>
    <col min="27" max="27" width="0" style="1" hidden="1" customWidth="1"/>
    <col min="28" max="16384" width="9.140625" style="1"/>
  </cols>
  <sheetData>
    <row r="1" spans="1:27" ht="18.75" x14ac:dyDescent="0.3">
      <c r="A1" s="560" t="str">
        <f>'Input-Instructions'!B3</f>
        <v>610 West</v>
      </c>
      <c r="B1" s="560"/>
      <c r="C1" s="560"/>
      <c r="D1" s="560"/>
      <c r="E1" s="560"/>
      <c r="F1" s="219"/>
      <c r="G1" s="219"/>
      <c r="AA1" s="1" t="s">
        <v>1734</v>
      </c>
    </row>
    <row r="2" spans="1:27" ht="15.75" x14ac:dyDescent="0.25">
      <c r="A2" s="588" t="s">
        <v>1735</v>
      </c>
      <c r="B2" s="588"/>
      <c r="C2" s="588"/>
      <c r="D2" s="588"/>
      <c r="E2" s="588"/>
      <c r="F2" s="196"/>
      <c r="G2" s="196"/>
      <c r="AA2" s="1" t="s">
        <v>1736</v>
      </c>
    </row>
    <row r="3" spans="1:27" x14ac:dyDescent="0.25">
      <c r="A3" s="589">
        <f>'Input-Instructions'!B6</f>
        <v>46204</v>
      </c>
      <c r="B3" s="589"/>
      <c r="C3" s="589"/>
      <c r="D3" s="589"/>
      <c r="E3" s="589"/>
      <c r="F3" s="220"/>
      <c r="G3" s="220"/>
    </row>
    <row r="5" spans="1:27" ht="15" customHeight="1" x14ac:dyDescent="0.25">
      <c r="A5" s="8" t="s">
        <v>1737</v>
      </c>
      <c r="B5" s="61"/>
    </row>
    <row r="6" spans="1:27" ht="15" customHeight="1" x14ac:dyDescent="0.3">
      <c r="A6" s="8" t="s">
        <v>1738</v>
      </c>
      <c r="B6" s="61"/>
      <c r="H6" s="198" t="s">
        <v>1739</v>
      </c>
    </row>
    <row r="7" spans="1:27" ht="20.25" x14ac:dyDescent="0.3">
      <c r="A7" s="8"/>
      <c r="B7" s="63"/>
      <c r="H7" s="198"/>
    </row>
    <row r="8" spans="1:27" x14ac:dyDescent="0.25">
      <c r="A8" s="64" t="s">
        <v>1684</v>
      </c>
      <c r="B8" s="64" t="s">
        <v>1740</v>
      </c>
      <c r="C8" s="64" t="s">
        <v>277</v>
      </c>
      <c r="D8" s="64" t="s">
        <v>32</v>
      </c>
      <c r="E8" s="64" t="s">
        <v>1741</v>
      </c>
    </row>
    <row r="9" spans="1:27" x14ac:dyDescent="0.25">
      <c r="A9" s="223"/>
      <c r="B9" s="224"/>
      <c r="C9" s="225"/>
      <c r="D9" s="224"/>
      <c r="E9" s="226"/>
    </row>
    <row r="10" spans="1:27" x14ac:dyDescent="0.25">
      <c r="A10" s="223"/>
      <c r="B10" s="224"/>
      <c r="C10" s="225"/>
      <c r="D10" s="224"/>
      <c r="E10" s="226"/>
    </row>
    <row r="11" spans="1:27" x14ac:dyDescent="0.25">
      <c r="A11" s="223"/>
      <c r="B11" s="224"/>
      <c r="C11" s="225"/>
      <c r="D11" s="224"/>
      <c r="E11" s="226"/>
    </row>
    <row r="12" spans="1:27" x14ac:dyDescent="0.25">
      <c r="A12" s="223"/>
      <c r="B12" s="224"/>
      <c r="C12" s="225"/>
      <c r="D12" s="224"/>
      <c r="E12" s="226"/>
    </row>
    <row r="13" spans="1:27" x14ac:dyDescent="0.25">
      <c r="A13" s="223"/>
      <c r="B13" s="224"/>
      <c r="C13" s="225"/>
      <c r="D13" s="224"/>
      <c r="E13" s="226"/>
    </row>
    <row r="14" spans="1:27" x14ac:dyDescent="0.25">
      <c r="A14" s="223"/>
      <c r="B14" s="224"/>
      <c r="C14" s="225"/>
      <c r="D14" s="224"/>
      <c r="E14" s="226"/>
    </row>
    <row r="15" spans="1:27" x14ac:dyDescent="0.25">
      <c r="A15" s="223"/>
      <c r="B15" s="224"/>
      <c r="C15" s="225"/>
      <c r="D15" s="224"/>
      <c r="E15" s="226"/>
    </row>
    <row r="16" spans="1:27" x14ac:dyDescent="0.25">
      <c r="A16" s="223"/>
      <c r="B16" s="224"/>
      <c r="C16" s="225"/>
      <c r="D16" s="224"/>
      <c r="E16" s="226"/>
    </row>
    <row r="17" spans="1:5" x14ac:dyDescent="0.25">
      <c r="A17" s="223"/>
      <c r="B17" s="224"/>
      <c r="C17" s="225"/>
      <c r="D17" s="224"/>
      <c r="E17" s="226"/>
    </row>
    <row r="18" spans="1:5" x14ac:dyDescent="0.25">
      <c r="A18" s="223"/>
      <c r="B18" s="224"/>
      <c r="C18" s="225"/>
      <c r="D18" s="224"/>
      <c r="E18" s="226"/>
    </row>
    <row r="19" spans="1:5" x14ac:dyDescent="0.25">
      <c r="A19" s="223"/>
      <c r="B19" s="224"/>
      <c r="C19" s="225"/>
      <c r="D19" s="224"/>
      <c r="E19" s="226"/>
    </row>
    <row r="20" spans="1:5" x14ac:dyDescent="0.25">
      <c r="A20" s="223"/>
      <c r="B20" s="224"/>
      <c r="C20" s="225"/>
      <c r="D20" s="224"/>
      <c r="E20" s="226"/>
    </row>
    <row r="21" spans="1:5" x14ac:dyDescent="0.25">
      <c r="A21" s="223"/>
      <c r="B21" s="224"/>
      <c r="C21" s="225"/>
      <c r="D21" s="224"/>
      <c r="E21" s="226"/>
    </row>
    <row r="22" spans="1:5" x14ac:dyDescent="0.25">
      <c r="A22" s="223"/>
      <c r="B22" s="224"/>
      <c r="C22" s="225"/>
      <c r="D22" s="224"/>
      <c r="E22" s="226"/>
    </row>
    <row r="23" spans="1:5" x14ac:dyDescent="0.25">
      <c r="A23" s="223"/>
      <c r="B23" s="224"/>
      <c r="C23" s="225"/>
      <c r="D23" s="224"/>
      <c r="E23" s="226"/>
    </row>
    <row r="24" spans="1:5" x14ac:dyDescent="0.25">
      <c r="A24" s="223"/>
      <c r="B24" s="224"/>
      <c r="C24" s="225"/>
      <c r="D24" s="224"/>
      <c r="E24" s="226"/>
    </row>
    <row r="25" spans="1:5" x14ac:dyDescent="0.25">
      <c r="A25" s="223"/>
      <c r="B25" s="224"/>
      <c r="C25" s="225"/>
      <c r="D25" s="224"/>
      <c r="E25" s="226"/>
    </row>
    <row r="26" spans="1:5" x14ac:dyDescent="0.25">
      <c r="A26" s="223"/>
      <c r="B26" s="224"/>
      <c r="C26" s="225"/>
      <c r="D26" s="224"/>
      <c r="E26" s="226"/>
    </row>
    <row r="27" spans="1:5" x14ac:dyDescent="0.25">
      <c r="A27" s="223"/>
      <c r="B27" s="224"/>
      <c r="C27" s="225"/>
      <c r="D27" s="224"/>
      <c r="E27" s="226"/>
    </row>
    <row r="28" spans="1:5" x14ac:dyDescent="0.25">
      <c r="A28" s="223"/>
      <c r="B28" s="224"/>
      <c r="C28" s="225"/>
      <c r="D28" s="224"/>
      <c r="E28" s="226"/>
    </row>
    <row r="29" spans="1:5" x14ac:dyDescent="0.25">
      <c r="A29" s="223"/>
      <c r="B29" s="224"/>
      <c r="C29" s="225"/>
      <c r="D29" s="224"/>
      <c r="E29" s="226"/>
    </row>
    <row r="30" spans="1:5" x14ac:dyDescent="0.25">
      <c r="A30" s="223"/>
      <c r="B30" s="224"/>
      <c r="C30" s="225"/>
      <c r="D30" s="224"/>
      <c r="E30" s="226"/>
    </row>
    <row r="31" spans="1:5" x14ac:dyDescent="0.25">
      <c r="A31" s="223"/>
      <c r="B31" s="224"/>
      <c r="C31" s="225"/>
      <c r="D31" s="224"/>
      <c r="E31" s="226"/>
    </row>
    <row r="32" spans="1:5" x14ac:dyDescent="0.25">
      <c r="A32" s="223"/>
      <c r="B32" s="224"/>
      <c r="C32" s="225"/>
      <c r="D32" s="224"/>
      <c r="E32" s="226"/>
    </row>
    <row r="33" spans="1:5" x14ac:dyDescent="0.25">
      <c r="A33" s="223"/>
      <c r="B33" s="224"/>
      <c r="C33" s="225"/>
      <c r="D33" s="224"/>
      <c r="E33" s="226"/>
    </row>
    <row r="34" spans="1:5" x14ac:dyDescent="0.25">
      <c r="A34" s="223"/>
      <c r="B34" s="224"/>
      <c r="C34" s="225"/>
      <c r="D34" s="224"/>
      <c r="E34" s="226"/>
    </row>
    <row r="35" spans="1:5" x14ac:dyDescent="0.25">
      <c r="A35" s="223"/>
      <c r="B35" s="224"/>
      <c r="C35" s="225"/>
      <c r="D35" s="224"/>
      <c r="E35" s="226"/>
    </row>
    <row r="36" spans="1:5" x14ac:dyDescent="0.25">
      <c r="A36" s="223"/>
      <c r="B36" s="224"/>
      <c r="C36" s="225"/>
      <c r="D36" s="224"/>
      <c r="E36" s="226"/>
    </row>
    <row r="37" spans="1:5" x14ac:dyDescent="0.25">
      <c r="A37" s="223"/>
      <c r="B37" s="224"/>
      <c r="C37" s="225"/>
      <c r="D37" s="224"/>
      <c r="E37" s="227"/>
    </row>
    <row r="38" spans="1:5" x14ac:dyDescent="0.25">
      <c r="A38" s="223"/>
      <c r="B38" s="224"/>
      <c r="C38" s="225"/>
      <c r="D38" s="224"/>
      <c r="E38" s="227"/>
    </row>
    <row r="39" spans="1:5" x14ac:dyDescent="0.25">
      <c r="A39" s="223"/>
      <c r="B39" s="224"/>
      <c r="C39" s="225"/>
      <c r="D39" s="228"/>
      <c r="E39" s="229"/>
    </row>
    <row r="40" spans="1:5" x14ac:dyDescent="0.25">
      <c r="A40" s="50"/>
      <c r="B40" s="50"/>
      <c r="C40" s="50"/>
      <c r="D40" s="50"/>
      <c r="E40" s="230"/>
    </row>
    <row r="41" spans="1:5" ht="15.75" thickBot="1" x14ac:dyDescent="0.3">
      <c r="B41" s="65" t="s">
        <v>1742</v>
      </c>
      <c r="C41" s="66">
        <f>SUM(C9:C40)</f>
        <v>0</v>
      </c>
      <c r="E41" s="67"/>
    </row>
  </sheetData>
  <mergeCells count="3">
    <mergeCell ref="A1:E1"/>
    <mergeCell ref="A2:E2"/>
    <mergeCell ref="A3:E3"/>
  </mergeCells>
  <dataValidations count="1">
    <dataValidation type="list" allowBlank="1" showInputMessage="1" showErrorMessage="1" sqref="E9:E38" xr:uid="{E4086C5B-6D1A-4564-A9C5-E479B3333EC1}">
      <formula1>$AA$1:$AA$2</formula1>
    </dataValidation>
  </dataValidations>
  <printOptions horizontalCentered="1"/>
  <pageMargins left="0.7" right="0.7" top="0.75" bottom="0.75" header="0.3" footer="0.3"/>
  <pageSetup scale="68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5FCCD-6BCD-4349-A450-BC49925FF0B1}">
  <sheetPr codeName="Sheet20">
    <pageSetUpPr fitToPage="1"/>
  </sheetPr>
  <dimension ref="A1:AG335"/>
  <sheetViews>
    <sheetView zoomScale="80" zoomScaleNormal="80" workbookViewId="0">
      <pane ySplit="8" topLeftCell="A9" activePane="bottomLeft" state="frozen"/>
      <selection sqref="A1:C1"/>
      <selection pane="bottomLeft" activeCell="A6" sqref="A6"/>
    </sheetView>
  </sheetViews>
  <sheetFormatPr defaultRowHeight="15" x14ac:dyDescent="0.25"/>
  <cols>
    <col min="1" max="1" width="22.5703125" bestFit="1" customWidth="1"/>
    <col min="2" max="2" width="28.140625" bestFit="1" customWidth="1"/>
    <col min="3" max="3" width="29.42578125" bestFit="1" customWidth="1"/>
    <col min="4" max="4" width="29.140625" customWidth="1"/>
    <col min="5" max="5" width="47.85546875" bestFit="1" customWidth="1"/>
    <col min="6" max="6" width="14.42578125" bestFit="1" customWidth="1"/>
  </cols>
  <sheetData>
    <row r="1" spans="1:33" ht="23.25" x14ac:dyDescent="0.35">
      <c r="A1" s="590" t="str">
        <f>'Input-Instructions'!B3</f>
        <v>610 West</v>
      </c>
      <c r="B1" s="591"/>
      <c r="C1" s="591"/>
      <c r="D1" s="591"/>
      <c r="E1" s="591"/>
      <c r="F1" s="591"/>
      <c r="G1" s="440"/>
      <c r="H1" s="440"/>
      <c r="I1" s="440"/>
      <c r="J1" s="440"/>
    </row>
    <row r="2" spans="1:33" ht="23.25" x14ac:dyDescent="0.35">
      <c r="A2" s="592" t="s">
        <v>1743</v>
      </c>
      <c r="B2" s="592"/>
      <c r="C2" s="592"/>
      <c r="D2" s="592"/>
      <c r="E2" s="592"/>
      <c r="F2" s="592"/>
      <c r="G2" s="440"/>
      <c r="H2" s="440"/>
      <c r="I2" s="440"/>
      <c r="J2" s="440"/>
    </row>
    <row r="3" spans="1:33" ht="23.25" x14ac:dyDescent="0.35">
      <c r="A3" s="593" t="str">
        <f>TEXT('Input-Instructions'!$B$6,"MMMM YYYY")</f>
        <v>July 2026</v>
      </c>
      <c r="B3" s="593"/>
      <c r="C3" s="593"/>
      <c r="D3" s="593"/>
      <c r="E3" s="593"/>
      <c r="F3" s="593"/>
      <c r="G3" s="440"/>
      <c r="H3" s="441"/>
      <c r="I3" s="441"/>
      <c r="J3" s="441"/>
      <c r="K3" s="396"/>
      <c r="L3" s="396"/>
      <c r="M3" s="396"/>
      <c r="N3" s="396"/>
      <c r="O3" s="396"/>
      <c r="P3" s="396"/>
      <c r="Q3" s="396"/>
      <c r="R3" s="396"/>
      <c r="S3" s="396"/>
      <c r="T3" s="396"/>
      <c r="U3" s="396"/>
      <c r="V3" s="396"/>
      <c r="W3" s="396"/>
      <c r="X3" s="396"/>
      <c r="Y3" s="396"/>
      <c r="Z3" s="396"/>
      <c r="AA3" s="396"/>
      <c r="AB3" s="396"/>
      <c r="AC3" s="396"/>
      <c r="AD3" s="396"/>
      <c r="AE3" s="396"/>
      <c r="AF3" s="396"/>
      <c r="AG3" s="396"/>
    </row>
    <row r="4" spans="1:33" ht="20.25" x14ac:dyDescent="0.3">
      <c r="A4" s="426" t="s">
        <v>1744</v>
      </c>
      <c r="B4" s="426"/>
      <c r="C4" s="426"/>
      <c r="D4" s="426"/>
      <c r="E4" s="426"/>
      <c r="F4" s="426"/>
      <c r="H4" s="396"/>
      <c r="I4" s="396"/>
      <c r="J4" s="396"/>
      <c r="K4" s="396"/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  <c r="Z4" s="396"/>
      <c r="AA4" s="396"/>
      <c r="AB4" s="396"/>
      <c r="AC4" s="396"/>
      <c r="AD4" s="396"/>
      <c r="AE4" s="396"/>
      <c r="AF4" s="396"/>
      <c r="AG4" s="396"/>
    </row>
    <row r="5" spans="1:33" ht="30" x14ac:dyDescent="0.25">
      <c r="A5" s="417" t="s">
        <v>1745</v>
      </c>
      <c r="B5" s="417" t="s">
        <v>1746</v>
      </c>
      <c r="C5" s="417" t="s">
        <v>1747</v>
      </c>
      <c r="D5" s="417" t="s">
        <v>1748</v>
      </c>
      <c r="E5" s="417" t="s">
        <v>1749</v>
      </c>
      <c r="F5" s="418" t="s">
        <v>1750</v>
      </c>
      <c r="H5" s="396"/>
      <c r="I5" s="396"/>
      <c r="J5" s="396"/>
      <c r="K5" s="396"/>
      <c r="L5" s="396"/>
      <c r="M5" s="396"/>
      <c r="N5" s="396"/>
      <c r="O5" s="396"/>
      <c r="P5" s="396"/>
      <c r="Q5" s="396"/>
      <c r="R5" s="396"/>
      <c r="S5" s="396"/>
      <c r="T5" s="396"/>
      <c r="U5" s="396"/>
      <c r="V5" s="396"/>
      <c r="W5" s="396"/>
      <c r="X5" s="396"/>
      <c r="Y5" s="396"/>
      <c r="Z5" s="396"/>
      <c r="AA5" s="396"/>
      <c r="AB5" s="396"/>
      <c r="AC5" s="396"/>
      <c r="AD5" s="396"/>
      <c r="AE5" s="396"/>
      <c r="AF5" s="396"/>
      <c r="AG5" s="396"/>
    </row>
    <row r="6" spans="1:33" x14ac:dyDescent="0.25">
      <c r="A6" s="481"/>
      <c r="B6" s="399"/>
      <c r="C6" s="397"/>
      <c r="D6" s="469"/>
      <c r="E6" s="469"/>
      <c r="F6" s="468">
        <f>D6-F112</f>
        <v>0</v>
      </c>
      <c r="H6" s="396"/>
      <c r="I6" s="396"/>
      <c r="J6" s="396"/>
      <c r="K6" s="396"/>
      <c r="L6" s="396"/>
      <c r="M6" s="396"/>
      <c r="N6" s="396"/>
      <c r="O6" s="396"/>
      <c r="P6" s="396"/>
      <c r="Q6" s="396"/>
      <c r="R6" s="396"/>
      <c r="S6" s="396"/>
      <c r="T6" s="396"/>
      <c r="U6" s="396"/>
      <c r="V6" s="396"/>
      <c r="W6" s="396"/>
      <c r="X6" s="396"/>
      <c r="Y6" s="396"/>
      <c r="Z6" s="396"/>
      <c r="AA6" s="396"/>
      <c r="AB6" s="396"/>
      <c r="AC6" s="396"/>
      <c r="AD6" s="396"/>
      <c r="AE6" s="396"/>
      <c r="AF6" s="396"/>
      <c r="AG6" s="396"/>
    </row>
    <row r="7" spans="1:33" ht="21" customHeight="1" x14ac:dyDescent="0.25">
      <c r="A7" s="422"/>
      <c r="B7" s="422"/>
      <c r="C7" s="422"/>
      <c r="D7" s="422"/>
      <c r="E7" s="422"/>
      <c r="F7" s="422"/>
      <c r="H7" s="396"/>
      <c r="I7" s="396"/>
      <c r="J7" s="396"/>
      <c r="K7" s="396"/>
      <c r="L7" s="396"/>
      <c r="M7" s="396"/>
      <c r="N7" s="396"/>
      <c r="O7" s="396"/>
      <c r="P7" s="396"/>
      <c r="Q7" s="396"/>
      <c r="R7" s="396"/>
      <c r="S7" s="396"/>
      <c r="T7" s="396"/>
      <c r="U7" s="396"/>
      <c r="V7" s="396"/>
      <c r="W7" s="396"/>
      <c r="X7" s="396"/>
      <c r="Y7" s="396"/>
      <c r="Z7" s="396"/>
      <c r="AA7" s="396"/>
      <c r="AB7" s="396"/>
      <c r="AC7" s="396"/>
      <c r="AD7" s="396"/>
      <c r="AE7" s="396"/>
      <c r="AF7" s="396"/>
      <c r="AG7" s="396"/>
    </row>
    <row r="8" spans="1:33" s="400" customFormat="1" ht="34.5" customHeight="1" x14ac:dyDescent="0.25">
      <c r="A8" s="416" t="s">
        <v>139</v>
      </c>
      <c r="B8" s="417" t="s">
        <v>86</v>
      </c>
      <c r="C8" s="417" t="s">
        <v>1685</v>
      </c>
      <c r="D8" s="417" t="s">
        <v>1751</v>
      </c>
      <c r="E8" s="417" t="s">
        <v>1752</v>
      </c>
      <c r="F8" s="417" t="s">
        <v>277</v>
      </c>
      <c r="G8"/>
    </row>
    <row r="9" spans="1:33" x14ac:dyDescent="0.25">
      <c r="A9" s="411"/>
      <c r="B9" s="424" t="str">
        <f>IFERROR(IF(A9="","",VLOOKUP(A9,'Mapped COA'!A:G,2,0)),IF(A9="","",VLOOKUP(A9,COA!A:G,2,0)))</f>
        <v/>
      </c>
      <c r="C9" s="273"/>
      <c r="D9" s="273"/>
      <c r="E9" s="398"/>
      <c r="F9" s="397"/>
    </row>
    <row r="10" spans="1:33" x14ac:dyDescent="0.25">
      <c r="A10" s="411"/>
      <c r="B10" s="424" t="str">
        <f>IFERROR(IF(A10="","",VLOOKUP(A10,'Mapped COA'!A:G,2,0)),IF(A10="","",VLOOKUP(A10,COA!A:G,2,0)))</f>
        <v/>
      </c>
      <c r="C10" s="273"/>
      <c r="D10" s="273"/>
      <c r="E10" s="398"/>
      <c r="F10" s="397"/>
    </row>
    <row r="11" spans="1:33" x14ac:dyDescent="0.25">
      <c r="A11" s="411"/>
      <c r="B11" s="424" t="str">
        <f>IFERROR(IF(A11="","",VLOOKUP(A11,'Mapped COA'!A:G,2,0)),IF(A11="","",VLOOKUP(A11,COA!A:G,2,0)))</f>
        <v/>
      </c>
      <c r="C11" s="273"/>
      <c r="D11" s="273"/>
      <c r="E11" s="398"/>
      <c r="F11" s="397"/>
    </row>
    <row r="12" spans="1:33" x14ac:dyDescent="0.25">
      <c r="A12" s="411"/>
      <c r="B12" s="424" t="str">
        <f>IFERROR(IF(A12="","",VLOOKUP(A12,'Mapped COA'!A:G,2,0)),IF(A12="","",VLOOKUP(A12,COA!A:G,2,0)))</f>
        <v/>
      </c>
      <c r="C12" s="273"/>
      <c r="D12" s="273"/>
      <c r="E12" s="398"/>
      <c r="F12" s="397"/>
    </row>
    <row r="13" spans="1:33" x14ac:dyDescent="0.25">
      <c r="A13" s="411"/>
      <c r="B13" s="424" t="str">
        <f>IFERROR(IF(A13="","",VLOOKUP(A13,'Mapped COA'!A:G,2,0)),IF(A13="","",VLOOKUP(A13,COA!A:G,2,0)))</f>
        <v/>
      </c>
      <c r="C13" s="273"/>
      <c r="D13" s="273"/>
      <c r="E13" s="398"/>
      <c r="F13" s="397"/>
    </row>
    <row r="14" spans="1:33" x14ac:dyDescent="0.25">
      <c r="A14" s="411"/>
      <c r="B14" s="424" t="str">
        <f>IFERROR(IF(A14="","",VLOOKUP(A14,'Mapped COA'!A:G,2,0)),IF(A14="","",VLOOKUP(A14,COA!A:G,2,0)))</f>
        <v/>
      </c>
      <c r="C14" s="273"/>
      <c r="D14" s="273"/>
      <c r="E14" s="398"/>
      <c r="F14" s="397"/>
    </row>
    <row r="15" spans="1:33" x14ac:dyDescent="0.25">
      <c r="A15" s="411"/>
      <c r="B15" s="424" t="str">
        <f>IFERROR(IF(A15="","",VLOOKUP(A15,'Mapped COA'!A:G,2,0)),IF(A15="","",VLOOKUP(A15,COA!A:G,2,0)))</f>
        <v/>
      </c>
      <c r="C15" s="273"/>
      <c r="D15" s="273"/>
      <c r="E15" s="398"/>
      <c r="F15" s="397"/>
    </row>
    <row r="16" spans="1:33" hidden="1" x14ac:dyDescent="0.25">
      <c r="A16" s="411"/>
      <c r="B16" s="424" t="str">
        <f>IFERROR(IF(A16="","",VLOOKUP(A16,'Mapped COA'!A:G,2,0)),IF(A16="","",VLOOKUP(A16,COA!A:G,2,0)))</f>
        <v/>
      </c>
      <c r="C16" s="273"/>
      <c r="D16" s="273"/>
      <c r="E16" s="398"/>
      <c r="F16" s="397"/>
    </row>
    <row r="17" spans="1:6" hidden="1" x14ac:dyDescent="0.25">
      <c r="A17" s="411"/>
      <c r="B17" s="424" t="str">
        <f>IFERROR(IF(A17="","",VLOOKUP(A17,'Mapped COA'!A:G,2,0)),IF(A17="","",VLOOKUP(A17,COA!A:G,2,0)))</f>
        <v/>
      </c>
      <c r="C17" s="273"/>
      <c r="D17" s="273"/>
      <c r="E17" s="398"/>
      <c r="F17" s="397"/>
    </row>
    <row r="18" spans="1:6" hidden="1" x14ac:dyDescent="0.25">
      <c r="A18" s="411"/>
      <c r="B18" s="424" t="str">
        <f>IFERROR(IF(A18="","",VLOOKUP(A18,'Mapped COA'!A:G,2,0)),IF(A18="","",VLOOKUP(A18,COA!A:G,2,0)))</f>
        <v/>
      </c>
      <c r="C18" s="273"/>
      <c r="D18" s="273"/>
      <c r="E18" s="398"/>
      <c r="F18" s="397"/>
    </row>
    <row r="19" spans="1:6" hidden="1" x14ac:dyDescent="0.25">
      <c r="A19" s="411"/>
      <c r="B19" s="424" t="str">
        <f>IFERROR(IF(A19="","",VLOOKUP(A19,'Mapped COA'!A:G,2,0)),IF(A19="","",VLOOKUP(A19,COA!A:G,2,0)))</f>
        <v/>
      </c>
      <c r="C19" s="273"/>
      <c r="D19" s="273"/>
      <c r="E19" s="398"/>
      <c r="F19" s="397"/>
    </row>
    <row r="20" spans="1:6" hidden="1" x14ac:dyDescent="0.25">
      <c r="A20" s="411"/>
      <c r="B20" s="424" t="str">
        <f>IFERROR(IF(A20="","",VLOOKUP(A20,'Mapped COA'!A:G,2,0)),IF(A20="","",VLOOKUP(A20,COA!A:G,2,0)))</f>
        <v/>
      </c>
      <c r="C20" s="273"/>
      <c r="D20" s="273"/>
      <c r="E20" s="398"/>
      <c r="F20" s="397"/>
    </row>
    <row r="21" spans="1:6" hidden="1" x14ac:dyDescent="0.25">
      <c r="A21" s="411"/>
      <c r="B21" s="424" t="str">
        <f>IFERROR(IF(A21="","",VLOOKUP(A21,'Mapped COA'!A:G,2,0)),IF(A21="","",VLOOKUP(A21,COA!A:G,2,0)))</f>
        <v/>
      </c>
      <c r="C21" s="273"/>
      <c r="D21" s="273"/>
      <c r="E21" s="398"/>
      <c r="F21" s="397"/>
    </row>
    <row r="22" spans="1:6" hidden="1" x14ac:dyDescent="0.25">
      <c r="A22" s="411"/>
      <c r="B22" s="424" t="str">
        <f>IFERROR(IF(A22="","",VLOOKUP(A22,'Mapped COA'!A:G,2,0)),IF(A22="","",VLOOKUP(A22,COA!A:G,2,0)))</f>
        <v/>
      </c>
      <c r="C22" s="273"/>
      <c r="D22" s="273"/>
      <c r="E22" s="398"/>
      <c r="F22" s="397"/>
    </row>
    <row r="23" spans="1:6" hidden="1" x14ac:dyDescent="0.25">
      <c r="A23" s="411"/>
      <c r="B23" s="424" t="str">
        <f>IFERROR(IF(A23="","",VLOOKUP(A23,'Mapped COA'!A:G,2,0)),IF(A23="","",VLOOKUP(A23,COA!A:G,2,0)))</f>
        <v/>
      </c>
      <c r="C23" s="273"/>
      <c r="D23" s="273"/>
      <c r="E23" s="398"/>
      <c r="F23" s="397"/>
    </row>
    <row r="24" spans="1:6" hidden="1" x14ac:dyDescent="0.25">
      <c r="A24" s="411"/>
      <c r="B24" s="424" t="str">
        <f>IFERROR(IF(A24="","",VLOOKUP(A24,'Mapped COA'!A:G,2,0)),IF(A24="","",VLOOKUP(A24,COA!A:G,2,0)))</f>
        <v/>
      </c>
      <c r="C24" s="273"/>
      <c r="D24" s="273"/>
      <c r="E24" s="398"/>
      <c r="F24" s="397"/>
    </row>
    <row r="25" spans="1:6" hidden="1" x14ac:dyDescent="0.25">
      <c r="A25" s="411"/>
      <c r="B25" s="424" t="str">
        <f>IFERROR(IF(A25="","",VLOOKUP(A25,'Mapped COA'!A:G,2,0)),IF(A25="","",VLOOKUP(A25,COA!A:G,2,0)))</f>
        <v/>
      </c>
      <c r="C25" s="273"/>
      <c r="D25" s="273"/>
      <c r="E25" s="398"/>
      <c r="F25" s="397"/>
    </row>
    <row r="26" spans="1:6" hidden="1" x14ac:dyDescent="0.25">
      <c r="A26" s="411"/>
      <c r="B26" s="424" t="str">
        <f>IFERROR(IF(A26="","",VLOOKUP(A26,'Mapped COA'!A:G,2,0)),IF(A26="","",VLOOKUP(A26,COA!A:G,2,0)))</f>
        <v/>
      </c>
      <c r="C26" s="273"/>
      <c r="D26" s="273"/>
      <c r="E26" s="398"/>
      <c r="F26" s="397"/>
    </row>
    <row r="27" spans="1:6" hidden="1" x14ac:dyDescent="0.25">
      <c r="A27" s="411"/>
      <c r="B27" s="424" t="str">
        <f>IFERROR(IF(A27="","",VLOOKUP(A27,'Mapped COA'!A:G,2,0)),IF(A27="","",VLOOKUP(A27,COA!A:G,2,0)))</f>
        <v/>
      </c>
      <c r="C27" s="273"/>
      <c r="D27" s="273"/>
      <c r="E27" s="398"/>
      <c r="F27" s="397"/>
    </row>
    <row r="28" spans="1:6" hidden="1" x14ac:dyDescent="0.25">
      <c r="A28" s="411"/>
      <c r="B28" s="424" t="str">
        <f>IFERROR(IF(A28="","",VLOOKUP(A28,'Mapped COA'!A:G,2,0)),IF(A28="","",VLOOKUP(A28,COA!A:G,2,0)))</f>
        <v/>
      </c>
      <c r="C28" s="273"/>
      <c r="D28" s="273"/>
      <c r="E28" s="398"/>
      <c r="F28" s="397"/>
    </row>
    <row r="29" spans="1:6" hidden="1" x14ac:dyDescent="0.25">
      <c r="A29" s="411"/>
      <c r="B29" s="424" t="str">
        <f>IFERROR(IF(A29="","",VLOOKUP(A29,'Mapped COA'!A:G,2,0)),IF(A29="","",VLOOKUP(A29,COA!A:G,2,0)))</f>
        <v/>
      </c>
      <c r="C29" s="273"/>
      <c r="D29" s="273"/>
      <c r="E29" s="398"/>
      <c r="F29" s="397"/>
    </row>
    <row r="30" spans="1:6" hidden="1" x14ac:dyDescent="0.25">
      <c r="A30" s="411"/>
      <c r="B30" s="424" t="str">
        <f>IFERROR(IF(A30="","",VLOOKUP(A30,'Mapped COA'!A:G,2,0)),IF(A30="","",VLOOKUP(A30,COA!A:G,2,0)))</f>
        <v/>
      </c>
      <c r="C30" s="273"/>
      <c r="D30" s="273"/>
      <c r="E30" s="398"/>
      <c r="F30" s="397"/>
    </row>
    <row r="31" spans="1:6" hidden="1" x14ac:dyDescent="0.25">
      <c r="A31" s="411"/>
      <c r="B31" s="424" t="str">
        <f>IFERROR(IF(A31="","",VLOOKUP(A31,'Mapped COA'!A:G,2,0)),IF(A31="","",VLOOKUP(A31,COA!A:G,2,0)))</f>
        <v/>
      </c>
      <c r="C31" s="273"/>
      <c r="D31" s="273"/>
      <c r="E31" s="398"/>
      <c r="F31" s="397"/>
    </row>
    <row r="32" spans="1:6" hidden="1" x14ac:dyDescent="0.25">
      <c r="A32" s="411"/>
      <c r="B32" s="424" t="str">
        <f>IFERROR(IF(A32="","",VLOOKUP(A32,'Mapped COA'!A:G,2,0)),IF(A32="","",VLOOKUP(A32,COA!A:G,2,0)))</f>
        <v/>
      </c>
      <c r="C32" s="273"/>
      <c r="D32" s="273"/>
      <c r="E32" s="398"/>
      <c r="F32" s="397"/>
    </row>
    <row r="33" spans="1:6" hidden="1" x14ac:dyDescent="0.25">
      <c r="A33" s="411"/>
      <c r="B33" s="424" t="str">
        <f>IFERROR(IF(A33="","",VLOOKUP(A33,'Mapped COA'!A:G,2,0)),IF(A33="","",VLOOKUP(A33,COA!A:G,2,0)))</f>
        <v/>
      </c>
      <c r="C33" s="273"/>
      <c r="D33" s="273"/>
      <c r="E33" s="398"/>
      <c r="F33" s="397"/>
    </row>
    <row r="34" spans="1:6" hidden="1" x14ac:dyDescent="0.25">
      <c r="A34" s="411"/>
      <c r="B34" s="424" t="str">
        <f>IFERROR(IF(A34="","",VLOOKUP(A34,'Mapped COA'!A:G,2,0)),IF(A34="","",VLOOKUP(A34,COA!A:G,2,0)))</f>
        <v/>
      </c>
      <c r="C34" s="273"/>
      <c r="D34" s="273"/>
      <c r="E34" s="398"/>
      <c r="F34" s="397"/>
    </row>
    <row r="35" spans="1:6" hidden="1" x14ac:dyDescent="0.25">
      <c r="A35" s="411"/>
      <c r="B35" s="424" t="str">
        <f>IFERROR(IF(A35="","",VLOOKUP(A35,'Mapped COA'!A:G,2,0)),IF(A35="","",VLOOKUP(A35,COA!A:G,2,0)))</f>
        <v/>
      </c>
      <c r="C35" s="273"/>
      <c r="D35" s="273"/>
      <c r="E35" s="398"/>
      <c r="F35" s="397"/>
    </row>
    <row r="36" spans="1:6" hidden="1" x14ac:dyDescent="0.25">
      <c r="A36" s="411"/>
      <c r="B36" s="424" t="str">
        <f>IFERROR(IF(A36="","",VLOOKUP(A36,'Mapped COA'!A:G,2,0)),IF(A36="","",VLOOKUP(A36,COA!A:G,2,0)))</f>
        <v/>
      </c>
      <c r="C36" s="273"/>
      <c r="D36" s="273"/>
      <c r="E36" s="398"/>
      <c r="F36" s="397"/>
    </row>
    <row r="37" spans="1:6" hidden="1" x14ac:dyDescent="0.25">
      <c r="A37" s="411"/>
      <c r="B37" s="424" t="str">
        <f>IFERROR(IF(A37="","",VLOOKUP(A37,'Mapped COA'!A:G,2,0)),IF(A37="","",VLOOKUP(A37,COA!A:G,2,0)))</f>
        <v/>
      </c>
      <c r="C37" s="273"/>
      <c r="D37" s="273"/>
      <c r="E37" s="398"/>
      <c r="F37" s="397"/>
    </row>
    <row r="38" spans="1:6" hidden="1" x14ac:dyDescent="0.25">
      <c r="A38" s="411"/>
      <c r="B38" s="424" t="str">
        <f>IFERROR(IF(A38="","",VLOOKUP(A38,'Mapped COA'!A:G,2,0)),IF(A38="","",VLOOKUP(A38,COA!A:G,2,0)))</f>
        <v/>
      </c>
      <c r="C38" s="273"/>
      <c r="D38" s="273"/>
      <c r="E38" s="398"/>
      <c r="F38" s="397"/>
    </row>
    <row r="39" spans="1:6" hidden="1" x14ac:dyDescent="0.25">
      <c r="A39" s="411"/>
      <c r="B39" s="424" t="str">
        <f>IFERROR(IF(A39="","",VLOOKUP(A39,'Mapped COA'!A:G,2,0)),IF(A39="","",VLOOKUP(A39,COA!A:G,2,0)))</f>
        <v/>
      </c>
      <c r="C39" s="273"/>
      <c r="D39" s="273"/>
      <c r="E39" s="398"/>
      <c r="F39" s="397"/>
    </row>
    <row r="40" spans="1:6" hidden="1" x14ac:dyDescent="0.25">
      <c r="A40" s="411"/>
      <c r="B40" s="424" t="str">
        <f>IFERROR(IF(A40="","",VLOOKUP(A40,'Mapped COA'!A:G,2,0)),IF(A40="","",VLOOKUP(A40,COA!A:G,2,0)))</f>
        <v/>
      </c>
      <c r="C40" s="273"/>
      <c r="D40" s="273"/>
      <c r="E40" s="398"/>
      <c r="F40" s="397"/>
    </row>
    <row r="41" spans="1:6" hidden="1" x14ac:dyDescent="0.25">
      <c r="A41" s="411"/>
      <c r="B41" s="424" t="str">
        <f>IFERROR(IF(A41="","",VLOOKUP(A41,'Mapped COA'!A:G,2,0)),IF(A41="","",VLOOKUP(A41,COA!A:G,2,0)))</f>
        <v/>
      </c>
      <c r="C41" s="273"/>
      <c r="D41" s="273"/>
      <c r="E41" s="398"/>
      <c r="F41" s="397"/>
    </row>
    <row r="42" spans="1:6" hidden="1" x14ac:dyDescent="0.25">
      <c r="A42" s="411"/>
      <c r="B42" s="424" t="str">
        <f>IFERROR(IF(A42="","",VLOOKUP(A42,'Mapped COA'!A:G,2,0)),IF(A42="","",VLOOKUP(A42,COA!A:G,2,0)))</f>
        <v/>
      </c>
      <c r="C42" s="273"/>
      <c r="D42" s="273"/>
      <c r="E42" s="398"/>
      <c r="F42" s="397"/>
    </row>
    <row r="43" spans="1:6" hidden="1" x14ac:dyDescent="0.25">
      <c r="A43" s="411"/>
      <c r="B43" s="424" t="str">
        <f>IFERROR(IF(A43="","",VLOOKUP(A43,'Mapped COA'!A:G,2,0)),IF(A43="","",VLOOKUP(A43,COA!A:G,2,0)))</f>
        <v/>
      </c>
      <c r="C43" s="273"/>
      <c r="D43" s="273"/>
      <c r="E43" s="398"/>
      <c r="F43" s="397"/>
    </row>
    <row r="44" spans="1:6" hidden="1" x14ac:dyDescent="0.25">
      <c r="A44" s="411"/>
      <c r="B44" s="424" t="str">
        <f>IFERROR(IF(A44="","",VLOOKUP(A44,'Mapped COA'!A:G,2,0)),IF(A44="","",VLOOKUP(A44,COA!A:G,2,0)))</f>
        <v/>
      </c>
      <c r="C44" s="273"/>
      <c r="D44" s="273"/>
      <c r="E44" s="398"/>
      <c r="F44" s="397"/>
    </row>
    <row r="45" spans="1:6" hidden="1" x14ac:dyDescent="0.25">
      <c r="A45" s="411"/>
      <c r="B45" s="424" t="str">
        <f>IFERROR(IF(A45="","",VLOOKUP(A45,'Mapped COA'!A:G,2,0)),IF(A45="","",VLOOKUP(A45,COA!A:G,2,0)))</f>
        <v/>
      </c>
      <c r="C45" s="273"/>
      <c r="D45" s="273"/>
      <c r="E45" s="398"/>
      <c r="F45" s="397"/>
    </row>
    <row r="46" spans="1:6" hidden="1" x14ac:dyDescent="0.25">
      <c r="A46" s="411"/>
      <c r="B46" s="424" t="str">
        <f>IFERROR(IF(A46="","",VLOOKUP(A46,'Mapped COA'!A:G,2,0)),IF(A46="","",VLOOKUP(A46,COA!A:G,2,0)))</f>
        <v/>
      </c>
      <c r="C46" s="273"/>
      <c r="D46" s="273"/>
      <c r="E46" s="398"/>
      <c r="F46" s="397"/>
    </row>
    <row r="47" spans="1:6" hidden="1" x14ac:dyDescent="0.25">
      <c r="A47" s="411"/>
      <c r="B47" s="424" t="str">
        <f>IFERROR(IF(A47="","",VLOOKUP(A47,'Mapped COA'!A:G,2,0)),IF(A47="","",VLOOKUP(A47,COA!A:G,2,0)))</f>
        <v/>
      </c>
      <c r="C47" s="273"/>
      <c r="D47" s="273"/>
      <c r="E47" s="398"/>
      <c r="F47" s="397"/>
    </row>
    <row r="48" spans="1:6" hidden="1" x14ac:dyDescent="0.25">
      <c r="A48" s="411"/>
      <c r="B48" s="424" t="str">
        <f>IFERROR(IF(A48="","",VLOOKUP(A48,'Mapped COA'!A:G,2,0)),IF(A48="","",VLOOKUP(A48,COA!A:G,2,0)))</f>
        <v/>
      </c>
      <c r="C48" s="273"/>
      <c r="D48" s="273"/>
      <c r="E48" s="398"/>
      <c r="F48" s="397"/>
    </row>
    <row r="49" spans="1:6" hidden="1" x14ac:dyDescent="0.25">
      <c r="A49" s="411"/>
      <c r="B49" s="424" t="str">
        <f>IFERROR(IF(A49="","",VLOOKUP(A49,'Mapped COA'!A:G,2,0)),IF(A49="","",VLOOKUP(A49,COA!A:G,2,0)))</f>
        <v/>
      </c>
      <c r="C49" s="273"/>
      <c r="D49" s="273"/>
      <c r="E49" s="398"/>
      <c r="F49" s="397"/>
    </row>
    <row r="50" spans="1:6" hidden="1" x14ac:dyDescent="0.25">
      <c r="A50" s="411"/>
      <c r="B50" s="424" t="str">
        <f>IFERROR(IF(A50="","",VLOOKUP(A50,'Mapped COA'!A:G,2,0)),IF(A50="","",VLOOKUP(A50,COA!A:G,2,0)))</f>
        <v/>
      </c>
      <c r="C50" s="273"/>
      <c r="D50" s="273"/>
      <c r="E50" s="398"/>
      <c r="F50" s="397"/>
    </row>
    <row r="51" spans="1:6" hidden="1" x14ac:dyDescent="0.25">
      <c r="A51" s="411"/>
      <c r="B51" s="424" t="str">
        <f>IFERROR(IF(A51="","",VLOOKUP(A51,'Mapped COA'!A:G,2,0)),IF(A51="","",VLOOKUP(A51,COA!A:G,2,0)))</f>
        <v/>
      </c>
      <c r="C51" s="273"/>
      <c r="D51" s="273"/>
      <c r="E51" s="398"/>
      <c r="F51" s="397"/>
    </row>
    <row r="52" spans="1:6" hidden="1" x14ac:dyDescent="0.25">
      <c r="A52" s="411"/>
      <c r="B52" s="424" t="str">
        <f>IFERROR(IF(A52="","",VLOOKUP(A52,'Mapped COA'!A:G,2,0)),IF(A52="","",VLOOKUP(A52,COA!A:G,2,0)))</f>
        <v/>
      </c>
      <c r="C52" s="273"/>
      <c r="D52" s="273"/>
      <c r="E52" s="398"/>
      <c r="F52" s="397"/>
    </row>
    <row r="53" spans="1:6" hidden="1" x14ac:dyDescent="0.25">
      <c r="A53" s="411"/>
      <c r="B53" s="424" t="str">
        <f>IFERROR(IF(A53="","",VLOOKUP(A53,'Mapped COA'!A:G,2,0)),IF(A53="","",VLOOKUP(A53,COA!A:G,2,0)))</f>
        <v/>
      </c>
      <c r="C53" s="273"/>
      <c r="D53" s="273"/>
      <c r="E53" s="398"/>
      <c r="F53" s="397"/>
    </row>
    <row r="54" spans="1:6" hidden="1" x14ac:dyDescent="0.25">
      <c r="A54" s="411"/>
      <c r="B54" s="424" t="str">
        <f>IFERROR(IF(A54="","",VLOOKUP(A54,'Mapped COA'!A:G,2,0)),IF(A54="","",VLOOKUP(A54,COA!A:G,2,0)))</f>
        <v/>
      </c>
      <c r="C54" s="273"/>
      <c r="D54" s="273"/>
      <c r="E54" s="398"/>
      <c r="F54" s="397"/>
    </row>
    <row r="55" spans="1:6" hidden="1" x14ac:dyDescent="0.25">
      <c r="A55" s="411"/>
      <c r="B55" s="424" t="str">
        <f>IFERROR(IF(A55="","",VLOOKUP(A55,'Mapped COA'!A:G,2,0)),IF(A55="","",VLOOKUP(A55,COA!A:G,2,0)))</f>
        <v/>
      </c>
      <c r="C55" s="273"/>
      <c r="D55" s="273"/>
      <c r="E55" s="398"/>
      <c r="F55" s="397"/>
    </row>
    <row r="56" spans="1:6" hidden="1" x14ac:dyDescent="0.25">
      <c r="A56" s="411"/>
      <c r="B56" s="424" t="str">
        <f>IFERROR(IF(A56="","",VLOOKUP(A56,'Mapped COA'!A:G,2,0)),IF(A56="","",VLOOKUP(A56,COA!A:G,2,0)))</f>
        <v/>
      </c>
      <c r="C56" s="273"/>
      <c r="D56" s="273"/>
      <c r="E56" s="398"/>
      <c r="F56" s="397"/>
    </row>
    <row r="57" spans="1:6" hidden="1" x14ac:dyDescent="0.25">
      <c r="A57" s="411"/>
      <c r="B57" s="424" t="str">
        <f>IFERROR(IF(A57="","",VLOOKUP(A57,'Mapped COA'!A:G,2,0)),IF(A57="","",VLOOKUP(A57,COA!A:G,2,0)))</f>
        <v/>
      </c>
      <c r="C57" s="273"/>
      <c r="D57" s="273"/>
      <c r="E57" s="398"/>
      <c r="F57" s="397"/>
    </row>
    <row r="58" spans="1:6" hidden="1" x14ac:dyDescent="0.25">
      <c r="A58" s="411"/>
      <c r="B58" s="424" t="str">
        <f>IFERROR(IF(A58="","",VLOOKUP(A58,'Mapped COA'!A:G,2,0)),IF(A58="","",VLOOKUP(A58,COA!A:G,2,0)))</f>
        <v/>
      </c>
      <c r="C58" s="273"/>
      <c r="D58" s="273"/>
      <c r="E58" s="398"/>
      <c r="F58" s="397"/>
    </row>
    <row r="59" spans="1:6" hidden="1" x14ac:dyDescent="0.25">
      <c r="A59" s="411"/>
      <c r="B59" s="424" t="str">
        <f>IFERROR(IF(A59="","",VLOOKUP(A59,'Mapped COA'!A:G,2,0)),IF(A59="","",VLOOKUP(A59,COA!A:G,2,0)))</f>
        <v/>
      </c>
      <c r="C59" s="273"/>
      <c r="D59" s="273"/>
      <c r="E59" s="398"/>
      <c r="F59" s="397"/>
    </row>
    <row r="60" spans="1:6" hidden="1" x14ac:dyDescent="0.25">
      <c r="A60" s="411"/>
      <c r="B60" s="424" t="str">
        <f>IFERROR(IF(A60="","",VLOOKUP(A60,'Mapped COA'!A:G,2,0)),IF(A60="","",VLOOKUP(A60,COA!A:G,2,0)))</f>
        <v/>
      </c>
      <c r="C60" s="273"/>
      <c r="D60" s="273"/>
      <c r="E60" s="398"/>
      <c r="F60" s="397"/>
    </row>
    <row r="61" spans="1:6" hidden="1" x14ac:dyDescent="0.25">
      <c r="A61" s="411"/>
      <c r="B61" s="424" t="str">
        <f>IFERROR(IF(A61="","",VLOOKUP(A61,'Mapped COA'!A:G,2,0)),IF(A61="","",VLOOKUP(A61,COA!A:G,2,0)))</f>
        <v/>
      </c>
      <c r="C61" s="273"/>
      <c r="D61" s="273"/>
      <c r="E61" s="398"/>
      <c r="F61" s="397"/>
    </row>
    <row r="62" spans="1:6" hidden="1" x14ac:dyDescent="0.25">
      <c r="A62" s="411"/>
      <c r="B62" s="424" t="str">
        <f>IFERROR(IF(A62="","",VLOOKUP(A62,'Mapped COA'!A:G,2,0)),IF(A62="","",VLOOKUP(A62,COA!A:G,2,0)))</f>
        <v/>
      </c>
      <c r="C62" s="273"/>
      <c r="D62" s="273"/>
      <c r="E62" s="398"/>
      <c r="F62" s="397"/>
    </row>
    <row r="63" spans="1:6" hidden="1" x14ac:dyDescent="0.25">
      <c r="A63" s="411"/>
      <c r="B63" s="424" t="str">
        <f>IFERROR(IF(A63="","",VLOOKUP(A63,'Mapped COA'!A:G,2,0)),IF(A63="","",VLOOKUP(A63,COA!A:G,2,0)))</f>
        <v/>
      </c>
      <c r="C63" s="273"/>
      <c r="D63" s="273"/>
      <c r="E63" s="398"/>
      <c r="F63" s="397"/>
    </row>
    <row r="64" spans="1:6" hidden="1" x14ac:dyDescent="0.25">
      <c r="A64" s="411"/>
      <c r="B64" s="424" t="str">
        <f>IFERROR(IF(A64="","",VLOOKUP(A64,'Mapped COA'!A:G,2,0)),IF(A64="","",VLOOKUP(A64,COA!A:G,2,0)))</f>
        <v/>
      </c>
      <c r="C64" s="273"/>
      <c r="D64" s="273"/>
      <c r="E64" s="398"/>
      <c r="F64" s="397"/>
    </row>
    <row r="65" spans="1:6" hidden="1" x14ac:dyDescent="0.25">
      <c r="A65" s="411"/>
      <c r="B65" s="424" t="str">
        <f>IFERROR(IF(A65="","",VLOOKUP(A65,'Mapped COA'!A:G,2,0)),IF(A65="","",VLOOKUP(A65,COA!A:G,2,0)))</f>
        <v/>
      </c>
      <c r="C65" s="273"/>
      <c r="D65" s="273"/>
      <c r="E65" s="398"/>
      <c r="F65" s="397"/>
    </row>
    <row r="66" spans="1:6" hidden="1" x14ac:dyDescent="0.25">
      <c r="A66" s="411"/>
      <c r="B66" s="424" t="str">
        <f>IFERROR(IF(A66="","",VLOOKUP(A66,'Mapped COA'!A:G,2,0)),IF(A66="","",VLOOKUP(A66,COA!A:G,2,0)))</f>
        <v/>
      </c>
      <c r="C66" s="273"/>
      <c r="D66" s="273"/>
      <c r="E66" s="398"/>
      <c r="F66" s="397"/>
    </row>
    <row r="67" spans="1:6" hidden="1" x14ac:dyDescent="0.25">
      <c r="A67" s="411"/>
      <c r="B67" s="424" t="str">
        <f>IFERROR(IF(A67="","",VLOOKUP(A67,'Mapped COA'!A:G,2,0)),IF(A67="","",VLOOKUP(A67,COA!A:G,2,0)))</f>
        <v/>
      </c>
      <c r="C67" s="273"/>
      <c r="D67" s="273"/>
      <c r="E67" s="398"/>
      <c r="F67" s="397"/>
    </row>
    <row r="68" spans="1:6" hidden="1" x14ac:dyDescent="0.25">
      <c r="A68" s="411"/>
      <c r="B68" s="424" t="str">
        <f>IFERROR(IF(A68="","",VLOOKUP(A68,'Mapped COA'!A:G,2,0)),IF(A68="","",VLOOKUP(A68,COA!A:G,2,0)))</f>
        <v/>
      </c>
      <c r="C68" s="273"/>
      <c r="D68" s="273"/>
      <c r="E68" s="398"/>
      <c r="F68" s="397"/>
    </row>
    <row r="69" spans="1:6" hidden="1" x14ac:dyDescent="0.25">
      <c r="A69" s="411"/>
      <c r="B69" s="424" t="str">
        <f>IFERROR(IF(A69="","",VLOOKUP(A69,'Mapped COA'!A:G,2,0)),IF(A69="","",VLOOKUP(A69,COA!A:G,2,0)))</f>
        <v/>
      </c>
      <c r="C69" s="273"/>
      <c r="D69" s="273"/>
      <c r="E69" s="398"/>
      <c r="F69" s="397"/>
    </row>
    <row r="70" spans="1:6" hidden="1" x14ac:dyDescent="0.25">
      <c r="A70" s="411"/>
      <c r="B70" s="424" t="str">
        <f>IFERROR(IF(A70="","",VLOOKUP(A70,'Mapped COA'!A:G,2,0)),IF(A70="","",VLOOKUP(A70,COA!A:G,2,0)))</f>
        <v/>
      </c>
      <c r="C70" s="273"/>
      <c r="D70" s="273"/>
      <c r="E70" s="398"/>
      <c r="F70" s="397"/>
    </row>
    <row r="71" spans="1:6" hidden="1" x14ac:dyDescent="0.25">
      <c r="A71" s="411"/>
      <c r="B71" s="424" t="str">
        <f>IFERROR(IF(A71="","",VLOOKUP(A71,'Mapped COA'!A:G,2,0)),IF(A71="","",VLOOKUP(A71,COA!A:G,2,0)))</f>
        <v/>
      </c>
      <c r="C71" s="273"/>
      <c r="D71" s="273"/>
      <c r="E71" s="398"/>
      <c r="F71" s="397"/>
    </row>
    <row r="72" spans="1:6" hidden="1" x14ac:dyDescent="0.25">
      <c r="A72" s="411"/>
      <c r="B72" s="424" t="str">
        <f>IFERROR(IF(A72="","",VLOOKUP(A72,'Mapped COA'!A:G,2,0)),IF(A72="","",VLOOKUP(A72,COA!A:G,2,0)))</f>
        <v/>
      </c>
      <c r="C72" s="273"/>
      <c r="D72" s="273"/>
      <c r="E72" s="398"/>
      <c r="F72" s="397"/>
    </row>
    <row r="73" spans="1:6" hidden="1" x14ac:dyDescent="0.25">
      <c r="A73" s="411"/>
      <c r="B73" s="424" t="str">
        <f>IFERROR(IF(A73="","",VLOOKUP(A73,'Mapped COA'!A:G,2,0)),IF(A73="","",VLOOKUP(A73,COA!A:G,2,0)))</f>
        <v/>
      </c>
      <c r="C73" s="273"/>
      <c r="D73" s="273"/>
      <c r="E73" s="398"/>
      <c r="F73" s="397"/>
    </row>
    <row r="74" spans="1:6" hidden="1" x14ac:dyDescent="0.25">
      <c r="A74" s="411"/>
      <c r="B74" s="424" t="str">
        <f>IFERROR(IF(A74="","",VLOOKUP(A74,'Mapped COA'!A:G,2,0)),IF(A74="","",VLOOKUP(A74,COA!A:G,2,0)))</f>
        <v/>
      </c>
      <c r="C74" s="273"/>
      <c r="D74" s="273"/>
      <c r="E74" s="398"/>
      <c r="F74" s="397"/>
    </row>
    <row r="75" spans="1:6" hidden="1" x14ac:dyDescent="0.25">
      <c r="A75" s="411"/>
      <c r="B75" s="424" t="str">
        <f>IFERROR(IF(A75="","",VLOOKUP(A75,'Mapped COA'!A:G,2,0)),IF(A75="","",VLOOKUP(A75,COA!A:G,2,0)))</f>
        <v/>
      </c>
      <c r="C75" s="273"/>
      <c r="D75" s="273"/>
      <c r="E75" s="398"/>
      <c r="F75" s="397"/>
    </row>
    <row r="76" spans="1:6" hidden="1" x14ac:dyDescent="0.25">
      <c r="A76" s="411"/>
      <c r="B76" s="424" t="str">
        <f>IFERROR(IF(A76="","",VLOOKUP(A76,'Mapped COA'!A:G,2,0)),IF(A76="","",VLOOKUP(A76,COA!A:G,2,0)))</f>
        <v/>
      </c>
      <c r="C76" s="273"/>
      <c r="D76" s="273"/>
      <c r="E76" s="398"/>
      <c r="F76" s="397"/>
    </row>
    <row r="77" spans="1:6" hidden="1" x14ac:dyDescent="0.25">
      <c r="A77" s="411"/>
      <c r="B77" s="424" t="str">
        <f>IFERROR(IF(A77="","",VLOOKUP(A77,'Mapped COA'!A:G,2,0)),IF(A77="","",VLOOKUP(A77,COA!A:G,2,0)))</f>
        <v/>
      </c>
      <c r="C77" s="273"/>
      <c r="D77" s="273"/>
      <c r="E77" s="398"/>
      <c r="F77" s="397"/>
    </row>
    <row r="78" spans="1:6" hidden="1" x14ac:dyDescent="0.25">
      <c r="A78" s="411"/>
      <c r="B78" s="424" t="str">
        <f>IFERROR(IF(A78="","",VLOOKUP(A78,'Mapped COA'!A:G,2,0)),IF(A78="","",VLOOKUP(A78,COA!A:G,2,0)))</f>
        <v/>
      </c>
      <c r="C78" s="273"/>
      <c r="D78" s="273"/>
      <c r="E78" s="398"/>
      <c r="F78" s="397"/>
    </row>
    <row r="79" spans="1:6" hidden="1" x14ac:dyDescent="0.25">
      <c r="A79" s="411"/>
      <c r="B79" s="424" t="str">
        <f>IFERROR(IF(A79="","",VLOOKUP(A79,'Mapped COA'!A:G,2,0)),IF(A79="","",VLOOKUP(A79,COA!A:G,2,0)))</f>
        <v/>
      </c>
      <c r="C79" s="273"/>
      <c r="D79" s="273"/>
      <c r="E79" s="398"/>
      <c r="F79" s="397"/>
    </row>
    <row r="80" spans="1:6" hidden="1" x14ac:dyDescent="0.25">
      <c r="A80" s="411"/>
      <c r="B80" s="424" t="str">
        <f>IFERROR(IF(A80="","",VLOOKUP(A80,'Mapped COA'!A:G,2,0)),IF(A80="","",VLOOKUP(A80,COA!A:G,2,0)))</f>
        <v/>
      </c>
      <c r="C80" s="273"/>
      <c r="D80" s="273"/>
      <c r="E80" s="398"/>
      <c r="F80" s="397"/>
    </row>
    <row r="81" spans="1:6" hidden="1" x14ac:dyDescent="0.25">
      <c r="A81" s="411"/>
      <c r="B81" s="424" t="str">
        <f>IFERROR(IF(A81="","",VLOOKUP(A81,'Mapped COA'!A:G,2,0)),IF(A81="","",VLOOKUP(A81,COA!A:G,2,0)))</f>
        <v/>
      </c>
      <c r="C81" s="273"/>
      <c r="D81" s="273"/>
      <c r="E81" s="398"/>
      <c r="F81" s="397"/>
    </row>
    <row r="82" spans="1:6" hidden="1" x14ac:dyDescent="0.25">
      <c r="A82" s="411"/>
      <c r="B82" s="424" t="str">
        <f>IFERROR(IF(A82="","",VLOOKUP(A82,'Mapped COA'!A:G,2,0)),IF(A82="","",VLOOKUP(A82,COA!A:G,2,0)))</f>
        <v/>
      </c>
      <c r="C82" s="273"/>
      <c r="D82" s="273"/>
      <c r="E82" s="398"/>
      <c r="F82" s="397"/>
    </row>
    <row r="83" spans="1:6" hidden="1" x14ac:dyDescent="0.25">
      <c r="A83" s="411"/>
      <c r="B83" s="424" t="str">
        <f>IFERROR(IF(A83="","",VLOOKUP(A83,'Mapped COA'!A:G,2,0)),IF(A83="","",VLOOKUP(A83,COA!A:G,2,0)))</f>
        <v/>
      </c>
      <c r="C83" s="273"/>
      <c r="D83" s="273"/>
      <c r="E83" s="398"/>
      <c r="F83" s="397"/>
    </row>
    <row r="84" spans="1:6" hidden="1" x14ac:dyDescent="0.25">
      <c r="A84" s="411"/>
      <c r="B84" s="424" t="str">
        <f>IFERROR(IF(A84="","",VLOOKUP(A84,'Mapped COA'!A:G,2,0)),IF(A84="","",VLOOKUP(A84,COA!A:G,2,0)))</f>
        <v/>
      </c>
      <c r="C84" s="273"/>
      <c r="D84" s="273"/>
      <c r="E84" s="398"/>
      <c r="F84" s="397"/>
    </row>
    <row r="85" spans="1:6" hidden="1" x14ac:dyDescent="0.25">
      <c r="A85" s="411"/>
      <c r="B85" s="424" t="str">
        <f>IFERROR(IF(A85="","",VLOOKUP(A85,'Mapped COA'!A:G,2,0)),IF(A85="","",VLOOKUP(A85,COA!A:G,2,0)))</f>
        <v/>
      </c>
      <c r="C85" s="273"/>
      <c r="D85" s="273"/>
      <c r="E85" s="398"/>
      <c r="F85" s="397"/>
    </row>
    <row r="86" spans="1:6" hidden="1" x14ac:dyDescent="0.25">
      <c r="A86" s="411"/>
      <c r="B86" s="424" t="str">
        <f>IFERROR(IF(A86="","",VLOOKUP(A86,'Mapped COA'!A:G,2,0)),IF(A86="","",VLOOKUP(A86,COA!A:G,2,0)))</f>
        <v/>
      </c>
      <c r="C86" s="273"/>
      <c r="D86" s="273"/>
      <c r="E86" s="398"/>
      <c r="F86" s="397"/>
    </row>
    <row r="87" spans="1:6" hidden="1" x14ac:dyDescent="0.25">
      <c r="A87" s="411"/>
      <c r="B87" s="424" t="str">
        <f>IFERROR(IF(A87="","",VLOOKUP(A87,'Mapped COA'!A:G,2,0)),IF(A87="","",VLOOKUP(A87,COA!A:G,2,0)))</f>
        <v/>
      </c>
      <c r="C87" s="273"/>
      <c r="D87" s="273"/>
      <c r="E87" s="398"/>
      <c r="F87" s="397"/>
    </row>
    <row r="88" spans="1:6" hidden="1" x14ac:dyDescent="0.25">
      <c r="A88" s="411"/>
      <c r="B88" s="424" t="str">
        <f>IFERROR(IF(A88="","",VLOOKUP(A88,'Mapped COA'!A:G,2,0)),IF(A88="","",VLOOKUP(A88,COA!A:G,2,0)))</f>
        <v/>
      </c>
      <c r="C88" s="273"/>
      <c r="D88" s="273"/>
      <c r="E88" s="398"/>
      <c r="F88" s="397"/>
    </row>
    <row r="89" spans="1:6" hidden="1" x14ac:dyDescent="0.25">
      <c r="A89" s="411"/>
      <c r="B89" s="424" t="str">
        <f>IFERROR(IF(A89="","",VLOOKUP(A89,'Mapped COA'!A:G,2,0)),IF(A89="","",VLOOKUP(A89,COA!A:G,2,0)))</f>
        <v/>
      </c>
      <c r="C89" s="273"/>
      <c r="D89" s="273"/>
      <c r="E89" s="398"/>
      <c r="F89" s="397"/>
    </row>
    <row r="90" spans="1:6" hidden="1" x14ac:dyDescent="0.25">
      <c r="A90" s="411"/>
      <c r="B90" s="424" t="str">
        <f>IFERROR(IF(A90="","",VLOOKUP(A90,'Mapped COA'!A:G,2,0)),IF(A90="","",VLOOKUP(A90,COA!A:G,2,0)))</f>
        <v/>
      </c>
      <c r="C90" s="273"/>
      <c r="D90" s="273"/>
      <c r="E90" s="398"/>
      <c r="F90" s="397"/>
    </row>
    <row r="91" spans="1:6" hidden="1" x14ac:dyDescent="0.25">
      <c r="A91" s="411"/>
      <c r="B91" s="424" t="str">
        <f>IFERROR(IF(A91="","",VLOOKUP(A91,'Mapped COA'!A:G,2,0)),IF(A91="","",VLOOKUP(A91,COA!A:G,2,0)))</f>
        <v/>
      </c>
      <c r="C91" s="273"/>
      <c r="D91" s="273"/>
      <c r="E91" s="398"/>
      <c r="F91" s="397"/>
    </row>
    <row r="92" spans="1:6" hidden="1" x14ac:dyDescent="0.25">
      <c r="A92" s="411"/>
      <c r="B92" s="424" t="str">
        <f>IFERROR(IF(A92="","",VLOOKUP(A92,'Mapped COA'!A:G,2,0)),IF(A92="","",VLOOKUP(A92,COA!A:G,2,0)))</f>
        <v/>
      </c>
      <c r="C92" s="273"/>
      <c r="D92" s="273"/>
      <c r="E92" s="398"/>
      <c r="F92" s="397"/>
    </row>
    <row r="93" spans="1:6" hidden="1" x14ac:dyDescent="0.25">
      <c r="A93" s="411"/>
      <c r="B93" s="424" t="str">
        <f>IFERROR(IF(A93="","",VLOOKUP(A93,'Mapped COA'!A:G,2,0)),IF(A93="","",VLOOKUP(A93,COA!A:G,2,0)))</f>
        <v/>
      </c>
      <c r="C93" s="273"/>
      <c r="D93" s="273"/>
      <c r="E93" s="398"/>
      <c r="F93" s="397"/>
    </row>
    <row r="94" spans="1:6" hidden="1" x14ac:dyDescent="0.25">
      <c r="A94" s="411"/>
      <c r="B94" s="424" t="str">
        <f>IFERROR(IF(A94="","",VLOOKUP(A94,'Mapped COA'!A:G,2,0)),IF(A94="","",VLOOKUP(A94,COA!A:G,2,0)))</f>
        <v/>
      </c>
      <c r="C94" s="273"/>
      <c r="D94" s="273"/>
      <c r="E94" s="398"/>
      <c r="F94" s="397"/>
    </row>
    <row r="95" spans="1:6" hidden="1" x14ac:dyDescent="0.25">
      <c r="A95" s="411"/>
      <c r="B95" s="424" t="str">
        <f>IFERROR(IF(A95="","",VLOOKUP(A95,'Mapped COA'!A:G,2,0)),IF(A95="","",VLOOKUP(A95,COA!A:G,2,0)))</f>
        <v/>
      </c>
      <c r="C95" s="273"/>
      <c r="D95" s="273"/>
      <c r="E95" s="398"/>
      <c r="F95" s="397"/>
    </row>
    <row r="96" spans="1:6" hidden="1" x14ac:dyDescent="0.25">
      <c r="A96" s="411"/>
      <c r="B96" s="424" t="str">
        <f>IFERROR(IF(A96="","",VLOOKUP(A96,'Mapped COA'!A:G,2,0)),IF(A96="","",VLOOKUP(A96,COA!A:G,2,0)))</f>
        <v/>
      </c>
      <c r="C96" s="273"/>
      <c r="D96" s="273"/>
      <c r="E96" s="398"/>
      <c r="F96" s="397"/>
    </row>
    <row r="97" spans="1:6" hidden="1" x14ac:dyDescent="0.25">
      <c r="A97" s="411"/>
      <c r="B97" s="424" t="str">
        <f>IFERROR(IF(A97="","",VLOOKUP(A97,'Mapped COA'!A:G,2,0)),IF(A97="","",VLOOKUP(A97,COA!A:G,2,0)))</f>
        <v/>
      </c>
      <c r="C97" s="273"/>
      <c r="D97" s="273"/>
      <c r="E97" s="398"/>
      <c r="F97" s="397"/>
    </row>
    <row r="98" spans="1:6" hidden="1" x14ac:dyDescent="0.25">
      <c r="A98" s="411"/>
      <c r="B98" s="424" t="str">
        <f>IFERROR(IF(A98="","",VLOOKUP(A98,'Mapped COA'!A:G,2,0)),IF(A98="","",VLOOKUP(A98,COA!A:G,2,0)))</f>
        <v/>
      </c>
      <c r="C98" s="273"/>
      <c r="D98" s="273"/>
      <c r="E98" s="398"/>
      <c r="F98" s="397"/>
    </row>
    <row r="99" spans="1:6" hidden="1" x14ac:dyDescent="0.25">
      <c r="A99" s="411"/>
      <c r="B99" s="424" t="str">
        <f>IFERROR(IF(A99="","",VLOOKUP(A99,'Mapped COA'!A:G,2,0)),IF(A99="","",VLOOKUP(A99,COA!A:G,2,0)))</f>
        <v/>
      </c>
      <c r="C99" s="273"/>
      <c r="D99" s="273"/>
      <c r="E99" s="398"/>
      <c r="F99" s="397"/>
    </row>
    <row r="100" spans="1:6" hidden="1" x14ac:dyDescent="0.25">
      <c r="A100" s="411"/>
      <c r="B100" s="424" t="str">
        <f>IFERROR(IF(A100="","",VLOOKUP(A100,'Mapped COA'!A:G,2,0)),IF(A100="","",VLOOKUP(A100,COA!A:G,2,0)))</f>
        <v/>
      </c>
      <c r="C100" s="273"/>
      <c r="D100" s="273"/>
      <c r="E100" s="398"/>
      <c r="F100" s="397"/>
    </row>
    <row r="101" spans="1:6" hidden="1" x14ac:dyDescent="0.25">
      <c r="A101" s="411"/>
      <c r="B101" s="424" t="str">
        <f>IFERROR(IF(A101="","",VLOOKUP(A101,'Mapped COA'!A:G,2,0)),IF(A101="","",VLOOKUP(A101,COA!A:G,2,0)))</f>
        <v/>
      </c>
      <c r="C101" s="273"/>
      <c r="D101" s="273"/>
      <c r="E101" s="398"/>
      <c r="F101" s="397"/>
    </row>
    <row r="102" spans="1:6" hidden="1" x14ac:dyDescent="0.25">
      <c r="A102" s="411"/>
      <c r="B102" s="424" t="str">
        <f>IFERROR(IF(A102="","",VLOOKUP(A102,'Mapped COA'!A:G,2,0)),IF(A102="","",VLOOKUP(A102,COA!A:G,2,0)))</f>
        <v/>
      </c>
      <c r="C102" s="273"/>
      <c r="D102" s="273"/>
      <c r="E102" s="398"/>
      <c r="F102" s="397"/>
    </row>
    <row r="103" spans="1:6" hidden="1" x14ac:dyDescent="0.25">
      <c r="A103" s="411"/>
      <c r="B103" s="424" t="str">
        <f>IFERROR(IF(A103="","",VLOOKUP(A103,'Mapped COA'!A:G,2,0)),IF(A103="","",VLOOKUP(A103,COA!A:G,2,0)))</f>
        <v/>
      </c>
      <c r="C103" s="273"/>
      <c r="D103" s="273"/>
      <c r="E103" s="398"/>
      <c r="F103" s="397"/>
    </row>
    <row r="104" spans="1:6" hidden="1" x14ac:dyDescent="0.25">
      <c r="A104" s="411"/>
      <c r="B104" s="424" t="str">
        <f>IFERROR(IF(A104="","",VLOOKUP(A104,'Mapped COA'!A:G,2,0)),IF(A104="","",VLOOKUP(A104,COA!A:G,2,0)))</f>
        <v/>
      </c>
      <c r="C104" s="273"/>
      <c r="D104" s="273"/>
      <c r="E104" s="398"/>
      <c r="F104" s="397"/>
    </row>
    <row r="105" spans="1:6" hidden="1" x14ac:dyDescent="0.25">
      <c r="A105" s="411"/>
      <c r="B105" s="424" t="str">
        <f>IFERROR(IF(A105="","",VLOOKUP(A105,'Mapped COA'!A:G,2,0)),IF(A105="","",VLOOKUP(A105,COA!A:G,2,0)))</f>
        <v/>
      </c>
      <c r="C105" s="273"/>
      <c r="D105" s="273"/>
      <c r="E105" s="398"/>
      <c r="F105" s="397"/>
    </row>
    <row r="106" spans="1:6" hidden="1" x14ac:dyDescent="0.25">
      <c r="A106" s="411"/>
      <c r="B106" s="424" t="str">
        <f>IFERROR(IF(A106="","",VLOOKUP(A106,'Mapped COA'!A:G,2,0)),IF(A106="","",VLOOKUP(A106,COA!A:G,2,0)))</f>
        <v/>
      </c>
      <c r="C106" s="273"/>
      <c r="D106" s="273"/>
      <c r="E106" s="398"/>
      <c r="F106" s="397"/>
    </row>
    <row r="107" spans="1:6" hidden="1" x14ac:dyDescent="0.25">
      <c r="A107" s="411"/>
      <c r="B107" s="424" t="str">
        <f>IFERROR(IF(A107="","",VLOOKUP(A107,'Mapped COA'!A:G,2,0)),IF(A107="","",VLOOKUP(A107,COA!A:G,2,0)))</f>
        <v/>
      </c>
      <c r="C107" s="273"/>
      <c r="D107" s="273"/>
      <c r="E107" s="398"/>
      <c r="F107" s="397"/>
    </row>
    <row r="108" spans="1:6" hidden="1" x14ac:dyDescent="0.25">
      <c r="A108" s="411"/>
      <c r="B108" s="424" t="str">
        <f>IFERROR(IF(A108="","",VLOOKUP(A108,'Mapped COA'!A:G,2,0)),IF(A108="","",VLOOKUP(A108,COA!A:G,2,0)))</f>
        <v/>
      </c>
      <c r="C108" s="273"/>
      <c r="D108" s="273"/>
      <c r="E108" s="398"/>
      <c r="F108" s="397"/>
    </row>
    <row r="109" spans="1:6" x14ac:dyDescent="0.25">
      <c r="A109" s="412"/>
      <c r="B109" s="425" t="str">
        <f>IFERROR(IF(A109="","",VLOOKUP(A109,'Mapped COA'!A:G,2,0)),IF(A109="","",VLOOKUP(A109,COA!A:G,2,0)))</f>
        <v/>
      </c>
      <c r="C109" s="413"/>
      <c r="D109" s="413"/>
      <c r="E109" s="414"/>
      <c r="F109" s="415"/>
    </row>
    <row r="112" spans="1:6" ht="15.75" thickBot="1" x14ac:dyDescent="0.3">
      <c r="E112" s="463" t="s">
        <v>123</v>
      </c>
      <c r="F112" s="464">
        <f>SUM(F9:F109)</f>
        <v>0</v>
      </c>
    </row>
    <row r="113" spans="1:6" ht="15.75" thickTop="1" x14ac:dyDescent="0.25"/>
    <row r="115" spans="1:6" ht="20.25" x14ac:dyDescent="0.3">
      <c r="A115" s="426" t="s">
        <v>1753</v>
      </c>
      <c r="B115" s="426"/>
      <c r="C115" s="426"/>
      <c r="D115" s="426"/>
      <c r="E115" s="426"/>
      <c r="F115" s="426"/>
    </row>
    <row r="116" spans="1:6" ht="30" x14ac:dyDescent="0.25">
      <c r="A116" s="417" t="s">
        <v>1745</v>
      </c>
      <c r="B116" s="417" t="s">
        <v>1746</v>
      </c>
      <c r="C116" s="417" t="s">
        <v>1747</v>
      </c>
      <c r="D116" s="417" t="s">
        <v>1748</v>
      </c>
      <c r="E116" s="417" t="s">
        <v>1749</v>
      </c>
      <c r="F116" s="418" t="s">
        <v>1750</v>
      </c>
    </row>
    <row r="117" spans="1:6" x14ac:dyDescent="0.25">
      <c r="A117" s="481"/>
      <c r="B117" s="399"/>
      <c r="C117" s="397"/>
      <c r="D117" s="469"/>
      <c r="E117" s="469"/>
      <c r="F117" s="468">
        <f>D117-F223</f>
        <v>0</v>
      </c>
    </row>
    <row r="118" spans="1:6" x14ac:dyDescent="0.25">
      <c r="A118" s="422"/>
      <c r="B118" s="422"/>
      <c r="C118" s="422"/>
      <c r="D118" s="422"/>
      <c r="E118" s="422"/>
      <c r="F118" s="422"/>
    </row>
    <row r="119" spans="1:6" x14ac:dyDescent="0.25">
      <c r="A119" s="416" t="s">
        <v>139</v>
      </c>
      <c r="B119" s="417" t="s">
        <v>86</v>
      </c>
      <c r="C119" s="417" t="s">
        <v>1685</v>
      </c>
      <c r="D119" s="417" t="s">
        <v>1751</v>
      </c>
      <c r="E119" s="417" t="s">
        <v>1752</v>
      </c>
      <c r="F119" s="417" t="s">
        <v>277</v>
      </c>
    </row>
    <row r="120" spans="1:6" x14ac:dyDescent="0.25">
      <c r="A120" s="411"/>
      <c r="B120" s="424" t="str">
        <f>IFERROR(IF(A120="","",VLOOKUP(A120,'Mapped COA'!A:G,2,0)),IF(A120="","",VLOOKUP(A120,COA!A:G,2,0)))</f>
        <v/>
      </c>
      <c r="C120" s="273"/>
      <c r="D120" s="273"/>
      <c r="E120" s="398"/>
      <c r="F120" s="397"/>
    </row>
    <row r="121" spans="1:6" x14ac:dyDescent="0.25">
      <c r="A121" s="411"/>
      <c r="B121" s="424" t="str">
        <f>IFERROR(IF(A121="","",VLOOKUP(A121,'Mapped COA'!A:G,2,0)),IF(A121="","",VLOOKUP(A121,COA!A:G,2,0)))</f>
        <v/>
      </c>
      <c r="C121" s="273"/>
      <c r="D121" s="273"/>
      <c r="E121" s="398"/>
      <c r="F121" s="397"/>
    </row>
    <row r="122" spans="1:6" x14ac:dyDescent="0.25">
      <c r="A122" s="411"/>
      <c r="B122" s="424" t="str">
        <f>IFERROR(IF(A122="","",VLOOKUP(A122,'Mapped COA'!A:G,2,0)),IF(A122="","",VLOOKUP(A122,COA!A:G,2,0)))</f>
        <v/>
      </c>
      <c r="C122" s="273"/>
      <c r="D122" s="273"/>
      <c r="E122" s="398"/>
      <c r="F122" s="397"/>
    </row>
    <row r="123" spans="1:6" x14ac:dyDescent="0.25">
      <c r="A123" s="411"/>
      <c r="B123" s="424" t="str">
        <f>IFERROR(IF(A123="","",VLOOKUP(A123,'Mapped COA'!A:G,2,0)),IF(A123="","",VLOOKUP(A123,COA!A:G,2,0)))</f>
        <v/>
      </c>
      <c r="C123" s="273"/>
      <c r="D123" s="273"/>
      <c r="E123" s="398"/>
      <c r="F123" s="397"/>
    </row>
    <row r="124" spans="1:6" x14ac:dyDescent="0.25">
      <c r="A124" s="411"/>
      <c r="B124" s="424" t="str">
        <f>IFERROR(IF(A124="","",VLOOKUP(A124,'Mapped COA'!A:G,2,0)),IF(A124="","",VLOOKUP(A124,COA!A:G,2,0)))</f>
        <v/>
      </c>
      <c r="C124" s="273"/>
      <c r="D124" s="273"/>
      <c r="E124" s="398"/>
      <c r="F124" s="397"/>
    </row>
    <row r="125" spans="1:6" x14ac:dyDescent="0.25">
      <c r="A125" s="411"/>
      <c r="B125" s="424" t="str">
        <f>IFERROR(IF(A125="","",VLOOKUP(A125,'Mapped COA'!A:G,2,0)),IF(A125="","",VLOOKUP(A125,COA!A:G,2,0)))</f>
        <v/>
      </c>
      <c r="C125" s="273"/>
      <c r="D125" s="273"/>
      <c r="E125" s="398"/>
      <c r="F125" s="397"/>
    </row>
    <row r="126" spans="1:6" x14ac:dyDescent="0.25">
      <c r="A126" s="411"/>
      <c r="B126" s="424" t="str">
        <f>IFERROR(IF(A126="","",VLOOKUP(A126,'Mapped COA'!A:G,2,0)),IF(A126="","",VLOOKUP(A126,COA!A:G,2,0)))</f>
        <v/>
      </c>
      <c r="C126" s="273"/>
      <c r="D126" s="273"/>
      <c r="E126" s="398"/>
      <c r="F126" s="397"/>
    </row>
    <row r="127" spans="1:6" hidden="1" x14ac:dyDescent="0.25">
      <c r="A127" s="411"/>
      <c r="B127" s="424" t="str">
        <f>IFERROR(IF(A127="","",VLOOKUP(A127,'Mapped COA'!A:G,2,0)),IF(A127="","",VLOOKUP(A127,COA!A:G,2,0)))</f>
        <v/>
      </c>
      <c r="C127" s="273"/>
      <c r="D127" s="273"/>
      <c r="E127" s="398"/>
      <c r="F127" s="397"/>
    </row>
    <row r="128" spans="1:6" hidden="1" x14ac:dyDescent="0.25">
      <c r="A128" s="411"/>
      <c r="B128" s="424" t="str">
        <f>IFERROR(IF(A128="","",VLOOKUP(A128,'Mapped COA'!A:G,2,0)),IF(A128="","",VLOOKUP(A128,COA!A:G,2,0)))</f>
        <v/>
      </c>
      <c r="C128" s="273"/>
      <c r="D128" s="273"/>
      <c r="E128" s="398"/>
      <c r="F128" s="397"/>
    </row>
    <row r="129" spans="1:6" hidden="1" x14ac:dyDescent="0.25">
      <c r="A129" s="411"/>
      <c r="B129" s="424" t="str">
        <f>IFERROR(IF(A129="","",VLOOKUP(A129,'Mapped COA'!A:G,2,0)),IF(A129="","",VLOOKUP(A129,COA!A:G,2,0)))</f>
        <v/>
      </c>
      <c r="C129" s="273"/>
      <c r="D129" s="273"/>
      <c r="E129" s="398"/>
      <c r="F129" s="397"/>
    </row>
    <row r="130" spans="1:6" hidden="1" x14ac:dyDescent="0.25">
      <c r="A130" s="411"/>
      <c r="B130" s="424" t="str">
        <f>IFERROR(IF(A130="","",VLOOKUP(A130,'Mapped COA'!A:G,2,0)),IF(A130="","",VLOOKUP(A130,COA!A:G,2,0)))</f>
        <v/>
      </c>
      <c r="C130" s="273"/>
      <c r="D130" s="273"/>
      <c r="E130" s="398"/>
      <c r="F130" s="397"/>
    </row>
    <row r="131" spans="1:6" hidden="1" x14ac:dyDescent="0.25">
      <c r="A131" s="411"/>
      <c r="B131" s="424" t="str">
        <f>IFERROR(IF(A131="","",VLOOKUP(A131,'Mapped COA'!A:G,2,0)),IF(A131="","",VLOOKUP(A131,COA!A:G,2,0)))</f>
        <v/>
      </c>
      <c r="C131" s="273"/>
      <c r="D131" s="273"/>
      <c r="E131" s="398"/>
      <c r="F131" s="397"/>
    </row>
    <row r="132" spans="1:6" hidden="1" x14ac:dyDescent="0.25">
      <c r="A132" s="411"/>
      <c r="B132" s="424" t="str">
        <f>IFERROR(IF(A132="","",VLOOKUP(A132,'Mapped COA'!A:G,2,0)),IF(A132="","",VLOOKUP(A132,COA!A:G,2,0)))</f>
        <v/>
      </c>
      <c r="C132" s="273"/>
      <c r="D132" s="273"/>
      <c r="E132" s="398"/>
      <c r="F132" s="397"/>
    </row>
    <row r="133" spans="1:6" hidden="1" x14ac:dyDescent="0.25">
      <c r="A133" s="411"/>
      <c r="B133" s="424" t="str">
        <f>IFERROR(IF(A133="","",VLOOKUP(A133,'Mapped COA'!A:G,2,0)),IF(A133="","",VLOOKUP(A133,COA!A:G,2,0)))</f>
        <v/>
      </c>
      <c r="C133" s="273"/>
      <c r="D133" s="273"/>
      <c r="E133" s="398"/>
      <c r="F133" s="397"/>
    </row>
    <row r="134" spans="1:6" hidden="1" x14ac:dyDescent="0.25">
      <c r="A134" s="411"/>
      <c r="B134" s="424" t="str">
        <f>IFERROR(IF(A134="","",VLOOKUP(A134,'Mapped COA'!A:G,2,0)),IF(A134="","",VLOOKUP(A134,COA!A:G,2,0)))</f>
        <v/>
      </c>
      <c r="C134" s="273"/>
      <c r="D134" s="273"/>
      <c r="E134" s="398"/>
      <c r="F134" s="397"/>
    </row>
    <row r="135" spans="1:6" hidden="1" x14ac:dyDescent="0.25">
      <c r="A135" s="411"/>
      <c r="B135" s="424" t="str">
        <f>IFERROR(IF(A135="","",VLOOKUP(A135,'Mapped COA'!A:G,2,0)),IF(A135="","",VLOOKUP(A135,COA!A:G,2,0)))</f>
        <v/>
      </c>
      <c r="C135" s="273"/>
      <c r="D135" s="273"/>
      <c r="E135" s="398"/>
      <c r="F135" s="397"/>
    </row>
    <row r="136" spans="1:6" hidden="1" x14ac:dyDescent="0.25">
      <c r="A136" s="411"/>
      <c r="B136" s="424" t="str">
        <f>IFERROR(IF(A136="","",VLOOKUP(A136,'Mapped COA'!A:G,2,0)),IF(A136="","",VLOOKUP(A136,COA!A:G,2,0)))</f>
        <v/>
      </c>
      <c r="C136" s="273"/>
      <c r="D136" s="273"/>
      <c r="E136" s="398"/>
      <c r="F136" s="397"/>
    </row>
    <row r="137" spans="1:6" hidden="1" x14ac:dyDescent="0.25">
      <c r="A137" s="411"/>
      <c r="B137" s="424" t="str">
        <f>IFERROR(IF(A137="","",VLOOKUP(A137,'Mapped COA'!A:G,2,0)),IF(A137="","",VLOOKUP(A137,COA!A:G,2,0)))</f>
        <v/>
      </c>
      <c r="C137" s="273"/>
      <c r="D137" s="273"/>
      <c r="E137" s="398"/>
      <c r="F137" s="397"/>
    </row>
    <row r="138" spans="1:6" hidden="1" x14ac:dyDescent="0.25">
      <c r="A138" s="411"/>
      <c r="B138" s="424" t="str">
        <f>IFERROR(IF(A138="","",VLOOKUP(A138,'Mapped COA'!A:G,2,0)),IF(A138="","",VLOOKUP(A138,COA!A:G,2,0)))</f>
        <v/>
      </c>
      <c r="C138" s="273"/>
      <c r="D138" s="273"/>
      <c r="E138" s="398"/>
      <c r="F138" s="397"/>
    </row>
    <row r="139" spans="1:6" hidden="1" x14ac:dyDescent="0.25">
      <c r="A139" s="411"/>
      <c r="B139" s="424" t="str">
        <f>IFERROR(IF(A139="","",VLOOKUP(A139,'Mapped COA'!A:G,2,0)),IF(A139="","",VLOOKUP(A139,COA!A:G,2,0)))</f>
        <v/>
      </c>
      <c r="C139" s="273"/>
      <c r="D139" s="273"/>
      <c r="E139" s="398"/>
      <c r="F139" s="397"/>
    </row>
    <row r="140" spans="1:6" hidden="1" x14ac:dyDescent="0.25">
      <c r="A140" s="411"/>
      <c r="B140" s="424" t="str">
        <f>IFERROR(IF(A140="","",VLOOKUP(A140,'Mapped COA'!A:G,2,0)),IF(A140="","",VLOOKUP(A140,COA!A:G,2,0)))</f>
        <v/>
      </c>
      <c r="C140" s="273"/>
      <c r="D140" s="273"/>
      <c r="E140" s="398"/>
      <c r="F140" s="397"/>
    </row>
    <row r="141" spans="1:6" hidden="1" x14ac:dyDescent="0.25">
      <c r="A141" s="411"/>
      <c r="B141" s="424" t="str">
        <f>IFERROR(IF(A141="","",VLOOKUP(A141,'Mapped COA'!A:G,2,0)),IF(A141="","",VLOOKUP(A141,COA!A:G,2,0)))</f>
        <v/>
      </c>
      <c r="C141" s="273"/>
      <c r="D141" s="273"/>
      <c r="E141" s="398"/>
      <c r="F141" s="397"/>
    </row>
    <row r="142" spans="1:6" hidden="1" x14ac:dyDescent="0.25">
      <c r="A142" s="411"/>
      <c r="B142" s="424" t="str">
        <f>IFERROR(IF(A142="","",VLOOKUP(A142,'Mapped COA'!A:G,2,0)),IF(A142="","",VLOOKUP(A142,COA!A:G,2,0)))</f>
        <v/>
      </c>
      <c r="C142" s="273"/>
      <c r="D142" s="273"/>
      <c r="E142" s="398"/>
      <c r="F142" s="397"/>
    </row>
    <row r="143" spans="1:6" hidden="1" x14ac:dyDescent="0.25">
      <c r="A143" s="411"/>
      <c r="B143" s="424" t="str">
        <f>IFERROR(IF(A143="","",VLOOKUP(A143,'Mapped COA'!A:G,2,0)),IF(A143="","",VLOOKUP(A143,COA!A:G,2,0)))</f>
        <v/>
      </c>
      <c r="C143" s="273"/>
      <c r="D143" s="273"/>
      <c r="E143" s="398"/>
      <c r="F143" s="397"/>
    </row>
    <row r="144" spans="1:6" hidden="1" x14ac:dyDescent="0.25">
      <c r="A144" s="411"/>
      <c r="B144" s="424" t="str">
        <f>IFERROR(IF(A144="","",VLOOKUP(A144,'Mapped COA'!A:G,2,0)),IF(A144="","",VLOOKUP(A144,COA!A:G,2,0)))</f>
        <v/>
      </c>
      <c r="C144" s="273"/>
      <c r="D144" s="273"/>
      <c r="E144" s="398"/>
      <c r="F144" s="397"/>
    </row>
    <row r="145" spans="1:6" hidden="1" x14ac:dyDescent="0.25">
      <c r="A145" s="411"/>
      <c r="B145" s="424" t="str">
        <f>IFERROR(IF(A145="","",VLOOKUP(A145,'Mapped COA'!A:G,2,0)),IF(A145="","",VLOOKUP(A145,COA!A:G,2,0)))</f>
        <v/>
      </c>
      <c r="C145" s="273"/>
      <c r="D145" s="273"/>
      <c r="E145" s="398"/>
      <c r="F145" s="397"/>
    </row>
    <row r="146" spans="1:6" hidden="1" x14ac:dyDescent="0.25">
      <c r="A146" s="411"/>
      <c r="B146" s="424" t="str">
        <f>IFERROR(IF(A146="","",VLOOKUP(A146,'Mapped COA'!A:G,2,0)),IF(A146="","",VLOOKUP(A146,COA!A:G,2,0)))</f>
        <v/>
      </c>
      <c r="C146" s="273"/>
      <c r="D146" s="273"/>
      <c r="E146" s="398"/>
      <c r="F146" s="397"/>
    </row>
    <row r="147" spans="1:6" hidden="1" x14ac:dyDescent="0.25">
      <c r="A147" s="411"/>
      <c r="B147" s="424" t="str">
        <f>IFERROR(IF(A147="","",VLOOKUP(A147,'Mapped COA'!A:G,2,0)),IF(A147="","",VLOOKUP(A147,COA!A:G,2,0)))</f>
        <v/>
      </c>
      <c r="C147" s="273"/>
      <c r="D147" s="273"/>
      <c r="E147" s="398"/>
      <c r="F147" s="397"/>
    </row>
    <row r="148" spans="1:6" hidden="1" x14ac:dyDescent="0.25">
      <c r="A148" s="411"/>
      <c r="B148" s="424" t="str">
        <f>IFERROR(IF(A148="","",VLOOKUP(A148,'Mapped COA'!A:G,2,0)),IF(A148="","",VLOOKUP(A148,COA!A:G,2,0)))</f>
        <v/>
      </c>
      <c r="C148" s="273"/>
      <c r="D148" s="273"/>
      <c r="E148" s="398"/>
      <c r="F148" s="397"/>
    </row>
    <row r="149" spans="1:6" hidden="1" x14ac:dyDescent="0.25">
      <c r="A149" s="411"/>
      <c r="B149" s="424" t="str">
        <f>IFERROR(IF(A149="","",VLOOKUP(A149,'Mapped COA'!A:G,2,0)),IF(A149="","",VLOOKUP(A149,COA!A:G,2,0)))</f>
        <v/>
      </c>
      <c r="C149" s="273"/>
      <c r="D149" s="273"/>
      <c r="E149" s="398"/>
      <c r="F149" s="397"/>
    </row>
    <row r="150" spans="1:6" hidden="1" x14ac:dyDescent="0.25">
      <c r="A150" s="411"/>
      <c r="B150" s="424" t="str">
        <f>IFERROR(IF(A150="","",VLOOKUP(A150,'Mapped COA'!A:G,2,0)),IF(A150="","",VLOOKUP(A150,COA!A:G,2,0)))</f>
        <v/>
      </c>
      <c r="C150" s="273"/>
      <c r="D150" s="273"/>
      <c r="E150" s="398"/>
      <c r="F150" s="397"/>
    </row>
    <row r="151" spans="1:6" hidden="1" x14ac:dyDescent="0.25">
      <c r="A151" s="411"/>
      <c r="B151" s="424" t="str">
        <f>IFERROR(IF(A151="","",VLOOKUP(A151,'Mapped COA'!A:G,2,0)),IF(A151="","",VLOOKUP(A151,COA!A:G,2,0)))</f>
        <v/>
      </c>
      <c r="C151" s="273"/>
      <c r="D151" s="273"/>
      <c r="E151" s="398"/>
      <c r="F151" s="397"/>
    </row>
    <row r="152" spans="1:6" hidden="1" x14ac:dyDescent="0.25">
      <c r="A152" s="411"/>
      <c r="B152" s="424" t="str">
        <f>IFERROR(IF(A152="","",VLOOKUP(A152,'Mapped COA'!A:G,2,0)),IF(A152="","",VLOOKUP(A152,COA!A:G,2,0)))</f>
        <v/>
      </c>
      <c r="C152" s="273"/>
      <c r="D152" s="273"/>
      <c r="E152" s="398"/>
      <c r="F152" s="397"/>
    </row>
    <row r="153" spans="1:6" hidden="1" x14ac:dyDescent="0.25">
      <c r="A153" s="411"/>
      <c r="B153" s="424" t="str">
        <f>IFERROR(IF(A153="","",VLOOKUP(A153,'Mapped COA'!A:G,2,0)),IF(A153="","",VLOOKUP(A153,COA!A:G,2,0)))</f>
        <v/>
      </c>
      <c r="C153" s="273"/>
      <c r="D153" s="273"/>
      <c r="E153" s="398"/>
      <c r="F153" s="397"/>
    </row>
    <row r="154" spans="1:6" hidden="1" x14ac:dyDescent="0.25">
      <c r="A154" s="411"/>
      <c r="B154" s="424" t="str">
        <f>IFERROR(IF(A154="","",VLOOKUP(A154,'Mapped COA'!A:G,2,0)),IF(A154="","",VLOOKUP(A154,COA!A:G,2,0)))</f>
        <v/>
      </c>
      <c r="C154" s="273"/>
      <c r="D154" s="273"/>
      <c r="E154" s="398"/>
      <c r="F154" s="397"/>
    </row>
    <row r="155" spans="1:6" hidden="1" x14ac:dyDescent="0.25">
      <c r="A155" s="411"/>
      <c r="B155" s="424" t="str">
        <f>IFERROR(IF(A155="","",VLOOKUP(A155,'Mapped COA'!A:G,2,0)),IF(A155="","",VLOOKUP(A155,COA!A:G,2,0)))</f>
        <v/>
      </c>
      <c r="C155" s="273"/>
      <c r="D155" s="273"/>
      <c r="E155" s="398"/>
      <c r="F155" s="397"/>
    </row>
    <row r="156" spans="1:6" hidden="1" x14ac:dyDescent="0.25">
      <c r="A156" s="411"/>
      <c r="B156" s="424" t="str">
        <f>IFERROR(IF(A156="","",VLOOKUP(A156,'Mapped COA'!A:G,2,0)),IF(A156="","",VLOOKUP(A156,COA!A:G,2,0)))</f>
        <v/>
      </c>
      <c r="C156" s="273"/>
      <c r="D156" s="273"/>
      <c r="E156" s="398"/>
      <c r="F156" s="397"/>
    </row>
    <row r="157" spans="1:6" hidden="1" x14ac:dyDescent="0.25">
      <c r="A157" s="411"/>
      <c r="B157" s="424" t="str">
        <f>IFERROR(IF(A157="","",VLOOKUP(A157,'Mapped COA'!A:G,2,0)),IF(A157="","",VLOOKUP(A157,COA!A:G,2,0)))</f>
        <v/>
      </c>
      <c r="C157" s="273"/>
      <c r="D157" s="273"/>
      <c r="E157" s="398"/>
      <c r="F157" s="397"/>
    </row>
    <row r="158" spans="1:6" hidden="1" x14ac:dyDescent="0.25">
      <c r="A158" s="411"/>
      <c r="B158" s="424" t="str">
        <f>IFERROR(IF(A158="","",VLOOKUP(A158,'Mapped COA'!A:G,2,0)),IF(A158="","",VLOOKUP(A158,COA!A:G,2,0)))</f>
        <v/>
      </c>
      <c r="C158" s="273"/>
      <c r="D158" s="273"/>
      <c r="E158" s="398"/>
      <c r="F158" s="397"/>
    </row>
    <row r="159" spans="1:6" hidden="1" x14ac:dyDescent="0.25">
      <c r="A159" s="411"/>
      <c r="B159" s="424" t="str">
        <f>IFERROR(IF(A159="","",VLOOKUP(A159,'Mapped COA'!A:G,2,0)),IF(A159="","",VLOOKUP(A159,COA!A:G,2,0)))</f>
        <v/>
      </c>
      <c r="C159" s="273"/>
      <c r="D159" s="273"/>
      <c r="E159" s="398"/>
      <c r="F159" s="397"/>
    </row>
    <row r="160" spans="1:6" hidden="1" x14ac:dyDescent="0.25">
      <c r="A160" s="411"/>
      <c r="B160" s="424" t="str">
        <f>IFERROR(IF(A160="","",VLOOKUP(A160,'Mapped COA'!A:G,2,0)),IF(A160="","",VLOOKUP(A160,COA!A:G,2,0)))</f>
        <v/>
      </c>
      <c r="C160" s="273"/>
      <c r="D160" s="273"/>
      <c r="E160" s="398"/>
      <c r="F160" s="397"/>
    </row>
    <row r="161" spans="1:6" hidden="1" x14ac:dyDescent="0.25">
      <c r="A161" s="411"/>
      <c r="B161" s="424" t="str">
        <f>IFERROR(IF(A161="","",VLOOKUP(A161,'Mapped COA'!A:G,2,0)),IF(A161="","",VLOOKUP(A161,COA!A:G,2,0)))</f>
        <v/>
      </c>
      <c r="C161" s="273"/>
      <c r="D161" s="273"/>
      <c r="E161" s="398"/>
      <c r="F161" s="397"/>
    </row>
    <row r="162" spans="1:6" hidden="1" x14ac:dyDescent="0.25">
      <c r="A162" s="411"/>
      <c r="B162" s="424" t="str">
        <f>IFERROR(IF(A162="","",VLOOKUP(A162,'Mapped COA'!A:G,2,0)),IF(A162="","",VLOOKUP(A162,COA!A:G,2,0)))</f>
        <v/>
      </c>
      <c r="C162" s="273"/>
      <c r="D162" s="273"/>
      <c r="E162" s="398"/>
      <c r="F162" s="397"/>
    </row>
    <row r="163" spans="1:6" hidden="1" x14ac:dyDescent="0.25">
      <c r="A163" s="411"/>
      <c r="B163" s="424" t="str">
        <f>IFERROR(IF(A163="","",VLOOKUP(A163,'Mapped COA'!A:G,2,0)),IF(A163="","",VLOOKUP(A163,COA!A:G,2,0)))</f>
        <v/>
      </c>
      <c r="C163" s="273"/>
      <c r="D163" s="273"/>
      <c r="E163" s="398"/>
      <c r="F163" s="397"/>
    </row>
    <row r="164" spans="1:6" hidden="1" x14ac:dyDescent="0.25">
      <c r="A164" s="411"/>
      <c r="B164" s="424" t="str">
        <f>IFERROR(IF(A164="","",VLOOKUP(A164,'Mapped COA'!A:G,2,0)),IF(A164="","",VLOOKUP(A164,COA!A:G,2,0)))</f>
        <v/>
      </c>
      <c r="C164" s="273"/>
      <c r="D164" s="273"/>
      <c r="E164" s="398"/>
      <c r="F164" s="397"/>
    </row>
    <row r="165" spans="1:6" hidden="1" x14ac:dyDescent="0.25">
      <c r="A165" s="411"/>
      <c r="B165" s="424" t="str">
        <f>IFERROR(IF(A165="","",VLOOKUP(A165,'Mapped COA'!A:G,2,0)),IF(A165="","",VLOOKUP(A165,COA!A:G,2,0)))</f>
        <v/>
      </c>
      <c r="C165" s="273"/>
      <c r="D165" s="273"/>
      <c r="E165" s="398"/>
      <c r="F165" s="397"/>
    </row>
    <row r="166" spans="1:6" hidden="1" x14ac:dyDescent="0.25">
      <c r="A166" s="411"/>
      <c r="B166" s="424" t="str">
        <f>IFERROR(IF(A166="","",VLOOKUP(A166,'Mapped COA'!A:G,2,0)),IF(A166="","",VLOOKUP(A166,COA!A:G,2,0)))</f>
        <v/>
      </c>
      <c r="C166" s="273"/>
      <c r="D166" s="273"/>
      <c r="E166" s="398"/>
      <c r="F166" s="397"/>
    </row>
    <row r="167" spans="1:6" hidden="1" x14ac:dyDescent="0.25">
      <c r="A167" s="411"/>
      <c r="B167" s="424" t="str">
        <f>IFERROR(IF(A167="","",VLOOKUP(A167,'Mapped COA'!A:G,2,0)),IF(A167="","",VLOOKUP(A167,COA!A:G,2,0)))</f>
        <v/>
      </c>
      <c r="C167" s="273"/>
      <c r="D167" s="273"/>
      <c r="E167" s="398"/>
      <c r="F167" s="397"/>
    </row>
    <row r="168" spans="1:6" hidden="1" x14ac:dyDescent="0.25">
      <c r="A168" s="411"/>
      <c r="B168" s="424" t="str">
        <f>IFERROR(IF(A168="","",VLOOKUP(A168,'Mapped COA'!A:G,2,0)),IF(A168="","",VLOOKUP(A168,COA!A:G,2,0)))</f>
        <v/>
      </c>
      <c r="C168" s="273"/>
      <c r="D168" s="273"/>
      <c r="E168" s="398"/>
      <c r="F168" s="397"/>
    </row>
    <row r="169" spans="1:6" hidden="1" x14ac:dyDescent="0.25">
      <c r="A169" s="411"/>
      <c r="B169" s="424" t="str">
        <f>IFERROR(IF(A169="","",VLOOKUP(A169,'Mapped COA'!A:G,2,0)),IF(A169="","",VLOOKUP(A169,COA!A:G,2,0)))</f>
        <v/>
      </c>
      <c r="C169" s="273"/>
      <c r="D169" s="273"/>
      <c r="E169" s="398"/>
      <c r="F169" s="397"/>
    </row>
    <row r="170" spans="1:6" hidden="1" x14ac:dyDescent="0.25">
      <c r="A170" s="411"/>
      <c r="B170" s="424" t="str">
        <f>IFERROR(IF(A170="","",VLOOKUP(A170,'Mapped COA'!A:G,2,0)),IF(A170="","",VLOOKUP(A170,COA!A:G,2,0)))</f>
        <v/>
      </c>
      <c r="C170" s="273"/>
      <c r="D170" s="273"/>
      <c r="E170" s="398"/>
      <c r="F170" s="397"/>
    </row>
    <row r="171" spans="1:6" hidden="1" x14ac:dyDescent="0.25">
      <c r="A171" s="411"/>
      <c r="B171" s="424" t="str">
        <f>IFERROR(IF(A171="","",VLOOKUP(A171,'Mapped COA'!A:G,2,0)),IF(A171="","",VLOOKUP(A171,COA!A:G,2,0)))</f>
        <v/>
      </c>
      <c r="C171" s="273"/>
      <c r="D171" s="273"/>
      <c r="E171" s="398"/>
      <c r="F171" s="397"/>
    </row>
    <row r="172" spans="1:6" hidden="1" x14ac:dyDescent="0.25">
      <c r="A172" s="411"/>
      <c r="B172" s="424" t="str">
        <f>IFERROR(IF(A172="","",VLOOKUP(A172,'Mapped COA'!A:G,2,0)),IF(A172="","",VLOOKUP(A172,COA!A:G,2,0)))</f>
        <v/>
      </c>
      <c r="C172" s="273"/>
      <c r="D172" s="273"/>
      <c r="E172" s="398"/>
      <c r="F172" s="397"/>
    </row>
    <row r="173" spans="1:6" hidden="1" x14ac:dyDescent="0.25">
      <c r="A173" s="411"/>
      <c r="B173" s="424" t="str">
        <f>IFERROR(IF(A173="","",VLOOKUP(A173,'Mapped COA'!A:G,2,0)),IF(A173="","",VLOOKUP(A173,COA!A:G,2,0)))</f>
        <v/>
      </c>
      <c r="C173" s="273"/>
      <c r="D173" s="273"/>
      <c r="E173" s="398"/>
      <c r="F173" s="397"/>
    </row>
    <row r="174" spans="1:6" hidden="1" x14ac:dyDescent="0.25">
      <c r="A174" s="411"/>
      <c r="B174" s="424" t="str">
        <f>IFERROR(IF(A174="","",VLOOKUP(A174,'Mapped COA'!A:G,2,0)),IF(A174="","",VLOOKUP(A174,COA!A:G,2,0)))</f>
        <v/>
      </c>
      <c r="C174" s="273"/>
      <c r="D174" s="273"/>
      <c r="E174" s="398"/>
      <c r="F174" s="397"/>
    </row>
    <row r="175" spans="1:6" hidden="1" x14ac:dyDescent="0.25">
      <c r="A175" s="411"/>
      <c r="B175" s="424" t="str">
        <f>IFERROR(IF(A175="","",VLOOKUP(A175,'Mapped COA'!A:G,2,0)),IF(A175="","",VLOOKUP(A175,COA!A:G,2,0)))</f>
        <v/>
      </c>
      <c r="C175" s="273"/>
      <c r="D175" s="273"/>
      <c r="E175" s="398"/>
      <c r="F175" s="397"/>
    </row>
    <row r="176" spans="1:6" hidden="1" x14ac:dyDescent="0.25">
      <c r="A176" s="411"/>
      <c r="B176" s="424" t="str">
        <f>IFERROR(IF(A176="","",VLOOKUP(A176,'Mapped COA'!A:G,2,0)),IF(A176="","",VLOOKUP(A176,COA!A:G,2,0)))</f>
        <v/>
      </c>
      <c r="C176" s="273"/>
      <c r="D176" s="273"/>
      <c r="E176" s="398"/>
      <c r="F176" s="397"/>
    </row>
    <row r="177" spans="1:6" hidden="1" x14ac:dyDescent="0.25">
      <c r="A177" s="411"/>
      <c r="B177" s="424" t="str">
        <f>IFERROR(IF(A177="","",VLOOKUP(A177,'Mapped COA'!A:G,2,0)),IF(A177="","",VLOOKUP(A177,COA!A:G,2,0)))</f>
        <v/>
      </c>
      <c r="C177" s="273"/>
      <c r="D177" s="273"/>
      <c r="E177" s="398"/>
      <c r="F177" s="397"/>
    </row>
    <row r="178" spans="1:6" hidden="1" x14ac:dyDescent="0.25">
      <c r="A178" s="411"/>
      <c r="B178" s="424" t="str">
        <f>IFERROR(IF(A178="","",VLOOKUP(A178,'Mapped COA'!A:G,2,0)),IF(A178="","",VLOOKUP(A178,COA!A:G,2,0)))</f>
        <v/>
      </c>
      <c r="C178" s="273"/>
      <c r="D178" s="273"/>
      <c r="E178" s="398"/>
      <c r="F178" s="397"/>
    </row>
    <row r="179" spans="1:6" hidden="1" x14ac:dyDescent="0.25">
      <c r="A179" s="411"/>
      <c r="B179" s="424" t="str">
        <f>IFERROR(IF(A179="","",VLOOKUP(A179,'Mapped COA'!A:G,2,0)),IF(A179="","",VLOOKUP(A179,COA!A:G,2,0)))</f>
        <v/>
      </c>
      <c r="C179" s="273"/>
      <c r="D179" s="273"/>
      <c r="E179" s="398"/>
      <c r="F179" s="397"/>
    </row>
    <row r="180" spans="1:6" hidden="1" x14ac:dyDescent="0.25">
      <c r="A180" s="411"/>
      <c r="B180" s="424" t="str">
        <f>IFERROR(IF(A180="","",VLOOKUP(A180,'Mapped COA'!A:G,2,0)),IF(A180="","",VLOOKUP(A180,COA!A:G,2,0)))</f>
        <v/>
      </c>
      <c r="C180" s="273"/>
      <c r="D180" s="273"/>
      <c r="E180" s="398"/>
      <c r="F180" s="397"/>
    </row>
    <row r="181" spans="1:6" hidden="1" x14ac:dyDescent="0.25">
      <c r="A181" s="411"/>
      <c r="B181" s="424" t="str">
        <f>IFERROR(IF(A181="","",VLOOKUP(A181,'Mapped COA'!A:G,2,0)),IF(A181="","",VLOOKUP(A181,COA!A:G,2,0)))</f>
        <v/>
      </c>
      <c r="C181" s="273"/>
      <c r="D181" s="273"/>
      <c r="E181" s="398"/>
      <c r="F181" s="397"/>
    </row>
    <row r="182" spans="1:6" hidden="1" x14ac:dyDescent="0.25">
      <c r="A182" s="411"/>
      <c r="B182" s="424" t="str">
        <f>IFERROR(IF(A182="","",VLOOKUP(A182,'Mapped COA'!A:G,2,0)),IF(A182="","",VLOOKUP(A182,COA!A:G,2,0)))</f>
        <v/>
      </c>
      <c r="C182" s="273"/>
      <c r="D182" s="273"/>
      <c r="E182" s="398"/>
      <c r="F182" s="397"/>
    </row>
    <row r="183" spans="1:6" hidden="1" x14ac:dyDescent="0.25">
      <c r="A183" s="411"/>
      <c r="B183" s="424" t="str">
        <f>IFERROR(IF(A183="","",VLOOKUP(A183,'Mapped COA'!A:G,2,0)),IF(A183="","",VLOOKUP(A183,COA!A:G,2,0)))</f>
        <v/>
      </c>
      <c r="C183" s="273"/>
      <c r="D183" s="273"/>
      <c r="E183" s="398"/>
      <c r="F183" s="397"/>
    </row>
    <row r="184" spans="1:6" hidden="1" x14ac:dyDescent="0.25">
      <c r="A184" s="411"/>
      <c r="B184" s="424" t="str">
        <f>IFERROR(IF(A184="","",VLOOKUP(A184,'Mapped COA'!A:G,2,0)),IF(A184="","",VLOOKUP(A184,COA!A:G,2,0)))</f>
        <v/>
      </c>
      <c r="C184" s="273"/>
      <c r="D184" s="273"/>
      <c r="E184" s="398"/>
      <c r="F184" s="397"/>
    </row>
    <row r="185" spans="1:6" hidden="1" x14ac:dyDescent="0.25">
      <c r="A185" s="411"/>
      <c r="B185" s="424" t="str">
        <f>IFERROR(IF(A185="","",VLOOKUP(A185,'Mapped COA'!A:G,2,0)),IF(A185="","",VLOOKUP(A185,COA!A:G,2,0)))</f>
        <v/>
      </c>
      <c r="C185" s="273"/>
      <c r="D185" s="273"/>
      <c r="E185" s="398"/>
      <c r="F185" s="397"/>
    </row>
    <row r="186" spans="1:6" hidden="1" x14ac:dyDescent="0.25">
      <c r="A186" s="411"/>
      <c r="B186" s="424" t="str">
        <f>IFERROR(IF(A186="","",VLOOKUP(A186,'Mapped COA'!A:G,2,0)),IF(A186="","",VLOOKUP(A186,COA!A:G,2,0)))</f>
        <v/>
      </c>
      <c r="C186" s="273"/>
      <c r="D186" s="273"/>
      <c r="E186" s="398"/>
      <c r="F186" s="397"/>
    </row>
    <row r="187" spans="1:6" hidden="1" x14ac:dyDescent="0.25">
      <c r="A187" s="411"/>
      <c r="B187" s="424" t="str">
        <f>IFERROR(IF(A187="","",VLOOKUP(A187,'Mapped COA'!A:G,2,0)),IF(A187="","",VLOOKUP(A187,COA!A:G,2,0)))</f>
        <v/>
      </c>
      <c r="C187" s="273"/>
      <c r="D187" s="273"/>
      <c r="E187" s="398"/>
      <c r="F187" s="397"/>
    </row>
    <row r="188" spans="1:6" hidden="1" x14ac:dyDescent="0.25">
      <c r="A188" s="411"/>
      <c r="B188" s="424" t="str">
        <f>IFERROR(IF(A188="","",VLOOKUP(A188,'Mapped COA'!A:G,2,0)),IF(A188="","",VLOOKUP(A188,COA!A:G,2,0)))</f>
        <v/>
      </c>
      <c r="C188" s="273"/>
      <c r="D188" s="273"/>
      <c r="E188" s="398"/>
      <c r="F188" s="397"/>
    </row>
    <row r="189" spans="1:6" hidden="1" x14ac:dyDescent="0.25">
      <c r="A189" s="411"/>
      <c r="B189" s="424" t="str">
        <f>IFERROR(IF(A189="","",VLOOKUP(A189,'Mapped COA'!A:G,2,0)),IF(A189="","",VLOOKUP(A189,COA!A:G,2,0)))</f>
        <v/>
      </c>
      <c r="C189" s="273"/>
      <c r="D189" s="273"/>
      <c r="E189" s="398"/>
      <c r="F189" s="397"/>
    </row>
    <row r="190" spans="1:6" hidden="1" x14ac:dyDescent="0.25">
      <c r="A190" s="411"/>
      <c r="B190" s="424" t="str">
        <f>IFERROR(IF(A190="","",VLOOKUP(A190,'Mapped COA'!A:G,2,0)),IF(A190="","",VLOOKUP(A190,COA!A:G,2,0)))</f>
        <v/>
      </c>
      <c r="C190" s="273"/>
      <c r="D190" s="273"/>
      <c r="E190" s="398"/>
      <c r="F190" s="397"/>
    </row>
    <row r="191" spans="1:6" hidden="1" x14ac:dyDescent="0.25">
      <c r="A191" s="411"/>
      <c r="B191" s="424" t="str">
        <f>IFERROR(IF(A191="","",VLOOKUP(A191,'Mapped COA'!A:G,2,0)),IF(A191="","",VLOOKUP(A191,COA!A:G,2,0)))</f>
        <v/>
      </c>
      <c r="C191" s="273"/>
      <c r="D191" s="273"/>
      <c r="E191" s="398"/>
      <c r="F191" s="397"/>
    </row>
    <row r="192" spans="1:6" hidden="1" x14ac:dyDescent="0.25">
      <c r="A192" s="411"/>
      <c r="B192" s="424" t="str">
        <f>IFERROR(IF(A192="","",VLOOKUP(A192,'Mapped COA'!A:G,2,0)),IF(A192="","",VLOOKUP(A192,COA!A:G,2,0)))</f>
        <v/>
      </c>
      <c r="C192" s="273"/>
      <c r="D192" s="273"/>
      <c r="E192" s="398"/>
      <c r="F192" s="397"/>
    </row>
    <row r="193" spans="1:6" hidden="1" x14ac:dyDescent="0.25">
      <c r="A193" s="411"/>
      <c r="B193" s="424" t="str">
        <f>IFERROR(IF(A193="","",VLOOKUP(A193,'Mapped COA'!A:G,2,0)),IF(A193="","",VLOOKUP(A193,COA!A:G,2,0)))</f>
        <v/>
      </c>
      <c r="C193" s="273"/>
      <c r="D193" s="273"/>
      <c r="E193" s="398"/>
      <c r="F193" s="397"/>
    </row>
    <row r="194" spans="1:6" hidden="1" x14ac:dyDescent="0.25">
      <c r="A194" s="411"/>
      <c r="B194" s="424" t="str">
        <f>IFERROR(IF(A194="","",VLOOKUP(A194,'Mapped COA'!A:G,2,0)),IF(A194="","",VLOOKUP(A194,COA!A:G,2,0)))</f>
        <v/>
      </c>
      <c r="C194" s="273"/>
      <c r="D194" s="273"/>
      <c r="E194" s="398"/>
      <c r="F194" s="397"/>
    </row>
    <row r="195" spans="1:6" hidden="1" x14ac:dyDescent="0.25">
      <c r="A195" s="411"/>
      <c r="B195" s="424" t="str">
        <f>IFERROR(IF(A195="","",VLOOKUP(A195,'Mapped COA'!A:G,2,0)),IF(A195="","",VLOOKUP(A195,COA!A:G,2,0)))</f>
        <v/>
      </c>
      <c r="C195" s="273"/>
      <c r="D195" s="273"/>
      <c r="E195" s="398"/>
      <c r="F195" s="397"/>
    </row>
    <row r="196" spans="1:6" hidden="1" x14ac:dyDescent="0.25">
      <c r="A196" s="411"/>
      <c r="B196" s="424" t="str">
        <f>IFERROR(IF(A196="","",VLOOKUP(A196,'Mapped COA'!A:G,2,0)),IF(A196="","",VLOOKUP(A196,COA!A:G,2,0)))</f>
        <v/>
      </c>
      <c r="C196" s="273"/>
      <c r="D196" s="273"/>
      <c r="E196" s="398"/>
      <c r="F196" s="397"/>
    </row>
    <row r="197" spans="1:6" hidden="1" x14ac:dyDescent="0.25">
      <c r="A197" s="411"/>
      <c r="B197" s="424" t="str">
        <f>IFERROR(IF(A197="","",VLOOKUP(A197,'Mapped COA'!A:G,2,0)),IF(A197="","",VLOOKUP(A197,COA!A:G,2,0)))</f>
        <v/>
      </c>
      <c r="C197" s="273"/>
      <c r="D197" s="273"/>
      <c r="E197" s="398"/>
      <c r="F197" s="397"/>
    </row>
    <row r="198" spans="1:6" hidden="1" x14ac:dyDescent="0.25">
      <c r="A198" s="411"/>
      <c r="B198" s="424" t="str">
        <f>IFERROR(IF(A198="","",VLOOKUP(A198,'Mapped COA'!A:G,2,0)),IF(A198="","",VLOOKUP(A198,COA!A:G,2,0)))</f>
        <v/>
      </c>
      <c r="C198" s="273"/>
      <c r="D198" s="273"/>
      <c r="E198" s="398"/>
      <c r="F198" s="397"/>
    </row>
    <row r="199" spans="1:6" hidden="1" x14ac:dyDescent="0.25">
      <c r="A199" s="411"/>
      <c r="B199" s="424" t="str">
        <f>IFERROR(IF(A199="","",VLOOKUP(A199,'Mapped COA'!A:G,2,0)),IF(A199="","",VLOOKUP(A199,COA!A:G,2,0)))</f>
        <v/>
      </c>
      <c r="C199" s="273"/>
      <c r="D199" s="273"/>
      <c r="E199" s="398"/>
      <c r="F199" s="397"/>
    </row>
    <row r="200" spans="1:6" hidden="1" x14ac:dyDescent="0.25">
      <c r="A200" s="411"/>
      <c r="B200" s="424" t="str">
        <f>IFERROR(IF(A200="","",VLOOKUP(A200,'Mapped COA'!A:G,2,0)),IF(A200="","",VLOOKUP(A200,COA!A:G,2,0)))</f>
        <v/>
      </c>
      <c r="C200" s="273"/>
      <c r="D200" s="273"/>
      <c r="E200" s="398"/>
      <c r="F200" s="397"/>
    </row>
    <row r="201" spans="1:6" hidden="1" x14ac:dyDescent="0.25">
      <c r="A201" s="411"/>
      <c r="B201" s="424" t="str">
        <f>IFERROR(IF(A201="","",VLOOKUP(A201,'Mapped COA'!A:G,2,0)),IF(A201="","",VLOOKUP(A201,COA!A:G,2,0)))</f>
        <v/>
      </c>
      <c r="C201" s="273"/>
      <c r="D201" s="273"/>
      <c r="E201" s="398"/>
      <c r="F201" s="397"/>
    </row>
    <row r="202" spans="1:6" hidden="1" x14ac:dyDescent="0.25">
      <c r="A202" s="411"/>
      <c r="B202" s="424" t="str">
        <f>IFERROR(IF(A202="","",VLOOKUP(A202,'Mapped COA'!A:G,2,0)),IF(A202="","",VLOOKUP(A202,COA!A:G,2,0)))</f>
        <v/>
      </c>
      <c r="C202" s="273"/>
      <c r="D202" s="273"/>
      <c r="E202" s="398"/>
      <c r="F202" s="397"/>
    </row>
    <row r="203" spans="1:6" hidden="1" x14ac:dyDescent="0.25">
      <c r="A203" s="411"/>
      <c r="B203" s="424" t="str">
        <f>IFERROR(IF(A203="","",VLOOKUP(A203,'Mapped COA'!A:G,2,0)),IF(A203="","",VLOOKUP(A203,COA!A:G,2,0)))</f>
        <v/>
      </c>
      <c r="C203" s="273"/>
      <c r="D203" s="273"/>
      <c r="E203" s="398"/>
      <c r="F203" s="397"/>
    </row>
    <row r="204" spans="1:6" hidden="1" x14ac:dyDescent="0.25">
      <c r="A204" s="411"/>
      <c r="B204" s="424" t="str">
        <f>IFERROR(IF(A204="","",VLOOKUP(A204,'Mapped COA'!A:G,2,0)),IF(A204="","",VLOOKUP(A204,COA!A:G,2,0)))</f>
        <v/>
      </c>
      <c r="C204" s="273"/>
      <c r="D204" s="273"/>
      <c r="E204" s="398"/>
      <c r="F204" s="397"/>
    </row>
    <row r="205" spans="1:6" hidden="1" x14ac:dyDescent="0.25">
      <c r="A205" s="411"/>
      <c r="B205" s="424" t="str">
        <f>IFERROR(IF(A205="","",VLOOKUP(A205,'Mapped COA'!A:G,2,0)),IF(A205="","",VLOOKUP(A205,COA!A:G,2,0)))</f>
        <v/>
      </c>
      <c r="C205" s="273"/>
      <c r="D205" s="273"/>
      <c r="E205" s="398"/>
      <c r="F205" s="397"/>
    </row>
    <row r="206" spans="1:6" hidden="1" x14ac:dyDescent="0.25">
      <c r="A206" s="411"/>
      <c r="B206" s="424" t="str">
        <f>IFERROR(IF(A206="","",VLOOKUP(A206,'Mapped COA'!A:G,2,0)),IF(A206="","",VLOOKUP(A206,COA!A:G,2,0)))</f>
        <v/>
      </c>
      <c r="C206" s="273"/>
      <c r="D206" s="273"/>
      <c r="E206" s="398"/>
      <c r="F206" s="397"/>
    </row>
    <row r="207" spans="1:6" hidden="1" x14ac:dyDescent="0.25">
      <c r="A207" s="411"/>
      <c r="B207" s="424" t="str">
        <f>IFERROR(IF(A207="","",VLOOKUP(A207,'Mapped COA'!A:G,2,0)),IF(A207="","",VLOOKUP(A207,COA!A:G,2,0)))</f>
        <v/>
      </c>
      <c r="C207" s="273"/>
      <c r="D207" s="273"/>
      <c r="E207" s="398"/>
      <c r="F207" s="397"/>
    </row>
    <row r="208" spans="1:6" hidden="1" x14ac:dyDescent="0.25">
      <c r="A208" s="411"/>
      <c r="B208" s="424" t="str">
        <f>IFERROR(IF(A208="","",VLOOKUP(A208,'Mapped COA'!A:G,2,0)),IF(A208="","",VLOOKUP(A208,COA!A:G,2,0)))</f>
        <v/>
      </c>
      <c r="C208" s="273"/>
      <c r="D208" s="273"/>
      <c r="E208" s="398"/>
      <c r="F208" s="397"/>
    </row>
    <row r="209" spans="1:6" hidden="1" x14ac:dyDescent="0.25">
      <c r="A209" s="411"/>
      <c r="B209" s="424" t="str">
        <f>IFERROR(IF(A209="","",VLOOKUP(A209,'Mapped COA'!A:G,2,0)),IF(A209="","",VLOOKUP(A209,COA!A:G,2,0)))</f>
        <v/>
      </c>
      <c r="C209" s="273"/>
      <c r="D209" s="273"/>
      <c r="E209" s="398"/>
      <c r="F209" s="397"/>
    </row>
    <row r="210" spans="1:6" hidden="1" x14ac:dyDescent="0.25">
      <c r="A210" s="411"/>
      <c r="B210" s="424" t="str">
        <f>IFERROR(IF(A210="","",VLOOKUP(A210,'Mapped COA'!A:G,2,0)),IF(A210="","",VLOOKUP(A210,COA!A:G,2,0)))</f>
        <v/>
      </c>
      <c r="C210" s="273"/>
      <c r="D210" s="273"/>
      <c r="E210" s="398"/>
      <c r="F210" s="397"/>
    </row>
    <row r="211" spans="1:6" hidden="1" x14ac:dyDescent="0.25">
      <c r="A211" s="411"/>
      <c r="B211" s="424" t="str">
        <f>IFERROR(IF(A211="","",VLOOKUP(A211,'Mapped COA'!A:G,2,0)),IF(A211="","",VLOOKUP(A211,COA!A:G,2,0)))</f>
        <v/>
      </c>
      <c r="C211" s="273"/>
      <c r="D211" s="273"/>
      <c r="E211" s="398"/>
      <c r="F211" s="397"/>
    </row>
    <row r="212" spans="1:6" hidden="1" x14ac:dyDescent="0.25">
      <c r="A212" s="411"/>
      <c r="B212" s="424" t="str">
        <f>IFERROR(IF(A212="","",VLOOKUP(A212,'Mapped COA'!A:G,2,0)),IF(A212="","",VLOOKUP(A212,COA!A:G,2,0)))</f>
        <v/>
      </c>
      <c r="C212" s="273"/>
      <c r="D212" s="273"/>
      <c r="E212" s="398"/>
      <c r="F212" s="397"/>
    </row>
    <row r="213" spans="1:6" hidden="1" x14ac:dyDescent="0.25">
      <c r="A213" s="411"/>
      <c r="B213" s="424" t="str">
        <f>IFERROR(IF(A213="","",VLOOKUP(A213,'Mapped COA'!A:G,2,0)),IF(A213="","",VLOOKUP(A213,COA!A:G,2,0)))</f>
        <v/>
      </c>
      <c r="C213" s="273"/>
      <c r="D213" s="273"/>
      <c r="E213" s="398"/>
      <c r="F213" s="397"/>
    </row>
    <row r="214" spans="1:6" hidden="1" x14ac:dyDescent="0.25">
      <c r="A214" s="411"/>
      <c r="B214" s="424" t="str">
        <f>IFERROR(IF(A214="","",VLOOKUP(A214,'Mapped COA'!A:G,2,0)),IF(A214="","",VLOOKUP(A214,COA!A:G,2,0)))</f>
        <v/>
      </c>
      <c r="C214" s="273"/>
      <c r="D214" s="273"/>
      <c r="E214" s="398"/>
      <c r="F214" s="397"/>
    </row>
    <row r="215" spans="1:6" hidden="1" x14ac:dyDescent="0.25">
      <c r="A215" s="411"/>
      <c r="B215" s="424" t="str">
        <f>IFERROR(IF(A215="","",VLOOKUP(A215,'Mapped COA'!A:G,2,0)),IF(A215="","",VLOOKUP(A215,COA!A:G,2,0)))</f>
        <v/>
      </c>
      <c r="C215" s="273"/>
      <c r="D215" s="273"/>
      <c r="E215" s="398"/>
      <c r="F215" s="397"/>
    </row>
    <row r="216" spans="1:6" hidden="1" x14ac:dyDescent="0.25">
      <c r="A216" s="411"/>
      <c r="B216" s="424" t="str">
        <f>IFERROR(IF(A216="","",VLOOKUP(A216,'Mapped COA'!A:G,2,0)),IF(A216="","",VLOOKUP(A216,COA!A:G,2,0)))</f>
        <v/>
      </c>
      <c r="C216" s="273"/>
      <c r="D216" s="273"/>
      <c r="E216" s="398"/>
      <c r="F216" s="397"/>
    </row>
    <row r="217" spans="1:6" hidden="1" x14ac:dyDescent="0.25">
      <c r="A217" s="411"/>
      <c r="B217" s="424" t="str">
        <f>IFERROR(IF(A217="","",VLOOKUP(A217,'Mapped COA'!A:G,2,0)),IF(A217="","",VLOOKUP(A217,COA!A:G,2,0)))</f>
        <v/>
      </c>
      <c r="C217" s="273"/>
      <c r="D217" s="273"/>
      <c r="E217" s="398"/>
      <c r="F217" s="397"/>
    </row>
    <row r="218" spans="1:6" hidden="1" x14ac:dyDescent="0.25">
      <c r="A218" s="411"/>
      <c r="B218" s="424" t="str">
        <f>IFERROR(IF(A218="","",VLOOKUP(A218,'Mapped COA'!A:G,2,0)),IF(A218="","",VLOOKUP(A218,COA!A:G,2,0)))</f>
        <v/>
      </c>
      <c r="C218" s="273"/>
      <c r="D218" s="273"/>
      <c r="E218" s="398"/>
      <c r="F218" s="397"/>
    </row>
    <row r="219" spans="1:6" hidden="1" x14ac:dyDescent="0.25">
      <c r="A219" s="411"/>
      <c r="B219" s="424" t="str">
        <f>IFERROR(IF(A219="","",VLOOKUP(A219,'Mapped COA'!A:G,2,0)),IF(A219="","",VLOOKUP(A219,COA!A:G,2,0)))</f>
        <v/>
      </c>
      <c r="C219" s="273"/>
      <c r="D219" s="273"/>
      <c r="E219" s="398"/>
      <c r="F219" s="397"/>
    </row>
    <row r="220" spans="1:6" x14ac:dyDescent="0.25">
      <c r="A220" s="412"/>
      <c r="B220" s="425" t="str">
        <f>IFERROR(IF(A220="","",VLOOKUP(A220,'Mapped COA'!A:G,2,0)),IF(A220="","",VLOOKUP(A220,COA!A:G,2,0)))</f>
        <v/>
      </c>
      <c r="C220" s="413"/>
      <c r="D220" s="413"/>
      <c r="E220" s="414"/>
      <c r="F220" s="415"/>
    </row>
    <row r="223" spans="1:6" ht="15.75" thickBot="1" x14ac:dyDescent="0.3">
      <c r="E223" s="463" t="s">
        <v>123</v>
      </c>
      <c r="F223" s="464">
        <f>SUM(F120:F220)</f>
        <v>0</v>
      </c>
    </row>
    <row r="224" spans="1:6" ht="15.75" thickTop="1" x14ac:dyDescent="0.25"/>
    <row r="226" spans="1:6" ht="20.25" x14ac:dyDescent="0.3">
      <c r="A226" s="426" t="s">
        <v>1754</v>
      </c>
      <c r="B226" s="426"/>
      <c r="C226" s="426"/>
      <c r="D226" s="426"/>
      <c r="E226" s="426"/>
      <c r="F226" s="426"/>
    </row>
    <row r="227" spans="1:6" ht="30" x14ac:dyDescent="0.25">
      <c r="A227" s="417" t="s">
        <v>1745</v>
      </c>
      <c r="B227" s="417" t="s">
        <v>1746</v>
      </c>
      <c r="C227" s="417" t="s">
        <v>1747</v>
      </c>
      <c r="D227" s="417" t="s">
        <v>1748</v>
      </c>
      <c r="E227" s="417" t="s">
        <v>1749</v>
      </c>
      <c r="F227" s="418" t="s">
        <v>1750</v>
      </c>
    </row>
    <row r="228" spans="1:6" x14ac:dyDescent="0.25">
      <c r="A228" s="481"/>
      <c r="B228" s="399"/>
      <c r="C228" s="397"/>
      <c r="D228" s="469"/>
      <c r="E228" s="469"/>
      <c r="F228" s="468">
        <f>D228-F334</f>
        <v>0</v>
      </c>
    </row>
    <row r="229" spans="1:6" x14ac:dyDescent="0.25">
      <c r="A229" s="422"/>
      <c r="B229" s="422"/>
      <c r="C229" s="422"/>
      <c r="D229" s="422"/>
      <c r="E229" s="422"/>
      <c r="F229" s="422"/>
    </row>
    <row r="230" spans="1:6" x14ac:dyDescent="0.25">
      <c r="A230" s="416" t="s">
        <v>139</v>
      </c>
      <c r="B230" s="417" t="s">
        <v>86</v>
      </c>
      <c r="C230" s="417" t="s">
        <v>1685</v>
      </c>
      <c r="D230" s="417" t="s">
        <v>1751</v>
      </c>
      <c r="E230" s="417" t="s">
        <v>1752</v>
      </c>
      <c r="F230" s="417" t="s">
        <v>277</v>
      </c>
    </row>
    <row r="231" spans="1:6" x14ac:dyDescent="0.25">
      <c r="A231" s="411"/>
      <c r="B231" s="424" t="str">
        <f>IFERROR(IF(A231="","",VLOOKUP(A231,'Mapped COA'!A:G,2,0)),IF(A231="","",VLOOKUP(A231,COA!A:G,2,0)))</f>
        <v/>
      </c>
      <c r="C231" s="273"/>
      <c r="D231" s="273"/>
      <c r="E231" s="398"/>
      <c r="F231" s="397"/>
    </row>
    <row r="232" spans="1:6" x14ac:dyDescent="0.25">
      <c r="A232" s="411"/>
      <c r="B232" s="424" t="str">
        <f>IFERROR(IF(A232="","",VLOOKUP(A232,'Mapped COA'!A:G,2,0)),IF(A232="","",VLOOKUP(A232,COA!A:G,2,0)))</f>
        <v/>
      </c>
      <c r="C232" s="273"/>
      <c r="D232" s="273"/>
      <c r="E232" s="398"/>
      <c r="F232" s="397"/>
    </row>
    <row r="233" spans="1:6" x14ac:dyDescent="0.25">
      <c r="A233" s="411"/>
      <c r="B233" s="424" t="str">
        <f>IFERROR(IF(A233="","",VLOOKUP(A233,'Mapped COA'!A:G,2,0)),IF(A233="","",VLOOKUP(A233,COA!A:G,2,0)))</f>
        <v/>
      </c>
      <c r="C233" s="273"/>
      <c r="D233" s="273"/>
      <c r="E233" s="398"/>
      <c r="F233" s="397"/>
    </row>
    <row r="234" spans="1:6" x14ac:dyDescent="0.25">
      <c r="A234" s="411"/>
      <c r="B234" s="424" t="str">
        <f>IFERROR(IF(A234="","",VLOOKUP(A234,'Mapped COA'!A:G,2,0)),IF(A234="","",VLOOKUP(A234,COA!A:G,2,0)))</f>
        <v/>
      </c>
      <c r="C234" s="273"/>
      <c r="D234" s="273"/>
      <c r="E234" s="398"/>
      <c r="F234" s="397"/>
    </row>
    <row r="235" spans="1:6" x14ac:dyDescent="0.25">
      <c r="A235" s="411"/>
      <c r="B235" s="424" t="str">
        <f>IFERROR(IF(A235="","",VLOOKUP(A235,'Mapped COA'!A:G,2,0)),IF(A235="","",VLOOKUP(A235,COA!A:G,2,0)))</f>
        <v/>
      </c>
      <c r="C235" s="273"/>
      <c r="D235" s="273"/>
      <c r="E235" s="398"/>
      <c r="F235" s="397"/>
    </row>
    <row r="236" spans="1:6" x14ac:dyDescent="0.25">
      <c r="A236" s="411"/>
      <c r="B236" s="424" t="str">
        <f>IFERROR(IF(A236="","",VLOOKUP(A236,'Mapped COA'!A:G,2,0)),IF(A236="","",VLOOKUP(A236,COA!A:G,2,0)))</f>
        <v/>
      </c>
      <c r="C236" s="273"/>
      <c r="D236" s="273"/>
      <c r="E236" s="398"/>
      <c r="F236" s="397"/>
    </row>
    <row r="237" spans="1:6" x14ac:dyDescent="0.25">
      <c r="A237" s="411"/>
      <c r="B237" s="424" t="str">
        <f>IFERROR(IF(A237="","",VLOOKUP(A237,'Mapped COA'!A:G,2,0)),IF(A237="","",VLOOKUP(A237,COA!A:G,2,0)))</f>
        <v/>
      </c>
      <c r="C237" s="273"/>
      <c r="D237" s="273"/>
      <c r="E237" s="398"/>
      <c r="F237" s="397"/>
    </row>
    <row r="238" spans="1:6" hidden="1" x14ac:dyDescent="0.25">
      <c r="A238" s="411"/>
      <c r="B238" s="424" t="str">
        <f>IFERROR(IF(A238="","",VLOOKUP(A238,'Mapped COA'!A:G,2,0)),IF(A238="","",VLOOKUP(A238,COA!A:G,2,0)))</f>
        <v/>
      </c>
      <c r="C238" s="273"/>
      <c r="D238" s="273"/>
      <c r="E238" s="398"/>
      <c r="F238" s="397"/>
    </row>
    <row r="239" spans="1:6" hidden="1" x14ac:dyDescent="0.25">
      <c r="A239" s="411"/>
      <c r="B239" s="424" t="str">
        <f>IFERROR(IF(A239="","",VLOOKUP(A239,'Mapped COA'!A:G,2,0)),IF(A239="","",VLOOKUP(A239,COA!A:G,2,0)))</f>
        <v/>
      </c>
      <c r="C239" s="273"/>
      <c r="D239" s="273"/>
      <c r="E239" s="398"/>
      <c r="F239" s="397"/>
    </row>
    <row r="240" spans="1:6" hidden="1" x14ac:dyDescent="0.25">
      <c r="A240" s="411"/>
      <c r="B240" s="424" t="str">
        <f>IFERROR(IF(A240="","",VLOOKUP(A240,'Mapped COA'!A:G,2,0)),IF(A240="","",VLOOKUP(A240,COA!A:G,2,0)))</f>
        <v/>
      </c>
      <c r="C240" s="273"/>
      <c r="D240" s="273"/>
      <c r="E240" s="398"/>
      <c r="F240" s="397"/>
    </row>
    <row r="241" spans="1:6" hidden="1" x14ac:dyDescent="0.25">
      <c r="A241" s="411"/>
      <c r="B241" s="424" t="str">
        <f>IFERROR(IF(A241="","",VLOOKUP(A241,'Mapped COA'!A:G,2,0)),IF(A241="","",VLOOKUP(A241,COA!A:G,2,0)))</f>
        <v/>
      </c>
      <c r="C241" s="273"/>
      <c r="D241" s="273"/>
      <c r="E241" s="398"/>
      <c r="F241" s="397"/>
    </row>
    <row r="242" spans="1:6" hidden="1" x14ac:dyDescent="0.25">
      <c r="A242" s="411"/>
      <c r="B242" s="424" t="str">
        <f>IFERROR(IF(A242="","",VLOOKUP(A242,'Mapped COA'!A:G,2,0)),IF(A242="","",VLOOKUP(A242,COA!A:G,2,0)))</f>
        <v/>
      </c>
      <c r="C242" s="273"/>
      <c r="D242" s="273"/>
      <c r="E242" s="398"/>
      <c r="F242" s="397"/>
    </row>
    <row r="243" spans="1:6" hidden="1" x14ac:dyDescent="0.25">
      <c r="A243" s="411"/>
      <c r="B243" s="424" t="str">
        <f>IFERROR(IF(A243="","",VLOOKUP(A243,'Mapped COA'!A:G,2,0)),IF(A243="","",VLOOKUP(A243,COA!A:G,2,0)))</f>
        <v/>
      </c>
      <c r="C243" s="273"/>
      <c r="D243" s="273"/>
      <c r="E243" s="398"/>
      <c r="F243" s="397"/>
    </row>
    <row r="244" spans="1:6" hidden="1" x14ac:dyDescent="0.25">
      <c r="A244" s="411"/>
      <c r="B244" s="424" t="str">
        <f>IFERROR(IF(A244="","",VLOOKUP(A244,'Mapped COA'!A:G,2,0)),IF(A244="","",VLOOKUP(A244,COA!A:G,2,0)))</f>
        <v/>
      </c>
      <c r="C244" s="273"/>
      <c r="D244" s="273"/>
      <c r="E244" s="398"/>
      <c r="F244" s="397"/>
    </row>
    <row r="245" spans="1:6" hidden="1" x14ac:dyDescent="0.25">
      <c r="A245" s="411"/>
      <c r="B245" s="424" t="str">
        <f>IFERROR(IF(A245="","",VLOOKUP(A245,'Mapped COA'!A:G,2,0)),IF(A245="","",VLOOKUP(A245,COA!A:G,2,0)))</f>
        <v/>
      </c>
      <c r="C245" s="273"/>
      <c r="D245" s="273"/>
      <c r="E245" s="398"/>
      <c r="F245" s="397"/>
    </row>
    <row r="246" spans="1:6" hidden="1" x14ac:dyDescent="0.25">
      <c r="A246" s="411"/>
      <c r="B246" s="424" t="str">
        <f>IFERROR(IF(A246="","",VLOOKUP(A246,'Mapped COA'!A:G,2,0)),IF(A246="","",VLOOKUP(A246,COA!A:G,2,0)))</f>
        <v/>
      </c>
      <c r="C246" s="273"/>
      <c r="D246" s="273"/>
      <c r="E246" s="398"/>
      <c r="F246" s="397"/>
    </row>
    <row r="247" spans="1:6" hidden="1" x14ac:dyDescent="0.25">
      <c r="A247" s="411"/>
      <c r="B247" s="424" t="str">
        <f>IFERROR(IF(A247="","",VLOOKUP(A247,'Mapped COA'!A:G,2,0)),IF(A247="","",VLOOKUP(A247,COA!A:G,2,0)))</f>
        <v/>
      </c>
      <c r="C247" s="273"/>
      <c r="D247" s="273"/>
      <c r="E247" s="398"/>
      <c r="F247" s="397"/>
    </row>
    <row r="248" spans="1:6" hidden="1" x14ac:dyDescent="0.25">
      <c r="A248" s="411"/>
      <c r="B248" s="424" t="str">
        <f>IFERROR(IF(A248="","",VLOOKUP(A248,'Mapped COA'!A:G,2,0)),IF(A248="","",VLOOKUP(A248,COA!A:G,2,0)))</f>
        <v/>
      </c>
      <c r="C248" s="273"/>
      <c r="D248" s="273"/>
      <c r="E248" s="398"/>
      <c r="F248" s="397"/>
    </row>
    <row r="249" spans="1:6" hidden="1" x14ac:dyDescent="0.25">
      <c r="A249" s="411"/>
      <c r="B249" s="424" t="str">
        <f>IFERROR(IF(A249="","",VLOOKUP(A249,'Mapped COA'!A:G,2,0)),IF(A249="","",VLOOKUP(A249,COA!A:G,2,0)))</f>
        <v/>
      </c>
      <c r="C249" s="273"/>
      <c r="D249" s="273"/>
      <c r="E249" s="398"/>
      <c r="F249" s="397"/>
    </row>
    <row r="250" spans="1:6" hidden="1" x14ac:dyDescent="0.25">
      <c r="A250" s="411"/>
      <c r="B250" s="424" t="str">
        <f>IFERROR(IF(A250="","",VLOOKUP(A250,'Mapped COA'!A:G,2,0)),IF(A250="","",VLOOKUP(A250,COA!A:G,2,0)))</f>
        <v/>
      </c>
      <c r="C250" s="273"/>
      <c r="D250" s="273"/>
      <c r="E250" s="398"/>
      <c r="F250" s="397"/>
    </row>
    <row r="251" spans="1:6" hidden="1" x14ac:dyDescent="0.25">
      <c r="A251" s="411"/>
      <c r="B251" s="424" t="str">
        <f>IFERROR(IF(A251="","",VLOOKUP(A251,'Mapped COA'!A:G,2,0)),IF(A251="","",VLOOKUP(A251,COA!A:G,2,0)))</f>
        <v/>
      </c>
      <c r="C251" s="273"/>
      <c r="D251" s="273"/>
      <c r="E251" s="398"/>
      <c r="F251" s="397"/>
    </row>
    <row r="252" spans="1:6" hidden="1" x14ac:dyDescent="0.25">
      <c r="A252" s="411"/>
      <c r="B252" s="424" t="str">
        <f>IFERROR(IF(A252="","",VLOOKUP(A252,'Mapped COA'!A:G,2,0)),IF(A252="","",VLOOKUP(A252,COA!A:G,2,0)))</f>
        <v/>
      </c>
      <c r="C252" s="273"/>
      <c r="D252" s="273"/>
      <c r="E252" s="398"/>
      <c r="F252" s="397"/>
    </row>
    <row r="253" spans="1:6" hidden="1" x14ac:dyDescent="0.25">
      <c r="A253" s="411"/>
      <c r="B253" s="424" t="str">
        <f>IFERROR(IF(A253="","",VLOOKUP(A253,'Mapped COA'!A:G,2,0)),IF(A253="","",VLOOKUP(A253,COA!A:G,2,0)))</f>
        <v/>
      </c>
      <c r="C253" s="273"/>
      <c r="D253" s="273"/>
      <c r="E253" s="398"/>
      <c r="F253" s="397"/>
    </row>
    <row r="254" spans="1:6" hidden="1" x14ac:dyDescent="0.25">
      <c r="A254" s="411"/>
      <c r="B254" s="424" t="str">
        <f>IFERROR(IF(A254="","",VLOOKUP(A254,'Mapped COA'!A:G,2,0)),IF(A254="","",VLOOKUP(A254,COA!A:G,2,0)))</f>
        <v/>
      </c>
      <c r="C254" s="273"/>
      <c r="D254" s="273"/>
      <c r="E254" s="398"/>
      <c r="F254" s="397"/>
    </row>
    <row r="255" spans="1:6" hidden="1" x14ac:dyDescent="0.25">
      <c r="A255" s="411"/>
      <c r="B255" s="424" t="str">
        <f>IFERROR(IF(A255="","",VLOOKUP(A255,'Mapped COA'!A:G,2,0)),IF(A255="","",VLOOKUP(A255,COA!A:G,2,0)))</f>
        <v/>
      </c>
      <c r="C255" s="273"/>
      <c r="D255" s="273"/>
      <c r="E255" s="398"/>
      <c r="F255" s="397"/>
    </row>
    <row r="256" spans="1:6" hidden="1" x14ac:dyDescent="0.25">
      <c r="A256" s="411"/>
      <c r="B256" s="424" t="str">
        <f>IFERROR(IF(A256="","",VLOOKUP(A256,'Mapped COA'!A:G,2,0)),IF(A256="","",VLOOKUP(A256,COA!A:G,2,0)))</f>
        <v/>
      </c>
      <c r="C256" s="273"/>
      <c r="D256" s="273"/>
      <c r="E256" s="398"/>
      <c r="F256" s="397"/>
    </row>
    <row r="257" spans="1:6" hidden="1" x14ac:dyDescent="0.25">
      <c r="A257" s="411"/>
      <c r="B257" s="424" t="str">
        <f>IFERROR(IF(A257="","",VLOOKUP(A257,'Mapped COA'!A:G,2,0)),IF(A257="","",VLOOKUP(A257,COA!A:G,2,0)))</f>
        <v/>
      </c>
      <c r="C257" s="273"/>
      <c r="D257" s="273"/>
      <c r="E257" s="398"/>
      <c r="F257" s="397"/>
    </row>
    <row r="258" spans="1:6" hidden="1" x14ac:dyDescent="0.25">
      <c r="A258" s="411"/>
      <c r="B258" s="424" t="str">
        <f>IFERROR(IF(A258="","",VLOOKUP(A258,'Mapped COA'!A:G,2,0)),IF(A258="","",VLOOKUP(A258,COA!A:G,2,0)))</f>
        <v/>
      </c>
      <c r="C258" s="273"/>
      <c r="D258" s="273"/>
      <c r="E258" s="398"/>
      <c r="F258" s="397"/>
    </row>
    <row r="259" spans="1:6" hidden="1" x14ac:dyDescent="0.25">
      <c r="A259" s="411"/>
      <c r="B259" s="424" t="str">
        <f>IFERROR(IF(A259="","",VLOOKUP(A259,'Mapped COA'!A:G,2,0)),IF(A259="","",VLOOKUP(A259,COA!A:G,2,0)))</f>
        <v/>
      </c>
      <c r="C259" s="273"/>
      <c r="D259" s="273"/>
      <c r="E259" s="398"/>
      <c r="F259" s="397"/>
    </row>
    <row r="260" spans="1:6" hidden="1" x14ac:dyDescent="0.25">
      <c r="A260" s="411"/>
      <c r="B260" s="424" t="str">
        <f>IFERROR(IF(A260="","",VLOOKUP(A260,'Mapped COA'!A:G,2,0)),IF(A260="","",VLOOKUP(A260,COA!A:G,2,0)))</f>
        <v/>
      </c>
      <c r="C260" s="273"/>
      <c r="D260" s="273"/>
      <c r="E260" s="398"/>
      <c r="F260" s="397"/>
    </row>
    <row r="261" spans="1:6" hidden="1" x14ac:dyDescent="0.25">
      <c r="A261" s="411"/>
      <c r="B261" s="424" t="str">
        <f>IFERROR(IF(A261="","",VLOOKUP(A261,'Mapped COA'!A:G,2,0)),IF(A261="","",VLOOKUP(A261,COA!A:G,2,0)))</f>
        <v/>
      </c>
      <c r="C261" s="273"/>
      <c r="D261" s="273"/>
      <c r="E261" s="398"/>
      <c r="F261" s="397"/>
    </row>
    <row r="262" spans="1:6" hidden="1" x14ac:dyDescent="0.25">
      <c r="A262" s="411"/>
      <c r="B262" s="424" t="str">
        <f>IFERROR(IF(A262="","",VLOOKUP(A262,'Mapped COA'!A:G,2,0)),IF(A262="","",VLOOKUP(A262,COA!A:G,2,0)))</f>
        <v/>
      </c>
      <c r="C262" s="273"/>
      <c r="D262" s="273"/>
      <c r="E262" s="398"/>
      <c r="F262" s="397"/>
    </row>
    <row r="263" spans="1:6" hidden="1" x14ac:dyDescent="0.25">
      <c r="A263" s="411"/>
      <c r="B263" s="424" t="str">
        <f>IFERROR(IF(A263="","",VLOOKUP(A263,'Mapped COA'!A:G,2,0)),IF(A263="","",VLOOKUP(A263,COA!A:G,2,0)))</f>
        <v/>
      </c>
      <c r="C263" s="273"/>
      <c r="D263" s="273"/>
      <c r="E263" s="398"/>
      <c r="F263" s="397"/>
    </row>
    <row r="264" spans="1:6" hidden="1" x14ac:dyDescent="0.25">
      <c r="A264" s="411"/>
      <c r="B264" s="424" t="str">
        <f>IFERROR(IF(A264="","",VLOOKUP(A264,'Mapped COA'!A:G,2,0)),IF(A264="","",VLOOKUP(A264,COA!A:G,2,0)))</f>
        <v/>
      </c>
      <c r="C264" s="273"/>
      <c r="D264" s="273"/>
      <c r="E264" s="398"/>
      <c r="F264" s="397"/>
    </row>
    <row r="265" spans="1:6" hidden="1" x14ac:dyDescent="0.25">
      <c r="A265" s="411"/>
      <c r="B265" s="424" t="str">
        <f>IFERROR(IF(A265="","",VLOOKUP(A265,'Mapped COA'!A:G,2,0)),IF(A265="","",VLOOKUP(A265,COA!A:G,2,0)))</f>
        <v/>
      </c>
      <c r="C265" s="273"/>
      <c r="D265" s="273"/>
      <c r="E265" s="398"/>
      <c r="F265" s="397"/>
    </row>
    <row r="266" spans="1:6" hidden="1" x14ac:dyDescent="0.25">
      <c r="A266" s="411"/>
      <c r="B266" s="424" t="str">
        <f>IFERROR(IF(A266="","",VLOOKUP(A266,'Mapped COA'!A:G,2,0)),IF(A266="","",VLOOKUP(A266,COA!A:G,2,0)))</f>
        <v/>
      </c>
      <c r="C266" s="273"/>
      <c r="D266" s="273"/>
      <c r="E266" s="398"/>
      <c r="F266" s="397"/>
    </row>
    <row r="267" spans="1:6" hidden="1" x14ac:dyDescent="0.25">
      <c r="A267" s="411"/>
      <c r="B267" s="424" t="str">
        <f>IFERROR(IF(A267="","",VLOOKUP(A267,'Mapped COA'!A:G,2,0)),IF(A267="","",VLOOKUP(A267,COA!A:G,2,0)))</f>
        <v/>
      </c>
      <c r="C267" s="273"/>
      <c r="D267" s="273"/>
      <c r="E267" s="398"/>
      <c r="F267" s="397"/>
    </row>
    <row r="268" spans="1:6" hidden="1" x14ac:dyDescent="0.25">
      <c r="A268" s="411"/>
      <c r="B268" s="424" t="str">
        <f>IFERROR(IF(A268="","",VLOOKUP(A268,'Mapped COA'!A:G,2,0)),IF(A268="","",VLOOKUP(A268,COA!A:G,2,0)))</f>
        <v/>
      </c>
      <c r="C268" s="273"/>
      <c r="D268" s="273"/>
      <c r="E268" s="398"/>
      <c r="F268" s="397"/>
    </row>
    <row r="269" spans="1:6" hidden="1" x14ac:dyDescent="0.25">
      <c r="A269" s="411"/>
      <c r="B269" s="424" t="str">
        <f>IFERROR(IF(A269="","",VLOOKUP(A269,'Mapped COA'!A:G,2,0)),IF(A269="","",VLOOKUP(A269,COA!A:G,2,0)))</f>
        <v/>
      </c>
      <c r="C269" s="273"/>
      <c r="D269" s="273"/>
      <c r="E269" s="398"/>
      <c r="F269" s="397"/>
    </row>
    <row r="270" spans="1:6" hidden="1" x14ac:dyDescent="0.25">
      <c r="A270" s="411"/>
      <c r="B270" s="424" t="str">
        <f>IFERROR(IF(A270="","",VLOOKUP(A270,'Mapped COA'!A:G,2,0)),IF(A270="","",VLOOKUP(A270,COA!A:G,2,0)))</f>
        <v/>
      </c>
      <c r="C270" s="273"/>
      <c r="D270" s="273"/>
      <c r="E270" s="398"/>
      <c r="F270" s="397"/>
    </row>
    <row r="271" spans="1:6" hidden="1" x14ac:dyDescent="0.25">
      <c r="A271" s="411"/>
      <c r="B271" s="424" t="str">
        <f>IFERROR(IF(A271="","",VLOOKUP(A271,'Mapped COA'!A:G,2,0)),IF(A271="","",VLOOKUP(A271,COA!A:G,2,0)))</f>
        <v/>
      </c>
      <c r="C271" s="273"/>
      <c r="D271" s="273"/>
      <c r="E271" s="398"/>
      <c r="F271" s="397"/>
    </row>
    <row r="272" spans="1:6" hidden="1" x14ac:dyDescent="0.25">
      <c r="A272" s="411"/>
      <c r="B272" s="424" t="str">
        <f>IFERROR(IF(A272="","",VLOOKUP(A272,'Mapped COA'!A:G,2,0)),IF(A272="","",VLOOKUP(A272,COA!A:G,2,0)))</f>
        <v/>
      </c>
      <c r="C272" s="273"/>
      <c r="D272" s="273"/>
      <c r="E272" s="398"/>
      <c r="F272" s="397"/>
    </row>
    <row r="273" spans="1:6" hidden="1" x14ac:dyDescent="0.25">
      <c r="A273" s="411"/>
      <c r="B273" s="424" t="str">
        <f>IFERROR(IF(A273="","",VLOOKUP(A273,'Mapped COA'!A:G,2,0)),IF(A273="","",VLOOKUP(A273,COA!A:G,2,0)))</f>
        <v/>
      </c>
      <c r="C273" s="273"/>
      <c r="D273" s="273"/>
      <c r="E273" s="398"/>
      <c r="F273" s="397"/>
    </row>
    <row r="274" spans="1:6" hidden="1" x14ac:dyDescent="0.25">
      <c r="A274" s="411"/>
      <c r="B274" s="424" t="str">
        <f>IFERROR(IF(A274="","",VLOOKUP(A274,'Mapped COA'!A:G,2,0)),IF(A274="","",VLOOKUP(A274,COA!A:G,2,0)))</f>
        <v/>
      </c>
      <c r="C274" s="273"/>
      <c r="D274" s="273"/>
      <c r="E274" s="398"/>
      <c r="F274" s="397"/>
    </row>
    <row r="275" spans="1:6" hidden="1" x14ac:dyDescent="0.25">
      <c r="A275" s="411"/>
      <c r="B275" s="424" t="str">
        <f>IFERROR(IF(A275="","",VLOOKUP(A275,'Mapped COA'!A:G,2,0)),IF(A275="","",VLOOKUP(A275,COA!A:G,2,0)))</f>
        <v/>
      </c>
      <c r="C275" s="273"/>
      <c r="D275" s="273"/>
      <c r="E275" s="398"/>
      <c r="F275" s="397"/>
    </row>
    <row r="276" spans="1:6" hidden="1" x14ac:dyDescent="0.25">
      <c r="A276" s="411"/>
      <c r="B276" s="424" t="str">
        <f>IFERROR(IF(A276="","",VLOOKUP(A276,'Mapped COA'!A:G,2,0)),IF(A276="","",VLOOKUP(A276,COA!A:G,2,0)))</f>
        <v/>
      </c>
      <c r="C276" s="273"/>
      <c r="D276" s="273"/>
      <c r="E276" s="398"/>
      <c r="F276" s="397"/>
    </row>
    <row r="277" spans="1:6" hidden="1" x14ac:dyDescent="0.25">
      <c r="A277" s="411"/>
      <c r="B277" s="424" t="str">
        <f>IFERROR(IF(A277="","",VLOOKUP(A277,'Mapped COA'!A:G,2,0)),IF(A277="","",VLOOKUP(A277,COA!A:G,2,0)))</f>
        <v/>
      </c>
      <c r="C277" s="273"/>
      <c r="D277" s="273"/>
      <c r="E277" s="398"/>
      <c r="F277" s="397"/>
    </row>
    <row r="278" spans="1:6" hidden="1" x14ac:dyDescent="0.25">
      <c r="A278" s="411"/>
      <c r="B278" s="424" t="str">
        <f>IFERROR(IF(A278="","",VLOOKUP(A278,'Mapped COA'!A:G,2,0)),IF(A278="","",VLOOKUP(A278,COA!A:G,2,0)))</f>
        <v/>
      </c>
      <c r="C278" s="273"/>
      <c r="D278" s="273"/>
      <c r="E278" s="398"/>
      <c r="F278" s="397"/>
    </row>
    <row r="279" spans="1:6" hidden="1" x14ac:dyDescent="0.25">
      <c r="A279" s="411"/>
      <c r="B279" s="424" t="str">
        <f>IFERROR(IF(A279="","",VLOOKUP(A279,'Mapped COA'!A:G,2,0)),IF(A279="","",VLOOKUP(A279,COA!A:G,2,0)))</f>
        <v/>
      </c>
      <c r="C279" s="273"/>
      <c r="D279" s="273"/>
      <c r="E279" s="398"/>
      <c r="F279" s="397"/>
    </row>
    <row r="280" spans="1:6" hidden="1" x14ac:dyDescent="0.25">
      <c r="A280" s="411"/>
      <c r="B280" s="424" t="str">
        <f>IFERROR(IF(A280="","",VLOOKUP(A280,'Mapped COA'!A:G,2,0)),IF(A280="","",VLOOKUP(A280,COA!A:G,2,0)))</f>
        <v/>
      </c>
      <c r="C280" s="273"/>
      <c r="D280" s="273"/>
      <c r="E280" s="398"/>
      <c r="F280" s="397"/>
    </row>
    <row r="281" spans="1:6" hidden="1" x14ac:dyDescent="0.25">
      <c r="A281" s="411"/>
      <c r="B281" s="424" t="str">
        <f>IFERROR(IF(A281="","",VLOOKUP(A281,'Mapped COA'!A:G,2,0)),IF(A281="","",VLOOKUP(A281,COA!A:G,2,0)))</f>
        <v/>
      </c>
      <c r="C281" s="273"/>
      <c r="D281" s="273"/>
      <c r="E281" s="398"/>
      <c r="F281" s="397"/>
    </row>
    <row r="282" spans="1:6" hidden="1" x14ac:dyDescent="0.25">
      <c r="A282" s="411"/>
      <c r="B282" s="424" t="str">
        <f>IFERROR(IF(A282="","",VLOOKUP(A282,'Mapped COA'!A:G,2,0)),IF(A282="","",VLOOKUP(A282,COA!A:G,2,0)))</f>
        <v/>
      </c>
      <c r="C282" s="273"/>
      <c r="D282" s="273"/>
      <c r="E282" s="398"/>
      <c r="F282" s="397"/>
    </row>
    <row r="283" spans="1:6" hidden="1" x14ac:dyDescent="0.25">
      <c r="A283" s="411"/>
      <c r="B283" s="424" t="str">
        <f>IFERROR(IF(A283="","",VLOOKUP(A283,'Mapped COA'!A:G,2,0)),IF(A283="","",VLOOKUP(A283,COA!A:G,2,0)))</f>
        <v/>
      </c>
      <c r="C283" s="273"/>
      <c r="D283" s="273"/>
      <c r="E283" s="398"/>
      <c r="F283" s="397"/>
    </row>
    <row r="284" spans="1:6" hidden="1" x14ac:dyDescent="0.25">
      <c r="A284" s="411"/>
      <c r="B284" s="424" t="str">
        <f>IFERROR(IF(A284="","",VLOOKUP(A284,'Mapped COA'!A:G,2,0)),IF(A284="","",VLOOKUP(A284,COA!A:G,2,0)))</f>
        <v/>
      </c>
      <c r="C284" s="273"/>
      <c r="D284" s="273"/>
      <c r="E284" s="398"/>
      <c r="F284" s="397"/>
    </row>
    <row r="285" spans="1:6" hidden="1" x14ac:dyDescent="0.25">
      <c r="A285" s="411"/>
      <c r="B285" s="424" t="str">
        <f>IFERROR(IF(A285="","",VLOOKUP(A285,'Mapped COA'!A:G,2,0)),IF(A285="","",VLOOKUP(A285,COA!A:G,2,0)))</f>
        <v/>
      </c>
      <c r="C285" s="273"/>
      <c r="D285" s="273"/>
      <c r="E285" s="398"/>
      <c r="F285" s="397"/>
    </row>
    <row r="286" spans="1:6" hidden="1" x14ac:dyDescent="0.25">
      <c r="A286" s="411"/>
      <c r="B286" s="424" t="str">
        <f>IFERROR(IF(A286="","",VLOOKUP(A286,'Mapped COA'!A:G,2,0)),IF(A286="","",VLOOKUP(A286,COA!A:G,2,0)))</f>
        <v/>
      </c>
      <c r="C286" s="273"/>
      <c r="D286" s="273"/>
      <c r="E286" s="398"/>
      <c r="F286" s="397"/>
    </row>
    <row r="287" spans="1:6" hidden="1" x14ac:dyDescent="0.25">
      <c r="A287" s="411"/>
      <c r="B287" s="424" t="str">
        <f>IFERROR(IF(A287="","",VLOOKUP(A287,'Mapped COA'!A:G,2,0)),IF(A287="","",VLOOKUP(A287,COA!A:G,2,0)))</f>
        <v/>
      </c>
      <c r="C287" s="273"/>
      <c r="D287" s="273"/>
      <c r="E287" s="398"/>
      <c r="F287" s="397"/>
    </row>
    <row r="288" spans="1:6" hidden="1" x14ac:dyDescent="0.25">
      <c r="A288" s="411"/>
      <c r="B288" s="424" t="str">
        <f>IFERROR(IF(A288="","",VLOOKUP(A288,'Mapped COA'!A:G,2,0)),IF(A288="","",VLOOKUP(A288,COA!A:G,2,0)))</f>
        <v/>
      </c>
      <c r="C288" s="273"/>
      <c r="D288" s="273"/>
      <c r="E288" s="398"/>
      <c r="F288" s="397"/>
    </row>
    <row r="289" spans="1:6" hidden="1" x14ac:dyDescent="0.25">
      <c r="A289" s="411"/>
      <c r="B289" s="424" t="str">
        <f>IFERROR(IF(A289="","",VLOOKUP(A289,'Mapped COA'!A:G,2,0)),IF(A289="","",VLOOKUP(A289,COA!A:G,2,0)))</f>
        <v/>
      </c>
      <c r="C289" s="273"/>
      <c r="D289" s="273"/>
      <c r="E289" s="398"/>
      <c r="F289" s="397"/>
    </row>
    <row r="290" spans="1:6" hidden="1" x14ac:dyDescent="0.25">
      <c r="A290" s="411"/>
      <c r="B290" s="424" t="str">
        <f>IFERROR(IF(A290="","",VLOOKUP(A290,'Mapped COA'!A:G,2,0)),IF(A290="","",VLOOKUP(A290,COA!A:G,2,0)))</f>
        <v/>
      </c>
      <c r="C290" s="273"/>
      <c r="D290" s="273"/>
      <c r="E290" s="398"/>
      <c r="F290" s="397"/>
    </row>
    <row r="291" spans="1:6" hidden="1" x14ac:dyDescent="0.25">
      <c r="A291" s="411"/>
      <c r="B291" s="424" t="str">
        <f>IFERROR(IF(A291="","",VLOOKUP(A291,'Mapped COA'!A:G,2,0)),IF(A291="","",VLOOKUP(A291,COA!A:G,2,0)))</f>
        <v/>
      </c>
      <c r="C291" s="273"/>
      <c r="D291" s="273"/>
      <c r="E291" s="398"/>
      <c r="F291" s="397"/>
    </row>
    <row r="292" spans="1:6" hidden="1" x14ac:dyDescent="0.25">
      <c r="A292" s="411"/>
      <c r="B292" s="424" t="str">
        <f>IFERROR(IF(A292="","",VLOOKUP(A292,'Mapped COA'!A:G,2,0)),IF(A292="","",VLOOKUP(A292,COA!A:G,2,0)))</f>
        <v/>
      </c>
      <c r="C292" s="273"/>
      <c r="D292" s="273"/>
      <c r="E292" s="398"/>
      <c r="F292" s="397"/>
    </row>
    <row r="293" spans="1:6" hidden="1" x14ac:dyDescent="0.25">
      <c r="A293" s="411"/>
      <c r="B293" s="424" t="str">
        <f>IFERROR(IF(A293="","",VLOOKUP(A293,'Mapped COA'!A:G,2,0)),IF(A293="","",VLOOKUP(A293,COA!A:G,2,0)))</f>
        <v/>
      </c>
      <c r="C293" s="273"/>
      <c r="D293" s="273"/>
      <c r="E293" s="398"/>
      <c r="F293" s="397"/>
    </row>
    <row r="294" spans="1:6" hidden="1" x14ac:dyDescent="0.25">
      <c r="A294" s="411"/>
      <c r="B294" s="424" t="str">
        <f>IFERROR(IF(A294="","",VLOOKUP(A294,'Mapped COA'!A:G,2,0)),IF(A294="","",VLOOKUP(A294,COA!A:G,2,0)))</f>
        <v/>
      </c>
      <c r="C294" s="273"/>
      <c r="D294" s="273"/>
      <c r="E294" s="398"/>
      <c r="F294" s="397"/>
    </row>
    <row r="295" spans="1:6" hidden="1" x14ac:dyDescent="0.25">
      <c r="A295" s="411"/>
      <c r="B295" s="424" t="str">
        <f>IFERROR(IF(A295="","",VLOOKUP(A295,'Mapped COA'!A:G,2,0)),IF(A295="","",VLOOKUP(A295,COA!A:G,2,0)))</f>
        <v/>
      </c>
      <c r="C295" s="273"/>
      <c r="D295" s="273"/>
      <c r="E295" s="398"/>
      <c r="F295" s="397"/>
    </row>
    <row r="296" spans="1:6" hidden="1" x14ac:dyDescent="0.25">
      <c r="A296" s="411"/>
      <c r="B296" s="424" t="str">
        <f>IFERROR(IF(A296="","",VLOOKUP(A296,'Mapped COA'!A:G,2,0)),IF(A296="","",VLOOKUP(A296,COA!A:G,2,0)))</f>
        <v/>
      </c>
      <c r="C296" s="273"/>
      <c r="D296" s="273"/>
      <c r="E296" s="398"/>
      <c r="F296" s="397"/>
    </row>
    <row r="297" spans="1:6" hidden="1" x14ac:dyDescent="0.25">
      <c r="A297" s="411"/>
      <c r="B297" s="424" t="str">
        <f>IFERROR(IF(A297="","",VLOOKUP(A297,'Mapped COA'!A:G,2,0)),IF(A297="","",VLOOKUP(A297,COA!A:G,2,0)))</f>
        <v/>
      </c>
      <c r="C297" s="273"/>
      <c r="D297" s="273"/>
      <c r="E297" s="398"/>
      <c r="F297" s="397"/>
    </row>
    <row r="298" spans="1:6" hidden="1" x14ac:dyDescent="0.25">
      <c r="A298" s="411"/>
      <c r="B298" s="424" t="str">
        <f>IFERROR(IF(A298="","",VLOOKUP(A298,'Mapped COA'!A:G,2,0)),IF(A298="","",VLOOKUP(A298,COA!A:G,2,0)))</f>
        <v/>
      </c>
      <c r="C298" s="273"/>
      <c r="D298" s="273"/>
      <c r="E298" s="398"/>
      <c r="F298" s="397"/>
    </row>
    <row r="299" spans="1:6" hidden="1" x14ac:dyDescent="0.25">
      <c r="A299" s="411"/>
      <c r="B299" s="424" t="str">
        <f>IFERROR(IF(A299="","",VLOOKUP(A299,'Mapped COA'!A:G,2,0)),IF(A299="","",VLOOKUP(A299,COA!A:G,2,0)))</f>
        <v/>
      </c>
      <c r="C299" s="273"/>
      <c r="D299" s="273"/>
      <c r="E299" s="398"/>
      <c r="F299" s="397"/>
    </row>
    <row r="300" spans="1:6" hidden="1" x14ac:dyDescent="0.25">
      <c r="A300" s="411"/>
      <c r="B300" s="424" t="str">
        <f>IFERROR(IF(A300="","",VLOOKUP(A300,'Mapped COA'!A:G,2,0)),IF(A300="","",VLOOKUP(A300,COA!A:G,2,0)))</f>
        <v/>
      </c>
      <c r="C300" s="273"/>
      <c r="D300" s="273"/>
      <c r="E300" s="398"/>
      <c r="F300" s="397"/>
    </row>
    <row r="301" spans="1:6" hidden="1" x14ac:dyDescent="0.25">
      <c r="A301" s="411"/>
      <c r="B301" s="424" t="str">
        <f>IFERROR(IF(A301="","",VLOOKUP(A301,'Mapped COA'!A:G,2,0)),IF(A301="","",VLOOKUP(A301,COA!A:G,2,0)))</f>
        <v/>
      </c>
      <c r="C301" s="273"/>
      <c r="D301" s="273"/>
      <c r="E301" s="398"/>
      <c r="F301" s="397"/>
    </row>
    <row r="302" spans="1:6" hidden="1" x14ac:dyDescent="0.25">
      <c r="A302" s="411"/>
      <c r="B302" s="424" t="str">
        <f>IFERROR(IF(A302="","",VLOOKUP(A302,'Mapped COA'!A:G,2,0)),IF(A302="","",VLOOKUP(A302,COA!A:G,2,0)))</f>
        <v/>
      </c>
      <c r="C302" s="273"/>
      <c r="D302" s="273"/>
      <c r="E302" s="398"/>
      <c r="F302" s="397"/>
    </row>
    <row r="303" spans="1:6" hidden="1" x14ac:dyDescent="0.25">
      <c r="A303" s="411"/>
      <c r="B303" s="424" t="str">
        <f>IFERROR(IF(A303="","",VLOOKUP(A303,'Mapped COA'!A:G,2,0)),IF(A303="","",VLOOKUP(A303,COA!A:G,2,0)))</f>
        <v/>
      </c>
      <c r="C303" s="273"/>
      <c r="D303" s="273"/>
      <c r="E303" s="398"/>
      <c r="F303" s="397"/>
    </row>
    <row r="304" spans="1:6" hidden="1" x14ac:dyDescent="0.25">
      <c r="A304" s="411"/>
      <c r="B304" s="424" t="str">
        <f>IFERROR(IF(A304="","",VLOOKUP(A304,'Mapped COA'!A:G,2,0)),IF(A304="","",VLOOKUP(A304,COA!A:G,2,0)))</f>
        <v/>
      </c>
      <c r="C304" s="273"/>
      <c r="D304" s="273"/>
      <c r="E304" s="398"/>
      <c r="F304" s="397"/>
    </row>
    <row r="305" spans="1:6" hidden="1" x14ac:dyDescent="0.25">
      <c r="A305" s="411"/>
      <c r="B305" s="424" t="str">
        <f>IFERROR(IF(A305="","",VLOOKUP(A305,'Mapped COA'!A:G,2,0)),IF(A305="","",VLOOKUP(A305,COA!A:G,2,0)))</f>
        <v/>
      </c>
      <c r="C305" s="273"/>
      <c r="D305" s="273"/>
      <c r="E305" s="398"/>
      <c r="F305" s="397"/>
    </row>
    <row r="306" spans="1:6" hidden="1" x14ac:dyDescent="0.25">
      <c r="A306" s="411"/>
      <c r="B306" s="424" t="str">
        <f>IFERROR(IF(A306="","",VLOOKUP(A306,'Mapped COA'!A:G,2,0)),IF(A306="","",VLOOKUP(A306,COA!A:G,2,0)))</f>
        <v/>
      </c>
      <c r="C306" s="273"/>
      <c r="D306" s="273"/>
      <c r="E306" s="398"/>
      <c r="F306" s="397"/>
    </row>
    <row r="307" spans="1:6" hidden="1" x14ac:dyDescent="0.25">
      <c r="A307" s="411"/>
      <c r="B307" s="424" t="str">
        <f>IFERROR(IF(A307="","",VLOOKUP(A307,'Mapped COA'!A:G,2,0)),IF(A307="","",VLOOKUP(A307,COA!A:G,2,0)))</f>
        <v/>
      </c>
      <c r="C307" s="273"/>
      <c r="D307" s="273"/>
      <c r="E307" s="398"/>
      <c r="F307" s="397"/>
    </row>
    <row r="308" spans="1:6" hidden="1" x14ac:dyDescent="0.25">
      <c r="A308" s="411"/>
      <c r="B308" s="424" t="str">
        <f>IFERROR(IF(A308="","",VLOOKUP(A308,'Mapped COA'!A:G,2,0)),IF(A308="","",VLOOKUP(A308,COA!A:G,2,0)))</f>
        <v/>
      </c>
      <c r="C308" s="273"/>
      <c r="D308" s="273"/>
      <c r="E308" s="398"/>
      <c r="F308" s="397"/>
    </row>
    <row r="309" spans="1:6" hidden="1" x14ac:dyDescent="0.25">
      <c r="A309" s="411"/>
      <c r="B309" s="424" t="str">
        <f>IFERROR(IF(A309="","",VLOOKUP(A309,'Mapped COA'!A:G,2,0)),IF(A309="","",VLOOKUP(A309,COA!A:G,2,0)))</f>
        <v/>
      </c>
      <c r="C309" s="273"/>
      <c r="D309" s="273"/>
      <c r="E309" s="398"/>
      <c r="F309" s="397"/>
    </row>
    <row r="310" spans="1:6" hidden="1" x14ac:dyDescent="0.25">
      <c r="A310" s="411"/>
      <c r="B310" s="424" t="str">
        <f>IFERROR(IF(A310="","",VLOOKUP(A310,'Mapped COA'!A:G,2,0)),IF(A310="","",VLOOKUP(A310,COA!A:G,2,0)))</f>
        <v/>
      </c>
      <c r="C310" s="273"/>
      <c r="D310" s="273"/>
      <c r="E310" s="398"/>
      <c r="F310" s="397"/>
    </row>
    <row r="311" spans="1:6" hidden="1" x14ac:dyDescent="0.25">
      <c r="A311" s="411"/>
      <c r="B311" s="424" t="str">
        <f>IFERROR(IF(A311="","",VLOOKUP(A311,'Mapped COA'!A:G,2,0)),IF(A311="","",VLOOKUP(A311,COA!A:G,2,0)))</f>
        <v/>
      </c>
      <c r="C311" s="273"/>
      <c r="D311" s="273"/>
      <c r="E311" s="398"/>
      <c r="F311" s="397"/>
    </row>
    <row r="312" spans="1:6" hidden="1" x14ac:dyDescent="0.25">
      <c r="A312" s="411"/>
      <c r="B312" s="424" t="str">
        <f>IFERROR(IF(A312="","",VLOOKUP(A312,'Mapped COA'!A:G,2,0)),IF(A312="","",VLOOKUP(A312,COA!A:G,2,0)))</f>
        <v/>
      </c>
      <c r="C312" s="273"/>
      <c r="D312" s="273"/>
      <c r="E312" s="398"/>
      <c r="F312" s="397"/>
    </row>
    <row r="313" spans="1:6" hidden="1" x14ac:dyDescent="0.25">
      <c r="A313" s="411"/>
      <c r="B313" s="424" t="str">
        <f>IFERROR(IF(A313="","",VLOOKUP(A313,'Mapped COA'!A:G,2,0)),IF(A313="","",VLOOKUP(A313,COA!A:G,2,0)))</f>
        <v/>
      </c>
      <c r="C313" s="273"/>
      <c r="D313" s="273"/>
      <c r="E313" s="398"/>
      <c r="F313" s="397"/>
    </row>
    <row r="314" spans="1:6" hidden="1" x14ac:dyDescent="0.25">
      <c r="A314" s="411"/>
      <c r="B314" s="424" t="str">
        <f>IFERROR(IF(A314="","",VLOOKUP(A314,'Mapped COA'!A:G,2,0)),IF(A314="","",VLOOKUP(A314,COA!A:G,2,0)))</f>
        <v/>
      </c>
      <c r="C314" s="273"/>
      <c r="D314" s="273"/>
      <c r="E314" s="398"/>
      <c r="F314" s="397"/>
    </row>
    <row r="315" spans="1:6" hidden="1" x14ac:dyDescent="0.25">
      <c r="A315" s="411"/>
      <c r="B315" s="424" t="str">
        <f>IFERROR(IF(A315="","",VLOOKUP(A315,'Mapped COA'!A:G,2,0)),IF(A315="","",VLOOKUP(A315,COA!A:G,2,0)))</f>
        <v/>
      </c>
      <c r="C315" s="273"/>
      <c r="D315" s="273"/>
      <c r="E315" s="398"/>
      <c r="F315" s="397"/>
    </row>
    <row r="316" spans="1:6" hidden="1" x14ac:dyDescent="0.25">
      <c r="A316" s="411"/>
      <c r="B316" s="424" t="str">
        <f>IFERROR(IF(A316="","",VLOOKUP(A316,'Mapped COA'!A:G,2,0)),IF(A316="","",VLOOKUP(A316,COA!A:G,2,0)))</f>
        <v/>
      </c>
      <c r="C316" s="273"/>
      <c r="D316" s="273"/>
      <c r="E316" s="398"/>
      <c r="F316" s="397"/>
    </row>
    <row r="317" spans="1:6" hidden="1" x14ac:dyDescent="0.25">
      <c r="A317" s="411"/>
      <c r="B317" s="424" t="str">
        <f>IFERROR(IF(A317="","",VLOOKUP(A317,'Mapped COA'!A:G,2,0)),IF(A317="","",VLOOKUP(A317,COA!A:G,2,0)))</f>
        <v/>
      </c>
      <c r="C317" s="273"/>
      <c r="D317" s="273"/>
      <c r="E317" s="398"/>
      <c r="F317" s="397"/>
    </row>
    <row r="318" spans="1:6" hidden="1" x14ac:dyDescent="0.25">
      <c r="A318" s="411"/>
      <c r="B318" s="424" t="str">
        <f>IFERROR(IF(A318="","",VLOOKUP(A318,'Mapped COA'!A:G,2,0)),IF(A318="","",VLOOKUP(A318,COA!A:G,2,0)))</f>
        <v/>
      </c>
      <c r="C318" s="273"/>
      <c r="D318" s="273"/>
      <c r="E318" s="398"/>
      <c r="F318" s="397"/>
    </row>
    <row r="319" spans="1:6" hidden="1" x14ac:dyDescent="0.25">
      <c r="A319" s="411"/>
      <c r="B319" s="424" t="str">
        <f>IFERROR(IF(A319="","",VLOOKUP(A319,'Mapped COA'!A:G,2,0)),IF(A319="","",VLOOKUP(A319,COA!A:G,2,0)))</f>
        <v/>
      </c>
      <c r="C319" s="273"/>
      <c r="D319" s="273"/>
      <c r="E319" s="398"/>
      <c r="F319" s="397"/>
    </row>
    <row r="320" spans="1:6" hidden="1" x14ac:dyDescent="0.25">
      <c r="A320" s="411"/>
      <c r="B320" s="424" t="str">
        <f>IFERROR(IF(A320="","",VLOOKUP(A320,'Mapped COA'!A:G,2,0)),IF(A320="","",VLOOKUP(A320,COA!A:G,2,0)))</f>
        <v/>
      </c>
      <c r="C320" s="273"/>
      <c r="D320" s="273"/>
      <c r="E320" s="398"/>
      <c r="F320" s="397"/>
    </row>
    <row r="321" spans="1:6" hidden="1" x14ac:dyDescent="0.25">
      <c r="A321" s="411"/>
      <c r="B321" s="424" t="str">
        <f>IFERROR(IF(A321="","",VLOOKUP(A321,'Mapped COA'!A:G,2,0)),IF(A321="","",VLOOKUP(A321,COA!A:G,2,0)))</f>
        <v/>
      </c>
      <c r="C321" s="273"/>
      <c r="D321" s="273"/>
      <c r="E321" s="398"/>
      <c r="F321" s="397"/>
    </row>
    <row r="322" spans="1:6" hidden="1" x14ac:dyDescent="0.25">
      <c r="A322" s="411"/>
      <c r="B322" s="424" t="str">
        <f>IFERROR(IF(A322="","",VLOOKUP(A322,'Mapped COA'!A:G,2,0)),IF(A322="","",VLOOKUP(A322,COA!A:G,2,0)))</f>
        <v/>
      </c>
      <c r="C322" s="273"/>
      <c r="D322" s="273"/>
      <c r="E322" s="398"/>
      <c r="F322" s="397"/>
    </row>
    <row r="323" spans="1:6" hidden="1" x14ac:dyDescent="0.25">
      <c r="A323" s="411"/>
      <c r="B323" s="424" t="str">
        <f>IFERROR(IF(A323="","",VLOOKUP(A323,'Mapped COA'!A:G,2,0)),IF(A323="","",VLOOKUP(A323,COA!A:G,2,0)))</f>
        <v/>
      </c>
      <c r="C323" s="273"/>
      <c r="D323" s="273"/>
      <c r="E323" s="398"/>
      <c r="F323" s="397"/>
    </row>
    <row r="324" spans="1:6" hidden="1" x14ac:dyDescent="0.25">
      <c r="A324" s="411"/>
      <c r="B324" s="424" t="str">
        <f>IFERROR(IF(A324="","",VLOOKUP(A324,'Mapped COA'!A:G,2,0)),IF(A324="","",VLOOKUP(A324,COA!A:G,2,0)))</f>
        <v/>
      </c>
      <c r="C324" s="273"/>
      <c r="D324" s="273"/>
      <c r="E324" s="398"/>
      <c r="F324" s="397"/>
    </row>
    <row r="325" spans="1:6" hidden="1" x14ac:dyDescent="0.25">
      <c r="A325" s="411"/>
      <c r="B325" s="424" t="str">
        <f>IFERROR(IF(A325="","",VLOOKUP(A325,'Mapped COA'!A:G,2,0)),IF(A325="","",VLOOKUP(A325,COA!A:G,2,0)))</f>
        <v/>
      </c>
      <c r="C325" s="273"/>
      <c r="D325" s="273"/>
      <c r="E325" s="398"/>
      <c r="F325" s="397"/>
    </row>
    <row r="326" spans="1:6" hidden="1" x14ac:dyDescent="0.25">
      <c r="A326" s="411"/>
      <c r="B326" s="424" t="str">
        <f>IFERROR(IF(A326="","",VLOOKUP(A326,'Mapped COA'!A:G,2,0)),IF(A326="","",VLOOKUP(A326,COA!A:G,2,0)))</f>
        <v/>
      </c>
      <c r="C326" s="273"/>
      <c r="D326" s="273"/>
      <c r="E326" s="398"/>
      <c r="F326" s="397"/>
    </row>
    <row r="327" spans="1:6" hidden="1" x14ac:dyDescent="0.25">
      <c r="A327" s="411"/>
      <c r="B327" s="424" t="str">
        <f>IFERROR(IF(A327="","",VLOOKUP(A327,'Mapped COA'!A:G,2,0)),IF(A327="","",VLOOKUP(A327,COA!A:G,2,0)))</f>
        <v/>
      </c>
      <c r="C327" s="273"/>
      <c r="D327" s="273"/>
      <c r="E327" s="398"/>
      <c r="F327" s="397"/>
    </row>
    <row r="328" spans="1:6" hidden="1" x14ac:dyDescent="0.25">
      <c r="A328" s="411"/>
      <c r="B328" s="424" t="str">
        <f>IFERROR(IF(A328="","",VLOOKUP(A328,'Mapped COA'!A:G,2,0)),IF(A328="","",VLOOKUP(A328,COA!A:G,2,0)))</f>
        <v/>
      </c>
      <c r="C328" s="273"/>
      <c r="D328" s="273"/>
      <c r="E328" s="398"/>
      <c r="F328" s="397"/>
    </row>
    <row r="329" spans="1:6" hidden="1" x14ac:dyDescent="0.25">
      <c r="A329" s="411"/>
      <c r="B329" s="424" t="str">
        <f>IFERROR(IF(A329="","",VLOOKUP(A329,'Mapped COA'!A:G,2,0)),IF(A329="","",VLOOKUP(A329,COA!A:G,2,0)))</f>
        <v/>
      </c>
      <c r="C329" s="273"/>
      <c r="D329" s="273"/>
      <c r="E329" s="398"/>
      <c r="F329" s="397"/>
    </row>
    <row r="330" spans="1:6" hidden="1" x14ac:dyDescent="0.25">
      <c r="A330" s="411"/>
      <c r="B330" s="424" t="str">
        <f>IFERROR(IF(A330="","",VLOOKUP(A330,'Mapped COA'!A:G,2,0)),IF(A330="","",VLOOKUP(A330,COA!A:G,2,0)))</f>
        <v/>
      </c>
      <c r="C330" s="273"/>
      <c r="D330" s="273"/>
      <c r="E330" s="398"/>
      <c r="F330" s="397"/>
    </row>
    <row r="331" spans="1:6" x14ac:dyDescent="0.25">
      <c r="A331" s="412"/>
      <c r="B331" s="425" t="str">
        <f>IFERROR(IF(A331="","",VLOOKUP(A331,'Mapped COA'!A:G,2,0)),IF(A331="","",VLOOKUP(A331,COA!A:G,2,0)))</f>
        <v/>
      </c>
      <c r="C331" s="413"/>
      <c r="D331" s="413"/>
      <c r="E331" s="414"/>
      <c r="F331" s="415"/>
    </row>
    <row r="334" spans="1:6" ht="15.75" thickBot="1" x14ac:dyDescent="0.3">
      <c r="E334" s="463" t="s">
        <v>123</v>
      </c>
      <c r="F334" s="464">
        <f>SUM(F231:F331)</f>
        <v>0</v>
      </c>
    </row>
    <row r="335" spans="1:6" ht="15.75" thickTop="1" x14ac:dyDescent="0.25"/>
  </sheetData>
  <autoFilter ref="A8:F8" xr:uid="{3FF0BE37-8D41-43EB-A220-34C6361858A3}"/>
  <mergeCells count="3">
    <mergeCell ref="A1:F1"/>
    <mergeCell ref="A2:F2"/>
    <mergeCell ref="A3:F3"/>
  </mergeCells>
  <conditionalFormatting sqref="A9:A109">
    <cfRule type="expression" dxfId="32" priority="18">
      <formula>INDIRECT("A"&amp;ROW()) = "Yes"</formula>
    </cfRule>
  </conditionalFormatting>
  <conditionalFormatting sqref="C9:F109">
    <cfRule type="expression" dxfId="31" priority="17">
      <formula>INDIRECT("A"&amp;ROW()) = "Yes"</formula>
    </cfRule>
  </conditionalFormatting>
  <conditionalFormatting sqref="A109">
    <cfRule type="expression" dxfId="30" priority="16">
      <formula>INDIRECT("A"&amp;ROW()) = "Yes"</formula>
    </cfRule>
  </conditionalFormatting>
  <conditionalFormatting sqref="B9:B109">
    <cfRule type="expression" dxfId="29" priority="15">
      <formula>INDIRECT("A"&amp;ROW()) = "Yes"</formula>
    </cfRule>
  </conditionalFormatting>
  <conditionalFormatting sqref="A6:F6">
    <cfRule type="expression" dxfId="28" priority="14">
      <formula>INDIRECT("A"&amp;ROW()) = "Yes"</formula>
    </cfRule>
  </conditionalFormatting>
  <conditionalFormatting sqref="A120:A220">
    <cfRule type="expression" dxfId="27" priority="13">
      <formula>INDIRECT("A"&amp;ROW()) = "Yes"</formula>
    </cfRule>
  </conditionalFormatting>
  <conditionalFormatting sqref="C120:F220">
    <cfRule type="expression" dxfId="26" priority="12">
      <formula>INDIRECT("A"&amp;ROW()) = "Yes"</formula>
    </cfRule>
  </conditionalFormatting>
  <conditionalFormatting sqref="A220">
    <cfRule type="expression" dxfId="25" priority="11">
      <formula>INDIRECT("A"&amp;ROW()) = "Yes"</formula>
    </cfRule>
  </conditionalFormatting>
  <conditionalFormatting sqref="B120:B220">
    <cfRule type="expression" dxfId="24" priority="10">
      <formula>INDIRECT("A"&amp;ROW()) = "Yes"</formula>
    </cfRule>
  </conditionalFormatting>
  <conditionalFormatting sqref="A231:A331">
    <cfRule type="expression" dxfId="23" priority="8">
      <formula>INDIRECT("A"&amp;ROW()) = "Yes"</formula>
    </cfRule>
  </conditionalFormatting>
  <conditionalFormatting sqref="C231:F331">
    <cfRule type="expression" dxfId="22" priority="7">
      <formula>INDIRECT("A"&amp;ROW()) = "Yes"</formula>
    </cfRule>
  </conditionalFormatting>
  <conditionalFormatting sqref="A331">
    <cfRule type="expression" dxfId="21" priority="6">
      <formula>INDIRECT("A"&amp;ROW()) = "Yes"</formula>
    </cfRule>
  </conditionalFormatting>
  <conditionalFormatting sqref="B231:B331">
    <cfRule type="expression" dxfId="20" priority="5">
      <formula>INDIRECT("A"&amp;ROW()) = "Yes"</formula>
    </cfRule>
  </conditionalFormatting>
  <conditionalFormatting sqref="A117:F117">
    <cfRule type="expression" dxfId="19" priority="2">
      <formula>INDIRECT("A"&amp;ROW()) = "Yes"</formula>
    </cfRule>
  </conditionalFormatting>
  <conditionalFormatting sqref="A228:F228">
    <cfRule type="expression" dxfId="18" priority="1">
      <formula>INDIRECT("A"&amp;ROW()) = "Yes"</formula>
    </cfRule>
  </conditionalFormatting>
  <printOptions horizontalCentered="1"/>
  <pageMargins left="0.25" right="0.25" top="0.25" bottom="0.75" header="0.3" footer="0.3"/>
  <pageSetup scale="78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279E5-A195-47F3-8039-E5C3DD27090B}">
  <sheetPr codeName="Sheet11">
    <pageSetUpPr fitToPage="1"/>
  </sheetPr>
  <dimension ref="A1:AX55"/>
  <sheetViews>
    <sheetView topLeftCell="R1" zoomScaleNormal="100" workbookViewId="0">
      <selection activeCell="P5" sqref="P5"/>
    </sheetView>
  </sheetViews>
  <sheetFormatPr defaultColWidth="9.42578125" defaultRowHeight="12.75" x14ac:dyDescent="0.2"/>
  <cols>
    <col min="1" max="1" width="17.140625" style="68" customWidth="1"/>
    <col min="2" max="2" width="10" style="68" hidden="1" customWidth="1"/>
    <col min="3" max="3" width="13.42578125" style="68" hidden="1" customWidth="1"/>
    <col min="4" max="4" width="13.42578125" style="237" hidden="1" customWidth="1"/>
    <col min="5" max="5" width="16.5703125" style="68" hidden="1" customWidth="1"/>
    <col min="6" max="6" width="16.140625" style="68" hidden="1" customWidth="1"/>
    <col min="7" max="7" width="15.5703125" style="68" hidden="1" customWidth="1"/>
    <col min="8" max="8" width="14.5703125" style="68" hidden="1" customWidth="1"/>
    <col min="9" max="9" width="15" style="68" customWidth="1"/>
    <col min="10" max="10" width="13.140625" style="68" hidden="1" customWidth="1"/>
    <col min="11" max="11" width="14.5703125" style="68" customWidth="1"/>
    <col min="12" max="12" width="6.140625" style="68" hidden="1" customWidth="1"/>
    <col min="13" max="13" width="4.42578125" style="68" hidden="1" customWidth="1"/>
    <col min="14" max="14" width="5.85546875" style="68" hidden="1" customWidth="1"/>
    <col min="15" max="15" width="14" style="68" hidden="1" customWidth="1"/>
    <col min="16" max="16" width="15.5703125" style="68" customWidth="1"/>
    <col min="17" max="17" width="13.5703125" style="68" hidden="1" customWidth="1"/>
    <col min="18" max="18" width="15.5703125" style="68" customWidth="1"/>
    <col min="19" max="19" width="7.140625" style="68" hidden="1" customWidth="1"/>
    <col min="20" max="20" width="5.42578125" style="68" hidden="1" customWidth="1"/>
    <col min="21" max="21" width="6.85546875" style="68" hidden="1" customWidth="1"/>
    <col min="22" max="22" width="15" style="68" hidden="1" customWidth="1"/>
    <col min="23" max="23" width="16.85546875" style="68" hidden="1" customWidth="1"/>
    <col min="24" max="24" width="36.5703125" style="68" customWidth="1"/>
    <col min="25" max="26" width="12.85546875" style="68" hidden="1" customWidth="1"/>
    <col min="27" max="27" width="18.42578125" style="68" customWidth="1"/>
    <col min="28" max="28" width="13.5703125" style="68" customWidth="1"/>
    <col min="29" max="29" width="9.5703125" style="68" customWidth="1"/>
    <col min="30" max="30" width="13" style="68" customWidth="1"/>
    <col min="31" max="32" width="15.5703125" style="68" hidden="1" customWidth="1"/>
    <col min="33" max="33" width="13.42578125" style="68" customWidth="1"/>
    <col min="34" max="34" width="15.140625" style="237" bestFit="1" customWidth="1"/>
    <col min="35" max="35" width="18.85546875" style="349" customWidth="1"/>
    <col min="36" max="36" width="12.140625" style="68" hidden="1" customWidth="1"/>
    <col min="37" max="39" width="8.5703125" style="68" hidden="1" customWidth="1"/>
    <col min="40" max="49" width="9.42578125" style="68"/>
    <col min="50" max="50" width="0" style="68" hidden="1" customWidth="1"/>
    <col min="51" max="16384" width="9.42578125" style="68"/>
  </cols>
  <sheetData>
    <row r="1" spans="1:50" ht="23.25" x14ac:dyDescent="0.35">
      <c r="A1" s="601" t="str">
        <f>'Input-Instructions'!B3</f>
        <v>610 West</v>
      </c>
      <c r="B1" s="602"/>
      <c r="C1" s="602"/>
      <c r="D1" s="602"/>
      <c r="E1" s="602"/>
      <c r="F1" s="602"/>
      <c r="G1" s="602"/>
      <c r="H1" s="602"/>
      <c r="I1" s="602"/>
      <c r="J1" s="602"/>
      <c r="K1" s="602"/>
      <c r="L1" s="602"/>
      <c r="M1" s="602"/>
      <c r="N1" s="601"/>
      <c r="O1" s="601"/>
      <c r="P1" s="601"/>
      <c r="Q1" s="601"/>
      <c r="R1" s="601"/>
      <c r="S1" s="601"/>
      <c r="T1" s="601"/>
      <c r="U1" s="601"/>
      <c r="V1" s="601"/>
      <c r="W1" s="601"/>
      <c r="X1" s="601"/>
      <c r="Y1" s="601"/>
      <c r="Z1" s="601"/>
      <c r="AA1" s="601"/>
      <c r="AB1" s="601"/>
      <c r="AC1" s="601"/>
      <c r="AD1" s="601"/>
      <c r="AE1" s="601"/>
      <c r="AF1" s="601"/>
      <c r="AG1" s="601"/>
      <c r="AH1" s="601"/>
      <c r="AI1" s="601"/>
      <c r="AX1" s="68" t="s">
        <v>127</v>
      </c>
    </row>
    <row r="2" spans="1:50" ht="19.5" customHeight="1" x14ac:dyDescent="0.35">
      <c r="A2" s="601" t="s">
        <v>1755</v>
      </c>
      <c r="B2" s="601"/>
      <c r="C2" s="601"/>
      <c r="D2" s="601"/>
      <c r="E2" s="601"/>
      <c r="F2" s="601"/>
      <c r="G2" s="601"/>
      <c r="H2" s="602"/>
      <c r="I2" s="602"/>
      <c r="J2" s="602"/>
      <c r="K2" s="602"/>
      <c r="L2" s="602"/>
      <c r="M2" s="602"/>
      <c r="N2" s="603"/>
      <c r="O2" s="603"/>
      <c r="P2" s="603"/>
      <c r="Q2" s="603"/>
      <c r="R2" s="603"/>
      <c r="S2" s="603"/>
      <c r="T2" s="603"/>
      <c r="U2" s="603"/>
      <c r="V2" s="603"/>
      <c r="W2" s="603"/>
      <c r="X2" s="603"/>
      <c r="Y2" s="603"/>
      <c r="Z2" s="603"/>
      <c r="AA2" s="603"/>
      <c r="AB2" s="603"/>
      <c r="AC2" s="603"/>
      <c r="AD2" s="603"/>
      <c r="AE2" s="603"/>
      <c r="AF2" s="603"/>
      <c r="AG2" s="603"/>
      <c r="AH2" s="603"/>
      <c r="AI2" s="603"/>
      <c r="AX2" s="68" t="s">
        <v>124</v>
      </c>
    </row>
    <row r="3" spans="1:50" ht="19.5" customHeight="1" x14ac:dyDescent="0.35">
      <c r="A3" s="604" t="str">
        <f>TEXT('Input-Instructions'!$B$6,"MMMM YYYY")</f>
        <v>July 2026</v>
      </c>
      <c r="B3" s="604"/>
      <c r="C3" s="604"/>
      <c r="D3" s="604"/>
      <c r="E3" s="604"/>
      <c r="F3" s="604"/>
      <c r="G3" s="604"/>
      <c r="H3" s="605"/>
      <c r="I3" s="605"/>
      <c r="J3" s="605"/>
      <c r="K3" s="605"/>
      <c r="L3" s="605"/>
      <c r="M3" s="605"/>
      <c r="N3" s="606"/>
      <c r="O3" s="606"/>
      <c r="P3" s="606"/>
      <c r="Q3" s="606"/>
      <c r="R3" s="606"/>
      <c r="S3" s="606"/>
      <c r="T3" s="606"/>
      <c r="U3" s="606"/>
      <c r="V3" s="606"/>
      <c r="W3" s="606"/>
      <c r="X3" s="606"/>
      <c r="Y3" s="606"/>
      <c r="Z3" s="606"/>
      <c r="AA3" s="606"/>
      <c r="AB3" s="606"/>
      <c r="AC3" s="606"/>
      <c r="AD3" s="606"/>
      <c r="AE3" s="606"/>
      <c r="AF3" s="606"/>
      <c r="AG3" s="606"/>
      <c r="AH3" s="606"/>
      <c r="AI3" s="606"/>
      <c r="AX3" s="68" t="s">
        <v>129</v>
      </c>
    </row>
    <row r="4" spans="1:50" ht="30.75" customHeight="1" x14ac:dyDescent="0.2">
      <c r="A4" s="607" t="s">
        <v>1756</v>
      </c>
      <c r="B4" s="608"/>
      <c r="C4" s="608"/>
      <c r="D4" s="608"/>
      <c r="E4" s="608"/>
      <c r="F4" s="608"/>
      <c r="G4" s="608"/>
      <c r="H4" s="608"/>
      <c r="I4" s="608"/>
      <c r="J4" s="608"/>
      <c r="K4" s="609"/>
      <c r="L4" s="376"/>
      <c r="M4" s="376"/>
      <c r="N4" s="69"/>
      <c r="O4" s="69"/>
      <c r="P4" s="377" t="s">
        <v>1757</v>
      </c>
      <c r="Q4" s="69"/>
      <c r="R4" s="377" t="s">
        <v>1758</v>
      </c>
      <c r="S4" s="69"/>
      <c r="T4" s="69"/>
      <c r="U4" s="69"/>
      <c r="V4" s="69"/>
      <c r="W4" s="69"/>
      <c r="X4" s="377" t="s">
        <v>1759</v>
      </c>
      <c r="Y4" s="69"/>
      <c r="Z4" s="69"/>
      <c r="AA4" s="378" t="s">
        <v>1760</v>
      </c>
      <c r="AB4" s="377" t="s">
        <v>1761</v>
      </c>
      <c r="AC4" s="610" t="s">
        <v>1762</v>
      </c>
      <c r="AD4" s="610"/>
      <c r="AE4" s="610"/>
      <c r="AF4" s="69"/>
      <c r="AG4" s="607" t="s">
        <v>1763</v>
      </c>
      <c r="AH4" s="608"/>
      <c r="AI4" s="609"/>
      <c r="AJ4" s="231"/>
      <c r="AK4" s="231"/>
      <c r="AO4" s="258"/>
      <c r="AX4" s="68" t="s">
        <v>128</v>
      </c>
    </row>
    <row r="5" spans="1:50" ht="14.85" customHeight="1" x14ac:dyDescent="0.2">
      <c r="A5" s="594" t="str">
        <f>'Input-Instructions'!$B$3</f>
        <v>610 West</v>
      </c>
      <c r="B5" s="595"/>
      <c r="C5" s="595"/>
      <c r="D5" s="595"/>
      <c r="E5" s="595"/>
      <c r="F5" s="595"/>
      <c r="G5" s="595"/>
      <c r="H5" s="595"/>
      <c r="I5" s="595"/>
      <c r="J5" s="595"/>
      <c r="K5" s="596"/>
      <c r="L5" s="350"/>
      <c r="M5" s="350"/>
      <c r="N5" s="69"/>
      <c r="O5" s="69"/>
      <c r="P5" s="347"/>
      <c r="Q5" s="69"/>
      <c r="R5" s="348"/>
      <c r="S5" s="69"/>
      <c r="T5" s="69"/>
      <c r="U5" s="69"/>
      <c r="V5" s="69"/>
      <c r="W5" s="69"/>
      <c r="X5" s="348"/>
      <c r="Y5" s="69"/>
      <c r="Z5" s="69"/>
      <c r="AA5" s="232"/>
      <c r="AB5" s="391" t="str">
        <f>'Input-Instructions'!$B$4</f>
        <v>mn610wes</v>
      </c>
      <c r="AC5" s="597"/>
      <c r="AD5" s="597"/>
      <c r="AE5" s="597"/>
      <c r="AF5" s="69"/>
      <c r="AG5" s="598"/>
      <c r="AH5" s="599"/>
      <c r="AI5" s="600"/>
      <c r="AJ5" s="233"/>
      <c r="AK5" s="233"/>
      <c r="AO5" s="258" t="s">
        <v>1764</v>
      </c>
      <c r="AX5" s="68" t="s">
        <v>131</v>
      </c>
    </row>
    <row r="6" spans="1:50" x14ac:dyDescent="0.2">
      <c r="A6" s="386"/>
      <c r="B6" s="386"/>
      <c r="C6" s="386"/>
      <c r="D6" s="387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386"/>
      <c r="R6" s="386"/>
      <c r="S6" s="386"/>
      <c r="T6" s="386"/>
      <c r="U6" s="386"/>
      <c r="V6" s="386"/>
      <c r="W6" s="386"/>
      <c r="X6" s="386"/>
      <c r="Y6" s="386"/>
      <c r="Z6" s="386"/>
      <c r="AA6" s="386"/>
      <c r="AB6" s="386"/>
      <c r="AC6" s="386"/>
      <c r="AD6" s="386"/>
      <c r="AE6" s="386"/>
      <c r="AF6" s="386"/>
      <c r="AG6" s="386"/>
      <c r="AH6" s="258"/>
      <c r="AO6" s="368" t="s">
        <v>1765</v>
      </c>
      <c r="AX6" s="68" t="s">
        <v>132</v>
      </c>
    </row>
    <row r="7" spans="1:50" s="234" customFormat="1" x14ac:dyDescent="0.2">
      <c r="C7" s="388"/>
      <c r="D7" s="389"/>
      <c r="E7" s="388"/>
      <c r="F7" s="388"/>
      <c r="G7" s="388"/>
      <c r="H7" s="388"/>
      <c r="I7" s="388"/>
      <c r="J7" s="388"/>
      <c r="K7" s="388"/>
      <c r="L7" s="388"/>
      <c r="M7" s="388"/>
      <c r="N7" s="388"/>
      <c r="O7" s="388"/>
      <c r="P7" s="388"/>
      <c r="Q7" s="388"/>
      <c r="R7" s="388"/>
      <c r="S7" s="388"/>
      <c r="T7" s="388"/>
      <c r="U7" s="388"/>
      <c r="V7" s="388"/>
      <c r="X7" s="388"/>
      <c r="Z7" s="388"/>
      <c r="AA7" s="388"/>
      <c r="AB7" s="388"/>
      <c r="AC7" s="388"/>
      <c r="AD7" s="388"/>
      <c r="AE7" s="388"/>
      <c r="AF7" s="388"/>
      <c r="AG7" s="388"/>
      <c r="AI7" s="390"/>
      <c r="AO7" s="259" t="s">
        <v>1766</v>
      </c>
      <c r="AX7" s="68" t="s">
        <v>135</v>
      </c>
    </row>
    <row r="8" spans="1:50" s="234" customFormat="1" ht="15" hidden="1" customHeight="1" x14ac:dyDescent="0.25">
      <c r="A8" s="351" t="s">
        <v>1767</v>
      </c>
      <c r="B8" s="351" t="s">
        <v>1768</v>
      </c>
      <c r="C8" s="351" t="s">
        <v>1769</v>
      </c>
      <c r="D8" s="352" t="s">
        <v>1770</v>
      </c>
      <c r="E8" s="351" t="s">
        <v>1771</v>
      </c>
      <c r="F8" s="351" t="s">
        <v>1772</v>
      </c>
      <c r="G8" s="353" t="s">
        <v>1773</v>
      </c>
      <c r="H8" s="353" t="s">
        <v>1774</v>
      </c>
      <c r="I8" s="351" t="s">
        <v>1775</v>
      </c>
      <c r="J8" s="354" t="s">
        <v>1776</v>
      </c>
      <c r="K8" s="351" t="s">
        <v>1777</v>
      </c>
      <c r="L8" s="354" t="s">
        <v>1778</v>
      </c>
      <c r="M8" s="353" t="s">
        <v>1779</v>
      </c>
      <c r="N8" s="353" t="s">
        <v>1780</v>
      </c>
      <c r="O8" s="353" t="s">
        <v>1781</v>
      </c>
      <c r="P8" s="351" t="s">
        <v>1782</v>
      </c>
      <c r="Q8" s="354" t="s">
        <v>1783</v>
      </c>
      <c r="R8" s="351" t="s">
        <v>1784</v>
      </c>
      <c r="S8" s="353" t="s">
        <v>1785</v>
      </c>
      <c r="T8" s="353" t="s">
        <v>1786</v>
      </c>
      <c r="U8" s="353" t="s">
        <v>1787</v>
      </c>
      <c r="V8" s="353" t="s">
        <v>1788</v>
      </c>
      <c r="W8" s="353" t="s">
        <v>1789</v>
      </c>
      <c r="X8" s="351" t="s">
        <v>1790</v>
      </c>
      <c r="Y8" s="353" t="s">
        <v>1791</v>
      </c>
      <c r="Z8" s="353" t="s">
        <v>1792</v>
      </c>
      <c r="AA8" s="351" t="s">
        <v>1793</v>
      </c>
      <c r="AB8" s="351" t="s">
        <v>130</v>
      </c>
      <c r="AC8" s="351" t="s">
        <v>1794</v>
      </c>
      <c r="AD8" s="351" t="s">
        <v>1795</v>
      </c>
      <c r="AE8" s="353" t="s">
        <v>1796</v>
      </c>
      <c r="AF8" s="353" t="s">
        <v>1797</v>
      </c>
      <c r="AG8" s="351" t="s">
        <v>1798</v>
      </c>
      <c r="AH8" s="351" t="s">
        <v>1799</v>
      </c>
      <c r="AI8" s="355" t="s">
        <v>277</v>
      </c>
      <c r="AJ8" s="353" t="s">
        <v>1800</v>
      </c>
      <c r="AK8" s="356" t="s">
        <v>1801</v>
      </c>
      <c r="AL8" s="356" t="s">
        <v>1802</v>
      </c>
      <c r="AM8" s="356" t="s">
        <v>1803</v>
      </c>
      <c r="AX8" s="68" t="s">
        <v>149</v>
      </c>
    </row>
    <row r="9" spans="1:50" s="359" customFormat="1" ht="51" x14ac:dyDescent="0.2">
      <c r="A9" s="357" t="s">
        <v>1804</v>
      </c>
      <c r="B9" s="357" t="s">
        <v>1805</v>
      </c>
      <c r="C9" s="357" t="s">
        <v>1806</v>
      </c>
      <c r="D9" s="358" t="s">
        <v>1807</v>
      </c>
      <c r="E9" s="357" t="s">
        <v>1808</v>
      </c>
      <c r="F9" s="357" t="s">
        <v>1809</v>
      </c>
      <c r="G9" s="357" t="s">
        <v>1773</v>
      </c>
      <c r="H9" s="357" t="s">
        <v>1774</v>
      </c>
      <c r="I9" s="357" t="s">
        <v>1810</v>
      </c>
      <c r="J9" s="357" t="s">
        <v>1776</v>
      </c>
      <c r="K9" s="357" t="s">
        <v>1811</v>
      </c>
      <c r="L9" s="357"/>
      <c r="M9" s="357"/>
      <c r="N9" s="357"/>
      <c r="O9" s="357"/>
      <c r="P9" s="357" t="s">
        <v>1812</v>
      </c>
      <c r="Q9" s="357" t="s">
        <v>1813</v>
      </c>
      <c r="R9" s="357" t="s">
        <v>1814</v>
      </c>
      <c r="S9" s="357"/>
      <c r="T9" s="357"/>
      <c r="U9" s="357"/>
      <c r="V9" s="357"/>
      <c r="W9" s="357"/>
      <c r="X9" s="357" t="s">
        <v>1815</v>
      </c>
      <c r="Y9" s="357"/>
      <c r="Z9" s="357"/>
      <c r="AA9" s="357" t="s">
        <v>1793</v>
      </c>
      <c r="AB9" s="357" t="s">
        <v>130</v>
      </c>
      <c r="AC9" s="357" t="s">
        <v>1816</v>
      </c>
      <c r="AD9" s="357" t="s">
        <v>1817</v>
      </c>
      <c r="AF9" s="357"/>
      <c r="AG9" s="357" t="s">
        <v>1818</v>
      </c>
      <c r="AH9" s="357" t="s">
        <v>1819</v>
      </c>
      <c r="AI9" s="360" t="s">
        <v>1820</v>
      </c>
      <c r="AJ9" s="359" t="s">
        <v>1800</v>
      </c>
      <c r="AK9" s="359" t="s">
        <v>1801</v>
      </c>
      <c r="AL9" s="359" t="s">
        <v>1802</v>
      </c>
      <c r="AM9" s="359" t="s">
        <v>1803</v>
      </c>
      <c r="AX9" s="68" t="s">
        <v>151</v>
      </c>
    </row>
    <row r="10" spans="1:50" x14ac:dyDescent="0.2">
      <c r="A10" s="482" t="str">
        <f t="shared" ref="A10:A52" si="0">IFERROR(IF(I10="","",$A$5),"")</f>
        <v/>
      </c>
      <c r="B10" s="361" t="str">
        <f>IFERROR(IF(I10="","",$P$5),"")</f>
        <v/>
      </c>
      <c r="C10" s="361" t="str">
        <f>IFERROR(IF(I10="","",$R$5),"")</f>
        <v/>
      </c>
      <c r="D10" s="362" t="str">
        <f>IFERROR(IF(I10="","",$X$5),"")</f>
        <v/>
      </c>
      <c r="E10" s="362" t="str">
        <f>IFERROR(IF(I10="","",$AA$5),"")</f>
        <v/>
      </c>
      <c r="F10" s="361" t="str">
        <f>IFERROR(IF(I10="","",CONCATENATE($AB$5,"-",AG10)),"")</f>
        <v/>
      </c>
      <c r="G10" s="361"/>
      <c r="H10" s="361"/>
      <c r="I10" s="483"/>
      <c r="J10" s="363"/>
      <c r="K10" s="483"/>
      <c r="L10" s="363"/>
      <c r="M10" s="363"/>
      <c r="N10" s="363"/>
      <c r="O10" s="363"/>
      <c r="P10" s="483"/>
      <c r="Q10" s="363"/>
      <c r="R10" s="483"/>
      <c r="S10" s="363"/>
      <c r="T10" s="363"/>
      <c r="U10" s="363"/>
      <c r="V10" s="363"/>
      <c r="W10" s="363"/>
      <c r="X10" s="486"/>
      <c r="Y10" s="364"/>
      <c r="Z10" s="364"/>
      <c r="AA10" s="486"/>
      <c r="AB10" s="486"/>
      <c r="AC10" s="490"/>
      <c r="AD10" s="486"/>
      <c r="AE10" s="70"/>
      <c r="AF10" s="364"/>
      <c r="AG10" s="486"/>
      <c r="AH10" s="492"/>
      <c r="AI10" s="493"/>
      <c r="AX10" s="68" t="s">
        <v>152</v>
      </c>
    </row>
    <row r="11" spans="1:50" x14ac:dyDescent="0.2">
      <c r="A11" s="482" t="str">
        <f t="shared" si="0"/>
        <v/>
      </c>
      <c r="B11" s="361" t="str">
        <f t="shared" ref="B11:B52" si="1">IFERROR(IF(I11="","",$P$5),"")</f>
        <v/>
      </c>
      <c r="C11" s="361" t="str">
        <f t="shared" ref="C11:C52" si="2">IFERROR(IF(I11="","",$R$5),"")</f>
        <v/>
      </c>
      <c r="D11" s="362" t="str">
        <f t="shared" ref="D11:D52" si="3">IFERROR(IF(I11="","",$X$5),"")</f>
        <v/>
      </c>
      <c r="E11" s="362" t="str">
        <f t="shared" ref="E11:E52" si="4">IFERROR(IF(I11="","",$AA$5),"")</f>
        <v/>
      </c>
      <c r="F11" s="361" t="str">
        <f t="shared" ref="F11:F52" si="5">IFERROR(IF(I11="","",CONCATENATE($AB$5,"-",AG11)),"")</f>
        <v/>
      </c>
      <c r="G11" s="365"/>
      <c r="H11" s="365"/>
      <c r="I11" s="484"/>
      <c r="J11" s="235"/>
      <c r="K11" s="484"/>
      <c r="L11" s="235"/>
      <c r="M11" s="235"/>
      <c r="N11" s="235"/>
      <c r="O11" s="235"/>
      <c r="P11" s="484"/>
      <c r="Q11" s="235"/>
      <c r="R11" s="484"/>
      <c r="S11" s="235"/>
      <c r="T11" s="363"/>
      <c r="U11" s="235"/>
      <c r="V11" s="235"/>
      <c r="W11" s="363"/>
      <c r="X11" s="486"/>
      <c r="Y11" s="364"/>
      <c r="Z11" s="364"/>
      <c r="AA11" s="488"/>
      <c r="AB11" s="488"/>
      <c r="AC11" s="491"/>
      <c r="AD11" s="488"/>
      <c r="AE11" s="70"/>
      <c r="AF11" s="236"/>
      <c r="AG11" s="486"/>
      <c r="AH11" s="492"/>
      <c r="AI11" s="493"/>
      <c r="AX11" s="68" t="s">
        <v>153</v>
      </c>
    </row>
    <row r="12" spans="1:50" x14ac:dyDescent="0.2">
      <c r="A12" s="482" t="str">
        <f t="shared" si="0"/>
        <v/>
      </c>
      <c r="B12" s="361" t="str">
        <f t="shared" si="1"/>
        <v/>
      </c>
      <c r="C12" s="361" t="str">
        <f t="shared" si="2"/>
        <v/>
      </c>
      <c r="D12" s="362" t="str">
        <f t="shared" si="3"/>
        <v/>
      </c>
      <c r="E12" s="362" t="str">
        <f t="shared" si="4"/>
        <v/>
      </c>
      <c r="F12" s="361" t="str">
        <f t="shared" si="5"/>
        <v/>
      </c>
      <c r="G12" s="366"/>
      <c r="H12" s="366"/>
      <c r="I12" s="485"/>
      <c r="J12" s="238"/>
      <c r="K12" s="485"/>
      <c r="L12" s="238"/>
      <c r="M12" s="238"/>
      <c r="N12" s="238"/>
      <c r="O12" s="238"/>
      <c r="P12" s="485"/>
      <c r="Q12" s="238"/>
      <c r="R12" s="485"/>
      <c r="S12" s="238"/>
      <c r="T12" s="240"/>
      <c r="U12" s="238"/>
      <c r="V12" s="238"/>
      <c r="W12" s="240"/>
      <c r="X12" s="486"/>
      <c r="Y12" s="241"/>
      <c r="Z12" s="364"/>
      <c r="AA12" s="489"/>
      <c r="AB12" s="489"/>
      <c r="AC12" s="491"/>
      <c r="AD12" s="488"/>
      <c r="AE12" s="70"/>
      <c r="AF12" s="239"/>
      <c r="AG12" s="486"/>
      <c r="AH12" s="492"/>
      <c r="AI12" s="493"/>
      <c r="AX12" s="68" t="s">
        <v>155</v>
      </c>
    </row>
    <row r="13" spans="1:50" x14ac:dyDescent="0.2">
      <c r="A13" s="482" t="str">
        <f t="shared" si="0"/>
        <v/>
      </c>
      <c r="B13" s="361" t="str">
        <f t="shared" si="1"/>
        <v/>
      </c>
      <c r="C13" s="361" t="str">
        <f t="shared" si="2"/>
        <v/>
      </c>
      <c r="D13" s="362" t="str">
        <f t="shared" si="3"/>
        <v/>
      </c>
      <c r="E13" s="362" t="str">
        <f t="shared" si="4"/>
        <v/>
      </c>
      <c r="F13" s="361" t="str">
        <f t="shared" si="5"/>
        <v/>
      </c>
      <c r="G13" s="366"/>
      <c r="H13" s="366"/>
      <c r="I13" s="485"/>
      <c r="J13" s="238"/>
      <c r="K13" s="485"/>
      <c r="L13" s="238"/>
      <c r="M13" s="238"/>
      <c r="N13" s="238"/>
      <c r="O13" s="238"/>
      <c r="P13" s="485"/>
      <c r="Q13" s="238"/>
      <c r="R13" s="485"/>
      <c r="S13" s="238"/>
      <c r="T13" s="240"/>
      <c r="U13" s="238"/>
      <c r="V13" s="238"/>
      <c r="W13" s="240"/>
      <c r="X13" s="486"/>
      <c r="Y13" s="241"/>
      <c r="Z13" s="364"/>
      <c r="AA13" s="489"/>
      <c r="AB13" s="489"/>
      <c r="AC13" s="491"/>
      <c r="AD13" s="488"/>
      <c r="AE13" s="70"/>
      <c r="AF13" s="239"/>
      <c r="AG13" s="486"/>
      <c r="AH13" s="492"/>
      <c r="AI13" s="493"/>
      <c r="AX13" s="68" t="s">
        <v>156</v>
      </c>
    </row>
    <row r="14" spans="1:50" x14ac:dyDescent="0.2">
      <c r="A14" s="482" t="str">
        <f t="shared" si="0"/>
        <v/>
      </c>
      <c r="B14" s="361" t="str">
        <f t="shared" si="1"/>
        <v/>
      </c>
      <c r="C14" s="361" t="str">
        <f t="shared" si="2"/>
        <v/>
      </c>
      <c r="D14" s="362" t="str">
        <f t="shared" si="3"/>
        <v/>
      </c>
      <c r="E14" s="362" t="str">
        <f t="shared" si="4"/>
        <v/>
      </c>
      <c r="F14" s="361" t="str">
        <f t="shared" si="5"/>
        <v/>
      </c>
      <c r="G14" s="366"/>
      <c r="H14" s="366"/>
      <c r="I14" s="485"/>
      <c r="J14" s="238"/>
      <c r="K14" s="485"/>
      <c r="L14" s="238"/>
      <c r="M14" s="238"/>
      <c r="N14" s="238"/>
      <c r="O14" s="238"/>
      <c r="P14" s="485"/>
      <c r="Q14" s="238"/>
      <c r="R14" s="485"/>
      <c r="S14" s="238"/>
      <c r="T14" s="240"/>
      <c r="U14" s="238"/>
      <c r="V14" s="238"/>
      <c r="W14" s="363"/>
      <c r="X14" s="486"/>
      <c r="Y14" s="241"/>
      <c r="Z14" s="364"/>
      <c r="AA14" s="489"/>
      <c r="AB14" s="489"/>
      <c r="AC14" s="491"/>
      <c r="AD14" s="488"/>
      <c r="AE14" s="70"/>
      <c r="AF14" s="239"/>
      <c r="AG14" s="486"/>
      <c r="AH14" s="492"/>
      <c r="AI14" s="493"/>
      <c r="AX14" s="68" t="s">
        <v>157</v>
      </c>
    </row>
    <row r="15" spans="1:50" x14ac:dyDescent="0.2">
      <c r="A15" s="482" t="str">
        <f t="shared" si="0"/>
        <v/>
      </c>
      <c r="B15" s="361" t="str">
        <f t="shared" si="1"/>
        <v/>
      </c>
      <c r="C15" s="361" t="str">
        <f t="shared" si="2"/>
        <v/>
      </c>
      <c r="D15" s="362" t="str">
        <f t="shared" si="3"/>
        <v/>
      </c>
      <c r="E15" s="362" t="str">
        <f t="shared" si="4"/>
        <v/>
      </c>
      <c r="F15" s="361" t="str">
        <f t="shared" si="5"/>
        <v/>
      </c>
      <c r="G15" s="366"/>
      <c r="H15" s="366"/>
      <c r="I15" s="485"/>
      <c r="J15" s="238"/>
      <c r="K15" s="485"/>
      <c r="L15" s="238"/>
      <c r="M15" s="238"/>
      <c r="N15" s="238"/>
      <c r="O15" s="238"/>
      <c r="P15" s="485"/>
      <c r="Q15" s="238"/>
      <c r="R15" s="485"/>
      <c r="S15" s="238"/>
      <c r="T15" s="240"/>
      <c r="U15" s="238"/>
      <c r="V15" s="238"/>
      <c r="W15" s="363"/>
      <c r="X15" s="486"/>
      <c r="Y15" s="241"/>
      <c r="Z15" s="364"/>
      <c r="AA15" s="489"/>
      <c r="AB15" s="489"/>
      <c r="AC15" s="491"/>
      <c r="AD15" s="488"/>
      <c r="AE15" s="70"/>
      <c r="AF15" s="239"/>
      <c r="AG15" s="486"/>
      <c r="AH15" s="492"/>
      <c r="AI15" s="493"/>
      <c r="AX15" s="68" t="s">
        <v>154</v>
      </c>
    </row>
    <row r="16" spans="1:50" x14ac:dyDescent="0.2">
      <c r="A16" s="482" t="str">
        <f t="shared" si="0"/>
        <v/>
      </c>
      <c r="B16" s="361" t="str">
        <f t="shared" si="1"/>
        <v/>
      </c>
      <c r="C16" s="361" t="str">
        <f t="shared" si="2"/>
        <v/>
      </c>
      <c r="D16" s="362" t="str">
        <f t="shared" si="3"/>
        <v/>
      </c>
      <c r="E16" s="362" t="str">
        <f t="shared" si="4"/>
        <v/>
      </c>
      <c r="F16" s="361" t="str">
        <f t="shared" si="5"/>
        <v/>
      </c>
      <c r="G16" s="366"/>
      <c r="H16" s="366"/>
      <c r="I16" s="485"/>
      <c r="J16" s="238"/>
      <c r="K16" s="485"/>
      <c r="L16" s="238"/>
      <c r="M16" s="238"/>
      <c r="N16" s="238"/>
      <c r="O16" s="238"/>
      <c r="P16" s="485"/>
      <c r="Q16" s="238"/>
      <c r="R16" s="485"/>
      <c r="S16" s="238"/>
      <c r="T16" s="240"/>
      <c r="U16" s="238"/>
      <c r="V16" s="238"/>
      <c r="W16" s="240"/>
      <c r="X16" s="486"/>
      <c r="Y16" s="241"/>
      <c r="Z16" s="364"/>
      <c r="AA16" s="489"/>
      <c r="AB16" s="489"/>
      <c r="AC16" s="491"/>
      <c r="AD16" s="488"/>
      <c r="AE16" s="70"/>
      <c r="AF16" s="239"/>
      <c r="AG16" s="486"/>
      <c r="AH16" s="492"/>
      <c r="AI16" s="493"/>
      <c r="AX16" s="68" t="s">
        <v>158</v>
      </c>
    </row>
    <row r="17" spans="1:50" x14ac:dyDescent="0.2">
      <c r="A17" s="482" t="str">
        <f t="shared" si="0"/>
        <v/>
      </c>
      <c r="B17" s="361" t="str">
        <f t="shared" si="1"/>
        <v/>
      </c>
      <c r="C17" s="361" t="str">
        <f t="shared" si="2"/>
        <v/>
      </c>
      <c r="D17" s="362" t="str">
        <f t="shared" si="3"/>
        <v/>
      </c>
      <c r="E17" s="362" t="str">
        <f t="shared" si="4"/>
        <v/>
      </c>
      <c r="F17" s="361" t="str">
        <f t="shared" si="5"/>
        <v/>
      </c>
      <c r="G17" s="366"/>
      <c r="H17" s="366"/>
      <c r="I17" s="485"/>
      <c r="J17" s="238"/>
      <c r="K17" s="485"/>
      <c r="L17" s="238"/>
      <c r="M17" s="238"/>
      <c r="N17" s="238"/>
      <c r="O17" s="238"/>
      <c r="P17" s="485"/>
      <c r="Q17" s="238"/>
      <c r="R17" s="485"/>
      <c r="S17" s="238"/>
      <c r="T17" s="240"/>
      <c r="U17" s="238"/>
      <c r="V17" s="238"/>
      <c r="W17" s="240"/>
      <c r="X17" s="486"/>
      <c r="Y17" s="241"/>
      <c r="Z17" s="364"/>
      <c r="AA17" s="489"/>
      <c r="AB17" s="489"/>
      <c r="AC17" s="491"/>
      <c r="AD17" s="488"/>
      <c r="AE17" s="70"/>
      <c r="AF17" s="239"/>
      <c r="AG17" s="486"/>
      <c r="AH17" s="492"/>
      <c r="AI17" s="493"/>
      <c r="AX17" s="68" t="s">
        <v>162</v>
      </c>
    </row>
    <row r="18" spans="1:50" x14ac:dyDescent="0.2">
      <c r="A18" s="482" t="str">
        <f t="shared" si="0"/>
        <v/>
      </c>
      <c r="B18" s="361" t="str">
        <f t="shared" si="1"/>
        <v/>
      </c>
      <c r="C18" s="361" t="str">
        <f t="shared" si="2"/>
        <v/>
      </c>
      <c r="D18" s="362" t="str">
        <f t="shared" si="3"/>
        <v/>
      </c>
      <c r="E18" s="362" t="str">
        <f t="shared" si="4"/>
        <v/>
      </c>
      <c r="F18" s="361" t="str">
        <f t="shared" si="5"/>
        <v/>
      </c>
      <c r="G18" s="366"/>
      <c r="H18" s="366"/>
      <c r="I18" s="485"/>
      <c r="J18" s="238"/>
      <c r="K18" s="485"/>
      <c r="L18" s="238"/>
      <c r="M18" s="238"/>
      <c r="N18" s="238"/>
      <c r="O18" s="238"/>
      <c r="P18" s="485"/>
      <c r="Q18" s="238"/>
      <c r="R18" s="485"/>
      <c r="S18" s="238"/>
      <c r="T18" s="240"/>
      <c r="U18" s="238"/>
      <c r="V18" s="238"/>
      <c r="W18" s="363"/>
      <c r="X18" s="486"/>
      <c r="Y18" s="241"/>
      <c r="Z18" s="364"/>
      <c r="AA18" s="489"/>
      <c r="AB18" s="489"/>
      <c r="AC18" s="491"/>
      <c r="AD18" s="488"/>
      <c r="AE18" s="70"/>
      <c r="AF18" s="239"/>
      <c r="AG18" s="486"/>
      <c r="AH18" s="492"/>
      <c r="AI18" s="493"/>
      <c r="AX18" s="68" t="s">
        <v>169</v>
      </c>
    </row>
    <row r="19" spans="1:50" x14ac:dyDescent="0.2">
      <c r="A19" s="482" t="str">
        <f t="shared" si="0"/>
        <v/>
      </c>
      <c r="B19" s="361" t="str">
        <f t="shared" si="1"/>
        <v/>
      </c>
      <c r="C19" s="361" t="str">
        <f t="shared" si="2"/>
        <v/>
      </c>
      <c r="D19" s="362" t="str">
        <f t="shared" si="3"/>
        <v/>
      </c>
      <c r="E19" s="362" t="str">
        <f t="shared" si="4"/>
        <v/>
      </c>
      <c r="F19" s="361" t="str">
        <f t="shared" si="5"/>
        <v/>
      </c>
      <c r="G19" s="366"/>
      <c r="H19" s="366"/>
      <c r="I19" s="485"/>
      <c r="J19" s="238"/>
      <c r="K19" s="485"/>
      <c r="L19" s="238"/>
      <c r="M19" s="238"/>
      <c r="N19" s="238"/>
      <c r="O19" s="238"/>
      <c r="P19" s="485"/>
      <c r="Q19" s="238"/>
      <c r="R19" s="485"/>
      <c r="S19" s="238"/>
      <c r="T19" s="240"/>
      <c r="U19" s="238"/>
      <c r="V19" s="238"/>
      <c r="W19" s="363"/>
      <c r="X19" s="486"/>
      <c r="Y19" s="241"/>
      <c r="Z19" s="364"/>
      <c r="AA19" s="489"/>
      <c r="AB19" s="489"/>
      <c r="AC19" s="491"/>
      <c r="AD19" s="488"/>
      <c r="AE19" s="70"/>
      <c r="AF19" s="239"/>
      <c r="AG19" s="486"/>
      <c r="AH19" s="492"/>
      <c r="AI19" s="493"/>
      <c r="AX19" s="68" t="s">
        <v>175</v>
      </c>
    </row>
    <row r="20" spans="1:50" x14ac:dyDescent="0.2">
      <c r="A20" s="482" t="str">
        <f t="shared" si="0"/>
        <v/>
      </c>
      <c r="B20" s="361" t="str">
        <f t="shared" si="1"/>
        <v/>
      </c>
      <c r="C20" s="361" t="str">
        <f t="shared" si="2"/>
        <v/>
      </c>
      <c r="D20" s="362" t="str">
        <f t="shared" si="3"/>
        <v/>
      </c>
      <c r="E20" s="362" t="str">
        <f t="shared" si="4"/>
        <v/>
      </c>
      <c r="F20" s="361" t="str">
        <f t="shared" si="5"/>
        <v/>
      </c>
      <c r="G20" s="366"/>
      <c r="H20" s="366"/>
      <c r="I20" s="485"/>
      <c r="J20" s="238"/>
      <c r="K20" s="485"/>
      <c r="L20" s="238"/>
      <c r="M20" s="238"/>
      <c r="N20" s="238"/>
      <c r="O20" s="238"/>
      <c r="P20" s="485"/>
      <c r="Q20" s="238"/>
      <c r="R20" s="485"/>
      <c r="S20" s="238"/>
      <c r="T20" s="240"/>
      <c r="U20" s="238"/>
      <c r="V20" s="238"/>
      <c r="W20" s="363"/>
      <c r="X20" s="486"/>
      <c r="Y20" s="241"/>
      <c r="Z20" s="364"/>
      <c r="AA20" s="489"/>
      <c r="AB20" s="489"/>
      <c r="AC20" s="491"/>
      <c r="AD20" s="488"/>
      <c r="AE20" s="70"/>
      <c r="AF20" s="239"/>
      <c r="AG20" s="486"/>
      <c r="AH20" s="492"/>
      <c r="AI20" s="493"/>
      <c r="AX20" s="68" t="s">
        <v>173</v>
      </c>
    </row>
    <row r="21" spans="1:50" x14ac:dyDescent="0.2">
      <c r="A21" s="482" t="str">
        <f t="shared" si="0"/>
        <v/>
      </c>
      <c r="B21" s="361" t="str">
        <f t="shared" si="1"/>
        <v/>
      </c>
      <c r="C21" s="361" t="str">
        <f t="shared" si="2"/>
        <v/>
      </c>
      <c r="D21" s="362" t="str">
        <f t="shared" si="3"/>
        <v/>
      </c>
      <c r="E21" s="362" t="str">
        <f t="shared" si="4"/>
        <v/>
      </c>
      <c r="F21" s="361" t="str">
        <f t="shared" si="5"/>
        <v/>
      </c>
      <c r="G21" s="366"/>
      <c r="H21" s="366"/>
      <c r="I21" s="485"/>
      <c r="J21" s="238"/>
      <c r="K21" s="485"/>
      <c r="L21" s="238"/>
      <c r="M21" s="238"/>
      <c r="N21" s="238"/>
      <c r="O21" s="238"/>
      <c r="P21" s="485"/>
      <c r="Q21" s="238"/>
      <c r="R21" s="485"/>
      <c r="S21" s="238"/>
      <c r="T21" s="240"/>
      <c r="U21" s="238"/>
      <c r="V21" s="238"/>
      <c r="W21" s="363"/>
      <c r="X21" s="486"/>
      <c r="Y21" s="241"/>
      <c r="Z21" s="364"/>
      <c r="AA21" s="489"/>
      <c r="AB21" s="489"/>
      <c r="AC21" s="491"/>
      <c r="AD21" s="488"/>
      <c r="AE21" s="70"/>
      <c r="AF21" s="239"/>
      <c r="AG21" s="486"/>
      <c r="AH21" s="492"/>
      <c r="AI21" s="493"/>
      <c r="AX21" s="68" t="s">
        <v>171</v>
      </c>
    </row>
    <row r="22" spans="1:50" x14ac:dyDescent="0.2">
      <c r="A22" s="482" t="str">
        <f t="shared" si="0"/>
        <v/>
      </c>
      <c r="B22" s="361" t="str">
        <f t="shared" si="1"/>
        <v/>
      </c>
      <c r="C22" s="361" t="str">
        <f t="shared" si="2"/>
        <v/>
      </c>
      <c r="D22" s="362" t="str">
        <f t="shared" si="3"/>
        <v/>
      </c>
      <c r="E22" s="362" t="str">
        <f t="shared" si="4"/>
        <v/>
      </c>
      <c r="F22" s="361" t="str">
        <f t="shared" si="5"/>
        <v/>
      </c>
      <c r="G22" s="366"/>
      <c r="H22" s="366"/>
      <c r="I22" s="485"/>
      <c r="J22" s="238"/>
      <c r="K22" s="485"/>
      <c r="L22" s="238"/>
      <c r="M22" s="238"/>
      <c r="N22" s="238"/>
      <c r="O22" s="238"/>
      <c r="P22" s="485"/>
      <c r="Q22" s="238"/>
      <c r="R22" s="485"/>
      <c r="S22" s="238"/>
      <c r="T22" s="240"/>
      <c r="U22" s="238"/>
      <c r="V22" s="238"/>
      <c r="W22" s="240"/>
      <c r="X22" s="486"/>
      <c r="Y22" s="241"/>
      <c r="Z22" s="241"/>
      <c r="AA22" s="489"/>
      <c r="AB22" s="489"/>
      <c r="AC22" s="491"/>
      <c r="AD22" s="488"/>
      <c r="AE22" s="70"/>
      <c r="AF22" s="239"/>
      <c r="AG22" s="486"/>
      <c r="AH22" s="492"/>
      <c r="AI22" s="493"/>
      <c r="AX22" s="68" t="s">
        <v>177</v>
      </c>
    </row>
    <row r="23" spans="1:50" x14ac:dyDescent="0.2">
      <c r="A23" s="482" t="str">
        <f t="shared" si="0"/>
        <v/>
      </c>
      <c r="B23" s="361" t="str">
        <f t="shared" si="1"/>
        <v/>
      </c>
      <c r="C23" s="361" t="str">
        <f t="shared" si="2"/>
        <v/>
      </c>
      <c r="D23" s="362" t="str">
        <f t="shared" si="3"/>
        <v/>
      </c>
      <c r="E23" s="362" t="str">
        <f t="shared" si="4"/>
        <v/>
      </c>
      <c r="F23" s="361" t="str">
        <f t="shared" si="5"/>
        <v/>
      </c>
      <c r="G23" s="366"/>
      <c r="H23" s="366"/>
      <c r="I23" s="485"/>
      <c r="J23" s="238"/>
      <c r="K23" s="485"/>
      <c r="L23" s="238"/>
      <c r="M23" s="238"/>
      <c r="N23" s="238"/>
      <c r="O23" s="238"/>
      <c r="P23" s="485"/>
      <c r="Q23" s="238"/>
      <c r="R23" s="485"/>
      <c r="S23" s="238"/>
      <c r="T23" s="240"/>
      <c r="U23" s="238"/>
      <c r="V23" s="238"/>
      <c r="W23" s="363"/>
      <c r="X23" s="486"/>
      <c r="Y23" s="241"/>
      <c r="Z23" s="241"/>
      <c r="AA23" s="489"/>
      <c r="AB23" s="489"/>
      <c r="AC23" s="491"/>
      <c r="AD23" s="488"/>
      <c r="AE23" s="70"/>
      <c r="AF23" s="239"/>
      <c r="AG23" s="486"/>
      <c r="AH23" s="492"/>
      <c r="AI23" s="493"/>
      <c r="AX23" s="68" t="s">
        <v>179</v>
      </c>
    </row>
    <row r="24" spans="1:50" x14ac:dyDescent="0.2">
      <c r="A24" s="482" t="str">
        <f t="shared" si="0"/>
        <v/>
      </c>
      <c r="B24" s="361" t="str">
        <f t="shared" si="1"/>
        <v/>
      </c>
      <c r="C24" s="361" t="str">
        <f t="shared" si="2"/>
        <v/>
      </c>
      <c r="D24" s="362" t="str">
        <f t="shared" si="3"/>
        <v/>
      </c>
      <c r="E24" s="362" t="str">
        <f t="shared" si="4"/>
        <v/>
      </c>
      <c r="F24" s="361" t="str">
        <f t="shared" si="5"/>
        <v/>
      </c>
      <c r="G24" s="366"/>
      <c r="H24" s="366"/>
      <c r="I24" s="485"/>
      <c r="J24" s="238"/>
      <c r="K24" s="485"/>
      <c r="L24" s="238"/>
      <c r="M24" s="238"/>
      <c r="N24" s="238"/>
      <c r="O24" s="238"/>
      <c r="P24" s="485"/>
      <c r="Q24" s="238"/>
      <c r="R24" s="485"/>
      <c r="S24" s="238"/>
      <c r="T24" s="240"/>
      <c r="U24" s="238"/>
      <c r="V24" s="238"/>
      <c r="W24" s="363"/>
      <c r="X24" s="486"/>
      <c r="Y24" s="241"/>
      <c r="Z24" s="241"/>
      <c r="AA24" s="489"/>
      <c r="AB24" s="489"/>
      <c r="AC24" s="491"/>
      <c r="AD24" s="488"/>
      <c r="AE24" s="70"/>
      <c r="AF24" s="239"/>
      <c r="AG24" s="486"/>
      <c r="AH24" s="492"/>
      <c r="AI24" s="493"/>
      <c r="AX24" s="68" t="s">
        <v>183</v>
      </c>
    </row>
    <row r="25" spans="1:50" x14ac:dyDescent="0.2">
      <c r="A25" s="482" t="str">
        <f t="shared" si="0"/>
        <v/>
      </c>
      <c r="B25" s="361" t="str">
        <f t="shared" si="1"/>
        <v/>
      </c>
      <c r="C25" s="361" t="str">
        <f t="shared" si="2"/>
        <v/>
      </c>
      <c r="D25" s="362" t="str">
        <f t="shared" si="3"/>
        <v/>
      </c>
      <c r="E25" s="362" t="str">
        <f t="shared" si="4"/>
        <v/>
      </c>
      <c r="F25" s="361" t="str">
        <f t="shared" si="5"/>
        <v/>
      </c>
      <c r="G25" s="366"/>
      <c r="H25" s="366"/>
      <c r="I25" s="485"/>
      <c r="J25" s="238"/>
      <c r="K25" s="485"/>
      <c r="L25" s="238"/>
      <c r="M25" s="238"/>
      <c r="N25" s="238"/>
      <c r="O25" s="238"/>
      <c r="P25" s="485"/>
      <c r="Q25" s="238"/>
      <c r="R25" s="485"/>
      <c r="S25" s="238"/>
      <c r="T25" s="240"/>
      <c r="U25" s="238"/>
      <c r="V25" s="238"/>
      <c r="W25" s="240"/>
      <c r="X25" s="486"/>
      <c r="Y25" s="241"/>
      <c r="Z25" s="241"/>
      <c r="AA25" s="489"/>
      <c r="AB25" s="489"/>
      <c r="AC25" s="491"/>
      <c r="AD25" s="488"/>
      <c r="AE25" s="70"/>
      <c r="AF25" s="239"/>
      <c r="AG25" s="486"/>
      <c r="AH25" s="492"/>
      <c r="AI25" s="493"/>
      <c r="AX25" s="68" t="s">
        <v>181</v>
      </c>
    </row>
    <row r="26" spans="1:50" x14ac:dyDescent="0.2">
      <c r="A26" s="482" t="str">
        <f t="shared" si="0"/>
        <v/>
      </c>
      <c r="B26" s="361" t="str">
        <f t="shared" si="1"/>
        <v/>
      </c>
      <c r="C26" s="361" t="str">
        <f t="shared" si="2"/>
        <v/>
      </c>
      <c r="D26" s="362" t="str">
        <f t="shared" si="3"/>
        <v/>
      </c>
      <c r="E26" s="362" t="str">
        <f t="shared" si="4"/>
        <v/>
      </c>
      <c r="F26" s="361" t="str">
        <f t="shared" si="5"/>
        <v/>
      </c>
      <c r="G26" s="366"/>
      <c r="H26" s="366"/>
      <c r="I26" s="485"/>
      <c r="J26" s="238"/>
      <c r="K26" s="485"/>
      <c r="L26" s="238"/>
      <c r="M26" s="238"/>
      <c r="N26" s="238"/>
      <c r="O26" s="238"/>
      <c r="P26" s="485"/>
      <c r="Q26" s="238"/>
      <c r="R26" s="485"/>
      <c r="S26" s="238"/>
      <c r="T26" s="240"/>
      <c r="U26" s="238"/>
      <c r="V26" s="238"/>
      <c r="W26" s="240"/>
      <c r="X26" s="487"/>
      <c r="Y26" s="241"/>
      <c r="Z26" s="241"/>
      <c r="AA26" s="489"/>
      <c r="AB26" s="489"/>
      <c r="AC26" s="491"/>
      <c r="AD26" s="488"/>
      <c r="AE26" s="70"/>
      <c r="AF26" s="239"/>
      <c r="AG26" s="486"/>
      <c r="AH26" s="492"/>
      <c r="AI26" s="493"/>
      <c r="AX26" s="68" t="s">
        <v>185</v>
      </c>
    </row>
    <row r="27" spans="1:50" x14ac:dyDescent="0.2">
      <c r="A27" s="482" t="str">
        <f t="shared" si="0"/>
        <v/>
      </c>
      <c r="B27" s="361" t="str">
        <f t="shared" si="1"/>
        <v/>
      </c>
      <c r="C27" s="361" t="str">
        <f t="shared" si="2"/>
        <v/>
      </c>
      <c r="D27" s="362" t="str">
        <f t="shared" si="3"/>
        <v/>
      </c>
      <c r="E27" s="362" t="str">
        <f t="shared" si="4"/>
        <v/>
      </c>
      <c r="F27" s="361" t="str">
        <f t="shared" si="5"/>
        <v/>
      </c>
      <c r="G27" s="366"/>
      <c r="H27" s="366"/>
      <c r="I27" s="485"/>
      <c r="J27" s="238"/>
      <c r="K27" s="485"/>
      <c r="L27" s="238"/>
      <c r="M27" s="238"/>
      <c r="N27" s="238"/>
      <c r="O27" s="238"/>
      <c r="P27" s="485"/>
      <c r="Q27" s="238"/>
      <c r="R27" s="485"/>
      <c r="S27" s="238"/>
      <c r="T27" s="240"/>
      <c r="U27" s="238"/>
      <c r="V27" s="238"/>
      <c r="W27" s="240"/>
      <c r="X27" s="487"/>
      <c r="Y27" s="241"/>
      <c r="Z27" s="241"/>
      <c r="AA27" s="489"/>
      <c r="AB27" s="489"/>
      <c r="AC27" s="491"/>
      <c r="AD27" s="488"/>
      <c r="AE27" s="70"/>
      <c r="AF27" s="239"/>
      <c r="AG27" s="486"/>
      <c r="AH27" s="492"/>
      <c r="AI27" s="493"/>
      <c r="AX27" s="68" t="s">
        <v>208</v>
      </c>
    </row>
    <row r="28" spans="1:50" x14ac:dyDescent="0.2">
      <c r="A28" s="482" t="str">
        <f t="shared" si="0"/>
        <v/>
      </c>
      <c r="B28" s="361" t="str">
        <f t="shared" si="1"/>
        <v/>
      </c>
      <c r="C28" s="361" t="str">
        <f t="shared" si="2"/>
        <v/>
      </c>
      <c r="D28" s="362" t="str">
        <f t="shared" si="3"/>
        <v/>
      </c>
      <c r="E28" s="362" t="str">
        <f t="shared" si="4"/>
        <v/>
      </c>
      <c r="F28" s="361" t="str">
        <f t="shared" si="5"/>
        <v/>
      </c>
      <c r="G28" s="366"/>
      <c r="H28" s="366"/>
      <c r="I28" s="485"/>
      <c r="J28" s="238"/>
      <c r="K28" s="485"/>
      <c r="L28" s="238"/>
      <c r="M28" s="238"/>
      <c r="N28" s="238"/>
      <c r="O28" s="238"/>
      <c r="P28" s="485"/>
      <c r="Q28" s="238"/>
      <c r="R28" s="485"/>
      <c r="S28" s="238"/>
      <c r="T28" s="240"/>
      <c r="U28" s="238"/>
      <c r="V28" s="238"/>
      <c r="W28" s="240"/>
      <c r="X28" s="486"/>
      <c r="Y28" s="241"/>
      <c r="Z28" s="241"/>
      <c r="AA28" s="489"/>
      <c r="AB28" s="489"/>
      <c r="AC28" s="491"/>
      <c r="AD28" s="488"/>
      <c r="AE28" s="70"/>
      <c r="AF28" s="239"/>
      <c r="AG28" s="486"/>
      <c r="AH28" s="492"/>
      <c r="AI28" s="493"/>
      <c r="AX28" s="68" t="s">
        <v>219</v>
      </c>
    </row>
    <row r="29" spans="1:50" x14ac:dyDescent="0.2">
      <c r="A29" s="482" t="str">
        <f t="shared" si="0"/>
        <v/>
      </c>
      <c r="B29" s="361" t="str">
        <f t="shared" si="1"/>
        <v/>
      </c>
      <c r="C29" s="361" t="str">
        <f t="shared" si="2"/>
        <v/>
      </c>
      <c r="D29" s="362" t="str">
        <f t="shared" si="3"/>
        <v/>
      </c>
      <c r="E29" s="362" t="str">
        <f t="shared" si="4"/>
        <v/>
      </c>
      <c r="F29" s="361" t="str">
        <f t="shared" si="5"/>
        <v/>
      </c>
      <c r="G29" s="366"/>
      <c r="H29" s="366"/>
      <c r="I29" s="485"/>
      <c r="J29" s="238"/>
      <c r="K29" s="485"/>
      <c r="L29" s="238"/>
      <c r="M29" s="238"/>
      <c r="N29" s="238"/>
      <c r="O29" s="238"/>
      <c r="P29" s="485"/>
      <c r="Q29" s="238"/>
      <c r="R29" s="485"/>
      <c r="S29" s="238"/>
      <c r="T29" s="240"/>
      <c r="U29" s="238"/>
      <c r="V29" s="238"/>
      <c r="W29" s="240"/>
      <c r="X29" s="486"/>
      <c r="Y29" s="241"/>
      <c r="Z29" s="241"/>
      <c r="AA29" s="489"/>
      <c r="AB29" s="489"/>
      <c r="AC29" s="491"/>
      <c r="AD29" s="488"/>
      <c r="AE29" s="70"/>
      <c r="AF29" s="239"/>
      <c r="AG29" s="486"/>
      <c r="AH29" s="492"/>
      <c r="AI29" s="493"/>
      <c r="AX29" s="68" t="s">
        <v>211</v>
      </c>
    </row>
    <row r="30" spans="1:50" x14ac:dyDescent="0.2">
      <c r="A30" s="482" t="str">
        <f t="shared" si="0"/>
        <v/>
      </c>
      <c r="B30" s="361" t="str">
        <f t="shared" si="1"/>
        <v/>
      </c>
      <c r="C30" s="361" t="str">
        <f t="shared" si="2"/>
        <v/>
      </c>
      <c r="D30" s="362" t="str">
        <f t="shared" si="3"/>
        <v/>
      </c>
      <c r="E30" s="362" t="str">
        <f t="shared" si="4"/>
        <v/>
      </c>
      <c r="F30" s="361" t="str">
        <f t="shared" si="5"/>
        <v/>
      </c>
      <c r="G30" s="366"/>
      <c r="H30" s="366"/>
      <c r="I30" s="485"/>
      <c r="J30" s="238"/>
      <c r="K30" s="485"/>
      <c r="L30" s="238"/>
      <c r="M30" s="238"/>
      <c r="N30" s="238"/>
      <c r="O30" s="238"/>
      <c r="P30" s="485"/>
      <c r="Q30" s="238"/>
      <c r="R30" s="485"/>
      <c r="S30" s="238"/>
      <c r="T30" s="240"/>
      <c r="U30" s="238"/>
      <c r="V30" s="238"/>
      <c r="W30" s="240"/>
      <c r="X30" s="486"/>
      <c r="Y30" s="241"/>
      <c r="Z30" s="241"/>
      <c r="AA30" s="489"/>
      <c r="AB30" s="489"/>
      <c r="AC30" s="491"/>
      <c r="AD30" s="488"/>
      <c r="AE30" s="70"/>
      <c r="AF30" s="239"/>
      <c r="AG30" s="486"/>
      <c r="AH30" s="492"/>
      <c r="AI30" s="493"/>
      <c r="AX30" s="68" t="s">
        <v>214</v>
      </c>
    </row>
    <row r="31" spans="1:50" x14ac:dyDescent="0.2">
      <c r="A31" s="482" t="str">
        <f t="shared" si="0"/>
        <v/>
      </c>
      <c r="B31" s="361" t="str">
        <f t="shared" si="1"/>
        <v/>
      </c>
      <c r="C31" s="361" t="str">
        <f t="shared" si="2"/>
        <v/>
      </c>
      <c r="D31" s="362" t="str">
        <f t="shared" si="3"/>
        <v/>
      </c>
      <c r="E31" s="362" t="str">
        <f t="shared" si="4"/>
        <v/>
      </c>
      <c r="F31" s="361" t="str">
        <f t="shared" si="5"/>
        <v/>
      </c>
      <c r="G31" s="366"/>
      <c r="H31" s="366"/>
      <c r="I31" s="485"/>
      <c r="J31" s="238"/>
      <c r="K31" s="485"/>
      <c r="L31" s="238"/>
      <c r="M31" s="238"/>
      <c r="N31" s="238"/>
      <c r="O31" s="238"/>
      <c r="P31" s="485"/>
      <c r="Q31" s="238"/>
      <c r="R31" s="485"/>
      <c r="S31" s="238"/>
      <c r="T31" s="240"/>
      <c r="U31" s="238"/>
      <c r="V31" s="238"/>
      <c r="W31" s="240"/>
      <c r="X31" s="487"/>
      <c r="Y31" s="241"/>
      <c r="Z31" s="241"/>
      <c r="AA31" s="489"/>
      <c r="AB31" s="489"/>
      <c r="AC31" s="491"/>
      <c r="AD31" s="488"/>
      <c r="AE31" s="70"/>
      <c r="AF31" s="239"/>
      <c r="AG31" s="486"/>
      <c r="AH31" s="492"/>
      <c r="AI31" s="493"/>
      <c r="AX31" s="68" t="s">
        <v>217</v>
      </c>
    </row>
    <row r="32" spans="1:50" x14ac:dyDescent="0.2">
      <c r="A32" s="482" t="str">
        <f t="shared" si="0"/>
        <v/>
      </c>
      <c r="B32" s="361" t="str">
        <f t="shared" si="1"/>
        <v/>
      </c>
      <c r="C32" s="361" t="str">
        <f t="shared" si="2"/>
        <v/>
      </c>
      <c r="D32" s="362" t="str">
        <f t="shared" si="3"/>
        <v/>
      </c>
      <c r="E32" s="362" t="str">
        <f t="shared" si="4"/>
        <v/>
      </c>
      <c r="F32" s="361" t="str">
        <f t="shared" si="5"/>
        <v/>
      </c>
      <c r="G32" s="366"/>
      <c r="H32" s="366"/>
      <c r="I32" s="485"/>
      <c r="J32" s="238"/>
      <c r="K32" s="485"/>
      <c r="L32" s="238"/>
      <c r="M32" s="238"/>
      <c r="N32" s="238"/>
      <c r="O32" s="238"/>
      <c r="P32" s="485"/>
      <c r="Q32" s="238"/>
      <c r="R32" s="485"/>
      <c r="S32" s="238"/>
      <c r="T32" s="240"/>
      <c r="U32" s="238"/>
      <c r="V32" s="238"/>
      <c r="W32" s="240"/>
      <c r="X32" s="486"/>
      <c r="Y32" s="241"/>
      <c r="Z32" s="241"/>
      <c r="AA32" s="489"/>
      <c r="AB32" s="489"/>
      <c r="AC32" s="491"/>
      <c r="AD32" s="488"/>
      <c r="AE32" s="70"/>
      <c r="AF32" s="239"/>
      <c r="AG32" s="486"/>
      <c r="AH32" s="492"/>
      <c r="AI32" s="493"/>
      <c r="AX32" s="68" t="s">
        <v>220</v>
      </c>
    </row>
    <row r="33" spans="1:50" x14ac:dyDescent="0.2">
      <c r="A33" s="482" t="str">
        <f t="shared" si="0"/>
        <v/>
      </c>
      <c r="B33" s="361" t="str">
        <f t="shared" si="1"/>
        <v/>
      </c>
      <c r="C33" s="361" t="str">
        <f t="shared" si="2"/>
        <v/>
      </c>
      <c r="D33" s="362" t="str">
        <f t="shared" si="3"/>
        <v/>
      </c>
      <c r="E33" s="362" t="str">
        <f t="shared" si="4"/>
        <v/>
      </c>
      <c r="F33" s="361" t="str">
        <f t="shared" si="5"/>
        <v/>
      </c>
      <c r="G33" s="366"/>
      <c r="H33" s="366"/>
      <c r="I33" s="485"/>
      <c r="J33" s="238"/>
      <c r="K33" s="485"/>
      <c r="L33" s="238"/>
      <c r="M33" s="238"/>
      <c r="N33" s="238"/>
      <c r="O33" s="238"/>
      <c r="P33" s="485"/>
      <c r="Q33" s="238"/>
      <c r="R33" s="485"/>
      <c r="S33" s="238"/>
      <c r="T33" s="240"/>
      <c r="U33" s="238"/>
      <c r="V33" s="238"/>
      <c r="W33" s="240"/>
      <c r="X33" s="486"/>
      <c r="Y33" s="241"/>
      <c r="Z33" s="241"/>
      <c r="AA33" s="489"/>
      <c r="AB33" s="489"/>
      <c r="AC33" s="491"/>
      <c r="AD33" s="488"/>
      <c r="AE33" s="70"/>
      <c r="AF33" s="239"/>
      <c r="AG33" s="486"/>
      <c r="AH33" s="492"/>
      <c r="AI33" s="493"/>
      <c r="AX33" s="68" t="s">
        <v>187</v>
      </c>
    </row>
    <row r="34" spans="1:50" x14ac:dyDescent="0.2">
      <c r="A34" s="482" t="str">
        <f t="shared" si="0"/>
        <v/>
      </c>
      <c r="B34" s="361" t="str">
        <f t="shared" si="1"/>
        <v/>
      </c>
      <c r="C34" s="361" t="str">
        <f t="shared" si="2"/>
        <v/>
      </c>
      <c r="D34" s="362" t="str">
        <f t="shared" si="3"/>
        <v/>
      </c>
      <c r="E34" s="362" t="str">
        <f t="shared" si="4"/>
        <v/>
      </c>
      <c r="F34" s="361" t="str">
        <f t="shared" si="5"/>
        <v/>
      </c>
      <c r="G34" s="366"/>
      <c r="H34" s="366"/>
      <c r="I34" s="485"/>
      <c r="J34" s="238"/>
      <c r="K34" s="485"/>
      <c r="L34" s="238"/>
      <c r="M34" s="238"/>
      <c r="N34" s="238"/>
      <c r="O34" s="238"/>
      <c r="P34" s="485"/>
      <c r="Q34" s="238"/>
      <c r="R34" s="485"/>
      <c r="S34" s="238"/>
      <c r="T34" s="240"/>
      <c r="U34" s="238"/>
      <c r="V34" s="238"/>
      <c r="W34" s="240"/>
      <c r="X34" s="486"/>
      <c r="Y34" s="241"/>
      <c r="Z34" s="241"/>
      <c r="AA34" s="489"/>
      <c r="AB34" s="489"/>
      <c r="AC34" s="491"/>
      <c r="AD34" s="488"/>
      <c r="AE34" s="70"/>
      <c r="AF34" s="239"/>
      <c r="AG34" s="486"/>
      <c r="AH34" s="492"/>
      <c r="AI34" s="493"/>
      <c r="AX34" s="68" t="s">
        <v>202</v>
      </c>
    </row>
    <row r="35" spans="1:50" x14ac:dyDescent="0.2">
      <c r="A35" s="482" t="str">
        <f t="shared" si="0"/>
        <v/>
      </c>
      <c r="B35" s="361" t="str">
        <f t="shared" si="1"/>
        <v/>
      </c>
      <c r="C35" s="361" t="str">
        <f t="shared" si="2"/>
        <v/>
      </c>
      <c r="D35" s="362" t="str">
        <f t="shared" si="3"/>
        <v/>
      </c>
      <c r="E35" s="362" t="str">
        <f t="shared" si="4"/>
        <v/>
      </c>
      <c r="F35" s="361" t="str">
        <f t="shared" si="5"/>
        <v/>
      </c>
      <c r="G35" s="366"/>
      <c r="H35" s="366"/>
      <c r="I35" s="485"/>
      <c r="J35" s="238"/>
      <c r="K35" s="485"/>
      <c r="L35" s="238"/>
      <c r="M35" s="238"/>
      <c r="N35" s="238"/>
      <c r="O35" s="238"/>
      <c r="P35" s="485"/>
      <c r="Q35" s="238"/>
      <c r="R35" s="485"/>
      <c r="S35" s="238"/>
      <c r="T35" s="240"/>
      <c r="U35" s="238"/>
      <c r="V35" s="238"/>
      <c r="W35" s="240"/>
      <c r="X35" s="486"/>
      <c r="Y35" s="241"/>
      <c r="Z35" s="241"/>
      <c r="AA35" s="489"/>
      <c r="AB35" s="489"/>
      <c r="AC35" s="491"/>
      <c r="AD35" s="488"/>
      <c r="AE35" s="70"/>
      <c r="AF35" s="239"/>
      <c r="AG35" s="486"/>
      <c r="AH35" s="492"/>
      <c r="AI35" s="493"/>
      <c r="AX35" s="68" t="s">
        <v>221</v>
      </c>
    </row>
    <row r="36" spans="1:50" x14ac:dyDescent="0.2">
      <c r="A36" s="482" t="str">
        <f t="shared" si="0"/>
        <v/>
      </c>
      <c r="B36" s="361" t="str">
        <f t="shared" si="1"/>
        <v/>
      </c>
      <c r="C36" s="361" t="str">
        <f t="shared" si="2"/>
        <v/>
      </c>
      <c r="D36" s="362" t="str">
        <f t="shared" si="3"/>
        <v/>
      </c>
      <c r="E36" s="362" t="str">
        <f t="shared" si="4"/>
        <v/>
      </c>
      <c r="F36" s="361" t="str">
        <f t="shared" si="5"/>
        <v/>
      </c>
      <c r="G36" s="366"/>
      <c r="H36" s="366"/>
      <c r="I36" s="485"/>
      <c r="J36" s="238"/>
      <c r="K36" s="485"/>
      <c r="L36" s="238"/>
      <c r="M36" s="238"/>
      <c r="N36" s="238"/>
      <c r="O36" s="238"/>
      <c r="P36" s="485"/>
      <c r="Q36" s="238"/>
      <c r="R36" s="485"/>
      <c r="S36" s="238"/>
      <c r="T36" s="240"/>
      <c r="U36" s="238"/>
      <c r="V36" s="238"/>
      <c r="W36" s="240"/>
      <c r="X36" s="486"/>
      <c r="Y36" s="241"/>
      <c r="Z36" s="241"/>
      <c r="AA36" s="489"/>
      <c r="AB36" s="489"/>
      <c r="AC36" s="491"/>
      <c r="AD36" s="488"/>
      <c r="AE36" s="70"/>
      <c r="AF36" s="239"/>
      <c r="AG36" s="486"/>
      <c r="AH36" s="492"/>
      <c r="AI36" s="493"/>
      <c r="AX36" s="68" t="s">
        <v>222</v>
      </c>
    </row>
    <row r="37" spans="1:50" x14ac:dyDescent="0.2">
      <c r="A37" s="482" t="str">
        <f t="shared" si="0"/>
        <v/>
      </c>
      <c r="B37" s="361" t="str">
        <f t="shared" si="1"/>
        <v/>
      </c>
      <c r="C37" s="361" t="str">
        <f t="shared" si="2"/>
        <v/>
      </c>
      <c r="D37" s="362" t="str">
        <f t="shared" si="3"/>
        <v/>
      </c>
      <c r="E37" s="362" t="str">
        <f t="shared" si="4"/>
        <v/>
      </c>
      <c r="F37" s="361" t="str">
        <f t="shared" si="5"/>
        <v/>
      </c>
      <c r="G37" s="366"/>
      <c r="H37" s="366"/>
      <c r="I37" s="485"/>
      <c r="J37" s="238"/>
      <c r="K37" s="485"/>
      <c r="L37" s="238"/>
      <c r="M37" s="238"/>
      <c r="N37" s="238"/>
      <c r="O37" s="238"/>
      <c r="P37" s="485"/>
      <c r="Q37" s="238"/>
      <c r="R37" s="485"/>
      <c r="S37" s="238"/>
      <c r="T37" s="240"/>
      <c r="U37" s="238"/>
      <c r="V37" s="238"/>
      <c r="W37" s="240"/>
      <c r="X37" s="486"/>
      <c r="Y37" s="241"/>
      <c r="Z37" s="241"/>
      <c r="AA37" s="489"/>
      <c r="AB37" s="489"/>
      <c r="AC37" s="491"/>
      <c r="AD37" s="488"/>
      <c r="AE37" s="70"/>
      <c r="AF37" s="239"/>
      <c r="AG37" s="486"/>
      <c r="AH37" s="492"/>
      <c r="AI37" s="493"/>
      <c r="AX37" s="68" t="s">
        <v>223</v>
      </c>
    </row>
    <row r="38" spans="1:50" x14ac:dyDescent="0.2">
      <c r="A38" s="482" t="str">
        <f t="shared" si="0"/>
        <v/>
      </c>
      <c r="B38" s="361" t="str">
        <f t="shared" si="1"/>
        <v/>
      </c>
      <c r="C38" s="361" t="str">
        <f t="shared" si="2"/>
        <v/>
      </c>
      <c r="D38" s="362" t="str">
        <f t="shared" si="3"/>
        <v/>
      </c>
      <c r="E38" s="362" t="str">
        <f t="shared" si="4"/>
        <v/>
      </c>
      <c r="F38" s="361" t="str">
        <f t="shared" si="5"/>
        <v/>
      </c>
      <c r="G38" s="366"/>
      <c r="H38" s="366"/>
      <c r="I38" s="485"/>
      <c r="J38" s="238"/>
      <c r="K38" s="485"/>
      <c r="L38" s="238"/>
      <c r="M38" s="238"/>
      <c r="N38" s="238"/>
      <c r="O38" s="238"/>
      <c r="P38" s="485"/>
      <c r="Q38" s="238"/>
      <c r="R38" s="485"/>
      <c r="S38" s="238"/>
      <c r="T38" s="240"/>
      <c r="U38" s="238"/>
      <c r="V38" s="238"/>
      <c r="W38" s="240"/>
      <c r="X38" s="486"/>
      <c r="Y38" s="241"/>
      <c r="Z38" s="241"/>
      <c r="AA38" s="489"/>
      <c r="AB38" s="489"/>
      <c r="AC38" s="491"/>
      <c r="AD38" s="488"/>
      <c r="AE38" s="70"/>
      <c r="AF38" s="239"/>
      <c r="AG38" s="486"/>
      <c r="AH38" s="492"/>
      <c r="AI38" s="493"/>
      <c r="AX38" s="68" t="s">
        <v>224</v>
      </c>
    </row>
    <row r="39" spans="1:50" x14ac:dyDescent="0.2">
      <c r="A39" s="482" t="str">
        <f t="shared" si="0"/>
        <v/>
      </c>
      <c r="B39" s="361" t="str">
        <f t="shared" si="1"/>
        <v/>
      </c>
      <c r="C39" s="361" t="str">
        <f t="shared" si="2"/>
        <v/>
      </c>
      <c r="D39" s="362" t="str">
        <f t="shared" si="3"/>
        <v/>
      </c>
      <c r="E39" s="362" t="str">
        <f t="shared" si="4"/>
        <v/>
      </c>
      <c r="F39" s="361" t="str">
        <f t="shared" si="5"/>
        <v/>
      </c>
      <c r="G39" s="366"/>
      <c r="H39" s="366"/>
      <c r="I39" s="485"/>
      <c r="J39" s="238"/>
      <c r="K39" s="485"/>
      <c r="L39" s="238"/>
      <c r="M39" s="238"/>
      <c r="N39" s="238"/>
      <c r="O39" s="238"/>
      <c r="P39" s="485"/>
      <c r="Q39" s="238"/>
      <c r="R39" s="485"/>
      <c r="S39" s="238"/>
      <c r="T39" s="240"/>
      <c r="U39" s="238"/>
      <c r="V39" s="238"/>
      <c r="W39" s="240"/>
      <c r="X39" s="486"/>
      <c r="Y39" s="241"/>
      <c r="Z39" s="241"/>
      <c r="AA39" s="489"/>
      <c r="AB39" s="489"/>
      <c r="AC39" s="491"/>
      <c r="AD39" s="488"/>
      <c r="AE39" s="70"/>
      <c r="AF39" s="239"/>
      <c r="AG39" s="486"/>
      <c r="AH39" s="492"/>
      <c r="AI39" s="493"/>
      <c r="AX39" s="68" t="s">
        <v>225</v>
      </c>
    </row>
    <row r="40" spans="1:50" x14ac:dyDescent="0.2">
      <c r="A40" s="482" t="str">
        <f t="shared" si="0"/>
        <v/>
      </c>
      <c r="B40" s="361" t="str">
        <f t="shared" si="1"/>
        <v/>
      </c>
      <c r="C40" s="361" t="str">
        <f t="shared" si="2"/>
        <v/>
      </c>
      <c r="D40" s="362" t="str">
        <f t="shared" si="3"/>
        <v/>
      </c>
      <c r="E40" s="362" t="str">
        <f t="shared" si="4"/>
        <v/>
      </c>
      <c r="F40" s="361" t="str">
        <f t="shared" si="5"/>
        <v/>
      </c>
      <c r="G40" s="366"/>
      <c r="H40" s="366"/>
      <c r="I40" s="485"/>
      <c r="J40" s="238"/>
      <c r="K40" s="485"/>
      <c r="L40" s="238"/>
      <c r="M40" s="238"/>
      <c r="N40" s="238"/>
      <c r="O40" s="238"/>
      <c r="P40" s="485"/>
      <c r="Q40" s="238"/>
      <c r="R40" s="485"/>
      <c r="S40" s="238"/>
      <c r="T40" s="240"/>
      <c r="U40" s="238"/>
      <c r="V40" s="238"/>
      <c r="W40" s="240"/>
      <c r="X40" s="486"/>
      <c r="Y40" s="241"/>
      <c r="Z40" s="241"/>
      <c r="AA40" s="489"/>
      <c r="AB40" s="489"/>
      <c r="AC40" s="491"/>
      <c r="AD40" s="488"/>
      <c r="AE40" s="70"/>
      <c r="AF40" s="239"/>
      <c r="AG40" s="486"/>
      <c r="AH40" s="492"/>
      <c r="AI40" s="493"/>
      <c r="AX40" s="68" t="s">
        <v>226</v>
      </c>
    </row>
    <row r="41" spans="1:50" x14ac:dyDescent="0.2">
      <c r="A41" s="482" t="str">
        <f t="shared" si="0"/>
        <v/>
      </c>
      <c r="B41" s="361" t="str">
        <f t="shared" si="1"/>
        <v/>
      </c>
      <c r="C41" s="361" t="str">
        <f t="shared" si="2"/>
        <v/>
      </c>
      <c r="D41" s="362" t="str">
        <f t="shared" si="3"/>
        <v/>
      </c>
      <c r="E41" s="362" t="str">
        <f t="shared" si="4"/>
        <v/>
      </c>
      <c r="F41" s="361" t="str">
        <f t="shared" si="5"/>
        <v/>
      </c>
      <c r="G41" s="366"/>
      <c r="H41" s="366"/>
      <c r="I41" s="485"/>
      <c r="J41" s="238"/>
      <c r="K41" s="485"/>
      <c r="L41" s="238"/>
      <c r="M41" s="238"/>
      <c r="N41" s="238"/>
      <c r="O41" s="238"/>
      <c r="P41" s="485"/>
      <c r="Q41" s="238"/>
      <c r="R41" s="485"/>
      <c r="S41" s="238"/>
      <c r="T41" s="240"/>
      <c r="U41" s="238"/>
      <c r="V41" s="238"/>
      <c r="W41" s="240"/>
      <c r="X41" s="486"/>
      <c r="Y41" s="241"/>
      <c r="Z41" s="241"/>
      <c r="AA41" s="489"/>
      <c r="AB41" s="489"/>
      <c r="AC41" s="491"/>
      <c r="AD41" s="488"/>
      <c r="AE41" s="70"/>
      <c r="AF41" s="239"/>
      <c r="AG41" s="486"/>
      <c r="AH41" s="492"/>
      <c r="AI41" s="493"/>
      <c r="AX41" s="68" t="s">
        <v>1821</v>
      </c>
    </row>
    <row r="42" spans="1:50" x14ac:dyDescent="0.2">
      <c r="A42" s="482" t="str">
        <f t="shared" si="0"/>
        <v/>
      </c>
      <c r="B42" s="361" t="str">
        <f t="shared" si="1"/>
        <v/>
      </c>
      <c r="C42" s="361" t="str">
        <f t="shared" si="2"/>
        <v/>
      </c>
      <c r="D42" s="362" t="str">
        <f t="shared" si="3"/>
        <v/>
      </c>
      <c r="E42" s="362" t="str">
        <f t="shared" si="4"/>
        <v/>
      </c>
      <c r="F42" s="361" t="str">
        <f t="shared" si="5"/>
        <v/>
      </c>
      <c r="G42" s="366"/>
      <c r="H42" s="366"/>
      <c r="I42" s="485"/>
      <c r="J42" s="238"/>
      <c r="K42" s="485"/>
      <c r="L42" s="238"/>
      <c r="M42" s="238"/>
      <c r="N42" s="238"/>
      <c r="O42" s="238"/>
      <c r="P42" s="485"/>
      <c r="Q42" s="238"/>
      <c r="R42" s="485"/>
      <c r="S42" s="238"/>
      <c r="T42" s="240"/>
      <c r="U42" s="238"/>
      <c r="V42" s="238"/>
      <c r="W42" s="240"/>
      <c r="X42" s="486"/>
      <c r="Y42" s="241"/>
      <c r="Z42" s="241"/>
      <c r="AA42" s="489"/>
      <c r="AB42" s="489"/>
      <c r="AC42" s="491"/>
      <c r="AD42" s="488"/>
      <c r="AE42" s="70"/>
      <c r="AF42" s="239"/>
      <c r="AG42" s="486"/>
      <c r="AH42" s="492"/>
      <c r="AI42" s="493"/>
      <c r="AX42" s="68" t="s">
        <v>227</v>
      </c>
    </row>
    <row r="43" spans="1:50" x14ac:dyDescent="0.2">
      <c r="A43" s="482" t="str">
        <f t="shared" si="0"/>
        <v/>
      </c>
      <c r="B43" s="361" t="str">
        <f t="shared" si="1"/>
        <v/>
      </c>
      <c r="C43" s="361" t="str">
        <f t="shared" si="2"/>
        <v/>
      </c>
      <c r="D43" s="362" t="str">
        <f t="shared" si="3"/>
        <v/>
      </c>
      <c r="E43" s="362" t="str">
        <f t="shared" si="4"/>
        <v/>
      </c>
      <c r="F43" s="361" t="str">
        <f t="shared" si="5"/>
        <v/>
      </c>
      <c r="G43" s="366"/>
      <c r="H43" s="366"/>
      <c r="I43" s="485"/>
      <c r="J43" s="238"/>
      <c r="K43" s="485"/>
      <c r="L43" s="238"/>
      <c r="M43" s="238"/>
      <c r="N43" s="238"/>
      <c r="O43" s="238"/>
      <c r="P43" s="485"/>
      <c r="Q43" s="238"/>
      <c r="R43" s="485"/>
      <c r="S43" s="238"/>
      <c r="T43" s="240"/>
      <c r="U43" s="238"/>
      <c r="V43" s="238"/>
      <c r="W43" s="240"/>
      <c r="X43" s="486"/>
      <c r="Y43" s="241"/>
      <c r="Z43" s="241"/>
      <c r="AA43" s="489"/>
      <c r="AB43" s="489"/>
      <c r="AC43" s="491"/>
      <c r="AD43" s="488"/>
      <c r="AE43" s="70"/>
      <c r="AF43" s="239"/>
      <c r="AG43" s="486"/>
      <c r="AH43" s="492"/>
      <c r="AI43" s="493"/>
      <c r="AX43" s="68" t="s">
        <v>228</v>
      </c>
    </row>
    <row r="44" spans="1:50" x14ac:dyDescent="0.2">
      <c r="A44" s="482" t="str">
        <f t="shared" si="0"/>
        <v/>
      </c>
      <c r="B44" s="361" t="str">
        <f t="shared" si="1"/>
        <v/>
      </c>
      <c r="C44" s="361" t="str">
        <f t="shared" si="2"/>
        <v/>
      </c>
      <c r="D44" s="362" t="str">
        <f t="shared" si="3"/>
        <v/>
      </c>
      <c r="E44" s="362" t="str">
        <f t="shared" si="4"/>
        <v/>
      </c>
      <c r="F44" s="361" t="str">
        <f t="shared" si="5"/>
        <v/>
      </c>
      <c r="G44" s="366"/>
      <c r="H44" s="366"/>
      <c r="I44" s="485"/>
      <c r="J44" s="238"/>
      <c r="K44" s="485"/>
      <c r="L44" s="238"/>
      <c r="M44" s="238"/>
      <c r="N44" s="238"/>
      <c r="O44" s="238"/>
      <c r="P44" s="485"/>
      <c r="Q44" s="238"/>
      <c r="R44" s="485"/>
      <c r="S44" s="238"/>
      <c r="T44" s="240"/>
      <c r="U44" s="238"/>
      <c r="V44" s="238"/>
      <c r="W44" s="240"/>
      <c r="X44" s="486"/>
      <c r="Y44" s="241"/>
      <c r="Z44" s="241"/>
      <c r="AA44" s="489"/>
      <c r="AB44" s="489"/>
      <c r="AC44" s="491"/>
      <c r="AD44" s="488"/>
      <c r="AE44" s="70"/>
      <c r="AF44" s="239"/>
      <c r="AG44" s="486"/>
      <c r="AH44" s="492"/>
      <c r="AI44" s="493"/>
      <c r="AX44" s="68" t="s">
        <v>229</v>
      </c>
    </row>
    <row r="45" spans="1:50" x14ac:dyDescent="0.2">
      <c r="A45" s="482" t="str">
        <f t="shared" si="0"/>
        <v/>
      </c>
      <c r="B45" s="361" t="str">
        <f t="shared" si="1"/>
        <v/>
      </c>
      <c r="C45" s="361" t="str">
        <f t="shared" si="2"/>
        <v/>
      </c>
      <c r="D45" s="362" t="str">
        <f t="shared" si="3"/>
        <v/>
      </c>
      <c r="E45" s="362" t="str">
        <f t="shared" si="4"/>
        <v/>
      </c>
      <c r="F45" s="361" t="str">
        <f t="shared" si="5"/>
        <v/>
      </c>
      <c r="G45" s="366"/>
      <c r="H45" s="366"/>
      <c r="I45" s="485"/>
      <c r="J45" s="238"/>
      <c r="K45" s="485"/>
      <c r="L45" s="238"/>
      <c r="M45" s="238"/>
      <c r="N45" s="238"/>
      <c r="O45" s="238"/>
      <c r="P45" s="485"/>
      <c r="Q45" s="238"/>
      <c r="R45" s="485"/>
      <c r="S45" s="238"/>
      <c r="T45" s="240"/>
      <c r="U45" s="238"/>
      <c r="V45" s="238"/>
      <c r="W45" s="240"/>
      <c r="X45" s="486"/>
      <c r="Y45" s="241"/>
      <c r="Z45" s="241"/>
      <c r="AA45" s="489"/>
      <c r="AB45" s="489"/>
      <c r="AC45" s="491"/>
      <c r="AD45" s="488"/>
      <c r="AE45" s="70"/>
      <c r="AF45" s="239"/>
      <c r="AG45" s="486"/>
      <c r="AH45" s="492"/>
      <c r="AI45" s="493"/>
      <c r="AX45" s="68" t="s">
        <v>231</v>
      </c>
    </row>
    <row r="46" spans="1:50" x14ac:dyDescent="0.2">
      <c r="A46" s="482" t="str">
        <f t="shared" si="0"/>
        <v/>
      </c>
      <c r="B46" s="361" t="str">
        <f t="shared" si="1"/>
        <v/>
      </c>
      <c r="C46" s="361" t="str">
        <f t="shared" si="2"/>
        <v/>
      </c>
      <c r="D46" s="362" t="str">
        <f t="shared" si="3"/>
        <v/>
      </c>
      <c r="E46" s="362" t="str">
        <f t="shared" si="4"/>
        <v/>
      </c>
      <c r="F46" s="361" t="str">
        <f t="shared" si="5"/>
        <v/>
      </c>
      <c r="G46" s="366"/>
      <c r="H46" s="366"/>
      <c r="I46" s="485"/>
      <c r="J46" s="238"/>
      <c r="K46" s="485"/>
      <c r="L46" s="238"/>
      <c r="M46" s="238"/>
      <c r="N46" s="238"/>
      <c r="O46" s="238"/>
      <c r="P46" s="485"/>
      <c r="Q46" s="238"/>
      <c r="R46" s="485"/>
      <c r="S46" s="238"/>
      <c r="T46" s="240"/>
      <c r="U46" s="238"/>
      <c r="V46" s="238"/>
      <c r="W46" s="240"/>
      <c r="X46" s="486"/>
      <c r="Y46" s="241"/>
      <c r="Z46" s="241"/>
      <c r="AA46" s="489"/>
      <c r="AB46" s="489"/>
      <c r="AC46" s="491"/>
      <c r="AD46" s="488"/>
      <c r="AE46" s="70"/>
      <c r="AF46" s="239"/>
      <c r="AG46" s="486"/>
      <c r="AH46" s="492"/>
      <c r="AI46" s="493"/>
      <c r="AX46" s="68" t="s">
        <v>230</v>
      </c>
    </row>
    <row r="47" spans="1:50" x14ac:dyDescent="0.2">
      <c r="A47" s="482" t="str">
        <f t="shared" si="0"/>
        <v/>
      </c>
      <c r="B47" s="361" t="str">
        <f t="shared" si="1"/>
        <v/>
      </c>
      <c r="C47" s="361" t="str">
        <f t="shared" si="2"/>
        <v/>
      </c>
      <c r="D47" s="362" t="str">
        <f t="shared" si="3"/>
        <v/>
      </c>
      <c r="E47" s="362" t="str">
        <f t="shared" si="4"/>
        <v/>
      </c>
      <c r="F47" s="361" t="str">
        <f t="shared" si="5"/>
        <v/>
      </c>
      <c r="G47" s="366"/>
      <c r="H47" s="366"/>
      <c r="I47" s="485"/>
      <c r="J47" s="238"/>
      <c r="K47" s="485"/>
      <c r="L47" s="238"/>
      <c r="M47" s="238"/>
      <c r="N47" s="238"/>
      <c r="O47" s="238"/>
      <c r="P47" s="485"/>
      <c r="Q47" s="238"/>
      <c r="R47" s="485"/>
      <c r="S47" s="238"/>
      <c r="T47" s="240"/>
      <c r="U47" s="238"/>
      <c r="V47" s="238"/>
      <c r="W47" s="240"/>
      <c r="X47" s="486"/>
      <c r="Y47" s="241"/>
      <c r="Z47" s="241"/>
      <c r="AA47" s="489"/>
      <c r="AB47" s="489"/>
      <c r="AC47" s="491"/>
      <c r="AD47" s="488"/>
      <c r="AE47" s="70"/>
      <c r="AF47" s="239"/>
      <c r="AG47" s="486"/>
      <c r="AH47" s="492"/>
      <c r="AI47" s="493"/>
      <c r="AX47" s="68" t="s">
        <v>232</v>
      </c>
    </row>
    <row r="48" spans="1:50" x14ac:dyDescent="0.2">
      <c r="A48" s="482" t="str">
        <f t="shared" si="0"/>
        <v/>
      </c>
      <c r="B48" s="361" t="str">
        <f t="shared" si="1"/>
        <v/>
      </c>
      <c r="C48" s="361" t="str">
        <f t="shared" si="2"/>
        <v/>
      </c>
      <c r="D48" s="362" t="str">
        <f t="shared" si="3"/>
        <v/>
      </c>
      <c r="E48" s="362" t="str">
        <f t="shared" si="4"/>
        <v/>
      </c>
      <c r="F48" s="361" t="str">
        <f t="shared" si="5"/>
        <v/>
      </c>
      <c r="G48" s="366"/>
      <c r="H48" s="366"/>
      <c r="I48" s="485"/>
      <c r="J48" s="238"/>
      <c r="K48" s="485"/>
      <c r="L48" s="238"/>
      <c r="M48" s="238"/>
      <c r="N48" s="238"/>
      <c r="O48" s="238"/>
      <c r="P48" s="485"/>
      <c r="Q48" s="238"/>
      <c r="R48" s="485"/>
      <c r="S48" s="238"/>
      <c r="T48" s="240"/>
      <c r="U48" s="238"/>
      <c r="V48" s="238"/>
      <c r="W48" s="240"/>
      <c r="X48" s="486"/>
      <c r="Y48" s="241"/>
      <c r="Z48" s="241"/>
      <c r="AA48" s="489"/>
      <c r="AB48" s="489"/>
      <c r="AC48" s="491"/>
      <c r="AD48" s="488"/>
      <c r="AE48" s="70"/>
      <c r="AF48" s="239"/>
      <c r="AG48" s="486"/>
      <c r="AH48" s="492"/>
      <c r="AI48" s="493"/>
      <c r="AX48" s="68" t="s">
        <v>234</v>
      </c>
    </row>
    <row r="49" spans="1:50" x14ac:dyDescent="0.2">
      <c r="A49" s="482" t="str">
        <f t="shared" si="0"/>
        <v/>
      </c>
      <c r="B49" s="361" t="str">
        <f t="shared" si="1"/>
        <v/>
      </c>
      <c r="C49" s="361" t="str">
        <f t="shared" si="2"/>
        <v/>
      </c>
      <c r="D49" s="362" t="str">
        <f t="shared" si="3"/>
        <v/>
      </c>
      <c r="E49" s="362" t="str">
        <f t="shared" si="4"/>
        <v/>
      </c>
      <c r="F49" s="361" t="str">
        <f t="shared" si="5"/>
        <v/>
      </c>
      <c r="G49" s="366"/>
      <c r="H49" s="366"/>
      <c r="I49" s="485"/>
      <c r="J49" s="238"/>
      <c r="K49" s="485"/>
      <c r="L49" s="238"/>
      <c r="M49" s="238"/>
      <c r="N49" s="238"/>
      <c r="O49" s="238"/>
      <c r="P49" s="485"/>
      <c r="Q49" s="238"/>
      <c r="R49" s="485"/>
      <c r="S49" s="238"/>
      <c r="T49" s="240"/>
      <c r="U49" s="238"/>
      <c r="V49" s="238"/>
      <c r="W49" s="240"/>
      <c r="X49" s="486"/>
      <c r="Y49" s="241"/>
      <c r="Z49" s="241"/>
      <c r="AA49" s="489"/>
      <c r="AB49" s="489"/>
      <c r="AC49" s="491"/>
      <c r="AD49" s="488"/>
      <c r="AE49" s="70"/>
      <c r="AF49" s="239"/>
      <c r="AG49" s="486"/>
      <c r="AH49" s="492"/>
      <c r="AI49" s="493"/>
      <c r="AX49" s="68" t="s">
        <v>233</v>
      </c>
    </row>
    <row r="50" spans="1:50" x14ac:dyDescent="0.2">
      <c r="A50" s="482" t="str">
        <f t="shared" si="0"/>
        <v/>
      </c>
      <c r="B50" s="361" t="str">
        <f t="shared" si="1"/>
        <v/>
      </c>
      <c r="C50" s="361" t="str">
        <f t="shared" si="2"/>
        <v/>
      </c>
      <c r="D50" s="362" t="str">
        <f t="shared" si="3"/>
        <v/>
      </c>
      <c r="E50" s="362" t="str">
        <f t="shared" si="4"/>
        <v/>
      </c>
      <c r="F50" s="361" t="str">
        <f t="shared" si="5"/>
        <v/>
      </c>
      <c r="G50" s="366"/>
      <c r="H50" s="366"/>
      <c r="I50" s="485"/>
      <c r="J50" s="238"/>
      <c r="K50" s="485"/>
      <c r="L50" s="238"/>
      <c r="M50" s="238"/>
      <c r="N50" s="238"/>
      <c r="O50" s="238"/>
      <c r="P50" s="485"/>
      <c r="Q50" s="238"/>
      <c r="R50" s="485"/>
      <c r="S50" s="238"/>
      <c r="T50" s="240"/>
      <c r="U50" s="238"/>
      <c r="V50" s="238"/>
      <c r="W50" s="240"/>
      <c r="X50" s="486"/>
      <c r="Y50" s="241"/>
      <c r="Z50" s="241"/>
      <c r="AA50" s="489"/>
      <c r="AB50" s="489"/>
      <c r="AC50" s="491"/>
      <c r="AD50" s="488"/>
      <c r="AE50" s="70"/>
      <c r="AF50" s="239"/>
      <c r="AG50" s="486"/>
      <c r="AH50" s="492"/>
      <c r="AI50" s="493"/>
      <c r="AX50" s="68" t="s">
        <v>235</v>
      </c>
    </row>
    <row r="51" spans="1:50" x14ac:dyDescent="0.2">
      <c r="A51" s="482" t="str">
        <f t="shared" si="0"/>
        <v/>
      </c>
      <c r="B51" s="361" t="str">
        <f t="shared" si="1"/>
        <v/>
      </c>
      <c r="C51" s="361" t="str">
        <f t="shared" si="2"/>
        <v/>
      </c>
      <c r="D51" s="362" t="str">
        <f t="shared" si="3"/>
        <v/>
      </c>
      <c r="E51" s="362" t="str">
        <f t="shared" si="4"/>
        <v/>
      </c>
      <c r="F51" s="361" t="str">
        <f t="shared" si="5"/>
        <v/>
      </c>
      <c r="G51" s="366"/>
      <c r="H51" s="366"/>
      <c r="I51" s="485"/>
      <c r="J51" s="238"/>
      <c r="K51" s="485"/>
      <c r="L51" s="238"/>
      <c r="M51" s="238"/>
      <c r="N51" s="238"/>
      <c r="O51" s="238"/>
      <c r="P51" s="485"/>
      <c r="Q51" s="238"/>
      <c r="R51" s="485"/>
      <c r="S51" s="238"/>
      <c r="T51" s="240"/>
      <c r="U51" s="238"/>
      <c r="V51" s="238"/>
      <c r="W51" s="240"/>
      <c r="X51" s="486"/>
      <c r="Y51" s="241"/>
      <c r="Z51" s="241"/>
      <c r="AA51" s="489"/>
      <c r="AB51" s="489"/>
      <c r="AC51" s="491"/>
      <c r="AD51" s="488"/>
      <c r="AE51" s="70"/>
      <c r="AF51" s="239"/>
      <c r="AG51" s="486"/>
      <c r="AH51" s="492"/>
      <c r="AI51" s="493"/>
    </row>
    <row r="52" spans="1:50" x14ac:dyDescent="0.2">
      <c r="A52" s="482" t="str">
        <f t="shared" si="0"/>
        <v/>
      </c>
      <c r="B52" s="361" t="str">
        <f t="shared" si="1"/>
        <v/>
      </c>
      <c r="C52" s="361" t="str">
        <f t="shared" si="2"/>
        <v/>
      </c>
      <c r="D52" s="362" t="str">
        <f t="shared" si="3"/>
        <v/>
      </c>
      <c r="E52" s="362" t="str">
        <f t="shared" si="4"/>
        <v/>
      </c>
      <c r="F52" s="361" t="str">
        <f t="shared" si="5"/>
        <v/>
      </c>
      <c r="G52" s="366"/>
      <c r="H52" s="366"/>
      <c r="I52" s="485"/>
      <c r="J52" s="238"/>
      <c r="K52" s="485"/>
      <c r="L52" s="238"/>
      <c r="M52" s="238"/>
      <c r="N52" s="238"/>
      <c r="O52" s="238"/>
      <c r="P52" s="485"/>
      <c r="Q52" s="238"/>
      <c r="R52" s="485"/>
      <c r="S52" s="238"/>
      <c r="T52" s="240"/>
      <c r="U52" s="238"/>
      <c r="V52" s="238"/>
      <c r="W52" s="240"/>
      <c r="X52" s="486"/>
      <c r="Y52" s="241"/>
      <c r="Z52" s="241"/>
      <c r="AA52" s="489"/>
      <c r="AB52" s="489"/>
      <c r="AC52" s="491"/>
      <c r="AD52" s="488"/>
      <c r="AE52" s="70"/>
      <c r="AF52" s="239"/>
      <c r="AG52" s="486"/>
      <c r="AH52" s="492"/>
      <c r="AI52" s="493"/>
    </row>
    <row r="54" spans="1:50" ht="13.5" thickBot="1" x14ac:dyDescent="0.25">
      <c r="AH54" s="367" t="s">
        <v>123</v>
      </c>
      <c r="AI54" s="242">
        <f>SUM(AI10:AI52)</f>
        <v>0</v>
      </c>
    </row>
    <row r="55" spans="1:50" ht="13.5" thickTop="1" x14ac:dyDescent="0.2"/>
  </sheetData>
  <mergeCells count="9">
    <mergeCell ref="A5:K5"/>
    <mergeCell ref="AC5:AE5"/>
    <mergeCell ref="AG5:AI5"/>
    <mergeCell ref="A1:AI1"/>
    <mergeCell ref="A2:AI2"/>
    <mergeCell ref="A3:AI3"/>
    <mergeCell ref="A4:K4"/>
    <mergeCell ref="AC4:AE4"/>
    <mergeCell ref="AG4:AI4"/>
  </mergeCells>
  <conditionalFormatting sqref="AE10:AE52">
    <cfRule type="cellIs" dxfId="17" priority="1" operator="lessThan">
      <formula>0</formula>
    </cfRule>
  </conditionalFormatting>
  <dataValidations count="2">
    <dataValidation type="list" allowBlank="1" showInputMessage="1" showErrorMessage="1" sqref="R5" xr:uid="{8957AC02-48E6-4210-B795-23687DE8AA48}">
      <formula1>$AX$1:$AX$50</formula1>
    </dataValidation>
    <dataValidation type="date" allowBlank="1" showInputMessage="1" showErrorMessage="1" sqref="AH10:AH52 X5" xr:uid="{A6A2B2DC-5608-4A2B-B5FB-7B23AA81CE31}">
      <formula1>367</formula1>
      <formula2>401404</formula2>
    </dataValidation>
  </dataValidations>
  <printOptions horizontalCentered="1"/>
  <pageMargins left="0.25" right="0.25" top="0.75" bottom="0.75" header="0.3" footer="0.3"/>
  <pageSetup scale="61" fitToHeight="0" orientation="landscape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D744-822F-473A-9AA6-91ADBABE2762}">
  <sheetPr codeName="Sheet15">
    <pageSetUpPr fitToPage="1"/>
  </sheetPr>
  <dimension ref="A1:Q126"/>
  <sheetViews>
    <sheetView topLeftCell="B8" zoomScale="85" zoomScaleNormal="85" workbookViewId="0">
      <selection activeCell="B7" sqref="B7"/>
    </sheetView>
  </sheetViews>
  <sheetFormatPr defaultColWidth="9.140625" defaultRowHeight="15" x14ac:dyDescent="0.25"/>
  <cols>
    <col min="1" max="1" width="53.140625" style="88" bestFit="1" customWidth="1"/>
    <col min="2" max="2" width="24.140625" style="318" bestFit="1" customWidth="1"/>
    <col min="3" max="14" width="14.5703125" style="88" customWidth="1"/>
    <col min="15" max="15" width="18.5703125" style="88" bestFit="1" customWidth="1"/>
    <col min="16" max="16384" width="9.140625" style="88"/>
  </cols>
  <sheetData>
    <row r="1" spans="1:17" s="1" customFormat="1" ht="18" customHeight="1" x14ac:dyDescent="0.35">
      <c r="A1" s="611" t="str">
        <f>'Input-Instructions'!B3</f>
        <v>610 West</v>
      </c>
      <c r="B1" s="612"/>
      <c r="C1" s="612"/>
      <c r="D1" s="612"/>
      <c r="E1" s="612"/>
      <c r="F1" s="612"/>
      <c r="G1" s="612"/>
      <c r="H1" s="612"/>
      <c r="I1" s="612"/>
      <c r="J1" s="612"/>
      <c r="K1" s="612"/>
      <c r="L1" s="612"/>
      <c r="M1" s="612"/>
      <c r="N1" s="611"/>
      <c r="O1" s="611"/>
    </row>
    <row r="2" spans="1:17" s="1" customFormat="1" ht="23.25" x14ac:dyDescent="0.35">
      <c r="A2" s="611" t="s">
        <v>1822</v>
      </c>
      <c r="B2" s="611"/>
      <c r="C2" s="611"/>
      <c r="D2" s="611"/>
      <c r="E2" s="611"/>
      <c r="F2" s="611"/>
      <c r="G2" s="611"/>
      <c r="H2" s="612"/>
      <c r="I2" s="612"/>
      <c r="J2" s="612"/>
      <c r="K2" s="612"/>
      <c r="L2" s="612"/>
      <c r="M2" s="612"/>
      <c r="N2" s="611"/>
      <c r="O2" s="611"/>
    </row>
    <row r="3" spans="1:17" s="1" customFormat="1" ht="23.25" x14ac:dyDescent="0.25">
      <c r="A3" s="613" t="str">
        <f>TEXT('Input-Instructions'!B6,"YYYY")</f>
        <v>2026</v>
      </c>
      <c r="B3" s="613"/>
      <c r="C3" s="613"/>
      <c r="D3" s="613"/>
      <c r="E3" s="613"/>
      <c r="F3" s="613"/>
      <c r="G3" s="613"/>
      <c r="H3" s="614"/>
      <c r="I3" s="614"/>
      <c r="J3" s="614"/>
      <c r="K3" s="614"/>
      <c r="L3" s="614"/>
      <c r="M3" s="614"/>
      <c r="N3" s="613"/>
      <c r="O3" s="613"/>
    </row>
    <row r="4" spans="1:17" s="1" customFormat="1" x14ac:dyDescent="0.25">
      <c r="A4" s="333"/>
      <c r="B4" s="309"/>
    </row>
    <row r="5" spans="1:17" s="71" customFormat="1" ht="18.75" x14ac:dyDescent="0.3">
      <c r="A5" s="65" t="s">
        <v>1823</v>
      </c>
      <c r="B5" s="310" t="str">
        <f>IFERROR(IF(A5="","",VLOOKUP(A5,'Mapped COA'!A:G,2,0)),IF(A5="","",VLOOKUP(A5,COA!A:G,2,0)))</f>
        <v>Land Improvements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Q5" s="476"/>
    </row>
    <row r="6" spans="1:17" s="71" customFormat="1" ht="13.7" customHeight="1" x14ac:dyDescent="0.2">
      <c r="A6" s="72" t="s">
        <v>1824</v>
      </c>
      <c r="B6" s="334" t="s">
        <v>1825</v>
      </c>
      <c r="C6" s="73" t="s">
        <v>1826</v>
      </c>
      <c r="D6" s="74" t="s">
        <v>1827</v>
      </c>
      <c r="E6" s="74" t="s">
        <v>1828</v>
      </c>
      <c r="F6" s="74" t="s">
        <v>1829</v>
      </c>
      <c r="G6" s="74" t="s">
        <v>1830</v>
      </c>
      <c r="H6" s="74" t="s">
        <v>1831</v>
      </c>
      <c r="I6" s="74" t="s">
        <v>1832</v>
      </c>
      <c r="J6" s="74" t="s">
        <v>1833</v>
      </c>
      <c r="K6" s="74" t="s">
        <v>1834</v>
      </c>
      <c r="L6" s="74" t="s">
        <v>1835</v>
      </c>
      <c r="M6" s="74" t="s">
        <v>1836</v>
      </c>
      <c r="N6" s="75" t="s">
        <v>1837</v>
      </c>
      <c r="O6" s="75" t="s">
        <v>1838</v>
      </c>
    </row>
    <row r="7" spans="1:17" s="71" customFormat="1" ht="12.75" x14ac:dyDescent="0.2">
      <c r="A7" s="76" t="s">
        <v>1839</v>
      </c>
      <c r="B7" s="311"/>
      <c r="C7" s="305"/>
      <c r="D7" s="306"/>
      <c r="E7" s="306"/>
      <c r="F7" s="306"/>
      <c r="G7" s="306"/>
      <c r="H7" s="306"/>
      <c r="I7" s="306"/>
      <c r="J7" s="306"/>
      <c r="K7" s="306"/>
      <c r="L7" s="306"/>
      <c r="M7" s="306"/>
      <c r="N7" s="307"/>
      <c r="O7" s="307">
        <f>SUM(B7:N7)</f>
        <v>0</v>
      </c>
    </row>
    <row r="8" spans="1:17" s="71" customFormat="1" ht="12.75" x14ac:dyDescent="0.2">
      <c r="A8" s="78"/>
      <c r="B8" s="312"/>
      <c r="C8" s="79"/>
      <c r="D8" s="80"/>
      <c r="E8" s="80"/>
      <c r="F8" s="80"/>
      <c r="G8" s="80"/>
      <c r="H8" s="80"/>
      <c r="I8" s="80"/>
      <c r="J8" s="80"/>
      <c r="K8" s="80"/>
      <c r="L8" s="80"/>
      <c r="M8" s="80"/>
      <c r="N8" s="77"/>
      <c r="O8" s="77">
        <f>SUM(C8:N8)</f>
        <v>0</v>
      </c>
    </row>
    <row r="9" spans="1:17" s="71" customFormat="1" ht="12.75" x14ac:dyDescent="0.2">
      <c r="A9" s="78"/>
      <c r="B9" s="312"/>
      <c r="C9" s="81"/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  <c r="O9" s="77">
        <f>SUM(C9:N9)</f>
        <v>0</v>
      </c>
    </row>
    <row r="10" spans="1:17" s="71" customFormat="1" ht="12.75" x14ac:dyDescent="0.2">
      <c r="A10" s="308" t="str">
        <f>CONCATENATE("Ending Balance ", A5, " ", B5)</f>
        <v>Ending Balance 14025-000 Land Improvements</v>
      </c>
      <c r="B10" s="313"/>
      <c r="C10" s="84">
        <f>SUM(C7:C9)</f>
        <v>0</v>
      </c>
      <c r="D10" s="84">
        <f t="shared" ref="D10:N10" si="0">SUM(D7:D9)</f>
        <v>0</v>
      </c>
      <c r="E10" s="84">
        <f t="shared" si="0"/>
        <v>0</v>
      </c>
      <c r="F10" s="84">
        <f t="shared" si="0"/>
        <v>0</v>
      </c>
      <c r="G10" s="84">
        <f t="shared" si="0"/>
        <v>0</v>
      </c>
      <c r="H10" s="84">
        <f t="shared" si="0"/>
        <v>0</v>
      </c>
      <c r="I10" s="84">
        <f t="shared" si="0"/>
        <v>0</v>
      </c>
      <c r="J10" s="84">
        <f t="shared" si="0"/>
        <v>0</v>
      </c>
      <c r="K10" s="84">
        <f t="shared" si="0"/>
        <v>0</v>
      </c>
      <c r="L10" s="84">
        <f t="shared" si="0"/>
        <v>0</v>
      </c>
      <c r="M10" s="84">
        <f t="shared" si="0"/>
        <v>0</v>
      </c>
      <c r="N10" s="84">
        <f t="shared" si="0"/>
        <v>0</v>
      </c>
      <c r="O10" s="85">
        <f>SUM(O7:O9)</f>
        <v>0</v>
      </c>
    </row>
    <row r="11" spans="1:17" s="71" customFormat="1" ht="12.75" x14ac:dyDescent="0.2">
      <c r="B11" s="314"/>
    </row>
    <row r="12" spans="1:17" s="71" customFormat="1" ht="12.75" x14ac:dyDescent="0.2">
      <c r="A12" s="86" t="s">
        <v>1840</v>
      </c>
      <c r="B12" s="310" t="str">
        <f>IFERROR(IF(A12="","",VLOOKUP(A12,'Mapped COA'!A:G,2,0)),IF(A12="","",VLOOKUP(A12,COA!A:G,2,0)))</f>
        <v>Building Improvements</v>
      </c>
      <c r="C12" s="86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</row>
    <row r="13" spans="1:17" s="71" customFormat="1" ht="13.7" customHeight="1" x14ac:dyDescent="0.2">
      <c r="A13" s="72" t="s">
        <v>1824</v>
      </c>
      <c r="B13" s="334" t="s">
        <v>1825</v>
      </c>
      <c r="C13" s="73" t="s">
        <v>1826</v>
      </c>
      <c r="D13" s="74" t="s">
        <v>1827</v>
      </c>
      <c r="E13" s="74" t="s">
        <v>1828</v>
      </c>
      <c r="F13" s="74" t="s">
        <v>1829</v>
      </c>
      <c r="G13" s="74" t="s">
        <v>1830</v>
      </c>
      <c r="H13" s="74" t="s">
        <v>1831</v>
      </c>
      <c r="I13" s="74" t="s">
        <v>1832</v>
      </c>
      <c r="J13" s="74" t="s">
        <v>1833</v>
      </c>
      <c r="K13" s="74" t="s">
        <v>1834</v>
      </c>
      <c r="L13" s="74" t="s">
        <v>1835</v>
      </c>
      <c r="M13" s="74" t="s">
        <v>1836</v>
      </c>
      <c r="N13" s="75" t="s">
        <v>1837</v>
      </c>
      <c r="O13" s="75" t="s">
        <v>1838</v>
      </c>
    </row>
    <row r="14" spans="1:17" s="71" customFormat="1" ht="12.75" x14ac:dyDescent="0.2">
      <c r="A14" s="76" t="s">
        <v>1839</v>
      </c>
      <c r="B14" s="311"/>
      <c r="C14" s="305"/>
      <c r="D14" s="306"/>
      <c r="E14" s="306"/>
      <c r="F14" s="306"/>
      <c r="G14" s="306"/>
      <c r="H14" s="306"/>
      <c r="I14" s="306"/>
      <c r="J14" s="306"/>
      <c r="K14" s="306"/>
      <c r="L14" s="306"/>
      <c r="M14" s="306"/>
      <c r="N14" s="307"/>
      <c r="O14" s="307">
        <f>SUM(B14:N14)</f>
        <v>0</v>
      </c>
    </row>
    <row r="15" spans="1:17" s="71" customFormat="1" ht="12.75" x14ac:dyDescent="0.2">
      <c r="A15" s="78"/>
      <c r="B15" s="312"/>
      <c r="C15" s="79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77"/>
      <c r="O15" s="77">
        <f>SUM(C15:N15)</f>
        <v>0</v>
      </c>
    </row>
    <row r="16" spans="1:17" s="71" customFormat="1" ht="12.75" x14ac:dyDescent="0.2">
      <c r="A16" s="78"/>
      <c r="B16" s="312"/>
      <c r="C16" s="81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  <c r="O16" s="77">
        <f>SUM(C16:N16)</f>
        <v>0</v>
      </c>
    </row>
    <row r="17" spans="1:15" s="71" customFormat="1" ht="12.75" x14ac:dyDescent="0.2">
      <c r="A17" s="308" t="str">
        <f>CONCATENATE("Ending Balance ", A12, " ", B12)</f>
        <v>Ending Balance 14070-000 Building Improvements</v>
      </c>
      <c r="B17" s="313"/>
      <c r="C17" s="84">
        <f>SUM(C14:C16)</f>
        <v>0</v>
      </c>
      <c r="D17" s="84">
        <f t="shared" ref="D17:N17" si="1">SUM(D14:D16)</f>
        <v>0</v>
      </c>
      <c r="E17" s="84">
        <f t="shared" si="1"/>
        <v>0</v>
      </c>
      <c r="F17" s="84">
        <f t="shared" si="1"/>
        <v>0</v>
      </c>
      <c r="G17" s="84">
        <f t="shared" si="1"/>
        <v>0</v>
      </c>
      <c r="H17" s="84">
        <f t="shared" si="1"/>
        <v>0</v>
      </c>
      <c r="I17" s="84">
        <f t="shared" si="1"/>
        <v>0</v>
      </c>
      <c r="J17" s="84">
        <f t="shared" si="1"/>
        <v>0</v>
      </c>
      <c r="K17" s="84">
        <f t="shared" si="1"/>
        <v>0</v>
      </c>
      <c r="L17" s="84">
        <f t="shared" si="1"/>
        <v>0</v>
      </c>
      <c r="M17" s="84">
        <f t="shared" si="1"/>
        <v>0</v>
      </c>
      <c r="N17" s="84">
        <f t="shared" si="1"/>
        <v>0</v>
      </c>
      <c r="O17" s="85">
        <f>SUM(O14:O16)</f>
        <v>0</v>
      </c>
    </row>
    <row r="18" spans="1:15" s="71" customFormat="1" ht="12.75" x14ac:dyDescent="0.2">
      <c r="B18" s="314"/>
    </row>
    <row r="19" spans="1:15" s="71" customFormat="1" ht="12.75" x14ac:dyDescent="0.2">
      <c r="A19" s="86" t="s">
        <v>1841</v>
      </c>
      <c r="B19" s="310" t="str">
        <f>IFERROR(IF(A19="","",VLOOKUP(A19,'Mapped COA'!A:G,2,0)),IF(A19="","",VLOOKUP(A19,COA!A:G,2,0)))</f>
        <v>Building Equip Fixed</v>
      </c>
      <c r="C19" s="86"/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</row>
    <row r="20" spans="1:15" s="71" customFormat="1" ht="13.7" customHeight="1" x14ac:dyDescent="0.2">
      <c r="A20" s="72" t="s">
        <v>1824</v>
      </c>
      <c r="B20" s="334" t="s">
        <v>1825</v>
      </c>
      <c r="C20" s="73" t="s">
        <v>1826</v>
      </c>
      <c r="D20" s="74" t="s">
        <v>1827</v>
      </c>
      <c r="E20" s="74" t="s">
        <v>1828</v>
      </c>
      <c r="F20" s="74" t="s">
        <v>1829</v>
      </c>
      <c r="G20" s="74" t="s">
        <v>1830</v>
      </c>
      <c r="H20" s="74" t="s">
        <v>1831</v>
      </c>
      <c r="I20" s="74" t="s">
        <v>1832</v>
      </c>
      <c r="J20" s="74" t="s">
        <v>1833</v>
      </c>
      <c r="K20" s="74" t="s">
        <v>1834</v>
      </c>
      <c r="L20" s="74" t="s">
        <v>1835</v>
      </c>
      <c r="M20" s="74" t="s">
        <v>1836</v>
      </c>
      <c r="N20" s="75" t="s">
        <v>1837</v>
      </c>
      <c r="O20" s="75" t="s">
        <v>1838</v>
      </c>
    </row>
    <row r="21" spans="1:15" s="71" customFormat="1" ht="12.75" x14ac:dyDescent="0.2">
      <c r="A21" s="76" t="s">
        <v>1839</v>
      </c>
      <c r="B21" s="311"/>
      <c r="C21" s="305"/>
      <c r="D21" s="306"/>
      <c r="E21" s="306"/>
      <c r="F21" s="306"/>
      <c r="G21" s="306"/>
      <c r="H21" s="306"/>
      <c r="I21" s="306"/>
      <c r="J21" s="306"/>
      <c r="K21" s="306"/>
      <c r="L21" s="306"/>
      <c r="M21" s="306"/>
      <c r="N21" s="307"/>
      <c r="O21" s="307">
        <f>SUM(B21:N21)</f>
        <v>0</v>
      </c>
    </row>
    <row r="22" spans="1:15" s="71" customFormat="1" ht="12.75" x14ac:dyDescent="0.2">
      <c r="A22" s="78"/>
      <c r="B22" s="312"/>
      <c r="C22" s="79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77"/>
      <c r="O22" s="77">
        <f>SUM(C22:N22)</f>
        <v>0</v>
      </c>
    </row>
    <row r="23" spans="1:15" s="71" customFormat="1" ht="12.75" x14ac:dyDescent="0.2">
      <c r="A23" s="78"/>
      <c r="B23" s="312"/>
      <c r="C23" s="81"/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  <c r="O23" s="77">
        <f>SUM(C23:N23)</f>
        <v>0</v>
      </c>
    </row>
    <row r="24" spans="1:15" s="71" customFormat="1" ht="12.75" x14ac:dyDescent="0.2">
      <c r="A24" s="308" t="str">
        <f>CONCATENATE("Ending Balance ", A19, " ", B19)</f>
        <v>Ending Balance 14078-000 Building Equip Fixed</v>
      </c>
      <c r="B24" s="313"/>
      <c r="C24" s="84">
        <f>SUM(C21:C23)</f>
        <v>0</v>
      </c>
      <c r="D24" s="84">
        <f t="shared" ref="D24:N24" si="2">SUM(D21:D23)</f>
        <v>0</v>
      </c>
      <c r="E24" s="84">
        <f t="shared" si="2"/>
        <v>0</v>
      </c>
      <c r="F24" s="84">
        <f t="shared" si="2"/>
        <v>0</v>
      </c>
      <c r="G24" s="84">
        <f t="shared" si="2"/>
        <v>0</v>
      </c>
      <c r="H24" s="84">
        <f t="shared" si="2"/>
        <v>0</v>
      </c>
      <c r="I24" s="84">
        <f t="shared" si="2"/>
        <v>0</v>
      </c>
      <c r="J24" s="84">
        <f t="shared" si="2"/>
        <v>0</v>
      </c>
      <c r="K24" s="84">
        <f t="shared" si="2"/>
        <v>0</v>
      </c>
      <c r="L24" s="84">
        <f t="shared" si="2"/>
        <v>0</v>
      </c>
      <c r="M24" s="84">
        <f t="shared" si="2"/>
        <v>0</v>
      </c>
      <c r="N24" s="84">
        <f t="shared" si="2"/>
        <v>0</v>
      </c>
      <c r="O24" s="85">
        <f>SUM(O21:O23)</f>
        <v>0</v>
      </c>
    </row>
    <row r="25" spans="1:15" s="71" customFormat="1" ht="12.75" x14ac:dyDescent="0.2">
      <c r="B25" s="314"/>
    </row>
    <row r="26" spans="1:15" s="71" customFormat="1" ht="12.75" x14ac:dyDescent="0.2">
      <c r="A26" s="86" t="s">
        <v>1842</v>
      </c>
      <c r="B26" s="310" t="str">
        <f>IFERROR(IF(A26="","",VLOOKUP(A26,'Mapped COA'!A:G,2,0)),IF(A26="","",VLOOKUP(A26,COA!A:G,2,0)))</f>
        <v>Tenant Improvements</v>
      </c>
      <c r="C26" s="86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</row>
    <row r="27" spans="1:15" s="71" customFormat="1" ht="13.7" customHeight="1" x14ac:dyDescent="0.2">
      <c r="A27" s="72" t="s">
        <v>1824</v>
      </c>
      <c r="B27" s="334" t="s">
        <v>1825</v>
      </c>
      <c r="C27" s="73" t="s">
        <v>1826</v>
      </c>
      <c r="D27" s="74" t="s">
        <v>1827</v>
      </c>
      <c r="E27" s="74" t="s">
        <v>1828</v>
      </c>
      <c r="F27" s="74" t="s">
        <v>1829</v>
      </c>
      <c r="G27" s="74" t="s">
        <v>1830</v>
      </c>
      <c r="H27" s="74" t="s">
        <v>1831</v>
      </c>
      <c r="I27" s="74" t="s">
        <v>1832</v>
      </c>
      <c r="J27" s="74" t="s">
        <v>1833</v>
      </c>
      <c r="K27" s="74" t="s">
        <v>1834</v>
      </c>
      <c r="L27" s="74" t="s">
        <v>1835</v>
      </c>
      <c r="M27" s="74" t="s">
        <v>1836</v>
      </c>
      <c r="N27" s="75" t="s">
        <v>1837</v>
      </c>
      <c r="O27" s="75" t="s">
        <v>1838</v>
      </c>
    </row>
    <row r="28" spans="1:15" s="71" customFormat="1" ht="12.75" x14ac:dyDescent="0.2">
      <c r="A28" s="76" t="s">
        <v>1839</v>
      </c>
      <c r="B28" s="311"/>
      <c r="C28" s="305"/>
      <c r="D28" s="306"/>
      <c r="E28" s="306"/>
      <c r="F28" s="306"/>
      <c r="G28" s="306"/>
      <c r="H28" s="306"/>
      <c r="I28" s="306"/>
      <c r="J28" s="306"/>
      <c r="K28" s="306"/>
      <c r="L28" s="306"/>
      <c r="M28" s="306"/>
      <c r="N28" s="307"/>
      <c r="O28" s="307">
        <f>SUM(B28:N28)</f>
        <v>0</v>
      </c>
    </row>
    <row r="29" spans="1:15" s="71" customFormat="1" ht="12.75" x14ac:dyDescent="0.2">
      <c r="A29" s="78"/>
      <c r="B29" s="312"/>
      <c r="C29" s="79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77"/>
      <c r="O29" s="77">
        <f>SUM(C29:N29)</f>
        <v>0</v>
      </c>
    </row>
    <row r="30" spans="1:15" s="71" customFormat="1" ht="12.75" x14ac:dyDescent="0.2">
      <c r="A30" s="78"/>
      <c r="B30" s="312"/>
      <c r="C30" s="81"/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77">
        <f>SUM(C30:N30)</f>
        <v>0</v>
      </c>
    </row>
    <row r="31" spans="1:15" s="71" customFormat="1" ht="12.75" x14ac:dyDescent="0.2">
      <c r="A31" s="308" t="str">
        <f>CONCATENATE("Ending Balance ", A26, " ", B26)</f>
        <v>Ending Balance 14105-000 Tenant Improvements</v>
      </c>
      <c r="B31" s="313"/>
      <c r="C31" s="84">
        <f>SUM(C28:C30)</f>
        <v>0</v>
      </c>
      <c r="D31" s="84">
        <f t="shared" ref="D31:N31" si="3">SUM(D28:D30)</f>
        <v>0</v>
      </c>
      <c r="E31" s="84">
        <f t="shared" si="3"/>
        <v>0</v>
      </c>
      <c r="F31" s="84">
        <f t="shared" si="3"/>
        <v>0</v>
      </c>
      <c r="G31" s="84">
        <f t="shared" si="3"/>
        <v>0</v>
      </c>
      <c r="H31" s="84">
        <f t="shared" si="3"/>
        <v>0</v>
      </c>
      <c r="I31" s="84">
        <f t="shared" si="3"/>
        <v>0</v>
      </c>
      <c r="J31" s="84">
        <f t="shared" si="3"/>
        <v>0</v>
      </c>
      <c r="K31" s="84">
        <f t="shared" si="3"/>
        <v>0</v>
      </c>
      <c r="L31" s="84">
        <f t="shared" si="3"/>
        <v>0</v>
      </c>
      <c r="M31" s="84">
        <f t="shared" si="3"/>
        <v>0</v>
      </c>
      <c r="N31" s="84">
        <f t="shared" si="3"/>
        <v>0</v>
      </c>
      <c r="O31" s="85">
        <f>SUM(O28:O30)</f>
        <v>0</v>
      </c>
    </row>
    <row r="32" spans="1:15" s="71" customFormat="1" ht="12.75" x14ac:dyDescent="0.2">
      <c r="B32" s="314"/>
    </row>
    <row r="33" spans="1:15" s="71" customFormat="1" ht="12.75" x14ac:dyDescent="0.2">
      <c r="A33" s="86" t="s">
        <v>1843</v>
      </c>
      <c r="B33" s="310" t="str">
        <f>IFERROR(IF(A33="","",VLOOKUP(A33,'Mapped COA'!A:G,2,0)),IF(A33="","",VLOOKUP(A33,COA!A:G,2,0)))</f>
        <v>LR - Painting</v>
      </c>
      <c r="C33" s="86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</row>
    <row r="34" spans="1:15" s="71" customFormat="1" ht="13.7" customHeight="1" x14ac:dyDescent="0.2">
      <c r="A34" s="72" t="s">
        <v>1824</v>
      </c>
      <c r="B34" s="334" t="s">
        <v>1825</v>
      </c>
      <c r="C34" s="73" t="s">
        <v>1826</v>
      </c>
      <c r="D34" s="74" t="s">
        <v>1827</v>
      </c>
      <c r="E34" s="74" t="s">
        <v>1828</v>
      </c>
      <c r="F34" s="74" t="s">
        <v>1829</v>
      </c>
      <c r="G34" s="74" t="s">
        <v>1830</v>
      </c>
      <c r="H34" s="74" t="s">
        <v>1831</v>
      </c>
      <c r="I34" s="74" t="s">
        <v>1832</v>
      </c>
      <c r="J34" s="74" t="s">
        <v>1833</v>
      </c>
      <c r="K34" s="74" t="s">
        <v>1834</v>
      </c>
      <c r="L34" s="74" t="s">
        <v>1835</v>
      </c>
      <c r="M34" s="74" t="s">
        <v>1836</v>
      </c>
      <c r="N34" s="75" t="s">
        <v>1837</v>
      </c>
      <c r="O34" s="75" t="s">
        <v>1838</v>
      </c>
    </row>
    <row r="35" spans="1:15" s="71" customFormat="1" ht="12.75" x14ac:dyDescent="0.2">
      <c r="A35" s="76" t="s">
        <v>1839</v>
      </c>
      <c r="B35" s="311"/>
      <c r="C35" s="305"/>
      <c r="D35" s="306"/>
      <c r="E35" s="306"/>
      <c r="F35" s="306"/>
      <c r="G35" s="306"/>
      <c r="H35" s="306"/>
      <c r="I35" s="306"/>
      <c r="J35" s="306"/>
      <c r="K35" s="306"/>
      <c r="L35" s="306"/>
      <c r="M35" s="306"/>
      <c r="N35" s="307"/>
      <c r="O35" s="307">
        <f>SUM(B35:N35)</f>
        <v>0</v>
      </c>
    </row>
    <row r="36" spans="1:15" s="71" customFormat="1" ht="12.75" x14ac:dyDescent="0.2">
      <c r="A36" s="78"/>
      <c r="B36" s="312"/>
      <c r="C36" s="79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77"/>
      <c r="O36" s="77">
        <f>SUM(C36:N36)</f>
        <v>0</v>
      </c>
    </row>
    <row r="37" spans="1:15" s="71" customFormat="1" ht="12.75" x14ac:dyDescent="0.2">
      <c r="A37" s="78"/>
      <c r="B37" s="312"/>
      <c r="C37" s="81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77">
        <f>SUM(C37:N37)</f>
        <v>0</v>
      </c>
    </row>
    <row r="38" spans="1:15" s="71" customFormat="1" ht="12.75" x14ac:dyDescent="0.2">
      <c r="A38" s="308" t="str">
        <f>CONCATENATE("Ending Balance ", A33, " ", B33)</f>
        <v>Ending Balance 14105-001 LR - Painting</v>
      </c>
      <c r="B38" s="313"/>
      <c r="C38" s="84">
        <f>SUM(C35:C37)</f>
        <v>0</v>
      </c>
      <c r="D38" s="84">
        <f t="shared" ref="D38:N38" si="4">SUM(D35:D37)</f>
        <v>0</v>
      </c>
      <c r="E38" s="84">
        <f t="shared" si="4"/>
        <v>0</v>
      </c>
      <c r="F38" s="84">
        <f t="shared" si="4"/>
        <v>0</v>
      </c>
      <c r="G38" s="84">
        <f t="shared" si="4"/>
        <v>0</v>
      </c>
      <c r="H38" s="84">
        <f t="shared" si="4"/>
        <v>0</v>
      </c>
      <c r="I38" s="84">
        <f t="shared" si="4"/>
        <v>0</v>
      </c>
      <c r="J38" s="84">
        <f t="shared" si="4"/>
        <v>0</v>
      </c>
      <c r="K38" s="84">
        <f t="shared" si="4"/>
        <v>0</v>
      </c>
      <c r="L38" s="84">
        <f t="shared" si="4"/>
        <v>0</v>
      </c>
      <c r="M38" s="84">
        <f t="shared" si="4"/>
        <v>0</v>
      </c>
      <c r="N38" s="84">
        <f t="shared" si="4"/>
        <v>0</v>
      </c>
      <c r="O38" s="85">
        <f>SUM(O35:O37)</f>
        <v>0</v>
      </c>
    </row>
    <row r="39" spans="1:15" s="71" customFormat="1" ht="12.75" x14ac:dyDescent="0.2">
      <c r="B39" s="314"/>
    </row>
    <row r="40" spans="1:15" s="71" customFormat="1" ht="12.75" x14ac:dyDescent="0.2">
      <c r="A40" s="86" t="s">
        <v>1844</v>
      </c>
      <c r="B40" s="310" t="str">
        <f>IFERROR(IF(A40="","",VLOOKUP(A40,'Mapped COA'!A:G,2,0)),IF(A40="","",VLOOKUP(A40,COA!A:G,2,0)))</f>
        <v>LR - Electrical</v>
      </c>
      <c r="C40" s="86"/>
      <c r="D40" s="87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</row>
    <row r="41" spans="1:15" s="71" customFormat="1" ht="13.7" customHeight="1" x14ac:dyDescent="0.2">
      <c r="A41" s="72" t="s">
        <v>1824</v>
      </c>
      <c r="B41" s="334" t="s">
        <v>1825</v>
      </c>
      <c r="C41" s="73" t="s">
        <v>1826</v>
      </c>
      <c r="D41" s="74" t="s">
        <v>1827</v>
      </c>
      <c r="E41" s="74" t="s">
        <v>1828</v>
      </c>
      <c r="F41" s="74" t="s">
        <v>1829</v>
      </c>
      <c r="G41" s="74" t="s">
        <v>1830</v>
      </c>
      <c r="H41" s="74" t="s">
        <v>1831</v>
      </c>
      <c r="I41" s="74" t="s">
        <v>1832</v>
      </c>
      <c r="J41" s="74" t="s">
        <v>1833</v>
      </c>
      <c r="K41" s="74" t="s">
        <v>1834</v>
      </c>
      <c r="L41" s="74" t="s">
        <v>1835</v>
      </c>
      <c r="M41" s="74" t="s">
        <v>1836</v>
      </c>
      <c r="N41" s="75" t="s">
        <v>1837</v>
      </c>
      <c r="O41" s="75" t="s">
        <v>1838</v>
      </c>
    </row>
    <row r="42" spans="1:15" s="71" customFormat="1" ht="12.75" x14ac:dyDescent="0.2">
      <c r="A42" s="76" t="s">
        <v>1839</v>
      </c>
      <c r="B42" s="311"/>
      <c r="C42" s="305"/>
      <c r="D42" s="306"/>
      <c r="E42" s="306"/>
      <c r="F42" s="306"/>
      <c r="G42" s="306"/>
      <c r="H42" s="306"/>
      <c r="I42" s="306"/>
      <c r="J42" s="306"/>
      <c r="K42" s="306"/>
      <c r="L42" s="306"/>
      <c r="M42" s="306"/>
      <c r="N42" s="307"/>
      <c r="O42" s="307">
        <f>SUM(B42:N42)</f>
        <v>0</v>
      </c>
    </row>
    <row r="43" spans="1:15" s="71" customFormat="1" ht="12.75" x14ac:dyDescent="0.2">
      <c r="A43" s="78"/>
      <c r="B43" s="312"/>
      <c r="C43" s="79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77"/>
      <c r="O43" s="77">
        <f>SUM(C43:N43)</f>
        <v>0</v>
      </c>
    </row>
    <row r="44" spans="1:15" s="71" customFormat="1" ht="12.75" x14ac:dyDescent="0.2">
      <c r="A44" s="78"/>
      <c r="B44" s="312"/>
      <c r="C44" s="81"/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  <c r="O44" s="77">
        <f>SUM(C44:N44)</f>
        <v>0</v>
      </c>
    </row>
    <row r="45" spans="1:15" s="71" customFormat="1" ht="12.75" x14ac:dyDescent="0.2">
      <c r="A45" s="308" t="str">
        <f>CONCATENATE("Ending Balance ", A40, " ", B40)</f>
        <v>Ending Balance 14105-002 LR - Electrical</v>
      </c>
      <c r="B45" s="313"/>
      <c r="C45" s="84">
        <f>SUM(C42:C44)</f>
        <v>0</v>
      </c>
      <c r="D45" s="84">
        <f t="shared" ref="D45:N45" si="5">SUM(D42:D44)</f>
        <v>0</v>
      </c>
      <c r="E45" s="84">
        <f t="shared" si="5"/>
        <v>0</v>
      </c>
      <c r="F45" s="84">
        <f t="shared" si="5"/>
        <v>0</v>
      </c>
      <c r="G45" s="84">
        <f t="shared" si="5"/>
        <v>0</v>
      </c>
      <c r="H45" s="84">
        <f t="shared" si="5"/>
        <v>0</v>
      </c>
      <c r="I45" s="84">
        <f t="shared" si="5"/>
        <v>0</v>
      </c>
      <c r="J45" s="84">
        <f t="shared" si="5"/>
        <v>0</v>
      </c>
      <c r="K45" s="84">
        <f t="shared" si="5"/>
        <v>0</v>
      </c>
      <c r="L45" s="84">
        <f t="shared" si="5"/>
        <v>0</v>
      </c>
      <c r="M45" s="84">
        <f t="shared" si="5"/>
        <v>0</v>
      </c>
      <c r="N45" s="84">
        <f t="shared" si="5"/>
        <v>0</v>
      </c>
      <c r="O45" s="85">
        <f>SUM(O42:O44)</f>
        <v>0</v>
      </c>
    </row>
    <row r="46" spans="1:15" s="71" customFormat="1" ht="12.75" x14ac:dyDescent="0.2">
      <c r="B46" s="314"/>
    </row>
    <row r="47" spans="1:15" s="71" customFormat="1" ht="12.75" x14ac:dyDescent="0.2">
      <c r="A47" s="86" t="s">
        <v>1845</v>
      </c>
      <c r="B47" s="310" t="str">
        <f>IFERROR(IF(A47="","",VLOOKUP(A47,'Mapped COA'!A:G,2,0)),IF(A47="","",VLOOKUP(A47,COA!A:G,2,0)))</f>
        <v>LR - Plumbing</v>
      </c>
      <c r="C47" s="86"/>
      <c r="D47" s="87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</row>
    <row r="48" spans="1:15" s="71" customFormat="1" ht="13.7" customHeight="1" x14ac:dyDescent="0.2">
      <c r="A48" s="72" t="s">
        <v>1824</v>
      </c>
      <c r="B48" s="334" t="s">
        <v>1825</v>
      </c>
      <c r="C48" s="73" t="s">
        <v>1826</v>
      </c>
      <c r="D48" s="74" t="s">
        <v>1827</v>
      </c>
      <c r="E48" s="74" t="s">
        <v>1828</v>
      </c>
      <c r="F48" s="74" t="s">
        <v>1829</v>
      </c>
      <c r="G48" s="74" t="s">
        <v>1830</v>
      </c>
      <c r="H48" s="74" t="s">
        <v>1831</v>
      </c>
      <c r="I48" s="74" t="s">
        <v>1832</v>
      </c>
      <c r="J48" s="74" t="s">
        <v>1833</v>
      </c>
      <c r="K48" s="74" t="s">
        <v>1834</v>
      </c>
      <c r="L48" s="74" t="s">
        <v>1835</v>
      </c>
      <c r="M48" s="74" t="s">
        <v>1836</v>
      </c>
      <c r="N48" s="75" t="s">
        <v>1837</v>
      </c>
      <c r="O48" s="75" t="s">
        <v>1838</v>
      </c>
    </row>
    <row r="49" spans="1:15" s="71" customFormat="1" ht="12.75" x14ac:dyDescent="0.2">
      <c r="A49" s="76" t="s">
        <v>1839</v>
      </c>
      <c r="B49" s="311"/>
      <c r="C49" s="305"/>
      <c r="D49" s="306"/>
      <c r="E49" s="306"/>
      <c r="F49" s="306"/>
      <c r="G49" s="306"/>
      <c r="H49" s="306"/>
      <c r="I49" s="306"/>
      <c r="J49" s="306"/>
      <c r="K49" s="306"/>
      <c r="L49" s="306"/>
      <c r="M49" s="306"/>
      <c r="N49" s="307"/>
      <c r="O49" s="307">
        <f>SUM(B49:N49)</f>
        <v>0</v>
      </c>
    </row>
    <row r="50" spans="1:15" s="71" customFormat="1" ht="12.75" x14ac:dyDescent="0.2">
      <c r="A50" s="78"/>
      <c r="B50" s="312"/>
      <c r="C50" s="79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77"/>
      <c r="O50" s="77">
        <f>SUM(C50:N50)</f>
        <v>0</v>
      </c>
    </row>
    <row r="51" spans="1:15" s="71" customFormat="1" ht="12.75" x14ac:dyDescent="0.2">
      <c r="A51" s="78"/>
      <c r="B51" s="312"/>
      <c r="C51" s="81"/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  <c r="O51" s="77">
        <f>SUM(C51:N51)</f>
        <v>0</v>
      </c>
    </row>
    <row r="52" spans="1:15" s="71" customFormat="1" ht="12.75" x14ac:dyDescent="0.2">
      <c r="A52" s="308" t="str">
        <f>CONCATENATE("Ending Balance ", A47, " ", B47)</f>
        <v>Ending Balance 14105-003 LR - Plumbing</v>
      </c>
      <c r="B52" s="313"/>
      <c r="C52" s="84">
        <f>SUM(C49:C51)</f>
        <v>0</v>
      </c>
      <c r="D52" s="84">
        <f t="shared" ref="D52:N52" si="6">SUM(D49:D51)</f>
        <v>0</v>
      </c>
      <c r="E52" s="84">
        <f t="shared" si="6"/>
        <v>0</v>
      </c>
      <c r="F52" s="84">
        <f t="shared" si="6"/>
        <v>0</v>
      </c>
      <c r="G52" s="84">
        <f t="shared" si="6"/>
        <v>0</v>
      </c>
      <c r="H52" s="84">
        <f t="shared" si="6"/>
        <v>0</v>
      </c>
      <c r="I52" s="84">
        <f t="shared" si="6"/>
        <v>0</v>
      </c>
      <c r="J52" s="84">
        <f t="shared" si="6"/>
        <v>0</v>
      </c>
      <c r="K52" s="84">
        <f t="shared" si="6"/>
        <v>0</v>
      </c>
      <c r="L52" s="84">
        <f t="shared" si="6"/>
        <v>0</v>
      </c>
      <c r="M52" s="84">
        <f t="shared" si="6"/>
        <v>0</v>
      </c>
      <c r="N52" s="84">
        <f t="shared" si="6"/>
        <v>0</v>
      </c>
      <c r="O52" s="85">
        <f>SUM(O49:O51)</f>
        <v>0</v>
      </c>
    </row>
    <row r="53" spans="1:15" s="71" customFormat="1" ht="12.75" x14ac:dyDescent="0.2">
      <c r="B53" s="314"/>
    </row>
    <row r="54" spans="1:15" s="71" customFormat="1" ht="12.75" x14ac:dyDescent="0.2">
      <c r="A54" s="86" t="s">
        <v>1846</v>
      </c>
      <c r="B54" s="310" t="str">
        <f>IFERROR(IF(A54="","",VLOOKUP(A54,'Mapped COA'!A:G,2,0)),IF(A54="","",VLOOKUP(A54,COA!A:G,2,0)))</f>
        <v>LR - Flooring</v>
      </c>
      <c r="C54" s="86"/>
      <c r="D54" s="87"/>
      <c r="E54" s="87"/>
      <c r="F54" s="87"/>
      <c r="G54" s="87"/>
      <c r="H54" s="87"/>
      <c r="I54" s="87"/>
      <c r="J54" s="87"/>
      <c r="K54" s="87"/>
      <c r="L54" s="87"/>
      <c r="M54" s="87"/>
      <c r="N54" s="87"/>
      <c r="O54" s="87"/>
    </row>
    <row r="55" spans="1:15" s="71" customFormat="1" ht="13.7" customHeight="1" x14ac:dyDescent="0.2">
      <c r="A55" s="72" t="s">
        <v>1824</v>
      </c>
      <c r="B55" s="334" t="s">
        <v>1825</v>
      </c>
      <c r="C55" s="73" t="s">
        <v>1826</v>
      </c>
      <c r="D55" s="74" t="s">
        <v>1827</v>
      </c>
      <c r="E55" s="74" t="s">
        <v>1828</v>
      </c>
      <c r="F55" s="74" t="s">
        <v>1829</v>
      </c>
      <c r="G55" s="74" t="s">
        <v>1830</v>
      </c>
      <c r="H55" s="74" t="s">
        <v>1831</v>
      </c>
      <c r="I55" s="74" t="s">
        <v>1832</v>
      </c>
      <c r="J55" s="74" t="s">
        <v>1833</v>
      </c>
      <c r="K55" s="74" t="s">
        <v>1834</v>
      </c>
      <c r="L55" s="74" t="s">
        <v>1835</v>
      </c>
      <c r="M55" s="74" t="s">
        <v>1836</v>
      </c>
      <c r="N55" s="75" t="s">
        <v>1837</v>
      </c>
      <c r="O55" s="75" t="s">
        <v>1838</v>
      </c>
    </row>
    <row r="56" spans="1:15" s="71" customFormat="1" ht="12.75" x14ac:dyDescent="0.2">
      <c r="A56" s="76" t="s">
        <v>1839</v>
      </c>
      <c r="B56" s="311"/>
      <c r="C56" s="305"/>
      <c r="D56" s="306"/>
      <c r="E56" s="306"/>
      <c r="F56" s="306"/>
      <c r="G56" s="306"/>
      <c r="H56" s="306"/>
      <c r="I56" s="306"/>
      <c r="J56" s="306"/>
      <c r="K56" s="306"/>
      <c r="L56" s="306"/>
      <c r="M56" s="306"/>
      <c r="N56" s="307"/>
      <c r="O56" s="307">
        <f>SUM(B56:N56)</f>
        <v>0</v>
      </c>
    </row>
    <row r="57" spans="1:15" s="71" customFormat="1" ht="12.75" x14ac:dyDescent="0.2">
      <c r="A57" s="78"/>
      <c r="B57" s="312"/>
      <c r="C57" s="79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77"/>
      <c r="O57" s="77">
        <f>SUM(C57:N57)</f>
        <v>0</v>
      </c>
    </row>
    <row r="58" spans="1:15" s="71" customFormat="1" ht="12.75" x14ac:dyDescent="0.2">
      <c r="A58" s="78"/>
      <c r="B58" s="312"/>
      <c r="C58" s="81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  <c r="O58" s="77">
        <f>SUM(C58:N58)</f>
        <v>0</v>
      </c>
    </row>
    <row r="59" spans="1:15" s="71" customFormat="1" ht="12.75" x14ac:dyDescent="0.2">
      <c r="A59" s="308" t="str">
        <f>CONCATENATE("Ending Balance ", A54, " ", B54)</f>
        <v>Ending Balance 14105-004 LR - Flooring</v>
      </c>
      <c r="B59" s="313"/>
      <c r="C59" s="84">
        <f>SUM(C56:C58)</f>
        <v>0</v>
      </c>
      <c r="D59" s="84">
        <f t="shared" ref="D59:N59" si="7">SUM(D56:D58)</f>
        <v>0</v>
      </c>
      <c r="E59" s="84">
        <f t="shared" si="7"/>
        <v>0</v>
      </c>
      <c r="F59" s="84">
        <f t="shared" si="7"/>
        <v>0</v>
      </c>
      <c r="G59" s="84">
        <f t="shared" si="7"/>
        <v>0</v>
      </c>
      <c r="H59" s="84">
        <f t="shared" si="7"/>
        <v>0</v>
      </c>
      <c r="I59" s="84">
        <f t="shared" si="7"/>
        <v>0</v>
      </c>
      <c r="J59" s="84">
        <f t="shared" si="7"/>
        <v>0</v>
      </c>
      <c r="K59" s="84">
        <f t="shared" si="7"/>
        <v>0</v>
      </c>
      <c r="L59" s="84">
        <f t="shared" si="7"/>
        <v>0</v>
      </c>
      <c r="M59" s="84">
        <f t="shared" si="7"/>
        <v>0</v>
      </c>
      <c r="N59" s="84">
        <f t="shared" si="7"/>
        <v>0</v>
      </c>
      <c r="O59" s="85">
        <f>SUM(O56:O58)</f>
        <v>0</v>
      </c>
    </row>
    <row r="60" spans="1:15" s="71" customFormat="1" ht="12.75" x14ac:dyDescent="0.2">
      <c r="B60" s="314"/>
    </row>
    <row r="61" spans="1:15" s="71" customFormat="1" ht="12.75" x14ac:dyDescent="0.2">
      <c r="A61" s="86" t="s">
        <v>1847</v>
      </c>
      <c r="B61" s="310" t="str">
        <f>IFERROR(IF(A61="","",VLOOKUP(A61,'Mapped COA'!A:G,2,0)),IF(A61="","",VLOOKUP(A61,COA!A:G,2,0)))</f>
        <v>LR - Countertops / Cabinets</v>
      </c>
      <c r="C61" s="86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1:15" s="71" customFormat="1" ht="13.7" customHeight="1" x14ac:dyDescent="0.2">
      <c r="A62" s="72" t="s">
        <v>1824</v>
      </c>
      <c r="B62" s="334" t="s">
        <v>1825</v>
      </c>
      <c r="C62" s="73" t="s">
        <v>1826</v>
      </c>
      <c r="D62" s="74" t="s">
        <v>1827</v>
      </c>
      <c r="E62" s="74" t="s">
        <v>1828</v>
      </c>
      <c r="F62" s="74" t="s">
        <v>1829</v>
      </c>
      <c r="G62" s="74" t="s">
        <v>1830</v>
      </c>
      <c r="H62" s="74" t="s">
        <v>1831</v>
      </c>
      <c r="I62" s="74" t="s">
        <v>1832</v>
      </c>
      <c r="J62" s="74" t="s">
        <v>1833</v>
      </c>
      <c r="K62" s="74" t="s">
        <v>1834</v>
      </c>
      <c r="L62" s="74" t="s">
        <v>1835</v>
      </c>
      <c r="M62" s="74" t="s">
        <v>1836</v>
      </c>
      <c r="N62" s="75" t="s">
        <v>1837</v>
      </c>
      <c r="O62" s="75" t="s">
        <v>1838</v>
      </c>
    </row>
    <row r="63" spans="1:15" s="71" customFormat="1" ht="12.75" x14ac:dyDescent="0.2">
      <c r="A63" s="76" t="s">
        <v>1839</v>
      </c>
      <c r="B63" s="311"/>
      <c r="C63" s="305"/>
      <c r="D63" s="306"/>
      <c r="E63" s="306"/>
      <c r="F63" s="306"/>
      <c r="G63" s="306"/>
      <c r="H63" s="306"/>
      <c r="I63" s="306"/>
      <c r="J63" s="306"/>
      <c r="K63" s="306"/>
      <c r="L63" s="306"/>
      <c r="M63" s="306"/>
      <c r="N63" s="307"/>
      <c r="O63" s="307">
        <f>SUM(B63:N63)</f>
        <v>0</v>
      </c>
    </row>
    <row r="64" spans="1:15" s="71" customFormat="1" ht="12.75" x14ac:dyDescent="0.2">
      <c r="A64" s="78"/>
      <c r="B64" s="312"/>
      <c r="C64" s="79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77"/>
      <c r="O64" s="77">
        <f>SUM(C64:N64)</f>
        <v>0</v>
      </c>
    </row>
    <row r="65" spans="1:15" s="71" customFormat="1" ht="12.75" x14ac:dyDescent="0.2">
      <c r="A65" s="78"/>
      <c r="B65" s="312"/>
      <c r="C65" s="81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  <c r="O65" s="77">
        <f>SUM(C65:N65)</f>
        <v>0</v>
      </c>
    </row>
    <row r="66" spans="1:15" s="71" customFormat="1" ht="12.75" x14ac:dyDescent="0.2">
      <c r="A66" s="308" t="str">
        <f>CONCATENATE("Ending Balance ", A61, " ", B61)</f>
        <v>Ending Balance 14105-005 LR - Countertops / Cabinets</v>
      </c>
      <c r="B66" s="313"/>
      <c r="C66" s="84">
        <f>SUM(C63:C65)</f>
        <v>0</v>
      </c>
      <c r="D66" s="84">
        <f t="shared" ref="D66:N66" si="8">SUM(D63:D65)</f>
        <v>0</v>
      </c>
      <c r="E66" s="84">
        <f t="shared" si="8"/>
        <v>0</v>
      </c>
      <c r="F66" s="84">
        <f t="shared" si="8"/>
        <v>0</v>
      </c>
      <c r="G66" s="84">
        <f t="shared" si="8"/>
        <v>0</v>
      </c>
      <c r="H66" s="84">
        <f t="shared" si="8"/>
        <v>0</v>
      </c>
      <c r="I66" s="84">
        <f t="shared" si="8"/>
        <v>0</v>
      </c>
      <c r="J66" s="84">
        <f t="shared" si="8"/>
        <v>0</v>
      </c>
      <c r="K66" s="84">
        <f t="shared" si="8"/>
        <v>0</v>
      </c>
      <c r="L66" s="84">
        <f t="shared" si="8"/>
        <v>0</v>
      </c>
      <c r="M66" s="84">
        <f t="shared" si="8"/>
        <v>0</v>
      </c>
      <c r="N66" s="84">
        <f t="shared" si="8"/>
        <v>0</v>
      </c>
      <c r="O66" s="85">
        <f>SUM(O63:O65)</f>
        <v>0</v>
      </c>
    </row>
    <row r="67" spans="1:15" s="71" customFormat="1" ht="12.75" x14ac:dyDescent="0.2">
      <c r="B67" s="314"/>
    </row>
    <row r="68" spans="1:15" s="71" customFormat="1" ht="12.75" x14ac:dyDescent="0.2">
      <c r="A68" s="86" t="s">
        <v>1848</v>
      </c>
      <c r="B68" s="310" t="str">
        <f>IFERROR(IF(A68="","",VLOOKUP(A68,'Mapped COA'!A:G,2,0)),IF(A68="","",VLOOKUP(A68,COA!A:G,2,0)))</f>
        <v>LR - Appliances</v>
      </c>
      <c r="C68" s="86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</row>
    <row r="69" spans="1:15" s="71" customFormat="1" ht="13.7" customHeight="1" x14ac:dyDescent="0.2">
      <c r="A69" s="72" t="s">
        <v>1824</v>
      </c>
      <c r="B69" s="334" t="s">
        <v>1825</v>
      </c>
      <c r="C69" s="73" t="s">
        <v>1826</v>
      </c>
      <c r="D69" s="74" t="s">
        <v>1827</v>
      </c>
      <c r="E69" s="74" t="s">
        <v>1828</v>
      </c>
      <c r="F69" s="74" t="s">
        <v>1829</v>
      </c>
      <c r="G69" s="74" t="s">
        <v>1830</v>
      </c>
      <c r="H69" s="74" t="s">
        <v>1831</v>
      </c>
      <c r="I69" s="74" t="s">
        <v>1832</v>
      </c>
      <c r="J69" s="74" t="s">
        <v>1833</v>
      </c>
      <c r="K69" s="74" t="s">
        <v>1834</v>
      </c>
      <c r="L69" s="74" t="s">
        <v>1835</v>
      </c>
      <c r="M69" s="74" t="s">
        <v>1836</v>
      </c>
      <c r="N69" s="75" t="s">
        <v>1837</v>
      </c>
      <c r="O69" s="75" t="s">
        <v>1838</v>
      </c>
    </row>
    <row r="70" spans="1:15" s="71" customFormat="1" ht="12.75" x14ac:dyDescent="0.2">
      <c r="A70" s="76" t="s">
        <v>1839</v>
      </c>
      <c r="B70" s="311"/>
      <c r="C70" s="305"/>
      <c r="D70" s="306"/>
      <c r="E70" s="306"/>
      <c r="F70" s="306"/>
      <c r="G70" s="306"/>
      <c r="H70" s="306"/>
      <c r="I70" s="306"/>
      <c r="J70" s="306"/>
      <c r="K70" s="306"/>
      <c r="L70" s="306"/>
      <c r="M70" s="306"/>
      <c r="N70" s="307"/>
      <c r="O70" s="307">
        <f>SUM(B70:N70)</f>
        <v>0</v>
      </c>
    </row>
    <row r="71" spans="1:15" s="71" customFormat="1" ht="12.75" x14ac:dyDescent="0.2">
      <c r="A71" s="78"/>
      <c r="B71" s="312"/>
      <c r="C71" s="79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77"/>
      <c r="O71" s="77">
        <f>SUM(C71:N71)</f>
        <v>0</v>
      </c>
    </row>
    <row r="72" spans="1:15" s="71" customFormat="1" ht="12.75" x14ac:dyDescent="0.2">
      <c r="A72" s="78"/>
      <c r="B72" s="312"/>
      <c r="C72" s="81"/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  <c r="O72" s="77">
        <f>SUM(C72:N72)</f>
        <v>0</v>
      </c>
    </row>
    <row r="73" spans="1:15" s="71" customFormat="1" ht="12.75" x14ac:dyDescent="0.2">
      <c r="A73" s="308" t="str">
        <f>CONCATENATE("Ending Balance ", A68, " ", B68)</f>
        <v>Ending Balance 14105-006 LR - Appliances</v>
      </c>
      <c r="B73" s="313"/>
      <c r="C73" s="84">
        <f>SUM(C70:C72)</f>
        <v>0</v>
      </c>
      <c r="D73" s="84">
        <f t="shared" ref="D73:N73" si="9">SUM(D70:D72)</f>
        <v>0</v>
      </c>
      <c r="E73" s="84">
        <f t="shared" si="9"/>
        <v>0</v>
      </c>
      <c r="F73" s="84">
        <f t="shared" si="9"/>
        <v>0</v>
      </c>
      <c r="G73" s="84">
        <f t="shared" si="9"/>
        <v>0</v>
      </c>
      <c r="H73" s="84">
        <f t="shared" si="9"/>
        <v>0</v>
      </c>
      <c r="I73" s="84">
        <f t="shared" si="9"/>
        <v>0</v>
      </c>
      <c r="J73" s="84">
        <f t="shared" si="9"/>
        <v>0</v>
      </c>
      <c r="K73" s="84">
        <f t="shared" si="9"/>
        <v>0</v>
      </c>
      <c r="L73" s="84">
        <f t="shared" si="9"/>
        <v>0</v>
      </c>
      <c r="M73" s="84">
        <f t="shared" si="9"/>
        <v>0</v>
      </c>
      <c r="N73" s="84">
        <f t="shared" si="9"/>
        <v>0</v>
      </c>
      <c r="O73" s="85">
        <f>SUM(O70:O72)</f>
        <v>0</v>
      </c>
    </row>
    <row r="74" spans="1:15" s="71" customFormat="1" ht="12.75" x14ac:dyDescent="0.2">
      <c r="B74" s="314"/>
    </row>
    <row r="75" spans="1:15" s="71" customFormat="1" ht="12.75" x14ac:dyDescent="0.2">
      <c r="A75" s="86" t="s">
        <v>1849</v>
      </c>
      <c r="B75" s="310" t="str">
        <f>IFERROR(IF(A75="","",VLOOKUP(A75,'Mapped COA'!A:G,2,0)),IF(A75="","",VLOOKUP(A75,COA!A:G,2,0)))</f>
        <v>LR - Hardware</v>
      </c>
      <c r="C75" s="86"/>
      <c r="D75" s="87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</row>
    <row r="76" spans="1:15" s="71" customFormat="1" ht="13.7" customHeight="1" x14ac:dyDescent="0.2">
      <c r="A76" s="72" t="s">
        <v>1824</v>
      </c>
      <c r="B76" s="334" t="s">
        <v>1825</v>
      </c>
      <c r="C76" s="73" t="s">
        <v>1826</v>
      </c>
      <c r="D76" s="74" t="s">
        <v>1827</v>
      </c>
      <c r="E76" s="74" t="s">
        <v>1828</v>
      </c>
      <c r="F76" s="74" t="s">
        <v>1829</v>
      </c>
      <c r="G76" s="74" t="s">
        <v>1830</v>
      </c>
      <c r="H76" s="74" t="s">
        <v>1831</v>
      </c>
      <c r="I76" s="74" t="s">
        <v>1832</v>
      </c>
      <c r="J76" s="74" t="s">
        <v>1833</v>
      </c>
      <c r="K76" s="74" t="s">
        <v>1834</v>
      </c>
      <c r="L76" s="74" t="s">
        <v>1835</v>
      </c>
      <c r="M76" s="74" t="s">
        <v>1836</v>
      </c>
      <c r="N76" s="75" t="s">
        <v>1837</v>
      </c>
      <c r="O76" s="75" t="s">
        <v>1838</v>
      </c>
    </row>
    <row r="77" spans="1:15" s="71" customFormat="1" ht="12.75" x14ac:dyDescent="0.2">
      <c r="A77" s="76" t="s">
        <v>1839</v>
      </c>
      <c r="B77" s="311"/>
      <c r="C77" s="305"/>
      <c r="D77" s="306"/>
      <c r="E77" s="306"/>
      <c r="F77" s="306"/>
      <c r="G77" s="306"/>
      <c r="H77" s="306"/>
      <c r="I77" s="306"/>
      <c r="J77" s="306"/>
      <c r="K77" s="306"/>
      <c r="L77" s="306"/>
      <c r="M77" s="306"/>
      <c r="N77" s="307"/>
      <c r="O77" s="307">
        <f>SUM(B77:N77)</f>
        <v>0</v>
      </c>
    </row>
    <row r="78" spans="1:15" s="71" customFormat="1" ht="12.75" x14ac:dyDescent="0.2">
      <c r="A78" s="78"/>
      <c r="B78" s="312"/>
      <c r="C78" s="79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77"/>
      <c r="O78" s="77">
        <f>SUM(C78:N78)</f>
        <v>0</v>
      </c>
    </row>
    <row r="79" spans="1:15" s="71" customFormat="1" ht="12.75" x14ac:dyDescent="0.2">
      <c r="A79" s="78"/>
      <c r="B79" s="312"/>
      <c r="C79" s="81"/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  <c r="O79" s="77">
        <f>SUM(C79:N79)</f>
        <v>0</v>
      </c>
    </row>
    <row r="80" spans="1:15" s="71" customFormat="1" ht="12.75" x14ac:dyDescent="0.2">
      <c r="A80" s="308" t="str">
        <f>CONCATENATE("Ending Balance ", A75, " ", B75)</f>
        <v>Ending Balance 14105-007 LR - Hardware</v>
      </c>
      <c r="B80" s="313"/>
      <c r="C80" s="84">
        <f>SUM(C77:C79)</f>
        <v>0</v>
      </c>
      <c r="D80" s="84">
        <f t="shared" ref="D80:N80" si="10">SUM(D77:D79)</f>
        <v>0</v>
      </c>
      <c r="E80" s="84">
        <f t="shared" si="10"/>
        <v>0</v>
      </c>
      <c r="F80" s="84">
        <f t="shared" si="10"/>
        <v>0</v>
      </c>
      <c r="G80" s="84">
        <f t="shared" si="10"/>
        <v>0</v>
      </c>
      <c r="H80" s="84">
        <f t="shared" si="10"/>
        <v>0</v>
      </c>
      <c r="I80" s="84">
        <f t="shared" si="10"/>
        <v>0</v>
      </c>
      <c r="J80" s="84">
        <f t="shared" si="10"/>
        <v>0</v>
      </c>
      <c r="K80" s="84">
        <f t="shared" si="10"/>
        <v>0</v>
      </c>
      <c r="L80" s="84">
        <f t="shared" si="10"/>
        <v>0</v>
      </c>
      <c r="M80" s="84">
        <f t="shared" si="10"/>
        <v>0</v>
      </c>
      <c r="N80" s="84">
        <f t="shared" si="10"/>
        <v>0</v>
      </c>
      <c r="O80" s="85">
        <f>SUM(O77:O79)</f>
        <v>0</v>
      </c>
    </row>
    <row r="81" spans="1:15" s="71" customFormat="1" ht="12.75" x14ac:dyDescent="0.2">
      <c r="B81" s="314"/>
    </row>
    <row r="82" spans="1:15" s="71" customFormat="1" ht="12.6" customHeight="1" x14ac:dyDescent="0.2">
      <c r="A82" s="86" t="s">
        <v>1850</v>
      </c>
      <c r="B82" s="310" t="str">
        <f>IFERROR(IF(A82="","",VLOOKUP(A82,'Mapped COA'!A:G,2,0)),IF(A82="","",VLOOKUP(A82,COA!A:G,2,0)))</f>
        <v>LR - Carpentry</v>
      </c>
      <c r="C82" s="86"/>
      <c r="D82" s="87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</row>
    <row r="83" spans="1:15" s="71" customFormat="1" ht="13.7" customHeight="1" x14ac:dyDescent="0.2">
      <c r="A83" s="72" t="s">
        <v>1824</v>
      </c>
      <c r="B83" s="334" t="s">
        <v>1825</v>
      </c>
      <c r="C83" s="73" t="s">
        <v>1826</v>
      </c>
      <c r="D83" s="74" t="s">
        <v>1827</v>
      </c>
      <c r="E83" s="74" t="s">
        <v>1828</v>
      </c>
      <c r="F83" s="74" t="s">
        <v>1829</v>
      </c>
      <c r="G83" s="74" t="s">
        <v>1830</v>
      </c>
      <c r="H83" s="74" t="s">
        <v>1831</v>
      </c>
      <c r="I83" s="74" t="s">
        <v>1832</v>
      </c>
      <c r="J83" s="74" t="s">
        <v>1833</v>
      </c>
      <c r="K83" s="74" t="s">
        <v>1834</v>
      </c>
      <c r="L83" s="74" t="s">
        <v>1835</v>
      </c>
      <c r="M83" s="74" t="s">
        <v>1836</v>
      </c>
      <c r="N83" s="75" t="s">
        <v>1837</v>
      </c>
      <c r="O83" s="75" t="s">
        <v>1838</v>
      </c>
    </row>
    <row r="84" spans="1:15" s="71" customFormat="1" ht="12.75" x14ac:dyDescent="0.2">
      <c r="A84" s="76" t="s">
        <v>1839</v>
      </c>
      <c r="B84" s="311"/>
      <c r="C84" s="305"/>
      <c r="D84" s="306"/>
      <c r="E84" s="306"/>
      <c r="F84" s="306"/>
      <c r="G84" s="306"/>
      <c r="H84" s="306"/>
      <c r="I84" s="306"/>
      <c r="J84" s="306"/>
      <c r="K84" s="306"/>
      <c r="L84" s="306"/>
      <c r="M84" s="306"/>
      <c r="N84" s="307"/>
      <c r="O84" s="307">
        <f>SUM(B84:N84)</f>
        <v>0</v>
      </c>
    </row>
    <row r="85" spans="1:15" s="71" customFormat="1" ht="12.75" x14ac:dyDescent="0.2">
      <c r="A85" s="78"/>
      <c r="B85" s="312"/>
      <c r="C85" s="79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77"/>
      <c r="O85" s="77">
        <f>SUM(C85:N85)</f>
        <v>0</v>
      </c>
    </row>
    <row r="86" spans="1:15" s="71" customFormat="1" ht="12.75" x14ac:dyDescent="0.2">
      <c r="A86" s="78"/>
      <c r="B86" s="312"/>
      <c r="C86" s="81"/>
      <c r="D86" s="82"/>
      <c r="E86" s="82"/>
      <c r="F86" s="82"/>
      <c r="G86" s="82"/>
      <c r="H86" s="82"/>
      <c r="I86" s="82"/>
      <c r="J86" s="82"/>
      <c r="K86" s="82"/>
      <c r="L86" s="82"/>
      <c r="M86" s="82"/>
      <c r="N86" s="83"/>
      <c r="O86" s="77">
        <f>SUM(C86:N86)</f>
        <v>0</v>
      </c>
    </row>
    <row r="87" spans="1:15" s="71" customFormat="1" ht="12.75" x14ac:dyDescent="0.2">
      <c r="A87" s="308" t="str">
        <f>CONCATENATE("Ending Balance ", A82, " ", B82)</f>
        <v>Ending Balance 14105-008 LR - Carpentry</v>
      </c>
      <c r="B87" s="313"/>
      <c r="C87" s="84">
        <f>SUM(C84:C86)</f>
        <v>0</v>
      </c>
      <c r="D87" s="84">
        <f t="shared" ref="D87:N87" si="11">SUM(D84:D86)</f>
        <v>0</v>
      </c>
      <c r="E87" s="84">
        <f t="shared" si="11"/>
        <v>0</v>
      </c>
      <c r="F87" s="84">
        <f t="shared" si="11"/>
        <v>0</v>
      </c>
      <c r="G87" s="84">
        <f t="shared" si="11"/>
        <v>0</v>
      </c>
      <c r="H87" s="84">
        <f t="shared" si="11"/>
        <v>0</v>
      </c>
      <c r="I87" s="84">
        <f t="shared" si="11"/>
        <v>0</v>
      </c>
      <c r="J87" s="84">
        <f t="shared" si="11"/>
        <v>0</v>
      </c>
      <c r="K87" s="84">
        <f t="shared" si="11"/>
        <v>0</v>
      </c>
      <c r="L87" s="84">
        <f t="shared" si="11"/>
        <v>0</v>
      </c>
      <c r="M87" s="84">
        <f t="shared" si="11"/>
        <v>0</v>
      </c>
      <c r="N87" s="84">
        <f t="shared" si="11"/>
        <v>0</v>
      </c>
      <c r="O87" s="85">
        <f>SUM(O84:O86)</f>
        <v>0</v>
      </c>
    </row>
    <row r="88" spans="1:15" s="71" customFormat="1" ht="12.75" x14ac:dyDescent="0.2">
      <c r="B88" s="314"/>
    </row>
    <row r="89" spans="1:15" s="71" customFormat="1" ht="12.75" x14ac:dyDescent="0.2">
      <c r="A89" s="86" t="s">
        <v>1851</v>
      </c>
      <c r="B89" s="310" t="str">
        <f>IFERROR(IF(A89="","",VLOOKUP(A89,'Mapped COA'!A:G,2,0)),IF(A89="","",VLOOKUP(A89,COA!A:G,2,0)))</f>
        <v>LR - Other</v>
      </c>
      <c r="C89" s="86"/>
      <c r="D89" s="87"/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</row>
    <row r="90" spans="1:15" s="71" customFormat="1" ht="13.7" customHeight="1" x14ac:dyDescent="0.2">
      <c r="A90" s="72" t="s">
        <v>1824</v>
      </c>
      <c r="B90" s="334" t="s">
        <v>1825</v>
      </c>
      <c r="C90" s="73" t="s">
        <v>1826</v>
      </c>
      <c r="D90" s="74" t="s">
        <v>1827</v>
      </c>
      <c r="E90" s="74" t="s">
        <v>1828</v>
      </c>
      <c r="F90" s="74" t="s">
        <v>1829</v>
      </c>
      <c r="G90" s="74" t="s">
        <v>1830</v>
      </c>
      <c r="H90" s="74" t="s">
        <v>1831</v>
      </c>
      <c r="I90" s="74" t="s">
        <v>1832</v>
      </c>
      <c r="J90" s="74" t="s">
        <v>1833</v>
      </c>
      <c r="K90" s="74" t="s">
        <v>1834</v>
      </c>
      <c r="L90" s="74" t="s">
        <v>1835</v>
      </c>
      <c r="M90" s="74" t="s">
        <v>1836</v>
      </c>
      <c r="N90" s="75" t="s">
        <v>1837</v>
      </c>
      <c r="O90" s="75" t="s">
        <v>1838</v>
      </c>
    </row>
    <row r="91" spans="1:15" s="71" customFormat="1" ht="12.75" x14ac:dyDescent="0.2">
      <c r="A91" s="76" t="s">
        <v>1839</v>
      </c>
      <c r="B91" s="311"/>
      <c r="C91" s="305"/>
      <c r="D91" s="306"/>
      <c r="E91" s="306"/>
      <c r="F91" s="306"/>
      <c r="G91" s="306"/>
      <c r="H91" s="306"/>
      <c r="I91" s="306"/>
      <c r="J91" s="306"/>
      <c r="K91" s="306"/>
      <c r="L91" s="306"/>
      <c r="M91" s="306"/>
      <c r="N91" s="307"/>
      <c r="O91" s="307">
        <f>SUM(B91:N91)</f>
        <v>0</v>
      </c>
    </row>
    <row r="92" spans="1:15" s="71" customFormat="1" ht="12.75" x14ac:dyDescent="0.2">
      <c r="A92" s="78"/>
      <c r="B92" s="312"/>
      <c r="C92" s="79"/>
      <c r="D92" s="80"/>
      <c r="E92" s="80"/>
      <c r="F92" s="80"/>
      <c r="G92" s="80"/>
      <c r="H92" s="80"/>
      <c r="I92" s="80"/>
      <c r="J92" s="80"/>
      <c r="K92" s="80"/>
      <c r="L92" s="80"/>
      <c r="M92" s="80"/>
      <c r="N92" s="77"/>
      <c r="O92" s="77">
        <f>SUM(C92:N92)</f>
        <v>0</v>
      </c>
    </row>
    <row r="93" spans="1:15" s="71" customFormat="1" ht="12.75" x14ac:dyDescent="0.2">
      <c r="A93" s="78"/>
      <c r="B93" s="312"/>
      <c r="C93" s="81"/>
      <c r="D93" s="82"/>
      <c r="E93" s="82"/>
      <c r="F93" s="82"/>
      <c r="G93" s="82"/>
      <c r="H93" s="82"/>
      <c r="I93" s="82"/>
      <c r="J93" s="82"/>
      <c r="K93" s="82"/>
      <c r="L93" s="82"/>
      <c r="M93" s="82"/>
      <c r="N93" s="83"/>
      <c r="O93" s="77">
        <f>SUM(C93:N93)</f>
        <v>0</v>
      </c>
    </row>
    <row r="94" spans="1:15" s="71" customFormat="1" ht="12.75" x14ac:dyDescent="0.2">
      <c r="A94" s="308" t="str">
        <f>CONCATENATE("Ending Balance ", A89, " ", B89)</f>
        <v>Ending Balance 14105-009 LR - Other</v>
      </c>
      <c r="B94" s="313"/>
      <c r="C94" s="84">
        <f>SUM(C91:C93)</f>
        <v>0</v>
      </c>
      <c r="D94" s="84">
        <f t="shared" ref="D94:N94" si="12">SUM(D91:D93)</f>
        <v>0</v>
      </c>
      <c r="E94" s="84">
        <f t="shared" si="12"/>
        <v>0</v>
      </c>
      <c r="F94" s="84">
        <f t="shared" si="12"/>
        <v>0</v>
      </c>
      <c r="G94" s="84">
        <f t="shared" si="12"/>
        <v>0</v>
      </c>
      <c r="H94" s="84">
        <f t="shared" si="12"/>
        <v>0</v>
      </c>
      <c r="I94" s="84">
        <f t="shared" si="12"/>
        <v>0</v>
      </c>
      <c r="J94" s="84">
        <f t="shared" si="12"/>
        <v>0</v>
      </c>
      <c r="K94" s="84">
        <f t="shared" si="12"/>
        <v>0</v>
      </c>
      <c r="L94" s="84">
        <f t="shared" si="12"/>
        <v>0</v>
      </c>
      <c r="M94" s="84">
        <f t="shared" si="12"/>
        <v>0</v>
      </c>
      <c r="N94" s="84">
        <f t="shared" si="12"/>
        <v>0</v>
      </c>
      <c r="O94" s="85">
        <f>SUM(O91:O93)</f>
        <v>0</v>
      </c>
    </row>
    <row r="95" spans="1:15" s="71" customFormat="1" ht="12.75" x14ac:dyDescent="0.2">
      <c r="B95" s="314"/>
    </row>
    <row r="96" spans="1:15" s="71" customFormat="1" ht="12.75" x14ac:dyDescent="0.2">
      <c r="A96" s="86" t="s">
        <v>1852</v>
      </c>
      <c r="B96" s="310" t="str">
        <f>IFERROR(IF(A96="","",VLOOKUP(A96,'Mapped COA'!A:G,2,0)),IF(A96="","",VLOOKUP(A96,COA!A:G,2,0)))</f>
        <v>Furniture Fixtures and Equip</v>
      </c>
      <c r="C96" s="86"/>
      <c r="D96" s="87"/>
      <c r="E96" s="87"/>
      <c r="F96" s="87"/>
      <c r="G96" s="87"/>
      <c r="H96" s="87"/>
      <c r="I96" s="87"/>
      <c r="J96" s="87"/>
      <c r="K96" s="87"/>
      <c r="L96" s="87"/>
      <c r="M96" s="87"/>
      <c r="N96" s="87"/>
      <c r="O96" s="87"/>
    </row>
    <row r="97" spans="1:15" s="71" customFormat="1" ht="13.7" customHeight="1" x14ac:dyDescent="0.2">
      <c r="A97" s="72" t="s">
        <v>1824</v>
      </c>
      <c r="B97" s="334" t="s">
        <v>1825</v>
      </c>
      <c r="C97" s="73" t="s">
        <v>1826</v>
      </c>
      <c r="D97" s="74" t="s">
        <v>1827</v>
      </c>
      <c r="E97" s="74" t="s">
        <v>1828</v>
      </c>
      <c r="F97" s="74" t="s">
        <v>1829</v>
      </c>
      <c r="G97" s="74" t="s">
        <v>1830</v>
      </c>
      <c r="H97" s="74" t="s">
        <v>1831</v>
      </c>
      <c r="I97" s="74" t="s">
        <v>1832</v>
      </c>
      <c r="J97" s="74" t="s">
        <v>1833</v>
      </c>
      <c r="K97" s="74" t="s">
        <v>1834</v>
      </c>
      <c r="L97" s="74" t="s">
        <v>1835</v>
      </c>
      <c r="M97" s="74" t="s">
        <v>1836</v>
      </c>
      <c r="N97" s="75" t="s">
        <v>1837</v>
      </c>
      <c r="O97" s="75" t="s">
        <v>1838</v>
      </c>
    </row>
    <row r="98" spans="1:15" s="71" customFormat="1" ht="12.75" x14ac:dyDescent="0.2">
      <c r="A98" s="76" t="s">
        <v>1839</v>
      </c>
      <c r="B98" s="311"/>
      <c r="C98" s="305"/>
      <c r="D98" s="306"/>
      <c r="E98" s="306"/>
      <c r="F98" s="306"/>
      <c r="G98" s="306"/>
      <c r="H98" s="306"/>
      <c r="I98" s="306"/>
      <c r="J98" s="306"/>
      <c r="K98" s="306"/>
      <c r="L98" s="306"/>
      <c r="M98" s="306"/>
      <c r="N98" s="307"/>
      <c r="O98" s="307">
        <f>SUM(B98:N98)</f>
        <v>0</v>
      </c>
    </row>
    <row r="99" spans="1:15" s="71" customFormat="1" ht="12.75" x14ac:dyDescent="0.2">
      <c r="A99" s="78"/>
      <c r="B99" s="312"/>
      <c r="C99" s="79"/>
      <c r="D99" s="80"/>
      <c r="E99" s="80"/>
      <c r="F99" s="80"/>
      <c r="G99" s="80"/>
      <c r="H99" s="80"/>
      <c r="I99" s="80"/>
      <c r="J99" s="80"/>
      <c r="K99" s="80"/>
      <c r="L99" s="80"/>
      <c r="M99" s="80"/>
      <c r="N99" s="77"/>
      <c r="O99" s="77">
        <f>SUM(C99:N99)</f>
        <v>0</v>
      </c>
    </row>
    <row r="100" spans="1:15" s="71" customFormat="1" ht="12.75" x14ac:dyDescent="0.2">
      <c r="A100" s="78"/>
      <c r="B100" s="312"/>
      <c r="C100" s="81"/>
      <c r="D100" s="82"/>
      <c r="E100" s="82"/>
      <c r="F100" s="82"/>
      <c r="G100" s="82"/>
      <c r="H100" s="82"/>
      <c r="I100" s="82"/>
      <c r="J100" s="82"/>
      <c r="K100" s="82"/>
      <c r="L100" s="82"/>
      <c r="M100" s="82"/>
      <c r="N100" s="83"/>
      <c r="O100" s="77">
        <f>SUM(C100:N100)</f>
        <v>0</v>
      </c>
    </row>
    <row r="101" spans="1:15" s="71" customFormat="1" ht="12.75" x14ac:dyDescent="0.2">
      <c r="A101" s="308" t="str">
        <f>CONCATENATE("Ending Balance ", A96, " ", B96)</f>
        <v>Ending Balance 14260-000 Furniture Fixtures and Equip</v>
      </c>
      <c r="B101" s="313"/>
      <c r="C101" s="84">
        <f>SUM(C98:C100)</f>
        <v>0</v>
      </c>
      <c r="D101" s="84">
        <f t="shared" ref="D101:N101" si="13">SUM(D98:D100)</f>
        <v>0</v>
      </c>
      <c r="E101" s="84">
        <f t="shared" si="13"/>
        <v>0</v>
      </c>
      <c r="F101" s="84">
        <f t="shared" si="13"/>
        <v>0</v>
      </c>
      <c r="G101" s="84">
        <f t="shared" si="13"/>
        <v>0</v>
      </c>
      <c r="H101" s="84">
        <f t="shared" si="13"/>
        <v>0</v>
      </c>
      <c r="I101" s="84">
        <f t="shared" si="13"/>
        <v>0</v>
      </c>
      <c r="J101" s="84">
        <f t="shared" si="13"/>
        <v>0</v>
      </c>
      <c r="K101" s="84">
        <f t="shared" si="13"/>
        <v>0</v>
      </c>
      <c r="L101" s="84">
        <f t="shared" si="13"/>
        <v>0</v>
      </c>
      <c r="M101" s="84">
        <f t="shared" si="13"/>
        <v>0</v>
      </c>
      <c r="N101" s="84">
        <f t="shared" si="13"/>
        <v>0</v>
      </c>
      <c r="O101" s="85">
        <f>SUM(O98:O100)</f>
        <v>0</v>
      </c>
    </row>
    <row r="102" spans="1:15" s="71" customFormat="1" ht="12.75" x14ac:dyDescent="0.2">
      <c r="B102" s="314"/>
    </row>
    <row r="103" spans="1:15" s="71" customFormat="1" ht="12.75" x14ac:dyDescent="0.2">
      <c r="A103" s="86" t="s">
        <v>1853</v>
      </c>
      <c r="B103" s="310" t="str">
        <f>IFERROR(IF(A103="","",VLOOKUP(A103,'Mapped COA'!A:G,2,0)),IF(A103="","",VLOOKUP(A103,COA!A:G,2,0)))</f>
        <v>Floor / Tile</v>
      </c>
      <c r="C103" s="86"/>
      <c r="D103" s="87"/>
      <c r="E103" s="87"/>
      <c r="F103" s="87"/>
      <c r="G103" s="87"/>
      <c r="H103" s="87"/>
      <c r="I103" s="87"/>
      <c r="J103" s="87"/>
      <c r="K103" s="87"/>
      <c r="L103" s="87"/>
      <c r="M103" s="87"/>
      <c r="N103" s="87"/>
      <c r="O103" s="87"/>
    </row>
    <row r="104" spans="1:15" s="71" customFormat="1" ht="13.7" customHeight="1" x14ac:dyDescent="0.2">
      <c r="A104" s="72" t="s">
        <v>1824</v>
      </c>
      <c r="B104" s="334" t="s">
        <v>1825</v>
      </c>
      <c r="C104" s="73" t="s">
        <v>1826</v>
      </c>
      <c r="D104" s="74" t="s">
        <v>1827</v>
      </c>
      <c r="E104" s="74" t="s">
        <v>1828</v>
      </c>
      <c r="F104" s="74" t="s">
        <v>1829</v>
      </c>
      <c r="G104" s="74" t="s">
        <v>1830</v>
      </c>
      <c r="H104" s="74" t="s">
        <v>1831</v>
      </c>
      <c r="I104" s="74" t="s">
        <v>1832</v>
      </c>
      <c r="J104" s="74" t="s">
        <v>1833</v>
      </c>
      <c r="K104" s="74" t="s">
        <v>1834</v>
      </c>
      <c r="L104" s="74" t="s">
        <v>1835</v>
      </c>
      <c r="M104" s="74" t="s">
        <v>1836</v>
      </c>
      <c r="N104" s="75" t="s">
        <v>1837</v>
      </c>
      <c r="O104" s="75" t="s">
        <v>1838</v>
      </c>
    </row>
    <row r="105" spans="1:15" s="71" customFormat="1" ht="12.75" x14ac:dyDescent="0.2">
      <c r="A105" s="76" t="s">
        <v>1839</v>
      </c>
      <c r="B105" s="311">
        <v>0</v>
      </c>
      <c r="C105" s="305"/>
      <c r="D105" s="306"/>
      <c r="E105" s="306"/>
      <c r="F105" s="306"/>
      <c r="G105" s="306"/>
      <c r="H105" s="306"/>
      <c r="I105" s="306"/>
      <c r="J105" s="306"/>
      <c r="K105" s="306"/>
      <c r="L105" s="306"/>
      <c r="M105" s="306"/>
      <c r="N105" s="307"/>
      <c r="O105" s="307">
        <f>SUM(B105:N105)</f>
        <v>0</v>
      </c>
    </row>
    <row r="106" spans="1:15" s="71" customFormat="1" ht="12.75" x14ac:dyDescent="0.2">
      <c r="A106" s="78"/>
      <c r="B106" s="312"/>
      <c r="C106" s="79"/>
      <c r="D106" s="80"/>
      <c r="E106" s="80"/>
      <c r="F106" s="80"/>
      <c r="G106" s="80"/>
      <c r="H106" s="80"/>
      <c r="I106" s="80"/>
      <c r="J106" s="80"/>
      <c r="K106" s="80"/>
      <c r="L106" s="80"/>
      <c r="M106" s="80"/>
      <c r="N106" s="77"/>
      <c r="O106" s="77">
        <f>SUM(C106:N106)</f>
        <v>0</v>
      </c>
    </row>
    <row r="107" spans="1:15" s="71" customFormat="1" ht="12.75" x14ac:dyDescent="0.2">
      <c r="A107" s="78"/>
      <c r="B107" s="312"/>
      <c r="C107" s="81"/>
      <c r="D107" s="82"/>
      <c r="E107" s="82"/>
      <c r="F107" s="82"/>
      <c r="G107" s="82"/>
      <c r="H107" s="82"/>
      <c r="I107" s="82"/>
      <c r="J107" s="82"/>
      <c r="K107" s="82"/>
      <c r="L107" s="82"/>
      <c r="M107" s="82"/>
      <c r="N107" s="83"/>
      <c r="O107" s="77">
        <f>SUM(C107:N107)</f>
        <v>0</v>
      </c>
    </row>
    <row r="108" spans="1:15" s="71" customFormat="1" ht="12.75" x14ac:dyDescent="0.2">
      <c r="A108" s="308" t="str">
        <f>CONCATENATE("Ending Balance ", A103, " ", B103)</f>
        <v>Ending Balance 14300-000 Floor / Tile</v>
      </c>
      <c r="B108" s="313"/>
      <c r="C108" s="84">
        <f>SUM(C105:C107)</f>
        <v>0</v>
      </c>
      <c r="D108" s="84">
        <f t="shared" ref="D108:N108" si="14">SUM(D105:D107)</f>
        <v>0</v>
      </c>
      <c r="E108" s="84">
        <f t="shared" si="14"/>
        <v>0</v>
      </c>
      <c r="F108" s="84">
        <f t="shared" si="14"/>
        <v>0</v>
      </c>
      <c r="G108" s="84">
        <f t="shared" si="14"/>
        <v>0</v>
      </c>
      <c r="H108" s="84">
        <f t="shared" si="14"/>
        <v>0</v>
      </c>
      <c r="I108" s="84">
        <f t="shared" si="14"/>
        <v>0</v>
      </c>
      <c r="J108" s="84">
        <f t="shared" si="14"/>
        <v>0</v>
      </c>
      <c r="K108" s="84">
        <f t="shared" si="14"/>
        <v>0</v>
      </c>
      <c r="L108" s="84">
        <f t="shared" si="14"/>
        <v>0</v>
      </c>
      <c r="M108" s="84">
        <f t="shared" si="14"/>
        <v>0</v>
      </c>
      <c r="N108" s="84">
        <f t="shared" si="14"/>
        <v>0</v>
      </c>
      <c r="O108" s="85">
        <f>SUM(O105:O107)</f>
        <v>0</v>
      </c>
    </row>
    <row r="109" spans="1:15" s="71" customFormat="1" ht="12.75" x14ac:dyDescent="0.2">
      <c r="B109" s="314"/>
    </row>
    <row r="110" spans="1:15" s="71" customFormat="1" ht="12.75" x14ac:dyDescent="0.2">
      <c r="A110" s="86" t="s">
        <v>1854</v>
      </c>
      <c r="B110" s="310" t="str">
        <f>IFERROR(IF(A110="","",VLOOKUP(A110,'Mapped COA'!A:G,2,0)),IF(A110="","",VLOOKUP(A110,COA!A:G,2,0)))</f>
        <v>Floor - Rubber</v>
      </c>
      <c r="C110" s="86"/>
      <c r="D110" s="87"/>
      <c r="E110" s="87"/>
      <c r="F110" s="87"/>
      <c r="G110" s="87"/>
      <c r="H110" s="87"/>
      <c r="I110" s="87"/>
      <c r="J110" s="87"/>
      <c r="K110" s="87"/>
      <c r="L110" s="87"/>
      <c r="M110" s="87"/>
      <c r="N110" s="87"/>
      <c r="O110" s="87"/>
    </row>
    <row r="111" spans="1:15" s="71" customFormat="1" ht="13.7" customHeight="1" x14ac:dyDescent="0.2">
      <c r="A111" s="72" t="s">
        <v>1824</v>
      </c>
      <c r="B111" s="334" t="s">
        <v>1825</v>
      </c>
      <c r="C111" s="73" t="s">
        <v>1826</v>
      </c>
      <c r="D111" s="74" t="s">
        <v>1827</v>
      </c>
      <c r="E111" s="74" t="s">
        <v>1828</v>
      </c>
      <c r="F111" s="74" t="s">
        <v>1829</v>
      </c>
      <c r="G111" s="74" t="s">
        <v>1830</v>
      </c>
      <c r="H111" s="74" t="s">
        <v>1831</v>
      </c>
      <c r="I111" s="74" t="s">
        <v>1832</v>
      </c>
      <c r="J111" s="74" t="s">
        <v>1833</v>
      </c>
      <c r="K111" s="74" t="s">
        <v>1834</v>
      </c>
      <c r="L111" s="74" t="s">
        <v>1835</v>
      </c>
      <c r="M111" s="74" t="s">
        <v>1836</v>
      </c>
      <c r="N111" s="75" t="s">
        <v>1837</v>
      </c>
      <c r="O111" s="75" t="s">
        <v>1838</v>
      </c>
    </row>
    <row r="112" spans="1:15" s="71" customFormat="1" ht="12.75" x14ac:dyDescent="0.2">
      <c r="A112" s="76" t="s">
        <v>1839</v>
      </c>
      <c r="B112" s="311"/>
      <c r="C112" s="305"/>
      <c r="D112" s="306"/>
      <c r="E112" s="306"/>
      <c r="F112" s="306"/>
      <c r="G112" s="306"/>
      <c r="H112" s="306"/>
      <c r="I112" s="306"/>
      <c r="J112" s="306"/>
      <c r="K112" s="306"/>
      <c r="L112" s="306"/>
      <c r="M112" s="306"/>
      <c r="N112" s="307"/>
      <c r="O112" s="307">
        <f>SUM(B112:N112)</f>
        <v>0</v>
      </c>
    </row>
    <row r="113" spans="1:15" s="71" customFormat="1" ht="12.75" x14ac:dyDescent="0.2">
      <c r="A113" s="78"/>
      <c r="B113" s="312"/>
      <c r="C113" s="79"/>
      <c r="D113" s="80"/>
      <c r="E113" s="80"/>
      <c r="F113" s="80"/>
      <c r="G113" s="80"/>
      <c r="H113" s="80"/>
      <c r="I113" s="80"/>
      <c r="J113" s="80"/>
      <c r="K113" s="80"/>
      <c r="L113" s="80"/>
      <c r="M113" s="80"/>
      <c r="N113" s="77"/>
      <c r="O113" s="77">
        <f>SUM(C113:N113)</f>
        <v>0</v>
      </c>
    </row>
    <row r="114" spans="1:15" s="71" customFormat="1" ht="12.75" x14ac:dyDescent="0.2">
      <c r="A114" s="78"/>
      <c r="B114" s="312"/>
      <c r="C114" s="81"/>
      <c r="D114" s="82"/>
      <c r="E114" s="82"/>
      <c r="F114" s="82"/>
      <c r="G114" s="82"/>
      <c r="H114" s="82"/>
      <c r="I114" s="82"/>
      <c r="J114" s="82"/>
      <c r="K114" s="82"/>
      <c r="L114" s="82"/>
      <c r="M114" s="82"/>
      <c r="N114" s="83"/>
      <c r="O114" s="77">
        <f>SUM(C114:N114)</f>
        <v>0</v>
      </c>
    </row>
    <row r="115" spans="1:15" s="71" customFormat="1" ht="12.75" x14ac:dyDescent="0.2">
      <c r="A115" s="308" t="str">
        <f>CONCATENATE("Ending Balance ", A110, " ", B110)</f>
        <v>Ending Balance 14665-003 Floor - Rubber</v>
      </c>
      <c r="B115" s="313"/>
      <c r="C115" s="84">
        <f>SUM(C112:C114)</f>
        <v>0</v>
      </c>
      <c r="D115" s="84">
        <f t="shared" ref="D115:N115" si="15">SUM(D112:D114)</f>
        <v>0</v>
      </c>
      <c r="E115" s="84">
        <f t="shared" si="15"/>
        <v>0</v>
      </c>
      <c r="F115" s="84">
        <f t="shared" si="15"/>
        <v>0</v>
      </c>
      <c r="G115" s="84">
        <f t="shared" si="15"/>
        <v>0</v>
      </c>
      <c r="H115" s="84">
        <f t="shared" si="15"/>
        <v>0</v>
      </c>
      <c r="I115" s="84">
        <f t="shared" si="15"/>
        <v>0</v>
      </c>
      <c r="J115" s="84">
        <f t="shared" si="15"/>
        <v>0</v>
      </c>
      <c r="K115" s="84">
        <f t="shared" si="15"/>
        <v>0</v>
      </c>
      <c r="L115" s="84">
        <f t="shared" si="15"/>
        <v>0</v>
      </c>
      <c r="M115" s="84">
        <f t="shared" si="15"/>
        <v>0</v>
      </c>
      <c r="N115" s="84">
        <f t="shared" si="15"/>
        <v>0</v>
      </c>
      <c r="O115" s="85">
        <f>SUM(O112:O114)</f>
        <v>0</v>
      </c>
    </row>
    <row r="116" spans="1:15" s="71" customFormat="1" ht="13.5" thickBot="1" x14ac:dyDescent="0.25">
      <c r="B116" s="314"/>
    </row>
    <row r="117" spans="1:15" ht="16.5" customHeight="1" x14ac:dyDescent="0.25">
      <c r="A117" s="304" t="s">
        <v>1825</v>
      </c>
      <c r="B117" s="315">
        <f>SUMIF($A:$A,"Beginning Balance",B:B)</f>
        <v>0</v>
      </c>
      <c r="C117" s="335"/>
      <c r="D117" s="335"/>
      <c r="E117" s="335"/>
      <c r="F117" s="335"/>
      <c r="G117" s="335"/>
      <c r="H117" s="335"/>
      <c r="I117" s="335"/>
      <c r="J117" s="335"/>
      <c r="K117" s="335"/>
      <c r="L117" s="335"/>
      <c r="M117" s="335"/>
      <c r="N117" s="335"/>
      <c r="O117" s="294">
        <f>SUM(B117:N117)</f>
        <v>0</v>
      </c>
    </row>
    <row r="118" spans="1:15" ht="16.5" customHeight="1" thickBot="1" x14ac:dyDescent="0.3">
      <c r="A118" s="336" t="s">
        <v>1855</v>
      </c>
      <c r="B118" s="316"/>
      <c r="C118" s="337">
        <f t="shared" ref="C118:N118" si="16">SUMIF($A:$A,"Ending Balance"&amp;"*",C:C)</f>
        <v>0</v>
      </c>
      <c r="D118" s="337">
        <f t="shared" si="16"/>
        <v>0</v>
      </c>
      <c r="E118" s="337">
        <f t="shared" si="16"/>
        <v>0</v>
      </c>
      <c r="F118" s="337">
        <f t="shared" si="16"/>
        <v>0</v>
      </c>
      <c r="G118" s="337">
        <f t="shared" si="16"/>
        <v>0</v>
      </c>
      <c r="H118" s="337">
        <f t="shared" si="16"/>
        <v>0</v>
      </c>
      <c r="I118" s="337">
        <f t="shared" si="16"/>
        <v>0</v>
      </c>
      <c r="J118" s="337">
        <f t="shared" si="16"/>
        <v>0</v>
      </c>
      <c r="K118" s="337">
        <f t="shared" si="16"/>
        <v>0</v>
      </c>
      <c r="L118" s="337">
        <f t="shared" si="16"/>
        <v>0</v>
      </c>
      <c r="M118" s="337">
        <f t="shared" si="16"/>
        <v>0</v>
      </c>
      <c r="N118" s="337">
        <f t="shared" si="16"/>
        <v>0</v>
      </c>
      <c r="O118" s="338">
        <f>SUM(C118:N118)</f>
        <v>0</v>
      </c>
    </row>
    <row r="119" spans="1:15" ht="6.75" customHeight="1" x14ac:dyDescent="0.25">
      <c r="A119" s="336"/>
      <c r="B119" s="332"/>
      <c r="C119" s="339"/>
      <c r="D119" s="339"/>
      <c r="E119" s="339"/>
      <c r="F119" s="339"/>
      <c r="G119" s="339"/>
      <c r="H119" s="339"/>
      <c r="I119" s="339"/>
      <c r="J119" s="339"/>
      <c r="K119" s="339"/>
      <c r="L119" s="339"/>
      <c r="M119" s="339"/>
      <c r="N119" s="339"/>
      <c r="O119" s="340"/>
    </row>
    <row r="120" spans="1:15" ht="16.5" customHeight="1" thickBot="1" x14ac:dyDescent="0.3">
      <c r="A120" s="336" t="s">
        <v>1856</v>
      </c>
      <c r="B120" s="316"/>
      <c r="C120" s="341"/>
      <c r="D120" s="341"/>
      <c r="E120" s="341"/>
      <c r="F120" s="341"/>
      <c r="G120" s="341"/>
      <c r="H120" s="341"/>
      <c r="I120" s="341"/>
      <c r="J120" s="341"/>
      <c r="K120" s="341"/>
      <c r="L120" s="341"/>
      <c r="M120" s="341"/>
      <c r="N120" s="341"/>
      <c r="O120" s="342">
        <f>SUM(O117:O119)</f>
        <v>0</v>
      </c>
    </row>
    <row r="121" spans="1:15" ht="15.75" thickTop="1" x14ac:dyDescent="0.25">
      <c r="A121" s="295"/>
      <c r="B121" s="316"/>
      <c r="C121" s="31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8"/>
    </row>
    <row r="122" spans="1:15" x14ac:dyDescent="0.25">
      <c r="A122" s="295"/>
      <c r="B122" s="316"/>
      <c r="C122" s="296"/>
      <c r="D122" s="296"/>
      <c r="E122" s="296"/>
      <c r="F122" s="296"/>
      <c r="G122" s="296"/>
      <c r="H122" s="296"/>
      <c r="I122" s="296"/>
      <c r="J122" s="296"/>
      <c r="K122" s="296"/>
      <c r="L122" s="299" t="s">
        <v>1857</v>
      </c>
      <c r="M122" s="299"/>
      <c r="N122" s="296"/>
      <c r="O122" s="300">
        <v>0</v>
      </c>
    </row>
    <row r="123" spans="1:15" x14ac:dyDescent="0.25">
      <c r="A123" s="295"/>
      <c r="B123" s="316"/>
      <c r="C123" s="296"/>
      <c r="D123" s="296"/>
      <c r="E123" s="296"/>
      <c r="F123" s="296"/>
      <c r="G123" s="296"/>
      <c r="H123" s="296"/>
      <c r="I123" s="296"/>
      <c r="J123" s="296"/>
      <c r="K123" s="296"/>
      <c r="L123" s="299" t="s">
        <v>1858</v>
      </c>
      <c r="M123" s="296"/>
      <c r="N123" s="296"/>
      <c r="O123" s="300">
        <v>0</v>
      </c>
    </row>
    <row r="124" spans="1:15" x14ac:dyDescent="0.25">
      <c r="A124" s="295"/>
      <c r="B124" s="316"/>
      <c r="C124" s="296"/>
      <c r="D124" s="296"/>
      <c r="E124" s="296"/>
      <c r="F124" s="296"/>
      <c r="G124" s="296"/>
      <c r="H124" s="296"/>
      <c r="I124" s="296"/>
      <c r="J124" s="296"/>
      <c r="K124" s="296"/>
      <c r="L124" s="299"/>
      <c r="M124" s="296"/>
      <c r="N124" s="296"/>
      <c r="O124" s="297"/>
    </row>
    <row r="125" spans="1:15" x14ac:dyDescent="0.25">
      <c r="A125" s="295"/>
      <c r="B125" s="316"/>
      <c r="C125" s="296"/>
      <c r="D125" s="296"/>
      <c r="E125" s="296"/>
      <c r="F125" s="296"/>
      <c r="G125" s="296"/>
      <c r="H125" s="296"/>
      <c r="I125" s="296"/>
      <c r="J125" s="296"/>
      <c r="K125" s="296"/>
      <c r="L125" s="296"/>
      <c r="M125" s="296" t="s">
        <v>1859</v>
      </c>
      <c r="N125" s="296"/>
      <c r="O125" s="297">
        <f>+O120-O122-O123</f>
        <v>0</v>
      </c>
    </row>
    <row r="126" spans="1:15" ht="15.75" thickBot="1" x14ac:dyDescent="0.3">
      <c r="A126" s="301"/>
      <c r="B126" s="317"/>
      <c r="C126" s="302"/>
      <c r="D126" s="302"/>
      <c r="E126" s="302"/>
      <c r="F126" s="302"/>
      <c r="G126" s="302"/>
      <c r="H126" s="302"/>
      <c r="I126" s="302"/>
      <c r="J126" s="302"/>
      <c r="K126" s="302"/>
      <c r="L126" s="302"/>
      <c r="M126" s="302"/>
      <c r="N126" s="302"/>
      <c r="O126" s="303"/>
    </row>
  </sheetData>
  <mergeCells count="3">
    <mergeCell ref="A1:O1"/>
    <mergeCell ref="A2:O2"/>
    <mergeCell ref="A3:O3"/>
  </mergeCells>
  <conditionalFormatting sqref="O125">
    <cfRule type="cellIs" dxfId="16" priority="2" operator="notEqual">
      <formula>0</formula>
    </cfRule>
  </conditionalFormatting>
  <conditionalFormatting sqref="O124">
    <cfRule type="cellIs" dxfId="15" priority="1" operator="notEqual">
      <formula>0</formula>
    </cfRule>
  </conditionalFormatting>
  <printOptions horizontalCentered="1"/>
  <pageMargins left="0.25" right="0.25" top="0.25" bottom="0.75" header="0.3" footer="0.3"/>
  <pageSetup scale="49" fitToHeight="0" orientation="landscape" r:id="rId1"/>
  <rowBreaks count="1" manualBreakCount="1">
    <brk id="80" max="16383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BBDDF-4ACB-45B4-B560-1CA1A87AF605}">
  <sheetPr codeName="Sheet21">
    <tabColor rgb="FF92D050"/>
  </sheetPr>
  <dimension ref="A1:S40"/>
  <sheetViews>
    <sheetView workbookViewId="0">
      <selection activeCell="H6" sqref="H6"/>
    </sheetView>
  </sheetViews>
  <sheetFormatPr defaultRowHeight="15" x14ac:dyDescent="0.25"/>
  <cols>
    <col min="1" max="1" width="25.140625" customWidth="1"/>
    <col min="2" max="2" width="28.42578125" customWidth="1"/>
    <col min="3" max="3" width="14.5703125" customWidth="1"/>
    <col min="4" max="4" width="28.42578125" style="346" customWidth="1"/>
    <col min="19" max="19" width="37.140625" customWidth="1"/>
  </cols>
  <sheetData>
    <row r="1" spans="1:19" x14ac:dyDescent="0.25">
      <c r="A1" s="263" t="s">
        <v>1860</v>
      </c>
      <c r="B1" s="402" t="s">
        <v>1718</v>
      </c>
    </row>
    <row r="2" spans="1:19" ht="16.5" thickBot="1" x14ac:dyDescent="0.3">
      <c r="A2" s="263" t="s">
        <v>1861</v>
      </c>
      <c r="B2" s="420">
        <f>MONTH('Input-Instructions'!$B$6)</f>
        <v>7</v>
      </c>
    </row>
    <row r="3" spans="1:19" hidden="1" x14ac:dyDescent="0.25">
      <c r="A3" s="263" t="s">
        <v>1862</v>
      </c>
      <c r="B3" s="402" t="s">
        <v>1863</v>
      </c>
    </row>
    <row r="4" spans="1:19" ht="28.5" thickBot="1" x14ac:dyDescent="0.45">
      <c r="G4" s="618" t="s">
        <v>1864</v>
      </c>
      <c r="H4" s="619"/>
      <c r="I4" s="619"/>
      <c r="J4" s="619"/>
      <c r="K4" s="619"/>
      <c r="L4" s="619"/>
      <c r="M4" s="619"/>
      <c r="N4" s="619"/>
      <c r="O4" s="619"/>
      <c r="P4" s="619"/>
      <c r="Q4" s="619"/>
      <c r="R4" s="619"/>
      <c r="S4" s="620"/>
    </row>
    <row r="5" spans="1:19" ht="15.75" customHeight="1" thickTop="1" thickBot="1" x14ac:dyDescent="0.3">
      <c r="A5" s="615" t="s">
        <v>1865</v>
      </c>
      <c r="B5" s="392" t="str">
        <f>_xlfn.TEXTJOIN(" ",TRUE,'Property Insurance'!G9,)</f>
        <v/>
      </c>
      <c r="C5" s="393">
        <v>13050</v>
      </c>
      <c r="D5" s="392" t="str">
        <f>IFERROR(IF(C5="","",VLOOKUP(C5,'Mapped COA'!A:G,2,0)),IF(C5="","",VLOOKUP(C5,COA!A:G,2,0)))</f>
        <v>Prepaid Insurance</v>
      </c>
      <c r="G5" s="621"/>
      <c r="H5" s="622"/>
      <c r="I5" s="622"/>
      <c r="J5" s="622"/>
      <c r="K5" s="622"/>
      <c r="L5" s="622"/>
      <c r="M5" s="622"/>
      <c r="N5" s="622"/>
      <c r="O5" s="622"/>
      <c r="P5" s="622"/>
      <c r="Q5" s="622"/>
      <c r="R5" s="622"/>
      <c r="S5" s="623"/>
    </row>
    <row r="6" spans="1:19" ht="16.5" thickTop="1" thickBot="1" x14ac:dyDescent="0.3">
      <c r="A6" s="616"/>
      <c r="B6" s="392" t="str">
        <f>_xlfn.TEXTJOIN(" ",TRUE,'Property Insurance'!G10,)</f>
        <v/>
      </c>
      <c r="C6" s="393">
        <v>13050</v>
      </c>
      <c r="D6" s="392" t="str">
        <f>IFERROR(IF(C6="","",VLOOKUP(C6,'Mapped COA'!A:G,2,0)),IF(C6="","",VLOOKUP(C6,COA!A:G,2,0)))</f>
        <v>Prepaid Insurance</v>
      </c>
      <c r="G6" s="456" t="s">
        <v>1866</v>
      </c>
      <c r="H6" s="457" t="s">
        <v>1867</v>
      </c>
      <c r="I6" s="459"/>
      <c r="J6" s="459"/>
      <c r="K6" s="459"/>
      <c r="L6" s="459"/>
      <c r="M6" s="459"/>
      <c r="N6" s="459"/>
      <c r="O6" s="459"/>
      <c r="P6" s="459"/>
      <c r="Q6" s="459"/>
      <c r="R6" s="459"/>
      <c r="S6" s="460"/>
    </row>
    <row r="7" spans="1:19" ht="16.5" thickTop="1" thickBot="1" x14ac:dyDescent="0.3">
      <c r="A7" s="616"/>
      <c r="B7" s="392" t="str">
        <f>_xlfn.TEXTJOIN(" ",TRUE,'Property Insurance'!G11,)</f>
        <v/>
      </c>
      <c r="C7" s="393">
        <v>13050</v>
      </c>
      <c r="D7" s="392" t="str">
        <f>IFERROR(IF(C7="","",VLOOKUP(C7,'Mapped COA'!A:G,2,0)),IF(C7="","",VLOOKUP(C7,COA!A:G,2,0)))</f>
        <v>Prepaid Insurance</v>
      </c>
      <c r="G7" s="456"/>
      <c r="H7" s="457" t="s">
        <v>1868</v>
      </c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453"/>
    </row>
    <row r="8" spans="1:19" ht="16.5" thickTop="1" thickBot="1" x14ac:dyDescent="0.3">
      <c r="A8" s="616"/>
      <c r="B8" s="392" t="str">
        <f>_xlfn.TEXTJOIN(" ",TRUE,'Property Insurance'!G12,)</f>
        <v/>
      </c>
      <c r="C8" s="393">
        <v>13050</v>
      </c>
      <c r="D8" s="392" t="str">
        <f>IFERROR(IF(C8="","",VLOOKUP(C8,'Mapped COA'!A:G,2,0)),IF(C8="","",VLOOKUP(C8,COA!A:G,2,0)))</f>
        <v>Prepaid Insurance</v>
      </c>
      <c r="G8" s="456"/>
      <c r="H8" s="457" t="s">
        <v>1869</v>
      </c>
      <c r="I8" s="457"/>
      <c r="J8" s="457"/>
      <c r="K8" s="457"/>
      <c r="L8" s="457"/>
      <c r="M8" s="457"/>
      <c r="N8" s="457"/>
      <c r="O8" s="457"/>
      <c r="P8" s="457"/>
      <c r="Q8" s="457"/>
      <c r="R8" s="457"/>
      <c r="S8" s="458"/>
    </row>
    <row r="9" spans="1:19" ht="16.5" thickTop="1" thickBot="1" x14ac:dyDescent="0.3">
      <c r="A9" s="616"/>
      <c r="B9" s="392" t="str">
        <f>_xlfn.TEXTJOIN(" ",TRUE,'Property Insurance'!G13,)</f>
        <v/>
      </c>
      <c r="C9" s="393">
        <v>13050</v>
      </c>
      <c r="D9" s="392" t="str">
        <f>IFERROR(IF(C9="","",VLOOKUP(C9,'Mapped COA'!A:G,2,0)),IF(C9="","",VLOOKUP(C9,COA!A:G,2,0)))</f>
        <v>Prepaid Insurance</v>
      </c>
      <c r="G9" s="456"/>
      <c r="H9" s="457"/>
      <c r="I9" s="457"/>
      <c r="J9" s="457"/>
      <c r="K9" s="457"/>
      <c r="L9" s="457"/>
      <c r="M9" s="457"/>
      <c r="N9" s="457"/>
      <c r="O9" s="457"/>
      <c r="P9" s="457"/>
      <c r="Q9" s="457"/>
      <c r="R9" s="457"/>
      <c r="S9" s="458"/>
    </row>
    <row r="10" spans="1:19" ht="16.5" thickTop="1" thickBot="1" x14ac:dyDescent="0.3">
      <c r="A10" s="616"/>
      <c r="B10" s="392" t="str">
        <f>_xlfn.TEXTJOIN(" ",TRUE,'Property Insurance'!G14,)</f>
        <v/>
      </c>
      <c r="C10" s="393">
        <v>13050</v>
      </c>
      <c r="D10" s="392" t="str">
        <f>IFERROR(IF(C10="","",VLOOKUP(C10,'Mapped COA'!A:G,2,0)),IF(C10="","",VLOOKUP(C10,COA!A:G,2,0)))</f>
        <v>Prepaid Insurance</v>
      </c>
      <c r="G10" s="456" t="s">
        <v>1870</v>
      </c>
      <c r="H10" s="457" t="s">
        <v>1871</v>
      </c>
      <c r="I10" s="457"/>
      <c r="J10" s="457"/>
      <c r="K10" s="457"/>
      <c r="L10" s="457"/>
      <c r="M10" s="457"/>
      <c r="N10" s="457"/>
      <c r="O10" s="457"/>
      <c r="P10" s="457"/>
      <c r="Q10" s="457"/>
      <c r="R10" s="457"/>
      <c r="S10" s="458"/>
    </row>
    <row r="11" spans="1:19" ht="16.5" thickTop="1" thickBot="1" x14ac:dyDescent="0.3">
      <c r="A11" s="616"/>
      <c r="B11" s="392" t="str">
        <f>_xlfn.TEXTJOIN(" ",TRUE,'Property Insurance'!G15,)</f>
        <v/>
      </c>
      <c r="C11" s="393">
        <v>13050</v>
      </c>
      <c r="D11" s="392" t="str">
        <f>IFERROR(IF(C11="","",VLOOKUP(C11,'Mapped COA'!A:G,2,0)),IF(C11="","",VLOOKUP(C11,COA!A:G,2,0)))</f>
        <v>Prepaid Insurance</v>
      </c>
      <c r="G11" s="456"/>
      <c r="H11" s="457"/>
      <c r="I11" s="457"/>
      <c r="J11" s="457"/>
      <c r="K11" s="457"/>
      <c r="L11" s="457"/>
      <c r="M11" s="457"/>
      <c r="N11" s="457"/>
      <c r="O11" s="457"/>
      <c r="P11" s="457"/>
      <c r="Q11" s="457"/>
      <c r="R11" s="457"/>
      <c r="S11" s="458"/>
    </row>
    <row r="12" spans="1:19" ht="16.5" thickTop="1" thickBot="1" x14ac:dyDescent="0.3">
      <c r="A12" s="616"/>
      <c r="B12" s="392" t="str">
        <f>_xlfn.TEXTJOIN(" ",TRUE,'Property Insurance'!G16,)</f>
        <v/>
      </c>
      <c r="C12" s="393">
        <v>13050</v>
      </c>
      <c r="D12" s="392" t="str">
        <f>IFERROR(IF(C12="","",VLOOKUP(C12,'Mapped COA'!A:G,2,0)),IF(C12="","",VLOOKUP(C12,COA!A:G,2,0)))</f>
        <v>Prepaid Insurance</v>
      </c>
      <c r="G12" s="456" t="s">
        <v>1872</v>
      </c>
      <c r="H12" s="457" t="s">
        <v>1873</v>
      </c>
      <c r="I12" s="457"/>
      <c r="J12" s="457"/>
      <c r="K12" s="457"/>
      <c r="L12" s="457"/>
      <c r="M12" s="457"/>
      <c r="N12" s="457"/>
      <c r="O12" s="457"/>
      <c r="P12" s="457"/>
      <c r="Q12" s="457"/>
      <c r="R12" s="457"/>
      <c r="S12" s="458"/>
    </row>
    <row r="13" spans="1:19" ht="16.5" thickTop="1" thickBot="1" x14ac:dyDescent="0.3">
      <c r="A13" s="616"/>
      <c r="B13" s="392" t="str">
        <f>_xlfn.TEXTJOIN(" ",TRUE,'Property Insurance'!G17,)</f>
        <v/>
      </c>
      <c r="C13" s="393">
        <v>13050</v>
      </c>
      <c r="D13" s="392" t="str">
        <f>IFERROR(IF(C13="","",VLOOKUP(C13,'Mapped COA'!A:G,2,0)),IF(C13="","",VLOOKUP(C13,COA!A:G,2,0)))</f>
        <v>Prepaid Insurance</v>
      </c>
      <c r="G13" s="456"/>
      <c r="H13" s="457" t="s">
        <v>1874</v>
      </c>
      <c r="I13" s="457"/>
      <c r="J13" s="457"/>
      <c r="K13" s="457"/>
      <c r="L13" s="457"/>
      <c r="M13" s="457"/>
      <c r="N13" s="457"/>
      <c r="O13" s="457"/>
      <c r="P13" s="457"/>
      <c r="Q13" s="457"/>
      <c r="R13" s="457"/>
      <c r="S13" s="458"/>
    </row>
    <row r="14" spans="1:19" ht="16.5" thickTop="1" thickBot="1" x14ac:dyDescent="0.3">
      <c r="A14" s="616"/>
      <c r="B14" s="392" t="str">
        <f>_xlfn.TEXTJOIN(" ",TRUE,'Property Insurance'!G18,)</f>
        <v/>
      </c>
      <c r="C14" s="393">
        <v>13050</v>
      </c>
      <c r="D14" s="392" t="str">
        <f>IFERROR(IF(C14="","",VLOOKUP(C14,'Mapped COA'!A:G,2,0)),IF(C14="","",VLOOKUP(C14,COA!A:G,2,0)))</f>
        <v>Prepaid Insurance</v>
      </c>
      <c r="G14" s="456"/>
      <c r="H14" s="457" t="s">
        <v>1875</v>
      </c>
      <c r="I14" s="457"/>
      <c r="J14" s="457"/>
      <c r="K14" s="457"/>
      <c r="L14" s="457"/>
      <c r="M14" s="457"/>
      <c r="N14" s="457"/>
      <c r="O14" s="457"/>
      <c r="P14" s="457"/>
      <c r="Q14" s="457"/>
      <c r="R14" s="457"/>
      <c r="S14" s="458"/>
    </row>
    <row r="15" spans="1:19" ht="16.5" thickTop="1" thickBot="1" x14ac:dyDescent="0.3">
      <c r="A15" s="616"/>
      <c r="B15" s="392" t="str">
        <f>_xlfn.TEXTJOIN(" ",TRUE,'Real Estate Taxes'!G9,)</f>
        <v>Ad Valorem Property Taxes</v>
      </c>
      <c r="C15" s="393">
        <v>13070</v>
      </c>
      <c r="D15" s="392" t="str">
        <f>IFERROR(IF(C15="","",VLOOKUP(C15,'Mapped COA'!A:G,2,0)),IF(C15="","",VLOOKUP(C15,COA!A:G,2,0)))</f>
        <v>Prepaid Real Property Taxes</v>
      </c>
      <c r="G15" s="456"/>
      <c r="H15" s="457" t="s">
        <v>1876</v>
      </c>
      <c r="I15" s="457"/>
      <c r="J15" s="457"/>
      <c r="K15" s="457"/>
      <c r="L15" s="457"/>
      <c r="M15" s="457"/>
      <c r="N15" s="457"/>
      <c r="O15" s="457"/>
      <c r="P15" s="457"/>
      <c r="Q15" s="457"/>
      <c r="R15" s="457"/>
      <c r="S15" s="458"/>
    </row>
    <row r="16" spans="1:19" ht="16.5" thickTop="1" thickBot="1" x14ac:dyDescent="0.3">
      <c r="A16" s="616"/>
      <c r="B16" s="392" t="str">
        <f>_xlfn.TEXTJOIN(" ",TRUE,'Real Estate Taxes'!G10,)</f>
        <v/>
      </c>
      <c r="C16" s="393">
        <v>13070</v>
      </c>
      <c r="D16" s="392" t="str">
        <f>IFERROR(IF(C16="","",VLOOKUP(C16,'Mapped COA'!A:G,2,0)),IF(C16="","",VLOOKUP(C16,COA!A:G,2,0)))</f>
        <v>Prepaid Real Property Taxes</v>
      </c>
      <c r="G16" s="456"/>
      <c r="H16" s="457"/>
      <c r="I16" s="457"/>
      <c r="J16" s="457"/>
      <c r="K16" s="457"/>
      <c r="L16" s="457"/>
      <c r="M16" s="457"/>
      <c r="N16" s="457"/>
      <c r="O16" s="457"/>
      <c r="P16" s="457"/>
      <c r="Q16" s="457"/>
      <c r="R16" s="457"/>
      <c r="S16" s="458"/>
    </row>
    <row r="17" spans="1:19" ht="16.5" thickTop="1" thickBot="1" x14ac:dyDescent="0.3">
      <c r="A17" s="616"/>
      <c r="B17" s="392" t="str">
        <f>_xlfn.TEXTJOIN(" ",TRUE,'Real Estate Taxes'!G11,)</f>
        <v/>
      </c>
      <c r="C17" s="393">
        <v>13070</v>
      </c>
      <c r="D17" s="392" t="str">
        <f>IFERROR(IF(C17="","",VLOOKUP(C17,'Mapped COA'!A:G,2,0)),IF(C17="","",VLOOKUP(C17,COA!A:G,2,0)))</f>
        <v>Prepaid Real Property Taxes</v>
      </c>
      <c r="G17" s="456" t="s">
        <v>1877</v>
      </c>
      <c r="H17" s="457" t="s">
        <v>1878</v>
      </c>
      <c r="I17" s="457"/>
      <c r="J17" s="457"/>
      <c r="K17" s="457"/>
      <c r="L17" s="457"/>
      <c r="M17" s="457"/>
      <c r="N17" s="457"/>
      <c r="O17" s="457"/>
      <c r="P17" s="457"/>
      <c r="Q17" s="457"/>
      <c r="R17" s="457"/>
      <c r="S17" s="458"/>
    </row>
    <row r="18" spans="1:19" ht="16.5" thickTop="1" thickBot="1" x14ac:dyDescent="0.3">
      <c r="A18" s="616"/>
      <c r="B18" s="392" t="str">
        <f>_xlfn.TEXTJOIN(" ",TRUE,'Real Estate Taxes'!G12,)</f>
        <v/>
      </c>
      <c r="C18" s="393">
        <v>13070</v>
      </c>
      <c r="D18" s="392" t="str">
        <f>IFERROR(IF(C18="","",VLOOKUP(C18,'Mapped COA'!A:G,2,0)),IF(C18="","",VLOOKUP(C18,COA!A:G,2,0)))</f>
        <v>Prepaid Real Property Taxes</v>
      </c>
      <c r="G18" s="452"/>
      <c r="H18" s="457" t="s">
        <v>1879</v>
      </c>
      <c r="I18" s="457"/>
      <c r="J18" s="457"/>
      <c r="K18" s="457"/>
      <c r="L18" s="457"/>
      <c r="M18" s="457"/>
      <c r="N18" s="457"/>
      <c r="O18" s="457"/>
      <c r="P18" s="457"/>
      <c r="Q18" s="457"/>
      <c r="R18" s="457"/>
      <c r="S18" s="458"/>
    </row>
    <row r="19" spans="1:19" ht="16.5" thickTop="1" thickBot="1" x14ac:dyDescent="0.3">
      <c r="A19" s="616"/>
      <c r="B19" s="392" t="str">
        <f>_xlfn.TEXTJOIN(" ",TRUE,'Real Estate Taxes'!G13,)</f>
        <v/>
      </c>
      <c r="C19" s="393">
        <v>13070</v>
      </c>
      <c r="D19" s="392" t="str">
        <f>IFERROR(IF(C19="","",VLOOKUP(C19,'Mapped COA'!A:G,2,0)),IF(C19="","",VLOOKUP(C19,COA!A:G,2,0)))</f>
        <v>Prepaid Real Property Taxes</v>
      </c>
      <c r="G19" s="461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5"/>
    </row>
    <row r="20" spans="1:19" ht="16.5" thickTop="1" thickBot="1" x14ac:dyDescent="0.3">
      <c r="A20" s="616"/>
      <c r="B20" s="392" t="str">
        <f>_xlfn.TEXTJOIN(" ",TRUE,'Real Estate Taxes'!G14,)</f>
        <v/>
      </c>
      <c r="C20" s="393">
        <v>13070</v>
      </c>
      <c r="D20" s="392" t="str">
        <f>IFERROR(IF(C20="","",VLOOKUP(C20,'Mapped COA'!A:G,2,0)),IF(C20="","",VLOOKUP(C20,COA!A:G,2,0)))</f>
        <v>Prepaid Real Property Taxes</v>
      </c>
    </row>
    <row r="21" spans="1:19" ht="16.5" thickTop="1" thickBot="1" x14ac:dyDescent="0.3">
      <c r="A21" s="617"/>
      <c r="B21" s="392" t="s">
        <v>1880</v>
      </c>
      <c r="C21" s="393">
        <v>13085</v>
      </c>
      <c r="D21" s="392" t="str">
        <f>IFERROR(IF(C21="","",VLOOKUP(C21,'Mapped COA'!A:G,2,0)),IF(C21="","",VLOOKUP(C21,COA!A:G,2,0)))</f>
        <v>Prepaid - Other</v>
      </c>
    </row>
    <row r="22" spans="1:19" ht="15.75" thickTop="1" x14ac:dyDescent="0.25">
      <c r="A22" s="262"/>
      <c r="B22" s="346"/>
      <c r="C22" s="262"/>
    </row>
    <row r="23" spans="1:19" ht="15.75" thickBot="1" x14ac:dyDescent="0.3">
      <c r="A23" s="262"/>
      <c r="B23" s="346"/>
      <c r="C23" s="262"/>
    </row>
    <row r="24" spans="1:19" ht="15.75" customHeight="1" thickTop="1" thickBot="1" x14ac:dyDescent="0.3">
      <c r="A24" s="615" t="s">
        <v>1881</v>
      </c>
      <c r="B24" s="392" t="str">
        <f>_xlfn.TEXTJOIN(" ",TRUE,'Property Insurance'!G9,)</f>
        <v/>
      </c>
      <c r="C24" s="393">
        <v>22026</v>
      </c>
      <c r="D24" s="392" t="str">
        <f>IFERROR(IF(C24="","",VLOOKUP(C24,'Mapped COA'!A:G,2,0)),IF(C24="","",VLOOKUP(C24,COA!A:G,2,0)))</f>
        <v>Accrued Audit Fee</v>
      </c>
    </row>
    <row r="25" spans="1:19" ht="16.5" thickTop="1" thickBot="1" x14ac:dyDescent="0.3">
      <c r="A25" s="616"/>
      <c r="B25" s="392" t="str">
        <f>_xlfn.TEXTJOIN(" ",TRUE,'Property Insurance'!G10,)</f>
        <v/>
      </c>
      <c r="C25" s="393">
        <v>22026</v>
      </c>
      <c r="D25" s="392" t="str">
        <f>IFERROR(IF(C25="","",VLOOKUP(C25,'Mapped COA'!A:G,2,0)),IF(C25="","",VLOOKUP(C25,COA!A:G,2,0)))</f>
        <v>Accrued Audit Fee</v>
      </c>
    </row>
    <row r="26" spans="1:19" ht="16.5" thickTop="1" thickBot="1" x14ac:dyDescent="0.3">
      <c r="A26" s="616"/>
      <c r="B26" s="392" t="str">
        <f>_xlfn.TEXTJOIN(" ",TRUE,'Property Insurance'!G11,)</f>
        <v/>
      </c>
      <c r="C26" s="393">
        <v>22026</v>
      </c>
      <c r="D26" s="392" t="str">
        <f>IFERROR(IF(C26="","",VLOOKUP(C26,'Mapped COA'!A:G,2,0)),IF(C26="","",VLOOKUP(C26,COA!A:G,2,0)))</f>
        <v>Accrued Audit Fee</v>
      </c>
    </row>
    <row r="27" spans="1:19" ht="16.5" thickTop="1" thickBot="1" x14ac:dyDescent="0.3">
      <c r="A27" s="616"/>
      <c r="B27" s="392" t="str">
        <f>_xlfn.TEXTJOIN(" ",TRUE,'Property Insurance'!G12,)</f>
        <v/>
      </c>
      <c r="C27" s="393">
        <v>22026</v>
      </c>
      <c r="D27" s="392" t="str">
        <f>IFERROR(IF(C27="","",VLOOKUP(C27,'Mapped COA'!A:G,2,0)),IF(C27="","",VLOOKUP(C27,COA!A:G,2,0)))</f>
        <v>Accrued Audit Fee</v>
      </c>
    </row>
    <row r="28" spans="1:19" ht="16.5" thickTop="1" thickBot="1" x14ac:dyDescent="0.3">
      <c r="A28" s="616"/>
      <c r="B28" s="392" t="str">
        <f>_xlfn.TEXTJOIN(" ",TRUE,'Property Insurance'!G13,)</f>
        <v/>
      </c>
      <c r="C28" s="393">
        <v>22026</v>
      </c>
      <c r="D28" s="392" t="str">
        <f>IFERROR(IF(C28="","",VLOOKUP(C28,'Mapped COA'!A:G,2,0)),IF(C28="","",VLOOKUP(C28,COA!A:G,2,0)))</f>
        <v>Accrued Audit Fee</v>
      </c>
    </row>
    <row r="29" spans="1:19" ht="16.5" thickTop="1" thickBot="1" x14ac:dyDescent="0.3">
      <c r="A29" s="616"/>
      <c r="B29" s="392" t="str">
        <f>_xlfn.TEXTJOIN(" ",TRUE,'Property Insurance'!G14,)</f>
        <v/>
      </c>
      <c r="C29" s="393">
        <v>22026</v>
      </c>
      <c r="D29" s="392" t="str">
        <f>IFERROR(IF(C29="","",VLOOKUP(C29,'Mapped COA'!A:G,2,0)),IF(C29="","",VLOOKUP(C29,COA!A:G,2,0)))</f>
        <v>Accrued Audit Fee</v>
      </c>
    </row>
    <row r="30" spans="1:19" ht="16.5" thickTop="1" thickBot="1" x14ac:dyDescent="0.3">
      <c r="A30" s="616"/>
      <c r="B30" s="392" t="str">
        <f>_xlfn.TEXTJOIN(" ",TRUE,'Property Insurance'!G15,)</f>
        <v/>
      </c>
      <c r="C30" s="393">
        <v>22026</v>
      </c>
      <c r="D30" s="392" t="str">
        <f>IFERROR(IF(C30="","",VLOOKUP(C30,'Mapped COA'!A:G,2,0)),IF(C30="","",VLOOKUP(C30,COA!A:G,2,0)))</f>
        <v>Accrued Audit Fee</v>
      </c>
    </row>
    <row r="31" spans="1:19" ht="16.5" thickTop="1" thickBot="1" x14ac:dyDescent="0.3">
      <c r="A31" s="616"/>
      <c r="B31" s="392" t="str">
        <f>_xlfn.TEXTJOIN(" ",TRUE,'Property Insurance'!G16,)</f>
        <v/>
      </c>
      <c r="C31" s="393">
        <v>22026</v>
      </c>
      <c r="D31" s="392" t="str">
        <f>IFERROR(IF(C31="","",VLOOKUP(C31,'Mapped COA'!A:G,2,0)),IF(C31="","",VLOOKUP(C31,COA!A:G,2,0)))</f>
        <v>Accrued Audit Fee</v>
      </c>
    </row>
    <row r="32" spans="1:19" ht="16.5" thickTop="1" thickBot="1" x14ac:dyDescent="0.3">
      <c r="A32" s="616"/>
      <c r="B32" s="392" t="str">
        <f>_xlfn.TEXTJOIN(" ",TRUE,'Property Insurance'!G17,)</f>
        <v/>
      </c>
      <c r="C32" s="393">
        <v>22026</v>
      </c>
      <c r="D32" s="392" t="str">
        <f>IFERROR(IF(C32="","",VLOOKUP(C32,'Mapped COA'!A:G,2,0)),IF(C32="","",VLOOKUP(C32,COA!A:G,2,0)))</f>
        <v>Accrued Audit Fee</v>
      </c>
    </row>
    <row r="33" spans="1:4" ht="16.5" thickTop="1" thickBot="1" x14ac:dyDescent="0.3">
      <c r="A33" s="616"/>
      <c r="B33" s="392" t="str">
        <f>_xlfn.TEXTJOIN(" ",TRUE,'Property Insurance'!G18,)</f>
        <v/>
      </c>
      <c r="C33" s="393">
        <v>22026</v>
      </c>
      <c r="D33" s="392" t="str">
        <f>IFERROR(IF(C33="","",VLOOKUP(C33,'Mapped COA'!A:G,2,0)),IF(C33="","",VLOOKUP(C33,COA!A:G,2,0)))</f>
        <v>Accrued Audit Fee</v>
      </c>
    </row>
    <row r="34" spans="1:4" ht="16.5" thickTop="1" thickBot="1" x14ac:dyDescent="0.3">
      <c r="A34" s="616"/>
      <c r="B34" s="392" t="str">
        <f>_xlfn.TEXTJOIN(" ",TRUE,'Real Estate Taxes'!G9,)</f>
        <v>Ad Valorem Property Taxes</v>
      </c>
      <c r="C34" s="393">
        <v>22020</v>
      </c>
      <c r="D34" s="392" t="str">
        <f>IFERROR(IF(C34="","",VLOOKUP(C34,'Mapped COA'!A:G,2,0)),IF(C34="","",VLOOKUP(C34,COA!A:G,2,0)))</f>
        <v>Accrued Real Property Taxes</v>
      </c>
    </row>
    <row r="35" spans="1:4" ht="16.5" thickTop="1" thickBot="1" x14ac:dyDescent="0.3">
      <c r="A35" s="616"/>
      <c r="B35" s="392" t="str">
        <f>_xlfn.TEXTJOIN(" ",TRUE,'Real Estate Taxes'!G10,)</f>
        <v/>
      </c>
      <c r="C35" s="393">
        <v>22020</v>
      </c>
      <c r="D35" s="392" t="str">
        <f>IFERROR(IF(C35="","",VLOOKUP(C35,'Mapped COA'!A:G,2,0)),IF(C35="","",VLOOKUP(C35,COA!A:G,2,0)))</f>
        <v>Accrued Real Property Taxes</v>
      </c>
    </row>
    <row r="36" spans="1:4" ht="16.5" thickTop="1" thickBot="1" x14ac:dyDescent="0.3">
      <c r="A36" s="616"/>
      <c r="B36" s="392" t="str">
        <f>_xlfn.TEXTJOIN(" ",TRUE,'Real Estate Taxes'!G11,)</f>
        <v/>
      </c>
      <c r="C36" s="393">
        <v>22020</v>
      </c>
      <c r="D36" s="392" t="str">
        <f>IFERROR(IF(C36="","",VLOOKUP(C36,'Mapped COA'!A:G,2,0)),IF(C36="","",VLOOKUP(C36,COA!A:G,2,0)))</f>
        <v>Accrued Real Property Taxes</v>
      </c>
    </row>
    <row r="37" spans="1:4" ht="16.5" thickTop="1" thickBot="1" x14ac:dyDescent="0.3">
      <c r="A37" s="616"/>
      <c r="B37" s="392" t="str">
        <f>_xlfn.TEXTJOIN(" ",TRUE,'Real Estate Taxes'!G12,)</f>
        <v/>
      </c>
      <c r="C37" s="393">
        <v>22020</v>
      </c>
      <c r="D37" s="392" t="str">
        <f>IFERROR(IF(C37="","",VLOOKUP(C37,'Mapped COA'!A:G,2,0)),IF(C37="","",VLOOKUP(C37,COA!A:G,2,0)))</f>
        <v>Accrued Real Property Taxes</v>
      </c>
    </row>
    <row r="38" spans="1:4" ht="16.5" thickTop="1" thickBot="1" x14ac:dyDescent="0.3">
      <c r="A38" s="394"/>
      <c r="B38" s="392" t="str">
        <f>_xlfn.TEXTJOIN(" ",TRUE,'Real Estate Taxes'!G13,)</f>
        <v/>
      </c>
      <c r="C38" s="393">
        <v>22020</v>
      </c>
      <c r="D38" s="392" t="str">
        <f>IFERROR(IF(C38="","",VLOOKUP(C38,'Mapped COA'!A:G,2,0)),IF(C38="","",VLOOKUP(C38,COA!A:G,2,0)))</f>
        <v>Accrued Real Property Taxes</v>
      </c>
    </row>
    <row r="39" spans="1:4" ht="16.5" thickTop="1" thickBot="1" x14ac:dyDescent="0.3">
      <c r="A39" s="395"/>
      <c r="B39" s="392" t="str">
        <f>_xlfn.TEXTJOIN(" ",TRUE,'Real Estate Taxes'!G14,)</f>
        <v/>
      </c>
      <c r="C39" s="393">
        <v>22020</v>
      </c>
      <c r="D39" s="392" t="str">
        <f>IFERROR(IF(C39="","",VLOOKUP(C39,'Mapped COA'!A:G,2,0)),IF(C39="","",VLOOKUP(C39,COA!A:G,2,0)))</f>
        <v>Accrued Real Property Taxes</v>
      </c>
    </row>
    <row r="40" spans="1:4" ht="15.75" thickTop="1" x14ac:dyDescent="0.25"/>
  </sheetData>
  <mergeCells count="4">
    <mergeCell ref="A24:A37"/>
    <mergeCell ref="A5:A21"/>
    <mergeCell ref="G4:S4"/>
    <mergeCell ref="G5:S5"/>
  </mergeCells>
  <conditionalFormatting sqref="C5:C21">
    <cfRule type="expression" dxfId="14" priority="10">
      <formula>INDIRECT("A"&amp;ROW()) = "Yes"</formula>
    </cfRule>
  </conditionalFormatting>
  <conditionalFormatting sqref="C25:C39">
    <cfRule type="expression" dxfId="13" priority="6">
      <formula>INDIRECT("A"&amp;ROW()) = "Yes"</formula>
    </cfRule>
  </conditionalFormatting>
  <conditionalFormatting sqref="B1">
    <cfRule type="expression" dxfId="12" priority="4">
      <formula>INDIRECT("A"&amp;ROW()) = "Yes"</formula>
    </cfRule>
  </conditionalFormatting>
  <conditionalFormatting sqref="B3">
    <cfRule type="expression" dxfId="11" priority="2">
      <formula>INDIRECT("A"&amp;ROW()) = "Yes"</formula>
    </cfRule>
  </conditionalFormatting>
  <conditionalFormatting sqref="C24:C39">
    <cfRule type="expression" dxfId="10" priority="1">
      <formula>INDIRECT("A"&amp;ROW()) = "Yes"</formula>
    </cfRule>
  </conditionalFormatting>
  <dataValidations count="1">
    <dataValidation type="list" allowBlank="1" showInputMessage="1" showErrorMessage="1" sqref="B1" xr:uid="{820E1912-F8AD-4E22-8632-8A2BC997A40A}">
      <formula1>"Entrata, MRI, OneSite, Yardi"</formula1>
    </dataValidation>
  </dataValidations>
  <pageMargins left="0.7" right="0.7" top="0.75" bottom="0.75" header="0.3" footer="0.3"/>
  <pageSetup orientation="landscape" r:id="rId1"/>
  <headerFooter>
    <oddFooter>&amp;LWednesday, November 09, 2022&amp;RPage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GenerateUploadCSV">
                <anchor moveWithCells="1" sizeWithCells="1">
                  <from>
                    <xdr:col>3</xdr:col>
                    <xdr:colOff>190500</xdr:colOff>
                    <xdr:row>0</xdr:row>
                    <xdr:rowOff>47625</xdr:rowOff>
                  </from>
                  <to>
                    <xdr:col>3</xdr:col>
                    <xdr:colOff>1504950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C011C36-AB6C-464C-B19B-826F7D4E215C}">
          <x14:formula1>
            <xm:f>'Mapped COA'!$P$2:$P$3</xm:f>
          </x14:formula1>
          <xm:sqref>B3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EB3A3-9E79-40D9-9703-54FA216BA80B}">
  <sheetPr codeName="Sheet2"/>
  <dimension ref="A2:Y165"/>
  <sheetViews>
    <sheetView topLeftCell="L1" workbookViewId="0">
      <selection sqref="A1:BY165"/>
    </sheetView>
  </sheetViews>
  <sheetFormatPr defaultRowHeight="15" x14ac:dyDescent="0.25"/>
  <cols>
    <col min="5" max="6" width="9.42578125" style="260" bestFit="1" customWidth="1"/>
    <col min="7" max="7" width="22.42578125" bestFit="1" customWidth="1"/>
    <col min="8" max="8" width="19.42578125" bestFit="1" customWidth="1"/>
    <col min="10" max="10" width="20" style="319" customWidth="1"/>
    <col min="11" max="11" width="11.140625" bestFit="1" customWidth="1"/>
    <col min="15" max="15" width="63" bestFit="1" customWidth="1"/>
    <col min="17" max="17" width="24.5703125" bestFit="1" customWidth="1"/>
    <col min="18" max="18" width="21" bestFit="1" customWidth="1"/>
    <col min="19" max="19" width="30.42578125" customWidth="1"/>
    <col min="20" max="20" width="32.42578125" bestFit="1" customWidth="1"/>
    <col min="21" max="21" width="43.5703125" bestFit="1" customWidth="1"/>
    <col min="22" max="22" width="41.42578125" bestFit="1" customWidth="1"/>
    <col min="24" max="24" width="42.42578125" bestFit="1" customWidth="1"/>
  </cols>
  <sheetData>
    <row r="2" spans="1:19" x14ac:dyDescent="0.25">
      <c r="A2" t="s">
        <v>1882</v>
      </c>
      <c r="B2">
        <v>1</v>
      </c>
      <c r="E2" s="260">
        <f>'Input-Instructions'!$B$6</f>
        <v>46204</v>
      </c>
      <c r="F2" s="260">
        <f>'Input-Instructions'!$B$6</f>
        <v>46204</v>
      </c>
      <c r="G2" t="str">
        <f>TEXT(F2,"mmmm")&amp;" Recurring Entries"</f>
        <v>July Recurring Entries</v>
      </c>
      <c r="H2" t="s">
        <v>1883</v>
      </c>
      <c r="I2" t="str">
        <f>'Input-Instructions'!$B$4</f>
        <v>mn610wes</v>
      </c>
      <c r="J2" s="319">
        <f>IF('Property Insurance'!$A$9="Yes",0,'Property Insurance'!$L$9)</f>
        <v>0</v>
      </c>
      <c r="K2" t="str">
        <f>IF('Upload Setup'!$B$3="Chart of Accounts A",IFERROR(VLOOKUP('Property Insurance'!$E$9,'Mapped COA'!A:G,1,0),'Property Insurance'!$E$9),IFERROR(VLOOKUP('Property Insurance'!$E$9,'Mapped COA'!A:G,3,0),'Property Insurance'!$E$9))</f>
        <v>63010-000</v>
      </c>
      <c r="N2">
        <v>1</v>
      </c>
      <c r="O2" t="str">
        <f>_xlfn.TEXTJOIN(" ",TRUE,TEXT('Input-Instructions'!$B$6,"MM/YYYY"),"Prepaid",'Property Insurance'!$G$9,,"Amortization")</f>
        <v>07/2026 Prepaid Amortization</v>
      </c>
      <c r="P2">
        <v>0</v>
      </c>
      <c r="Q2" s="293"/>
      <c r="S2" s="293"/>
    </row>
    <row r="3" spans="1:19" x14ac:dyDescent="0.25">
      <c r="A3" t="s">
        <v>1882</v>
      </c>
      <c r="B3">
        <v>1</v>
      </c>
      <c r="E3" s="260">
        <f>'Input-Instructions'!$B$6</f>
        <v>46204</v>
      </c>
      <c r="F3" s="260">
        <f>'Input-Instructions'!$B$6</f>
        <v>46204</v>
      </c>
      <c r="G3" t="str">
        <f t="shared" ref="G3:G74" si="0">TEXT(F3,"mmmm")&amp;" Recurring Entries"</f>
        <v>July Recurring Entries</v>
      </c>
      <c r="H3" t="s">
        <v>1883</v>
      </c>
      <c r="I3" t="str">
        <f>'Input-Instructions'!$B$4</f>
        <v>mn610wes</v>
      </c>
      <c r="J3" s="319">
        <f>IF('Property Insurance'!$A$9="Yes",0,-'Property Insurance'!$L$9)</f>
        <v>0</v>
      </c>
      <c r="K3" t="str">
        <f>IF('Upload Setup'!$B$3="Chart of Accounts A",IFERROR(VLOOKUP(IFERROR(VLOOKUP(VLOOKUP(K2,'Mapped COA'!A:G,2,0),'Upload Setup'!$B$5:$C$21,2,FALSE),'Property Insurance'!$D$7),'Mapped COA'!A:G,1,0),IFERROR(VLOOKUP(VLOOKUP(K2,COA!A:G,2,0),'Upload Setup'!$B$5:$C$21,2,FALSE),'Property Insurance'!$D$7)),IFERROR(VLOOKUP(IFERROR(VLOOKUP(VLOOKUP(K2,'Mapped COA'!A:G,2,0),'Upload Setup'!$B$5:$C$21,2,FALSE),'Property Insurance'!$D$7),'Mapped COA'!A:G,3,0),IFERROR(VLOOKUP(VLOOKUP(K2,COA!A:G,2,0),'Upload Setup'!$B$5:$C$21,2,FALSE),'Property Insurance'!$D$7)))</f>
        <v>13050-000</v>
      </c>
      <c r="N3">
        <v>1</v>
      </c>
      <c r="O3" t="str">
        <f>_xlfn.TEXTJOIN(" ",TRUE,TEXT('Input-Instructions'!$B$6,"MM/YYYY"),"Prepaid",'Property Insurance'!$G$9,,"Amortization")</f>
        <v>07/2026 Prepaid Amortization</v>
      </c>
      <c r="P3">
        <v>0</v>
      </c>
      <c r="Q3" s="293"/>
      <c r="S3" s="293"/>
    </row>
    <row r="4" spans="1:19" x14ac:dyDescent="0.25">
      <c r="A4" t="s">
        <v>1882</v>
      </c>
      <c r="B4">
        <v>1</v>
      </c>
      <c r="E4" s="260">
        <f>'Input-Instructions'!$B$6</f>
        <v>46204</v>
      </c>
      <c r="F4" s="260">
        <f>'Input-Instructions'!$B$6</f>
        <v>46204</v>
      </c>
      <c r="G4" t="str">
        <f t="shared" si="0"/>
        <v>July Recurring Entries</v>
      </c>
      <c r="H4" t="s">
        <v>1883</v>
      </c>
      <c r="I4" t="str">
        <f>'Input-Instructions'!$B$4</f>
        <v>mn610wes</v>
      </c>
      <c r="J4" s="319">
        <f>IF('Property Insurance'!$A$10="Yes",0,'Property Insurance'!$L$10)</f>
        <v>0</v>
      </c>
      <c r="K4">
        <f>IF('Upload Setup'!$B$3="Chart of Accounts A",IFERROR(VLOOKUP('Property Insurance'!$E$10,'Mapped COA'!A:G,1,0),'Property Insurance'!$E$10),IFERROR(VLOOKUP('Property Insurance'!$E$10,'Mapped COA'!A:G,3,0),'Property Insurance'!$E$10))</f>
        <v>0</v>
      </c>
      <c r="N4">
        <v>1</v>
      </c>
      <c r="O4" t="str">
        <f>_xlfn.TEXTJOIN(" ",TRUE,TEXT('Input-Instructions'!$B$6,"MM/YYYY"),"Prepaid",'Property Insurance'!$G$10,,"Amortization")</f>
        <v>07/2026 Prepaid Amortization</v>
      </c>
      <c r="P4">
        <v>0</v>
      </c>
      <c r="Q4" s="293"/>
      <c r="S4" s="293"/>
    </row>
    <row r="5" spans="1:19" x14ac:dyDescent="0.25">
      <c r="A5" t="s">
        <v>1882</v>
      </c>
      <c r="B5">
        <v>1</v>
      </c>
      <c r="E5" s="260">
        <f>'Input-Instructions'!$B$6</f>
        <v>46204</v>
      </c>
      <c r="F5" s="260">
        <f>'Input-Instructions'!$B$6</f>
        <v>46204</v>
      </c>
      <c r="G5" t="str">
        <f t="shared" si="0"/>
        <v>July Recurring Entries</v>
      </c>
      <c r="H5" t="s">
        <v>1883</v>
      </c>
      <c r="I5" t="str">
        <f>'Input-Instructions'!$B$4</f>
        <v>mn610wes</v>
      </c>
      <c r="J5" s="319">
        <f>IF('Property Insurance'!$A$10="Yes",0,-'Property Insurance'!$L$10)</f>
        <v>0</v>
      </c>
      <c r="K5" t="str">
        <f>IF('Upload Setup'!$B$3="Chart of Accounts A",IFERROR(VLOOKUP(IFERROR(VLOOKUP(VLOOKUP(K4,'Mapped COA'!A:G,2,0),'Upload Setup'!$B$5:$C$21,2,FALSE),'Property Insurance'!$D$7),'Mapped COA'!A:G,1,0),IFERROR(VLOOKUP(VLOOKUP(K4,COA!A:G,2,0),'Upload Setup'!$B$5:$C$21,2,FALSE),'Property Insurance'!$D$7)),IFERROR(VLOOKUP(IFERROR(VLOOKUP(VLOOKUP(K4,'Mapped COA'!A:G,2,0),'Upload Setup'!$B$5:$C$21,2,FALSE),'Property Insurance'!$D$7),'Mapped COA'!A:G,3,0),IFERROR(VLOOKUP(VLOOKUP(K4,COA!A:G,2,0),'Upload Setup'!$B$5:$C$21,2,FALSE),'Property Insurance'!$D$7)))</f>
        <v>13050-000</v>
      </c>
      <c r="N5">
        <v>1</v>
      </c>
      <c r="O5" t="str">
        <f>_xlfn.TEXTJOIN(" ",TRUE,TEXT('Input-Instructions'!$B$6,"MM/YYYY"),"Prepaid",'Property Insurance'!$G$10,,"Amortization")</f>
        <v>07/2026 Prepaid Amortization</v>
      </c>
      <c r="P5">
        <v>0</v>
      </c>
      <c r="Q5" s="293"/>
      <c r="S5" s="293"/>
    </row>
    <row r="6" spans="1:19" x14ac:dyDescent="0.25">
      <c r="A6" t="s">
        <v>1882</v>
      </c>
      <c r="B6">
        <v>1</v>
      </c>
      <c r="E6" s="260">
        <f>'Input-Instructions'!$B$6</f>
        <v>46204</v>
      </c>
      <c r="F6" s="260">
        <f>'Input-Instructions'!$B$6</f>
        <v>46204</v>
      </c>
      <c r="G6" t="str">
        <f t="shared" si="0"/>
        <v>July Recurring Entries</v>
      </c>
      <c r="H6" t="s">
        <v>1883</v>
      </c>
      <c r="I6" t="str">
        <f>'Input-Instructions'!$B$4</f>
        <v>mn610wes</v>
      </c>
      <c r="J6" s="319">
        <f>IF('Property Insurance'!$A$11="Yes",0,'Property Insurance'!$L$11)</f>
        <v>0</v>
      </c>
      <c r="K6">
        <f>IF('Upload Setup'!$B$3="Chart of Accounts A",IFERROR(VLOOKUP('Property Insurance'!$E$11,'Mapped COA'!A:G,1,0),'Property Insurance'!$E$11),IFERROR(VLOOKUP('Property Insurance'!$E$11,'Mapped COA'!A:G,3,0),'Property Insurance'!$E$11))</f>
        <v>0</v>
      </c>
      <c r="N6">
        <v>1</v>
      </c>
      <c r="O6" t="str">
        <f>_xlfn.TEXTJOIN(" ",TRUE,TEXT('Input-Instructions'!$B$6,"MM/YYYY"),"Prepaid",'Property Insurance'!$G$11,,"Amortization")</f>
        <v>07/2026 Prepaid Amortization</v>
      </c>
      <c r="P6">
        <v>0</v>
      </c>
      <c r="Q6" s="293"/>
      <c r="S6" s="293"/>
    </row>
    <row r="7" spans="1:19" x14ac:dyDescent="0.25">
      <c r="A7" t="s">
        <v>1882</v>
      </c>
      <c r="B7">
        <v>1</v>
      </c>
      <c r="E7" s="260">
        <f>'Input-Instructions'!$B$6</f>
        <v>46204</v>
      </c>
      <c r="F7" s="260">
        <f>'Input-Instructions'!$B$6</f>
        <v>46204</v>
      </c>
      <c r="G7" t="str">
        <f t="shared" si="0"/>
        <v>July Recurring Entries</v>
      </c>
      <c r="H7" t="s">
        <v>1883</v>
      </c>
      <c r="I7" t="str">
        <f>'Input-Instructions'!$B$4</f>
        <v>mn610wes</v>
      </c>
      <c r="J7" s="319">
        <f>IF('Property Insurance'!$A$11="Yes",0,-'Property Insurance'!$L$11)</f>
        <v>0</v>
      </c>
      <c r="K7" t="str">
        <f>IF('Upload Setup'!$B$3="Chart of Accounts A",IFERROR(VLOOKUP(IFERROR(VLOOKUP(VLOOKUP(K6,'Mapped COA'!A:G,2,0),'Upload Setup'!$B$5:$C$21,2,FALSE),'Property Insurance'!$D$7),'Mapped COA'!A:G,1,0),IFERROR(VLOOKUP(VLOOKUP(K6,COA!A:G,2,0),'Upload Setup'!$B$5:$C$21,2,FALSE),'Property Insurance'!$D$7)),IFERROR(VLOOKUP(IFERROR(VLOOKUP(VLOOKUP(K6,'Mapped COA'!A:G,2,0),'Upload Setup'!$B$5:$C$21,2,FALSE),'Property Insurance'!$D$7),'Mapped COA'!A:G,3,0),IFERROR(VLOOKUP(VLOOKUP(K6,COA!A:G,2,0),'Upload Setup'!$B$5:$C$21,2,FALSE),'Property Insurance'!$D$7)))</f>
        <v>13050-000</v>
      </c>
      <c r="N7">
        <v>1</v>
      </c>
      <c r="O7" t="str">
        <f>_xlfn.TEXTJOIN(" ",TRUE,TEXT('Input-Instructions'!$B$6,"MM/YYYY"),"Prepaid",'Property Insurance'!$G$11,,"Amortization")</f>
        <v>07/2026 Prepaid Amortization</v>
      </c>
      <c r="P7">
        <v>0</v>
      </c>
      <c r="Q7" s="293"/>
      <c r="S7" s="293"/>
    </row>
    <row r="8" spans="1:19" x14ac:dyDescent="0.25">
      <c r="A8" t="s">
        <v>1882</v>
      </c>
      <c r="B8">
        <v>1</v>
      </c>
      <c r="E8" s="260">
        <f>'Input-Instructions'!$B$6</f>
        <v>46204</v>
      </c>
      <c r="F8" s="260">
        <f>'Input-Instructions'!$B$6</f>
        <v>46204</v>
      </c>
      <c r="G8" t="str">
        <f t="shared" si="0"/>
        <v>July Recurring Entries</v>
      </c>
      <c r="H8" t="s">
        <v>1883</v>
      </c>
      <c r="I8" t="str">
        <f>'Input-Instructions'!$B$4</f>
        <v>mn610wes</v>
      </c>
      <c r="J8" s="319">
        <f>IF('Property Insurance'!$A$12="Yes",0,'Property Insurance'!$L$12)</f>
        <v>0</v>
      </c>
      <c r="K8">
        <f>IF('Upload Setup'!$B$3="Chart of Accounts A",IFERROR(VLOOKUP('Property Insurance'!$E$12,'Mapped COA'!A:G,1,0),'Property Insurance'!$E$12),IFERROR(VLOOKUP('Property Insurance'!$E$12,'Mapped COA'!A:G,3,0),'Property Insurance'!$E$12))</f>
        <v>0</v>
      </c>
      <c r="N8">
        <v>1</v>
      </c>
      <c r="O8" t="str">
        <f>_xlfn.TEXTJOIN(" ",TRUE,TEXT('Input-Instructions'!$B$6,"MM/YYYY"),"Prepaid",'Property Insurance'!$G$12,,"Amortization")</f>
        <v>07/2026 Prepaid Amortization</v>
      </c>
      <c r="P8">
        <v>0</v>
      </c>
      <c r="Q8" s="293"/>
      <c r="S8" s="293"/>
    </row>
    <row r="9" spans="1:19" x14ac:dyDescent="0.25">
      <c r="A9" t="s">
        <v>1882</v>
      </c>
      <c r="B9">
        <v>1</v>
      </c>
      <c r="E9" s="260">
        <f>'Input-Instructions'!$B$6</f>
        <v>46204</v>
      </c>
      <c r="F9" s="260">
        <f>'Input-Instructions'!$B$6</f>
        <v>46204</v>
      </c>
      <c r="G9" t="str">
        <f t="shared" si="0"/>
        <v>July Recurring Entries</v>
      </c>
      <c r="H9" t="s">
        <v>1883</v>
      </c>
      <c r="I9" t="str">
        <f>'Input-Instructions'!$B$4</f>
        <v>mn610wes</v>
      </c>
      <c r="J9" s="319">
        <f>IF('Property Insurance'!$A$12="Yes",0,-'Property Insurance'!$L$12)</f>
        <v>0</v>
      </c>
      <c r="K9" t="str">
        <f>IF('Upload Setup'!$B$3="Chart of Accounts A",IFERROR(VLOOKUP(IFERROR(VLOOKUP(VLOOKUP(K8,'Mapped COA'!A:G,2,0),'Upload Setup'!$B$5:$C$21,2,FALSE),'Property Insurance'!$D$7),'Mapped COA'!A:G,1,0),IFERROR(VLOOKUP(VLOOKUP(K8,COA!A:G,2,0),'Upload Setup'!$B$5:$C$21,2,FALSE),'Property Insurance'!$D$7)),IFERROR(VLOOKUP(IFERROR(VLOOKUP(VLOOKUP(K8,'Mapped COA'!A:G,2,0),'Upload Setup'!$B$5:$C$21,2,FALSE),'Property Insurance'!$D$7),'Mapped COA'!A:G,3,0),IFERROR(VLOOKUP(VLOOKUP(K8,COA!A:G,2,0),'Upload Setup'!$B$5:$C$21,2,FALSE),'Property Insurance'!$D$7)))</f>
        <v>13050-000</v>
      </c>
      <c r="N9">
        <v>1</v>
      </c>
      <c r="O9" t="str">
        <f>_xlfn.TEXTJOIN(" ",TRUE,TEXT('Input-Instructions'!$B$6,"MM/YYYY"),"Prepaid",'Property Insurance'!$G$12,,"Amortization")</f>
        <v>07/2026 Prepaid Amortization</v>
      </c>
      <c r="P9">
        <v>0</v>
      </c>
      <c r="Q9" s="293"/>
      <c r="S9" s="293"/>
    </row>
    <row r="10" spans="1:19" x14ac:dyDescent="0.25">
      <c r="A10" t="s">
        <v>1882</v>
      </c>
      <c r="B10">
        <v>1</v>
      </c>
      <c r="E10" s="260">
        <f>'Input-Instructions'!$B$6</f>
        <v>46204</v>
      </c>
      <c r="F10" s="260">
        <f>'Input-Instructions'!$B$6</f>
        <v>46204</v>
      </c>
      <c r="G10" t="str">
        <f t="shared" si="0"/>
        <v>July Recurring Entries</v>
      </c>
      <c r="H10" t="s">
        <v>1883</v>
      </c>
      <c r="I10" t="str">
        <f>'Input-Instructions'!$B$4</f>
        <v>mn610wes</v>
      </c>
      <c r="J10" s="319">
        <f>IF('Property Insurance'!$A$13="Yes",0,'Property Insurance'!$L$13)</f>
        <v>0</v>
      </c>
      <c r="K10">
        <f>IF('Upload Setup'!$B$3="Chart of Accounts A",IFERROR(VLOOKUP('Property Insurance'!$E$13,'Mapped COA'!A:G,1,0),'Property Insurance'!$E$13),IFERROR(VLOOKUP('Property Insurance'!$E$13,'Mapped COA'!A:G,3,0),'Property Insurance'!$E$13))</f>
        <v>0</v>
      </c>
      <c r="N10">
        <v>1</v>
      </c>
      <c r="O10" t="str">
        <f>_xlfn.TEXTJOIN(" ",TRUE,TEXT('Input-Instructions'!$B$6,"MM/YYYY"),"Prepaid",'Property Insurance'!$G$13,,"Amortization")</f>
        <v>07/2026 Prepaid Amortization</v>
      </c>
      <c r="P10">
        <v>0</v>
      </c>
      <c r="Q10" s="293"/>
      <c r="S10" s="293"/>
    </row>
    <row r="11" spans="1:19" x14ac:dyDescent="0.25">
      <c r="A11" t="s">
        <v>1882</v>
      </c>
      <c r="B11">
        <v>1</v>
      </c>
      <c r="E11" s="260">
        <f>'Input-Instructions'!$B$6</f>
        <v>46204</v>
      </c>
      <c r="F11" s="260">
        <f>'Input-Instructions'!$B$6</f>
        <v>46204</v>
      </c>
      <c r="G11" t="str">
        <f t="shared" si="0"/>
        <v>July Recurring Entries</v>
      </c>
      <c r="H11" t="s">
        <v>1883</v>
      </c>
      <c r="I11" t="str">
        <f>'Input-Instructions'!$B$4</f>
        <v>mn610wes</v>
      </c>
      <c r="J11" s="319">
        <f>IF('Property Insurance'!$A$13="Yes",0,-'Property Insurance'!$L$13)</f>
        <v>0</v>
      </c>
      <c r="K11" t="str">
        <f>IF('Upload Setup'!$B$3="Chart of Accounts A",IFERROR(VLOOKUP(IFERROR(VLOOKUP(VLOOKUP(K10,'Mapped COA'!A:G,2,0),'Upload Setup'!$B$5:$C$21,2,FALSE),'Property Insurance'!$D$7),'Mapped COA'!A:G,1,0),IFERROR(VLOOKUP(VLOOKUP(K10,COA!A:G,2,0),'Upload Setup'!$B$5:$C$21,2,FALSE),'Property Insurance'!$D$7)),IFERROR(VLOOKUP(IFERROR(VLOOKUP(VLOOKUP(K10,'Mapped COA'!A:G,2,0),'Upload Setup'!$B$5:$C$21,2,FALSE),'Property Insurance'!$D$7),'Mapped COA'!A:G,3,0),IFERROR(VLOOKUP(VLOOKUP(K10,COA!A:G,2,0),'Upload Setup'!$B$5:$C$21,2,FALSE),'Property Insurance'!$D$7)))</f>
        <v>13050-000</v>
      </c>
      <c r="N11">
        <v>1</v>
      </c>
      <c r="O11" t="str">
        <f>_xlfn.TEXTJOIN(" ",TRUE,TEXT('Input-Instructions'!$B$6,"MM/YYYY"),"Prepaid",'Property Insurance'!$G$13,,"Amortization")</f>
        <v>07/2026 Prepaid Amortization</v>
      </c>
      <c r="P11">
        <v>0</v>
      </c>
      <c r="Q11" s="293"/>
      <c r="S11" s="293"/>
    </row>
    <row r="12" spans="1:19" x14ac:dyDescent="0.25">
      <c r="A12" t="s">
        <v>1882</v>
      </c>
      <c r="B12">
        <v>1</v>
      </c>
      <c r="E12" s="260">
        <f>'Input-Instructions'!$B$6</f>
        <v>46204</v>
      </c>
      <c r="F12" s="260">
        <f>'Input-Instructions'!$B$6</f>
        <v>46204</v>
      </c>
      <c r="G12" t="str">
        <f t="shared" si="0"/>
        <v>July Recurring Entries</v>
      </c>
      <c r="H12" t="s">
        <v>1883</v>
      </c>
      <c r="I12" t="str">
        <f>'Input-Instructions'!$B$4</f>
        <v>mn610wes</v>
      </c>
      <c r="J12" s="319">
        <f>IF('Property Insurance'!$A$14="Yes",0,'Property Insurance'!$L$14)</f>
        <v>0</v>
      </c>
      <c r="K12" s="385">
        <f>IF('Upload Setup'!$B$3="Chart of Accounts A",IFERROR(VLOOKUP('Property Insurance'!$E$14,'Mapped COA'!A:G,1,0),'Property Insurance'!$E$14),IFERROR(VLOOKUP('Property Insurance'!$E$14,'Mapped COA'!A:G,3,0),'Property Insurance'!$E$14))</f>
        <v>0</v>
      </c>
      <c r="N12">
        <v>1</v>
      </c>
      <c r="O12" t="str">
        <f>_xlfn.TEXTJOIN(" ",TRUE,TEXT('Input-Instructions'!$B$6,"MM/YYYY"),"Prepaid",'Property Insurance'!$G$14,,"Amortization")</f>
        <v>07/2026 Prepaid Amortization</v>
      </c>
      <c r="P12">
        <v>0</v>
      </c>
      <c r="Q12" s="293"/>
      <c r="S12" s="293"/>
    </row>
    <row r="13" spans="1:19" x14ac:dyDescent="0.25">
      <c r="A13" t="s">
        <v>1882</v>
      </c>
      <c r="B13">
        <v>1</v>
      </c>
      <c r="E13" s="260">
        <f>'Input-Instructions'!$B$6</f>
        <v>46204</v>
      </c>
      <c r="F13" s="260">
        <f>'Input-Instructions'!$B$6</f>
        <v>46204</v>
      </c>
      <c r="G13" t="str">
        <f t="shared" si="0"/>
        <v>July Recurring Entries</v>
      </c>
      <c r="H13" t="s">
        <v>1883</v>
      </c>
      <c r="I13" t="str">
        <f>'Input-Instructions'!$B$4</f>
        <v>mn610wes</v>
      </c>
      <c r="J13" s="319">
        <f>IF('Property Insurance'!$A$14="Yes",0,-'Property Insurance'!$L$14)</f>
        <v>0</v>
      </c>
      <c r="K13" t="str">
        <f>IF('Upload Setup'!$B$3="Chart of Accounts A",IFERROR(VLOOKUP(IFERROR(VLOOKUP(VLOOKUP(K12,'Mapped COA'!A:G,2,0),'Upload Setup'!$B$5:$C$21,2,FALSE),'Property Insurance'!$D$7),'Mapped COA'!A:G,1,0),IFERROR(VLOOKUP(VLOOKUP(K12,COA!A:G,2,0),'Upload Setup'!$B$5:$C$21,2,FALSE),'Property Insurance'!$D$7)),IFERROR(VLOOKUP(IFERROR(VLOOKUP(VLOOKUP(K12,'Mapped COA'!A:G,2,0),'Upload Setup'!$B$5:$C$21,2,FALSE),'Property Insurance'!$D$7),'Mapped COA'!A:G,3,0),IFERROR(VLOOKUP(VLOOKUP(K12,COA!A:G,2,0),'Upload Setup'!$B$5:$C$21,2,FALSE),'Property Insurance'!$D$7)))</f>
        <v>13050-000</v>
      </c>
      <c r="N13">
        <v>1</v>
      </c>
      <c r="O13" t="str">
        <f>_xlfn.TEXTJOIN(" ",TRUE,TEXT('Input-Instructions'!$B$6,"MM/YYYY"),"Prepaid",'Property Insurance'!$G$14,,"Amortization")</f>
        <v>07/2026 Prepaid Amortization</v>
      </c>
      <c r="P13">
        <v>0</v>
      </c>
      <c r="Q13" s="293"/>
      <c r="S13" s="293"/>
    </row>
    <row r="14" spans="1:19" x14ac:dyDescent="0.25">
      <c r="A14" t="s">
        <v>1882</v>
      </c>
      <c r="B14">
        <v>1</v>
      </c>
      <c r="E14" s="260">
        <f>'Input-Instructions'!$B$6</f>
        <v>46204</v>
      </c>
      <c r="F14" s="260">
        <f>'Input-Instructions'!$B$6</f>
        <v>46204</v>
      </c>
      <c r="G14" t="str">
        <f t="shared" si="0"/>
        <v>July Recurring Entries</v>
      </c>
      <c r="H14" t="s">
        <v>1883</v>
      </c>
      <c r="I14" t="str">
        <f>'Input-Instructions'!$B$4</f>
        <v>mn610wes</v>
      </c>
      <c r="J14" s="319">
        <f>IF('Property Insurance'!$A$15="Yes",0,'Property Insurance'!$L$15)</f>
        <v>0</v>
      </c>
      <c r="K14" s="385">
        <f>IF('Upload Setup'!$B$3="Chart of Accounts A",IFERROR(VLOOKUP('Property Insurance'!$E$15,'Mapped COA'!A:G,1,0),'Property Insurance'!$E$15),IFERROR(VLOOKUP('Property Insurance'!$E$15,'Mapped COA'!A:G,3,0),'Property Insurance'!$E$15))</f>
        <v>0</v>
      </c>
      <c r="N14">
        <v>1</v>
      </c>
      <c r="O14" t="str">
        <f>_xlfn.TEXTJOIN(" ",TRUE,TEXT('Input-Instructions'!$B$6,"MM/YYYY"),"Prepaid",'Property Insurance'!$G$15,,"Amortization")</f>
        <v>07/2026 Prepaid Amortization</v>
      </c>
      <c r="P14">
        <v>0</v>
      </c>
      <c r="Q14" s="293"/>
      <c r="S14" s="293"/>
    </row>
    <row r="15" spans="1:19" x14ac:dyDescent="0.25">
      <c r="A15" t="s">
        <v>1882</v>
      </c>
      <c r="B15">
        <v>1</v>
      </c>
      <c r="E15" s="260">
        <f>'Input-Instructions'!$B$6</f>
        <v>46204</v>
      </c>
      <c r="F15" s="260">
        <f>'Input-Instructions'!$B$6</f>
        <v>46204</v>
      </c>
      <c r="G15" t="str">
        <f t="shared" si="0"/>
        <v>July Recurring Entries</v>
      </c>
      <c r="H15" t="s">
        <v>1883</v>
      </c>
      <c r="I15" t="str">
        <f>'Input-Instructions'!$B$4</f>
        <v>mn610wes</v>
      </c>
      <c r="J15" s="319">
        <f>IF('Property Insurance'!$A$15="Yes",0,-'Property Insurance'!$L$15)</f>
        <v>0</v>
      </c>
      <c r="K15" t="str">
        <f>IF('Upload Setup'!$B$3="Chart of Accounts A",IFERROR(VLOOKUP(IFERROR(VLOOKUP(VLOOKUP(K14,'Mapped COA'!A:G,2,0),'Upload Setup'!$B$5:$C$21,2,FALSE),'Property Insurance'!$D$7),'Mapped COA'!A:G,1,0),IFERROR(VLOOKUP(VLOOKUP(K14,COA!A:G,2,0),'Upload Setup'!$B$5:$C$21,2,FALSE),'Property Insurance'!$D$7)),IFERROR(VLOOKUP(IFERROR(VLOOKUP(VLOOKUP(K14,'Mapped COA'!A:G,2,0),'Upload Setup'!$B$5:$C$21,2,FALSE),'Property Insurance'!$D$7),'Mapped COA'!A:G,3,0),IFERROR(VLOOKUP(VLOOKUP(K14,COA!A:G,2,0),'Upload Setup'!$B$5:$C$21,2,FALSE),'Property Insurance'!$D$7)))</f>
        <v>13050-000</v>
      </c>
      <c r="N15">
        <v>1</v>
      </c>
      <c r="O15" t="str">
        <f>_xlfn.TEXTJOIN(" ",TRUE,TEXT('Input-Instructions'!$B$6,"MM/YYYY"),"Prepaid",'Property Insurance'!$G$15,,"Amortization")</f>
        <v>07/2026 Prepaid Amortization</v>
      </c>
      <c r="P15">
        <v>0</v>
      </c>
      <c r="Q15" s="293"/>
      <c r="S15" s="293"/>
    </row>
    <row r="16" spans="1:19" x14ac:dyDescent="0.25">
      <c r="A16" t="s">
        <v>1882</v>
      </c>
      <c r="B16">
        <v>1</v>
      </c>
      <c r="E16" s="260">
        <f>'Input-Instructions'!$B$6</f>
        <v>46204</v>
      </c>
      <c r="F16" s="260">
        <f>'Input-Instructions'!$B$6</f>
        <v>46204</v>
      </c>
      <c r="G16" t="str">
        <f t="shared" si="0"/>
        <v>July Recurring Entries</v>
      </c>
      <c r="H16" t="s">
        <v>1883</v>
      </c>
      <c r="I16" t="str">
        <f>'Input-Instructions'!$B$4</f>
        <v>mn610wes</v>
      </c>
      <c r="J16" s="319">
        <f>IF('Property Insurance'!$A$16="Yes",0,'Property Insurance'!$L$16)</f>
        <v>0</v>
      </c>
      <c r="K16" s="385">
        <f>IF('Upload Setup'!$B$3="Chart of Accounts A",IFERROR(VLOOKUP('Property Insurance'!$E$16,'Mapped COA'!A:G,1,0),'Property Insurance'!$E$16),IFERROR(VLOOKUP('Property Insurance'!$E$16,'Mapped COA'!A:G,3,0),'Property Insurance'!$E$16))</f>
        <v>0</v>
      </c>
      <c r="N16">
        <v>1</v>
      </c>
      <c r="O16" t="str">
        <f>_xlfn.TEXTJOIN(" ",TRUE,TEXT('Input-Instructions'!$B$6,"MM/YYYY"),"Prepaid",'Property Insurance'!$G$16,,"Amortization")</f>
        <v>07/2026 Prepaid Amortization</v>
      </c>
      <c r="P16">
        <v>0</v>
      </c>
      <c r="Q16" s="293"/>
      <c r="S16" s="293"/>
    </row>
    <row r="17" spans="1:19" x14ac:dyDescent="0.25">
      <c r="A17" t="s">
        <v>1882</v>
      </c>
      <c r="B17">
        <v>1</v>
      </c>
      <c r="E17" s="260">
        <f>'Input-Instructions'!$B$6</f>
        <v>46204</v>
      </c>
      <c r="F17" s="260">
        <f>'Input-Instructions'!$B$6</f>
        <v>46204</v>
      </c>
      <c r="G17" t="str">
        <f t="shared" si="0"/>
        <v>July Recurring Entries</v>
      </c>
      <c r="H17" t="s">
        <v>1883</v>
      </c>
      <c r="I17" t="str">
        <f>'Input-Instructions'!$B$4</f>
        <v>mn610wes</v>
      </c>
      <c r="J17" s="319">
        <f>IF('Property Insurance'!$A$16="Yes",0,-'Property Insurance'!$L$16)</f>
        <v>0</v>
      </c>
      <c r="K17" t="str">
        <f>IF('Upload Setup'!$B$3="Chart of Accounts A",IFERROR(VLOOKUP(IFERROR(VLOOKUP(VLOOKUP(K16,'Mapped COA'!A:G,2,0),'Upload Setup'!$B$5:$C$21,2,FALSE),'Property Insurance'!$D$7),'Mapped COA'!A:G,1,0),IFERROR(VLOOKUP(VLOOKUP(K16,COA!A:G,2,0),'Upload Setup'!$B$5:$C$21,2,FALSE),'Property Insurance'!$D$7)),IFERROR(VLOOKUP(IFERROR(VLOOKUP(VLOOKUP(K16,'Mapped COA'!A:G,2,0),'Upload Setup'!$B$5:$C$21,2,FALSE),'Property Insurance'!$D$7),'Mapped COA'!A:G,3,0),IFERROR(VLOOKUP(VLOOKUP(K16,COA!A:G,2,0),'Upload Setup'!$B$5:$C$21,2,FALSE),'Property Insurance'!$D$7)))</f>
        <v>13050-000</v>
      </c>
      <c r="N17">
        <v>1</v>
      </c>
      <c r="O17" t="str">
        <f>_xlfn.TEXTJOIN(" ",TRUE,TEXT('Input-Instructions'!$B$6,"MM/YYYY"),"Prepaid",'Property Insurance'!$G$16,,"Amortization")</f>
        <v>07/2026 Prepaid Amortization</v>
      </c>
      <c r="P17">
        <v>0</v>
      </c>
      <c r="Q17" s="293"/>
      <c r="S17" s="293"/>
    </row>
    <row r="18" spans="1:19" x14ac:dyDescent="0.25">
      <c r="A18" t="s">
        <v>1882</v>
      </c>
      <c r="B18">
        <v>1</v>
      </c>
      <c r="E18" s="260">
        <f>'Input-Instructions'!$B$6</f>
        <v>46204</v>
      </c>
      <c r="F18" s="260">
        <f>'Input-Instructions'!$B$6</f>
        <v>46204</v>
      </c>
      <c r="G18" t="str">
        <f t="shared" si="0"/>
        <v>July Recurring Entries</v>
      </c>
      <c r="H18" t="s">
        <v>1883</v>
      </c>
      <c r="I18" t="str">
        <f>'Input-Instructions'!$B$4</f>
        <v>mn610wes</v>
      </c>
      <c r="J18" s="319">
        <f>IF('Property Insurance'!$A$17="Yes",0,'Property Insurance'!$L$17)</f>
        <v>0</v>
      </c>
      <c r="K18" s="385">
        <f>IF('Upload Setup'!$B$3="Chart of Accounts A",IFERROR(VLOOKUP('Property Insurance'!$E$17,'Mapped COA'!A:G,1,0),'Property Insurance'!$E$17),IFERROR(VLOOKUP('Property Insurance'!$E$17,'Mapped COA'!A:G,3,0),'Property Insurance'!$E$17))</f>
        <v>0</v>
      </c>
      <c r="N18">
        <v>1</v>
      </c>
      <c r="O18" t="str">
        <f>_xlfn.TEXTJOIN(" ",TRUE,TEXT('Input-Instructions'!$B$6,"MM/YYYY"),"Prepaid",'Property Insurance'!$G$17,,"Amortization")</f>
        <v>07/2026 Prepaid Amortization</v>
      </c>
      <c r="P18">
        <v>0</v>
      </c>
      <c r="Q18" s="293"/>
      <c r="S18" s="293"/>
    </row>
    <row r="19" spans="1:19" x14ac:dyDescent="0.25">
      <c r="A19" t="s">
        <v>1882</v>
      </c>
      <c r="B19">
        <v>1</v>
      </c>
      <c r="E19" s="260">
        <f>'Input-Instructions'!$B$6</f>
        <v>46204</v>
      </c>
      <c r="F19" s="260">
        <f>'Input-Instructions'!$B$6</f>
        <v>46204</v>
      </c>
      <c r="G19" t="str">
        <f t="shared" si="0"/>
        <v>July Recurring Entries</v>
      </c>
      <c r="H19" t="s">
        <v>1883</v>
      </c>
      <c r="I19" t="str">
        <f>'Input-Instructions'!$B$4</f>
        <v>mn610wes</v>
      </c>
      <c r="J19" s="319">
        <f>IF('Property Insurance'!$A$17="Yes",0,-'Property Insurance'!$L$17)</f>
        <v>0</v>
      </c>
      <c r="K19" t="str">
        <f>IF('Upload Setup'!$B$3="Chart of Accounts A",IFERROR(VLOOKUP(IFERROR(VLOOKUP(VLOOKUP(K18,'Mapped COA'!A:G,2,0),'Upload Setup'!$B$5:$C$21,2,FALSE),'Property Insurance'!$D$7),'Mapped COA'!A:G,1,0),IFERROR(VLOOKUP(VLOOKUP(K18,COA!A:G,2,0),'Upload Setup'!$B$5:$C$21,2,FALSE),'Property Insurance'!$D$7)),IFERROR(VLOOKUP(IFERROR(VLOOKUP(VLOOKUP(K18,'Mapped COA'!A:G,2,0),'Upload Setup'!$B$5:$C$21,2,FALSE),'Property Insurance'!$D$7),'Mapped COA'!A:G,3,0),IFERROR(VLOOKUP(VLOOKUP(K18,COA!A:G,2,0),'Upload Setup'!$B$5:$C$21,2,FALSE),'Property Insurance'!$D$7)))</f>
        <v>13050-000</v>
      </c>
      <c r="N19">
        <v>1</v>
      </c>
      <c r="O19" t="str">
        <f>_xlfn.TEXTJOIN(" ",TRUE,TEXT('Input-Instructions'!$B$6,"MM/YYYY"),"Prepaid",'Property Insurance'!$G$17,,"Amortization")</f>
        <v>07/2026 Prepaid Amortization</v>
      </c>
      <c r="P19">
        <v>0</v>
      </c>
      <c r="Q19" s="293"/>
      <c r="S19" s="293"/>
    </row>
    <row r="20" spans="1:19" x14ac:dyDescent="0.25">
      <c r="A20" t="s">
        <v>1882</v>
      </c>
      <c r="B20">
        <v>1</v>
      </c>
      <c r="E20" s="260">
        <f>'Input-Instructions'!$B$6</f>
        <v>46204</v>
      </c>
      <c r="F20" s="260">
        <f>'Input-Instructions'!$B$6</f>
        <v>46204</v>
      </c>
      <c r="G20" t="str">
        <f t="shared" si="0"/>
        <v>July Recurring Entries</v>
      </c>
      <c r="H20" t="s">
        <v>1883</v>
      </c>
      <c r="I20" t="str">
        <f>'Input-Instructions'!$B$4</f>
        <v>mn610wes</v>
      </c>
      <c r="J20" s="319">
        <f>IF('Property Insurance'!$A$18="Yes",0,'Property Insurance'!$L$18)</f>
        <v>0</v>
      </c>
      <c r="K20" s="385">
        <f>IF('Upload Setup'!$B$3="Chart of Accounts A",IFERROR(VLOOKUP('Property Insurance'!$E$18,'Mapped COA'!A:G,1,0),'Property Insurance'!$E$18),IFERROR(VLOOKUP('Property Insurance'!$E$18,'Mapped COA'!A:G,3,0),'Property Insurance'!$E$18))</f>
        <v>0</v>
      </c>
      <c r="N20">
        <v>1</v>
      </c>
      <c r="O20" t="str">
        <f>_xlfn.TEXTJOIN(" ",TRUE,TEXT('Input-Instructions'!$B$6,"MM/YYYY"),"Prepaid",'Property Insurance'!$G$18,,"Amortization")</f>
        <v>07/2026 Prepaid Amortization</v>
      </c>
      <c r="P20">
        <v>0</v>
      </c>
      <c r="Q20" s="293"/>
      <c r="S20" s="293"/>
    </row>
    <row r="21" spans="1:19" x14ac:dyDescent="0.25">
      <c r="A21" t="s">
        <v>1882</v>
      </c>
      <c r="B21">
        <v>1</v>
      </c>
      <c r="E21" s="260">
        <f>'Input-Instructions'!$B$6</f>
        <v>46204</v>
      </c>
      <c r="F21" s="260">
        <f>'Input-Instructions'!$B$6</f>
        <v>46204</v>
      </c>
      <c r="G21" t="str">
        <f t="shared" si="0"/>
        <v>July Recurring Entries</v>
      </c>
      <c r="H21" t="s">
        <v>1883</v>
      </c>
      <c r="I21" t="str">
        <f>'Input-Instructions'!$B$4</f>
        <v>mn610wes</v>
      </c>
      <c r="J21" s="319">
        <f>IF('Property Insurance'!$A$18="Yes",0,-'Property Insurance'!$L$18)</f>
        <v>0</v>
      </c>
      <c r="K21" t="str">
        <f>IF('Upload Setup'!$B$3="Chart of Accounts A",IFERROR(VLOOKUP(IFERROR(VLOOKUP(VLOOKUP(K20,'Mapped COA'!A:G,2,0),'Upload Setup'!$B$5:$C$21,2,FALSE),'Property Insurance'!$D$7),'Mapped COA'!A:G,1,0),IFERROR(VLOOKUP(VLOOKUP(K20,COA!A:G,2,0),'Upload Setup'!$B$5:$C$21,2,FALSE),'Property Insurance'!$D$7)),IFERROR(VLOOKUP(IFERROR(VLOOKUP(VLOOKUP(K20,'Mapped COA'!A:G,2,0),'Upload Setup'!$B$5:$C$21,2,FALSE),'Property Insurance'!$D$7),'Mapped COA'!A:G,3,0),IFERROR(VLOOKUP(VLOOKUP(K20,COA!A:G,2,0),'Upload Setup'!$B$5:$C$21,2,FALSE),'Property Insurance'!$D$7)))</f>
        <v>13050-000</v>
      </c>
      <c r="N21">
        <v>1</v>
      </c>
      <c r="O21" t="str">
        <f>_xlfn.TEXTJOIN(" ",TRUE,TEXT('Input-Instructions'!$B$6,"MM/YYYY"),"Prepaid",'Property Insurance'!$G$18,,"Amortization")</f>
        <v>07/2026 Prepaid Amortization</v>
      </c>
      <c r="P21">
        <v>0</v>
      </c>
      <c r="Q21" s="293"/>
      <c r="S21" s="293"/>
    </row>
    <row r="22" spans="1:19" x14ac:dyDescent="0.25">
      <c r="A22" t="s">
        <v>1882</v>
      </c>
      <c r="B22">
        <v>1</v>
      </c>
      <c r="E22" s="260">
        <f>'Input-Instructions'!$B$6</f>
        <v>46204</v>
      </c>
      <c r="F22" s="260">
        <f>'Input-Instructions'!$B$6</f>
        <v>46204</v>
      </c>
      <c r="G22" t="str">
        <f t="shared" si="0"/>
        <v>July Recurring Entries</v>
      </c>
      <c r="H22" t="s">
        <v>1883</v>
      </c>
      <c r="I22" t="str">
        <f>'Input-Instructions'!$B$4</f>
        <v>mn610wes</v>
      </c>
      <c r="J22" s="319">
        <f>IF('Property Insurance'!$A$24="Yes",0,'Property Insurance'!$L$24)</f>
        <v>0</v>
      </c>
      <c r="K22" t="str">
        <f>IF('Upload Setup'!$B$3="Chart of Accounts A",IFERROR(VLOOKUP('Property Insurance'!$E$24,'Mapped COA'!A:G,1,0),'Property Insurance'!$E$24),IFERROR(VLOOKUP('Property Insurance'!$E$24,'Mapped COA'!A:G,3,0),'Property Insurance'!$E$24))</f>
        <v>63010-000</v>
      </c>
      <c r="N22">
        <v>1</v>
      </c>
      <c r="O22" t="str">
        <f>_xlfn.TEXTJOIN(" ",TRUE,TEXT('Input-Instructions'!$B$6,"MM/YYYY"),'Property Insurance'!$G$24,,"Accrual")</f>
        <v>07/2026 Accrual</v>
      </c>
      <c r="P22">
        <v>0</v>
      </c>
      <c r="Q22" s="293"/>
      <c r="S22" s="293"/>
    </row>
    <row r="23" spans="1:19" x14ac:dyDescent="0.25">
      <c r="A23" t="s">
        <v>1882</v>
      </c>
      <c r="B23">
        <v>1</v>
      </c>
      <c r="E23" s="260">
        <f>'Input-Instructions'!$B$6</f>
        <v>46204</v>
      </c>
      <c r="F23" s="260">
        <f>'Input-Instructions'!$B$6</f>
        <v>46204</v>
      </c>
      <c r="G23" t="str">
        <f t="shared" si="0"/>
        <v>July Recurring Entries</v>
      </c>
      <c r="H23" t="s">
        <v>1883</v>
      </c>
      <c r="I23" t="str">
        <f>'Input-Instructions'!$B$4</f>
        <v>mn610wes</v>
      </c>
      <c r="J23" s="319">
        <f>IF('Property Insurance'!$A$24="Yes",0,-'Property Insurance'!$L$24)</f>
        <v>0</v>
      </c>
      <c r="K23" t="str">
        <f>IF('Upload Setup'!$B$3="Chart of Accounts A",IFERROR(VLOOKUP(IFERROR(VLOOKUP(VLOOKUP(K22,'Mapped COA'!A:G,2,0),'Upload Setup'!$B$24:$C$39,2,FALSE),'Property Insurance'!$D$22),'Mapped COA'!A:G,1,0),IFERROR(VLOOKUP(VLOOKUP(K22,COA!A:G,2,0),'Upload Setup'!$B$24:$C$39,2,FALSE),'Property Insurance'!$D$22)),IFERROR(VLOOKUP(IFERROR(VLOOKUP(VLOOKUP(K22,'Mapped COA'!A:G,2,0),'Upload Setup'!$B$24:$C$39,2,FALSE),'Property Insurance'!$D$22),'Mapped COA'!A:G,3,0),IFERROR(VLOOKUP(VLOOKUP(K22,COA!A:G,2,0),'Upload Setup'!$B$24:$C$39,2,FALSE),'Property Insurance'!$D$22)))</f>
        <v>22025-000</v>
      </c>
      <c r="N23">
        <v>1</v>
      </c>
      <c r="O23" t="str">
        <f>_xlfn.TEXTJOIN(" ",TRUE,TEXT('Input-Instructions'!$B$6,"MM/YYYY"),'Property Insurance'!$G$24,,"Accrual")</f>
        <v>07/2026 Accrual</v>
      </c>
      <c r="P23">
        <v>0</v>
      </c>
      <c r="Q23" s="293"/>
      <c r="S23" s="293"/>
    </row>
    <row r="24" spans="1:19" x14ac:dyDescent="0.25">
      <c r="A24" t="s">
        <v>1882</v>
      </c>
      <c r="B24">
        <v>1</v>
      </c>
      <c r="E24" s="260">
        <f>'Input-Instructions'!$B$6</f>
        <v>46204</v>
      </c>
      <c r="F24" s="260">
        <f>'Input-Instructions'!$B$6</f>
        <v>46204</v>
      </c>
      <c r="G24" t="str">
        <f t="shared" si="0"/>
        <v>July Recurring Entries</v>
      </c>
      <c r="H24" t="s">
        <v>1883</v>
      </c>
      <c r="I24" t="str">
        <f>'Input-Instructions'!$B$4</f>
        <v>mn610wes</v>
      </c>
      <c r="J24" s="319">
        <f>IF('Property Insurance'!$A$25="Yes",0,'Property Insurance'!$L$25)</f>
        <v>0</v>
      </c>
      <c r="K24">
        <f>IF('Upload Setup'!$B$3="Chart of Accounts A",IFERROR(VLOOKUP('Property Insurance'!$E$25,'Mapped COA'!A:G,1,0),'Property Insurance'!$E$25),IFERROR(VLOOKUP('Property Insurance'!$E$25,'Mapped COA'!A:G,3,0),'Property Insurance'!$E$25))</f>
        <v>0</v>
      </c>
      <c r="N24">
        <v>1</v>
      </c>
      <c r="O24" t="str">
        <f>_xlfn.TEXTJOIN(" ",TRUE,TEXT('Input-Instructions'!$B$6,"MM/YYYY"),'Property Insurance'!$G$25,,"Accrual")</f>
        <v>07/2026 Accrual</v>
      </c>
      <c r="P24">
        <v>0</v>
      </c>
      <c r="Q24" s="293"/>
      <c r="S24" s="293"/>
    </row>
    <row r="25" spans="1:19" x14ac:dyDescent="0.25">
      <c r="A25" t="s">
        <v>1882</v>
      </c>
      <c r="B25">
        <v>1</v>
      </c>
      <c r="E25" s="260">
        <f>'Input-Instructions'!$B$6</f>
        <v>46204</v>
      </c>
      <c r="F25" s="260">
        <f>'Input-Instructions'!$B$6</f>
        <v>46204</v>
      </c>
      <c r="G25" t="str">
        <f t="shared" si="0"/>
        <v>July Recurring Entries</v>
      </c>
      <c r="H25" t="s">
        <v>1883</v>
      </c>
      <c r="I25" t="str">
        <f>'Input-Instructions'!$B$4</f>
        <v>mn610wes</v>
      </c>
      <c r="J25" s="319">
        <f>IF('Property Insurance'!$A$25="Yes",0,-'Property Insurance'!$L$25)</f>
        <v>0</v>
      </c>
      <c r="K25" t="str">
        <f>IF('Upload Setup'!$B$3="Chart of Accounts A",IFERROR(VLOOKUP(IFERROR(VLOOKUP(VLOOKUP(K24,'Mapped COA'!A:G,2,0),'Upload Setup'!$B$24:$C$39,2,FALSE),'Property Insurance'!$D$22),'Mapped COA'!A:G,1,0),IFERROR(VLOOKUP(VLOOKUP(K24,COA!A:G,2,0),'Upload Setup'!$B$24:$C$39,2,FALSE),'Property Insurance'!$D$22)),IFERROR(VLOOKUP(IFERROR(VLOOKUP(VLOOKUP(K24,'Mapped COA'!A:G,2,0),'Upload Setup'!$B$24:$C$39,2,FALSE),'Property Insurance'!$D$22),'Mapped COA'!A:G,3,0),IFERROR(VLOOKUP(VLOOKUP(K24,COA!A:G,2,0),'Upload Setup'!$B$24:$C$39,2,FALSE),'Property Insurance'!$D$22)))</f>
        <v>22025-000</v>
      </c>
      <c r="N25">
        <v>1</v>
      </c>
      <c r="O25" t="str">
        <f>_xlfn.TEXTJOIN(" ",TRUE,TEXT('Input-Instructions'!$B$6,"MM/YYYY"),'Property Insurance'!$G$25,,"Accrual")</f>
        <v>07/2026 Accrual</v>
      </c>
      <c r="P25">
        <v>0</v>
      </c>
      <c r="Q25" s="293"/>
      <c r="S25" s="293"/>
    </row>
    <row r="26" spans="1:19" x14ac:dyDescent="0.25">
      <c r="A26" t="s">
        <v>1882</v>
      </c>
      <c r="B26">
        <v>1</v>
      </c>
      <c r="E26" s="260">
        <f>'Input-Instructions'!$B$6</f>
        <v>46204</v>
      </c>
      <c r="F26" s="260">
        <f>'Input-Instructions'!$B$6</f>
        <v>46204</v>
      </c>
      <c r="G26" t="str">
        <f t="shared" si="0"/>
        <v>July Recurring Entries</v>
      </c>
      <c r="H26" t="s">
        <v>1883</v>
      </c>
      <c r="I26" t="str">
        <f>'Input-Instructions'!$B$4</f>
        <v>mn610wes</v>
      </c>
      <c r="J26" s="319">
        <f>IF('Property Insurance'!$A$26="Yes",0,'Property Insurance'!$L$26)</f>
        <v>0</v>
      </c>
      <c r="K26">
        <f>IF('Upload Setup'!$B$3="Chart of Accounts A",IFERROR(VLOOKUP('Property Insurance'!$E$26,'Mapped COA'!A:G,1,0),'Property Insurance'!$E$26),IFERROR(VLOOKUP('Property Insurance'!$E$26,'Mapped COA'!A:G,3,0),'Property Insurance'!$E$26))</f>
        <v>0</v>
      </c>
      <c r="N26">
        <v>1</v>
      </c>
      <c r="O26" t="str">
        <f>_xlfn.TEXTJOIN(" ",TRUE,TEXT('Input-Instructions'!$B$6,"MM/YYYY"),'Property Insurance'!$G$26,,"Accrual")</f>
        <v>07/2026 Accrual</v>
      </c>
      <c r="P26">
        <v>0</v>
      </c>
      <c r="Q26" s="293"/>
      <c r="S26" s="293"/>
    </row>
    <row r="27" spans="1:19" x14ac:dyDescent="0.25">
      <c r="A27" t="s">
        <v>1882</v>
      </c>
      <c r="B27">
        <v>1</v>
      </c>
      <c r="E27" s="260">
        <f>'Input-Instructions'!$B$6</f>
        <v>46204</v>
      </c>
      <c r="F27" s="260">
        <f>'Input-Instructions'!$B$6</f>
        <v>46204</v>
      </c>
      <c r="G27" t="str">
        <f t="shared" si="0"/>
        <v>July Recurring Entries</v>
      </c>
      <c r="H27" t="s">
        <v>1883</v>
      </c>
      <c r="I27" t="str">
        <f>'Input-Instructions'!$B$4</f>
        <v>mn610wes</v>
      </c>
      <c r="J27" s="319">
        <f>IF('Property Insurance'!$A$26="Yes",0,-'Property Insurance'!$L$26)</f>
        <v>0</v>
      </c>
      <c r="K27" t="str">
        <f>IF('Upload Setup'!$B$3="Chart of Accounts A",IFERROR(VLOOKUP(IFERROR(VLOOKUP(VLOOKUP(K26,'Mapped COA'!A:G,2,0),'Upload Setup'!$B$24:$C$39,2,FALSE),'Property Insurance'!$D$22),'Mapped COA'!A:G,1,0),IFERROR(VLOOKUP(VLOOKUP(K26,COA!A:G,2,0),'Upload Setup'!$B$24:$C$39,2,FALSE),'Property Insurance'!$D$22)),IFERROR(VLOOKUP(IFERROR(VLOOKUP(VLOOKUP(K26,'Mapped COA'!A:G,2,0),'Upload Setup'!$B$24:$C$39,2,FALSE),'Property Insurance'!$D$22),'Mapped COA'!A:G,3,0),IFERROR(VLOOKUP(VLOOKUP(K26,COA!A:G,2,0),'Upload Setup'!$B$24:$C$39,2,FALSE),'Property Insurance'!$D$22)))</f>
        <v>22025-000</v>
      </c>
      <c r="N27">
        <v>1</v>
      </c>
      <c r="O27" t="str">
        <f>_xlfn.TEXTJOIN(" ",TRUE,TEXT('Input-Instructions'!$B$6,"MM/YYYY"),'Property Insurance'!$G$26,,"Accrual")</f>
        <v>07/2026 Accrual</v>
      </c>
      <c r="P27">
        <v>0</v>
      </c>
      <c r="Q27" s="293"/>
      <c r="S27" s="293"/>
    </row>
    <row r="28" spans="1:19" x14ac:dyDescent="0.25">
      <c r="A28" t="s">
        <v>1882</v>
      </c>
      <c r="B28">
        <v>1</v>
      </c>
      <c r="E28" s="260">
        <f>'Input-Instructions'!$B$6</f>
        <v>46204</v>
      </c>
      <c r="F28" s="260">
        <f>'Input-Instructions'!$B$6</f>
        <v>46204</v>
      </c>
      <c r="G28" t="str">
        <f t="shared" si="0"/>
        <v>July Recurring Entries</v>
      </c>
      <c r="H28" t="s">
        <v>1883</v>
      </c>
      <c r="I28" t="str">
        <f>'Input-Instructions'!$B$4</f>
        <v>mn610wes</v>
      </c>
      <c r="J28" s="319">
        <f>IF('Property Insurance'!$A$27="Yes",0,'Property Insurance'!$L$27)</f>
        <v>0</v>
      </c>
      <c r="K28">
        <f>IF('Upload Setup'!$B$3="Chart of Accounts A",IFERROR(VLOOKUP('Property Insurance'!$E$27,'Mapped COA'!A:G,1,0),'Property Insurance'!$E$27),IFERROR(VLOOKUP('Property Insurance'!$E$27,'Mapped COA'!A:G,3,0),'Property Insurance'!$E$27))</f>
        <v>0</v>
      </c>
      <c r="N28">
        <v>1</v>
      </c>
      <c r="O28" t="str">
        <f>_xlfn.TEXTJOIN(" ",TRUE,TEXT('Input-Instructions'!$B$6,"MM/YYYY"),'Property Insurance'!$G$27,,"Accrual")</f>
        <v>07/2026 Accrual</v>
      </c>
      <c r="P28">
        <v>0</v>
      </c>
      <c r="Q28" s="293"/>
      <c r="S28" s="293"/>
    </row>
    <row r="29" spans="1:19" x14ac:dyDescent="0.25">
      <c r="A29" t="s">
        <v>1882</v>
      </c>
      <c r="B29">
        <v>1</v>
      </c>
      <c r="E29" s="260">
        <f>'Input-Instructions'!$B$6</f>
        <v>46204</v>
      </c>
      <c r="F29" s="260">
        <f>'Input-Instructions'!$B$6</f>
        <v>46204</v>
      </c>
      <c r="G29" t="str">
        <f t="shared" si="0"/>
        <v>July Recurring Entries</v>
      </c>
      <c r="H29" t="s">
        <v>1883</v>
      </c>
      <c r="I29" t="str">
        <f>'Input-Instructions'!$B$4</f>
        <v>mn610wes</v>
      </c>
      <c r="J29" s="319">
        <f>IF('Property Insurance'!$A$27="Yes",0,-'Property Insurance'!$L$27)</f>
        <v>0</v>
      </c>
      <c r="K29" t="str">
        <f>IF('Upload Setup'!$B$3="Chart of Accounts A",IFERROR(VLOOKUP(IFERROR(VLOOKUP(VLOOKUP(K28,'Mapped COA'!A:G,2,0),'Upload Setup'!$B$24:$C$39,2,FALSE),'Property Insurance'!$D$22),'Mapped COA'!A:G,1,0),IFERROR(VLOOKUP(VLOOKUP(K28,COA!A:G,2,0),'Upload Setup'!$B$24:$C$39,2,FALSE),'Property Insurance'!$D$22)),IFERROR(VLOOKUP(IFERROR(VLOOKUP(VLOOKUP(K28,'Mapped COA'!A:G,2,0),'Upload Setup'!$B$24:$C$39,2,FALSE),'Property Insurance'!$D$22),'Mapped COA'!A:G,3,0),IFERROR(VLOOKUP(VLOOKUP(K28,COA!A:G,2,0),'Upload Setup'!$B$24:$C$39,2,FALSE),'Property Insurance'!$D$22)))</f>
        <v>22025-000</v>
      </c>
      <c r="N29">
        <v>1</v>
      </c>
      <c r="O29" t="str">
        <f>_xlfn.TEXTJOIN(" ",TRUE,TEXT('Input-Instructions'!$B$6,"MM/YYYY"),'Property Insurance'!$G$27,,"Accrual")</f>
        <v>07/2026 Accrual</v>
      </c>
      <c r="P29">
        <v>0</v>
      </c>
      <c r="Q29" s="293"/>
      <c r="S29" s="293"/>
    </row>
    <row r="30" spans="1:19" x14ac:dyDescent="0.25">
      <c r="A30" t="s">
        <v>1882</v>
      </c>
      <c r="B30">
        <v>1</v>
      </c>
      <c r="E30" s="260">
        <f>'Input-Instructions'!$B$6</f>
        <v>46204</v>
      </c>
      <c r="F30" s="260">
        <f>'Input-Instructions'!$B$6</f>
        <v>46204</v>
      </c>
      <c r="G30" t="str">
        <f t="shared" si="0"/>
        <v>July Recurring Entries</v>
      </c>
      <c r="H30" t="s">
        <v>1883</v>
      </c>
      <c r="I30" t="str">
        <f>'Input-Instructions'!$B$4</f>
        <v>mn610wes</v>
      </c>
      <c r="J30" s="319">
        <f>IF('Property Insurance'!$A$28="Yes",0,'Property Insurance'!$L$28)</f>
        <v>0</v>
      </c>
      <c r="K30">
        <f>IF('Upload Setup'!$B$3="Chart of Accounts A",IFERROR(VLOOKUP('Property Insurance'!$E$28,'Mapped COA'!A:G,1,0),'Property Insurance'!$E$28),IFERROR(VLOOKUP('Property Insurance'!$E$28,'Mapped COA'!A:G,3,0),'Property Insurance'!$E$28))</f>
        <v>0</v>
      </c>
      <c r="N30">
        <v>1</v>
      </c>
      <c r="O30" t="str">
        <f>_xlfn.TEXTJOIN(" ",TRUE,TEXT('Input-Instructions'!$B$6,"MM/YYYY"),'Property Insurance'!$G$28,,"Accrual")</f>
        <v>07/2026 Accrual</v>
      </c>
      <c r="P30">
        <v>0</v>
      </c>
      <c r="Q30" s="293"/>
      <c r="S30" s="293"/>
    </row>
    <row r="31" spans="1:19" x14ac:dyDescent="0.25">
      <c r="A31" t="s">
        <v>1882</v>
      </c>
      <c r="B31">
        <v>1</v>
      </c>
      <c r="E31" s="260">
        <f>'Input-Instructions'!$B$6</f>
        <v>46204</v>
      </c>
      <c r="F31" s="260">
        <f>'Input-Instructions'!$B$6</f>
        <v>46204</v>
      </c>
      <c r="G31" t="str">
        <f t="shared" si="0"/>
        <v>July Recurring Entries</v>
      </c>
      <c r="H31" t="s">
        <v>1883</v>
      </c>
      <c r="I31" t="str">
        <f>'Input-Instructions'!$B$4</f>
        <v>mn610wes</v>
      </c>
      <c r="J31" s="319">
        <f>IF('Property Insurance'!$A$28="Yes",0,-'Property Insurance'!$L$28)</f>
        <v>0</v>
      </c>
      <c r="K31" t="str">
        <f>IF('Upload Setup'!$B$3="Chart of Accounts A",IFERROR(VLOOKUP(IFERROR(VLOOKUP(VLOOKUP(K30,'Mapped COA'!A:G,2,0),'Upload Setup'!$B$24:$C$39,2,FALSE),'Property Insurance'!$D$22),'Mapped COA'!A:G,1,0),IFERROR(VLOOKUP(VLOOKUP(K30,COA!A:G,2,0),'Upload Setup'!$B$24:$C$39,2,FALSE),'Property Insurance'!$D$22)),IFERROR(VLOOKUP(IFERROR(VLOOKUP(VLOOKUP(K30,'Mapped COA'!A:G,2,0),'Upload Setup'!$B$24:$C$39,2,FALSE),'Property Insurance'!$D$22),'Mapped COA'!A:G,3,0),IFERROR(VLOOKUP(VLOOKUP(K30,COA!A:G,2,0),'Upload Setup'!$B$24:$C$39,2,FALSE),'Property Insurance'!$D$22)))</f>
        <v>22025-000</v>
      </c>
      <c r="N31">
        <v>1</v>
      </c>
      <c r="O31" t="str">
        <f>_xlfn.TEXTJOIN(" ",TRUE,TEXT('Input-Instructions'!$B$6,"MM/YYYY"),'Property Insurance'!$G$28,,"Accrual")</f>
        <v>07/2026 Accrual</v>
      </c>
      <c r="P31">
        <v>0</v>
      </c>
      <c r="Q31" s="293"/>
      <c r="S31" s="293"/>
    </row>
    <row r="32" spans="1:19" x14ac:dyDescent="0.25">
      <c r="A32" t="s">
        <v>1882</v>
      </c>
      <c r="B32">
        <v>1</v>
      </c>
      <c r="E32" s="260">
        <f>'Input-Instructions'!$B$6</f>
        <v>46204</v>
      </c>
      <c r="F32" s="260">
        <f>'Input-Instructions'!$B$6</f>
        <v>46204</v>
      </c>
      <c r="G32" t="str">
        <f t="shared" si="0"/>
        <v>July Recurring Entries</v>
      </c>
      <c r="H32" t="s">
        <v>1883</v>
      </c>
      <c r="I32" t="str">
        <f>'Input-Instructions'!$B$4</f>
        <v>mn610wes</v>
      </c>
      <c r="J32" s="319">
        <f>IF('Property Insurance'!$A$29="Yes",0,'Property Insurance'!$L$29)</f>
        <v>0</v>
      </c>
      <c r="K32" s="385">
        <f>IF('Upload Setup'!$B$3="Chart of Accounts A",IFERROR(VLOOKUP('Property Insurance'!$E$29,'Mapped COA'!A:G,1,0),'Property Insurance'!$E$29),IFERROR(VLOOKUP('Property Insurance'!$E$29,'Mapped COA'!A:G,3,0),'Property Insurance'!$E$29))</f>
        <v>0</v>
      </c>
      <c r="N32">
        <v>1</v>
      </c>
      <c r="O32" t="str">
        <f>_xlfn.TEXTJOIN(" ",TRUE,TEXT('Input-Instructions'!$B$6,"MM/YYYY"),'Property Insurance'!$G$29,,"Accrual")</f>
        <v>07/2026 Accrual</v>
      </c>
      <c r="P32">
        <v>0</v>
      </c>
      <c r="Q32" s="293"/>
      <c r="S32" s="293"/>
    </row>
    <row r="33" spans="1:19" x14ac:dyDescent="0.25">
      <c r="A33" t="s">
        <v>1882</v>
      </c>
      <c r="B33">
        <v>1</v>
      </c>
      <c r="E33" s="260">
        <f>'Input-Instructions'!$B$6</f>
        <v>46204</v>
      </c>
      <c r="F33" s="260">
        <f>'Input-Instructions'!$B$6</f>
        <v>46204</v>
      </c>
      <c r="G33" t="str">
        <f t="shared" si="0"/>
        <v>July Recurring Entries</v>
      </c>
      <c r="H33" t="s">
        <v>1883</v>
      </c>
      <c r="I33" t="str">
        <f>'Input-Instructions'!$B$4</f>
        <v>mn610wes</v>
      </c>
      <c r="J33" s="319">
        <f>IF('Property Insurance'!$A$29="Yes",0,-'Property Insurance'!$L$29)</f>
        <v>0</v>
      </c>
      <c r="K33" t="str">
        <f>IF('Upload Setup'!$B$3="Chart of Accounts A",IFERROR(VLOOKUP(IFERROR(VLOOKUP(VLOOKUP(K32,'Mapped COA'!A:G,2,0),'Upload Setup'!$B$24:$C$39,2,FALSE),'Property Insurance'!$D$22),'Mapped COA'!A:G,1,0),IFERROR(VLOOKUP(VLOOKUP(K32,COA!A:G,2,0),'Upload Setup'!$B$24:$C$39,2,FALSE),'Property Insurance'!$D$22)),IFERROR(VLOOKUP(IFERROR(VLOOKUP(VLOOKUP(K32,'Mapped COA'!A:G,2,0),'Upload Setup'!$B$24:$C$39,2,FALSE),'Property Insurance'!$D$22),'Mapped COA'!A:G,3,0),IFERROR(VLOOKUP(VLOOKUP(K32,COA!A:G,2,0),'Upload Setup'!$B$24:$C$39,2,FALSE),'Property Insurance'!$D$22)))</f>
        <v>22025-000</v>
      </c>
      <c r="N33">
        <v>1</v>
      </c>
      <c r="O33" t="str">
        <f>_xlfn.TEXTJOIN(" ",TRUE,TEXT('Input-Instructions'!$B$6,"MM/YYYY"),'Property Insurance'!$G$29,,"Accrual")</f>
        <v>07/2026 Accrual</v>
      </c>
      <c r="P33">
        <v>0</v>
      </c>
      <c r="Q33" s="293"/>
      <c r="S33" s="293"/>
    </row>
    <row r="34" spans="1:19" x14ac:dyDescent="0.25">
      <c r="A34" t="s">
        <v>1882</v>
      </c>
      <c r="B34">
        <v>1</v>
      </c>
      <c r="E34" s="260">
        <f>'Input-Instructions'!$B$6</f>
        <v>46204</v>
      </c>
      <c r="F34" s="260">
        <f>'Input-Instructions'!$B$6</f>
        <v>46204</v>
      </c>
      <c r="G34" t="str">
        <f t="shared" si="0"/>
        <v>July Recurring Entries</v>
      </c>
      <c r="H34" t="s">
        <v>1883</v>
      </c>
      <c r="I34" t="str">
        <f>'Input-Instructions'!$B$4</f>
        <v>mn610wes</v>
      </c>
      <c r="J34" s="319">
        <f>IF('Property Insurance'!$A$30="Yes",0,'Property Insurance'!$L$30)</f>
        <v>0</v>
      </c>
      <c r="K34" s="385">
        <f>IF('Upload Setup'!$B$3="Chart of Accounts A",IFERROR(VLOOKUP('Property Insurance'!$E$30,'Mapped COA'!A:G,1,0),'Property Insurance'!$E$30),IFERROR(VLOOKUP('Property Insurance'!$E$30,'Mapped COA'!A:G,3,0),'Property Insurance'!$E$30))</f>
        <v>0</v>
      </c>
      <c r="N34">
        <v>1</v>
      </c>
      <c r="O34" t="str">
        <f>_xlfn.TEXTJOIN(" ",TRUE,TEXT('Input-Instructions'!$B$6,"MM/YYYY"),'Property Insurance'!$G$30,,"Accrual")</f>
        <v>07/2026 Accrual</v>
      </c>
      <c r="P34">
        <v>0</v>
      </c>
      <c r="Q34" s="293"/>
      <c r="S34" s="293"/>
    </row>
    <row r="35" spans="1:19" x14ac:dyDescent="0.25">
      <c r="A35" t="s">
        <v>1882</v>
      </c>
      <c r="B35">
        <v>1</v>
      </c>
      <c r="E35" s="260">
        <f>'Input-Instructions'!$B$6</f>
        <v>46204</v>
      </c>
      <c r="F35" s="260">
        <f>'Input-Instructions'!$B$6</f>
        <v>46204</v>
      </c>
      <c r="G35" t="str">
        <f t="shared" si="0"/>
        <v>July Recurring Entries</v>
      </c>
      <c r="H35" t="s">
        <v>1883</v>
      </c>
      <c r="I35" t="str">
        <f>'Input-Instructions'!$B$4</f>
        <v>mn610wes</v>
      </c>
      <c r="J35" s="319">
        <f>IF('Property Insurance'!$A$30="Yes",0,-'Property Insurance'!$L$30)</f>
        <v>0</v>
      </c>
      <c r="K35" t="str">
        <f>IF('Upload Setup'!$B$3="Chart of Accounts A",IFERROR(VLOOKUP(IFERROR(VLOOKUP(VLOOKUP(K34,'Mapped COA'!A:G,2,0),'Upload Setup'!$B$24:$C$39,2,FALSE),'Property Insurance'!$D$22),'Mapped COA'!A:G,1,0),IFERROR(VLOOKUP(VLOOKUP(K34,COA!A:G,2,0),'Upload Setup'!$B$24:$C$39,2,FALSE),'Property Insurance'!$D$22)),IFERROR(VLOOKUP(IFERROR(VLOOKUP(VLOOKUP(K34,'Mapped COA'!A:G,2,0),'Upload Setup'!$B$24:$C$39,2,FALSE),'Property Insurance'!$D$22),'Mapped COA'!A:G,3,0),IFERROR(VLOOKUP(VLOOKUP(K34,COA!A:G,2,0),'Upload Setup'!$B$24:$C$39,2,FALSE),'Property Insurance'!$D$22)))</f>
        <v>22025-000</v>
      </c>
      <c r="N35">
        <v>1</v>
      </c>
      <c r="O35" t="str">
        <f>_xlfn.TEXTJOIN(" ",TRUE,TEXT('Input-Instructions'!$B$6,"MM/YYYY"),'Property Insurance'!$G$30,,"Accrual")</f>
        <v>07/2026 Accrual</v>
      </c>
      <c r="P35">
        <v>0</v>
      </c>
      <c r="Q35" s="293"/>
      <c r="S35" s="293"/>
    </row>
    <row r="36" spans="1:19" x14ac:dyDescent="0.25">
      <c r="A36" t="s">
        <v>1882</v>
      </c>
      <c r="B36">
        <v>1</v>
      </c>
      <c r="E36" s="260">
        <f>'Input-Instructions'!$B$6</f>
        <v>46204</v>
      </c>
      <c r="F36" s="260">
        <f>'Input-Instructions'!$B$6</f>
        <v>46204</v>
      </c>
      <c r="G36" t="str">
        <f t="shared" si="0"/>
        <v>July Recurring Entries</v>
      </c>
      <c r="H36" t="s">
        <v>1883</v>
      </c>
      <c r="I36" t="str">
        <f>'Input-Instructions'!$B$4</f>
        <v>mn610wes</v>
      </c>
      <c r="J36" s="319">
        <f>IF('Property Insurance'!$A$31="Yes",0,'Property Insurance'!$L$31)</f>
        <v>0</v>
      </c>
      <c r="K36" s="385">
        <f>IF('Upload Setup'!$B$3="Chart of Accounts A",IFERROR(VLOOKUP('Property Insurance'!$E$31,'Mapped COA'!A:G,1,0),'Property Insurance'!$E$31),IFERROR(VLOOKUP('Property Insurance'!$E$31,'Mapped COA'!A:G,3,0),'Property Insurance'!$E$31))</f>
        <v>0</v>
      </c>
      <c r="N36">
        <v>1</v>
      </c>
      <c r="O36" t="str">
        <f>_xlfn.TEXTJOIN(" ",TRUE,TEXT('Input-Instructions'!$B$6,"MM/YYYY"),'Property Insurance'!$G$31,,"Accrual")</f>
        <v>07/2026 Accrual</v>
      </c>
      <c r="P36">
        <v>0</v>
      </c>
      <c r="Q36" s="293"/>
      <c r="S36" s="293"/>
    </row>
    <row r="37" spans="1:19" x14ac:dyDescent="0.25">
      <c r="A37" t="s">
        <v>1882</v>
      </c>
      <c r="B37">
        <v>1</v>
      </c>
      <c r="E37" s="260">
        <f>'Input-Instructions'!$B$6</f>
        <v>46204</v>
      </c>
      <c r="F37" s="260">
        <f>'Input-Instructions'!$B$6</f>
        <v>46204</v>
      </c>
      <c r="G37" t="str">
        <f t="shared" si="0"/>
        <v>July Recurring Entries</v>
      </c>
      <c r="H37" t="s">
        <v>1883</v>
      </c>
      <c r="I37" t="str">
        <f>'Input-Instructions'!$B$4</f>
        <v>mn610wes</v>
      </c>
      <c r="J37" s="319">
        <f>IF('Property Insurance'!$A$31="Yes",0,-'Property Insurance'!$L$31)</f>
        <v>0</v>
      </c>
      <c r="K37" t="str">
        <f>IF('Upload Setup'!$B$3="Chart of Accounts A",IFERROR(VLOOKUP(IFERROR(VLOOKUP(VLOOKUP(K36,'Mapped COA'!A:G,2,0),'Upload Setup'!$B$24:$C$39,2,FALSE),'Property Insurance'!$D$22),'Mapped COA'!A:G,1,0),IFERROR(VLOOKUP(VLOOKUP(K36,COA!A:G,2,0),'Upload Setup'!$B$24:$C$39,2,FALSE),'Property Insurance'!$D$22)),IFERROR(VLOOKUP(IFERROR(VLOOKUP(VLOOKUP(K36,'Mapped COA'!A:G,2,0),'Upload Setup'!$B$24:$C$39,2,FALSE),'Property Insurance'!$D$22),'Mapped COA'!A:G,3,0),IFERROR(VLOOKUP(VLOOKUP(K36,COA!A:G,2,0),'Upload Setup'!$B$24:$C$39,2,FALSE),'Property Insurance'!$D$22)))</f>
        <v>22025-000</v>
      </c>
      <c r="N37">
        <v>1</v>
      </c>
      <c r="O37" t="str">
        <f>_xlfn.TEXTJOIN(" ",TRUE,TEXT('Input-Instructions'!$B$6,"MM/YYYY"),'Property Insurance'!$G$31,,"Accrual")</f>
        <v>07/2026 Accrual</v>
      </c>
      <c r="P37">
        <v>0</v>
      </c>
      <c r="Q37" s="293"/>
      <c r="S37" s="293"/>
    </row>
    <row r="38" spans="1:19" x14ac:dyDescent="0.25">
      <c r="A38" t="s">
        <v>1882</v>
      </c>
      <c r="B38">
        <v>1</v>
      </c>
      <c r="E38" s="260">
        <f>'Input-Instructions'!$B$6</f>
        <v>46204</v>
      </c>
      <c r="F38" s="260">
        <f>'Input-Instructions'!$B$6</f>
        <v>46204</v>
      </c>
      <c r="G38" t="str">
        <f t="shared" si="0"/>
        <v>July Recurring Entries</v>
      </c>
      <c r="H38" t="s">
        <v>1883</v>
      </c>
      <c r="I38" t="str">
        <f>'Input-Instructions'!$B$4</f>
        <v>mn610wes</v>
      </c>
      <c r="J38" s="319">
        <f>IF('Property Insurance'!$A$32="Yes",0,'Property Insurance'!$L$32)</f>
        <v>0</v>
      </c>
      <c r="K38" s="385">
        <f>IF('Upload Setup'!$B$3="Chart of Accounts A",IFERROR(VLOOKUP('Property Insurance'!$E$32,'Mapped COA'!A:G,1,0),'Property Insurance'!$E$32),IFERROR(VLOOKUP('Property Insurance'!$E$32,'Mapped COA'!A:G,3,0),'Property Insurance'!$E$32))</f>
        <v>0</v>
      </c>
      <c r="N38">
        <v>1</v>
      </c>
      <c r="O38" t="str">
        <f>_xlfn.TEXTJOIN(" ",TRUE,TEXT('Input-Instructions'!$B$6,"MM/YYYY"),'Property Insurance'!$G$32,,"Accrual")</f>
        <v>07/2026 Accrual</v>
      </c>
      <c r="P38">
        <v>0</v>
      </c>
      <c r="Q38" s="293"/>
      <c r="S38" s="293"/>
    </row>
    <row r="39" spans="1:19" x14ac:dyDescent="0.25">
      <c r="A39" t="s">
        <v>1882</v>
      </c>
      <c r="B39">
        <v>1</v>
      </c>
      <c r="E39" s="260">
        <f>'Input-Instructions'!$B$6</f>
        <v>46204</v>
      </c>
      <c r="F39" s="260">
        <f>'Input-Instructions'!$B$6</f>
        <v>46204</v>
      </c>
      <c r="G39" t="str">
        <f t="shared" si="0"/>
        <v>July Recurring Entries</v>
      </c>
      <c r="H39" t="s">
        <v>1883</v>
      </c>
      <c r="I39" t="str">
        <f>'Input-Instructions'!$B$4</f>
        <v>mn610wes</v>
      </c>
      <c r="J39" s="319">
        <f>IF('Property Insurance'!$A$32="Yes",0,-'Property Insurance'!$L$32)</f>
        <v>0</v>
      </c>
      <c r="K39" t="str">
        <f>IF('Upload Setup'!$B$3="Chart of Accounts A",IFERROR(VLOOKUP(IFERROR(VLOOKUP(VLOOKUP(K38,'Mapped COA'!A:G,2,0),'Upload Setup'!$B$24:$C$39,2,FALSE),'Property Insurance'!$D$22),'Mapped COA'!A:G,1,0),IFERROR(VLOOKUP(VLOOKUP(K38,COA!A:G,2,0),'Upload Setup'!$B$24:$C$39,2,FALSE),'Property Insurance'!$D$22)),IFERROR(VLOOKUP(IFERROR(VLOOKUP(VLOOKUP(K38,'Mapped COA'!A:G,2,0),'Upload Setup'!$B$24:$C$39,2,FALSE),'Property Insurance'!$D$22),'Mapped COA'!A:G,3,0),IFERROR(VLOOKUP(VLOOKUP(K38,COA!A:G,2,0),'Upload Setup'!$B$24:$C$39,2,FALSE),'Property Insurance'!$D$22)))</f>
        <v>22025-000</v>
      </c>
      <c r="N39">
        <v>1</v>
      </c>
      <c r="O39" t="str">
        <f>_xlfn.TEXTJOIN(" ",TRUE,TEXT('Input-Instructions'!$B$6,"MM/YYYY"),'Property Insurance'!$G$32,,"Accrual")</f>
        <v>07/2026 Accrual</v>
      </c>
      <c r="P39">
        <v>0</v>
      </c>
      <c r="Q39" s="293"/>
      <c r="S39" s="293"/>
    </row>
    <row r="40" spans="1:19" x14ac:dyDescent="0.25">
      <c r="A40" t="s">
        <v>1882</v>
      </c>
      <c r="B40">
        <v>1</v>
      </c>
      <c r="E40" s="260">
        <f>'Input-Instructions'!$B$6</f>
        <v>46204</v>
      </c>
      <c r="F40" s="260">
        <f>'Input-Instructions'!$B$6</f>
        <v>46204</v>
      </c>
      <c r="G40" t="str">
        <f t="shared" si="0"/>
        <v>July Recurring Entries</v>
      </c>
      <c r="H40" t="s">
        <v>1883</v>
      </c>
      <c r="I40" t="str">
        <f>'Input-Instructions'!$B$4</f>
        <v>mn610wes</v>
      </c>
      <c r="J40" s="319">
        <f>IF('Property Insurance'!$A$33="Yes",0,'Property Insurance'!$L$33)</f>
        <v>0</v>
      </c>
      <c r="K40" s="385">
        <f>IF('Upload Setup'!$B$3="Chart of Accounts A",IFERROR(VLOOKUP('Property Insurance'!$E$33,'Mapped COA'!A:G,1,0),'Property Insurance'!$E$33),IFERROR(VLOOKUP('Property Insurance'!$E$33,'Mapped COA'!A:G,3,0),'Property Insurance'!$E$33))</f>
        <v>0</v>
      </c>
      <c r="N40">
        <v>1</v>
      </c>
      <c r="O40" t="str">
        <f>_xlfn.TEXTJOIN(" ",TRUE,TEXT('Input-Instructions'!$B$6,"MM/YYYY"),'Property Insurance'!$G$33,,"Accrual")</f>
        <v>07/2026 Accrual</v>
      </c>
      <c r="P40">
        <v>0</v>
      </c>
      <c r="Q40" s="293"/>
      <c r="S40" s="293"/>
    </row>
    <row r="41" spans="1:19" x14ac:dyDescent="0.25">
      <c r="A41" t="s">
        <v>1882</v>
      </c>
      <c r="B41">
        <v>1</v>
      </c>
      <c r="E41" s="260">
        <f>'Input-Instructions'!$B$6</f>
        <v>46204</v>
      </c>
      <c r="F41" s="260">
        <f>'Input-Instructions'!$B$6</f>
        <v>46204</v>
      </c>
      <c r="G41" t="str">
        <f t="shared" si="0"/>
        <v>July Recurring Entries</v>
      </c>
      <c r="H41" t="s">
        <v>1883</v>
      </c>
      <c r="I41" t="str">
        <f>'Input-Instructions'!$B$4</f>
        <v>mn610wes</v>
      </c>
      <c r="J41" s="319">
        <f>IF('Property Insurance'!$A$33="Yes",0,-'Property Insurance'!$L$33)</f>
        <v>0</v>
      </c>
      <c r="K41" t="str">
        <f>IF('Upload Setup'!$B$3="Chart of Accounts A",IFERROR(VLOOKUP(IFERROR(VLOOKUP(VLOOKUP(K40,'Mapped COA'!A:G,2,0),'Upload Setup'!$B$24:$C$39,2,FALSE),'Property Insurance'!$D$22),'Mapped COA'!A:G,1,0),IFERROR(VLOOKUP(VLOOKUP(K40,COA!A:G,2,0),'Upload Setup'!$B$24:$C$39,2,FALSE),'Property Insurance'!$D$22)),IFERROR(VLOOKUP(IFERROR(VLOOKUP(VLOOKUP(K40,'Mapped COA'!A:G,2,0),'Upload Setup'!$B$24:$C$39,2,FALSE),'Property Insurance'!$D$22),'Mapped COA'!A:G,3,0),IFERROR(VLOOKUP(VLOOKUP(K40,COA!A:G,2,0),'Upload Setup'!$B$24:$C$39,2,FALSE),'Property Insurance'!$D$22)))</f>
        <v>22025-000</v>
      </c>
      <c r="N41">
        <v>1</v>
      </c>
      <c r="O41" t="str">
        <f>_xlfn.TEXTJOIN(" ",TRUE,TEXT('Input-Instructions'!$B$6,"MM/YYYY"),'Property Insurance'!$G$33,,"Accrual")</f>
        <v>07/2026 Accrual</v>
      </c>
      <c r="P41">
        <v>0</v>
      </c>
      <c r="Q41" s="293"/>
      <c r="S41" s="293"/>
    </row>
    <row r="42" spans="1:19" x14ac:dyDescent="0.25">
      <c r="A42" t="s">
        <v>1882</v>
      </c>
      <c r="B42">
        <v>1</v>
      </c>
      <c r="E42" s="260">
        <f>'Input-Instructions'!$B$6</f>
        <v>46204</v>
      </c>
      <c r="F42" s="260">
        <f>'Input-Instructions'!$B$6</f>
        <v>46204</v>
      </c>
      <c r="G42" t="str">
        <f t="shared" si="0"/>
        <v>July Recurring Entries</v>
      </c>
      <c r="H42" t="s">
        <v>1883</v>
      </c>
      <c r="I42" t="str">
        <f>'Input-Instructions'!$B$4</f>
        <v>mn610wes</v>
      </c>
      <c r="J42" s="320">
        <f>IF('Real Estate Taxes'!$A$9="Yes",0,'Real Estate Taxes'!$I$9)</f>
        <v>0</v>
      </c>
      <c r="K42" t="str">
        <f>IF('Upload Setup'!$B$3="Chart of Accounts A",IFERROR(VLOOKUP('Real Estate Taxes'!$E$9,'Mapped COA'!A:G,1,0),'Real Estate Taxes'!$E$9),IFERROR(VLOOKUP('Real Estate Taxes'!$E$9,'Mapped COA'!A:G,3,0),'Real Estate Taxes'!$E$9))</f>
        <v>62010-000</v>
      </c>
      <c r="N42">
        <v>1</v>
      </c>
      <c r="O42" t="str">
        <f>_xlfn.TEXTJOIN(" ",TRUE,TEXT('Input-Instructions'!$B$6,"MM/YYYY"),"Prepaid",'Real Estate Taxes'!$G$9,,"Amortization")</f>
        <v>07/2026 Prepaid Ad Valorem Property Taxes Amortization</v>
      </c>
      <c r="P42">
        <v>0</v>
      </c>
      <c r="Q42" s="293"/>
      <c r="S42" s="293"/>
    </row>
    <row r="43" spans="1:19" x14ac:dyDescent="0.25">
      <c r="A43" t="s">
        <v>1882</v>
      </c>
      <c r="B43">
        <v>1</v>
      </c>
      <c r="E43" s="260">
        <f>'Input-Instructions'!$B$6</f>
        <v>46204</v>
      </c>
      <c r="F43" s="260">
        <f>'Input-Instructions'!$B$6</f>
        <v>46204</v>
      </c>
      <c r="G43" t="str">
        <f t="shared" si="0"/>
        <v>July Recurring Entries</v>
      </c>
      <c r="H43" t="s">
        <v>1883</v>
      </c>
      <c r="I43" t="str">
        <f>'Input-Instructions'!$B$4</f>
        <v>mn610wes</v>
      </c>
      <c r="J43" s="320">
        <f>IF('Real Estate Taxes'!$A$9="Yes",0,-'Real Estate Taxes'!$I$9)</f>
        <v>0</v>
      </c>
      <c r="K43">
        <f>IF('Upload Setup'!$B$3="Chart of Accounts A",IFERROR(VLOOKUP(IFERROR(VLOOKUP(VLOOKUP(K42,'Mapped COA'!A:G,4,0),'Upload Setup'!$B$5:$C$21,2,FALSE),'Real Estate Taxes'!$D$7),'Mapped COA'!A:G,1,0),IFERROR(VLOOKUP(VLOOKUP(K42,COA!A:G,2,0),'Upload Setup'!$B$5:$C$21,2,FALSE),'Real Estate Taxes'!$D$7)),IFERROR(VLOOKUP(IFERROR(VLOOKUP(VLOOKUP(K42,'Mapped COA'!A:G,4,0),'Upload Setup'!$B$5:$C$21,2,FALSE),'Real Estate Taxes'!$D$7),'Mapped COA'!A:G,3,0),IFERROR(VLOOKUP(VLOOKUP(K42,COA!A:G,2,0),'Upload Setup'!$B$5:$C$21,2,FALSE),'Real Estate Taxes'!$D$7)))</f>
        <v>13070</v>
      </c>
      <c r="N43">
        <v>1</v>
      </c>
      <c r="O43" t="str">
        <f>_xlfn.TEXTJOIN(" ",TRUE,TEXT('Input-Instructions'!$B$6,"MM/YYYY"),"Prepaid",'Real Estate Taxes'!$G$9,,"Amortization")</f>
        <v>07/2026 Prepaid Ad Valorem Property Taxes Amortization</v>
      </c>
      <c r="P43">
        <v>0</v>
      </c>
      <c r="Q43" s="293"/>
      <c r="S43" s="293"/>
    </row>
    <row r="44" spans="1:19" x14ac:dyDescent="0.25">
      <c r="A44" t="s">
        <v>1882</v>
      </c>
      <c r="B44">
        <v>1</v>
      </c>
      <c r="E44" s="260">
        <f>'Input-Instructions'!$B$6</f>
        <v>46204</v>
      </c>
      <c r="F44" s="260">
        <f>'Input-Instructions'!$B$6</f>
        <v>46204</v>
      </c>
      <c r="G44" t="str">
        <f t="shared" si="0"/>
        <v>July Recurring Entries</v>
      </c>
      <c r="H44" t="s">
        <v>1883</v>
      </c>
      <c r="I44" t="str">
        <f>'Input-Instructions'!$B$4</f>
        <v>mn610wes</v>
      </c>
      <c r="J44" s="320">
        <f>IF('Real Estate Taxes'!$A$10="Yes",0,'Real Estate Taxes'!$I$10)</f>
        <v>0</v>
      </c>
      <c r="K44" t="str">
        <f>IF('Upload Setup'!$B$3="Chart of Accounts A",IFERROR(VLOOKUP('Real Estate Taxes'!$E$10,'Mapped COA'!A:G,1,0),'Real Estate Taxes'!$E$10),IFERROR(VLOOKUP('Real Estate Taxes'!$E$10,'Mapped COA'!A:G,3,0),'Real Estate Taxes'!$E$10))</f>
        <v>62030-000</v>
      </c>
      <c r="N44">
        <v>1</v>
      </c>
      <c r="O44" t="str">
        <f>_xlfn.TEXTJOIN(" ",TRUE,TEXT('Input-Instructions'!$B$6,"MM/YYYY"),"Prepaid",'Real Estate Taxes'!$G$10,,"Amortization")</f>
        <v>07/2026 Prepaid Amortization</v>
      </c>
      <c r="P44">
        <v>0</v>
      </c>
      <c r="Q44" s="293"/>
      <c r="S44" s="293"/>
    </row>
    <row r="45" spans="1:19" x14ac:dyDescent="0.25">
      <c r="A45" t="s">
        <v>1882</v>
      </c>
      <c r="B45">
        <v>1</v>
      </c>
      <c r="E45" s="260">
        <f>'Input-Instructions'!$B$6</f>
        <v>46204</v>
      </c>
      <c r="F45" s="260">
        <f>'Input-Instructions'!$B$6</f>
        <v>46204</v>
      </c>
      <c r="G45" t="str">
        <f t="shared" si="0"/>
        <v>July Recurring Entries</v>
      </c>
      <c r="H45" t="s">
        <v>1883</v>
      </c>
      <c r="I45" t="str">
        <f>'Input-Instructions'!$B$4</f>
        <v>mn610wes</v>
      </c>
      <c r="J45" s="320">
        <f>IF('Real Estate Taxes'!$A$10="Yes",0,-'Real Estate Taxes'!$I$10)</f>
        <v>0</v>
      </c>
      <c r="K45" t="str">
        <f>IF('Upload Setup'!$B$3="Chart of Accounts A",IFERROR(VLOOKUP(IFERROR(VLOOKUP(VLOOKUP(K44,'Mapped COA'!A:G,2,0),'Upload Setup'!$B$5:$C$21,2,FALSE),'Real Estate Taxes'!$D$7),'Mapped COA'!A:G,1,0),IFERROR(VLOOKUP(VLOOKUP(K44,COA!A:G,2,0),'Upload Setup'!$B$5:$C$21,2,FALSE),'Real Estate Taxes'!$D$7)),IFERROR(VLOOKUP(IFERROR(VLOOKUP(VLOOKUP(K44,'Mapped COA'!A:G,2,0),'Upload Setup'!$B$5:$C$21,2,FALSE),'Real Estate Taxes'!$D$7),'Mapped COA'!A:G,3,0),IFERROR(VLOOKUP(VLOOKUP(K44,COA!A:G,2,0),'Upload Setup'!$B$5:$C$21,2,FALSE),'Real Estate Taxes'!$D$7)))</f>
        <v>13070-000</v>
      </c>
      <c r="N45">
        <v>1</v>
      </c>
      <c r="O45" t="str">
        <f>_xlfn.TEXTJOIN(" ",TRUE,TEXT('Input-Instructions'!$B$6,"MM/YYYY"),"Prepaid",'Real Estate Taxes'!$G$10,,"Amortization")</f>
        <v>07/2026 Prepaid Amortization</v>
      </c>
      <c r="P45">
        <v>0</v>
      </c>
      <c r="Q45" s="293"/>
      <c r="S45" s="293"/>
    </row>
    <row r="46" spans="1:19" x14ac:dyDescent="0.25">
      <c r="A46" t="s">
        <v>1882</v>
      </c>
      <c r="B46">
        <v>1</v>
      </c>
      <c r="E46" s="260">
        <f>'Input-Instructions'!$B$6</f>
        <v>46204</v>
      </c>
      <c r="F46" s="260">
        <f>'Input-Instructions'!$B$6</f>
        <v>46204</v>
      </c>
      <c r="G46" t="str">
        <f t="shared" si="0"/>
        <v>July Recurring Entries</v>
      </c>
      <c r="H46" t="s">
        <v>1883</v>
      </c>
      <c r="I46" t="str">
        <f>'Input-Instructions'!$B$4</f>
        <v>mn610wes</v>
      </c>
      <c r="J46" s="320">
        <f>IF('Real Estate Taxes'!$A$11="Yes",0,'Real Estate Taxes'!$I$11)</f>
        <v>0</v>
      </c>
      <c r="K46">
        <f>IF('Upload Setup'!$B$3="Chart of Accounts A",IFERROR(VLOOKUP('Real Estate Taxes'!$E$11,'Mapped COA'!A:G,1,0),'Real Estate Taxes'!$E$11),IFERROR(VLOOKUP('Real Estate Taxes'!$E$11,'Mapped COA'!A:G,3,0),'Real Estate Taxes'!$E$11))</f>
        <v>0</v>
      </c>
      <c r="N46">
        <v>1</v>
      </c>
      <c r="O46" t="str">
        <f>_xlfn.TEXTJOIN(" ",TRUE,TEXT('Input-Instructions'!$B$6,"MM/YYYY"),"Prepaid",'Real Estate Taxes'!$G$11,,"Amortization")</f>
        <v>07/2026 Prepaid Amortization</v>
      </c>
      <c r="P46">
        <v>0</v>
      </c>
      <c r="Q46" s="293"/>
      <c r="S46" s="293"/>
    </row>
    <row r="47" spans="1:19" x14ac:dyDescent="0.25">
      <c r="A47" t="s">
        <v>1882</v>
      </c>
      <c r="B47">
        <v>1</v>
      </c>
      <c r="E47" s="260">
        <f>'Input-Instructions'!$B$6</f>
        <v>46204</v>
      </c>
      <c r="F47" s="260">
        <f>'Input-Instructions'!$B$6</f>
        <v>46204</v>
      </c>
      <c r="G47" t="str">
        <f t="shared" si="0"/>
        <v>July Recurring Entries</v>
      </c>
      <c r="H47" t="s">
        <v>1883</v>
      </c>
      <c r="I47" t="str">
        <f>'Input-Instructions'!$B$4</f>
        <v>mn610wes</v>
      </c>
      <c r="J47" s="320">
        <f>IF('Real Estate Taxes'!$A$11="Yes",0,-'Real Estate Taxes'!$I$11)</f>
        <v>0</v>
      </c>
      <c r="K47" t="str">
        <f>IF('Upload Setup'!$B$3="Chart of Accounts A",IFERROR(VLOOKUP(IFERROR(VLOOKUP(VLOOKUP(K46,'Mapped COA'!A:G,2,0),'Upload Setup'!$B$5:$C$21,2,FALSE),'Real Estate Taxes'!$D$7),'Mapped COA'!A:G,1,0),IFERROR(VLOOKUP(VLOOKUP(K46,COA!A:G,2,0),'Upload Setup'!$B$5:$C$21,2,FALSE),'Real Estate Taxes'!$D$7)),IFERROR(VLOOKUP(IFERROR(VLOOKUP(VLOOKUP(K46,'Mapped COA'!A:G,2,0),'Upload Setup'!$B$5:$C$21,2,FALSE),'Real Estate Taxes'!$D$7),'Mapped COA'!A:G,3,0),IFERROR(VLOOKUP(VLOOKUP(K46,COA!A:G,2,0),'Upload Setup'!$B$5:$C$21,2,FALSE),'Real Estate Taxes'!$D$7)))</f>
        <v>13070-000</v>
      </c>
      <c r="N47">
        <v>1</v>
      </c>
      <c r="O47" t="str">
        <f>_xlfn.TEXTJOIN(" ",TRUE,TEXT('Input-Instructions'!$B$6,"MM/YYYY"),"Prepaid",'Real Estate Taxes'!$G$11,,"Amortization")</f>
        <v>07/2026 Prepaid Amortization</v>
      </c>
      <c r="P47">
        <v>0</v>
      </c>
      <c r="Q47" s="293"/>
      <c r="S47" s="293"/>
    </row>
    <row r="48" spans="1:19" x14ac:dyDescent="0.25">
      <c r="A48" t="s">
        <v>1882</v>
      </c>
      <c r="B48">
        <v>1</v>
      </c>
      <c r="E48" s="260">
        <f>'Input-Instructions'!$B$6</f>
        <v>46204</v>
      </c>
      <c r="F48" s="260">
        <f>'Input-Instructions'!$B$6</f>
        <v>46204</v>
      </c>
      <c r="G48" t="str">
        <f t="shared" si="0"/>
        <v>July Recurring Entries</v>
      </c>
      <c r="H48" t="s">
        <v>1883</v>
      </c>
      <c r="I48" t="str">
        <f>'Input-Instructions'!$B$4</f>
        <v>mn610wes</v>
      </c>
      <c r="J48" s="320">
        <f>IF('Real Estate Taxes'!$A$12="Yes",0,'Real Estate Taxes'!$I$12)</f>
        <v>0</v>
      </c>
      <c r="K48">
        <f>IF('Upload Setup'!$B$3="Chart of Accounts A",IFERROR(VLOOKUP('Real Estate Taxes'!$E$12,'Mapped COA'!A:G,1,0),'Real Estate Taxes'!$E$12),IFERROR(VLOOKUP('Real Estate Taxes'!$E$12,'Mapped COA'!A:G,3,0),'Real Estate Taxes'!$E$12))</f>
        <v>0</v>
      </c>
      <c r="N48">
        <v>1</v>
      </c>
      <c r="O48" t="str">
        <f>_xlfn.TEXTJOIN(" ",TRUE,TEXT('Input-Instructions'!$B$6,"MM/YYYY"),"Prepaid",'Real Estate Taxes'!$G$12,,"Amortization")</f>
        <v>07/2026 Prepaid Amortization</v>
      </c>
      <c r="P48">
        <v>0</v>
      </c>
      <c r="Q48" s="293"/>
      <c r="S48" s="293"/>
    </row>
    <row r="49" spans="1:19" x14ac:dyDescent="0.25">
      <c r="A49" t="s">
        <v>1882</v>
      </c>
      <c r="B49">
        <v>1</v>
      </c>
      <c r="E49" s="260">
        <f>'Input-Instructions'!$B$6</f>
        <v>46204</v>
      </c>
      <c r="F49" s="260">
        <f>'Input-Instructions'!$B$6</f>
        <v>46204</v>
      </c>
      <c r="G49" t="str">
        <f t="shared" si="0"/>
        <v>July Recurring Entries</v>
      </c>
      <c r="H49" t="s">
        <v>1883</v>
      </c>
      <c r="I49" t="str">
        <f>'Input-Instructions'!$B$4</f>
        <v>mn610wes</v>
      </c>
      <c r="J49" s="320">
        <f>IF('Real Estate Taxes'!$A$12="Yes",0,-'Real Estate Taxes'!$I$12)</f>
        <v>0</v>
      </c>
      <c r="K49" t="str">
        <f>IF('Upload Setup'!$B$3="Chart of Accounts A",IFERROR(VLOOKUP(IFERROR(VLOOKUP(VLOOKUP(K48,'Mapped COA'!A:G,2,0),'Upload Setup'!$B$5:$C$21,2,FALSE),'Real Estate Taxes'!$D$7),'Mapped COA'!A:G,1,0),IFERROR(VLOOKUP(VLOOKUP(K48,COA!A:G,2,0),'Upload Setup'!$B$5:$C$21,2,FALSE),'Real Estate Taxes'!$D$7)),IFERROR(VLOOKUP(IFERROR(VLOOKUP(VLOOKUP(K48,'Mapped COA'!A:G,2,0),'Upload Setup'!$B$5:$C$21,2,FALSE),'Real Estate Taxes'!$D$7),'Mapped COA'!A:G,3,0),IFERROR(VLOOKUP(VLOOKUP(K48,COA!A:G,2,0),'Upload Setup'!$B$5:$C$21,2,FALSE),'Real Estate Taxes'!$D$7)))</f>
        <v>13070-000</v>
      </c>
      <c r="N49">
        <v>1</v>
      </c>
      <c r="O49" t="str">
        <f>_xlfn.TEXTJOIN(" ",TRUE,TEXT('Input-Instructions'!$B$6,"MM/YYYY"),"Prepaid",'Real Estate Taxes'!$G$12,,"Amortization")</f>
        <v>07/2026 Prepaid Amortization</v>
      </c>
      <c r="P49">
        <v>0</v>
      </c>
      <c r="Q49" s="293"/>
      <c r="S49" s="293"/>
    </row>
    <row r="50" spans="1:19" x14ac:dyDescent="0.25">
      <c r="A50" t="s">
        <v>1882</v>
      </c>
      <c r="B50">
        <v>1</v>
      </c>
      <c r="E50" s="260">
        <f>'Input-Instructions'!$B$6</f>
        <v>46204</v>
      </c>
      <c r="F50" s="260">
        <f>'Input-Instructions'!$B$6</f>
        <v>46204</v>
      </c>
      <c r="G50" t="str">
        <f t="shared" si="0"/>
        <v>July Recurring Entries</v>
      </c>
      <c r="H50" t="s">
        <v>1883</v>
      </c>
      <c r="I50" t="str">
        <f>'Input-Instructions'!$B$4</f>
        <v>mn610wes</v>
      </c>
      <c r="J50" s="320">
        <f>IF('Real Estate Taxes'!$A$13="Yes",0,'Real Estate Taxes'!$I$13)</f>
        <v>0</v>
      </c>
      <c r="K50" s="385">
        <f>IF('Upload Setup'!$B$3="Chart of Accounts A",IFERROR(VLOOKUP('Real Estate Taxes'!$E$13,'Mapped COA'!A:G,1,0),'Real Estate Taxes'!$E$13),IFERROR(VLOOKUP('Real Estate Taxes'!$E$13,'Mapped COA'!A:G,3,0),'Real Estate Taxes'!$E$13))</f>
        <v>0</v>
      </c>
      <c r="N50">
        <v>1</v>
      </c>
      <c r="O50" t="str">
        <f>_xlfn.TEXTJOIN(" ",TRUE,TEXT('Input-Instructions'!$B$6,"MM/YYYY"),"Prepaid",'Real Estate Taxes'!$G$13,,"Amortization")</f>
        <v>07/2026 Prepaid Amortization</v>
      </c>
      <c r="P50">
        <v>0</v>
      </c>
      <c r="Q50" s="293"/>
      <c r="S50" s="293"/>
    </row>
    <row r="51" spans="1:19" x14ac:dyDescent="0.25">
      <c r="A51" t="s">
        <v>1882</v>
      </c>
      <c r="B51">
        <v>1</v>
      </c>
      <c r="E51" s="260">
        <f>'Input-Instructions'!$B$6</f>
        <v>46204</v>
      </c>
      <c r="F51" s="260">
        <f>'Input-Instructions'!$B$6</f>
        <v>46204</v>
      </c>
      <c r="G51" t="str">
        <f t="shared" si="0"/>
        <v>July Recurring Entries</v>
      </c>
      <c r="H51" t="s">
        <v>1883</v>
      </c>
      <c r="I51" t="str">
        <f>'Input-Instructions'!$B$4</f>
        <v>mn610wes</v>
      </c>
      <c r="J51" s="320">
        <f>IF('Real Estate Taxes'!$A$13="Yes",0,-'Real Estate Taxes'!$I$13)</f>
        <v>0</v>
      </c>
      <c r="K51" t="str">
        <f>IF('Upload Setup'!$B$3="Chart of Accounts A",IFERROR(VLOOKUP(IFERROR(VLOOKUP(VLOOKUP(K50,'Mapped COA'!A:G,2,0),'Upload Setup'!$B$5:$C$21,2,FALSE),'Real Estate Taxes'!$D$7),'Mapped COA'!A:G,1,0),IFERROR(VLOOKUP(VLOOKUP(K50,COA!A:G,2,0),'Upload Setup'!$B$5:$C$21,2,FALSE),'Real Estate Taxes'!$D$7)),IFERROR(VLOOKUP(IFERROR(VLOOKUP(VLOOKUP(K50,'Mapped COA'!A:G,2,0),'Upload Setup'!$B$5:$C$21,2,FALSE),'Real Estate Taxes'!$D$7),'Mapped COA'!A:G,3,0),IFERROR(VLOOKUP(VLOOKUP(K50,COA!A:G,2,0),'Upload Setup'!$B$5:$C$21,2,FALSE),'Real Estate Taxes'!$D$7)))</f>
        <v>13070-000</v>
      </c>
      <c r="N51">
        <v>1</v>
      </c>
      <c r="O51" t="str">
        <f>_xlfn.TEXTJOIN(" ",TRUE,TEXT('Input-Instructions'!$B$6,"MM/YYYY"),"Prepaid",'Real Estate Taxes'!$G$13,,"Amortization")</f>
        <v>07/2026 Prepaid Amortization</v>
      </c>
      <c r="P51">
        <v>0</v>
      </c>
      <c r="Q51" s="293"/>
      <c r="S51" s="293"/>
    </row>
    <row r="52" spans="1:19" x14ac:dyDescent="0.25">
      <c r="A52" t="s">
        <v>1882</v>
      </c>
      <c r="B52">
        <v>1</v>
      </c>
      <c r="E52" s="260">
        <f>'Input-Instructions'!$B$6</f>
        <v>46204</v>
      </c>
      <c r="F52" s="260">
        <f>'Input-Instructions'!$B$6</f>
        <v>46204</v>
      </c>
      <c r="G52" t="str">
        <f t="shared" si="0"/>
        <v>July Recurring Entries</v>
      </c>
      <c r="H52" t="s">
        <v>1883</v>
      </c>
      <c r="I52" t="str">
        <f>'Input-Instructions'!$B$4</f>
        <v>mn610wes</v>
      </c>
      <c r="J52" s="320">
        <f>IF('Real Estate Taxes'!$A$14="Yes",0,'Real Estate Taxes'!$I$14)</f>
        <v>0</v>
      </c>
      <c r="K52" s="385">
        <f>IF('Upload Setup'!$B$3="Chart of Accounts A",IFERROR(VLOOKUP('Real Estate Taxes'!$E$14,'Mapped COA'!A:G,1,0),'Real Estate Taxes'!$E$14),IFERROR(VLOOKUP('Real Estate Taxes'!$E$14,'Mapped COA'!A:G,3,0),'Real Estate Taxes'!$E$14))</f>
        <v>0</v>
      </c>
      <c r="N52">
        <v>1</v>
      </c>
      <c r="O52" t="str">
        <f>_xlfn.TEXTJOIN(" ",TRUE,TEXT('Input-Instructions'!$B$6,"MM/YYYY"),"Prepaid",'Real Estate Taxes'!$G$14,,"Amortization")</f>
        <v>07/2026 Prepaid Amortization</v>
      </c>
      <c r="P52">
        <v>0</v>
      </c>
      <c r="Q52" s="293"/>
      <c r="S52" s="293"/>
    </row>
    <row r="53" spans="1:19" x14ac:dyDescent="0.25">
      <c r="A53" t="s">
        <v>1882</v>
      </c>
      <c r="B53">
        <v>1</v>
      </c>
      <c r="E53" s="260">
        <f>'Input-Instructions'!$B$6</f>
        <v>46204</v>
      </c>
      <c r="F53" s="260">
        <f>'Input-Instructions'!$B$6</f>
        <v>46204</v>
      </c>
      <c r="G53" t="str">
        <f t="shared" si="0"/>
        <v>July Recurring Entries</v>
      </c>
      <c r="H53" t="s">
        <v>1883</v>
      </c>
      <c r="I53" t="str">
        <f>'Input-Instructions'!$B$4</f>
        <v>mn610wes</v>
      </c>
      <c r="J53" s="320">
        <f>IF('Real Estate Taxes'!$A$14="Yes",0,-'Real Estate Taxes'!$I$14)</f>
        <v>0</v>
      </c>
      <c r="K53" t="str">
        <f>IF('Upload Setup'!$B$3="Chart of Accounts A",IFERROR(VLOOKUP(IFERROR(VLOOKUP(VLOOKUP(K52,'Mapped COA'!A:G,2,0),'Upload Setup'!$B$5:$C$21,2,FALSE),'Real Estate Taxes'!$D$7),'Mapped COA'!A:G,1,0),IFERROR(VLOOKUP(VLOOKUP(K52,COA!A:G,2,0),'Upload Setup'!$B$5:$C$21,2,FALSE),'Real Estate Taxes'!$D$7)),IFERROR(VLOOKUP(IFERROR(VLOOKUP(VLOOKUP(K52,'Mapped COA'!A:G,2,0),'Upload Setup'!$B$5:$C$21,2,FALSE),'Real Estate Taxes'!$D$7),'Mapped COA'!A:G,3,0),IFERROR(VLOOKUP(VLOOKUP(K52,COA!A:G,2,0),'Upload Setup'!$B$5:$C$21,2,FALSE),'Real Estate Taxes'!$D$7)))</f>
        <v>13070-000</v>
      </c>
      <c r="N53">
        <v>1</v>
      </c>
      <c r="O53" t="str">
        <f>_xlfn.TEXTJOIN(" ",TRUE,TEXT('Input-Instructions'!$B$6,"MM/YYYY"),"Prepaid",'Real Estate Taxes'!$G$14,,"Amortization")</f>
        <v>07/2026 Prepaid Amortization</v>
      </c>
      <c r="P53">
        <v>0</v>
      </c>
      <c r="Q53" s="293"/>
      <c r="S53" s="293"/>
    </row>
    <row r="54" spans="1:19" x14ac:dyDescent="0.25">
      <c r="A54" t="s">
        <v>1882</v>
      </c>
      <c r="B54">
        <v>1</v>
      </c>
      <c r="E54" s="260">
        <f>'Input-Instructions'!$B$6</f>
        <v>46204</v>
      </c>
      <c r="F54" s="260">
        <f>'Input-Instructions'!$B$6</f>
        <v>46204</v>
      </c>
      <c r="G54" t="str">
        <f t="shared" si="0"/>
        <v>July Recurring Entries</v>
      </c>
      <c r="H54" t="s">
        <v>1883</v>
      </c>
      <c r="I54" t="str">
        <f>'Input-Instructions'!$B$4</f>
        <v>mn610wes</v>
      </c>
      <c r="J54" s="320">
        <f>IF('Real Estate Taxes'!$A$20="Yes",0,'Real Estate Taxes'!$I$20)</f>
        <v>0</v>
      </c>
      <c r="K54" t="str">
        <f>IF('Upload Setup'!$B$3="Chart of Accounts A",IFERROR(VLOOKUP('Real Estate Taxes'!$E$20,'Mapped COA'!A:G,1,0),'Real Estate Taxes'!$E$20),IFERROR(VLOOKUP('Real Estate Taxes'!$E$20,'Mapped COA'!A:G,3,0),'Real Estate Taxes'!$E$20))</f>
        <v>62010-000</v>
      </c>
      <c r="N54">
        <v>1</v>
      </c>
      <c r="O54" t="str">
        <f>_xlfn.TEXTJOIN(" ",TRUE,TEXT('Input-Instructions'!$B$6,"MM/YYYY"),'Real Estate Taxes'!$G$20,,"Accrual")</f>
        <v>07/2026 Ad Valorem Property Taxes Accrual</v>
      </c>
      <c r="P54">
        <v>0</v>
      </c>
      <c r="Q54" s="293"/>
      <c r="S54" s="293"/>
    </row>
    <row r="55" spans="1:19" x14ac:dyDescent="0.25">
      <c r="A55" t="s">
        <v>1882</v>
      </c>
      <c r="B55">
        <v>1</v>
      </c>
      <c r="E55" s="260">
        <f>'Input-Instructions'!$B$6</f>
        <v>46204</v>
      </c>
      <c r="F55" s="260">
        <f>'Input-Instructions'!$B$6</f>
        <v>46204</v>
      </c>
      <c r="G55" t="str">
        <f t="shared" si="0"/>
        <v>July Recurring Entries</v>
      </c>
      <c r="H55" t="s">
        <v>1883</v>
      </c>
      <c r="I55" t="str">
        <f>'Input-Instructions'!$B$4</f>
        <v>mn610wes</v>
      </c>
      <c r="J55" s="320">
        <f>IF('Real Estate Taxes'!$A$20="Yes",0,-'Real Estate Taxes'!$I$20)</f>
        <v>0</v>
      </c>
      <c r="K55">
        <f>IF('Upload Setup'!$B$3="Chart of Accounts A",IFERROR(VLOOKUP(IFERROR(VLOOKUP(VLOOKUP(K54,'Mapped COA'!A:G,2,0),'Upload Setup'!$B$24:$C$39,2,FALSE),'Real Estate Taxes'!$D$18),'Mapped COA'!A:G,1,0),IFERROR(VLOOKUP(VLOOKUP(K54,COA!A:G,2,0),'Upload Setup'!$B$24:$C$39,2,FALSE),'Real Estate Taxes'!$D$18)),IFERROR(VLOOKUP(IFERROR(VLOOKUP(VLOOKUP(K54,'Mapped COA'!A:G,2,0),'Upload Setup'!$B$24:$C$39,2,FALSE),'Real Estate Taxes'!$D$18),'Mapped COA'!A:G,3,0),IFERROR(VLOOKUP(VLOOKUP(K54,COA!A:G,2,0),'Upload Setup'!$B$24:$C$39,2,FALSE),'Real Estate Taxes'!$D$18)))</f>
        <v>22020</v>
      </c>
      <c r="N55">
        <v>1</v>
      </c>
      <c r="O55" t="str">
        <f>_xlfn.TEXTJOIN(" ",TRUE,TEXT('Input-Instructions'!$B$6,"MM/YYYY"),'Real Estate Taxes'!$G$20,,"Accrual")</f>
        <v>07/2026 Ad Valorem Property Taxes Accrual</v>
      </c>
      <c r="P55">
        <v>0</v>
      </c>
      <c r="Q55" s="293"/>
      <c r="S55" s="293"/>
    </row>
    <row r="56" spans="1:19" x14ac:dyDescent="0.25">
      <c r="A56" t="s">
        <v>1882</v>
      </c>
      <c r="B56">
        <v>1</v>
      </c>
      <c r="E56" s="260">
        <f>'Input-Instructions'!$B$6</f>
        <v>46204</v>
      </c>
      <c r="F56" s="260">
        <f>'Input-Instructions'!$B$6</f>
        <v>46204</v>
      </c>
      <c r="G56" t="str">
        <f t="shared" si="0"/>
        <v>July Recurring Entries</v>
      </c>
      <c r="H56" t="s">
        <v>1883</v>
      </c>
      <c r="I56" t="str">
        <f>'Input-Instructions'!$B$4</f>
        <v>mn610wes</v>
      </c>
      <c r="J56" s="320">
        <f>IF('Real Estate Taxes'!$A$21="Yes",0,'Real Estate Taxes'!$I$21)</f>
        <v>0</v>
      </c>
      <c r="K56" t="str">
        <f>IF('Upload Setup'!$B$3="Chart of Accounts A",IFERROR(VLOOKUP('Real Estate Taxes'!$E$21,'Mapped COA'!A:G,1,0),'Real Estate Taxes'!$E$21),IFERROR(VLOOKUP('Real Estate Taxes'!$E$21,'Mapped COA'!A:G,3,0),'Real Estate Taxes'!$E$21))</f>
        <v>62010-000</v>
      </c>
      <c r="N56">
        <v>1</v>
      </c>
      <c r="O56" t="str">
        <f>_xlfn.TEXTJOIN(" ",TRUE,TEXT('Input-Instructions'!$B$6,"MM/YYYY"),'Real Estate Taxes'!$G$21,,"Accrual")</f>
        <v>07/2026 Accrual</v>
      </c>
      <c r="P56">
        <v>0</v>
      </c>
      <c r="Q56" s="293"/>
      <c r="S56" s="293"/>
    </row>
    <row r="57" spans="1:19" x14ac:dyDescent="0.25">
      <c r="A57" t="s">
        <v>1882</v>
      </c>
      <c r="B57">
        <v>1</v>
      </c>
      <c r="E57" s="260">
        <f>'Input-Instructions'!$B$6</f>
        <v>46204</v>
      </c>
      <c r="F57" s="260">
        <f>'Input-Instructions'!$B$6</f>
        <v>46204</v>
      </c>
      <c r="G57" t="str">
        <f t="shared" si="0"/>
        <v>July Recurring Entries</v>
      </c>
      <c r="H57" t="s">
        <v>1883</v>
      </c>
      <c r="I57" t="str">
        <f>'Input-Instructions'!$B$4</f>
        <v>mn610wes</v>
      </c>
      <c r="J57" s="320">
        <f>IF('Real Estate Taxes'!$A$21="Yes",0,-'Real Estate Taxes'!$I$21)</f>
        <v>0</v>
      </c>
      <c r="K57">
        <f>IF('Upload Setup'!$B$3="Chart of Accounts A",IFERROR(VLOOKUP(IFERROR(VLOOKUP(VLOOKUP(K56,'Mapped COA'!A:G,2,0),'Upload Setup'!$B$24:$C$39,2,FALSE),'Real Estate Taxes'!$D$18),'Mapped COA'!A:G,1,0),IFERROR(VLOOKUP(VLOOKUP(K56,COA!A:G,2,0),'Upload Setup'!$B$24:$C$39,2,FALSE),'Real Estate Taxes'!$D$18)),IFERROR(VLOOKUP(IFERROR(VLOOKUP(VLOOKUP(K56,'Mapped COA'!A:G,2,0),'Upload Setup'!$B$24:$C$39,2,FALSE),'Real Estate Taxes'!$D$18),'Mapped COA'!A:G,3,0),IFERROR(VLOOKUP(VLOOKUP(K56,COA!A:G,2,0),'Upload Setup'!$B$24:$C$39,2,FALSE),'Real Estate Taxes'!$D$18)))</f>
        <v>22020</v>
      </c>
      <c r="N57">
        <v>1</v>
      </c>
      <c r="O57" t="str">
        <f>_xlfn.TEXTJOIN(" ",TRUE,TEXT('Input-Instructions'!$B$6,"MM/YYYY"),'Real Estate Taxes'!$G$21,,"Accrual")</f>
        <v>07/2026 Accrual</v>
      </c>
      <c r="P57">
        <v>0</v>
      </c>
      <c r="Q57" s="293"/>
      <c r="S57" s="293"/>
    </row>
    <row r="58" spans="1:19" x14ac:dyDescent="0.25">
      <c r="A58" t="s">
        <v>1882</v>
      </c>
      <c r="B58">
        <v>1</v>
      </c>
      <c r="E58" s="260">
        <f>'Input-Instructions'!$B$6</f>
        <v>46204</v>
      </c>
      <c r="F58" s="260">
        <f>'Input-Instructions'!$B$6</f>
        <v>46204</v>
      </c>
      <c r="G58" t="str">
        <f t="shared" si="0"/>
        <v>July Recurring Entries</v>
      </c>
      <c r="H58" t="s">
        <v>1883</v>
      </c>
      <c r="I58" t="str">
        <f>'Input-Instructions'!$B$4</f>
        <v>mn610wes</v>
      </c>
      <c r="J58" s="320">
        <f>IF('Real Estate Taxes'!$A$22="Yes",0,'Real Estate Taxes'!$I$22)</f>
        <v>0</v>
      </c>
      <c r="K58" t="str">
        <f>IF('Upload Setup'!$B$3="Chart of Accounts A",IFERROR(VLOOKUP('Real Estate Taxes'!$E$22,'Mapped COA'!A:G,1,0),'Real Estate Taxes'!$E$22),IFERROR(VLOOKUP('Real Estate Taxes'!$E$22,'Mapped COA'!A:G,3,0),'Real Estate Taxes'!$E$22))</f>
        <v>62010-000</v>
      </c>
      <c r="N58">
        <v>1</v>
      </c>
      <c r="O58" t="str">
        <f>_xlfn.TEXTJOIN(" ",TRUE,TEXT('Input-Instructions'!$B$6,"MM/YYYY"),'Real Estate Taxes'!$G$22,,"Accrual")</f>
        <v>07/2026 Accrual</v>
      </c>
      <c r="P58">
        <v>0</v>
      </c>
      <c r="Q58" s="293"/>
      <c r="S58" s="293"/>
    </row>
    <row r="59" spans="1:19" x14ac:dyDescent="0.25">
      <c r="A59" t="s">
        <v>1882</v>
      </c>
      <c r="B59">
        <v>1</v>
      </c>
      <c r="E59" s="260">
        <f>'Input-Instructions'!$B$6</f>
        <v>46204</v>
      </c>
      <c r="F59" s="260">
        <f>'Input-Instructions'!$B$6</f>
        <v>46204</v>
      </c>
      <c r="G59" t="str">
        <f t="shared" si="0"/>
        <v>July Recurring Entries</v>
      </c>
      <c r="H59" t="s">
        <v>1883</v>
      </c>
      <c r="I59" t="str">
        <f>'Input-Instructions'!$B$4</f>
        <v>mn610wes</v>
      </c>
      <c r="J59" s="320">
        <f>IF('Real Estate Taxes'!$A$22="Yes",0,-'Real Estate Taxes'!$I$22)</f>
        <v>0</v>
      </c>
      <c r="K59">
        <f>IF('Upload Setup'!$B$3="Chart of Accounts A",IFERROR(VLOOKUP(IFERROR(VLOOKUP(VLOOKUP(K58,'Mapped COA'!A:G,2,0),'Upload Setup'!$B$24:$C$39,2,FALSE),'Real Estate Taxes'!$D$18),'Mapped COA'!A:G,1,0),IFERROR(VLOOKUP(VLOOKUP(K58,COA!A:G,2,0),'Upload Setup'!$B$24:$C$39,2,FALSE),'Real Estate Taxes'!$D$18)),IFERROR(VLOOKUP(IFERROR(VLOOKUP(VLOOKUP(K58,'Mapped COA'!A:G,2,0),'Upload Setup'!$B$24:$C$39,2,FALSE),'Real Estate Taxes'!$D$18),'Mapped COA'!A:G,3,0),IFERROR(VLOOKUP(VLOOKUP(K58,COA!A:G,2,0),'Upload Setup'!$B$24:$C$39,2,FALSE),'Real Estate Taxes'!$D$18)))</f>
        <v>22020</v>
      </c>
      <c r="N59">
        <v>1</v>
      </c>
      <c r="O59" t="str">
        <f>_xlfn.TEXTJOIN(" ",TRUE,TEXT('Input-Instructions'!$B$6,"MM/YYYY"),'Real Estate Taxes'!$G$22,,"Accrual")</f>
        <v>07/2026 Accrual</v>
      </c>
      <c r="P59">
        <v>0</v>
      </c>
      <c r="Q59" s="293"/>
      <c r="S59" s="293"/>
    </row>
    <row r="60" spans="1:19" x14ac:dyDescent="0.25">
      <c r="A60" t="s">
        <v>1882</v>
      </c>
      <c r="B60">
        <v>1</v>
      </c>
      <c r="E60" s="260">
        <f>'Input-Instructions'!$B$6</f>
        <v>46204</v>
      </c>
      <c r="F60" s="260">
        <f>'Input-Instructions'!$B$6</f>
        <v>46204</v>
      </c>
      <c r="G60" t="str">
        <f t="shared" si="0"/>
        <v>July Recurring Entries</v>
      </c>
      <c r="H60" t="s">
        <v>1883</v>
      </c>
      <c r="I60" t="str">
        <f>'Input-Instructions'!$B$4</f>
        <v>mn610wes</v>
      </c>
      <c r="J60" s="320">
        <f>IF('Real Estate Taxes'!$A$23="Yes",0,'Real Estate Taxes'!$I$23)</f>
        <v>0</v>
      </c>
      <c r="K60" t="str">
        <f>IF('Upload Setup'!$B$3="Chart of Accounts A",IFERROR(VLOOKUP('Real Estate Taxes'!$E$23,'Mapped COA'!A:G,1,0),'Real Estate Taxes'!$E$23),IFERROR(VLOOKUP('Real Estate Taxes'!$E$23,'Mapped COA'!A:G,3,0),'Real Estate Taxes'!$E$23))</f>
        <v>62030-000</v>
      </c>
      <c r="N60">
        <v>1</v>
      </c>
      <c r="O60" t="str">
        <f>_xlfn.TEXTJOIN(" ",TRUE,TEXT('Input-Instructions'!$B$6,"MM/YYYY"),'Real Estate Taxes'!$G$23,,"Accrual")</f>
        <v>07/2026 Accrual</v>
      </c>
      <c r="P60">
        <v>0</v>
      </c>
      <c r="Q60" s="293"/>
      <c r="S60" s="293"/>
    </row>
    <row r="61" spans="1:19" x14ac:dyDescent="0.25">
      <c r="A61" t="s">
        <v>1882</v>
      </c>
      <c r="B61">
        <v>1</v>
      </c>
      <c r="E61" s="260">
        <f>'Input-Instructions'!$B$6</f>
        <v>46204</v>
      </c>
      <c r="F61" s="260">
        <f>'Input-Instructions'!$B$6</f>
        <v>46204</v>
      </c>
      <c r="G61" t="str">
        <f t="shared" si="0"/>
        <v>July Recurring Entries</v>
      </c>
      <c r="H61" t="s">
        <v>1883</v>
      </c>
      <c r="I61" t="str">
        <f>'Input-Instructions'!$B$4</f>
        <v>mn610wes</v>
      </c>
      <c r="J61" s="320">
        <f>IF('Real Estate Taxes'!$A$23="Yes",0,-'Real Estate Taxes'!$I$23)</f>
        <v>0</v>
      </c>
      <c r="K61" t="str">
        <f>IF('Upload Setup'!$B$3="Chart of Accounts A",IFERROR(VLOOKUP(IFERROR(VLOOKUP(VLOOKUP(K60,'Mapped COA'!A:G,2,0),'Upload Setup'!$B$24:$C$39,2,FALSE),'Real Estate Taxes'!$D$18),'Mapped COA'!A:G,1,0),IFERROR(VLOOKUP(VLOOKUP(K60,COA!A:G,2,0),'Upload Setup'!$B$24:$C$39,2,FALSE),'Real Estate Taxes'!$D$18)),IFERROR(VLOOKUP(IFERROR(VLOOKUP(VLOOKUP(K60,'Mapped COA'!A:G,2,0),'Upload Setup'!$B$24:$C$39,2,FALSE),'Real Estate Taxes'!$D$18),'Mapped COA'!A:G,3,0),IFERROR(VLOOKUP(VLOOKUP(K60,COA!A:G,2,0),'Upload Setup'!$B$24:$C$39,2,FALSE),'Real Estate Taxes'!$D$18)))</f>
        <v>22020-000</v>
      </c>
      <c r="N61">
        <v>1</v>
      </c>
      <c r="O61" t="str">
        <f>_xlfn.TEXTJOIN(" ",TRUE,TEXT('Input-Instructions'!$B$6,"MM/YYYY"),'Real Estate Taxes'!$G$23,,"Accrual")</f>
        <v>07/2026 Accrual</v>
      </c>
      <c r="P61">
        <v>0</v>
      </c>
      <c r="Q61" s="293"/>
      <c r="S61" s="293"/>
    </row>
    <row r="62" spans="1:19" x14ac:dyDescent="0.25">
      <c r="A62" t="s">
        <v>1882</v>
      </c>
      <c r="B62">
        <v>1</v>
      </c>
      <c r="E62" s="260">
        <f>'Input-Instructions'!$B$6</f>
        <v>46204</v>
      </c>
      <c r="F62" s="260">
        <f>'Input-Instructions'!$B$6</f>
        <v>46204</v>
      </c>
      <c r="G62" t="str">
        <f t="shared" si="0"/>
        <v>July Recurring Entries</v>
      </c>
      <c r="H62" t="s">
        <v>1883</v>
      </c>
      <c r="I62" t="str">
        <f>'Input-Instructions'!$B$4</f>
        <v>mn610wes</v>
      </c>
      <c r="J62" s="320">
        <f>IF('Real Estate Taxes'!$A$24="Yes",0,'Real Estate Taxes'!$I$24)</f>
        <v>0</v>
      </c>
      <c r="K62" s="385" t="str">
        <f>IF('Upload Setup'!$B$3="Chart of Accounts A",IFERROR(VLOOKUP('Real Estate Taxes'!$E$24,'Mapped COA'!A:G,1,0),'Real Estate Taxes'!$E$24),IFERROR(VLOOKUP('Real Estate Taxes'!$E$24,'Mapped COA'!A:G,3,0),'Real Estate Taxes'!$E$24))</f>
        <v>62010-000</v>
      </c>
      <c r="N62">
        <v>1</v>
      </c>
      <c r="O62" t="str">
        <f>_xlfn.TEXTJOIN(" ",TRUE,TEXT('Input-Instructions'!$B$6,"MM/YYYY"),'Real Estate Taxes'!$G$24,,"Accrual")</f>
        <v>07/2026 Accrual</v>
      </c>
      <c r="P62">
        <v>0</v>
      </c>
      <c r="Q62" s="293"/>
      <c r="S62" s="293"/>
    </row>
    <row r="63" spans="1:19" x14ac:dyDescent="0.25">
      <c r="A63" t="s">
        <v>1882</v>
      </c>
      <c r="B63">
        <v>1</v>
      </c>
      <c r="E63" s="260">
        <f>'Input-Instructions'!$B$6</f>
        <v>46204</v>
      </c>
      <c r="F63" s="260">
        <f>'Input-Instructions'!$B$6</f>
        <v>46204</v>
      </c>
      <c r="G63" t="str">
        <f t="shared" si="0"/>
        <v>July Recurring Entries</v>
      </c>
      <c r="H63" t="s">
        <v>1883</v>
      </c>
      <c r="I63" t="str">
        <f>'Input-Instructions'!$B$4</f>
        <v>mn610wes</v>
      </c>
      <c r="J63" s="320">
        <f>IF('Real Estate Taxes'!$A$24="Yes",0,-'Real Estate Taxes'!$I$24)</f>
        <v>0</v>
      </c>
      <c r="K63">
        <f>IF('Upload Setup'!$B$3="Chart of Accounts A",IFERROR(VLOOKUP(IFERROR(VLOOKUP(VLOOKUP(K62,'Mapped COA'!A:G,2,0),'Upload Setup'!$B$24:$C$39,2,FALSE),'Real Estate Taxes'!$D$18),'Mapped COA'!A:G,1,0),IFERROR(VLOOKUP(VLOOKUP(K62,COA!A:G,2,0),'Upload Setup'!$B$24:$C$39,2,FALSE),'Real Estate Taxes'!$D$18)),IFERROR(VLOOKUP(IFERROR(VLOOKUP(VLOOKUP(K62,'Mapped COA'!A:G,2,0),'Upload Setup'!$B$24:$C$39,2,FALSE),'Real Estate Taxes'!$D$18),'Mapped COA'!A:G,3,0),IFERROR(VLOOKUP(VLOOKUP(K62,COA!A:G,2,0),'Upload Setup'!$B$24:$C$39,2,FALSE),'Real Estate Taxes'!$D$18)))</f>
        <v>22020</v>
      </c>
      <c r="N63">
        <v>1</v>
      </c>
      <c r="O63" t="str">
        <f>_xlfn.TEXTJOIN(" ",TRUE,TEXT('Input-Instructions'!$B$6,"MM/YYYY"),'Real Estate Taxes'!$G$24,,"Accrual")</f>
        <v>07/2026 Accrual</v>
      </c>
      <c r="P63">
        <v>0</v>
      </c>
      <c r="Q63" s="293"/>
      <c r="S63" s="293"/>
    </row>
    <row r="64" spans="1:19" x14ac:dyDescent="0.25">
      <c r="A64" t="s">
        <v>1882</v>
      </c>
      <c r="B64">
        <v>1</v>
      </c>
      <c r="E64" s="260">
        <f>'Input-Instructions'!$B$6</f>
        <v>46204</v>
      </c>
      <c r="F64" s="260">
        <f>'Input-Instructions'!$B$6</f>
        <v>46204</v>
      </c>
      <c r="G64" t="str">
        <f t="shared" si="0"/>
        <v>July Recurring Entries</v>
      </c>
      <c r="H64" t="s">
        <v>1883</v>
      </c>
      <c r="I64" t="str">
        <f>'Input-Instructions'!$B$4</f>
        <v>mn610wes</v>
      </c>
      <c r="J64" s="320">
        <f>IF('Real Estate Taxes'!$A$25="Yes",0,'Real Estate Taxes'!$I$25)</f>
        <v>0</v>
      </c>
      <c r="K64" s="385">
        <f>IF('Upload Setup'!$B$3="Chart of Accounts A",IFERROR(VLOOKUP('Real Estate Taxes'!$E$25,'Mapped COA'!A:G,1,0),'Real Estate Taxes'!$E$25),IFERROR(VLOOKUP('Real Estate Taxes'!$E$25,'Mapped COA'!A:G,3,0),'Real Estate Taxes'!$E$25))</f>
        <v>0</v>
      </c>
      <c r="N64">
        <v>1</v>
      </c>
      <c r="O64" t="str">
        <f>_xlfn.TEXTJOIN(" ",TRUE,TEXT('Input-Instructions'!$B$6,"MM/YYYY"),'Real Estate Taxes'!$G$25,,"Accrual")</f>
        <v>07/2026 Accrual</v>
      </c>
      <c r="P64">
        <v>0</v>
      </c>
      <c r="Q64" s="293"/>
      <c r="S64" s="293"/>
    </row>
    <row r="65" spans="1:25" x14ac:dyDescent="0.25">
      <c r="A65" t="s">
        <v>1882</v>
      </c>
      <c r="B65">
        <v>1</v>
      </c>
      <c r="E65" s="260">
        <f>'Input-Instructions'!$B$6</f>
        <v>46204</v>
      </c>
      <c r="F65" s="260">
        <f>'Input-Instructions'!$B$6</f>
        <v>46204</v>
      </c>
      <c r="G65" t="str">
        <f t="shared" si="0"/>
        <v>July Recurring Entries</v>
      </c>
      <c r="H65" t="s">
        <v>1883</v>
      </c>
      <c r="I65" t="str">
        <f>'Input-Instructions'!$B$4</f>
        <v>mn610wes</v>
      </c>
      <c r="J65" s="320">
        <f>IF('Real Estate Taxes'!$A$25="Yes",0,-'Real Estate Taxes'!$I$25)</f>
        <v>0</v>
      </c>
      <c r="K65" t="str">
        <f>IF('Upload Setup'!$B$3="Chart of Accounts A",IFERROR(VLOOKUP(IFERROR(VLOOKUP(VLOOKUP(K64,'Mapped COA'!A:G,2,0),'Upload Setup'!$B$24:$C$39,2,FALSE),'Real Estate Taxes'!$D$18),'Mapped COA'!A:G,1,0),IFERROR(VLOOKUP(VLOOKUP(K64,COA!A:G,2,0),'Upload Setup'!$B$24:$C$39,2,FALSE),'Real Estate Taxes'!$D$18)),IFERROR(VLOOKUP(IFERROR(VLOOKUP(VLOOKUP(K64,'Mapped COA'!A:G,2,0),'Upload Setup'!$B$24:$C$39,2,FALSE),'Real Estate Taxes'!$D$18),'Mapped COA'!A:G,3,0),IFERROR(VLOOKUP(VLOOKUP(K64,COA!A:G,2,0),'Upload Setup'!$B$24:$C$39,2,FALSE),'Real Estate Taxes'!$D$18)))</f>
        <v>22020-000</v>
      </c>
      <c r="N65">
        <v>1</v>
      </c>
      <c r="O65" t="str">
        <f>_xlfn.TEXTJOIN(" ",TRUE,TEXT('Input-Instructions'!$B$6,"MM/YYYY"),'Real Estate Taxes'!$G$25,,"Accrual")</f>
        <v>07/2026 Accrual</v>
      </c>
      <c r="P65">
        <v>0</v>
      </c>
      <c r="Q65" s="293"/>
      <c r="S65" s="293"/>
    </row>
    <row r="66" spans="1:25" x14ac:dyDescent="0.25">
      <c r="A66" t="s">
        <v>1882</v>
      </c>
      <c r="B66">
        <v>1</v>
      </c>
      <c r="E66" s="260">
        <f>'Input-Instructions'!$B$6</f>
        <v>46204</v>
      </c>
      <c r="F66" s="260">
        <f>'Input-Instructions'!$B$6</f>
        <v>46204</v>
      </c>
      <c r="G66" t="str">
        <f t="shared" si="0"/>
        <v>July Recurring Entries</v>
      </c>
      <c r="H66" t="s">
        <v>1883</v>
      </c>
      <c r="I66" t="str">
        <f>'Input-Instructions'!$B$4</f>
        <v>mn610wes</v>
      </c>
      <c r="J66" s="320">
        <f>IFERROR(IF('Prepaid Other'!$A$6="Yes",0,IF(AND(EOMONTH('Prepaid Other'!$E$6,0)&gt;='Input-Instructions'!$B$6,(EOMONTH('Prepaid Other'!$D$6,-1)+1)&lt;='Input-Instructions'!$B$6),'Prepaid Other'!$I$6,0)),0)</f>
        <v>0</v>
      </c>
      <c r="K66" t="str">
        <f>IF('Upload Setup'!$B$3="Chart of Accounts A",IFERROR(VLOOKUP('Prepaid Other'!$B$6,'Mapped COA'!A:G,1,0),'Prepaid Other'!$B$6),IFERROR(VLOOKUP('Prepaid Other'!$B$6,'Mapped COA'!A:G,3,0),'Prepaid Other'!$B$6))</f>
        <v>58280-000</v>
      </c>
      <c r="N66">
        <v>1</v>
      </c>
      <c r="O66" t="str">
        <f>_xlfn.TEXTJOIN(" ",TRUE,TEXT('Input-Instructions'!$B$6,"MM/YYYY"),"Prepaid",'Prepaid Other'!$F$6,"Amortization")</f>
        <v>07/2026 Prepaid Butterfly - 10.1.2024-9.30.2025 Intercom software subscription Amortization</v>
      </c>
      <c r="P66">
        <v>0</v>
      </c>
      <c r="Q66" s="293"/>
      <c r="S66" s="293"/>
      <c r="T66" s="293"/>
      <c r="V66" s="293"/>
      <c r="X66" s="293"/>
    </row>
    <row r="67" spans="1:25" x14ac:dyDescent="0.25">
      <c r="A67" t="s">
        <v>1882</v>
      </c>
      <c r="B67">
        <v>1</v>
      </c>
      <c r="E67" s="260">
        <f>'Input-Instructions'!$B$6</f>
        <v>46204</v>
      </c>
      <c r="F67" s="260">
        <f>'Input-Instructions'!$B$6</f>
        <v>46204</v>
      </c>
      <c r="G67" t="str">
        <f t="shared" si="0"/>
        <v>July Recurring Entries</v>
      </c>
      <c r="H67" t="s">
        <v>1883</v>
      </c>
      <c r="I67" t="str">
        <f>'Input-Instructions'!$B$4</f>
        <v>mn610wes</v>
      </c>
      <c r="J67" s="320">
        <f>IFERROR(IF('Prepaid Other'!$A$6="Yes",0,IF(AND(EOMONTH('Prepaid Other'!$E$6,0)&gt;='Input-Instructions'!$B$6,(EOMONTH('Prepaid Other'!$D$6,-1)+1)&lt;='Input-Instructions'!$B$6),-'Prepaid Other'!$I$6,0)),0)</f>
        <v>0</v>
      </c>
      <c r="K67">
        <f>IF('Upload Setup'!$B$3="Chart of Accounts A",IFERROR(VLOOKUP('Upload Setup'!$C$21,'Mapped COA'!A:G,1,0),'Upload Setup'!$C$21),IFERROR(VLOOKUP('Upload Setup'!$C$21,'Mapped COA'!A:G,3,0),'Upload Setup'!$C$21))</f>
        <v>13085</v>
      </c>
      <c r="N67">
        <v>1</v>
      </c>
      <c r="O67" t="str">
        <f>_xlfn.TEXTJOIN(" ",TRUE,TEXT('Input-Instructions'!$B$6,"MM/YYYY"),"Prepaid",'Prepaid Other'!$F$6,"Amortization")</f>
        <v>07/2026 Prepaid Butterfly - 10.1.2024-9.30.2025 Intercom software subscription Amortization</v>
      </c>
      <c r="P67">
        <v>0</v>
      </c>
      <c r="Q67" s="293"/>
      <c r="R67" s="293"/>
      <c r="S67" s="293"/>
      <c r="T67" s="293"/>
      <c r="V67" s="293"/>
      <c r="X67" s="293"/>
    </row>
    <row r="68" spans="1:25" x14ac:dyDescent="0.25">
      <c r="A68" t="s">
        <v>1882</v>
      </c>
      <c r="B68">
        <v>1</v>
      </c>
      <c r="E68" s="260">
        <f>'Input-Instructions'!$B$6</f>
        <v>46204</v>
      </c>
      <c r="F68" s="260">
        <f>'Input-Instructions'!$B$6</f>
        <v>46204</v>
      </c>
      <c r="G68" t="str">
        <f t="shared" si="0"/>
        <v>July Recurring Entries</v>
      </c>
      <c r="H68" t="s">
        <v>1883</v>
      </c>
      <c r="I68" t="str">
        <f>'Input-Instructions'!$B$4</f>
        <v>mn610wes</v>
      </c>
      <c r="J68" s="320">
        <f>IFERROR(IF('Prepaid Other'!$A$7="Yes",0,IF(AND(EOMONTH('Prepaid Other'!$E$7,0)&gt;='Input-Instructions'!$B$6,(EOMONTH('Prepaid Other'!$D$7,-1)+1)&lt;='Input-Instructions'!$B$6),'Prepaid Other'!$I$7,0)),0)</f>
        <v>0</v>
      </c>
      <c r="K68" t="str">
        <f>IF('Upload Setup'!$B$3="Chart of Accounts A",IFERROR(VLOOKUP('Prepaid Other'!$B$7,'Mapped COA'!A:G,1,0),'Prepaid Other'!$B$7),IFERROR(VLOOKUP('Prepaid Other'!$B$7,'Mapped COA'!A:G,3,0),'Prepaid Other'!$B$7))</f>
        <v>58280-000</v>
      </c>
      <c r="N68">
        <v>1</v>
      </c>
      <c r="O68" t="str">
        <f>_xlfn.TEXTJOIN(" ",TRUE,TEXT('Input-Instructions'!$B$6,"MM/YYYY"),"Prepaid",'Prepaid Other'!$F$7,"Amortization")</f>
        <v>07/2026 Prepaid ChargePoint - 3 yr subscription 10.22.24-10.22.27 Amortization</v>
      </c>
      <c r="P68">
        <v>0</v>
      </c>
      <c r="Q68" s="293"/>
      <c r="R68" s="293"/>
      <c r="S68" s="293"/>
      <c r="T68" s="293"/>
      <c r="U68" s="293"/>
      <c r="V68" s="293"/>
      <c r="W68" s="293"/>
      <c r="X68" s="293"/>
      <c r="Y68" s="293"/>
    </row>
    <row r="69" spans="1:25" x14ac:dyDescent="0.25">
      <c r="A69" t="s">
        <v>1882</v>
      </c>
      <c r="B69">
        <v>1</v>
      </c>
      <c r="E69" s="260">
        <f>'Input-Instructions'!$B$6</f>
        <v>46204</v>
      </c>
      <c r="F69" s="260">
        <f>'Input-Instructions'!$B$6</f>
        <v>46204</v>
      </c>
      <c r="G69" t="str">
        <f t="shared" si="0"/>
        <v>July Recurring Entries</v>
      </c>
      <c r="H69" t="s">
        <v>1883</v>
      </c>
      <c r="I69" t="str">
        <f>'Input-Instructions'!$B$4</f>
        <v>mn610wes</v>
      </c>
      <c r="J69" s="320">
        <f>IFERROR(IF('Prepaid Other'!$A$7="Yes",0,IF(AND(EOMONTH('Prepaid Other'!$E$7,0)&gt;='Input-Instructions'!$B$6,(EOMONTH('Prepaid Other'!$D$7,-1)+1)&lt;='Input-Instructions'!$B$6),-'Prepaid Other'!$I$7,0)),0)</f>
        <v>0</v>
      </c>
      <c r="K69">
        <f>IF('Upload Setup'!$B$3="Chart of Accounts A",IFERROR(VLOOKUP('Upload Setup'!$C$21,'Mapped COA'!A:G,1,0),'Upload Setup'!$C$21),IFERROR(VLOOKUP('Upload Setup'!$C$21,'Mapped COA'!A:G,3,0),'Upload Setup'!$C$21))</f>
        <v>13085</v>
      </c>
      <c r="N69">
        <v>1</v>
      </c>
      <c r="O69" t="str">
        <f>_xlfn.TEXTJOIN(" ",TRUE,TEXT('Input-Instructions'!$B$6,"MM/YYYY"),"Prepaid",'Prepaid Other'!$F$7,"Amortization")</f>
        <v>07/2026 Prepaid ChargePoint - 3 yr subscription 10.22.24-10.22.27 Amortization</v>
      </c>
      <c r="P69">
        <v>0</v>
      </c>
      <c r="Q69" s="293"/>
      <c r="R69" s="293"/>
      <c r="S69" s="293"/>
      <c r="T69" s="293"/>
      <c r="U69" s="293"/>
      <c r="V69" s="293"/>
      <c r="W69" s="293"/>
      <c r="X69" s="293"/>
      <c r="Y69" s="293"/>
    </row>
    <row r="70" spans="1:25" x14ac:dyDescent="0.25">
      <c r="A70" t="s">
        <v>1882</v>
      </c>
      <c r="B70">
        <v>1</v>
      </c>
      <c r="E70" s="260">
        <f>'Input-Instructions'!$B$6</f>
        <v>46204</v>
      </c>
      <c r="F70" s="260">
        <f>'Input-Instructions'!$B$6</f>
        <v>46204</v>
      </c>
      <c r="G70" t="str">
        <f t="shared" si="0"/>
        <v>July Recurring Entries</v>
      </c>
      <c r="H70" t="s">
        <v>1883</v>
      </c>
      <c r="I70" t="str">
        <f>'Input-Instructions'!$B$4</f>
        <v>mn610wes</v>
      </c>
      <c r="J70" s="320">
        <f>IFERROR(IF('Prepaid Other'!$A$8="Yes",0,IF(AND(EOMONTH('Prepaid Other'!$E$8,0)&gt;='Input-Instructions'!$B$6,(EOMONTH('Prepaid Other'!$D$8,-1)+1)&lt;='Input-Instructions'!$B$6),'Prepaid Other'!$I$8,0)),0)</f>
        <v>0</v>
      </c>
      <c r="K70" t="str">
        <f>IF('Upload Setup'!$B$3="Chart of Accounts A",IFERROR(VLOOKUP('Prepaid Other'!$B$8,'Mapped COA'!A:G,1,0),'Prepaid Other'!$B$8),IFERROR(VLOOKUP('Prepaid Other'!$B$8,'Mapped COA'!A:G,3,0),'Prepaid Other'!$B$8))</f>
        <v>53070-000</v>
      </c>
      <c r="N70">
        <v>1</v>
      </c>
      <c r="O70" t="str">
        <f>_xlfn.TEXTJOIN(" ",TRUE,TEXT('Input-Instructions'!$B$6,"MM/YYYY"),"Prepaid",'Prepaid Other'!$F$8,"Amortization")</f>
        <v>07/2026 Prepaid Jonson Controls Fire Protection - 10.1.2024-9.30/2025 Fire Alarm Monitor-Bldg 2 Amortization</v>
      </c>
      <c r="P70">
        <v>0</v>
      </c>
      <c r="Q70" s="293"/>
      <c r="R70" s="293"/>
      <c r="S70" s="293"/>
      <c r="T70" s="293"/>
      <c r="U70" s="293"/>
      <c r="V70" s="293"/>
      <c r="W70" s="293"/>
      <c r="X70" s="293"/>
      <c r="Y70" s="293"/>
    </row>
    <row r="71" spans="1:25" x14ac:dyDescent="0.25">
      <c r="A71" t="s">
        <v>1882</v>
      </c>
      <c r="B71">
        <v>1</v>
      </c>
      <c r="E71" s="260">
        <f>'Input-Instructions'!$B$6</f>
        <v>46204</v>
      </c>
      <c r="F71" s="260">
        <f>'Input-Instructions'!$B$6</f>
        <v>46204</v>
      </c>
      <c r="G71" t="str">
        <f t="shared" si="0"/>
        <v>July Recurring Entries</v>
      </c>
      <c r="H71" t="s">
        <v>1883</v>
      </c>
      <c r="I71" t="str">
        <f>'Input-Instructions'!$B$4</f>
        <v>mn610wes</v>
      </c>
      <c r="J71" s="320">
        <f>IFERROR(IF('Prepaid Other'!$A$8="Yes",0,IF(AND(EOMONTH('Prepaid Other'!$E$8,0)&gt;='Input-Instructions'!$B$6,(EOMONTH('Prepaid Other'!$D$8,-1)+1)&lt;='Input-Instructions'!$B$6),-'Prepaid Other'!$I$8,0)),0)</f>
        <v>0</v>
      </c>
      <c r="K71">
        <f>IF('Upload Setup'!$B$3="Chart of Accounts A",IFERROR(VLOOKUP('Upload Setup'!$C$21,'Mapped COA'!A:G,1,0),'Upload Setup'!$C$21),IFERROR(VLOOKUP('Upload Setup'!$C$21,'Mapped COA'!A:G,3,0),'Upload Setup'!$C$21))</f>
        <v>13085</v>
      </c>
      <c r="N71">
        <v>1</v>
      </c>
      <c r="O71" t="str">
        <f>_xlfn.TEXTJOIN(" ",TRUE,TEXT('Input-Instructions'!$B$6,"MM/YYYY"),"Prepaid",'Prepaid Other'!$F$8,"Amortization")</f>
        <v>07/2026 Prepaid Jonson Controls Fire Protection - 10.1.2024-9.30/2025 Fire Alarm Monitor-Bldg 2 Amortization</v>
      </c>
      <c r="P71">
        <v>0</v>
      </c>
      <c r="Q71" s="293"/>
      <c r="R71" s="293"/>
      <c r="S71" s="293"/>
      <c r="T71" s="293"/>
      <c r="U71" s="293"/>
      <c r="V71" s="293"/>
      <c r="W71" s="293"/>
      <c r="X71" s="293"/>
      <c r="Y71" s="293"/>
    </row>
    <row r="72" spans="1:25" x14ac:dyDescent="0.25">
      <c r="A72" t="s">
        <v>1882</v>
      </c>
      <c r="B72">
        <v>1</v>
      </c>
      <c r="E72" s="260">
        <f>'Input-Instructions'!$B$6</f>
        <v>46204</v>
      </c>
      <c r="F72" s="260">
        <f>'Input-Instructions'!$B$6</f>
        <v>46204</v>
      </c>
      <c r="G72" t="str">
        <f t="shared" si="0"/>
        <v>July Recurring Entries</v>
      </c>
      <c r="H72" t="s">
        <v>1883</v>
      </c>
      <c r="I72" t="str">
        <f>'Input-Instructions'!$B$4</f>
        <v>mn610wes</v>
      </c>
      <c r="J72" s="320">
        <f>IFERROR(IF('Prepaid Other'!$A$9="Yes",0,IF(AND(EOMONTH('Prepaid Other'!$E$9,0)&gt;='Input-Instructions'!$B$6,(EOMONTH('Prepaid Other'!$D$9,-1)+1)&lt;='Input-Instructions'!$B$6),'Prepaid Other'!$I$9,0)),0)</f>
        <v>0</v>
      </c>
      <c r="K72" t="str">
        <f>IF('Upload Setup'!$B$3="Chart of Accounts A",IFERROR(VLOOKUP('Prepaid Other'!$B$9,'Mapped COA'!A:G,1,0),'Prepaid Other'!$B$9),IFERROR(VLOOKUP('Prepaid Other'!$B$9,'Mapped COA'!A:G,3,0),'Prepaid Other'!$B$9))</f>
        <v>53070-000</v>
      </c>
      <c r="N72">
        <v>1</v>
      </c>
      <c r="O72" t="str">
        <f>_xlfn.TEXTJOIN(" ",TRUE,TEXT('Input-Instructions'!$B$6,"MM/YYYY"),"Prepaid",'Prepaid Other'!$F$9,"Amortization")</f>
        <v>07/2026 Prepaid Jonson Controls Fire Protection - 10.1.2024-9.30/2025 Fire Alarm Monitor-Bldg 3 Amortization</v>
      </c>
      <c r="P72">
        <v>0</v>
      </c>
      <c r="Q72" s="293"/>
      <c r="R72" s="293"/>
      <c r="S72" s="293"/>
      <c r="T72" s="293"/>
      <c r="U72" s="293"/>
      <c r="V72" s="293"/>
      <c r="W72" s="293"/>
      <c r="X72" s="293"/>
      <c r="Y72" s="293"/>
    </row>
    <row r="73" spans="1:25" x14ac:dyDescent="0.25">
      <c r="A73" t="s">
        <v>1882</v>
      </c>
      <c r="B73">
        <v>1</v>
      </c>
      <c r="E73" s="260">
        <f>'Input-Instructions'!$B$6</f>
        <v>46204</v>
      </c>
      <c r="F73" s="260">
        <f>'Input-Instructions'!$B$6</f>
        <v>46204</v>
      </c>
      <c r="G73" t="str">
        <f t="shared" si="0"/>
        <v>July Recurring Entries</v>
      </c>
      <c r="H73" t="s">
        <v>1883</v>
      </c>
      <c r="I73" t="str">
        <f>'Input-Instructions'!$B$4</f>
        <v>mn610wes</v>
      </c>
      <c r="J73" s="320">
        <f>IFERROR(IF('Prepaid Other'!$A$9="Yes",0,IF(AND(EOMONTH('Prepaid Other'!$E$9,0)&gt;='Input-Instructions'!$B$6,(EOMONTH('Prepaid Other'!$D$9,-1)+1)&lt;='Input-Instructions'!$B$6),-'Prepaid Other'!$I$9,0)),0)</f>
        <v>0</v>
      </c>
      <c r="K73">
        <f>IF('Upload Setup'!$B$3="Chart of Accounts A",IFERROR(VLOOKUP('Upload Setup'!$C$21,'Mapped COA'!A:G,1,0),'Upload Setup'!$C$21),IFERROR(VLOOKUP('Upload Setup'!$C$21,'Mapped COA'!A:G,3,0),'Upload Setup'!$C$21))</f>
        <v>13085</v>
      </c>
      <c r="N73">
        <v>1</v>
      </c>
      <c r="O73" t="str">
        <f>_xlfn.TEXTJOIN(" ",TRUE,TEXT('Input-Instructions'!$B$6,"MM/YYYY"),"Prepaid",'Prepaid Other'!$F$9,"Amortization")</f>
        <v>07/2026 Prepaid Jonson Controls Fire Protection - 10.1.2024-9.30/2025 Fire Alarm Monitor-Bldg 3 Amortization</v>
      </c>
      <c r="P73">
        <v>0</v>
      </c>
      <c r="Q73" s="293"/>
      <c r="R73" s="293"/>
      <c r="S73" s="293"/>
      <c r="T73" s="293"/>
      <c r="U73" s="293"/>
      <c r="V73" s="293"/>
      <c r="W73" s="293"/>
      <c r="X73" s="293"/>
      <c r="Y73" s="293"/>
    </row>
    <row r="74" spans="1:25" x14ac:dyDescent="0.25">
      <c r="A74" t="s">
        <v>1882</v>
      </c>
      <c r="B74">
        <v>1</v>
      </c>
      <c r="E74" s="260">
        <f>'Input-Instructions'!$B$6</f>
        <v>46204</v>
      </c>
      <c r="F74" s="260">
        <f>'Input-Instructions'!$B$6</f>
        <v>46204</v>
      </c>
      <c r="G74" t="str">
        <f t="shared" si="0"/>
        <v>July Recurring Entries</v>
      </c>
      <c r="H74" t="s">
        <v>1883</v>
      </c>
      <c r="I74" t="str">
        <f>'Input-Instructions'!$B$4</f>
        <v>mn610wes</v>
      </c>
      <c r="J74" s="320">
        <f>IFERROR(IF('Prepaid Other'!$A$10="Yes",0,IF(AND(EOMONTH('Prepaid Other'!$E$10,0)&gt;='Input-Instructions'!$B$6,(EOMONTH('Prepaid Other'!$D$10,-1)+1)&lt;='Input-Instructions'!$B$6),'Prepaid Other'!$I$10,0)),0)</f>
        <v>0</v>
      </c>
      <c r="K74" t="str">
        <f>IF('Upload Setup'!$B$3="Chart of Accounts A",IFERROR(VLOOKUP('Prepaid Other'!$B$10,'Mapped COA'!A:G,1,0),'Prepaid Other'!$B$10),IFERROR(VLOOKUP('Prepaid Other'!$B$10,'Mapped COA'!A:G,3,0),'Prepaid Other'!$B$10))</f>
        <v>53070-000</v>
      </c>
      <c r="N74">
        <v>1</v>
      </c>
      <c r="O74" t="str">
        <f>_xlfn.TEXTJOIN(" ",TRUE,TEXT('Input-Instructions'!$B$6,"MM/YYYY"),"Prepaid",'Prepaid Other'!$F$10,"Amortization")</f>
        <v>07/2026 Prepaid Jonson Controls Fire Protection - 10.1.2024-9.30/2025 Fire Alarm Monitor-Bldg 4 Amortization</v>
      </c>
      <c r="P74">
        <v>0</v>
      </c>
      <c r="Q74" s="293"/>
      <c r="R74" s="293"/>
      <c r="S74" s="293"/>
      <c r="T74" s="293"/>
      <c r="U74" s="293"/>
      <c r="V74" s="293"/>
      <c r="W74" s="293"/>
      <c r="X74" s="293"/>
      <c r="Y74" s="293"/>
    </row>
    <row r="75" spans="1:25" x14ac:dyDescent="0.25">
      <c r="A75" t="s">
        <v>1882</v>
      </c>
      <c r="B75">
        <v>1</v>
      </c>
      <c r="E75" s="260">
        <f>'Input-Instructions'!$B$6</f>
        <v>46204</v>
      </c>
      <c r="F75" s="260">
        <f>'Input-Instructions'!$B$6</f>
        <v>46204</v>
      </c>
      <c r="G75" t="str">
        <f t="shared" ref="G75:G138" si="1">TEXT(F75,"mmmm")&amp;" Recurring Entries"</f>
        <v>July Recurring Entries</v>
      </c>
      <c r="H75" t="s">
        <v>1883</v>
      </c>
      <c r="I75" t="str">
        <f>'Input-Instructions'!$B$4</f>
        <v>mn610wes</v>
      </c>
      <c r="J75" s="320">
        <f>IFERROR(IF('Prepaid Other'!$A$10="Yes",0,IF(AND(EOMONTH('Prepaid Other'!$E$10,0)&gt;='Input-Instructions'!$B$6,(EOMONTH('Prepaid Other'!$D$10,-1)+1)&lt;='Input-Instructions'!$B$6),-'Prepaid Other'!$I$10,0)),0)</f>
        <v>0</v>
      </c>
      <c r="K75">
        <f>IF('Upload Setup'!$B$3="Chart of Accounts A",IFERROR(VLOOKUP('Upload Setup'!$C$21,'Mapped COA'!A:G,1,0),'Upload Setup'!$C$21),IFERROR(VLOOKUP('Upload Setup'!$C$21,'Mapped COA'!A:G,3,0),'Upload Setup'!$C$21))</f>
        <v>13085</v>
      </c>
      <c r="N75">
        <v>1</v>
      </c>
      <c r="O75" t="str">
        <f>_xlfn.TEXTJOIN(" ",TRUE,TEXT('Input-Instructions'!$B$6,"MM/YYYY"),"Prepaid",'Prepaid Other'!$F$10,"Amortization")</f>
        <v>07/2026 Prepaid Jonson Controls Fire Protection - 10.1.2024-9.30/2025 Fire Alarm Monitor-Bldg 4 Amortization</v>
      </c>
      <c r="P75">
        <v>0</v>
      </c>
      <c r="Q75" s="293"/>
      <c r="R75" s="293"/>
      <c r="S75" s="293"/>
      <c r="T75" s="293"/>
      <c r="U75" s="293"/>
      <c r="V75" s="293"/>
      <c r="W75" s="293"/>
      <c r="X75" s="293"/>
      <c r="Y75" s="293"/>
    </row>
    <row r="76" spans="1:25" x14ac:dyDescent="0.25">
      <c r="A76" t="s">
        <v>1882</v>
      </c>
      <c r="B76">
        <v>1</v>
      </c>
      <c r="E76" s="260">
        <f>'Input-Instructions'!$B$6</f>
        <v>46204</v>
      </c>
      <c r="F76" s="260">
        <f>'Input-Instructions'!$B$6</f>
        <v>46204</v>
      </c>
      <c r="G76" t="str">
        <f t="shared" si="1"/>
        <v>July Recurring Entries</v>
      </c>
      <c r="H76" t="s">
        <v>1883</v>
      </c>
      <c r="I76" t="str">
        <f>'Input-Instructions'!$B$4</f>
        <v>mn610wes</v>
      </c>
      <c r="J76" s="320">
        <f>IFERROR(IF('Prepaid Other'!$A$11="Yes",0,IF(AND(EOMONTH('Prepaid Other'!$E$11,0)&gt;='Input-Instructions'!$B$6,(EOMONTH('Prepaid Other'!$D$11,-1)+1)&lt;='Input-Instructions'!$B$6),'Prepaid Other'!$I$11,0)),0)</f>
        <v>0</v>
      </c>
      <c r="K76" t="str">
        <f>IF('Upload Setup'!$B$3="Chart of Accounts A",IFERROR(VLOOKUP('Prepaid Other'!$B$11,'Mapped COA'!A:G,1,0),'Prepaid Other'!$B$11),IFERROR(VLOOKUP('Prepaid Other'!$B$11,'Mapped COA'!A:G,3,0),'Prepaid Other'!$B$11))</f>
        <v>53070-000</v>
      </c>
      <c r="N76">
        <v>1</v>
      </c>
      <c r="O76" t="str">
        <f>_xlfn.TEXTJOIN(" ",TRUE,TEXT('Input-Instructions'!$B$6,"MM/YYYY"),"Prepaid",'Prepaid Other'!$F$11,"Amortization")</f>
        <v>07/2026 Prepaid Jonson Controls Fire Protection - 10.1.2024-9.30/2025 Fire Alarm Monitor-Bldg 1 Amortization</v>
      </c>
      <c r="P76">
        <v>0</v>
      </c>
      <c r="Q76" s="293"/>
      <c r="R76" s="293"/>
      <c r="S76" s="293"/>
      <c r="T76" s="293"/>
      <c r="U76" s="293"/>
      <c r="V76" s="293"/>
      <c r="W76" s="293"/>
      <c r="X76" s="293"/>
      <c r="Y76" s="293"/>
    </row>
    <row r="77" spans="1:25" x14ac:dyDescent="0.25">
      <c r="A77" t="s">
        <v>1882</v>
      </c>
      <c r="B77">
        <v>1</v>
      </c>
      <c r="E77" s="260">
        <f>'Input-Instructions'!$B$6</f>
        <v>46204</v>
      </c>
      <c r="F77" s="260">
        <f>'Input-Instructions'!$B$6</f>
        <v>46204</v>
      </c>
      <c r="G77" t="str">
        <f t="shared" si="1"/>
        <v>July Recurring Entries</v>
      </c>
      <c r="H77" t="s">
        <v>1883</v>
      </c>
      <c r="I77" t="str">
        <f>'Input-Instructions'!$B$4</f>
        <v>mn610wes</v>
      </c>
      <c r="J77" s="320">
        <f>IFERROR(IF('Prepaid Other'!$A$11="Yes",0,IF(AND(EOMONTH('Prepaid Other'!$E$11,0)&gt;='Input-Instructions'!$B$6,(EOMONTH('Prepaid Other'!$D$11,-1)+1)&lt;='Input-Instructions'!$B$6),-'Prepaid Other'!$I$11,0)),0)</f>
        <v>0</v>
      </c>
      <c r="K77">
        <f>IF('Upload Setup'!$B$3="Chart of Accounts A",IFERROR(VLOOKUP('Upload Setup'!$C$21,'Mapped COA'!A:G,1,0),'Upload Setup'!$C$21),IFERROR(VLOOKUP('Upload Setup'!$C$21,'Mapped COA'!A:G,3,0),'Upload Setup'!$C$21))</f>
        <v>13085</v>
      </c>
      <c r="N77">
        <v>1</v>
      </c>
      <c r="O77" t="str">
        <f>_xlfn.TEXTJOIN(" ",TRUE,TEXT('Input-Instructions'!$B$6,"MM/YYYY"),"Prepaid",'Prepaid Other'!$F$11,"Amortization")</f>
        <v>07/2026 Prepaid Jonson Controls Fire Protection - 10.1.2024-9.30/2025 Fire Alarm Monitor-Bldg 1 Amortization</v>
      </c>
      <c r="P77">
        <v>0</v>
      </c>
      <c r="Q77" s="293"/>
      <c r="R77" s="293"/>
      <c r="S77" s="293"/>
      <c r="T77" s="293"/>
      <c r="U77" s="293"/>
      <c r="V77" s="293"/>
      <c r="W77" s="293"/>
      <c r="X77" s="293"/>
      <c r="Y77" s="293"/>
    </row>
    <row r="78" spans="1:25" x14ac:dyDescent="0.25">
      <c r="A78" t="s">
        <v>1882</v>
      </c>
      <c r="B78">
        <v>1</v>
      </c>
      <c r="E78" s="260">
        <f>'Input-Instructions'!$B$6</f>
        <v>46204</v>
      </c>
      <c r="F78" s="260">
        <f>'Input-Instructions'!$B$6</f>
        <v>46204</v>
      </c>
      <c r="G78" t="str">
        <f t="shared" si="1"/>
        <v>July Recurring Entries</v>
      </c>
      <c r="H78" t="s">
        <v>1883</v>
      </c>
      <c r="I78" t="str">
        <f>'Input-Instructions'!$B$4</f>
        <v>mn610wes</v>
      </c>
      <c r="J78" s="320">
        <f>IFERROR(IF('Prepaid Other'!$A$12="Yes",0,IF(AND(EOMONTH('Prepaid Other'!$E$12,0)&gt;='Input-Instructions'!$B$6,(EOMONTH('Prepaid Other'!$D$12,-1)+1)&lt;='Input-Instructions'!$B$6),'Prepaid Other'!$I$12,0)),0)</f>
        <v>0</v>
      </c>
      <c r="K78" t="str">
        <f>IF('Upload Setup'!$B$3="Chart of Accounts A",IFERROR(VLOOKUP('Prepaid Other'!$B$12,'Mapped COA'!A:G,1,0),'Prepaid Other'!$B$12),IFERROR(VLOOKUP('Prepaid Other'!$B$12,'Mapped COA'!A:G,3,0),'Prepaid Other'!$B$12))</f>
        <v>53070-000</v>
      </c>
      <c r="N78">
        <v>1</v>
      </c>
      <c r="O78" t="str">
        <f>_xlfn.TEXTJOIN(" ",TRUE,TEXT('Input-Instructions'!$B$6,"MM/YYYY"),"Prepaid",'Prepaid Other'!$F$12,"Amortization")</f>
        <v>07/2026 Prepaid Jonson Controls Fire Protection - 10.1.2024-9.30/2025 Fire Security-Bldg 2 Amortization</v>
      </c>
      <c r="P78">
        <v>0</v>
      </c>
      <c r="Q78" s="293"/>
      <c r="R78" s="293"/>
      <c r="S78" s="293"/>
      <c r="T78" s="293"/>
      <c r="U78" s="293"/>
      <c r="V78" s="293"/>
      <c r="W78" s="293"/>
      <c r="X78" s="293"/>
      <c r="Y78" s="293"/>
    </row>
    <row r="79" spans="1:25" x14ac:dyDescent="0.25">
      <c r="A79" t="s">
        <v>1882</v>
      </c>
      <c r="B79">
        <v>1</v>
      </c>
      <c r="E79" s="260">
        <f>'Input-Instructions'!$B$6</f>
        <v>46204</v>
      </c>
      <c r="F79" s="260">
        <f>'Input-Instructions'!$B$6</f>
        <v>46204</v>
      </c>
      <c r="G79" t="str">
        <f t="shared" si="1"/>
        <v>July Recurring Entries</v>
      </c>
      <c r="H79" t="s">
        <v>1883</v>
      </c>
      <c r="I79" t="str">
        <f>'Input-Instructions'!$B$4</f>
        <v>mn610wes</v>
      </c>
      <c r="J79" s="320">
        <f>IFERROR(IF('Prepaid Other'!$A$12="Yes",0,IF(AND(EOMONTH('Prepaid Other'!$E$12,0)&gt;='Input-Instructions'!$B$6,(EOMONTH('Prepaid Other'!$D$12,-1)+1)&lt;='Input-Instructions'!$B$6),-'Prepaid Other'!$I$12,0)),0)</f>
        <v>0</v>
      </c>
      <c r="K79">
        <f>IF('Upload Setup'!$B$3="Chart of Accounts A",IFERROR(VLOOKUP('Upload Setup'!$C$21,'Mapped COA'!A:G,1,0),'Upload Setup'!$C$21),IFERROR(VLOOKUP('Upload Setup'!$C$21,'Mapped COA'!A:G,3,0),'Upload Setup'!$C$21))</f>
        <v>13085</v>
      </c>
      <c r="N79">
        <v>1</v>
      </c>
      <c r="O79" t="str">
        <f>_xlfn.TEXTJOIN(" ",TRUE,TEXT('Input-Instructions'!$B$6,"MM/YYYY"),"Prepaid",'Prepaid Other'!$F$12,"Amortization")</f>
        <v>07/2026 Prepaid Jonson Controls Fire Protection - 10.1.2024-9.30/2025 Fire Security-Bldg 2 Amortization</v>
      </c>
      <c r="P79">
        <v>0</v>
      </c>
      <c r="Q79" s="293"/>
      <c r="R79" s="293"/>
      <c r="S79" s="293"/>
      <c r="T79" s="293"/>
      <c r="U79" s="293"/>
      <c r="V79" s="293"/>
      <c r="W79" s="293"/>
      <c r="X79" s="293"/>
      <c r="Y79" s="293"/>
    </row>
    <row r="80" spans="1:25" x14ac:dyDescent="0.25">
      <c r="A80" t="s">
        <v>1882</v>
      </c>
      <c r="B80">
        <v>1</v>
      </c>
      <c r="E80" s="260">
        <f>'Input-Instructions'!$B$6</f>
        <v>46204</v>
      </c>
      <c r="F80" s="260">
        <f>'Input-Instructions'!$B$6</f>
        <v>46204</v>
      </c>
      <c r="G80" t="str">
        <f t="shared" si="1"/>
        <v>July Recurring Entries</v>
      </c>
      <c r="H80" t="s">
        <v>1883</v>
      </c>
      <c r="I80" t="str">
        <f>'Input-Instructions'!$B$4</f>
        <v>mn610wes</v>
      </c>
      <c r="J80" s="320">
        <f>IFERROR(IF('Prepaid Other'!$A$13="Yes",0,IF(AND(EOMONTH('Prepaid Other'!$E$13,0)&gt;='Input-Instructions'!$B$6,(EOMONTH('Prepaid Other'!$D$13,-1)+1)&lt;='Input-Instructions'!$B$6),'Prepaid Other'!$I$13,0)),0)</f>
        <v>0</v>
      </c>
      <c r="K80" t="str">
        <f>IF('Upload Setup'!$B$3="Chart of Accounts A",IFERROR(VLOOKUP('Prepaid Other'!$B$13,'Mapped COA'!A:G,1,0),'Prepaid Other'!$B$13),IFERROR(VLOOKUP('Prepaid Other'!$B$13,'Mapped COA'!A:G,3,0),'Prepaid Other'!$B$13))</f>
        <v>53070-000</v>
      </c>
      <c r="N80">
        <v>1</v>
      </c>
      <c r="O80" t="str">
        <f>_xlfn.TEXTJOIN(" ",TRUE,TEXT('Input-Instructions'!$B$6,"MM/YYYY"),"Prepaid",'Prepaid Other'!$F$13,"Amortization")</f>
        <v>07/2026 Prepaid Jonson Controls Fire Protection - 10.1.2024-9.30/2025 Fire Security-Bldg 1 Amortization</v>
      </c>
      <c r="P80">
        <v>0</v>
      </c>
      <c r="Q80" s="293"/>
      <c r="R80" s="293"/>
      <c r="S80" s="293"/>
      <c r="T80" s="293"/>
      <c r="U80" s="293"/>
      <c r="V80" s="293"/>
      <c r="W80" s="293"/>
      <c r="X80" s="293"/>
      <c r="Y80" s="293"/>
    </row>
    <row r="81" spans="1:25" x14ac:dyDescent="0.25">
      <c r="A81" t="s">
        <v>1882</v>
      </c>
      <c r="B81">
        <v>1</v>
      </c>
      <c r="E81" s="260">
        <f>'Input-Instructions'!$B$6</f>
        <v>46204</v>
      </c>
      <c r="F81" s="260">
        <f>'Input-Instructions'!$B$6</f>
        <v>46204</v>
      </c>
      <c r="G81" t="str">
        <f t="shared" si="1"/>
        <v>July Recurring Entries</v>
      </c>
      <c r="H81" t="s">
        <v>1883</v>
      </c>
      <c r="I81" t="str">
        <f>'Input-Instructions'!$B$4</f>
        <v>mn610wes</v>
      </c>
      <c r="J81" s="320">
        <f>IFERROR(IF('Prepaid Other'!$A$13="Yes",0,IF(AND(EOMONTH('Prepaid Other'!$E$13,0)&gt;='Input-Instructions'!$B$6,(EOMONTH('Prepaid Other'!$D$13,-1)+1)&lt;='Input-Instructions'!$B$6),-'Prepaid Other'!$I$13,0)),0)</f>
        <v>0</v>
      </c>
      <c r="K81">
        <f>IF('Upload Setup'!$B$3="Chart of Accounts A",IFERROR(VLOOKUP('Upload Setup'!$C$21,'Mapped COA'!A:G,1,0),'Upload Setup'!$C$21),IFERROR(VLOOKUP('Upload Setup'!$C$21,'Mapped COA'!A:G,3,0),'Upload Setup'!$C$21))</f>
        <v>13085</v>
      </c>
      <c r="N81">
        <v>1</v>
      </c>
      <c r="O81" t="str">
        <f>_xlfn.TEXTJOIN(" ",TRUE,TEXT('Input-Instructions'!$B$6,"MM/YYYY"),"Prepaid",'Prepaid Other'!$F$13,"Amortization")</f>
        <v>07/2026 Prepaid Jonson Controls Fire Protection - 10.1.2024-9.30/2025 Fire Security-Bldg 1 Amortization</v>
      </c>
      <c r="P81">
        <v>0</v>
      </c>
      <c r="Q81" s="293"/>
      <c r="R81" s="293"/>
      <c r="S81" s="293"/>
      <c r="T81" s="293"/>
      <c r="U81" s="293"/>
      <c r="V81" s="293"/>
      <c r="W81" s="293"/>
      <c r="X81" s="293"/>
      <c r="Y81" s="293"/>
    </row>
    <row r="82" spans="1:25" x14ac:dyDescent="0.25">
      <c r="A82" t="s">
        <v>1882</v>
      </c>
      <c r="B82">
        <v>1</v>
      </c>
      <c r="E82" s="260">
        <f>'Input-Instructions'!$B$6</f>
        <v>46204</v>
      </c>
      <c r="F82" s="260">
        <f>'Input-Instructions'!$B$6</f>
        <v>46204</v>
      </c>
      <c r="G82" t="str">
        <f t="shared" si="1"/>
        <v>July Recurring Entries</v>
      </c>
      <c r="H82" t="s">
        <v>1883</v>
      </c>
      <c r="I82" t="str">
        <f>'Input-Instructions'!$B$4</f>
        <v>mn610wes</v>
      </c>
      <c r="J82" s="320">
        <f>IFERROR(IF('Prepaid Other'!$A$14="Yes",0,IF(AND(EOMONTH('Prepaid Other'!$E$14,0)&gt;='Input-Instructions'!$B$6,(EOMONTH('Prepaid Other'!$D$14,-1)+1)&lt;='Input-Instructions'!$B$6),'Prepaid Other'!$I$14,0)),0)</f>
        <v>0</v>
      </c>
      <c r="K82" t="str">
        <f>IF('Upload Setup'!$B$3="Chart of Accounts A",IFERROR(VLOOKUP('Prepaid Other'!$B$14,'Mapped COA'!A:G,1,0),'Prepaid Other'!$B$14),IFERROR(VLOOKUP('Prepaid Other'!$B$14,'Mapped COA'!A:G,3,0),'Prepaid Other'!$B$14))</f>
        <v>53070-000</v>
      </c>
      <c r="N82">
        <v>1</v>
      </c>
      <c r="O82" t="str">
        <f>_xlfn.TEXTJOIN(" ",TRUE,TEXT('Input-Instructions'!$B$6,"MM/YYYY"),"Prepaid",'Prepaid Other'!$F$14,"Amortization")</f>
        <v>07/2026 Prepaid Jonson Controls Fire Protection - 10.1.2024-9.30/2025 Fire Security-Bldg 4 Amortization</v>
      </c>
      <c r="P82">
        <v>0</v>
      </c>
      <c r="Q82" s="293"/>
      <c r="R82" s="293"/>
      <c r="S82" s="293"/>
      <c r="T82" s="293"/>
      <c r="U82" s="293"/>
      <c r="V82" s="293"/>
      <c r="W82" s="293"/>
      <c r="X82" s="293"/>
      <c r="Y82" s="293"/>
    </row>
    <row r="83" spans="1:25" x14ac:dyDescent="0.25">
      <c r="A83" t="s">
        <v>1882</v>
      </c>
      <c r="B83">
        <v>1</v>
      </c>
      <c r="E83" s="260">
        <f>'Input-Instructions'!$B$6</f>
        <v>46204</v>
      </c>
      <c r="F83" s="260">
        <f>'Input-Instructions'!$B$6</f>
        <v>46204</v>
      </c>
      <c r="G83" t="str">
        <f t="shared" si="1"/>
        <v>July Recurring Entries</v>
      </c>
      <c r="H83" t="s">
        <v>1883</v>
      </c>
      <c r="I83" t="str">
        <f>'Input-Instructions'!$B$4</f>
        <v>mn610wes</v>
      </c>
      <c r="J83" s="320">
        <f>IFERROR(IF('Prepaid Other'!$A$14="Yes",0,IF(AND(EOMONTH('Prepaid Other'!$E$14,0)&gt;='Input-Instructions'!$B$6,(EOMONTH('Prepaid Other'!$D$14,-1)+1)&lt;='Input-Instructions'!$B$6),-'Prepaid Other'!$I$14,0)),0)</f>
        <v>0</v>
      </c>
      <c r="K83">
        <f>IF('Upload Setup'!$B$3="Chart of Accounts A",IFERROR(VLOOKUP('Upload Setup'!$C$21,'Mapped COA'!A:G,1,0),'Upload Setup'!$C$21),IFERROR(VLOOKUP('Upload Setup'!$C$21,'Mapped COA'!A:G,3,0),'Upload Setup'!$C$21))</f>
        <v>13085</v>
      </c>
      <c r="N83">
        <v>1</v>
      </c>
      <c r="O83" t="str">
        <f>_xlfn.TEXTJOIN(" ",TRUE,TEXT('Input-Instructions'!$B$6,"MM/YYYY"),"Prepaid",'Prepaid Other'!$F$14,"Amortization")</f>
        <v>07/2026 Prepaid Jonson Controls Fire Protection - 10.1.2024-9.30/2025 Fire Security-Bldg 4 Amortization</v>
      </c>
      <c r="P83">
        <v>0</v>
      </c>
      <c r="Q83" s="293"/>
      <c r="R83" s="293"/>
      <c r="S83" s="293"/>
      <c r="T83" s="293"/>
      <c r="U83" s="293"/>
      <c r="V83" s="293"/>
      <c r="W83" s="293"/>
      <c r="X83" s="293"/>
      <c r="Y83" s="293"/>
    </row>
    <row r="84" spans="1:25" x14ac:dyDescent="0.25">
      <c r="A84" t="s">
        <v>1882</v>
      </c>
      <c r="B84">
        <v>1</v>
      </c>
      <c r="E84" s="260">
        <f>'Input-Instructions'!$B$6</f>
        <v>46204</v>
      </c>
      <c r="F84" s="260">
        <f>'Input-Instructions'!$B$6</f>
        <v>46204</v>
      </c>
      <c r="G84" t="str">
        <f t="shared" si="1"/>
        <v>July Recurring Entries</v>
      </c>
      <c r="H84" t="s">
        <v>1883</v>
      </c>
      <c r="I84" t="str">
        <f>'Input-Instructions'!$B$4</f>
        <v>mn610wes</v>
      </c>
      <c r="J84" s="320">
        <f>IFERROR(IF('Prepaid Other'!$A$15="Yes",0,IF(AND(EOMONTH('Prepaid Other'!$E$15,0)&gt;='Input-Instructions'!$B$6,(EOMONTH('Prepaid Other'!$D$15,-1)+1)&lt;='Input-Instructions'!$B$6),'Prepaid Other'!$I$15,0)),0)</f>
        <v>0</v>
      </c>
      <c r="K84" t="str">
        <f>IF('Upload Setup'!$B$3="Chart of Accounts A",IFERROR(VLOOKUP('Prepaid Other'!$B$15,'Mapped COA'!A:G,1,0),'Prepaid Other'!$B$15),IFERROR(VLOOKUP('Prepaid Other'!$B$15,'Mapped COA'!A:G,3,0),'Prepaid Other'!$B$15))</f>
        <v>53070-000</v>
      </c>
      <c r="N84">
        <v>1</v>
      </c>
      <c r="O84" t="str">
        <f>_xlfn.TEXTJOIN(" ",TRUE,TEXT('Input-Instructions'!$B$6,"MM/YYYY"),"Prepaid",'Prepaid Other'!$F$15,"Amortization")</f>
        <v>07/2026 Prepaid Jonson Controls Fire Protection - 10.1.2024-9.30/2025 Fire Security-Bldg 3 Amortization</v>
      </c>
      <c r="P84">
        <v>0</v>
      </c>
      <c r="Q84" s="293"/>
      <c r="R84" s="293"/>
      <c r="S84" s="293"/>
      <c r="T84" s="293"/>
      <c r="U84" s="293"/>
      <c r="V84" s="293"/>
      <c r="W84" s="293"/>
      <c r="X84" s="293"/>
      <c r="Y84" s="293"/>
    </row>
    <row r="85" spans="1:25" x14ac:dyDescent="0.25">
      <c r="A85" t="s">
        <v>1882</v>
      </c>
      <c r="B85">
        <v>1</v>
      </c>
      <c r="E85" s="260">
        <f>'Input-Instructions'!$B$6</f>
        <v>46204</v>
      </c>
      <c r="F85" s="260">
        <f>'Input-Instructions'!$B$6</f>
        <v>46204</v>
      </c>
      <c r="G85" t="str">
        <f t="shared" si="1"/>
        <v>July Recurring Entries</v>
      </c>
      <c r="H85" t="s">
        <v>1883</v>
      </c>
      <c r="I85" t="str">
        <f>'Input-Instructions'!$B$4</f>
        <v>mn610wes</v>
      </c>
      <c r="J85" s="320">
        <f>IFERROR(IF('Prepaid Other'!$A$15="Yes",0,IF(AND(EOMONTH('Prepaid Other'!$E$15,0)&gt;='Input-Instructions'!$B$6,(EOMONTH('Prepaid Other'!$D$15,-1)+1)&lt;='Input-Instructions'!$B$6),-'Prepaid Other'!$I$15,0)),0)</f>
        <v>0</v>
      </c>
      <c r="K85">
        <f>IF('Upload Setup'!$B$3="Chart of Accounts A",IFERROR(VLOOKUP('Upload Setup'!$C$21,'Mapped COA'!A:G,1,0),'Upload Setup'!$C$21),IFERROR(VLOOKUP('Upload Setup'!$C$21,'Mapped COA'!A:G,3,0),'Upload Setup'!$C$21))</f>
        <v>13085</v>
      </c>
      <c r="N85">
        <v>1</v>
      </c>
      <c r="O85" t="str">
        <f>_xlfn.TEXTJOIN(" ",TRUE,TEXT('Input-Instructions'!$B$6,"MM/YYYY"),"Prepaid",'Prepaid Other'!$F$15,"Amortization")</f>
        <v>07/2026 Prepaid Jonson Controls Fire Protection - 10.1.2024-9.30/2025 Fire Security-Bldg 3 Amortization</v>
      </c>
      <c r="P85">
        <v>0</v>
      </c>
      <c r="Q85" s="293"/>
      <c r="R85" s="293"/>
      <c r="S85" s="293"/>
      <c r="T85" s="293"/>
      <c r="U85" s="293"/>
      <c r="V85" s="293"/>
      <c r="W85" s="293"/>
      <c r="X85" s="293"/>
      <c r="Y85" s="293"/>
    </row>
    <row r="86" spans="1:25" x14ac:dyDescent="0.25">
      <c r="A86" t="s">
        <v>1882</v>
      </c>
      <c r="B86">
        <v>1</v>
      </c>
      <c r="E86" s="260">
        <f>'Input-Instructions'!$B$6</f>
        <v>46204</v>
      </c>
      <c r="F86" s="260">
        <f>'Input-Instructions'!$B$6</f>
        <v>46204</v>
      </c>
      <c r="G86" t="str">
        <f t="shared" si="1"/>
        <v>July Recurring Entries</v>
      </c>
      <c r="H86" t="s">
        <v>1883</v>
      </c>
      <c r="I86" t="str">
        <f>'Input-Instructions'!$B$4</f>
        <v>mn610wes</v>
      </c>
      <c r="J86" s="320">
        <f>IFERROR(IF('Prepaid Other'!$A$16="Yes",0,IF(AND(EOMONTH('Prepaid Other'!$E$16,0)&gt;='Input-Instructions'!$B$6,(EOMONTH('Prepaid Other'!$D$16,-1)+1)&lt;='Input-Instructions'!$B$6),'Prepaid Other'!$I$16,0)),0)</f>
        <v>0</v>
      </c>
      <c r="K86" t="str">
        <f>IF('Upload Setup'!$B$3="Chart of Accounts A",IFERROR(VLOOKUP('Prepaid Other'!$B$16,'Mapped COA'!A:G,1,0),'Prepaid Other'!$B$16),IFERROR(VLOOKUP('Prepaid Other'!$B$16,'Mapped COA'!A:G,3,0),'Prepaid Other'!$B$16))</f>
        <v>53070-000</v>
      </c>
      <c r="N86">
        <v>1</v>
      </c>
      <c r="O86" t="str">
        <f>_xlfn.TEXTJOIN(" ",TRUE,TEXT('Input-Instructions'!$B$6,"MM/YYYY"),"Prepaid",'Prepaid Other'!$F$16,"Amortization")</f>
        <v>07/2026 Prepaid Johnson Controls Fire Protection Annual Invoice 3.1.25-2.28.26 Amortization</v>
      </c>
      <c r="P86">
        <v>0</v>
      </c>
      <c r="Q86" s="293"/>
      <c r="R86" s="293"/>
      <c r="S86" s="293"/>
      <c r="T86" s="293"/>
      <c r="U86" s="293"/>
      <c r="V86" s="293"/>
      <c r="W86" s="293"/>
      <c r="X86" s="293"/>
      <c r="Y86" s="293"/>
    </row>
    <row r="87" spans="1:25" x14ac:dyDescent="0.25">
      <c r="A87" t="s">
        <v>1882</v>
      </c>
      <c r="B87">
        <v>1</v>
      </c>
      <c r="E87" s="260">
        <f>'Input-Instructions'!$B$6</f>
        <v>46204</v>
      </c>
      <c r="F87" s="260">
        <f>'Input-Instructions'!$B$6</f>
        <v>46204</v>
      </c>
      <c r="G87" t="str">
        <f t="shared" si="1"/>
        <v>July Recurring Entries</v>
      </c>
      <c r="H87" t="s">
        <v>1883</v>
      </c>
      <c r="I87" t="str">
        <f>'Input-Instructions'!$B$4</f>
        <v>mn610wes</v>
      </c>
      <c r="J87" s="320">
        <f>IFERROR(IF('Prepaid Other'!$A$16="Yes",0,IF(AND(EOMONTH('Prepaid Other'!$E$16,0)&gt;='Input-Instructions'!$B$6,(EOMONTH('Prepaid Other'!$D$16,-1)+1)&lt;='Input-Instructions'!$B$6),-'Prepaid Other'!$I$16,0)),0)</f>
        <v>0</v>
      </c>
      <c r="K87">
        <f>IF('Upload Setup'!$B$3="Chart of Accounts A",IFERROR(VLOOKUP('Upload Setup'!$C$21,'Mapped COA'!A:G,1,0),'Upload Setup'!$C$21),IFERROR(VLOOKUP('Upload Setup'!$C$21,'Mapped COA'!A:G,3,0),'Upload Setup'!$C$21))</f>
        <v>13085</v>
      </c>
      <c r="N87">
        <v>1</v>
      </c>
      <c r="O87" t="str">
        <f>_xlfn.TEXTJOIN(" ",TRUE,TEXT('Input-Instructions'!$B$6,"MM/YYYY"),"Prepaid",'Prepaid Other'!$F$16,"Amortization")</f>
        <v>07/2026 Prepaid Johnson Controls Fire Protection Annual Invoice 3.1.25-2.28.26 Amortization</v>
      </c>
      <c r="P87">
        <v>0</v>
      </c>
      <c r="Q87" s="293"/>
      <c r="R87" s="293"/>
      <c r="S87" s="293"/>
      <c r="T87" s="293"/>
      <c r="U87" s="293"/>
      <c r="V87" s="293"/>
      <c r="W87" s="293"/>
      <c r="X87" s="293"/>
      <c r="Y87" s="293"/>
    </row>
    <row r="88" spans="1:25" x14ac:dyDescent="0.25">
      <c r="A88" t="s">
        <v>1882</v>
      </c>
      <c r="B88">
        <v>1</v>
      </c>
      <c r="E88" s="260">
        <f>'Input-Instructions'!$B$6</f>
        <v>46204</v>
      </c>
      <c r="F88" s="260">
        <f>'Input-Instructions'!$B$6</f>
        <v>46204</v>
      </c>
      <c r="G88" t="str">
        <f t="shared" si="1"/>
        <v>July Recurring Entries</v>
      </c>
      <c r="H88" t="s">
        <v>1883</v>
      </c>
      <c r="I88" t="str">
        <f>'Input-Instructions'!$B$4</f>
        <v>mn610wes</v>
      </c>
      <c r="J88" s="320">
        <f>IFERROR(IF('Prepaid Other'!$A$17="Yes",0,IF(AND(EOMONTH('Prepaid Other'!$E$17,0)&gt;='Input-Instructions'!$B$6,(EOMONTH('Prepaid Other'!$D$17,-1)+1)&lt;='Input-Instructions'!$B$6),'Prepaid Other'!$I$17,0)),0)</f>
        <v>0</v>
      </c>
      <c r="K88" t="str">
        <f>IF('Upload Setup'!$B$3="Chart of Accounts A",IFERROR(VLOOKUP('Prepaid Other'!$B$17,'Mapped COA'!A:G,1,0),'Prepaid Other'!$B$17),IFERROR(VLOOKUP('Prepaid Other'!$B$17,'Mapped COA'!A:G,3,0),'Prepaid Other'!$B$17))</f>
        <v>53070-000</v>
      </c>
      <c r="N88">
        <v>1</v>
      </c>
      <c r="O88" t="str">
        <f>_xlfn.TEXTJOIN(" ",TRUE,TEXT('Input-Instructions'!$B$6,"MM/YYYY"),"Prepaid",'Prepaid Other'!$F$17,"Amortization")</f>
        <v>07/2026 Prepaid Johnson Controls Fire Protection Annual Invoice 3.1.25-2.28.26 Amortization</v>
      </c>
      <c r="P88">
        <v>0</v>
      </c>
      <c r="Q88" s="293"/>
      <c r="R88" s="293"/>
      <c r="S88" s="293"/>
      <c r="T88" s="293"/>
      <c r="U88" s="293"/>
      <c r="V88" s="293"/>
      <c r="W88" s="293"/>
      <c r="X88" s="293"/>
      <c r="Y88" s="293"/>
    </row>
    <row r="89" spans="1:25" x14ac:dyDescent="0.25">
      <c r="A89" t="s">
        <v>1882</v>
      </c>
      <c r="B89">
        <v>1</v>
      </c>
      <c r="E89" s="260">
        <f>'Input-Instructions'!$B$6</f>
        <v>46204</v>
      </c>
      <c r="F89" s="260">
        <f>'Input-Instructions'!$B$6</f>
        <v>46204</v>
      </c>
      <c r="G89" t="str">
        <f t="shared" si="1"/>
        <v>July Recurring Entries</v>
      </c>
      <c r="H89" t="s">
        <v>1883</v>
      </c>
      <c r="I89" t="str">
        <f>'Input-Instructions'!$B$4</f>
        <v>mn610wes</v>
      </c>
      <c r="J89" s="320">
        <f>IFERROR(IF('Prepaid Other'!$A$17="Yes",0,IF(AND(EOMONTH('Prepaid Other'!$E$17,0)&gt;='Input-Instructions'!$B$6,(EOMONTH('Prepaid Other'!$D$17,-1)+1)&lt;='Input-Instructions'!$B$6),-'Prepaid Other'!$I$17,0)),0)</f>
        <v>0</v>
      </c>
      <c r="K89">
        <f>IF('Upload Setup'!$B$3="Chart of Accounts A",IFERROR(VLOOKUP('Upload Setup'!$C$21,'Mapped COA'!A:G,1,0),'Upload Setup'!$C$21),IFERROR(VLOOKUP('Upload Setup'!$C$21,'Mapped COA'!A:G,3,0),'Upload Setup'!$C$21))</f>
        <v>13085</v>
      </c>
      <c r="N89">
        <v>1</v>
      </c>
      <c r="O89" t="str">
        <f>_xlfn.TEXTJOIN(" ",TRUE,TEXT('Input-Instructions'!$B$6,"MM/YYYY"),"Prepaid",'Prepaid Other'!$F$17,"Amortization")</f>
        <v>07/2026 Prepaid Johnson Controls Fire Protection Annual Invoice 3.1.25-2.28.26 Amortization</v>
      </c>
      <c r="P89">
        <v>0</v>
      </c>
      <c r="Q89" s="293"/>
      <c r="R89" s="293"/>
      <c r="S89" s="293"/>
      <c r="T89" s="293"/>
      <c r="U89" s="293"/>
      <c r="V89" s="293"/>
      <c r="W89" s="293"/>
      <c r="X89" s="293"/>
      <c r="Y89" s="293"/>
    </row>
    <row r="90" spans="1:25" x14ac:dyDescent="0.25">
      <c r="A90" t="s">
        <v>1882</v>
      </c>
      <c r="B90">
        <v>1</v>
      </c>
      <c r="E90" s="260">
        <f>'Input-Instructions'!$B$6</f>
        <v>46204</v>
      </c>
      <c r="F90" s="260">
        <f>'Input-Instructions'!$B$6</f>
        <v>46204</v>
      </c>
      <c r="G90" t="str">
        <f t="shared" si="1"/>
        <v>July Recurring Entries</v>
      </c>
      <c r="H90" t="s">
        <v>1883</v>
      </c>
      <c r="I90" t="str">
        <f>'Input-Instructions'!$B$4</f>
        <v>mn610wes</v>
      </c>
      <c r="J90" s="320">
        <f>IFERROR(IF('Prepaid Other'!$A$18="Yes",0,IF(AND(EOMONTH('Prepaid Other'!$E$18,0)&gt;='Input-Instructions'!$B$6,(EOMONTH('Prepaid Other'!$D$18,-1)+1)&lt;='Input-Instructions'!$B$6),'Prepaid Other'!$I$18,0)),0)</f>
        <v>0</v>
      </c>
      <c r="K90" t="str">
        <f>IF('Upload Setup'!$B$3="Chart of Accounts A",IFERROR(VLOOKUP('Prepaid Other'!$B$18,'Mapped COA'!A:G,1,0),'Prepaid Other'!$B$18),IFERROR(VLOOKUP('Prepaid Other'!$B$18,'Mapped COA'!A:G,3,0),'Prepaid Other'!$B$18))</f>
        <v>53070-000</v>
      </c>
      <c r="N90">
        <v>1</v>
      </c>
      <c r="O90" t="str">
        <f>_xlfn.TEXTJOIN(" ",TRUE,TEXT('Input-Instructions'!$B$6,"MM/YYYY"),"Prepaid",'Prepaid Other'!$F$18,"Amortization")</f>
        <v>07/2026 Prepaid Johnson Controls Fire Protection Invoice 9.25-2.26 Amortization</v>
      </c>
      <c r="P90">
        <v>0</v>
      </c>
      <c r="Q90" s="293"/>
      <c r="R90" s="293"/>
      <c r="S90" s="293"/>
      <c r="T90" s="293"/>
      <c r="U90" s="293"/>
      <c r="V90" s="293"/>
      <c r="W90" s="293"/>
      <c r="X90" s="293"/>
      <c r="Y90" s="293"/>
    </row>
    <row r="91" spans="1:25" x14ac:dyDescent="0.25">
      <c r="A91" t="s">
        <v>1882</v>
      </c>
      <c r="B91">
        <v>1</v>
      </c>
      <c r="E91" s="260">
        <f>'Input-Instructions'!$B$6</f>
        <v>46204</v>
      </c>
      <c r="F91" s="260">
        <f>'Input-Instructions'!$B$6</f>
        <v>46204</v>
      </c>
      <c r="G91" t="str">
        <f t="shared" si="1"/>
        <v>July Recurring Entries</v>
      </c>
      <c r="H91" t="s">
        <v>1883</v>
      </c>
      <c r="I91" t="str">
        <f>'Input-Instructions'!$B$4</f>
        <v>mn610wes</v>
      </c>
      <c r="J91" s="320">
        <f>IFERROR(IF('Prepaid Other'!$A$18="Yes",0,IF(AND(EOMONTH('Prepaid Other'!$E$18,0)&gt;='Input-Instructions'!$B$6,(EOMONTH('Prepaid Other'!$D$18,-1)+1)&lt;='Input-Instructions'!$B$6),-'Prepaid Other'!$I$18,0)),0)</f>
        <v>0</v>
      </c>
      <c r="K91">
        <f>IF('Upload Setup'!$B$3="Chart of Accounts A",IFERROR(VLOOKUP('Upload Setup'!$C$21,'Mapped COA'!A:G,1,0),'Upload Setup'!$C$21),IFERROR(VLOOKUP('Upload Setup'!$C$21,'Mapped COA'!A:G,3,0),'Upload Setup'!$C$21))</f>
        <v>13085</v>
      </c>
      <c r="N91">
        <v>1</v>
      </c>
      <c r="O91" t="str">
        <f>_xlfn.TEXTJOIN(" ",TRUE,TEXT('Input-Instructions'!$B$6,"MM/YYYY"),"Prepaid",'Prepaid Other'!$F$18,"Amortization")</f>
        <v>07/2026 Prepaid Johnson Controls Fire Protection Invoice 9.25-2.26 Amortization</v>
      </c>
      <c r="P91">
        <v>0</v>
      </c>
      <c r="Q91" s="293"/>
      <c r="R91" s="293"/>
      <c r="S91" s="293"/>
      <c r="T91" s="293"/>
      <c r="U91" s="293"/>
      <c r="V91" s="293"/>
      <c r="W91" s="293"/>
      <c r="X91" s="293"/>
      <c r="Y91" s="293"/>
    </row>
    <row r="92" spans="1:25" x14ac:dyDescent="0.25">
      <c r="A92" t="s">
        <v>1882</v>
      </c>
      <c r="B92">
        <v>1</v>
      </c>
      <c r="E92" s="260">
        <f>'Input-Instructions'!$B$6</f>
        <v>46204</v>
      </c>
      <c r="F92" s="260">
        <f>'Input-Instructions'!$B$6</f>
        <v>46204</v>
      </c>
      <c r="G92" t="str">
        <f t="shared" si="1"/>
        <v>July Recurring Entries</v>
      </c>
      <c r="H92" t="s">
        <v>1883</v>
      </c>
      <c r="I92" t="str">
        <f>'Input-Instructions'!$B$4</f>
        <v>mn610wes</v>
      </c>
      <c r="J92" s="320">
        <f>IFERROR(IF('Prepaid Other'!$A$19="Yes",0,IF(AND(EOMONTH('Prepaid Other'!$E$19,0)&gt;='Input-Instructions'!$B$6,(EOMONTH('Prepaid Other'!$D$19,-1)+1)&lt;='Input-Instructions'!$B$6),'Prepaid Other'!$I$19,0)),0)</f>
        <v>0</v>
      </c>
      <c r="K92" t="str">
        <f>IF('Upload Setup'!$B$3="Chart of Accounts A",IFERROR(VLOOKUP('Prepaid Other'!$B$19,'Mapped COA'!A:G,1,0),'Prepaid Other'!$B$19),IFERROR(VLOOKUP('Prepaid Other'!$B$19,'Mapped COA'!A:G,3,0),'Prepaid Other'!$B$19))</f>
        <v>53070-000</v>
      </c>
      <c r="N92">
        <v>1</v>
      </c>
      <c r="O92" t="str">
        <f>_xlfn.TEXTJOIN(" ",TRUE,TEXT('Input-Instructions'!$B$6,"MM/YYYY"),"Prepaid",'Prepaid Other'!$F$19,"Amortization")</f>
        <v>07/2026 Prepaid Johnson Controls Fire Protection Invoice 9.25-2.26 Amortization</v>
      </c>
      <c r="P92">
        <v>0</v>
      </c>
      <c r="Q92" s="293"/>
      <c r="R92" s="293"/>
      <c r="S92" s="293"/>
      <c r="T92" s="293"/>
      <c r="U92" s="293"/>
      <c r="V92" s="293"/>
      <c r="W92" s="293"/>
      <c r="X92" s="293"/>
      <c r="Y92" s="293"/>
    </row>
    <row r="93" spans="1:25" x14ac:dyDescent="0.25">
      <c r="A93" t="s">
        <v>1882</v>
      </c>
      <c r="B93">
        <v>1</v>
      </c>
      <c r="E93" s="260">
        <f>'Input-Instructions'!$B$6</f>
        <v>46204</v>
      </c>
      <c r="F93" s="260">
        <f>'Input-Instructions'!$B$6</f>
        <v>46204</v>
      </c>
      <c r="G93" t="str">
        <f t="shared" si="1"/>
        <v>July Recurring Entries</v>
      </c>
      <c r="H93" t="s">
        <v>1883</v>
      </c>
      <c r="I93" t="str">
        <f>'Input-Instructions'!$B$4</f>
        <v>mn610wes</v>
      </c>
      <c r="J93" s="320">
        <f>IFERROR(IF('Prepaid Other'!$A$19="Yes",0,IF(AND(EOMONTH('Prepaid Other'!$E$19,0)&gt;='Input-Instructions'!$B$6,(EOMONTH('Prepaid Other'!$D$19,-1)+1)&lt;='Input-Instructions'!$B$6),-'Prepaid Other'!$I$19,0)),0)</f>
        <v>0</v>
      </c>
      <c r="K93">
        <f>IF('Upload Setup'!$B$3="Chart of Accounts A",IFERROR(VLOOKUP('Upload Setup'!$C$21,'Mapped COA'!A:G,1,0),'Upload Setup'!$C$21),IFERROR(VLOOKUP('Upload Setup'!$C$21,'Mapped COA'!A:G,3,0),'Upload Setup'!$C$21))</f>
        <v>13085</v>
      </c>
      <c r="N93">
        <v>1</v>
      </c>
      <c r="O93" t="str">
        <f>_xlfn.TEXTJOIN(" ",TRUE,TEXT('Input-Instructions'!$B$6,"MM/YYYY"),"Prepaid",'Prepaid Other'!$F$19,"Amortization")</f>
        <v>07/2026 Prepaid Johnson Controls Fire Protection Invoice 9.25-2.26 Amortization</v>
      </c>
      <c r="P93">
        <v>0</v>
      </c>
      <c r="Q93" s="293"/>
      <c r="R93" s="293"/>
      <c r="S93" s="293"/>
      <c r="T93" s="293"/>
      <c r="U93" s="293"/>
      <c r="V93" s="293"/>
      <c r="W93" s="293"/>
      <c r="X93" s="293"/>
      <c r="Y93" s="293"/>
    </row>
    <row r="94" spans="1:25" x14ac:dyDescent="0.25">
      <c r="A94" t="s">
        <v>1882</v>
      </c>
      <c r="B94">
        <v>1</v>
      </c>
      <c r="E94" s="260">
        <f>'Input-Instructions'!$B$6</f>
        <v>46204</v>
      </c>
      <c r="F94" s="260">
        <f>'Input-Instructions'!$B$6</f>
        <v>46204</v>
      </c>
      <c r="G94" t="str">
        <f t="shared" si="1"/>
        <v>July Recurring Entries</v>
      </c>
      <c r="H94" t="s">
        <v>1883</v>
      </c>
      <c r="I94" t="str">
        <f>'Input-Instructions'!$B$4</f>
        <v>mn610wes</v>
      </c>
      <c r="J94" s="320">
        <f>IFERROR(IF('Prepaid Other'!$A$20="Yes",0,IF(AND(EOMONTH('Prepaid Other'!$E$20,0)&gt;='Input-Instructions'!$B$6,(EOMONTH('Prepaid Other'!$D$20,-1)+1)&lt;='Input-Instructions'!$B$6),'Prepaid Other'!$I$20,0)),0)</f>
        <v>0</v>
      </c>
      <c r="K94" t="str">
        <f>IF('Upload Setup'!$B$3="Chart of Accounts A",IFERROR(VLOOKUP('Prepaid Other'!$B$20,'Mapped COA'!A:G,1,0),'Prepaid Other'!$B$20),IFERROR(VLOOKUP('Prepaid Other'!$B$20,'Mapped COA'!A:G,3,0),'Prepaid Other'!$B$20))</f>
        <v>53070-000</v>
      </c>
      <c r="N94">
        <v>1</v>
      </c>
      <c r="O94" t="str">
        <f>_xlfn.TEXTJOIN(" ",TRUE,TEXT('Input-Instructions'!$B$6,"MM/YYYY"),"Prepaid",'Prepaid Other'!$F$20,"Amortization")</f>
        <v>07/2026 Prepaid Johnson Controls Fire Protection Invoice 9.25-2.26 Amortization</v>
      </c>
      <c r="P94">
        <v>0</v>
      </c>
      <c r="Q94" s="293"/>
      <c r="R94" s="293"/>
      <c r="S94" s="293"/>
      <c r="T94" s="293"/>
      <c r="U94" s="293"/>
      <c r="V94" s="293"/>
      <c r="W94" s="293"/>
      <c r="X94" s="293"/>
      <c r="Y94" s="293"/>
    </row>
    <row r="95" spans="1:25" x14ac:dyDescent="0.25">
      <c r="A95" t="s">
        <v>1882</v>
      </c>
      <c r="B95">
        <v>1</v>
      </c>
      <c r="E95" s="260">
        <f>'Input-Instructions'!$B$6</f>
        <v>46204</v>
      </c>
      <c r="F95" s="260">
        <f>'Input-Instructions'!$B$6</f>
        <v>46204</v>
      </c>
      <c r="G95" t="str">
        <f t="shared" si="1"/>
        <v>July Recurring Entries</v>
      </c>
      <c r="H95" t="s">
        <v>1883</v>
      </c>
      <c r="I95" t="str">
        <f>'Input-Instructions'!$B$4</f>
        <v>mn610wes</v>
      </c>
      <c r="J95" s="320">
        <f>IFERROR(IF('Prepaid Other'!$A$20="Yes",0,IF(AND(EOMONTH('Prepaid Other'!$E$20,0)&gt;='Input-Instructions'!$B$6,(EOMONTH('Prepaid Other'!$D$20,-1)+1)&lt;='Input-Instructions'!$B$6),-'Prepaid Other'!$I$20,0)),0)</f>
        <v>0</v>
      </c>
      <c r="K95">
        <f>IF('Upload Setup'!$B$3="Chart of Accounts A",IFERROR(VLOOKUP('Upload Setup'!$C$21,'Mapped COA'!A:G,1,0),'Upload Setup'!$C$21),IFERROR(VLOOKUP('Upload Setup'!$C$21,'Mapped COA'!A:G,3,0),'Upload Setup'!$C$21))</f>
        <v>13085</v>
      </c>
      <c r="N95">
        <v>1</v>
      </c>
      <c r="O95" t="str">
        <f>_xlfn.TEXTJOIN(" ",TRUE,TEXT('Input-Instructions'!$B$6,"MM/YYYY"),"Prepaid",'Prepaid Other'!$F$20,"Amortization")</f>
        <v>07/2026 Prepaid Johnson Controls Fire Protection Invoice 9.25-2.26 Amortization</v>
      </c>
      <c r="P95">
        <v>0</v>
      </c>
      <c r="Q95" s="293"/>
      <c r="R95" s="293"/>
      <c r="S95" s="293"/>
      <c r="T95" s="293"/>
      <c r="U95" s="293"/>
      <c r="V95" s="293"/>
      <c r="W95" s="293"/>
      <c r="X95" s="293"/>
      <c r="Y95" s="293"/>
    </row>
    <row r="96" spans="1:25" x14ac:dyDescent="0.25">
      <c r="A96" t="s">
        <v>1882</v>
      </c>
      <c r="B96">
        <v>1</v>
      </c>
      <c r="E96" s="260">
        <f>'Input-Instructions'!$B$6</f>
        <v>46204</v>
      </c>
      <c r="F96" s="260">
        <f>'Input-Instructions'!$B$6</f>
        <v>46204</v>
      </c>
      <c r="G96" t="str">
        <f t="shared" si="1"/>
        <v>July Recurring Entries</v>
      </c>
      <c r="H96" t="s">
        <v>1883</v>
      </c>
      <c r="I96" t="str">
        <f>'Input-Instructions'!$B$4</f>
        <v>mn610wes</v>
      </c>
      <c r="J96" s="320">
        <f>IFERROR(IF('Prepaid Other'!$A$21="Yes",0,IF(AND(EOMONTH('Prepaid Other'!$E$21,0)&gt;='Input-Instructions'!$B$6,(EOMONTH('Prepaid Other'!$D$21,-1)+1)&lt;='Input-Instructions'!$B$6),'Prepaid Other'!$I$21,0)),0)</f>
        <v>0</v>
      </c>
      <c r="K96" t="str">
        <f>IF('Upload Setup'!$B$3="Chart of Accounts A",IFERROR(VLOOKUP('Prepaid Other'!$B$21,'Mapped COA'!A:G,1,0),'Prepaid Other'!$B$21),IFERROR(VLOOKUP('Prepaid Other'!$B$21,'Mapped COA'!A:G,3,0),'Prepaid Other'!$B$21))</f>
        <v>53070-000</v>
      </c>
      <c r="N96">
        <v>1</v>
      </c>
      <c r="O96" t="str">
        <f>_xlfn.TEXTJOIN(" ",TRUE,TEXT('Input-Instructions'!$B$6,"MM/YYYY"),"Prepaid",'Prepaid Other'!$F$21,"Amortization")</f>
        <v>07/2026 Prepaid Johnson Controls Fire Protection Invoice 9.25-2.26 Amortization</v>
      </c>
      <c r="P96">
        <v>0</v>
      </c>
      <c r="Q96" s="293"/>
      <c r="R96" s="293"/>
      <c r="S96" s="293"/>
      <c r="T96" s="293"/>
      <c r="U96" s="293"/>
      <c r="V96" s="293"/>
      <c r="W96" s="293"/>
      <c r="X96" s="293"/>
      <c r="Y96" s="293"/>
    </row>
    <row r="97" spans="1:25" x14ac:dyDescent="0.25">
      <c r="A97" t="s">
        <v>1882</v>
      </c>
      <c r="B97">
        <v>1</v>
      </c>
      <c r="E97" s="260">
        <f>'Input-Instructions'!$B$6</f>
        <v>46204</v>
      </c>
      <c r="F97" s="260">
        <f>'Input-Instructions'!$B$6</f>
        <v>46204</v>
      </c>
      <c r="G97" t="str">
        <f t="shared" si="1"/>
        <v>July Recurring Entries</v>
      </c>
      <c r="H97" t="s">
        <v>1883</v>
      </c>
      <c r="I97" t="str">
        <f>'Input-Instructions'!$B$4</f>
        <v>mn610wes</v>
      </c>
      <c r="J97" s="320">
        <f>IFERROR(IF('Prepaid Other'!$A$21="Yes",0,IF(AND(EOMONTH('Prepaid Other'!$E$21,0)&gt;='Input-Instructions'!$B$6,(EOMONTH('Prepaid Other'!$D$21,-1)+1)&lt;='Input-Instructions'!$B$6),-'Prepaid Other'!$I$21,0)),0)</f>
        <v>0</v>
      </c>
      <c r="K97">
        <f>IF('Upload Setup'!$B$3="Chart of Accounts A",IFERROR(VLOOKUP('Upload Setup'!$C$21,'Mapped COA'!A:G,1,0),'Upload Setup'!$C$21),IFERROR(VLOOKUP('Upload Setup'!$C$21,'Mapped COA'!A:G,3,0),'Upload Setup'!$C$21))</f>
        <v>13085</v>
      </c>
      <c r="N97">
        <v>1</v>
      </c>
      <c r="O97" t="str">
        <f>_xlfn.TEXTJOIN(" ",TRUE,TEXT('Input-Instructions'!$B$6,"MM/YYYY"),"Prepaid",'Prepaid Other'!$F$21,"Amortization")</f>
        <v>07/2026 Prepaid Johnson Controls Fire Protection Invoice 9.25-2.26 Amortization</v>
      </c>
      <c r="P97">
        <v>0</v>
      </c>
      <c r="Q97" s="293"/>
      <c r="R97" s="293"/>
      <c r="S97" s="293"/>
      <c r="T97" s="293"/>
      <c r="U97" s="293"/>
      <c r="V97" s="293"/>
      <c r="W97" s="293"/>
      <c r="X97" s="293"/>
      <c r="Y97" s="293"/>
    </row>
    <row r="98" spans="1:25" x14ac:dyDescent="0.25">
      <c r="A98" t="s">
        <v>1882</v>
      </c>
      <c r="B98">
        <v>1</v>
      </c>
      <c r="E98" s="260">
        <f>'Input-Instructions'!$B$6</f>
        <v>46204</v>
      </c>
      <c r="F98" s="260">
        <f>'Input-Instructions'!$B$6</f>
        <v>46204</v>
      </c>
      <c r="G98" t="str">
        <f t="shared" si="1"/>
        <v>July Recurring Entries</v>
      </c>
      <c r="H98" t="s">
        <v>1883</v>
      </c>
      <c r="I98" t="str">
        <f>'Input-Instructions'!$B$4</f>
        <v>mn610wes</v>
      </c>
      <c r="J98" s="320">
        <f>IFERROR(IF('Prepaid Other'!$A$22="Yes",0,IF(AND(EOMONTH('Prepaid Other'!$E$22,0)&gt;='Input-Instructions'!$B$6,(EOMONTH('Prepaid Other'!$D$22,-1)+1)&lt;='Input-Instructions'!$B$6),'Prepaid Other'!$I$22,0)),0)</f>
        <v>0</v>
      </c>
      <c r="K98" t="str">
        <f>IF('Upload Setup'!$B$3="Chart of Accounts A",IFERROR(VLOOKUP('Prepaid Other'!$B$22,'Mapped COA'!A:G,1,0),'Prepaid Other'!$B$22),IFERROR(VLOOKUP('Prepaid Other'!$B$22,'Mapped COA'!A:G,3,0),'Prepaid Other'!$B$22))</f>
        <v>53070-000</v>
      </c>
      <c r="N98">
        <v>1</v>
      </c>
      <c r="O98" t="str">
        <f>_xlfn.TEXTJOIN(" ",TRUE,TEXT('Input-Instructions'!$B$6,"MM/YYYY"),"Prepaid",'Prepaid Other'!$F$22,"Amortization")</f>
        <v>07/2026 Prepaid Johnson Controls Fire Protection Invoice 9.25-2.26 Amortization</v>
      </c>
      <c r="P98">
        <v>0</v>
      </c>
      <c r="Q98" s="293"/>
      <c r="R98" s="293"/>
      <c r="S98" s="293"/>
      <c r="T98" s="293"/>
      <c r="U98" s="293"/>
      <c r="V98" s="293"/>
      <c r="W98" s="293"/>
      <c r="X98" s="293"/>
      <c r="Y98" s="293"/>
    </row>
    <row r="99" spans="1:25" x14ac:dyDescent="0.25">
      <c r="A99" t="s">
        <v>1882</v>
      </c>
      <c r="B99">
        <v>1</v>
      </c>
      <c r="E99" s="260">
        <f>'Input-Instructions'!$B$6</f>
        <v>46204</v>
      </c>
      <c r="F99" s="260">
        <f>'Input-Instructions'!$B$6</f>
        <v>46204</v>
      </c>
      <c r="G99" t="str">
        <f t="shared" si="1"/>
        <v>July Recurring Entries</v>
      </c>
      <c r="H99" t="s">
        <v>1883</v>
      </c>
      <c r="I99" t="str">
        <f>'Input-Instructions'!$B$4</f>
        <v>mn610wes</v>
      </c>
      <c r="J99" s="320">
        <f>IFERROR(IF('Prepaid Other'!$A$22="Yes",0,IF(AND(EOMONTH('Prepaid Other'!$E$22,0)&gt;='Input-Instructions'!$B$6,(EOMONTH('Prepaid Other'!$D$22,-1)+1)&lt;='Input-Instructions'!$B$6),-'Prepaid Other'!$I$22,0)),0)</f>
        <v>0</v>
      </c>
      <c r="K99">
        <f>IF('Upload Setup'!$B$3="Chart of Accounts A",IFERROR(VLOOKUP('Upload Setup'!$C$21,'Mapped COA'!A:G,1,0),'Upload Setup'!$C$21),IFERROR(VLOOKUP('Upload Setup'!$C$21,'Mapped COA'!A:G,3,0),'Upload Setup'!$C$21))</f>
        <v>13085</v>
      </c>
      <c r="N99">
        <v>1</v>
      </c>
      <c r="O99" t="str">
        <f>_xlfn.TEXTJOIN(" ",TRUE,TEXT('Input-Instructions'!$B$6,"MM/YYYY"),"Prepaid",'Prepaid Other'!$F$22,"Amortization")</f>
        <v>07/2026 Prepaid Johnson Controls Fire Protection Invoice 9.25-2.26 Amortization</v>
      </c>
      <c r="P99">
        <v>0</v>
      </c>
      <c r="Q99" s="293"/>
      <c r="R99" s="293"/>
      <c r="S99" s="293"/>
      <c r="T99" s="293"/>
      <c r="U99" s="293"/>
      <c r="V99" s="293"/>
      <c r="W99" s="293"/>
      <c r="X99" s="293"/>
      <c r="Y99" s="293"/>
    </row>
    <row r="100" spans="1:25" x14ac:dyDescent="0.25">
      <c r="A100" t="s">
        <v>1882</v>
      </c>
      <c r="B100">
        <v>1</v>
      </c>
      <c r="E100" s="260">
        <f>'Input-Instructions'!$B$6</f>
        <v>46204</v>
      </c>
      <c r="F100" s="260">
        <f>'Input-Instructions'!$B$6</f>
        <v>46204</v>
      </c>
      <c r="G100" t="str">
        <f t="shared" si="1"/>
        <v>July Recurring Entries</v>
      </c>
      <c r="H100" t="s">
        <v>1883</v>
      </c>
      <c r="I100" t="str">
        <f>'Input-Instructions'!$B$4</f>
        <v>mn610wes</v>
      </c>
      <c r="J100" s="319">
        <f>IFERROR(IF('Prepaid Other'!$A$23="Yes",0,IF(AND(EOMONTH('Prepaid Other'!$E$23,0)&gt;='Input-Instructions'!$B$6,(EOMONTH('Prepaid Other'!$D$23,-1)+1)&lt;='Input-Instructions'!$B$6),'Prepaid Other'!$I$23,0)),0)</f>
        <v>0</v>
      </c>
      <c r="K100" t="str">
        <f>IF('Upload Setup'!$B$3="Chart of Accounts A",IFERROR(VLOOKUP('Prepaid Other'!$B$23,'Mapped COA'!A:G,1,0),'Prepaid Other'!$B$23),IFERROR(VLOOKUP('Prepaid Other'!$B$23,'Mapped COA'!A:G,3,0),'Prepaid Other'!$B$23))</f>
        <v>53070-000</v>
      </c>
      <c r="N100">
        <v>1</v>
      </c>
      <c r="O100" t="str">
        <f>_xlfn.TEXTJOIN(" ",TRUE,TEXT('Input-Instructions'!$B$6,"MM/YYYY"),"Prepaid",'Prepaid Other'!$F$23,"Amortization")</f>
        <v>07/2026 Prepaid Johnson Controls Fire Protection Invoice 9.25-2.26 Amortization</v>
      </c>
      <c r="P100">
        <v>0</v>
      </c>
      <c r="Q100" s="293"/>
      <c r="R100" s="293"/>
      <c r="S100" s="293"/>
      <c r="T100" s="293"/>
      <c r="U100" s="293"/>
      <c r="V100" s="293"/>
      <c r="W100" s="293"/>
      <c r="X100" s="293"/>
      <c r="Y100" s="293"/>
    </row>
    <row r="101" spans="1:25" x14ac:dyDescent="0.25">
      <c r="A101" t="s">
        <v>1882</v>
      </c>
      <c r="B101">
        <v>1</v>
      </c>
      <c r="E101" s="260">
        <f>'Input-Instructions'!$B$6</f>
        <v>46204</v>
      </c>
      <c r="F101" s="260">
        <f>'Input-Instructions'!$B$6</f>
        <v>46204</v>
      </c>
      <c r="G101" t="str">
        <f t="shared" si="1"/>
        <v>July Recurring Entries</v>
      </c>
      <c r="H101" t="s">
        <v>1883</v>
      </c>
      <c r="I101" t="str">
        <f>'Input-Instructions'!$B$4</f>
        <v>mn610wes</v>
      </c>
      <c r="J101" s="319">
        <f>IFERROR(IF('Prepaid Other'!$A$23="Yes",0,IF(AND(EOMONTH('Prepaid Other'!$E$23,0)&gt;='Input-Instructions'!$B$6,(EOMONTH('Prepaid Other'!$D$23,-1)+1)&lt;='Input-Instructions'!$B$6),-'Prepaid Other'!$I$23,0)),0)</f>
        <v>0</v>
      </c>
      <c r="K101">
        <f>IF('Upload Setup'!$B$3="Chart of Accounts A",IFERROR(VLOOKUP('Upload Setup'!$C$21,'Mapped COA'!A:G,1,0),'Upload Setup'!$C$21),IFERROR(VLOOKUP('Upload Setup'!$C$21,'Mapped COA'!A:G,3,0),'Upload Setup'!$C$21))</f>
        <v>13085</v>
      </c>
      <c r="N101">
        <v>1</v>
      </c>
      <c r="O101" t="str">
        <f>_xlfn.TEXTJOIN(" ",TRUE,TEXT('Input-Instructions'!$B$6,"MM/YYYY"),"Prepaid",'Prepaid Other'!$F$23,"Amortization")</f>
        <v>07/2026 Prepaid Johnson Controls Fire Protection Invoice 9.25-2.26 Amortization</v>
      </c>
      <c r="P101">
        <v>0</v>
      </c>
      <c r="Q101" s="293"/>
      <c r="R101" s="293"/>
      <c r="S101" s="293"/>
      <c r="T101" s="293"/>
      <c r="U101" s="293"/>
      <c r="V101" s="293"/>
      <c r="W101" s="293"/>
      <c r="X101" s="293"/>
      <c r="Y101" s="293"/>
    </row>
    <row r="102" spans="1:25" x14ac:dyDescent="0.25">
      <c r="A102" t="s">
        <v>1882</v>
      </c>
      <c r="B102">
        <v>1</v>
      </c>
      <c r="E102" s="260">
        <f>'Input-Instructions'!$B$6</f>
        <v>46204</v>
      </c>
      <c r="F102" s="260">
        <f>'Input-Instructions'!$B$6</f>
        <v>46204</v>
      </c>
      <c r="G102" t="str">
        <f t="shared" si="1"/>
        <v>July Recurring Entries</v>
      </c>
      <c r="H102" t="s">
        <v>1883</v>
      </c>
      <c r="I102" t="str">
        <f>'Input-Instructions'!$B$4</f>
        <v>mn610wes</v>
      </c>
      <c r="J102" s="319">
        <f>IFERROR(IF('Prepaid Other'!$A$24="Yes",0,IF(AND(EOMONTH('Prepaid Other'!$E$24,0)&gt;='Input-Instructions'!$B$6,(EOMONTH('Prepaid Other'!$D$24,-1)+1)&lt;='Input-Instructions'!$B$6),'Prepaid Other'!$I$24,0)),0)</f>
        <v>0</v>
      </c>
      <c r="K102" t="str">
        <f>IF('Upload Setup'!$B$3="Chart of Accounts A",IFERROR(VLOOKUP('Prepaid Other'!$B$24,'Mapped COA'!A:G,1,0),'Prepaid Other'!$B$24),IFERROR(VLOOKUP('Prepaid Other'!$B$24,'Mapped COA'!A:G,3,0),'Prepaid Other'!$B$24))</f>
        <v>53070-000</v>
      </c>
      <c r="N102">
        <v>1</v>
      </c>
      <c r="O102" t="str">
        <f>_xlfn.TEXTJOIN(" ",TRUE,TEXT('Input-Instructions'!$B$6,"MM/YYYY"),"Prepaid",'Prepaid Other'!$F$24,"Amortization")</f>
        <v>07/2026 Prepaid Johnson Controls Fire Protection Invoice 9.25-2.26 Amortization</v>
      </c>
      <c r="P102">
        <v>0</v>
      </c>
      <c r="Q102" s="293"/>
      <c r="R102" s="293"/>
      <c r="S102" s="293"/>
      <c r="T102" s="293"/>
      <c r="U102" s="293"/>
      <c r="V102" s="293"/>
      <c r="W102" s="293"/>
      <c r="X102" s="293"/>
      <c r="Y102" s="293"/>
    </row>
    <row r="103" spans="1:25" x14ac:dyDescent="0.25">
      <c r="A103" t="s">
        <v>1882</v>
      </c>
      <c r="B103">
        <v>1</v>
      </c>
      <c r="E103" s="260">
        <f>'Input-Instructions'!$B$6</f>
        <v>46204</v>
      </c>
      <c r="F103" s="260">
        <f>'Input-Instructions'!$B$6</f>
        <v>46204</v>
      </c>
      <c r="G103" t="str">
        <f t="shared" si="1"/>
        <v>July Recurring Entries</v>
      </c>
      <c r="H103" t="s">
        <v>1883</v>
      </c>
      <c r="I103" t="str">
        <f>'Input-Instructions'!$B$4</f>
        <v>mn610wes</v>
      </c>
      <c r="J103" s="319">
        <f>IFERROR(IF('Prepaid Other'!$A$24="Yes",0,IF(AND(EOMONTH('Prepaid Other'!$E$24,0)&gt;='Input-Instructions'!$B$6,(EOMONTH('Prepaid Other'!$D$24,-1)+1)&lt;='Input-Instructions'!$B$6),-'Prepaid Other'!$I$24,0)),0)</f>
        <v>0</v>
      </c>
      <c r="K103">
        <f>IF('Upload Setup'!$B$3="Chart of Accounts A",IFERROR(VLOOKUP('Upload Setup'!$C$21,'Mapped COA'!A:G,1,0),'Upload Setup'!$C$21),IFERROR(VLOOKUP('Upload Setup'!$C$21,'Mapped COA'!A:G,3,0),'Upload Setup'!$C$21))</f>
        <v>13085</v>
      </c>
      <c r="N103">
        <v>1</v>
      </c>
      <c r="O103" t="str">
        <f>_xlfn.TEXTJOIN(" ",TRUE,TEXT('Input-Instructions'!$B$6,"MM/YYYY"),"Prepaid",'Prepaid Other'!$F$24,"Amortization")</f>
        <v>07/2026 Prepaid Johnson Controls Fire Protection Invoice 9.25-2.26 Amortization</v>
      </c>
      <c r="P103">
        <v>0</v>
      </c>
      <c r="Q103" s="293"/>
      <c r="R103" s="293"/>
      <c r="S103" s="293"/>
      <c r="T103" s="293"/>
      <c r="U103" s="293"/>
      <c r="V103" s="293"/>
      <c r="W103" s="293"/>
      <c r="X103" s="293"/>
      <c r="Y103" s="293"/>
    </row>
    <row r="104" spans="1:25" x14ac:dyDescent="0.25">
      <c r="A104" t="s">
        <v>1882</v>
      </c>
      <c r="B104">
        <v>1</v>
      </c>
      <c r="E104" s="260">
        <f>'Input-Instructions'!$B$6</f>
        <v>46204</v>
      </c>
      <c r="F104" s="260">
        <f>'Input-Instructions'!$B$6</f>
        <v>46204</v>
      </c>
      <c r="G104" t="str">
        <f t="shared" si="1"/>
        <v>July Recurring Entries</v>
      </c>
      <c r="H104" t="s">
        <v>1883</v>
      </c>
      <c r="I104" t="str">
        <f>'Input-Instructions'!$B$4</f>
        <v>mn610wes</v>
      </c>
      <c r="J104" s="319">
        <f>IFERROR(IF('Prepaid Other'!#REF!="Yes",0,IF(AND(EOMONTH('Prepaid Other'!#REF!,0)&gt;='Input-Instructions'!$B$6,(EOMONTH('Prepaid Other'!#REF!,-1)+1)&lt;='Input-Instructions'!$B$6),'Prepaid Other'!#REF!,0)),0)</f>
        <v>0</v>
      </c>
      <c r="K104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04">
        <v>1</v>
      </c>
      <c r="O104" t="e">
        <f>_xlfn.TEXTJOIN(" ",TRUE,TEXT('Input-Instructions'!$B$6,"MM/YYYY"),"Prepaid",'Prepaid Other'!#REF!,"Amortization")</f>
        <v>#REF!</v>
      </c>
      <c r="P104">
        <v>0</v>
      </c>
      <c r="Q104" s="293"/>
      <c r="R104" s="293"/>
      <c r="S104" s="293"/>
      <c r="T104" s="293"/>
      <c r="U104" s="293"/>
      <c r="V104" s="293"/>
      <c r="W104" s="293"/>
      <c r="X104" s="293"/>
      <c r="Y104" s="293"/>
    </row>
    <row r="105" spans="1:25" x14ac:dyDescent="0.25">
      <c r="A105" t="s">
        <v>1882</v>
      </c>
      <c r="B105">
        <v>1</v>
      </c>
      <c r="E105" s="260">
        <f>'Input-Instructions'!$B$6</f>
        <v>46204</v>
      </c>
      <c r="F105" s="260">
        <f>'Input-Instructions'!$B$6</f>
        <v>46204</v>
      </c>
      <c r="G105" t="str">
        <f t="shared" si="1"/>
        <v>July Recurring Entries</v>
      </c>
      <c r="H105" t="s">
        <v>1883</v>
      </c>
      <c r="I105" t="str">
        <f>'Input-Instructions'!$B$4</f>
        <v>mn610wes</v>
      </c>
      <c r="J105" s="319">
        <f>IFERROR(IF('Prepaid Other'!#REF!="Yes",0,IF(AND(EOMONTH('Prepaid Other'!#REF!,0)&gt;='Input-Instructions'!$B$6,(EOMONTH('Prepaid Other'!#REF!,-1)+1)&lt;='Input-Instructions'!$B$6),-'Prepaid Other'!#REF!,0)),0)</f>
        <v>0</v>
      </c>
      <c r="K105">
        <f>IF('Upload Setup'!$B$3="Chart of Accounts A",IFERROR(VLOOKUP('Upload Setup'!$C$21,'Mapped COA'!A:G,1,0),'Upload Setup'!$C$21),IFERROR(VLOOKUP('Upload Setup'!$C$21,'Mapped COA'!A:G,3,0),'Upload Setup'!$C$21))</f>
        <v>13085</v>
      </c>
      <c r="N105">
        <v>1</v>
      </c>
      <c r="O105" t="e">
        <f>_xlfn.TEXTJOIN(" ",TRUE,TEXT('Input-Instructions'!$B$6,"MM/YYYY"),"Prepaid",'Prepaid Other'!#REF!,"Amortization")</f>
        <v>#REF!</v>
      </c>
      <c r="P105">
        <v>0</v>
      </c>
      <c r="Q105" s="293"/>
      <c r="R105" s="293"/>
      <c r="S105" s="293"/>
      <c r="T105" s="293"/>
      <c r="U105" s="293"/>
      <c r="V105" s="293"/>
      <c r="W105" s="293"/>
      <c r="X105" s="293"/>
      <c r="Y105" s="293"/>
    </row>
    <row r="106" spans="1:25" x14ac:dyDescent="0.25">
      <c r="A106" t="s">
        <v>1882</v>
      </c>
      <c r="B106">
        <v>1</v>
      </c>
      <c r="E106" s="260">
        <f>'Input-Instructions'!$B$6</f>
        <v>46204</v>
      </c>
      <c r="F106" s="260">
        <f>'Input-Instructions'!$B$6</f>
        <v>46204</v>
      </c>
      <c r="G106" t="str">
        <f t="shared" si="1"/>
        <v>July Recurring Entries</v>
      </c>
      <c r="H106" t="s">
        <v>1883</v>
      </c>
      <c r="I106" t="str">
        <f>'Input-Instructions'!$B$4</f>
        <v>mn610wes</v>
      </c>
      <c r="J106" s="319">
        <f>IFERROR(IF('Prepaid Other'!#REF!="Yes",0,IF(AND(EOMONTH('Prepaid Other'!#REF!,0)&gt;='Input-Instructions'!$B$6,(EOMONTH('Prepaid Other'!#REF!,-1)+1)&lt;='Input-Instructions'!$B$6),'Prepaid Other'!#REF!,0)),0)</f>
        <v>0</v>
      </c>
      <c r="K106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06">
        <v>1</v>
      </c>
      <c r="O106" t="e">
        <f>_xlfn.TEXTJOIN(" ",TRUE,TEXT('Input-Instructions'!$B$6,"MM/YYYY"),"Prepaid",'Prepaid Other'!#REF!,"Amortization")</f>
        <v>#REF!</v>
      </c>
      <c r="P106">
        <v>0</v>
      </c>
      <c r="Q106" s="293"/>
      <c r="R106" s="293"/>
      <c r="S106" s="293"/>
      <c r="T106" s="293"/>
      <c r="U106" s="293"/>
      <c r="V106" s="293"/>
      <c r="W106" s="293"/>
      <c r="X106" s="293"/>
      <c r="Y106" s="293"/>
    </row>
    <row r="107" spans="1:25" x14ac:dyDescent="0.25">
      <c r="A107" t="s">
        <v>1882</v>
      </c>
      <c r="B107">
        <v>1</v>
      </c>
      <c r="E107" s="260">
        <f>'Input-Instructions'!$B$6</f>
        <v>46204</v>
      </c>
      <c r="F107" s="260">
        <f>'Input-Instructions'!$B$6</f>
        <v>46204</v>
      </c>
      <c r="G107" t="str">
        <f t="shared" si="1"/>
        <v>July Recurring Entries</v>
      </c>
      <c r="H107" t="s">
        <v>1883</v>
      </c>
      <c r="I107" t="str">
        <f>'Input-Instructions'!$B$4</f>
        <v>mn610wes</v>
      </c>
      <c r="J107" s="319">
        <f>IFERROR(IF('Prepaid Other'!#REF!="Yes",0,IF(AND(EOMONTH('Prepaid Other'!#REF!,0)&gt;='Input-Instructions'!$B$6,(EOMONTH('Prepaid Other'!#REF!,-1)+1)&lt;='Input-Instructions'!$B$6),-'Prepaid Other'!#REF!,0)),0)</f>
        <v>0</v>
      </c>
      <c r="K107">
        <f>IF('Upload Setup'!$B$3="Chart of Accounts A",IFERROR(VLOOKUP('Upload Setup'!$C$21,'Mapped COA'!A:G,1,0),'Upload Setup'!$C$21),IFERROR(VLOOKUP('Upload Setup'!$C$21,'Mapped COA'!A:G,3,0),'Upload Setup'!$C$21))</f>
        <v>13085</v>
      </c>
      <c r="N107">
        <v>1</v>
      </c>
      <c r="O107" t="e">
        <f>_xlfn.TEXTJOIN(" ",TRUE,TEXT('Input-Instructions'!$B$6,"MM/YYYY"),"Prepaid",'Prepaid Other'!#REF!,"Amortization")</f>
        <v>#REF!</v>
      </c>
      <c r="P107">
        <v>0</v>
      </c>
      <c r="Q107" s="293"/>
      <c r="R107" s="293"/>
      <c r="S107" s="293"/>
      <c r="T107" s="293"/>
      <c r="U107" s="293"/>
      <c r="V107" s="293"/>
      <c r="W107" s="293"/>
      <c r="X107" s="293"/>
      <c r="Y107" s="293"/>
    </row>
    <row r="108" spans="1:25" x14ac:dyDescent="0.25">
      <c r="A108" t="s">
        <v>1882</v>
      </c>
      <c r="B108">
        <v>1</v>
      </c>
      <c r="E108" s="260">
        <f>'Input-Instructions'!$B$6</f>
        <v>46204</v>
      </c>
      <c r="F108" s="260">
        <f>'Input-Instructions'!$B$6</f>
        <v>46204</v>
      </c>
      <c r="G108" t="str">
        <f t="shared" si="1"/>
        <v>July Recurring Entries</v>
      </c>
      <c r="H108" t="s">
        <v>1883</v>
      </c>
      <c r="I108" t="str">
        <f>'Input-Instructions'!$B$4</f>
        <v>mn610wes</v>
      </c>
      <c r="J108" s="319">
        <f>IFERROR(IF('Prepaid Other'!$A$25="Yes",0,IF(AND(EOMONTH('Prepaid Other'!$E$25,0)&gt;='Input-Instructions'!$B$6,(EOMONTH('Prepaid Other'!$D$25,-1)+1)&lt;='Input-Instructions'!$B$6),'Prepaid Other'!$I$25,0)),0)</f>
        <v>0</v>
      </c>
      <c r="K108" t="str">
        <f>IF('Upload Setup'!$B$3="Chart of Accounts A",IFERROR(VLOOKUP('Prepaid Other'!$B$25,'Mapped COA'!A:G,1,0),'Prepaid Other'!$B$25),IFERROR(VLOOKUP('Prepaid Other'!$B$25,'Mapped COA'!A:G,3,0),'Prepaid Other'!$B$25))</f>
        <v>58280-000</v>
      </c>
      <c r="N108">
        <v>1</v>
      </c>
      <c r="O108" t="str">
        <f>_xlfn.TEXTJOIN(" ",TRUE,TEXT('Input-Instructions'!$B$6,"MM/YYYY"),"Prepaid",'Prepaid Other'!$F$25,"Amortization")</f>
        <v>07/2026 Prepaid 09/25 Year Renewal MultiHousing Association 9/25-9/26 Amortization</v>
      </c>
      <c r="P108">
        <v>0</v>
      </c>
      <c r="Q108" s="293"/>
      <c r="R108" s="293"/>
      <c r="S108" s="293"/>
      <c r="T108" s="293"/>
      <c r="U108" s="293"/>
      <c r="V108" s="293"/>
      <c r="W108" s="293"/>
      <c r="X108" s="293"/>
      <c r="Y108" s="293"/>
    </row>
    <row r="109" spans="1:25" x14ac:dyDescent="0.25">
      <c r="A109" t="s">
        <v>1882</v>
      </c>
      <c r="B109">
        <v>1</v>
      </c>
      <c r="E109" s="260">
        <f>'Input-Instructions'!$B$6</f>
        <v>46204</v>
      </c>
      <c r="F109" s="260">
        <f>'Input-Instructions'!$B$6</f>
        <v>46204</v>
      </c>
      <c r="G109" t="str">
        <f t="shared" si="1"/>
        <v>July Recurring Entries</v>
      </c>
      <c r="H109" t="s">
        <v>1883</v>
      </c>
      <c r="I109" t="str">
        <f>'Input-Instructions'!$B$4</f>
        <v>mn610wes</v>
      </c>
      <c r="J109" s="319">
        <f>IFERROR(IF('Prepaid Other'!$A$25="Yes",0,IF(AND(EOMONTH('Prepaid Other'!$E$25,0)&gt;='Input-Instructions'!$B$6,(EOMONTH('Prepaid Other'!$D$25,-1)+1)&lt;='Input-Instructions'!$B$6),-'Prepaid Other'!$I$25,0)),0)</f>
        <v>0</v>
      </c>
      <c r="K109">
        <f>IF('Upload Setup'!$B$3="Chart of Accounts A",IFERROR(VLOOKUP('Upload Setup'!$C$21,'Mapped COA'!A:G,1,0),'Upload Setup'!$C$21),IFERROR(VLOOKUP('Upload Setup'!$C$21,'Mapped COA'!A:G,3,0),'Upload Setup'!$C$21))</f>
        <v>13085</v>
      </c>
      <c r="N109">
        <v>1</v>
      </c>
      <c r="O109" t="str">
        <f>_xlfn.TEXTJOIN(" ",TRUE,TEXT('Input-Instructions'!$B$6,"MM/YYYY"),"Prepaid",'Prepaid Other'!$F$25,"Amortization")</f>
        <v>07/2026 Prepaid 09/25 Year Renewal MultiHousing Association 9/25-9/26 Amortization</v>
      </c>
      <c r="P109">
        <v>0</v>
      </c>
      <c r="Q109" s="293"/>
      <c r="R109" s="293"/>
      <c r="S109" s="293"/>
      <c r="T109" s="293"/>
      <c r="U109" s="293"/>
      <c r="V109" s="293"/>
      <c r="W109" s="293"/>
      <c r="X109" s="293"/>
      <c r="Y109" s="293"/>
    </row>
    <row r="110" spans="1:25" x14ac:dyDescent="0.25">
      <c r="A110" t="s">
        <v>1882</v>
      </c>
      <c r="B110">
        <v>1</v>
      </c>
      <c r="E110" s="260">
        <f>'Input-Instructions'!$B$6</f>
        <v>46204</v>
      </c>
      <c r="F110" s="260">
        <f>'Input-Instructions'!$B$6</f>
        <v>46204</v>
      </c>
      <c r="G110" t="str">
        <f t="shared" si="1"/>
        <v>July Recurring Entries</v>
      </c>
      <c r="H110" t="s">
        <v>1883</v>
      </c>
      <c r="I110" t="str">
        <f>'Input-Instructions'!$B$4</f>
        <v>mn610wes</v>
      </c>
      <c r="J110" s="319">
        <f>IFERROR(IF('Prepaid Other'!#REF!="Yes",0,IF(AND(EOMONTH('Prepaid Other'!#REF!,0)&gt;='Input-Instructions'!$B$6,(EOMONTH('Prepaid Other'!#REF!,-1)+1)&lt;='Input-Instructions'!$B$6),'Prepaid Other'!#REF!,0)),0)</f>
        <v>0</v>
      </c>
      <c r="K110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10">
        <v>1</v>
      </c>
      <c r="O110" t="e">
        <f>_xlfn.TEXTJOIN(" ",TRUE,TEXT('Input-Instructions'!$B$6,"MM/YYYY"),"Prepaid",'Prepaid Other'!#REF!,"Amortization")</f>
        <v>#REF!</v>
      </c>
      <c r="P110">
        <v>0</v>
      </c>
      <c r="Q110" s="293"/>
      <c r="R110" s="293"/>
      <c r="S110" s="293"/>
      <c r="T110" s="293"/>
      <c r="U110" s="293"/>
      <c r="V110" s="293"/>
      <c r="W110" s="293"/>
      <c r="X110" s="293"/>
      <c r="Y110" s="293"/>
    </row>
    <row r="111" spans="1:25" x14ac:dyDescent="0.25">
      <c r="A111" t="s">
        <v>1882</v>
      </c>
      <c r="B111">
        <v>1</v>
      </c>
      <c r="E111" s="260">
        <f>'Input-Instructions'!$B$6</f>
        <v>46204</v>
      </c>
      <c r="F111" s="260">
        <f>'Input-Instructions'!$B$6</f>
        <v>46204</v>
      </c>
      <c r="G111" t="str">
        <f t="shared" si="1"/>
        <v>July Recurring Entries</v>
      </c>
      <c r="H111" t="s">
        <v>1883</v>
      </c>
      <c r="I111" t="str">
        <f>'Input-Instructions'!$B$4</f>
        <v>mn610wes</v>
      </c>
      <c r="J111" s="319">
        <f>IFERROR(IF('Prepaid Other'!#REF!="Yes",0,IF(AND(EOMONTH('Prepaid Other'!#REF!,0)&gt;='Input-Instructions'!$B$6,(EOMONTH('Prepaid Other'!#REF!,-1)+1)&lt;='Input-Instructions'!$B$6),-'Prepaid Other'!#REF!,0)),0)</f>
        <v>0</v>
      </c>
      <c r="K111">
        <f>IF('Upload Setup'!$B$3="Chart of Accounts A",IFERROR(VLOOKUP('Upload Setup'!$C$21,'Mapped COA'!A:G,1,0),'Upload Setup'!$C$21),IFERROR(VLOOKUP('Upload Setup'!$C$21,'Mapped COA'!A:G,3,0),'Upload Setup'!$C$21))</f>
        <v>13085</v>
      </c>
      <c r="N111">
        <v>1</v>
      </c>
      <c r="O111" t="e">
        <f>_xlfn.TEXTJOIN(" ",TRUE,TEXT('Input-Instructions'!$B$6,"MM/YYYY"),"Prepaid",'Prepaid Other'!#REF!,"Amortization")</f>
        <v>#REF!</v>
      </c>
      <c r="P111">
        <v>0</v>
      </c>
      <c r="Q111" s="293"/>
      <c r="R111" s="293"/>
      <c r="S111" s="293"/>
      <c r="T111" s="293"/>
      <c r="U111" s="293"/>
      <c r="V111" s="293"/>
      <c r="W111" s="293"/>
      <c r="X111" s="293"/>
      <c r="Y111" s="293"/>
    </row>
    <row r="112" spans="1:25" x14ac:dyDescent="0.25">
      <c r="A112" t="s">
        <v>1882</v>
      </c>
      <c r="B112">
        <v>1</v>
      </c>
      <c r="E112" s="260">
        <f>'Input-Instructions'!$B$6</f>
        <v>46204</v>
      </c>
      <c r="F112" s="260">
        <f>'Input-Instructions'!$B$6</f>
        <v>46204</v>
      </c>
      <c r="G112" t="str">
        <f t="shared" si="1"/>
        <v>July Recurring Entries</v>
      </c>
      <c r="H112" t="s">
        <v>1883</v>
      </c>
      <c r="I112" t="str">
        <f>'Input-Instructions'!$B$4</f>
        <v>mn610wes</v>
      </c>
      <c r="J112" s="319">
        <f>IFERROR(IF('Prepaid Other'!$A$26="Yes",0,IF(AND(EOMONTH('Prepaid Other'!$E$26,0)&gt;='Input-Instructions'!$B$6,(EOMONTH('Prepaid Other'!$D$26,-1)+1)&lt;='Input-Instructions'!$B$6),'Prepaid Other'!$I$26,0)),0)</f>
        <v>0</v>
      </c>
      <c r="K112" t="str">
        <f>IF('Upload Setup'!$B$3="Chart of Accounts A",IFERROR(VLOOKUP('Prepaid Other'!$B$26,'Mapped COA'!A:G,1,0),'Prepaid Other'!$B$26),IFERROR(VLOOKUP('Prepaid Other'!$B$26,'Mapped COA'!A:G,3,0),'Prepaid Other'!$B$26))</f>
        <v>53010-000</v>
      </c>
      <c r="N112">
        <v>1</v>
      </c>
      <c r="O112" t="str">
        <f>_xlfn.TEXTJOIN(" ",TRUE,TEXT('Input-Instructions'!$B$6,"MM/YYYY"),"Prepaid",'Prepaid Other'!$F$26,"Amortization")</f>
        <v>07/2026 Prepaid ButterflyMX Smart IntercomSoftware Subscription Term 11/1/25-9/30/26 Amortization</v>
      </c>
      <c r="P112">
        <v>0</v>
      </c>
      <c r="Q112" s="293"/>
      <c r="R112" s="293"/>
      <c r="S112" s="293"/>
      <c r="T112" s="293"/>
      <c r="U112" s="293"/>
      <c r="V112" s="293"/>
      <c r="W112" s="293"/>
      <c r="X112" s="293"/>
      <c r="Y112" s="293"/>
    </row>
    <row r="113" spans="1:25" x14ac:dyDescent="0.25">
      <c r="A113" t="s">
        <v>1882</v>
      </c>
      <c r="B113">
        <v>1</v>
      </c>
      <c r="E113" s="260">
        <f>'Input-Instructions'!$B$6</f>
        <v>46204</v>
      </c>
      <c r="F113" s="260">
        <f>'Input-Instructions'!$B$6</f>
        <v>46204</v>
      </c>
      <c r="G113" t="str">
        <f t="shared" si="1"/>
        <v>July Recurring Entries</v>
      </c>
      <c r="H113" t="s">
        <v>1883</v>
      </c>
      <c r="I113" t="str">
        <f>'Input-Instructions'!$B$4</f>
        <v>mn610wes</v>
      </c>
      <c r="J113" s="319">
        <f>IFERROR(IF('Prepaid Other'!$A$26="Yes",0,IF(AND(EOMONTH('Prepaid Other'!$E$26,0)&gt;='Input-Instructions'!$B$6,(EOMONTH('Prepaid Other'!$D$26,-1)+1)&lt;='Input-Instructions'!$B$6),-'Prepaid Other'!$I$26,0)),0)</f>
        <v>0</v>
      </c>
      <c r="K113">
        <f>IF('Upload Setup'!$B$3="Chart of Accounts A",IFERROR(VLOOKUP('Upload Setup'!$C$21,'Mapped COA'!A:G,1,0),'Upload Setup'!$C$21),IFERROR(VLOOKUP('Upload Setup'!$C$21,'Mapped COA'!A:G,3,0),'Upload Setup'!$C$21))</f>
        <v>13085</v>
      </c>
      <c r="N113">
        <v>1</v>
      </c>
      <c r="O113" t="str">
        <f>_xlfn.TEXTJOIN(" ",TRUE,TEXT('Input-Instructions'!$B$6,"MM/YYYY"),"Prepaid",'Prepaid Other'!$F$26,"Amortization")</f>
        <v>07/2026 Prepaid ButterflyMX Smart IntercomSoftware Subscription Term 11/1/25-9/30/26 Amortization</v>
      </c>
      <c r="P113">
        <v>0</v>
      </c>
      <c r="Q113" s="293"/>
      <c r="R113" s="293"/>
      <c r="S113" s="293"/>
      <c r="T113" s="293"/>
      <c r="U113" s="293"/>
      <c r="V113" s="293"/>
      <c r="W113" s="293"/>
      <c r="X113" s="293"/>
      <c r="Y113" s="293"/>
    </row>
    <row r="114" spans="1:25" x14ac:dyDescent="0.25">
      <c r="A114" t="s">
        <v>1882</v>
      </c>
      <c r="B114">
        <v>1</v>
      </c>
      <c r="E114" s="260">
        <f>'Input-Instructions'!$B$6</f>
        <v>46204</v>
      </c>
      <c r="F114" s="260">
        <f>'Input-Instructions'!$B$6</f>
        <v>46204</v>
      </c>
      <c r="G114" t="str">
        <f t="shared" si="1"/>
        <v>July Recurring Entries</v>
      </c>
      <c r="H114" t="s">
        <v>1883</v>
      </c>
      <c r="I114" t="str">
        <f>'Input-Instructions'!$B$4</f>
        <v>mn610wes</v>
      </c>
      <c r="J114" s="319">
        <f>IFERROR(IF('Prepaid Other'!#REF!="Yes",0,IF(AND(EOMONTH('Prepaid Other'!#REF!,0)&gt;='Input-Instructions'!$B$6,(EOMONTH('Prepaid Other'!#REF!,-1)+1)&lt;='Input-Instructions'!$B$6),'Prepaid Other'!#REF!,0)),0)</f>
        <v>0</v>
      </c>
      <c r="K114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14">
        <v>1</v>
      </c>
      <c r="O114" t="e">
        <f>_xlfn.TEXTJOIN(" ",TRUE,TEXT('Input-Instructions'!$B$6,"MM/YYYY"),"Prepaid",'Prepaid Other'!#REF!,"Amortization")</f>
        <v>#REF!</v>
      </c>
      <c r="P114">
        <v>0</v>
      </c>
      <c r="Q114" s="293"/>
      <c r="R114" s="293"/>
      <c r="S114" s="293"/>
      <c r="T114" s="293"/>
      <c r="U114" s="293"/>
      <c r="V114" s="293"/>
      <c r="W114" s="293"/>
      <c r="X114" s="293"/>
      <c r="Y114" s="293"/>
    </row>
    <row r="115" spans="1:25" x14ac:dyDescent="0.25">
      <c r="A115" t="s">
        <v>1882</v>
      </c>
      <c r="B115">
        <v>1</v>
      </c>
      <c r="E115" s="260">
        <f>'Input-Instructions'!$B$6</f>
        <v>46204</v>
      </c>
      <c r="F115" s="260">
        <f>'Input-Instructions'!$B$6</f>
        <v>46204</v>
      </c>
      <c r="G115" t="str">
        <f t="shared" si="1"/>
        <v>July Recurring Entries</v>
      </c>
      <c r="H115" t="s">
        <v>1883</v>
      </c>
      <c r="I115" t="str">
        <f>'Input-Instructions'!$B$4</f>
        <v>mn610wes</v>
      </c>
      <c r="J115" s="319">
        <f>IFERROR(IF('Prepaid Other'!#REF!="Yes",0,IF(AND(EOMONTH('Prepaid Other'!#REF!,0)&gt;='Input-Instructions'!$B$6,(EOMONTH('Prepaid Other'!#REF!,-1)+1)&lt;='Input-Instructions'!$B$6),-'Prepaid Other'!#REF!,0)),0)</f>
        <v>0</v>
      </c>
      <c r="K115">
        <f>IF('Upload Setup'!$B$3="Chart of Accounts A",IFERROR(VLOOKUP('Upload Setup'!$C$21,'Mapped COA'!A:G,1,0),'Upload Setup'!$C$21),IFERROR(VLOOKUP('Upload Setup'!$C$21,'Mapped COA'!A:G,3,0),'Upload Setup'!$C$21))</f>
        <v>13085</v>
      </c>
      <c r="N115">
        <v>1</v>
      </c>
      <c r="O115" t="e">
        <f>_xlfn.TEXTJOIN(" ",TRUE,TEXT('Input-Instructions'!$B$6,"MM/YYYY"),"Prepaid",'Prepaid Other'!#REF!,"Amortization")</f>
        <v>#REF!</v>
      </c>
      <c r="P115">
        <v>0</v>
      </c>
      <c r="Q115" s="293"/>
      <c r="R115" s="293"/>
      <c r="S115" s="293"/>
      <c r="T115" s="293"/>
      <c r="U115" s="293"/>
      <c r="V115" s="293"/>
      <c r="W115" s="293"/>
      <c r="X115" s="293"/>
      <c r="Y115" s="293"/>
    </row>
    <row r="116" spans="1:25" x14ac:dyDescent="0.25">
      <c r="A116" t="s">
        <v>1882</v>
      </c>
      <c r="B116">
        <v>1</v>
      </c>
      <c r="E116" s="260">
        <f>'Input-Instructions'!$B$6</f>
        <v>46204</v>
      </c>
      <c r="F116" s="260">
        <f>'Input-Instructions'!$B$6</f>
        <v>46204</v>
      </c>
      <c r="G116" t="str">
        <f t="shared" si="1"/>
        <v>July Recurring Entries</v>
      </c>
      <c r="H116" t="s">
        <v>1883</v>
      </c>
      <c r="I116" t="str">
        <f>'Input-Instructions'!$B$4</f>
        <v>mn610wes</v>
      </c>
      <c r="J116" s="319">
        <f>IFERROR(IF('Prepaid Other'!$A$27="Yes",0,IF(AND(EOMONTH('Prepaid Other'!$E$27,0)&gt;='Input-Instructions'!$B$6,(EOMONTH('Prepaid Other'!$D$27,-1)+1)&lt;='Input-Instructions'!$B$6),'Prepaid Other'!$I$27,0)),0)</f>
        <v>0</v>
      </c>
      <c r="K116" t="str">
        <f>IF('Upload Setup'!$B$3="Chart of Accounts A",IFERROR(VLOOKUP('Prepaid Other'!$B$27,'Mapped COA'!A:G,1,0),'Prepaid Other'!$B$27),IFERROR(VLOOKUP('Prepaid Other'!$B$27,'Mapped COA'!A:G,3,0),'Prepaid Other'!$B$27))</f>
        <v>54025-000</v>
      </c>
      <c r="N116">
        <v>1</v>
      </c>
      <c r="O116" t="str">
        <f>_xlfn.TEXTJOIN(" ",TRUE,TEXT('Input-Instructions'!$B$6,"MM/YYYY"),"Prepaid",'Prepaid Other'!$F$27,"Amortization")</f>
        <v>07/2026 Prepaid January Jonah Systems Amortization</v>
      </c>
      <c r="P116">
        <v>0</v>
      </c>
      <c r="Q116" s="293"/>
      <c r="R116" s="293"/>
      <c r="S116" s="293"/>
      <c r="T116" s="293"/>
      <c r="U116" s="293"/>
      <c r="V116" s="293"/>
      <c r="W116" s="293"/>
      <c r="X116" s="293"/>
      <c r="Y116" s="293"/>
    </row>
    <row r="117" spans="1:25" x14ac:dyDescent="0.25">
      <c r="A117" t="s">
        <v>1882</v>
      </c>
      <c r="B117">
        <v>1</v>
      </c>
      <c r="E117" s="260">
        <f>'Input-Instructions'!$B$6</f>
        <v>46204</v>
      </c>
      <c r="F117" s="260">
        <f>'Input-Instructions'!$B$6</f>
        <v>46204</v>
      </c>
      <c r="G117" t="str">
        <f t="shared" si="1"/>
        <v>July Recurring Entries</v>
      </c>
      <c r="H117" t="s">
        <v>1883</v>
      </c>
      <c r="I117" t="str">
        <f>'Input-Instructions'!$B$4</f>
        <v>mn610wes</v>
      </c>
      <c r="J117" s="319">
        <f>IFERROR(IF('Prepaid Other'!$A$27="Yes",0,IF(AND(EOMONTH('Prepaid Other'!$E$27,0)&gt;='Input-Instructions'!$B$6,(EOMONTH('Prepaid Other'!$D$27,-1)+1)&lt;='Input-Instructions'!$B$6),-'Prepaid Other'!$I$27,0)),0)</f>
        <v>0</v>
      </c>
      <c r="K117">
        <f>IF('Upload Setup'!$B$3="Chart of Accounts A",IFERROR(VLOOKUP('Upload Setup'!$C$21,'Mapped COA'!A:G,1,0),'Upload Setup'!$C$21),IFERROR(VLOOKUP('Upload Setup'!$C$21,'Mapped COA'!A:G,3,0),'Upload Setup'!$C$21))</f>
        <v>13085</v>
      </c>
      <c r="N117">
        <v>1</v>
      </c>
      <c r="O117" t="str">
        <f>_xlfn.TEXTJOIN(" ",TRUE,TEXT('Input-Instructions'!$B$6,"MM/YYYY"),"Prepaid",'Prepaid Other'!$F$27,"Amortization")</f>
        <v>07/2026 Prepaid January Jonah Systems Amortization</v>
      </c>
      <c r="P117">
        <v>0</v>
      </c>
      <c r="Q117" s="293"/>
      <c r="R117" s="293"/>
      <c r="S117" s="293"/>
      <c r="T117" s="293"/>
      <c r="U117" s="293"/>
      <c r="V117" s="293"/>
      <c r="W117" s="293"/>
      <c r="X117" s="293"/>
      <c r="Y117" s="293"/>
    </row>
    <row r="118" spans="1:25" x14ac:dyDescent="0.25">
      <c r="A118" t="s">
        <v>1882</v>
      </c>
      <c r="B118">
        <v>1</v>
      </c>
      <c r="E118" s="260">
        <f>'Input-Instructions'!$B$6</f>
        <v>46204</v>
      </c>
      <c r="F118" s="260">
        <f>'Input-Instructions'!$B$6</f>
        <v>46204</v>
      </c>
      <c r="G118" t="str">
        <f t="shared" si="1"/>
        <v>July Recurring Entries</v>
      </c>
      <c r="H118" t="s">
        <v>1883</v>
      </c>
      <c r="I118" t="str">
        <f>'Input-Instructions'!$B$4</f>
        <v>mn610wes</v>
      </c>
      <c r="J118" s="319">
        <f>IFERROR(IF('Prepaid Other'!$A$28="Yes",0,IF(AND(EOMONTH('Prepaid Other'!$E$28,0)&gt;='Input-Instructions'!$B$6,(EOMONTH('Prepaid Other'!$D$28,-1)+1)&lt;='Input-Instructions'!$B$6),'Prepaid Other'!$I$28,0)),0)</f>
        <v>0</v>
      </c>
      <c r="K118" t="str">
        <f>IF('Upload Setup'!$B$3="Chart of Accounts A",IFERROR(VLOOKUP('Prepaid Other'!$B$28,'Mapped COA'!A:G,1,0),'Prepaid Other'!$B$28),IFERROR(VLOOKUP('Prepaid Other'!$B$28,'Mapped COA'!A:G,3,0),'Prepaid Other'!$B$28))</f>
        <v>54025-000</v>
      </c>
      <c r="N118">
        <v>1</v>
      </c>
      <c r="O118" t="str">
        <f>_xlfn.TEXTJOIN(" ",TRUE,TEXT('Input-Instructions'!$B$6,"MM/YYYY"),"Prepaid",'Prepaid Other'!$F$28,"Amortization")</f>
        <v>07/2026 Prepaid February Jonah Systems Amortization</v>
      </c>
      <c r="P118">
        <v>0</v>
      </c>
      <c r="Q118" s="293"/>
      <c r="R118" s="293"/>
      <c r="S118" s="293"/>
      <c r="T118" s="293"/>
      <c r="U118" s="293"/>
      <c r="V118" s="293"/>
      <c r="W118" s="293"/>
      <c r="X118" s="293"/>
      <c r="Y118" s="293"/>
    </row>
    <row r="119" spans="1:25" x14ac:dyDescent="0.25">
      <c r="A119" t="s">
        <v>1882</v>
      </c>
      <c r="B119">
        <v>1</v>
      </c>
      <c r="E119" s="260">
        <f>'Input-Instructions'!$B$6</f>
        <v>46204</v>
      </c>
      <c r="F119" s="260">
        <f>'Input-Instructions'!$B$6</f>
        <v>46204</v>
      </c>
      <c r="G119" t="str">
        <f t="shared" si="1"/>
        <v>July Recurring Entries</v>
      </c>
      <c r="H119" t="s">
        <v>1883</v>
      </c>
      <c r="I119" t="str">
        <f>'Input-Instructions'!$B$4</f>
        <v>mn610wes</v>
      </c>
      <c r="J119" s="319">
        <f>IFERROR(IF('Prepaid Other'!$A$28="Yes",0,IF(AND(EOMONTH('Prepaid Other'!$E$28,0)&gt;='Input-Instructions'!$B$6,(EOMONTH('Prepaid Other'!$D$28,-1)+1)&lt;='Input-Instructions'!$B$6),-'Prepaid Other'!$I$28,0)),0)</f>
        <v>0</v>
      </c>
      <c r="K119">
        <f>IF('Upload Setup'!$B$3="Chart of Accounts A",IFERROR(VLOOKUP('Upload Setup'!$C$21,'Mapped COA'!A:G,1,0),'Upload Setup'!$C$21),IFERROR(VLOOKUP('Upload Setup'!$C$21,'Mapped COA'!A:G,3,0),'Upload Setup'!$C$21))</f>
        <v>13085</v>
      </c>
      <c r="N119">
        <v>1</v>
      </c>
      <c r="O119" t="str">
        <f>_xlfn.TEXTJOIN(" ",TRUE,TEXT('Input-Instructions'!$B$6,"MM/YYYY"),"Prepaid",'Prepaid Other'!$F$28,"Amortization")</f>
        <v>07/2026 Prepaid February Jonah Systems Amortization</v>
      </c>
      <c r="P119">
        <v>0</v>
      </c>
      <c r="Q119" s="293"/>
      <c r="R119" s="293"/>
      <c r="S119" s="293"/>
      <c r="T119" s="293"/>
      <c r="U119" s="293"/>
      <c r="V119" s="293"/>
      <c r="W119" s="293"/>
      <c r="X119" s="293"/>
      <c r="Y119" s="293"/>
    </row>
    <row r="120" spans="1:25" x14ac:dyDescent="0.25">
      <c r="A120" t="s">
        <v>1882</v>
      </c>
      <c r="B120">
        <v>1</v>
      </c>
      <c r="E120" s="260">
        <f>'Input-Instructions'!$B$6</f>
        <v>46204</v>
      </c>
      <c r="F120" s="260">
        <f>'Input-Instructions'!$B$6</f>
        <v>46204</v>
      </c>
      <c r="G120" t="str">
        <f t="shared" si="1"/>
        <v>July Recurring Entries</v>
      </c>
      <c r="H120" t="s">
        <v>1883</v>
      </c>
      <c r="I120" t="str">
        <f>'Input-Instructions'!$B$4</f>
        <v>mn610wes</v>
      </c>
      <c r="J120" s="319">
        <f>IFERROR(IF('Prepaid Other'!$A$29="Yes",0,IF(AND(EOMONTH('Prepaid Other'!$E$29,0)&gt;='Input-Instructions'!$B$6,(EOMONTH('Prepaid Other'!$D$29,-1)+1)&lt;='Input-Instructions'!$B$6),'Prepaid Other'!$I$29,0)),0)</f>
        <v>0</v>
      </c>
      <c r="K120" t="str">
        <f>IF('Upload Setup'!$B$3="Chart of Accounts A",IFERROR(VLOOKUP('Prepaid Other'!$B$29,'Mapped COA'!A:G,1,0),'Prepaid Other'!$B$29),IFERROR(VLOOKUP('Prepaid Other'!$B$29,'Mapped COA'!A:G,3,0),'Prepaid Other'!$B$29))</f>
        <v>58115-000</v>
      </c>
      <c r="N120">
        <v>1</v>
      </c>
      <c r="O120" t="str">
        <f>_xlfn.TEXTJOIN(" ",TRUE,TEXT('Input-Instructions'!$B$6,"MM/YYYY"),"Prepaid",'Prepaid Other'!$F$29,"Amortization")</f>
        <v>07/2026 Prepaid 01/01/2026 C&amp;L Annual Package|mn610wes| NATIONAL APARTMENT ASSOCIATION 0752207 |GCB| Amortization</v>
      </c>
      <c r="P120">
        <v>0</v>
      </c>
      <c r="Q120" s="293"/>
      <c r="R120" s="293"/>
      <c r="S120" s="293"/>
      <c r="T120" s="293"/>
      <c r="U120" s="293"/>
      <c r="V120" s="293"/>
      <c r="W120" s="293"/>
      <c r="X120" s="293"/>
      <c r="Y120" s="293"/>
    </row>
    <row r="121" spans="1:25" x14ac:dyDescent="0.25">
      <c r="A121" t="s">
        <v>1882</v>
      </c>
      <c r="B121">
        <v>1</v>
      </c>
      <c r="E121" s="260">
        <f>'Input-Instructions'!$B$6</f>
        <v>46204</v>
      </c>
      <c r="F121" s="260">
        <f>'Input-Instructions'!$B$6</f>
        <v>46204</v>
      </c>
      <c r="G121" t="str">
        <f t="shared" si="1"/>
        <v>July Recurring Entries</v>
      </c>
      <c r="H121" t="s">
        <v>1883</v>
      </c>
      <c r="I121" t="str">
        <f>'Input-Instructions'!$B$4</f>
        <v>mn610wes</v>
      </c>
      <c r="J121" s="319">
        <f>IFERROR(IF('Prepaid Other'!$A$29="Yes",0,IF(AND(EOMONTH('Prepaid Other'!$E$29,0)&gt;='Input-Instructions'!$B$6,(EOMONTH('Prepaid Other'!$D$29,-1)+1)&lt;='Input-Instructions'!$B$6),-'Prepaid Other'!$I$29,0)),0)</f>
        <v>0</v>
      </c>
      <c r="K121">
        <f>IF('Upload Setup'!$B$3="Chart of Accounts A",IFERROR(VLOOKUP('Upload Setup'!$C$21,'Mapped COA'!A:G,1,0),'Upload Setup'!$C$21),IFERROR(VLOOKUP('Upload Setup'!$C$21,'Mapped COA'!A:G,3,0),'Upload Setup'!$C$21))</f>
        <v>13085</v>
      </c>
      <c r="N121">
        <v>1</v>
      </c>
      <c r="O121" t="str">
        <f>_xlfn.TEXTJOIN(" ",TRUE,TEXT('Input-Instructions'!$B$6,"MM/YYYY"),"Prepaid",'Prepaid Other'!$F$29,"Amortization")</f>
        <v>07/2026 Prepaid 01/01/2026 C&amp;L Annual Package|mn610wes| NATIONAL APARTMENT ASSOCIATION 0752207 |GCB| Amortization</v>
      </c>
      <c r="P121">
        <v>0</v>
      </c>
      <c r="Q121" s="293"/>
      <c r="R121" s="293"/>
      <c r="S121" s="293"/>
      <c r="T121" s="293"/>
      <c r="U121" s="293"/>
      <c r="V121" s="293"/>
      <c r="W121" s="293"/>
      <c r="X121" s="293"/>
      <c r="Y121" s="293"/>
    </row>
    <row r="122" spans="1:25" x14ac:dyDescent="0.25">
      <c r="A122" t="s">
        <v>1882</v>
      </c>
      <c r="B122">
        <v>1</v>
      </c>
      <c r="E122" s="260">
        <f>'Input-Instructions'!$B$6</f>
        <v>46204</v>
      </c>
      <c r="F122" s="260">
        <f>'Input-Instructions'!$B$6</f>
        <v>46204</v>
      </c>
      <c r="G122" t="str">
        <f t="shared" si="1"/>
        <v>July Recurring Entries</v>
      </c>
      <c r="H122" t="s">
        <v>1883</v>
      </c>
      <c r="I122" t="str">
        <f>'Input-Instructions'!$B$4</f>
        <v>mn610wes</v>
      </c>
      <c r="J122" s="319">
        <f>IFERROR(IF('Prepaid Other'!$A$30="Yes",0,IF(AND(EOMONTH('Prepaid Other'!$E$30,0)&gt;='Input-Instructions'!$B$6,(EOMONTH('Prepaid Other'!$D$30,-1)+1)&lt;='Input-Instructions'!$B$6),'Prepaid Other'!$I$30,0)),0)</f>
        <v>0</v>
      </c>
      <c r="K122">
        <f>IF('Upload Setup'!$B$3="Chart of Accounts A",IFERROR(VLOOKUP('Prepaid Other'!$B$30,'Mapped COA'!A:G,1,0),'Prepaid Other'!$B$30),IFERROR(VLOOKUP('Prepaid Other'!$B$30,'Mapped COA'!A:G,3,0),'Prepaid Other'!$B$30))</f>
        <v>0</v>
      </c>
      <c r="N122">
        <v>1</v>
      </c>
      <c r="O122" t="str">
        <f>_xlfn.TEXTJOIN(" ",TRUE,TEXT('Input-Instructions'!$B$6,"MM/YYYY"),"Prepaid",'Prepaid Other'!$F$30,"Amortization")</f>
        <v>07/2026 Prepaid Amortization</v>
      </c>
      <c r="P122">
        <v>0</v>
      </c>
      <c r="Q122" s="293"/>
      <c r="R122" s="293"/>
      <c r="S122" s="293"/>
      <c r="T122" s="293"/>
      <c r="U122" s="293"/>
      <c r="V122" s="293"/>
      <c r="W122" s="293"/>
      <c r="X122" s="293"/>
      <c r="Y122" s="293"/>
    </row>
    <row r="123" spans="1:25" x14ac:dyDescent="0.25">
      <c r="A123" t="s">
        <v>1882</v>
      </c>
      <c r="B123">
        <v>1</v>
      </c>
      <c r="E123" s="260">
        <f>'Input-Instructions'!$B$6</f>
        <v>46204</v>
      </c>
      <c r="F123" s="260">
        <f>'Input-Instructions'!$B$6</f>
        <v>46204</v>
      </c>
      <c r="G123" t="str">
        <f t="shared" si="1"/>
        <v>July Recurring Entries</v>
      </c>
      <c r="H123" t="s">
        <v>1883</v>
      </c>
      <c r="I123" t="str">
        <f>'Input-Instructions'!$B$4</f>
        <v>mn610wes</v>
      </c>
      <c r="J123" s="319">
        <f>IFERROR(IF('Prepaid Other'!$A$30="Yes",0,IF(AND(EOMONTH('Prepaid Other'!$E$30,0)&gt;='Input-Instructions'!$B$6,(EOMONTH('Prepaid Other'!$D$30,-1)+1)&lt;='Input-Instructions'!$B$6),-'Prepaid Other'!$I$30,0)),0)</f>
        <v>0</v>
      </c>
      <c r="K123">
        <f>IF('Upload Setup'!$B$3="Chart of Accounts A",IFERROR(VLOOKUP('Upload Setup'!$C$21,'Mapped COA'!A:G,1,0),'Upload Setup'!$C$21),IFERROR(VLOOKUP('Upload Setup'!$C$21,'Mapped COA'!A:G,3,0),'Upload Setup'!$C$21))</f>
        <v>13085</v>
      </c>
      <c r="N123">
        <v>1</v>
      </c>
      <c r="O123" t="str">
        <f>_xlfn.TEXTJOIN(" ",TRUE,TEXT('Input-Instructions'!$B$6,"MM/YYYY"),"Prepaid",'Prepaid Other'!$F$30,"Amortization")</f>
        <v>07/2026 Prepaid Amortization</v>
      </c>
      <c r="P123">
        <v>0</v>
      </c>
      <c r="Q123" s="293"/>
      <c r="R123" s="293"/>
      <c r="S123" s="293"/>
      <c r="T123" s="293"/>
      <c r="U123" s="293"/>
      <c r="V123" s="293"/>
      <c r="W123" s="293"/>
      <c r="X123" s="293"/>
      <c r="Y123" s="293"/>
    </row>
    <row r="124" spans="1:25" x14ac:dyDescent="0.25">
      <c r="A124" t="s">
        <v>1882</v>
      </c>
      <c r="B124">
        <v>1</v>
      </c>
      <c r="E124" s="260">
        <f>'Input-Instructions'!$B$6</f>
        <v>46204</v>
      </c>
      <c r="F124" s="260">
        <f>'Input-Instructions'!$B$6</f>
        <v>46204</v>
      </c>
      <c r="G124" t="str">
        <f t="shared" si="1"/>
        <v>July Recurring Entries</v>
      </c>
      <c r="H124" t="s">
        <v>1883</v>
      </c>
      <c r="I124" t="str">
        <f>'Input-Instructions'!$B$4</f>
        <v>mn610wes</v>
      </c>
      <c r="J124" s="319">
        <f>IFERROR(IF('Prepaid Other'!$A$31="Yes",0,IF(AND(EOMONTH('Prepaid Other'!$E$31,0)&gt;='Input-Instructions'!$B$6,(EOMONTH('Prepaid Other'!$D$31,-1)+1)&lt;='Input-Instructions'!$B$6),'Prepaid Other'!$I$31,0)),0)</f>
        <v>0</v>
      </c>
      <c r="K124">
        <f>IF('Upload Setup'!$B$3="Chart of Accounts A",IFERROR(VLOOKUP('Prepaid Other'!$B$31,'Mapped COA'!A:G,1,0),'Prepaid Other'!$B$31),IFERROR(VLOOKUP('Prepaid Other'!$B$31,'Mapped COA'!A:G,3,0),'Prepaid Other'!$B$31))</f>
        <v>0</v>
      </c>
      <c r="N124">
        <v>1</v>
      </c>
      <c r="O124" t="str">
        <f>_xlfn.TEXTJOIN(" ",TRUE,TEXT('Input-Instructions'!$B$6,"MM/YYYY"),"Prepaid",'Prepaid Other'!$F$31,"Amortization")</f>
        <v>07/2026 Prepaid Amortization</v>
      </c>
      <c r="P124">
        <v>0</v>
      </c>
      <c r="Q124" s="293"/>
      <c r="R124" s="293"/>
      <c r="S124" s="293"/>
      <c r="T124" s="293"/>
      <c r="U124" s="293"/>
      <c r="V124" s="293"/>
      <c r="W124" s="293"/>
      <c r="X124" s="293"/>
      <c r="Y124" s="293"/>
    </row>
    <row r="125" spans="1:25" x14ac:dyDescent="0.25">
      <c r="A125" t="s">
        <v>1882</v>
      </c>
      <c r="B125">
        <v>1</v>
      </c>
      <c r="E125" s="260">
        <f>'Input-Instructions'!$B$6</f>
        <v>46204</v>
      </c>
      <c r="F125" s="260">
        <f>'Input-Instructions'!$B$6</f>
        <v>46204</v>
      </c>
      <c r="G125" t="str">
        <f t="shared" si="1"/>
        <v>July Recurring Entries</v>
      </c>
      <c r="H125" t="s">
        <v>1883</v>
      </c>
      <c r="I125" t="str">
        <f>'Input-Instructions'!$B$4</f>
        <v>mn610wes</v>
      </c>
      <c r="J125" s="319">
        <f>IFERROR(IF('Prepaid Other'!$A$31="Yes",0,IF(AND(EOMONTH('Prepaid Other'!$E$31,0)&gt;='Input-Instructions'!$B$6,(EOMONTH('Prepaid Other'!$D$31,-1)+1)&lt;='Input-Instructions'!$B$6),-'Prepaid Other'!$I$31,0)),0)</f>
        <v>0</v>
      </c>
      <c r="K125">
        <f>IF('Upload Setup'!$B$3="Chart of Accounts A",IFERROR(VLOOKUP('Upload Setup'!$C$21,'Mapped COA'!A:G,1,0),'Upload Setup'!$C$21),IFERROR(VLOOKUP('Upload Setup'!$C$21,'Mapped COA'!A:G,3,0),'Upload Setup'!$C$21))</f>
        <v>13085</v>
      </c>
      <c r="N125">
        <v>1</v>
      </c>
      <c r="O125" t="str">
        <f>_xlfn.TEXTJOIN(" ",TRUE,TEXT('Input-Instructions'!$B$6,"MM/YYYY"),"Prepaid",'Prepaid Other'!$F$31,"Amortization")</f>
        <v>07/2026 Prepaid Amortization</v>
      </c>
      <c r="P125">
        <v>0</v>
      </c>
      <c r="Q125" s="293"/>
      <c r="R125" s="293"/>
      <c r="S125" s="293"/>
      <c r="T125" s="293"/>
      <c r="U125" s="293"/>
      <c r="V125" s="293"/>
      <c r="W125" s="293"/>
      <c r="X125" s="293"/>
      <c r="Y125" s="293"/>
    </row>
    <row r="126" spans="1:25" x14ac:dyDescent="0.25">
      <c r="A126" t="s">
        <v>1882</v>
      </c>
      <c r="B126">
        <v>1</v>
      </c>
      <c r="E126" s="260">
        <f>'Input-Instructions'!$B$6</f>
        <v>46204</v>
      </c>
      <c r="F126" s="260">
        <f>'Input-Instructions'!$B$6</f>
        <v>46204</v>
      </c>
      <c r="G126" t="str">
        <f t="shared" si="1"/>
        <v>July Recurring Entries</v>
      </c>
      <c r="H126" t="s">
        <v>1883</v>
      </c>
      <c r="I126" t="str">
        <f>'Input-Instructions'!$B$4</f>
        <v>mn610wes</v>
      </c>
      <c r="J126" s="319">
        <f>IFERROR(IF('Prepaid Other'!$A$32="Yes",0,IF(AND(EOMONTH('Prepaid Other'!$E$32,0)&gt;='Input-Instructions'!$B$6,(EOMONTH('Prepaid Other'!$D$32,-1)+1)&lt;='Input-Instructions'!$B$6),'Prepaid Other'!$I$32,0)),0)</f>
        <v>0</v>
      </c>
      <c r="K126">
        <f>IF('Upload Setup'!$B$3="Chart of Accounts A",IFERROR(VLOOKUP('Prepaid Other'!$B$32,'Mapped COA'!A:G,1,0),'Prepaid Other'!$B$32),IFERROR(VLOOKUP('Prepaid Other'!$B$32,'Mapped COA'!A:G,3,0),'Prepaid Other'!$B$32))</f>
        <v>0</v>
      </c>
      <c r="N126">
        <v>1</v>
      </c>
      <c r="O126" t="str">
        <f>_xlfn.TEXTJOIN(" ",TRUE,TEXT('Input-Instructions'!$B$6,"MM/YYYY"),"Prepaid",'Prepaid Other'!$F$32,"Amortization")</f>
        <v>07/2026 Prepaid Amortization</v>
      </c>
      <c r="P126">
        <v>0</v>
      </c>
      <c r="Q126" s="293"/>
      <c r="R126" s="293"/>
      <c r="S126" s="293"/>
      <c r="T126" s="293"/>
      <c r="U126" s="293"/>
      <c r="V126" s="293"/>
      <c r="W126" s="293"/>
      <c r="X126" s="293"/>
      <c r="Y126" s="293"/>
    </row>
    <row r="127" spans="1:25" x14ac:dyDescent="0.25">
      <c r="A127" t="s">
        <v>1882</v>
      </c>
      <c r="B127">
        <v>1</v>
      </c>
      <c r="E127" s="260">
        <f>'Input-Instructions'!$B$6</f>
        <v>46204</v>
      </c>
      <c r="F127" s="260">
        <f>'Input-Instructions'!$B$6</f>
        <v>46204</v>
      </c>
      <c r="G127" t="str">
        <f t="shared" si="1"/>
        <v>July Recurring Entries</v>
      </c>
      <c r="H127" t="s">
        <v>1883</v>
      </c>
      <c r="I127" t="str">
        <f>'Input-Instructions'!$B$4</f>
        <v>mn610wes</v>
      </c>
      <c r="J127" s="319">
        <f>IFERROR(IF('Prepaid Other'!$A$32="Yes",0,IF(AND(EOMONTH('Prepaid Other'!$E$32,0)&gt;='Input-Instructions'!$B$6,(EOMONTH('Prepaid Other'!$D$32,-1)+1)&lt;='Input-Instructions'!$B$6),-'Prepaid Other'!$I$32,0)),0)</f>
        <v>0</v>
      </c>
      <c r="K127">
        <f>IF('Upload Setup'!$B$3="Chart of Accounts A",IFERROR(VLOOKUP('Upload Setup'!$C$21,'Mapped COA'!A:G,1,0),'Upload Setup'!$C$21),IFERROR(VLOOKUP('Upload Setup'!$C$21,'Mapped COA'!A:G,3,0),'Upload Setup'!$C$21))</f>
        <v>13085</v>
      </c>
      <c r="N127">
        <v>1</v>
      </c>
      <c r="O127" t="str">
        <f>_xlfn.TEXTJOIN(" ",TRUE,TEXT('Input-Instructions'!$B$6,"MM/YYYY"),"Prepaid",'Prepaid Other'!$F$32,"Amortization")</f>
        <v>07/2026 Prepaid Amortization</v>
      </c>
      <c r="P127">
        <v>0</v>
      </c>
      <c r="Q127" s="293"/>
      <c r="R127" s="293"/>
      <c r="S127" s="293"/>
      <c r="T127" s="293"/>
      <c r="U127" s="293"/>
      <c r="V127" s="293"/>
      <c r="W127" s="293"/>
      <c r="X127" s="293"/>
      <c r="Y127" s="293"/>
    </row>
    <row r="128" spans="1:25" x14ac:dyDescent="0.25">
      <c r="A128" t="s">
        <v>1882</v>
      </c>
      <c r="B128">
        <v>1</v>
      </c>
      <c r="E128" s="260">
        <f>'Input-Instructions'!$B$6</f>
        <v>46204</v>
      </c>
      <c r="F128" s="260">
        <f>'Input-Instructions'!$B$6</f>
        <v>46204</v>
      </c>
      <c r="G128" t="str">
        <f t="shared" si="1"/>
        <v>July Recurring Entries</v>
      </c>
      <c r="H128" t="s">
        <v>1883</v>
      </c>
      <c r="I128" t="str">
        <f>'Input-Instructions'!$B$4</f>
        <v>mn610wes</v>
      </c>
      <c r="J128" s="319">
        <f>IFERROR(IF('Prepaid Other'!$A$33="Yes",0,IF(AND(EOMONTH('Prepaid Other'!$E$33,0)&gt;='Input-Instructions'!$B$6,(EOMONTH('Prepaid Other'!$D$33,-1)+1)&lt;='Input-Instructions'!$B$6),'Prepaid Other'!$I$33,0)),0)</f>
        <v>0</v>
      </c>
      <c r="K128">
        <f>IF('Upload Setup'!$B$3="Chart of Accounts A",IFERROR(VLOOKUP('Prepaid Other'!$B$33,'Mapped COA'!A:G,1,0),'Prepaid Other'!$B$33),IFERROR(VLOOKUP('Prepaid Other'!$B$33,'Mapped COA'!A:G,3,0),'Prepaid Other'!$B$33))</f>
        <v>0</v>
      </c>
      <c r="N128">
        <v>1</v>
      </c>
      <c r="O128" t="str">
        <f>_xlfn.TEXTJOIN(" ",TRUE,TEXT('Input-Instructions'!$B$6,"MM/YYYY"),"Prepaid",'Prepaid Other'!$F$33,"Amortization")</f>
        <v>07/2026 Prepaid Amortization</v>
      </c>
      <c r="P128">
        <v>0</v>
      </c>
      <c r="Q128" s="293"/>
      <c r="R128" s="293"/>
      <c r="S128" s="293"/>
      <c r="T128" s="293"/>
      <c r="U128" s="293"/>
      <c r="V128" s="293"/>
      <c r="W128" s="293"/>
      <c r="X128" s="293"/>
      <c r="Y128" s="293"/>
    </row>
    <row r="129" spans="1:25" x14ac:dyDescent="0.25">
      <c r="A129" t="s">
        <v>1882</v>
      </c>
      <c r="B129">
        <v>1</v>
      </c>
      <c r="E129" s="260">
        <f>'Input-Instructions'!$B$6</f>
        <v>46204</v>
      </c>
      <c r="F129" s="260">
        <f>'Input-Instructions'!$B$6</f>
        <v>46204</v>
      </c>
      <c r="G129" t="str">
        <f t="shared" si="1"/>
        <v>July Recurring Entries</v>
      </c>
      <c r="H129" t="s">
        <v>1883</v>
      </c>
      <c r="I129" t="str">
        <f>'Input-Instructions'!$B$4</f>
        <v>mn610wes</v>
      </c>
      <c r="J129" s="319">
        <f>IFERROR(IF('Prepaid Other'!$A$33="Yes",0,IF(AND(EOMONTH('Prepaid Other'!$E$33,0)&gt;='Input-Instructions'!$B$6,(EOMONTH('Prepaid Other'!$D$33,-1)+1)&lt;='Input-Instructions'!$B$6),-'Prepaid Other'!$I$33,0)),0)</f>
        <v>0</v>
      </c>
      <c r="K129">
        <f>IF('Upload Setup'!$B$3="Chart of Accounts A",IFERROR(VLOOKUP('Upload Setup'!$C$21,'Mapped COA'!A:G,1,0),'Upload Setup'!$C$21),IFERROR(VLOOKUP('Upload Setup'!$C$21,'Mapped COA'!A:G,3,0),'Upload Setup'!$C$21))</f>
        <v>13085</v>
      </c>
      <c r="N129">
        <v>1</v>
      </c>
      <c r="O129" t="str">
        <f>_xlfn.TEXTJOIN(" ",TRUE,TEXT('Input-Instructions'!$B$6,"MM/YYYY"),"Prepaid",'Prepaid Other'!$F$33,"Amortization")</f>
        <v>07/2026 Prepaid Amortization</v>
      </c>
      <c r="P129">
        <v>0</v>
      </c>
      <c r="Q129" s="293"/>
      <c r="R129" s="293"/>
      <c r="S129" s="293"/>
      <c r="T129" s="293"/>
      <c r="U129" s="293"/>
      <c r="V129" s="293"/>
      <c r="W129" s="293"/>
      <c r="X129" s="293"/>
      <c r="Y129" s="293"/>
    </row>
    <row r="130" spans="1:25" x14ac:dyDescent="0.25">
      <c r="A130" t="s">
        <v>1882</v>
      </c>
      <c r="B130">
        <v>1</v>
      </c>
      <c r="E130" s="260">
        <f>'Input-Instructions'!$B$6</f>
        <v>46204</v>
      </c>
      <c r="F130" s="260">
        <f>'Input-Instructions'!$B$6</f>
        <v>46204</v>
      </c>
      <c r="G130" t="str">
        <f t="shared" si="1"/>
        <v>July Recurring Entries</v>
      </c>
      <c r="H130" t="s">
        <v>1883</v>
      </c>
      <c r="I130" t="str">
        <f>'Input-Instructions'!$B$4</f>
        <v>mn610wes</v>
      </c>
      <c r="J130" s="319">
        <f>IFERROR(IF('Prepaid Other'!$A$34="Yes",0,IF(AND(EOMONTH('Prepaid Other'!$E$34,0)&gt;='Input-Instructions'!$B$6,(EOMONTH('Prepaid Other'!$D$34,-1)+1)&lt;='Input-Instructions'!$B$6),'Prepaid Other'!$I$34,0)),0)</f>
        <v>0</v>
      </c>
      <c r="K130">
        <f>IF('Upload Setup'!$B$3="Chart of Accounts A",IFERROR(VLOOKUP('Prepaid Other'!$B$34,'Mapped COA'!A:G,1,0),'Prepaid Other'!$B$34),IFERROR(VLOOKUP('Prepaid Other'!$B$34,'Mapped COA'!A:G,3,0),'Prepaid Other'!$B$34))</f>
        <v>0</v>
      </c>
      <c r="N130">
        <v>1</v>
      </c>
      <c r="O130" t="str">
        <f>_xlfn.TEXTJOIN(" ",TRUE,TEXT('Input-Instructions'!$B$6,"MM/YYYY"),"Prepaid",'Prepaid Other'!$F$34,"Amortization")</f>
        <v>07/2026 Prepaid Amortization</v>
      </c>
      <c r="P130">
        <v>0</v>
      </c>
      <c r="Q130" s="293"/>
      <c r="R130" s="293"/>
      <c r="S130" s="293"/>
      <c r="T130" s="293"/>
      <c r="U130" s="293"/>
      <c r="V130" s="293"/>
      <c r="W130" s="293"/>
      <c r="X130" s="293"/>
      <c r="Y130" s="293"/>
    </row>
    <row r="131" spans="1:25" x14ac:dyDescent="0.25">
      <c r="A131" t="s">
        <v>1882</v>
      </c>
      <c r="B131">
        <v>1</v>
      </c>
      <c r="E131" s="260">
        <f>'Input-Instructions'!$B$6</f>
        <v>46204</v>
      </c>
      <c r="F131" s="260">
        <f>'Input-Instructions'!$B$6</f>
        <v>46204</v>
      </c>
      <c r="G131" t="str">
        <f t="shared" si="1"/>
        <v>July Recurring Entries</v>
      </c>
      <c r="H131" t="s">
        <v>1883</v>
      </c>
      <c r="I131" t="str">
        <f>'Input-Instructions'!$B$4</f>
        <v>mn610wes</v>
      </c>
      <c r="J131" s="319">
        <f>IFERROR(IF('Prepaid Other'!$A$34="Yes",0,IF(AND(EOMONTH('Prepaid Other'!$E$34,0)&gt;='Input-Instructions'!$B$6,(EOMONTH('Prepaid Other'!$D$34,-1)+1)&lt;='Input-Instructions'!$B$6),-'Prepaid Other'!$I$34,0)),0)</f>
        <v>0</v>
      </c>
      <c r="K131">
        <f>IF('Upload Setup'!$B$3="Chart of Accounts A",IFERROR(VLOOKUP('Upload Setup'!$C$21,'Mapped COA'!A:G,1,0),'Upload Setup'!$C$21),IFERROR(VLOOKUP('Upload Setup'!$C$21,'Mapped COA'!A:G,3,0),'Upload Setup'!$C$21))</f>
        <v>13085</v>
      </c>
      <c r="N131">
        <v>1</v>
      </c>
      <c r="O131" t="str">
        <f>_xlfn.TEXTJOIN(" ",TRUE,TEXT('Input-Instructions'!$B$6,"MM/YYYY"),"Prepaid",'Prepaid Other'!$F$34,"Amortization")</f>
        <v>07/2026 Prepaid Amortization</v>
      </c>
      <c r="P131">
        <v>0</v>
      </c>
      <c r="Q131" s="293"/>
      <c r="R131" s="293"/>
      <c r="S131" s="293"/>
      <c r="T131" s="293"/>
      <c r="U131" s="293"/>
      <c r="V131" s="293"/>
      <c r="W131" s="293"/>
      <c r="X131" s="293"/>
      <c r="Y131" s="293"/>
    </row>
    <row r="132" spans="1:25" x14ac:dyDescent="0.25">
      <c r="A132" t="s">
        <v>1882</v>
      </c>
      <c r="B132">
        <v>1</v>
      </c>
      <c r="E132" s="260">
        <f>'Input-Instructions'!$B$6</f>
        <v>46204</v>
      </c>
      <c r="F132" s="260">
        <f>'Input-Instructions'!$B$6</f>
        <v>46204</v>
      </c>
      <c r="G132" t="str">
        <f t="shared" si="1"/>
        <v>July Recurring Entries</v>
      </c>
      <c r="H132" t="s">
        <v>1883</v>
      </c>
      <c r="I132" t="str">
        <f>'Input-Instructions'!$B$4</f>
        <v>mn610wes</v>
      </c>
      <c r="J132" s="319">
        <f>IFERROR(IF('Prepaid Other'!$A$35="Yes",0,IF(AND(EOMONTH('Prepaid Other'!$E$35,0)&gt;='Input-Instructions'!$B$6,(EOMONTH('Prepaid Other'!$D$35,-1)+1)&lt;='Input-Instructions'!$B$6),'Prepaid Other'!$I$35,0)),0)</f>
        <v>0</v>
      </c>
      <c r="K132">
        <f>IF('Upload Setup'!$B$3="Chart of Accounts A",IFERROR(VLOOKUP('Prepaid Other'!$B$35,'Mapped COA'!A:G,1,0),'Prepaid Other'!$B$35),IFERROR(VLOOKUP('Prepaid Other'!$B$35,'Mapped COA'!A:G,3,0),'Prepaid Other'!$B$35))</f>
        <v>0</v>
      </c>
      <c r="N132">
        <v>1</v>
      </c>
      <c r="O132" t="str">
        <f>_xlfn.TEXTJOIN(" ",TRUE,TEXT('Input-Instructions'!$B$6,"MM/YYYY"),"Prepaid",'Prepaid Other'!$F$35,"Amortization")</f>
        <v>07/2026 Prepaid Amortization</v>
      </c>
      <c r="P132">
        <v>0</v>
      </c>
      <c r="Q132" s="293"/>
      <c r="R132" s="293"/>
      <c r="S132" s="293"/>
      <c r="T132" s="293"/>
      <c r="U132" s="293"/>
      <c r="V132" s="293"/>
      <c r="W132" s="293"/>
      <c r="X132" s="293"/>
      <c r="Y132" s="293"/>
    </row>
    <row r="133" spans="1:25" x14ac:dyDescent="0.25">
      <c r="A133" t="s">
        <v>1882</v>
      </c>
      <c r="B133">
        <v>1</v>
      </c>
      <c r="E133" s="260">
        <f>'Input-Instructions'!$B$6</f>
        <v>46204</v>
      </c>
      <c r="F133" s="260">
        <f>'Input-Instructions'!$B$6</f>
        <v>46204</v>
      </c>
      <c r="G133" t="str">
        <f t="shared" si="1"/>
        <v>July Recurring Entries</v>
      </c>
      <c r="H133" t="s">
        <v>1883</v>
      </c>
      <c r="I133" t="str">
        <f>'Input-Instructions'!$B$4</f>
        <v>mn610wes</v>
      </c>
      <c r="J133" s="319">
        <f>IFERROR(IF('Prepaid Other'!$A$35="Yes",0,IF(AND(EOMONTH('Prepaid Other'!$E$35,0)&gt;='Input-Instructions'!$B$6,(EOMONTH('Prepaid Other'!$D$35,-1)+1)&lt;='Input-Instructions'!$B$6),-'Prepaid Other'!$I$35,0)),0)</f>
        <v>0</v>
      </c>
      <c r="K133">
        <f>IF('Upload Setup'!$B$3="Chart of Accounts A",IFERROR(VLOOKUP('Upload Setup'!$C$21,'Mapped COA'!A:G,1,0),'Upload Setup'!$C$21),IFERROR(VLOOKUP('Upload Setup'!$C$21,'Mapped COA'!A:G,3,0),'Upload Setup'!$C$21))</f>
        <v>13085</v>
      </c>
      <c r="N133">
        <v>1</v>
      </c>
      <c r="O133" t="str">
        <f>_xlfn.TEXTJOIN(" ",TRUE,TEXT('Input-Instructions'!$B$6,"MM/YYYY"),"Prepaid",'Prepaid Other'!$F$35,"Amortization")</f>
        <v>07/2026 Prepaid Amortization</v>
      </c>
      <c r="P133">
        <v>0</v>
      </c>
      <c r="Q133" s="293"/>
      <c r="R133" s="293"/>
      <c r="S133" s="293"/>
      <c r="T133" s="293"/>
      <c r="U133" s="293"/>
      <c r="V133" s="293"/>
      <c r="W133" s="293"/>
      <c r="X133" s="293"/>
      <c r="Y133" s="293"/>
    </row>
    <row r="134" spans="1:25" x14ac:dyDescent="0.25">
      <c r="A134" t="s">
        <v>1882</v>
      </c>
      <c r="B134">
        <v>1</v>
      </c>
      <c r="E134" s="260">
        <f>'Input-Instructions'!$B$6</f>
        <v>46204</v>
      </c>
      <c r="F134" s="260">
        <f>'Input-Instructions'!$B$6</f>
        <v>46204</v>
      </c>
      <c r="G134" t="str">
        <f t="shared" si="1"/>
        <v>July Recurring Entries</v>
      </c>
      <c r="H134" t="s">
        <v>1883</v>
      </c>
      <c r="I134" t="str">
        <f>'Input-Instructions'!$B$4</f>
        <v>mn610wes</v>
      </c>
      <c r="J134" s="319">
        <f>IFERROR(IF('Prepaid Other'!$A$36="Yes",0,IF(AND(EOMONTH('Prepaid Other'!$E$36,0)&gt;='Input-Instructions'!$B$6,(EOMONTH('Prepaid Other'!$D$36,-1)+1)&lt;='Input-Instructions'!$B$6),'Prepaid Other'!$I$36,0)),0)</f>
        <v>0</v>
      </c>
      <c r="K134">
        <f>IF('Upload Setup'!$B$3="Chart of Accounts A",IFERROR(VLOOKUP('Prepaid Other'!$B$36,'Mapped COA'!A:G,1,0),'Prepaid Other'!$B$36),IFERROR(VLOOKUP('Prepaid Other'!$B$36,'Mapped COA'!A:G,3,0),'Prepaid Other'!$B$36))</f>
        <v>0</v>
      </c>
      <c r="N134">
        <v>1</v>
      </c>
      <c r="O134" t="str">
        <f>_xlfn.TEXTJOIN(" ",TRUE,TEXT('Input-Instructions'!$B$6,"MM/YYYY"),"Prepaid",'Prepaid Other'!$F$36,"Amortization")</f>
        <v>07/2026 Prepaid Amortization</v>
      </c>
      <c r="P134">
        <v>0</v>
      </c>
      <c r="Q134" s="293"/>
      <c r="R134" s="293"/>
      <c r="S134" s="293"/>
      <c r="T134" s="293"/>
      <c r="U134" s="293"/>
      <c r="V134" s="293"/>
      <c r="W134" s="293"/>
      <c r="X134" s="293"/>
      <c r="Y134" s="293"/>
    </row>
    <row r="135" spans="1:25" x14ac:dyDescent="0.25">
      <c r="A135" t="s">
        <v>1882</v>
      </c>
      <c r="B135">
        <v>1</v>
      </c>
      <c r="E135" s="260">
        <f>'Input-Instructions'!$B$6</f>
        <v>46204</v>
      </c>
      <c r="F135" s="260">
        <f>'Input-Instructions'!$B$6</f>
        <v>46204</v>
      </c>
      <c r="G135" t="str">
        <f t="shared" si="1"/>
        <v>July Recurring Entries</v>
      </c>
      <c r="H135" t="s">
        <v>1883</v>
      </c>
      <c r="I135" t="str">
        <f>'Input-Instructions'!$B$4</f>
        <v>mn610wes</v>
      </c>
      <c r="J135" s="319">
        <f>IFERROR(IF('Prepaid Other'!$A$36="Yes",0,IF(AND(EOMONTH('Prepaid Other'!$E$36,0)&gt;='Input-Instructions'!$B$6,(EOMONTH('Prepaid Other'!$D$36,-1)+1)&lt;='Input-Instructions'!$B$6),-'Prepaid Other'!$I$36,0)),0)</f>
        <v>0</v>
      </c>
      <c r="K135">
        <f>IF('Upload Setup'!$B$3="Chart of Accounts A",IFERROR(VLOOKUP('Upload Setup'!$C$21,'Mapped COA'!A:G,1,0),'Upload Setup'!$C$21),IFERROR(VLOOKUP('Upload Setup'!$C$21,'Mapped COA'!A:G,3,0),'Upload Setup'!$C$21))</f>
        <v>13085</v>
      </c>
      <c r="N135">
        <v>1</v>
      </c>
      <c r="O135" t="str">
        <f>_xlfn.TEXTJOIN(" ",TRUE,TEXT('Input-Instructions'!$B$6,"MM/YYYY"),"Prepaid",'Prepaid Other'!$F$36,"Amortization")</f>
        <v>07/2026 Prepaid Amortization</v>
      </c>
      <c r="P135">
        <v>0</v>
      </c>
      <c r="Q135" s="293"/>
      <c r="R135" s="293"/>
      <c r="S135" s="293"/>
      <c r="T135" s="293"/>
      <c r="U135" s="293"/>
      <c r="V135" s="293"/>
      <c r="W135" s="293"/>
      <c r="X135" s="293"/>
      <c r="Y135" s="293"/>
    </row>
    <row r="136" spans="1:25" x14ac:dyDescent="0.25">
      <c r="A136" t="s">
        <v>1882</v>
      </c>
      <c r="B136">
        <v>1</v>
      </c>
      <c r="E136" s="260">
        <f>'Input-Instructions'!$B$6</f>
        <v>46204</v>
      </c>
      <c r="F136" s="260">
        <f>'Input-Instructions'!$B$6</f>
        <v>46204</v>
      </c>
      <c r="G136" t="str">
        <f t="shared" si="1"/>
        <v>July Recurring Entries</v>
      </c>
      <c r="H136" t="s">
        <v>1883</v>
      </c>
      <c r="I136" t="str">
        <f>'Input-Instructions'!$B$4</f>
        <v>mn610wes</v>
      </c>
      <c r="J136" s="319">
        <f>IFERROR(IF('Prepaid Other'!$A$37="Yes",0,IF(AND(EOMONTH('Prepaid Other'!$E$37,0)&gt;='Input-Instructions'!$B$6,(EOMONTH('Prepaid Other'!$D$37,-1)+1)&lt;='Input-Instructions'!$B$6),'Prepaid Other'!$I$37,0)),0)</f>
        <v>0</v>
      </c>
      <c r="K136">
        <f>IF('Upload Setup'!$B$3="Chart of Accounts A",IFERROR(VLOOKUP('Prepaid Other'!$B$37,'Mapped COA'!A:G,1,0),'Prepaid Other'!$B$37),IFERROR(VLOOKUP('Prepaid Other'!$B$37,'Mapped COA'!A:G,3,0),'Prepaid Other'!$B$37))</f>
        <v>0</v>
      </c>
      <c r="N136">
        <v>1</v>
      </c>
      <c r="O136" t="str">
        <f>_xlfn.TEXTJOIN(" ",TRUE,TEXT('Input-Instructions'!$B$6,"MM/YYYY"),"Prepaid",'Prepaid Other'!$F$37,"Amortization")</f>
        <v>07/2026 Prepaid Amortization</v>
      </c>
      <c r="P136">
        <v>0</v>
      </c>
      <c r="Q136" s="293"/>
      <c r="R136" s="293"/>
      <c r="S136" s="293"/>
      <c r="T136" s="293"/>
      <c r="U136" s="293"/>
      <c r="V136" s="293"/>
      <c r="W136" s="293"/>
      <c r="X136" s="293"/>
      <c r="Y136" s="293"/>
    </row>
    <row r="137" spans="1:25" x14ac:dyDescent="0.25">
      <c r="A137" t="s">
        <v>1882</v>
      </c>
      <c r="B137">
        <v>1</v>
      </c>
      <c r="E137" s="260">
        <f>'Input-Instructions'!$B$6</f>
        <v>46204</v>
      </c>
      <c r="F137" s="260">
        <f>'Input-Instructions'!$B$6</f>
        <v>46204</v>
      </c>
      <c r="G137" t="str">
        <f t="shared" si="1"/>
        <v>July Recurring Entries</v>
      </c>
      <c r="H137" t="s">
        <v>1883</v>
      </c>
      <c r="I137" t="str">
        <f>'Input-Instructions'!$B$4</f>
        <v>mn610wes</v>
      </c>
      <c r="J137" s="319">
        <f>IFERROR(IF('Prepaid Other'!$A$37="Yes",0,IF(AND(EOMONTH('Prepaid Other'!$E$37,0)&gt;='Input-Instructions'!$B$6,(EOMONTH('Prepaid Other'!$D$37,-1)+1)&lt;='Input-Instructions'!$B$6),-'Prepaid Other'!$I$37,0)),0)</f>
        <v>0</v>
      </c>
      <c r="K137">
        <f>IF('Upload Setup'!$B$3="Chart of Accounts A",IFERROR(VLOOKUP('Upload Setup'!$C$21,'Mapped COA'!A:G,1,0),'Upload Setup'!$C$21),IFERROR(VLOOKUP('Upload Setup'!$C$21,'Mapped COA'!A:G,3,0),'Upload Setup'!$C$21))</f>
        <v>13085</v>
      </c>
      <c r="N137">
        <v>1</v>
      </c>
      <c r="O137" t="str">
        <f>_xlfn.TEXTJOIN(" ",TRUE,TEXT('Input-Instructions'!$B$6,"MM/YYYY"),"Prepaid",'Prepaid Other'!$F$37,"Amortization")</f>
        <v>07/2026 Prepaid Amortization</v>
      </c>
      <c r="P137">
        <v>0</v>
      </c>
      <c r="Q137" s="293"/>
      <c r="R137" s="293"/>
      <c r="S137" s="293"/>
      <c r="T137" s="293"/>
      <c r="U137" s="293"/>
      <c r="V137" s="293"/>
      <c r="W137" s="293"/>
      <c r="X137" s="293"/>
      <c r="Y137" s="293"/>
    </row>
    <row r="138" spans="1:25" x14ac:dyDescent="0.25">
      <c r="A138" t="s">
        <v>1882</v>
      </c>
      <c r="B138">
        <v>1</v>
      </c>
      <c r="E138" s="260">
        <f>'Input-Instructions'!$B$6</f>
        <v>46204</v>
      </c>
      <c r="F138" s="260">
        <f>'Input-Instructions'!$B$6</f>
        <v>46204</v>
      </c>
      <c r="G138" t="str">
        <f t="shared" si="1"/>
        <v>July Recurring Entries</v>
      </c>
      <c r="H138" t="s">
        <v>1883</v>
      </c>
      <c r="I138" t="str">
        <f>'Input-Instructions'!$B$4</f>
        <v>mn610wes</v>
      </c>
      <c r="J138" s="319">
        <f>IFERROR(IF('Prepaid Other'!$A$38="Yes",0,IF(AND(EOMONTH('Prepaid Other'!$E$38,0)&gt;='Input-Instructions'!$B$6,(EOMONTH('Prepaid Other'!$D$38,-1)+1)&lt;='Input-Instructions'!$B$6),'Prepaid Other'!$I$38,0)),0)</f>
        <v>0</v>
      </c>
      <c r="K138">
        <f>IF('Upload Setup'!$B$3="Chart of Accounts A",IFERROR(VLOOKUP('Prepaid Other'!$B$38,'Mapped COA'!A:G,1,0),'Prepaid Other'!$B$38),IFERROR(VLOOKUP('Prepaid Other'!$B$38,'Mapped COA'!A:G,3,0),'Prepaid Other'!$B$38))</f>
        <v>0</v>
      </c>
      <c r="N138">
        <v>1</v>
      </c>
      <c r="O138" t="str">
        <f>_xlfn.TEXTJOIN(" ",TRUE,TEXT('Input-Instructions'!$B$6,"MM/YYYY"),"Prepaid",'Prepaid Other'!$F$38,"Amortization")</f>
        <v>07/2026 Prepaid Amortization</v>
      </c>
      <c r="P138">
        <v>0</v>
      </c>
      <c r="Q138" s="293"/>
      <c r="R138" s="293"/>
      <c r="S138" s="293"/>
      <c r="T138" s="293"/>
      <c r="U138" s="293"/>
      <c r="V138" s="293"/>
      <c r="W138" s="293"/>
      <c r="X138" s="293"/>
      <c r="Y138" s="293"/>
    </row>
    <row r="139" spans="1:25" x14ac:dyDescent="0.25">
      <c r="A139" t="s">
        <v>1882</v>
      </c>
      <c r="B139">
        <v>1</v>
      </c>
      <c r="E139" s="260">
        <f>'Input-Instructions'!$B$6</f>
        <v>46204</v>
      </c>
      <c r="F139" s="260">
        <f>'Input-Instructions'!$B$6</f>
        <v>46204</v>
      </c>
      <c r="G139" t="str">
        <f t="shared" ref="G139:G165" si="2">TEXT(F139,"mmmm")&amp;" Recurring Entries"</f>
        <v>July Recurring Entries</v>
      </c>
      <c r="H139" t="s">
        <v>1883</v>
      </c>
      <c r="I139" t="str">
        <f>'Input-Instructions'!$B$4</f>
        <v>mn610wes</v>
      </c>
      <c r="J139" s="319">
        <f>IFERROR(IF('Prepaid Other'!$A$38="Yes",0,IF(AND(EOMONTH('Prepaid Other'!$E$38,0)&gt;='Input-Instructions'!$B$6,(EOMONTH('Prepaid Other'!$D$38,-1)+1)&lt;='Input-Instructions'!$B$6),-'Prepaid Other'!$I$38,0)),0)</f>
        <v>0</v>
      </c>
      <c r="K139">
        <f>IF('Upload Setup'!$B$3="Chart of Accounts A",IFERROR(VLOOKUP('Upload Setup'!$C$21,'Mapped COA'!A:G,1,0),'Upload Setup'!$C$21),IFERROR(VLOOKUP('Upload Setup'!$C$21,'Mapped COA'!A:G,3,0),'Upload Setup'!$C$21))</f>
        <v>13085</v>
      </c>
      <c r="N139">
        <v>1</v>
      </c>
      <c r="O139" t="str">
        <f>_xlfn.TEXTJOIN(" ",TRUE,TEXT('Input-Instructions'!$B$6,"MM/YYYY"),"Prepaid",'Prepaid Other'!$F$38,"Amortization")</f>
        <v>07/2026 Prepaid Amortization</v>
      </c>
      <c r="P139">
        <v>0</v>
      </c>
      <c r="Q139" s="293"/>
      <c r="R139" s="293"/>
      <c r="S139" s="293"/>
      <c r="T139" s="293"/>
      <c r="U139" s="293"/>
      <c r="V139" s="293"/>
      <c r="W139" s="293"/>
      <c r="X139" s="293"/>
      <c r="Y139" s="293"/>
    </row>
    <row r="140" spans="1:25" x14ac:dyDescent="0.25">
      <c r="A140" t="s">
        <v>1882</v>
      </c>
      <c r="B140">
        <v>1</v>
      </c>
      <c r="E140" s="260">
        <f>'Input-Instructions'!$B$6</f>
        <v>46204</v>
      </c>
      <c r="F140" s="260">
        <f>'Input-Instructions'!$B$6</f>
        <v>46204</v>
      </c>
      <c r="G140" t="str">
        <f t="shared" si="2"/>
        <v>July Recurring Entries</v>
      </c>
      <c r="H140" t="s">
        <v>1883</v>
      </c>
      <c r="I140" t="str">
        <f>'Input-Instructions'!$B$4</f>
        <v>mn610wes</v>
      </c>
      <c r="J140" s="319">
        <f>IFERROR(IF('Prepaid Other'!$A$39="Yes",0,IF(AND(EOMONTH('Prepaid Other'!$E$39,0)&gt;='Input-Instructions'!$B$6,(EOMONTH('Prepaid Other'!$D$39,-1)+1)&lt;='Input-Instructions'!$B$6),'Prepaid Other'!$I$39,0)),0)</f>
        <v>0</v>
      </c>
      <c r="K140">
        <f>IF('Upload Setup'!$B$3="Chart of Accounts A",IFERROR(VLOOKUP('Prepaid Other'!$B$39,'Mapped COA'!A:G,1,0),'Prepaid Other'!$B$39),IFERROR(VLOOKUP('Prepaid Other'!$B$39,'Mapped COA'!A:G,3,0),'Prepaid Other'!$B$39))</f>
        <v>0</v>
      </c>
      <c r="N140">
        <v>1</v>
      </c>
      <c r="O140" t="str">
        <f>_xlfn.TEXTJOIN(" ",TRUE,TEXT('Input-Instructions'!$B$6,"MM/YYYY"),"Prepaid",'Prepaid Other'!$F$39,"Amortization")</f>
        <v>07/2026 Prepaid Amortization</v>
      </c>
      <c r="P140">
        <v>0</v>
      </c>
      <c r="Q140" s="293"/>
      <c r="R140" s="293"/>
      <c r="S140" s="293"/>
      <c r="T140" s="293"/>
      <c r="U140" s="293"/>
      <c r="V140" s="293"/>
      <c r="W140" s="293"/>
      <c r="X140" s="293"/>
      <c r="Y140" s="293"/>
    </row>
    <row r="141" spans="1:25" x14ac:dyDescent="0.25">
      <c r="A141" t="s">
        <v>1882</v>
      </c>
      <c r="B141">
        <v>1</v>
      </c>
      <c r="E141" s="260">
        <f>'Input-Instructions'!$B$6</f>
        <v>46204</v>
      </c>
      <c r="F141" s="260">
        <f>'Input-Instructions'!$B$6</f>
        <v>46204</v>
      </c>
      <c r="G141" t="str">
        <f t="shared" si="2"/>
        <v>July Recurring Entries</v>
      </c>
      <c r="H141" t="s">
        <v>1883</v>
      </c>
      <c r="I141" t="str">
        <f>'Input-Instructions'!$B$4</f>
        <v>mn610wes</v>
      </c>
      <c r="J141" s="319">
        <f>IFERROR(IF('Prepaid Other'!$A$39="Yes",0,IF(AND(EOMONTH('Prepaid Other'!$E$39,0)&gt;='Input-Instructions'!$B$6,(EOMONTH('Prepaid Other'!$D$39,-1)+1)&lt;='Input-Instructions'!$B$6),-'Prepaid Other'!$I$39,0)),0)</f>
        <v>0</v>
      </c>
      <c r="K141">
        <f>IF('Upload Setup'!$B$3="Chart of Accounts A",IFERROR(VLOOKUP('Upload Setup'!$C$21,'Mapped COA'!A:G,1,0),'Upload Setup'!$C$21),IFERROR(VLOOKUP('Upload Setup'!$C$21,'Mapped COA'!A:G,3,0),'Upload Setup'!$C$21))</f>
        <v>13085</v>
      </c>
      <c r="N141">
        <v>1</v>
      </c>
      <c r="O141" t="str">
        <f>_xlfn.TEXTJOIN(" ",TRUE,TEXT('Input-Instructions'!$B$6,"MM/YYYY"),"Prepaid",'Prepaid Other'!$F$39,"Amortization")</f>
        <v>07/2026 Prepaid Amortization</v>
      </c>
      <c r="P141">
        <v>0</v>
      </c>
      <c r="Q141" s="293"/>
      <c r="R141" s="293"/>
      <c r="S141" s="293"/>
      <c r="T141" s="293"/>
      <c r="U141" s="293"/>
      <c r="V141" s="293"/>
      <c r="W141" s="293"/>
      <c r="X141" s="293"/>
      <c r="Y141" s="293"/>
    </row>
    <row r="142" spans="1:25" x14ac:dyDescent="0.25">
      <c r="A142" t="s">
        <v>1882</v>
      </c>
      <c r="B142">
        <v>1</v>
      </c>
      <c r="E142" s="260">
        <f>'Input-Instructions'!$B$6</f>
        <v>46204</v>
      </c>
      <c r="F142" s="260">
        <f>'Input-Instructions'!$B$6</f>
        <v>46204</v>
      </c>
      <c r="G142" t="str">
        <f t="shared" si="2"/>
        <v>July Recurring Entries</v>
      </c>
      <c r="H142" t="s">
        <v>1883</v>
      </c>
      <c r="I142" t="str">
        <f>'Input-Instructions'!$B$4</f>
        <v>mn610wes</v>
      </c>
      <c r="J142" s="319">
        <f>IFERROR(IF('Prepaid Other'!$A$40="Yes",0,IF(AND(EOMONTH('Prepaid Other'!$E$40,0)&gt;='Input-Instructions'!$B$6,(EOMONTH('Prepaid Other'!$D$40,-1)+1)&lt;='Input-Instructions'!$B$6),'Prepaid Other'!$I$40,0)),0)</f>
        <v>0</v>
      </c>
      <c r="K142">
        <f>IF('Upload Setup'!$B$3="Chart of Accounts A",IFERROR(VLOOKUP('Prepaid Other'!$B$40,'Mapped COA'!A:G,1,0),'Prepaid Other'!$B$40),IFERROR(VLOOKUP('Prepaid Other'!$B$40,'Mapped COA'!A:G,3,0),'Prepaid Other'!$B$40))</f>
        <v>0</v>
      </c>
      <c r="N142">
        <v>1</v>
      </c>
      <c r="O142" t="str">
        <f>_xlfn.TEXTJOIN(" ",TRUE,TEXT('Input-Instructions'!$B$6,"MM/YYYY"),"Prepaid",'Prepaid Other'!$F$40,"Amortization")</f>
        <v>07/2026 Prepaid Amortization</v>
      </c>
      <c r="P142">
        <v>0</v>
      </c>
      <c r="Q142" s="293"/>
      <c r="R142" s="293"/>
      <c r="S142" s="293"/>
      <c r="T142" s="293"/>
      <c r="U142" s="293"/>
      <c r="V142" s="293"/>
      <c r="W142" s="293"/>
      <c r="X142" s="293"/>
      <c r="Y142" s="293"/>
    </row>
    <row r="143" spans="1:25" x14ac:dyDescent="0.25">
      <c r="A143" t="s">
        <v>1882</v>
      </c>
      <c r="B143">
        <v>1</v>
      </c>
      <c r="E143" s="260">
        <f>'Input-Instructions'!$B$6</f>
        <v>46204</v>
      </c>
      <c r="F143" s="260">
        <f>'Input-Instructions'!$B$6</f>
        <v>46204</v>
      </c>
      <c r="G143" t="str">
        <f t="shared" si="2"/>
        <v>July Recurring Entries</v>
      </c>
      <c r="H143" t="s">
        <v>1883</v>
      </c>
      <c r="I143" t="str">
        <f>'Input-Instructions'!$B$4</f>
        <v>mn610wes</v>
      </c>
      <c r="J143" s="319">
        <f>IFERROR(IF('Prepaid Other'!$A$40="Yes",0,IF(AND(EOMONTH('Prepaid Other'!$E$40,0)&gt;='Input-Instructions'!$B$6,(EOMONTH('Prepaid Other'!$D$40,-1)+1)&lt;='Input-Instructions'!$B$6),-'Prepaid Other'!$I$40,0)),0)</f>
        <v>0</v>
      </c>
      <c r="K143">
        <f>IF('Upload Setup'!$B$3="Chart of Accounts A",IFERROR(VLOOKUP('Upload Setup'!$C$21,'Mapped COA'!A:G,1,0),'Upload Setup'!$C$21),IFERROR(VLOOKUP('Upload Setup'!$C$21,'Mapped COA'!A:G,3,0),'Upload Setup'!$C$21))</f>
        <v>13085</v>
      </c>
      <c r="N143">
        <v>1</v>
      </c>
      <c r="O143" t="str">
        <f>_xlfn.TEXTJOIN(" ",TRUE,TEXT('Input-Instructions'!$B$6,"MM/YYYY"),"Prepaid",'Prepaid Other'!$F$40,"Amortization")</f>
        <v>07/2026 Prepaid Amortization</v>
      </c>
      <c r="P143">
        <v>0</v>
      </c>
      <c r="Q143" s="293"/>
      <c r="R143" s="293"/>
      <c r="S143" s="293"/>
      <c r="T143" s="293"/>
      <c r="U143" s="293"/>
      <c r="V143" s="293"/>
      <c r="W143" s="293"/>
      <c r="X143" s="293"/>
      <c r="Y143" s="293"/>
    </row>
    <row r="144" spans="1:25" x14ac:dyDescent="0.25">
      <c r="A144" t="s">
        <v>1882</v>
      </c>
      <c r="B144">
        <v>1</v>
      </c>
      <c r="E144" s="260">
        <f>'Input-Instructions'!$B$6</f>
        <v>46204</v>
      </c>
      <c r="F144" s="260">
        <f>'Input-Instructions'!$B$6</f>
        <v>46204</v>
      </c>
      <c r="G144" t="str">
        <f t="shared" si="2"/>
        <v>July Recurring Entries</v>
      </c>
      <c r="H144" t="s">
        <v>1883</v>
      </c>
      <c r="I144" t="str">
        <f>'Input-Instructions'!$B$4</f>
        <v>mn610wes</v>
      </c>
      <c r="J144" s="319">
        <f>IFERROR(IF('Prepaid Other'!$A$41="Yes",0,IF(AND(EOMONTH('Prepaid Other'!$E$41,0)&gt;='Input-Instructions'!$B$6,(EOMONTH('Prepaid Other'!$D$41,-1)+1)&lt;='Input-Instructions'!$B$6),'Prepaid Other'!$I$41,0)),0)</f>
        <v>0</v>
      </c>
      <c r="K144">
        <f>IF('Upload Setup'!$B$3="Chart of Accounts A",IFERROR(VLOOKUP('Prepaid Other'!$B$41,'Mapped COA'!A:G,1,0),'Prepaid Other'!$B$41),IFERROR(VLOOKUP('Prepaid Other'!$B$41,'Mapped COA'!A:G,3,0),'Prepaid Other'!$B$41))</f>
        <v>0</v>
      </c>
      <c r="N144">
        <v>1</v>
      </c>
      <c r="O144" t="str">
        <f>_xlfn.TEXTJOIN(" ",TRUE,TEXT('Input-Instructions'!$B$6,"MM/YYYY"),"Prepaid",'Prepaid Other'!$F$41,"Amortization")</f>
        <v>07/2026 Prepaid Amortization</v>
      </c>
      <c r="P144">
        <v>0</v>
      </c>
      <c r="Q144" s="293"/>
      <c r="R144" s="293"/>
      <c r="S144" s="293"/>
      <c r="T144" s="293"/>
      <c r="U144" s="293"/>
      <c r="V144" s="293"/>
      <c r="W144" s="293"/>
      <c r="X144" s="293"/>
      <c r="Y144" s="293"/>
    </row>
    <row r="145" spans="1:25" x14ac:dyDescent="0.25">
      <c r="A145" t="s">
        <v>1882</v>
      </c>
      <c r="B145">
        <v>1</v>
      </c>
      <c r="E145" s="260">
        <f>'Input-Instructions'!$B$6</f>
        <v>46204</v>
      </c>
      <c r="F145" s="260">
        <f>'Input-Instructions'!$B$6</f>
        <v>46204</v>
      </c>
      <c r="G145" t="str">
        <f t="shared" si="2"/>
        <v>July Recurring Entries</v>
      </c>
      <c r="H145" t="s">
        <v>1883</v>
      </c>
      <c r="I145" t="str">
        <f>'Input-Instructions'!$B$4</f>
        <v>mn610wes</v>
      </c>
      <c r="J145" s="319">
        <f>IFERROR(IF('Prepaid Other'!$A$41="Yes",0,IF(AND(EOMONTH('Prepaid Other'!$E$41,0)&gt;='Input-Instructions'!$B$6,(EOMONTH('Prepaid Other'!$D$41,-1)+1)&lt;='Input-Instructions'!$B$6),-'Prepaid Other'!$I$41,0)),0)</f>
        <v>0</v>
      </c>
      <c r="K145">
        <f>IF('Upload Setup'!$B$3="Chart of Accounts A",IFERROR(VLOOKUP('Upload Setup'!$C$21,'Mapped COA'!A:G,1,0),'Upload Setup'!$C$21),IFERROR(VLOOKUP('Upload Setup'!$C$21,'Mapped COA'!A:G,3,0),'Upload Setup'!$C$21))</f>
        <v>13085</v>
      </c>
      <c r="N145">
        <v>1</v>
      </c>
      <c r="O145" t="str">
        <f>_xlfn.TEXTJOIN(" ",TRUE,TEXT('Input-Instructions'!$B$6,"MM/YYYY"),"Prepaid",'Prepaid Other'!$F$41,"Amortization")</f>
        <v>07/2026 Prepaid Amortization</v>
      </c>
      <c r="P145">
        <v>0</v>
      </c>
      <c r="Q145" s="293"/>
      <c r="R145" s="293"/>
      <c r="S145" s="293"/>
      <c r="T145" s="293"/>
      <c r="U145" s="293"/>
      <c r="V145" s="293"/>
      <c r="W145" s="293"/>
      <c r="X145" s="293"/>
      <c r="Y145" s="293"/>
    </row>
    <row r="146" spans="1:25" x14ac:dyDescent="0.25">
      <c r="A146" t="s">
        <v>1882</v>
      </c>
      <c r="B146">
        <v>1</v>
      </c>
      <c r="E146" s="260">
        <f>'Input-Instructions'!$B$6</f>
        <v>46204</v>
      </c>
      <c r="F146" s="260">
        <f>'Input-Instructions'!$B$6</f>
        <v>46204</v>
      </c>
      <c r="G146" t="str">
        <f t="shared" si="2"/>
        <v>July Recurring Entries</v>
      </c>
      <c r="H146" t="s">
        <v>1883</v>
      </c>
      <c r="I146" t="str">
        <f>'Input-Instructions'!$B$4</f>
        <v>mn610wes</v>
      </c>
      <c r="J146" s="319">
        <f>IFERROR(IF('Prepaid Other'!$A$42="Yes",0,IF(AND(EOMONTH('Prepaid Other'!$E$42,0)&gt;='Input-Instructions'!$B$6,(EOMONTH('Prepaid Other'!$D$42,-1)+1)&lt;='Input-Instructions'!$B$6),'Prepaid Other'!$I$42,0)),0)</f>
        <v>0</v>
      </c>
      <c r="K146">
        <f>IF('Upload Setup'!$B$3="Chart of Accounts A",IFERROR(VLOOKUP('Prepaid Other'!$B$42,'Mapped COA'!A:G,1,0),'Prepaid Other'!$B$42),IFERROR(VLOOKUP('Prepaid Other'!$B$42,'Mapped COA'!A:G,3,0),'Prepaid Other'!$B$42))</f>
        <v>0</v>
      </c>
      <c r="N146">
        <v>1</v>
      </c>
      <c r="O146" t="str">
        <f>_xlfn.TEXTJOIN(" ",TRUE,TEXT('Input-Instructions'!$B$6,"MM/YYYY"),"Prepaid",'Prepaid Other'!$F$42,"Amortization")</f>
        <v>07/2026 Prepaid Amortization</v>
      </c>
      <c r="P146">
        <v>0</v>
      </c>
      <c r="Q146" s="293"/>
      <c r="R146" s="293"/>
      <c r="S146" s="293"/>
      <c r="T146" s="293"/>
      <c r="U146" s="293"/>
      <c r="V146" s="293"/>
      <c r="W146" s="293"/>
      <c r="X146" s="293"/>
      <c r="Y146" s="293"/>
    </row>
    <row r="147" spans="1:25" x14ac:dyDescent="0.25">
      <c r="A147" t="s">
        <v>1882</v>
      </c>
      <c r="B147">
        <v>1</v>
      </c>
      <c r="E147" s="260">
        <f>'Input-Instructions'!$B$6</f>
        <v>46204</v>
      </c>
      <c r="F147" s="260">
        <f>'Input-Instructions'!$B$6</f>
        <v>46204</v>
      </c>
      <c r="G147" t="str">
        <f t="shared" si="2"/>
        <v>July Recurring Entries</v>
      </c>
      <c r="H147" t="s">
        <v>1883</v>
      </c>
      <c r="I147" t="str">
        <f>'Input-Instructions'!$B$4</f>
        <v>mn610wes</v>
      </c>
      <c r="J147" s="319">
        <f>IFERROR(IF('Prepaid Other'!$A$42="Yes",0,IF(AND(EOMONTH('Prepaid Other'!$E$42,0)&gt;='Input-Instructions'!$B$6,(EOMONTH('Prepaid Other'!$D$42,-1)+1)&lt;='Input-Instructions'!$B$6),-'Prepaid Other'!$I$42,0)),0)</f>
        <v>0</v>
      </c>
      <c r="K147">
        <f>IF('Upload Setup'!$B$3="Chart of Accounts A",IFERROR(VLOOKUP('Upload Setup'!$C$21,'Mapped COA'!A:G,1,0),'Upload Setup'!$C$21),IFERROR(VLOOKUP('Upload Setup'!$C$21,'Mapped COA'!A:G,3,0),'Upload Setup'!$C$21))</f>
        <v>13085</v>
      </c>
      <c r="N147">
        <v>1</v>
      </c>
      <c r="O147" t="str">
        <f>_xlfn.TEXTJOIN(" ",TRUE,TEXT('Input-Instructions'!$B$6,"MM/YYYY"),"Prepaid",'Prepaid Other'!$F$42,"Amortization")</f>
        <v>07/2026 Prepaid Amortization</v>
      </c>
      <c r="P147">
        <v>0</v>
      </c>
      <c r="Q147" s="293"/>
      <c r="R147" s="293"/>
      <c r="S147" s="293"/>
      <c r="T147" s="293"/>
      <c r="U147" s="293"/>
      <c r="V147" s="293"/>
      <c r="W147" s="293"/>
      <c r="X147" s="293"/>
      <c r="Y147" s="293"/>
    </row>
    <row r="148" spans="1:25" x14ac:dyDescent="0.25">
      <c r="A148" t="s">
        <v>1882</v>
      </c>
      <c r="B148">
        <v>1</v>
      </c>
      <c r="E148" s="260">
        <f>'Input-Instructions'!$B$6</f>
        <v>46204</v>
      </c>
      <c r="F148" s="260">
        <f>'Input-Instructions'!$B$6</f>
        <v>46204</v>
      </c>
      <c r="G148" t="str">
        <f t="shared" si="2"/>
        <v>July Recurring Entries</v>
      </c>
      <c r="H148" t="s">
        <v>1883</v>
      </c>
      <c r="I148" t="str">
        <f>'Input-Instructions'!$B$4</f>
        <v>mn610wes</v>
      </c>
      <c r="J148" s="319">
        <f>IFERROR(IF('Prepaid Other'!$A$43="Yes",0,IF(AND(EOMONTH('Prepaid Other'!$E$43,0)&gt;='Input-Instructions'!$B$6,(EOMONTH('Prepaid Other'!$D$43,-1)+1)&lt;='Input-Instructions'!$B$6),'Prepaid Other'!$I$43,0)),0)</f>
        <v>0</v>
      </c>
      <c r="K148">
        <f>IF('Upload Setup'!$B$3="Chart of Accounts A",IFERROR(VLOOKUP('Prepaid Other'!$B$43,'Mapped COA'!A:G,1,0),'Prepaid Other'!$B$43),IFERROR(VLOOKUP('Prepaid Other'!$B$43,'Mapped COA'!A:G,3,0),'Prepaid Other'!$B$43))</f>
        <v>0</v>
      </c>
      <c r="N148">
        <v>1</v>
      </c>
      <c r="O148" t="str">
        <f>_xlfn.TEXTJOIN(" ",TRUE,TEXT('Input-Instructions'!$B$6,"MM/YYYY"),"Prepaid",'Prepaid Other'!$F$43,"Amortization")</f>
        <v>07/2026 Prepaid Amortization</v>
      </c>
      <c r="P148">
        <v>0</v>
      </c>
      <c r="Q148" s="293"/>
      <c r="R148" s="293"/>
      <c r="S148" s="293"/>
      <c r="T148" s="293"/>
      <c r="U148" s="293"/>
      <c r="V148" s="293"/>
      <c r="W148" s="293"/>
      <c r="X148" s="293"/>
      <c r="Y148" s="293"/>
    </row>
    <row r="149" spans="1:25" x14ac:dyDescent="0.25">
      <c r="A149" t="s">
        <v>1882</v>
      </c>
      <c r="B149">
        <v>1</v>
      </c>
      <c r="E149" s="260">
        <f>'Input-Instructions'!$B$6</f>
        <v>46204</v>
      </c>
      <c r="F149" s="260">
        <f>'Input-Instructions'!$B$6</f>
        <v>46204</v>
      </c>
      <c r="G149" t="str">
        <f t="shared" si="2"/>
        <v>July Recurring Entries</v>
      </c>
      <c r="H149" t="s">
        <v>1883</v>
      </c>
      <c r="I149" t="str">
        <f>'Input-Instructions'!$B$4</f>
        <v>mn610wes</v>
      </c>
      <c r="J149" s="319">
        <f>IFERROR(IF('Prepaid Other'!$A$43="Yes",0,IF(AND(EOMONTH('Prepaid Other'!$E$43,0)&gt;='Input-Instructions'!$B$6,(EOMONTH('Prepaid Other'!$D$43,-1)+1)&lt;='Input-Instructions'!$B$6),-'Prepaid Other'!$I$43,0)),0)</f>
        <v>0</v>
      </c>
      <c r="K149">
        <f>IF('Upload Setup'!$B$3="Chart of Accounts A",IFERROR(VLOOKUP('Upload Setup'!$C$21,'Mapped COA'!A:G,1,0),'Upload Setup'!$C$21),IFERROR(VLOOKUP('Upload Setup'!$C$21,'Mapped COA'!A:G,3,0),'Upload Setup'!$C$21))</f>
        <v>13085</v>
      </c>
      <c r="N149">
        <v>1</v>
      </c>
      <c r="O149" t="str">
        <f>_xlfn.TEXTJOIN(" ",TRUE,TEXT('Input-Instructions'!$B$6,"MM/YYYY"),"Prepaid",'Prepaid Other'!$F$43,"Amortization")</f>
        <v>07/2026 Prepaid Amortization</v>
      </c>
      <c r="P149">
        <v>0</v>
      </c>
      <c r="Q149" s="293"/>
      <c r="R149" s="293"/>
      <c r="S149" s="293"/>
      <c r="T149" s="293"/>
      <c r="U149" s="293"/>
      <c r="V149" s="293"/>
      <c r="W149" s="293"/>
      <c r="X149" s="293"/>
      <c r="Y149" s="293"/>
    </row>
    <row r="150" spans="1:25" x14ac:dyDescent="0.25">
      <c r="A150" t="s">
        <v>1882</v>
      </c>
      <c r="B150">
        <v>1</v>
      </c>
      <c r="E150" s="260">
        <f>'Input-Instructions'!$B$6</f>
        <v>46204</v>
      </c>
      <c r="F150" s="260">
        <f>'Input-Instructions'!$B$6</f>
        <v>46204</v>
      </c>
      <c r="G150" t="str">
        <f t="shared" si="2"/>
        <v>July Recurring Entries</v>
      </c>
      <c r="H150" t="s">
        <v>1883</v>
      </c>
      <c r="I150" t="str">
        <f>'Input-Instructions'!$B$4</f>
        <v>mn610wes</v>
      </c>
      <c r="J150" s="319">
        <f>IFERROR(IF('Prepaid Other'!$A$44="Yes",0,IF(AND(EOMONTH('Prepaid Other'!$E$44,0)&gt;='Input-Instructions'!$B$6,(EOMONTH('Prepaid Other'!$D$44,-1)+1)&lt;='Input-Instructions'!$B$6),'Prepaid Other'!$I$44,0)),0)</f>
        <v>0</v>
      </c>
      <c r="K150">
        <f>IF('Upload Setup'!$B$3="Chart of Accounts A",IFERROR(VLOOKUP('Prepaid Other'!$B$44,'Mapped COA'!A:G,1,0),'Prepaid Other'!$B$44),IFERROR(VLOOKUP('Prepaid Other'!$B$44,'Mapped COA'!A:G,3,0),'Prepaid Other'!$B$44))</f>
        <v>0</v>
      </c>
      <c r="N150">
        <v>1</v>
      </c>
      <c r="O150" t="str">
        <f>_xlfn.TEXTJOIN(" ",TRUE,TEXT('Input-Instructions'!$B$6,"MM/YYYY"),"Prepaid",'Prepaid Other'!$F$44,"Amortization")</f>
        <v>07/2026 Prepaid Amortization</v>
      </c>
      <c r="P150">
        <v>0</v>
      </c>
      <c r="Q150" s="293"/>
      <c r="R150" s="293"/>
      <c r="S150" s="293"/>
      <c r="T150" s="293"/>
      <c r="U150" s="293"/>
      <c r="V150" s="293"/>
      <c r="W150" s="293"/>
      <c r="X150" s="293"/>
      <c r="Y150" s="293"/>
    </row>
    <row r="151" spans="1:25" x14ac:dyDescent="0.25">
      <c r="A151" t="s">
        <v>1882</v>
      </c>
      <c r="B151">
        <v>1</v>
      </c>
      <c r="E151" s="260">
        <f>'Input-Instructions'!$B$6</f>
        <v>46204</v>
      </c>
      <c r="F151" s="260">
        <f>'Input-Instructions'!$B$6</f>
        <v>46204</v>
      </c>
      <c r="G151" t="str">
        <f t="shared" si="2"/>
        <v>July Recurring Entries</v>
      </c>
      <c r="H151" t="s">
        <v>1883</v>
      </c>
      <c r="I151" t="str">
        <f>'Input-Instructions'!$B$4</f>
        <v>mn610wes</v>
      </c>
      <c r="J151" s="319">
        <f>IFERROR(IF('Prepaid Other'!$A$44="Yes",0,IF(AND(EOMONTH('Prepaid Other'!$E$44,0)&gt;='Input-Instructions'!$B$6,(EOMONTH('Prepaid Other'!$D$44,-1)+1)&lt;='Input-Instructions'!$B$6),-'Prepaid Other'!$I$44,0)),0)</f>
        <v>0</v>
      </c>
      <c r="K151">
        <f>IF('Upload Setup'!$B$3="Chart of Accounts A",IFERROR(VLOOKUP('Upload Setup'!$C$21,'Mapped COA'!A:G,1,0),'Upload Setup'!$C$21),IFERROR(VLOOKUP('Upload Setup'!$C$21,'Mapped COA'!A:G,3,0),'Upload Setup'!$C$21))</f>
        <v>13085</v>
      </c>
      <c r="N151">
        <v>1</v>
      </c>
      <c r="O151" t="str">
        <f>_xlfn.TEXTJOIN(" ",TRUE,TEXT('Input-Instructions'!$B$6,"MM/YYYY"),"Prepaid",'Prepaid Other'!$F$44,"Amortization")</f>
        <v>07/2026 Prepaid Amortization</v>
      </c>
      <c r="P151">
        <v>0</v>
      </c>
      <c r="Q151" s="293"/>
      <c r="R151" s="293"/>
      <c r="S151" s="293"/>
      <c r="T151" s="293"/>
      <c r="U151" s="293"/>
      <c r="V151" s="293"/>
      <c r="W151" s="293"/>
      <c r="X151" s="293"/>
      <c r="Y151" s="293"/>
    </row>
    <row r="152" spans="1:25" x14ac:dyDescent="0.25">
      <c r="A152" t="s">
        <v>1882</v>
      </c>
      <c r="B152">
        <v>1</v>
      </c>
      <c r="E152" s="260">
        <f>'Input-Instructions'!$B$6</f>
        <v>46204</v>
      </c>
      <c r="F152" s="260">
        <f>'Input-Instructions'!$B$6</f>
        <v>46204</v>
      </c>
      <c r="G152" t="str">
        <f t="shared" si="2"/>
        <v>July Recurring Entries</v>
      </c>
      <c r="H152" t="s">
        <v>1883</v>
      </c>
      <c r="I152" t="str">
        <f>'Input-Instructions'!$B$4</f>
        <v>mn610wes</v>
      </c>
      <c r="J152" s="319">
        <f>IFERROR(IF('Prepaid Other'!$A$45="Yes",0,IF(AND(EOMONTH('Prepaid Other'!$E$45,0)&gt;='Input-Instructions'!$B$6,(EOMONTH('Prepaid Other'!$D$45,-1)+1)&lt;='Input-Instructions'!$B$6),'Prepaid Other'!$I$45,0)),0)</f>
        <v>0</v>
      </c>
      <c r="K152">
        <f>IF('Upload Setup'!$B$3="Chart of Accounts A",IFERROR(VLOOKUP('Prepaid Other'!$B$45,'Mapped COA'!A:G,1,0),'Prepaid Other'!$B$45),IFERROR(VLOOKUP('Prepaid Other'!$B$45,'Mapped COA'!A:G,3,0),'Prepaid Other'!$B$45))</f>
        <v>0</v>
      </c>
      <c r="N152">
        <v>1</v>
      </c>
      <c r="O152" t="str">
        <f>_xlfn.TEXTJOIN(" ",TRUE,TEXT('Input-Instructions'!$B$6,"MM/YYYY"),"Prepaid",'Prepaid Other'!$F$45,"Amortization")</f>
        <v>07/2026 Prepaid Amortization</v>
      </c>
      <c r="P152">
        <v>0</v>
      </c>
      <c r="Q152" s="293"/>
      <c r="R152" s="293"/>
      <c r="S152" s="293"/>
      <c r="T152" s="293"/>
      <c r="U152" s="293"/>
      <c r="V152" s="293"/>
      <c r="W152" s="293"/>
      <c r="X152" s="293"/>
      <c r="Y152" s="293"/>
    </row>
    <row r="153" spans="1:25" x14ac:dyDescent="0.25">
      <c r="A153" t="s">
        <v>1882</v>
      </c>
      <c r="B153">
        <v>1</v>
      </c>
      <c r="E153" s="260">
        <f>'Input-Instructions'!$B$6</f>
        <v>46204</v>
      </c>
      <c r="F153" s="260">
        <f>'Input-Instructions'!$B$6</f>
        <v>46204</v>
      </c>
      <c r="G153" t="str">
        <f t="shared" si="2"/>
        <v>July Recurring Entries</v>
      </c>
      <c r="H153" t="s">
        <v>1883</v>
      </c>
      <c r="I153" t="str">
        <f>'Input-Instructions'!$B$4</f>
        <v>mn610wes</v>
      </c>
      <c r="J153" s="319">
        <f>IFERROR(IF('Prepaid Other'!$A$45="Yes",0,IF(AND(EOMONTH('Prepaid Other'!$E$45,0)&gt;='Input-Instructions'!$B$6,(EOMONTH('Prepaid Other'!$D$45,-1)+1)&lt;='Input-Instructions'!$B$6),-'Prepaid Other'!$I$45,0)),0)</f>
        <v>0</v>
      </c>
      <c r="K153">
        <f>IF('Upload Setup'!$B$3="Chart of Accounts A",IFERROR(VLOOKUP('Upload Setup'!$C$21,'Mapped COA'!A:G,1,0),'Upload Setup'!$C$21),IFERROR(VLOOKUP('Upload Setup'!$C$21,'Mapped COA'!A:G,3,0),'Upload Setup'!$C$21))</f>
        <v>13085</v>
      </c>
      <c r="N153">
        <v>1</v>
      </c>
      <c r="O153" t="str">
        <f>_xlfn.TEXTJOIN(" ",TRUE,TEXT('Input-Instructions'!$B$6,"MM/YYYY"),"Prepaid",'Prepaid Other'!$F$45,"Amortization")</f>
        <v>07/2026 Prepaid Amortization</v>
      </c>
      <c r="P153">
        <v>0</v>
      </c>
      <c r="Q153" s="293"/>
      <c r="R153" s="293"/>
      <c r="S153" s="293"/>
      <c r="T153" s="293"/>
      <c r="U153" s="293"/>
      <c r="V153" s="293"/>
      <c r="W153" s="293"/>
      <c r="X153" s="293"/>
      <c r="Y153" s="293"/>
    </row>
    <row r="154" spans="1:25" x14ac:dyDescent="0.25">
      <c r="A154" t="s">
        <v>1882</v>
      </c>
      <c r="B154">
        <v>1</v>
      </c>
      <c r="E154" s="260">
        <f>'Input-Instructions'!$B$6</f>
        <v>46204</v>
      </c>
      <c r="F154" s="260">
        <f>'Input-Instructions'!$B$6</f>
        <v>46204</v>
      </c>
      <c r="G154" t="str">
        <f t="shared" si="2"/>
        <v>July Recurring Entries</v>
      </c>
      <c r="H154" t="s">
        <v>1883</v>
      </c>
      <c r="I154" t="str">
        <f>'Input-Instructions'!$B$4</f>
        <v>mn610wes</v>
      </c>
      <c r="J154" s="319">
        <f>IFERROR(IF('Prepaid Other'!$A$46="Yes",0,IF(AND(EOMONTH('Prepaid Other'!$E$46,0)&gt;='Input-Instructions'!$B$6,(EOMONTH('Prepaid Other'!$D$46,-1)+1)&lt;='Input-Instructions'!$B$6),'Prepaid Other'!$I$46,0)),0)</f>
        <v>0</v>
      </c>
      <c r="K154">
        <f>IF('Upload Setup'!$B$3="Chart of Accounts A",IFERROR(VLOOKUP('Prepaid Other'!$B$46,'Mapped COA'!A:G,1,0),'Prepaid Other'!$B$46),IFERROR(VLOOKUP('Prepaid Other'!$B$46,'Mapped COA'!A:G,3,0),'Prepaid Other'!$B$46))</f>
        <v>0</v>
      </c>
      <c r="N154">
        <v>1</v>
      </c>
      <c r="O154" t="str">
        <f>_xlfn.TEXTJOIN(" ",TRUE,TEXT('Input-Instructions'!$B$6,"MM/YYYY"),"Prepaid",'Prepaid Other'!$F$46,"Amortization")</f>
        <v>07/2026 Prepaid Amortization</v>
      </c>
      <c r="P154">
        <v>0</v>
      </c>
      <c r="Q154" s="293"/>
      <c r="R154" s="293"/>
      <c r="S154" s="293"/>
      <c r="T154" s="293"/>
      <c r="U154" s="293"/>
      <c r="V154" s="293"/>
      <c r="W154" s="293"/>
      <c r="X154" s="293"/>
      <c r="Y154" s="293"/>
    </row>
    <row r="155" spans="1:25" x14ac:dyDescent="0.25">
      <c r="A155" t="s">
        <v>1882</v>
      </c>
      <c r="B155">
        <v>1</v>
      </c>
      <c r="E155" s="260">
        <f>'Input-Instructions'!$B$6</f>
        <v>46204</v>
      </c>
      <c r="F155" s="260">
        <f>'Input-Instructions'!$B$6</f>
        <v>46204</v>
      </c>
      <c r="G155" t="str">
        <f t="shared" si="2"/>
        <v>July Recurring Entries</v>
      </c>
      <c r="H155" t="s">
        <v>1883</v>
      </c>
      <c r="I155" t="str">
        <f>'Input-Instructions'!$B$4</f>
        <v>mn610wes</v>
      </c>
      <c r="J155" s="319">
        <f>IFERROR(IF('Prepaid Other'!$A$46="Yes",0,IF(AND(EOMONTH('Prepaid Other'!$E$46,0)&gt;='Input-Instructions'!$B$6,(EOMONTH('Prepaid Other'!$D$46,-1)+1)&lt;='Input-Instructions'!$B$6),-'Prepaid Other'!$I$46,0)),0)</f>
        <v>0</v>
      </c>
      <c r="K155">
        <f>IF('Upload Setup'!$B$3="Chart of Accounts A",IFERROR(VLOOKUP('Upload Setup'!$C$21,'Mapped COA'!A:G,1,0),'Upload Setup'!$C$21),IFERROR(VLOOKUP('Upload Setup'!$C$21,'Mapped COA'!A:G,3,0),'Upload Setup'!$C$21))</f>
        <v>13085</v>
      </c>
      <c r="N155">
        <v>1</v>
      </c>
      <c r="O155" t="str">
        <f>_xlfn.TEXTJOIN(" ",TRUE,TEXT('Input-Instructions'!$B$6,"MM/YYYY"),"Prepaid",'Prepaid Other'!$F$46,"Amortization")</f>
        <v>07/2026 Prepaid Amortization</v>
      </c>
      <c r="P155">
        <v>0</v>
      </c>
      <c r="Q155" s="293"/>
      <c r="R155" s="293"/>
      <c r="S155" s="293"/>
      <c r="T155" s="293"/>
      <c r="U155" s="293"/>
      <c r="V155" s="293"/>
      <c r="W155" s="293"/>
      <c r="X155" s="293"/>
      <c r="Y155" s="293"/>
    </row>
    <row r="156" spans="1:25" x14ac:dyDescent="0.25">
      <c r="A156" t="s">
        <v>1882</v>
      </c>
      <c r="B156">
        <v>1</v>
      </c>
      <c r="E156" s="260">
        <f>'Input-Instructions'!$B$6</f>
        <v>46204</v>
      </c>
      <c r="F156" s="260">
        <f>'Input-Instructions'!$B$6</f>
        <v>46204</v>
      </c>
      <c r="G156" t="str">
        <f t="shared" si="2"/>
        <v>July Recurring Entries</v>
      </c>
      <c r="H156" t="s">
        <v>1883</v>
      </c>
      <c r="I156" t="str">
        <f>'Input-Instructions'!$B$4</f>
        <v>mn610wes</v>
      </c>
      <c r="J156" s="319">
        <f>IFERROR(IF('Prepaid Other'!$A$47="Yes",0,IF(AND(EOMONTH('Prepaid Other'!$E$47,0)&gt;='Input-Instructions'!$B$6,(EOMONTH('Prepaid Other'!$D$47,-1)+1)&lt;='Input-Instructions'!$B$6),'Prepaid Other'!$I$47,0)),0)</f>
        <v>0</v>
      </c>
      <c r="K156">
        <f>IF('Upload Setup'!$B$3="Chart of Accounts A",IFERROR(VLOOKUP('Prepaid Other'!$B$47,'Mapped COA'!A:G,1,0),'Prepaid Other'!$B$47),IFERROR(VLOOKUP('Prepaid Other'!$B$47,'Mapped COA'!A:G,3,0),'Prepaid Other'!$B$47))</f>
        <v>0</v>
      </c>
      <c r="N156">
        <v>1</v>
      </c>
      <c r="O156" t="str">
        <f>_xlfn.TEXTJOIN(" ",TRUE,TEXT('Input-Instructions'!$B$6,"MM/YYYY"),"Prepaid",'Prepaid Other'!$F$47,"Amortization")</f>
        <v>07/2026 Prepaid Amortization</v>
      </c>
      <c r="P156">
        <v>0</v>
      </c>
      <c r="Q156" s="293"/>
      <c r="R156" s="293"/>
      <c r="S156" s="293"/>
      <c r="T156" s="293"/>
      <c r="U156" s="293"/>
      <c r="V156" s="293"/>
      <c r="W156" s="293"/>
      <c r="X156" s="293"/>
      <c r="Y156" s="293"/>
    </row>
    <row r="157" spans="1:25" x14ac:dyDescent="0.25">
      <c r="A157" t="s">
        <v>1882</v>
      </c>
      <c r="B157">
        <v>1</v>
      </c>
      <c r="E157" s="260">
        <f>'Input-Instructions'!$B$6</f>
        <v>46204</v>
      </c>
      <c r="F157" s="260">
        <f>'Input-Instructions'!$B$6</f>
        <v>46204</v>
      </c>
      <c r="G157" t="str">
        <f t="shared" si="2"/>
        <v>July Recurring Entries</v>
      </c>
      <c r="H157" t="s">
        <v>1883</v>
      </c>
      <c r="I157" t="str">
        <f>'Input-Instructions'!$B$4</f>
        <v>mn610wes</v>
      </c>
      <c r="J157" s="319">
        <f>IFERROR(IF('Prepaid Other'!$A$47="Yes",0,IF(AND(EOMONTH('Prepaid Other'!$E$47,0)&gt;='Input-Instructions'!$B$6,(EOMONTH('Prepaid Other'!$D$47,-1)+1)&lt;='Input-Instructions'!$B$6),-'Prepaid Other'!$I$47,0)),0)</f>
        <v>0</v>
      </c>
      <c r="K157">
        <f>IF('Upload Setup'!$B$3="Chart of Accounts A",IFERROR(VLOOKUP('Upload Setup'!$C$21,'Mapped COA'!A:G,1,0),'Upload Setup'!$C$21),IFERROR(VLOOKUP('Upload Setup'!$C$21,'Mapped COA'!A:G,3,0),'Upload Setup'!$C$21))</f>
        <v>13085</v>
      </c>
      <c r="N157">
        <v>1</v>
      </c>
      <c r="O157" t="str">
        <f>_xlfn.TEXTJOIN(" ",TRUE,TEXT('Input-Instructions'!$B$6,"MM/YYYY"),"Prepaid",'Prepaid Other'!$F$47,"Amortization")</f>
        <v>07/2026 Prepaid Amortization</v>
      </c>
      <c r="P157">
        <v>0</v>
      </c>
      <c r="Q157" s="293"/>
      <c r="R157" s="293"/>
      <c r="S157" s="293"/>
      <c r="T157" s="293"/>
      <c r="U157" s="293"/>
      <c r="V157" s="293"/>
      <c r="W157" s="293"/>
      <c r="X157" s="293"/>
      <c r="Y157" s="293"/>
    </row>
    <row r="158" spans="1:25" x14ac:dyDescent="0.25">
      <c r="A158" t="s">
        <v>1882</v>
      </c>
      <c r="B158">
        <v>1</v>
      </c>
      <c r="E158" s="260">
        <f>'Input-Instructions'!$B$6</f>
        <v>46204</v>
      </c>
      <c r="F158" s="260">
        <f>'Input-Instructions'!$B$6</f>
        <v>46204</v>
      </c>
      <c r="G158" t="str">
        <f t="shared" si="2"/>
        <v>July Recurring Entries</v>
      </c>
      <c r="H158" t="s">
        <v>1883</v>
      </c>
      <c r="I158" t="str">
        <f>'Input-Instructions'!$B$4</f>
        <v>mn610wes</v>
      </c>
      <c r="J158" s="319">
        <f>IFERROR(IF('Prepaid Other'!$A$48="Yes",0,IF(AND(EOMONTH('Prepaid Other'!$E$48,0)&gt;='Input-Instructions'!$B$6,(EOMONTH('Prepaid Other'!$D$48,-1)+1)&lt;='Input-Instructions'!$B$6),'Prepaid Other'!$I$48,0)),0)</f>
        <v>0</v>
      </c>
      <c r="K158">
        <f>IF('Upload Setup'!$B$3="Chart of Accounts A",IFERROR(VLOOKUP('Prepaid Other'!$B$48,'Mapped COA'!A:G,1,0),'Prepaid Other'!$B$48),IFERROR(VLOOKUP('Prepaid Other'!$B$48,'Mapped COA'!A:G,3,0),'Prepaid Other'!$B$48))</f>
        <v>0</v>
      </c>
      <c r="N158">
        <v>1</v>
      </c>
      <c r="O158" t="str">
        <f>_xlfn.TEXTJOIN(" ",TRUE,TEXT('Input-Instructions'!$B$6,"MM/YYYY"),"Prepaid",'Prepaid Other'!$F$48,"Amortization")</f>
        <v>07/2026 Prepaid Amortization</v>
      </c>
      <c r="P158">
        <v>0</v>
      </c>
      <c r="Q158" s="293"/>
      <c r="R158" s="293"/>
      <c r="S158" s="293"/>
      <c r="T158" s="293"/>
      <c r="U158" s="293"/>
      <c r="V158" s="293"/>
      <c r="W158" s="293"/>
      <c r="X158" s="293"/>
      <c r="Y158" s="293"/>
    </row>
    <row r="159" spans="1:25" x14ac:dyDescent="0.25">
      <c r="A159" t="s">
        <v>1882</v>
      </c>
      <c r="B159">
        <v>1</v>
      </c>
      <c r="E159" s="260">
        <f>'Input-Instructions'!$B$6</f>
        <v>46204</v>
      </c>
      <c r="F159" s="260">
        <f>'Input-Instructions'!$B$6</f>
        <v>46204</v>
      </c>
      <c r="G159" t="str">
        <f t="shared" si="2"/>
        <v>July Recurring Entries</v>
      </c>
      <c r="H159" t="s">
        <v>1883</v>
      </c>
      <c r="I159" t="str">
        <f>'Input-Instructions'!$B$4</f>
        <v>mn610wes</v>
      </c>
      <c r="J159" s="319">
        <f>IFERROR(IF('Prepaid Other'!$A$48="Yes",0,IF(AND(EOMONTH('Prepaid Other'!$E$48,0)&gt;='Input-Instructions'!$B$6,(EOMONTH('Prepaid Other'!$D$48,-1)+1)&lt;='Input-Instructions'!$B$6),-'Prepaid Other'!$I$48,0)),0)</f>
        <v>0</v>
      </c>
      <c r="K159">
        <f>IF('Upload Setup'!$B$3="Chart of Accounts A",IFERROR(VLOOKUP('Upload Setup'!$C$21,'Mapped COA'!A:G,1,0),'Upload Setup'!$C$21),IFERROR(VLOOKUP('Upload Setup'!$C$21,'Mapped COA'!A:G,3,0),'Upload Setup'!$C$21))</f>
        <v>13085</v>
      </c>
      <c r="N159">
        <v>1</v>
      </c>
      <c r="O159" t="str">
        <f>_xlfn.TEXTJOIN(" ",TRUE,TEXT('Input-Instructions'!$B$6,"MM/YYYY"),"Prepaid",'Prepaid Other'!$F$48,"Amortization")</f>
        <v>07/2026 Prepaid Amortization</v>
      </c>
      <c r="P159">
        <v>0</v>
      </c>
      <c r="Q159" s="293"/>
      <c r="R159" s="293"/>
      <c r="S159" s="293"/>
      <c r="T159" s="293"/>
      <c r="U159" s="293"/>
      <c r="V159" s="293"/>
      <c r="W159" s="293"/>
      <c r="X159" s="293"/>
      <c r="Y159" s="293"/>
    </row>
    <row r="160" spans="1:25" x14ac:dyDescent="0.25">
      <c r="A160" t="s">
        <v>1882</v>
      </c>
      <c r="B160">
        <v>1</v>
      </c>
      <c r="E160" s="260">
        <f>'Input-Instructions'!$B$6</f>
        <v>46204</v>
      </c>
      <c r="F160" s="260">
        <f>'Input-Instructions'!$B$6</f>
        <v>46204</v>
      </c>
      <c r="G160" t="str">
        <f t="shared" si="2"/>
        <v>July Recurring Entries</v>
      </c>
      <c r="H160" t="s">
        <v>1883</v>
      </c>
      <c r="I160" t="str">
        <f>'Input-Instructions'!$B$4</f>
        <v>mn610wes</v>
      </c>
      <c r="J160" s="319">
        <f>IFERROR(IF('Prepaid Other'!$A$49="Yes",0,IF(AND(EOMONTH('Prepaid Other'!$E$49,0)&gt;='Input-Instructions'!$B$6,(EOMONTH('Prepaid Other'!$D$49,-1)+1)&lt;='Input-Instructions'!$B$6),'Prepaid Other'!$I$49,0)),0)</f>
        <v>0</v>
      </c>
      <c r="K160">
        <f>IF('Upload Setup'!$B$3="Chart of Accounts A",IFERROR(VLOOKUP('Prepaid Other'!$B$49,'Mapped COA'!A:G,1,0),'Prepaid Other'!$B$49),IFERROR(VLOOKUP('Prepaid Other'!$B$49,'Mapped COA'!A:G,3,0),'Prepaid Other'!$B$49))</f>
        <v>0</v>
      </c>
      <c r="N160">
        <v>1</v>
      </c>
      <c r="O160" t="str">
        <f>_xlfn.TEXTJOIN(" ",TRUE,TEXT('Input-Instructions'!$B$6,"MM/YYYY"),"Prepaid",'Prepaid Other'!$F$49,"Amortization")</f>
        <v>07/2026 Prepaid Amortization</v>
      </c>
      <c r="P160">
        <v>0</v>
      </c>
      <c r="Q160" s="293"/>
      <c r="R160" s="293"/>
      <c r="S160" s="293"/>
      <c r="T160" s="293"/>
      <c r="U160" s="293"/>
      <c r="V160" s="293"/>
      <c r="W160" s="293"/>
      <c r="X160" s="293"/>
      <c r="Y160" s="293"/>
    </row>
    <row r="161" spans="1:25" x14ac:dyDescent="0.25">
      <c r="A161" t="s">
        <v>1882</v>
      </c>
      <c r="B161">
        <v>1</v>
      </c>
      <c r="E161" s="260">
        <f>'Input-Instructions'!$B$6</f>
        <v>46204</v>
      </c>
      <c r="F161" s="260">
        <f>'Input-Instructions'!$B$6</f>
        <v>46204</v>
      </c>
      <c r="G161" t="str">
        <f t="shared" si="2"/>
        <v>July Recurring Entries</v>
      </c>
      <c r="H161" t="s">
        <v>1883</v>
      </c>
      <c r="I161" t="str">
        <f>'Input-Instructions'!$B$4</f>
        <v>mn610wes</v>
      </c>
      <c r="J161" s="319">
        <f>IFERROR(IF('Prepaid Other'!$A$49="Yes",0,IF(AND(EOMONTH('Prepaid Other'!$E$49,0)&gt;='Input-Instructions'!$B$6,(EOMONTH('Prepaid Other'!$D$49,-1)+1)&lt;='Input-Instructions'!$B$6),-'Prepaid Other'!$I$49,0)),0)</f>
        <v>0</v>
      </c>
      <c r="K161">
        <f>IF('Upload Setup'!$B$3="Chart of Accounts A",IFERROR(VLOOKUP('Upload Setup'!$C$21,'Mapped COA'!A:G,1,0),'Upload Setup'!$C$21),IFERROR(VLOOKUP('Upload Setup'!$C$21,'Mapped COA'!A:G,3,0),'Upload Setup'!$C$21))</f>
        <v>13085</v>
      </c>
      <c r="N161">
        <v>1</v>
      </c>
      <c r="O161" t="str">
        <f>_xlfn.TEXTJOIN(" ",TRUE,TEXT('Input-Instructions'!$B$6,"MM/YYYY"),"Prepaid",'Prepaid Other'!$F$49,"Amortization")</f>
        <v>07/2026 Prepaid Amortization</v>
      </c>
      <c r="P161">
        <v>0</v>
      </c>
      <c r="Q161" s="293"/>
      <c r="R161" s="293"/>
      <c r="S161" s="293"/>
      <c r="T161" s="293"/>
      <c r="U161" s="293"/>
      <c r="V161" s="293"/>
      <c r="W161" s="293"/>
      <c r="X161" s="293"/>
      <c r="Y161" s="293"/>
    </row>
    <row r="162" spans="1:25" x14ac:dyDescent="0.25">
      <c r="A162" t="s">
        <v>1882</v>
      </c>
      <c r="B162">
        <v>1</v>
      </c>
      <c r="E162" s="260">
        <f>'Input-Instructions'!$B$6</f>
        <v>46204</v>
      </c>
      <c r="F162" s="260">
        <f>'Input-Instructions'!$B$6</f>
        <v>46204</v>
      </c>
      <c r="G162" t="str">
        <f t="shared" si="2"/>
        <v>July Recurring Entries</v>
      </c>
      <c r="H162" t="s">
        <v>1883</v>
      </c>
      <c r="I162" t="str">
        <f>'Input-Instructions'!$B$4</f>
        <v>mn610wes</v>
      </c>
      <c r="J162" s="319">
        <f>IFERROR(IF('Prepaid Other'!$A$50="Yes",0,IF(AND(EOMONTH('Prepaid Other'!$E$50,0)&gt;='Input-Instructions'!$B$6,(EOMONTH('Prepaid Other'!$D$50,-1)+1)&lt;='Input-Instructions'!$B$6),'Prepaid Other'!$I$50,0)),0)</f>
        <v>0</v>
      </c>
      <c r="K162" t="str">
        <f>IF('Upload Setup'!$B$3="Chart of Accounts A",IFERROR(VLOOKUP('Prepaid Other'!$B$50,'Mapped COA'!A:G,1,0),'Prepaid Other'!$B$50),IFERROR(VLOOKUP('Prepaid Other'!$B$50,'Mapped COA'!A:G,3,0),'Prepaid Other'!$B$50))</f>
        <v>54025-000</v>
      </c>
      <c r="N162">
        <v>1</v>
      </c>
      <c r="O162" t="str">
        <f>_xlfn.TEXTJOIN(" ",TRUE,TEXT('Input-Instructions'!$B$6,"MM/YYYY"),"Prepaid",'Prepaid Other'!$F$50,"Amortization")</f>
        <v>07/2026 Prepaid March Jonah Systems Amortization</v>
      </c>
      <c r="P162">
        <v>0</v>
      </c>
      <c r="Q162" s="293"/>
      <c r="R162" s="293"/>
      <c r="S162" s="293"/>
      <c r="T162" s="293"/>
      <c r="U162" s="293"/>
      <c r="V162" s="293"/>
      <c r="W162" s="293"/>
      <c r="X162" s="293"/>
      <c r="Y162" s="293"/>
    </row>
    <row r="163" spans="1:25" x14ac:dyDescent="0.25">
      <c r="A163" t="s">
        <v>1882</v>
      </c>
      <c r="B163">
        <v>1</v>
      </c>
      <c r="E163" s="260">
        <f>'Input-Instructions'!$B$6</f>
        <v>46204</v>
      </c>
      <c r="F163" s="260">
        <f>'Input-Instructions'!$B$6</f>
        <v>46204</v>
      </c>
      <c r="G163" t="str">
        <f t="shared" si="2"/>
        <v>July Recurring Entries</v>
      </c>
      <c r="H163" t="s">
        <v>1883</v>
      </c>
      <c r="I163" t="str">
        <f>'Input-Instructions'!$B$4</f>
        <v>mn610wes</v>
      </c>
      <c r="J163" s="319">
        <f>IFERROR(IF('Prepaid Other'!$A$50="Yes",0,IF(AND(EOMONTH('Prepaid Other'!$E$50,0)&gt;='Input-Instructions'!$B$6,(EOMONTH('Prepaid Other'!$D$50,-1)+1)&lt;='Input-Instructions'!$B$6),-'Prepaid Other'!$I$50,0)),0)</f>
        <v>0</v>
      </c>
      <c r="K163">
        <f>IF('Upload Setup'!$B$3="Chart of Accounts A",IFERROR(VLOOKUP('Upload Setup'!$C$21,'Mapped COA'!A:G,1,0),'Upload Setup'!$C$21),IFERROR(VLOOKUP('Upload Setup'!$C$21,'Mapped COA'!A:G,3,0),'Upload Setup'!$C$21))</f>
        <v>13085</v>
      </c>
      <c r="N163">
        <v>1</v>
      </c>
      <c r="O163" t="str">
        <f>_xlfn.TEXTJOIN(" ",TRUE,TEXT('Input-Instructions'!$B$6,"MM/YYYY"),"Prepaid",'Prepaid Other'!$F$50,"Amortization")</f>
        <v>07/2026 Prepaid March Jonah Systems Amortization</v>
      </c>
      <c r="P163">
        <v>0</v>
      </c>
      <c r="Q163" s="293"/>
      <c r="R163" s="293"/>
      <c r="S163" s="293"/>
      <c r="T163" s="293"/>
      <c r="U163" s="293"/>
      <c r="V163" s="293"/>
      <c r="W163" s="293"/>
      <c r="X163" s="293"/>
      <c r="Y163" s="293"/>
    </row>
    <row r="164" spans="1:25" x14ac:dyDescent="0.25">
      <c r="A164" t="s">
        <v>1882</v>
      </c>
      <c r="B164">
        <v>1</v>
      </c>
      <c r="E164" s="260">
        <f>'Input-Instructions'!$B$6</f>
        <v>46204</v>
      </c>
      <c r="F164" s="260">
        <f>'Input-Instructions'!$B$6</f>
        <v>46204</v>
      </c>
      <c r="G164" t="str">
        <f t="shared" si="2"/>
        <v>July Recurring Entries</v>
      </c>
      <c r="H164" t="s">
        <v>1883</v>
      </c>
      <c r="I164" t="str">
        <f>'Input-Instructions'!$B$4</f>
        <v>mn610wes</v>
      </c>
      <c r="J164" s="319">
        <f>IFERROR(IF('Prepaid Other'!$A$60="Yes",0,IF(AND(EOMONTH('Prepaid Other'!$E$60,0)&gt;='Input-Instructions'!$B$6,(EOMONTH('Prepaid Other'!$D$60,-1)+1)&lt;='Input-Instructions'!$B$6),'Prepaid Other'!$I$60,0)),0)</f>
        <v>0</v>
      </c>
      <c r="K164">
        <f>IF('Upload Setup'!$B$3="Chart of Accounts A",IFERROR(VLOOKUP('Prepaid Other'!$B$60,'Mapped COA'!A:G,1,0),'Prepaid Other'!$B$60),IFERROR(VLOOKUP('Prepaid Other'!$B$60,'Mapped COA'!A:G,3,0),'Prepaid Other'!$B$60))</f>
        <v>0</v>
      </c>
      <c r="N164">
        <v>1</v>
      </c>
      <c r="O164" t="str">
        <f>_xlfn.TEXTJOIN(" ",TRUE,TEXT('Input-Instructions'!$B$6,"MM/YYYY"),"Prepaid",'Prepaid Other'!$F$60,"Amortization")</f>
        <v>07/2026 Prepaid Amortization</v>
      </c>
      <c r="P164">
        <v>0</v>
      </c>
      <c r="Q164" s="293"/>
      <c r="R164" s="293"/>
      <c r="S164" s="293"/>
      <c r="T164" s="293"/>
      <c r="U164" s="293"/>
      <c r="V164" s="293"/>
      <c r="W164" s="293"/>
      <c r="X164" s="293"/>
      <c r="Y164" s="293"/>
    </row>
    <row r="165" spans="1:25" x14ac:dyDescent="0.25">
      <c r="A165" t="s">
        <v>1882</v>
      </c>
      <c r="B165">
        <v>1</v>
      </c>
      <c r="E165" s="260">
        <f>'Input-Instructions'!$B$6</f>
        <v>46204</v>
      </c>
      <c r="F165" s="260">
        <f>'Input-Instructions'!$B$6</f>
        <v>46204</v>
      </c>
      <c r="G165" t="str">
        <f t="shared" si="2"/>
        <v>July Recurring Entries</v>
      </c>
      <c r="H165" t="s">
        <v>1883</v>
      </c>
      <c r="I165" t="str">
        <f>'Input-Instructions'!$B$4</f>
        <v>mn610wes</v>
      </c>
      <c r="J165" s="319">
        <f>IFERROR(IF('Prepaid Other'!$A$60="Yes",0,IF(AND(EOMONTH('Prepaid Other'!$E$60,0)&gt;='Input-Instructions'!$B$6,(EOMONTH('Prepaid Other'!$D$60,-1)+1)&lt;='Input-Instructions'!$B$6),-'Prepaid Other'!$I$60,0)),0)</f>
        <v>0</v>
      </c>
      <c r="K165">
        <f>IF('Upload Setup'!$B$3="Chart of Accounts A",IFERROR(VLOOKUP('Upload Setup'!$C$21,'Mapped COA'!A:G,1,0),'Upload Setup'!$C$21),IFERROR(VLOOKUP('Upload Setup'!$C$21,'Mapped COA'!A:G,3,0),'Upload Setup'!$C$21))</f>
        <v>13085</v>
      </c>
      <c r="N165">
        <v>1</v>
      </c>
      <c r="O165" t="str">
        <f>_xlfn.TEXTJOIN(" ",TRUE,TEXT('Input-Instructions'!$B$6,"MM/YYYY"),"Prepaid",'Prepaid Other'!$F$60,"Amortization")</f>
        <v>07/2026 Prepaid Amortization</v>
      </c>
      <c r="P165">
        <v>0</v>
      </c>
      <c r="Q165" s="293"/>
      <c r="R165" s="293"/>
      <c r="S165" s="293"/>
      <c r="T165" s="293"/>
      <c r="U165" s="293"/>
      <c r="V165" s="293"/>
      <c r="W165" s="293"/>
      <c r="X165" s="293"/>
      <c r="Y165" s="293"/>
    </row>
  </sheetData>
  <pageMargins left="0.7" right="0.7" top="0.75" bottom="0.75" header="0.3" footer="0.3"/>
  <pageSetup orientation="landscape" r:id="rId1"/>
  <headerFooter>
    <oddFooter>&amp;LWednesday, November 09, 2022&amp;RPage &amp;P of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2896A-FC6A-48C5-9725-931E9A656E5A}">
  <sheetPr codeName="Sheet17"/>
  <dimension ref="A2:AA1663"/>
  <sheetViews>
    <sheetView topLeftCell="C1" workbookViewId="0">
      <selection activeCell="S29" sqref="S29"/>
    </sheetView>
  </sheetViews>
  <sheetFormatPr defaultRowHeight="15" x14ac:dyDescent="0.25"/>
  <cols>
    <col min="1" max="1" width="23.5703125" bestFit="1" customWidth="1"/>
    <col min="2" max="2" width="8.85546875" bestFit="1" customWidth="1"/>
    <col min="3" max="3" width="14.140625" bestFit="1" customWidth="1"/>
    <col min="4" max="4" width="10.5703125" bestFit="1" customWidth="1"/>
    <col min="5" max="5" width="14.5703125" bestFit="1" customWidth="1"/>
    <col min="6" max="6" width="4.85546875" bestFit="1" customWidth="1"/>
    <col min="7" max="7" width="11.42578125" bestFit="1" customWidth="1"/>
    <col min="8" max="8" width="18.5703125" bestFit="1" customWidth="1"/>
    <col min="9" max="9" width="10.140625" bestFit="1" customWidth="1"/>
    <col min="10" max="10" width="14.140625" bestFit="1" customWidth="1"/>
    <col min="11" max="11" width="19.5703125" bestFit="1" customWidth="1"/>
    <col min="12" max="12" width="12.140625" bestFit="1" customWidth="1"/>
    <col min="13" max="13" width="15.85546875" bestFit="1" customWidth="1"/>
    <col min="14" max="14" width="11.42578125" bestFit="1" customWidth="1"/>
    <col min="15" max="15" width="16" bestFit="1" customWidth="1"/>
    <col min="16" max="16" width="11.140625" bestFit="1" customWidth="1"/>
    <col min="17" max="17" width="20.5703125" bestFit="1" customWidth="1"/>
    <col min="18" max="18" width="11.140625" bestFit="1" customWidth="1"/>
    <col min="19" max="19" width="12" bestFit="1" customWidth="1"/>
    <col min="20" max="20" width="5.85546875" bestFit="1" customWidth="1"/>
    <col min="21" max="21" width="6.42578125" bestFit="1" customWidth="1"/>
    <col min="22" max="22" width="8.42578125" bestFit="1" customWidth="1"/>
    <col min="23" max="23" width="13.42578125" bestFit="1" customWidth="1"/>
    <col min="24" max="24" width="15.5703125" bestFit="1" customWidth="1"/>
    <col min="25" max="25" width="4" bestFit="1" customWidth="1"/>
    <col min="26" max="26" width="9.5703125" bestFit="1" customWidth="1"/>
    <col min="27" max="27" width="8.42578125" bestFit="1" customWidth="1"/>
  </cols>
  <sheetData>
    <row r="2" spans="1:27" x14ac:dyDescent="0.25">
      <c r="A2" s="401" t="s">
        <v>1884</v>
      </c>
      <c r="B2" s="401" t="s">
        <v>1885</v>
      </c>
      <c r="C2" s="401" t="s">
        <v>1886</v>
      </c>
      <c r="D2" s="401" t="s">
        <v>1887</v>
      </c>
      <c r="E2" s="401" t="s">
        <v>4</v>
      </c>
      <c r="F2" s="401" t="s">
        <v>271</v>
      </c>
      <c r="G2" s="401" t="s">
        <v>1888</v>
      </c>
      <c r="H2" s="401" t="s">
        <v>1889</v>
      </c>
      <c r="I2" s="401" t="s">
        <v>1890</v>
      </c>
      <c r="J2" s="401" t="s">
        <v>1891</v>
      </c>
      <c r="K2" s="401" t="s">
        <v>1892</v>
      </c>
      <c r="L2" s="401" t="s">
        <v>1893</v>
      </c>
      <c r="M2" s="401" t="s">
        <v>1894</v>
      </c>
      <c r="N2" s="401" t="s">
        <v>1895</v>
      </c>
      <c r="O2" s="401" t="s">
        <v>1896</v>
      </c>
      <c r="P2" s="401" t="s">
        <v>32</v>
      </c>
      <c r="Q2" s="401" t="s">
        <v>1897</v>
      </c>
      <c r="R2" s="401" t="s">
        <v>1898</v>
      </c>
      <c r="S2" s="401" t="s">
        <v>1899</v>
      </c>
      <c r="T2" s="401" t="s">
        <v>1900</v>
      </c>
      <c r="U2" s="401" t="s">
        <v>1901</v>
      </c>
      <c r="V2" s="401" t="s">
        <v>1902</v>
      </c>
      <c r="W2" s="401"/>
      <c r="X2" s="401"/>
      <c r="Y2" s="401"/>
      <c r="Z2" s="401"/>
      <c r="AA2" s="401"/>
    </row>
    <row r="3" spans="1:27" x14ac:dyDescent="0.25">
      <c r="A3" t="str">
        <f>Yardi!G2</f>
        <v>July Recurring Entries</v>
      </c>
      <c r="B3" t="s">
        <v>1903</v>
      </c>
      <c r="C3" t="s">
        <v>37</v>
      </c>
      <c r="D3" t="s">
        <v>1883</v>
      </c>
      <c r="E3" t="str">
        <f>'Input-Instructions'!$B$3</f>
        <v>610 West</v>
      </c>
      <c r="G3" s="409" t="str">
        <f>TEXT(Yardi!F2,"M/YYYY")</f>
        <v>7/2026</v>
      </c>
      <c r="H3" t="str">
        <f>IF(A2="","","Both")</f>
        <v>Both</v>
      </c>
      <c r="J3" t="str">
        <f>IF(H3="Both","No","Yes")</f>
        <v>No</v>
      </c>
      <c r="K3" t="str">
        <f>IF(J3="Yes",TEXT(EOMONTH(G3,0)+1,"M/YYYY"),"")</f>
        <v/>
      </c>
      <c r="M3" s="260">
        <f>Yardi!E2</f>
        <v>46204</v>
      </c>
      <c r="O3" t="str">
        <f>Yardi!K2</f>
        <v>63010-000</v>
      </c>
      <c r="P3" t="str">
        <f>Yardi!O2</f>
        <v>07/2026 Prepaid Amortization</v>
      </c>
      <c r="R3" t="s">
        <v>37</v>
      </c>
      <c r="S3" t="s">
        <v>37</v>
      </c>
      <c r="T3" t="s">
        <v>37</v>
      </c>
      <c r="U3" t="s">
        <v>37</v>
      </c>
      <c r="V3" s="410">
        <f>Yardi!J2</f>
        <v>0</v>
      </c>
    </row>
    <row r="4" spans="1:27" x14ac:dyDescent="0.25">
      <c r="A4" t="s">
        <v>37</v>
      </c>
      <c r="B4" t="s">
        <v>37</v>
      </c>
      <c r="C4" t="s">
        <v>37</v>
      </c>
      <c r="D4" t="s">
        <v>37</v>
      </c>
      <c r="E4" t="s">
        <v>37</v>
      </c>
      <c r="F4" t="s">
        <v>37</v>
      </c>
      <c r="G4" t="s">
        <v>37</v>
      </c>
      <c r="H4" t="s">
        <v>37</v>
      </c>
      <c r="I4" t="s">
        <v>37</v>
      </c>
      <c r="J4" t="s">
        <v>37</v>
      </c>
      <c r="K4" t="s">
        <v>37</v>
      </c>
      <c r="L4" t="s">
        <v>37</v>
      </c>
      <c r="M4" t="s">
        <v>37</v>
      </c>
      <c r="N4" t="s">
        <v>37</v>
      </c>
      <c r="O4" t="str">
        <f>Yardi!K3</f>
        <v>13050-000</v>
      </c>
      <c r="P4" t="str">
        <f>Yardi!O3</f>
        <v>07/2026 Prepaid Amortization</v>
      </c>
      <c r="R4" t="s">
        <v>37</v>
      </c>
      <c r="S4" t="s">
        <v>37</v>
      </c>
      <c r="T4" t="s">
        <v>37</v>
      </c>
      <c r="U4" t="s">
        <v>37</v>
      </c>
      <c r="V4" s="410">
        <f>Yardi!J3</f>
        <v>0</v>
      </c>
    </row>
    <row r="5" spans="1:27" x14ac:dyDescent="0.25">
      <c r="A5" t="s">
        <v>37</v>
      </c>
      <c r="B5" t="s">
        <v>37</v>
      </c>
      <c r="C5" t="s">
        <v>37</v>
      </c>
      <c r="D5" t="s">
        <v>37</v>
      </c>
      <c r="E5" t="s">
        <v>37</v>
      </c>
      <c r="F5" t="s">
        <v>37</v>
      </c>
      <c r="G5" t="s">
        <v>37</v>
      </c>
      <c r="H5" t="s">
        <v>37</v>
      </c>
      <c r="I5" t="s">
        <v>37</v>
      </c>
      <c r="J5" t="s">
        <v>37</v>
      </c>
      <c r="K5" t="s">
        <v>37</v>
      </c>
      <c r="L5" t="s">
        <v>37</v>
      </c>
      <c r="M5" t="s">
        <v>37</v>
      </c>
      <c r="N5" t="s">
        <v>37</v>
      </c>
      <c r="O5">
        <f>Yardi!K4</f>
        <v>0</v>
      </c>
      <c r="P5" t="str">
        <f>Yardi!O4</f>
        <v>07/2026 Prepaid Amortization</v>
      </c>
      <c r="R5" t="s">
        <v>37</v>
      </c>
      <c r="S5" t="s">
        <v>37</v>
      </c>
      <c r="T5" t="s">
        <v>37</v>
      </c>
      <c r="U5" t="s">
        <v>37</v>
      </c>
      <c r="V5" s="410">
        <f>Yardi!J4</f>
        <v>0</v>
      </c>
    </row>
    <row r="6" spans="1:27" x14ac:dyDescent="0.25">
      <c r="A6" t="s">
        <v>37</v>
      </c>
      <c r="B6" t="s">
        <v>37</v>
      </c>
      <c r="C6" t="s">
        <v>37</v>
      </c>
      <c r="D6" t="s">
        <v>37</v>
      </c>
      <c r="E6" t="s">
        <v>37</v>
      </c>
      <c r="F6" t="s">
        <v>37</v>
      </c>
      <c r="G6" t="s">
        <v>37</v>
      </c>
      <c r="H6" t="s">
        <v>37</v>
      </c>
      <c r="I6" t="s">
        <v>37</v>
      </c>
      <c r="J6" t="s">
        <v>37</v>
      </c>
      <c r="K6" t="s">
        <v>37</v>
      </c>
      <c r="L6" t="s">
        <v>37</v>
      </c>
      <c r="M6" t="s">
        <v>37</v>
      </c>
      <c r="N6" t="s">
        <v>37</v>
      </c>
      <c r="O6" t="str">
        <f>Yardi!K5</f>
        <v>13050-000</v>
      </c>
      <c r="P6" t="str">
        <f>Yardi!O5</f>
        <v>07/2026 Prepaid Amortization</v>
      </c>
      <c r="R6" t="s">
        <v>37</v>
      </c>
      <c r="S6" t="s">
        <v>37</v>
      </c>
      <c r="T6" t="s">
        <v>37</v>
      </c>
      <c r="U6" t="s">
        <v>37</v>
      </c>
      <c r="V6" s="410">
        <f>Yardi!J5</f>
        <v>0</v>
      </c>
    </row>
    <row r="7" spans="1:27" x14ac:dyDescent="0.25">
      <c r="A7" t="s">
        <v>37</v>
      </c>
      <c r="B7" t="s">
        <v>37</v>
      </c>
      <c r="C7" t="s">
        <v>37</v>
      </c>
      <c r="D7" t="s">
        <v>37</v>
      </c>
      <c r="E7" t="s">
        <v>37</v>
      </c>
      <c r="F7" t="s">
        <v>37</v>
      </c>
      <c r="G7" t="s">
        <v>37</v>
      </c>
      <c r="H7" t="s">
        <v>37</v>
      </c>
      <c r="I7" t="s">
        <v>37</v>
      </c>
      <c r="J7" t="s">
        <v>37</v>
      </c>
      <c r="K7" t="s">
        <v>37</v>
      </c>
      <c r="L7" t="s">
        <v>37</v>
      </c>
      <c r="M7" t="s">
        <v>37</v>
      </c>
      <c r="N7" t="s">
        <v>37</v>
      </c>
      <c r="O7">
        <f>Yardi!K6</f>
        <v>0</v>
      </c>
      <c r="P7" t="str">
        <f>Yardi!O6</f>
        <v>07/2026 Prepaid Amortization</v>
      </c>
      <c r="R7" t="s">
        <v>37</v>
      </c>
      <c r="S7" t="s">
        <v>37</v>
      </c>
      <c r="T7" t="s">
        <v>37</v>
      </c>
      <c r="U7" t="s">
        <v>37</v>
      </c>
      <c r="V7" s="410">
        <f>Yardi!J6</f>
        <v>0</v>
      </c>
    </row>
    <row r="8" spans="1:27" x14ac:dyDescent="0.25">
      <c r="A8" t="s">
        <v>37</v>
      </c>
      <c r="B8" t="s">
        <v>37</v>
      </c>
      <c r="C8" t="s">
        <v>37</v>
      </c>
      <c r="D8" t="s">
        <v>37</v>
      </c>
      <c r="E8" t="s">
        <v>37</v>
      </c>
      <c r="F8" t="s">
        <v>37</v>
      </c>
      <c r="G8" t="s">
        <v>37</v>
      </c>
      <c r="H8" t="s">
        <v>37</v>
      </c>
      <c r="I8" t="s">
        <v>37</v>
      </c>
      <c r="J8" t="s">
        <v>37</v>
      </c>
      <c r="K8" t="s">
        <v>37</v>
      </c>
      <c r="L8" t="s">
        <v>37</v>
      </c>
      <c r="M8" t="s">
        <v>37</v>
      </c>
      <c r="N8" t="s">
        <v>37</v>
      </c>
      <c r="O8" t="str">
        <f>Yardi!K7</f>
        <v>13050-000</v>
      </c>
      <c r="P8" t="str">
        <f>Yardi!O7</f>
        <v>07/2026 Prepaid Amortization</v>
      </c>
      <c r="R8" t="s">
        <v>37</v>
      </c>
      <c r="S8" t="s">
        <v>37</v>
      </c>
      <c r="T8" t="s">
        <v>37</v>
      </c>
      <c r="U8" t="s">
        <v>37</v>
      </c>
      <c r="V8" s="410">
        <f>Yardi!J7</f>
        <v>0</v>
      </c>
    </row>
    <row r="9" spans="1:27" x14ac:dyDescent="0.25">
      <c r="A9" t="s">
        <v>37</v>
      </c>
      <c r="B9" t="s">
        <v>37</v>
      </c>
      <c r="C9" t="s">
        <v>37</v>
      </c>
      <c r="D9" t="s">
        <v>37</v>
      </c>
      <c r="E9" t="s">
        <v>37</v>
      </c>
      <c r="F9" t="s">
        <v>37</v>
      </c>
      <c r="G9" t="s">
        <v>37</v>
      </c>
      <c r="H9" t="s">
        <v>37</v>
      </c>
      <c r="I9" t="s">
        <v>37</v>
      </c>
      <c r="J9" t="s">
        <v>37</v>
      </c>
      <c r="K9" t="s">
        <v>37</v>
      </c>
      <c r="L9" t="s">
        <v>37</v>
      </c>
      <c r="M9" t="s">
        <v>37</v>
      </c>
      <c r="N9" t="s">
        <v>37</v>
      </c>
      <c r="O9">
        <f>Yardi!K8</f>
        <v>0</v>
      </c>
      <c r="P9" t="str">
        <f>Yardi!O8</f>
        <v>07/2026 Prepaid Amortization</v>
      </c>
      <c r="R9" t="s">
        <v>37</v>
      </c>
      <c r="S9" t="s">
        <v>37</v>
      </c>
      <c r="T9" t="s">
        <v>37</v>
      </c>
      <c r="U9" t="s">
        <v>37</v>
      </c>
      <c r="V9" s="410">
        <f>Yardi!J8</f>
        <v>0</v>
      </c>
    </row>
    <row r="10" spans="1:27" x14ac:dyDescent="0.25">
      <c r="A10" t="s">
        <v>37</v>
      </c>
      <c r="B10" t="s">
        <v>37</v>
      </c>
      <c r="C10" t="s">
        <v>37</v>
      </c>
      <c r="D10" t="s">
        <v>37</v>
      </c>
      <c r="E10" t="s">
        <v>37</v>
      </c>
      <c r="F10" t="s">
        <v>37</v>
      </c>
      <c r="G10" t="s">
        <v>37</v>
      </c>
      <c r="H10" t="s">
        <v>37</v>
      </c>
      <c r="I10" t="s">
        <v>37</v>
      </c>
      <c r="J10" t="s">
        <v>37</v>
      </c>
      <c r="K10" t="s">
        <v>37</v>
      </c>
      <c r="L10" t="s">
        <v>37</v>
      </c>
      <c r="M10" t="s">
        <v>37</v>
      </c>
      <c r="N10" t="s">
        <v>37</v>
      </c>
      <c r="O10" t="str">
        <f>Yardi!K9</f>
        <v>13050-000</v>
      </c>
      <c r="P10" t="str">
        <f>Yardi!O9</f>
        <v>07/2026 Prepaid Amortization</v>
      </c>
      <c r="R10" t="s">
        <v>37</v>
      </c>
      <c r="S10" t="s">
        <v>37</v>
      </c>
      <c r="T10" t="s">
        <v>37</v>
      </c>
      <c r="U10" t="s">
        <v>37</v>
      </c>
      <c r="V10" s="410">
        <f>Yardi!J9</f>
        <v>0</v>
      </c>
    </row>
    <row r="11" spans="1:27" x14ac:dyDescent="0.25">
      <c r="A11" t="s">
        <v>37</v>
      </c>
      <c r="B11" t="s">
        <v>37</v>
      </c>
      <c r="C11" t="s">
        <v>37</v>
      </c>
      <c r="D11" t="s">
        <v>37</v>
      </c>
      <c r="E11" t="s">
        <v>37</v>
      </c>
      <c r="F11" t="s">
        <v>37</v>
      </c>
      <c r="G11" t="s">
        <v>37</v>
      </c>
      <c r="H11" t="s">
        <v>37</v>
      </c>
      <c r="I11" t="s">
        <v>37</v>
      </c>
      <c r="J11" t="s">
        <v>37</v>
      </c>
      <c r="K11" t="s">
        <v>37</v>
      </c>
      <c r="L11" t="s">
        <v>37</v>
      </c>
      <c r="M11" t="s">
        <v>37</v>
      </c>
      <c r="N11" t="s">
        <v>37</v>
      </c>
      <c r="O11">
        <f>Yardi!K10</f>
        <v>0</v>
      </c>
      <c r="P11" t="str">
        <f>Yardi!O10</f>
        <v>07/2026 Prepaid Amortization</v>
      </c>
      <c r="R11" t="s">
        <v>37</v>
      </c>
      <c r="S11" t="s">
        <v>37</v>
      </c>
      <c r="T11" t="s">
        <v>37</v>
      </c>
      <c r="U11" t="s">
        <v>37</v>
      </c>
      <c r="V11" s="410">
        <f>Yardi!J10</f>
        <v>0</v>
      </c>
    </row>
    <row r="12" spans="1:27" x14ac:dyDescent="0.25">
      <c r="A12" t="s">
        <v>37</v>
      </c>
      <c r="B12" t="s">
        <v>37</v>
      </c>
      <c r="C12" t="s">
        <v>37</v>
      </c>
      <c r="D12" t="s">
        <v>37</v>
      </c>
      <c r="E12" t="s">
        <v>37</v>
      </c>
      <c r="F12" t="s">
        <v>37</v>
      </c>
      <c r="G12" t="s">
        <v>37</v>
      </c>
      <c r="H12" t="s">
        <v>37</v>
      </c>
      <c r="I12" t="s">
        <v>37</v>
      </c>
      <c r="J12" t="s">
        <v>37</v>
      </c>
      <c r="K12" t="s">
        <v>37</v>
      </c>
      <c r="L12" t="s">
        <v>37</v>
      </c>
      <c r="M12" t="s">
        <v>37</v>
      </c>
      <c r="N12" t="s">
        <v>37</v>
      </c>
      <c r="O12" t="str">
        <f>Yardi!K11</f>
        <v>13050-000</v>
      </c>
      <c r="P12" t="str">
        <f>Yardi!O11</f>
        <v>07/2026 Prepaid Amortization</v>
      </c>
      <c r="R12" t="s">
        <v>37</v>
      </c>
      <c r="S12" t="s">
        <v>37</v>
      </c>
      <c r="T12" t="s">
        <v>37</v>
      </c>
      <c r="U12" t="s">
        <v>37</v>
      </c>
      <c r="V12" s="410">
        <f>Yardi!J11</f>
        <v>0</v>
      </c>
    </row>
    <row r="13" spans="1:27" x14ac:dyDescent="0.25">
      <c r="A13" t="s">
        <v>37</v>
      </c>
      <c r="B13" t="s">
        <v>37</v>
      </c>
      <c r="C13" t="s">
        <v>37</v>
      </c>
      <c r="D13" t="s">
        <v>37</v>
      </c>
      <c r="E13" t="s">
        <v>37</v>
      </c>
      <c r="F13" t="s">
        <v>37</v>
      </c>
      <c r="G13" t="s">
        <v>37</v>
      </c>
      <c r="H13" t="s">
        <v>37</v>
      </c>
      <c r="I13" t="s">
        <v>37</v>
      </c>
      <c r="J13" t="s">
        <v>37</v>
      </c>
      <c r="K13" t="s">
        <v>37</v>
      </c>
      <c r="L13" t="s">
        <v>37</v>
      </c>
      <c r="M13" t="s">
        <v>37</v>
      </c>
      <c r="N13" t="s">
        <v>37</v>
      </c>
      <c r="O13">
        <f>Yardi!K12</f>
        <v>0</v>
      </c>
      <c r="P13" t="str">
        <f>Yardi!O12</f>
        <v>07/2026 Prepaid Amortization</v>
      </c>
      <c r="R13" t="s">
        <v>37</v>
      </c>
      <c r="S13" t="s">
        <v>37</v>
      </c>
      <c r="T13" t="s">
        <v>37</v>
      </c>
      <c r="U13" t="s">
        <v>37</v>
      </c>
      <c r="V13" s="410">
        <f>Yardi!J12</f>
        <v>0</v>
      </c>
    </row>
    <row r="14" spans="1:27" x14ac:dyDescent="0.25">
      <c r="A14" t="s">
        <v>37</v>
      </c>
      <c r="B14" t="s">
        <v>37</v>
      </c>
      <c r="C14" t="s">
        <v>37</v>
      </c>
      <c r="D14" t="s">
        <v>37</v>
      </c>
      <c r="E14" t="s">
        <v>37</v>
      </c>
      <c r="F14" t="s">
        <v>37</v>
      </c>
      <c r="G14" t="s">
        <v>37</v>
      </c>
      <c r="H14" t="s">
        <v>37</v>
      </c>
      <c r="I14" t="s">
        <v>37</v>
      </c>
      <c r="J14" t="s">
        <v>37</v>
      </c>
      <c r="K14" t="s">
        <v>37</v>
      </c>
      <c r="L14" t="s">
        <v>37</v>
      </c>
      <c r="M14" t="s">
        <v>37</v>
      </c>
      <c r="N14" t="s">
        <v>37</v>
      </c>
      <c r="O14" t="str">
        <f>Yardi!K13</f>
        <v>13050-000</v>
      </c>
      <c r="P14" t="str">
        <f>Yardi!O13</f>
        <v>07/2026 Prepaid Amortization</v>
      </c>
      <c r="R14" t="s">
        <v>37</v>
      </c>
      <c r="S14" t="s">
        <v>37</v>
      </c>
      <c r="T14" t="s">
        <v>37</v>
      </c>
      <c r="U14" t="s">
        <v>37</v>
      </c>
      <c r="V14" s="410">
        <f>Yardi!J13</f>
        <v>0</v>
      </c>
    </row>
    <row r="15" spans="1:27" x14ac:dyDescent="0.25">
      <c r="A15" t="s">
        <v>37</v>
      </c>
      <c r="B15" t="s">
        <v>37</v>
      </c>
      <c r="C15" t="s">
        <v>37</v>
      </c>
      <c r="D15" t="s">
        <v>37</v>
      </c>
      <c r="E15" t="s">
        <v>37</v>
      </c>
      <c r="F15" t="s">
        <v>37</v>
      </c>
      <c r="G15" t="s">
        <v>37</v>
      </c>
      <c r="H15" t="s">
        <v>37</v>
      </c>
      <c r="I15" t="s">
        <v>37</v>
      </c>
      <c r="J15" t="s">
        <v>37</v>
      </c>
      <c r="K15" t="s">
        <v>37</v>
      </c>
      <c r="L15" t="s">
        <v>37</v>
      </c>
      <c r="M15" t="s">
        <v>37</v>
      </c>
      <c r="N15" t="s">
        <v>37</v>
      </c>
      <c r="O15">
        <f>Yardi!K14</f>
        <v>0</v>
      </c>
      <c r="P15" t="str">
        <f>Yardi!O14</f>
        <v>07/2026 Prepaid Amortization</v>
      </c>
      <c r="R15" t="s">
        <v>37</v>
      </c>
      <c r="S15" t="s">
        <v>37</v>
      </c>
      <c r="T15" t="s">
        <v>37</v>
      </c>
      <c r="U15" t="s">
        <v>37</v>
      </c>
      <c r="V15" s="410">
        <f>Yardi!J14</f>
        <v>0</v>
      </c>
    </row>
    <row r="16" spans="1:27" x14ac:dyDescent="0.25">
      <c r="A16" t="s">
        <v>37</v>
      </c>
      <c r="B16" t="s">
        <v>37</v>
      </c>
      <c r="C16" t="s">
        <v>37</v>
      </c>
      <c r="D16" t="s">
        <v>37</v>
      </c>
      <c r="E16" t="s">
        <v>37</v>
      </c>
      <c r="F16" t="s">
        <v>37</v>
      </c>
      <c r="G16" t="s">
        <v>37</v>
      </c>
      <c r="H16" t="s">
        <v>37</v>
      </c>
      <c r="I16" t="s">
        <v>37</v>
      </c>
      <c r="J16" t="s">
        <v>37</v>
      </c>
      <c r="K16" t="s">
        <v>37</v>
      </c>
      <c r="L16" t="s">
        <v>37</v>
      </c>
      <c r="M16" t="s">
        <v>37</v>
      </c>
      <c r="N16" t="s">
        <v>37</v>
      </c>
      <c r="O16" t="str">
        <f>Yardi!K15</f>
        <v>13050-000</v>
      </c>
      <c r="P16" t="str">
        <f>Yardi!O15</f>
        <v>07/2026 Prepaid Amortization</v>
      </c>
      <c r="R16" t="s">
        <v>37</v>
      </c>
      <c r="S16" t="s">
        <v>37</v>
      </c>
      <c r="T16" t="s">
        <v>37</v>
      </c>
      <c r="U16" t="s">
        <v>37</v>
      </c>
      <c r="V16" s="410">
        <f>Yardi!J15</f>
        <v>0</v>
      </c>
    </row>
    <row r="17" spans="1:22" x14ac:dyDescent="0.25">
      <c r="A17" t="s">
        <v>37</v>
      </c>
      <c r="B17" t="s">
        <v>37</v>
      </c>
      <c r="C17" t="s">
        <v>37</v>
      </c>
      <c r="D17" t="s">
        <v>37</v>
      </c>
      <c r="E17" t="s">
        <v>37</v>
      </c>
      <c r="F17" t="s">
        <v>37</v>
      </c>
      <c r="G17" t="s">
        <v>37</v>
      </c>
      <c r="H17" t="s">
        <v>37</v>
      </c>
      <c r="I17" t="s">
        <v>37</v>
      </c>
      <c r="J17" t="s">
        <v>37</v>
      </c>
      <c r="K17" t="s">
        <v>37</v>
      </c>
      <c r="L17" t="s">
        <v>37</v>
      </c>
      <c r="M17" t="s">
        <v>37</v>
      </c>
      <c r="N17" t="s">
        <v>37</v>
      </c>
      <c r="O17">
        <f>Yardi!K16</f>
        <v>0</v>
      </c>
      <c r="P17" t="str">
        <f>Yardi!O16</f>
        <v>07/2026 Prepaid Amortization</v>
      </c>
      <c r="R17" t="s">
        <v>37</v>
      </c>
      <c r="S17" t="s">
        <v>37</v>
      </c>
      <c r="T17" t="s">
        <v>37</v>
      </c>
      <c r="U17" t="s">
        <v>37</v>
      </c>
      <c r="V17" s="410">
        <f>Yardi!J16</f>
        <v>0</v>
      </c>
    </row>
    <row r="18" spans="1:22" x14ac:dyDescent="0.25">
      <c r="A18" t="s">
        <v>37</v>
      </c>
      <c r="B18" t="s">
        <v>37</v>
      </c>
      <c r="C18" t="s">
        <v>37</v>
      </c>
      <c r="D18" t="s">
        <v>37</v>
      </c>
      <c r="E18" t="s">
        <v>37</v>
      </c>
      <c r="F18" t="s">
        <v>37</v>
      </c>
      <c r="G18" t="s">
        <v>37</v>
      </c>
      <c r="H18" t="s">
        <v>37</v>
      </c>
      <c r="I18" t="s">
        <v>37</v>
      </c>
      <c r="J18" t="s">
        <v>37</v>
      </c>
      <c r="K18" t="s">
        <v>37</v>
      </c>
      <c r="L18" t="s">
        <v>37</v>
      </c>
      <c r="M18" t="s">
        <v>37</v>
      </c>
      <c r="N18" t="s">
        <v>37</v>
      </c>
      <c r="O18" t="str">
        <f>Yardi!K17</f>
        <v>13050-000</v>
      </c>
      <c r="P18" t="str">
        <f>Yardi!O17</f>
        <v>07/2026 Prepaid Amortization</v>
      </c>
      <c r="R18" t="s">
        <v>37</v>
      </c>
      <c r="S18" t="s">
        <v>37</v>
      </c>
      <c r="T18" t="s">
        <v>37</v>
      </c>
      <c r="U18" t="s">
        <v>37</v>
      </c>
      <c r="V18" s="410">
        <f>Yardi!J17</f>
        <v>0</v>
      </c>
    </row>
    <row r="19" spans="1:22" x14ac:dyDescent="0.25">
      <c r="A19" t="s">
        <v>37</v>
      </c>
      <c r="B19" t="s">
        <v>37</v>
      </c>
      <c r="C19" t="s">
        <v>37</v>
      </c>
      <c r="D19" t="s">
        <v>37</v>
      </c>
      <c r="E19" t="s">
        <v>37</v>
      </c>
      <c r="F19" t="s">
        <v>37</v>
      </c>
      <c r="G19" t="s">
        <v>37</v>
      </c>
      <c r="H19" t="s">
        <v>37</v>
      </c>
      <c r="I19" t="s">
        <v>37</v>
      </c>
      <c r="J19" t="s">
        <v>37</v>
      </c>
      <c r="K19" t="s">
        <v>37</v>
      </c>
      <c r="L19" t="s">
        <v>37</v>
      </c>
      <c r="M19" t="s">
        <v>37</v>
      </c>
      <c r="N19" t="s">
        <v>37</v>
      </c>
      <c r="O19">
        <f>Yardi!K18</f>
        <v>0</v>
      </c>
      <c r="P19" t="str">
        <f>Yardi!O18</f>
        <v>07/2026 Prepaid Amortization</v>
      </c>
      <c r="R19" t="s">
        <v>37</v>
      </c>
      <c r="S19" t="s">
        <v>37</v>
      </c>
      <c r="T19" t="s">
        <v>37</v>
      </c>
      <c r="U19" t="s">
        <v>37</v>
      </c>
      <c r="V19" s="410">
        <f>Yardi!J18</f>
        <v>0</v>
      </c>
    </row>
    <row r="20" spans="1:22" x14ac:dyDescent="0.25">
      <c r="A20" t="s">
        <v>37</v>
      </c>
      <c r="B20" t="s">
        <v>37</v>
      </c>
      <c r="C20" t="s">
        <v>37</v>
      </c>
      <c r="D20" t="s">
        <v>37</v>
      </c>
      <c r="E20" t="s">
        <v>37</v>
      </c>
      <c r="F20" t="s">
        <v>37</v>
      </c>
      <c r="G20" t="s">
        <v>37</v>
      </c>
      <c r="H20" t="s">
        <v>37</v>
      </c>
      <c r="I20" t="s">
        <v>37</v>
      </c>
      <c r="J20" t="s">
        <v>37</v>
      </c>
      <c r="K20" t="s">
        <v>37</v>
      </c>
      <c r="L20" t="s">
        <v>37</v>
      </c>
      <c r="M20" t="s">
        <v>37</v>
      </c>
      <c r="N20" t="s">
        <v>37</v>
      </c>
      <c r="O20" t="str">
        <f>Yardi!K19</f>
        <v>13050-000</v>
      </c>
      <c r="P20" t="str">
        <f>Yardi!O19</f>
        <v>07/2026 Prepaid Amortization</v>
      </c>
      <c r="R20" t="s">
        <v>37</v>
      </c>
      <c r="S20" t="s">
        <v>37</v>
      </c>
      <c r="T20" t="s">
        <v>37</v>
      </c>
      <c r="U20" t="s">
        <v>37</v>
      </c>
      <c r="V20" s="410">
        <f>Yardi!J19</f>
        <v>0</v>
      </c>
    </row>
    <row r="21" spans="1:22" x14ac:dyDescent="0.25">
      <c r="A21" t="s">
        <v>37</v>
      </c>
      <c r="B21" t="s">
        <v>37</v>
      </c>
      <c r="C21" t="s">
        <v>37</v>
      </c>
      <c r="D21" t="s">
        <v>37</v>
      </c>
      <c r="E21" t="s">
        <v>37</v>
      </c>
      <c r="F21" t="s">
        <v>37</v>
      </c>
      <c r="G21" t="s">
        <v>37</v>
      </c>
      <c r="H21" t="s">
        <v>37</v>
      </c>
      <c r="I21" t="s">
        <v>37</v>
      </c>
      <c r="J21" t="s">
        <v>37</v>
      </c>
      <c r="K21" t="s">
        <v>37</v>
      </c>
      <c r="L21" t="s">
        <v>37</v>
      </c>
      <c r="M21" t="s">
        <v>37</v>
      </c>
      <c r="N21" t="s">
        <v>37</v>
      </c>
      <c r="O21">
        <f>Yardi!K20</f>
        <v>0</v>
      </c>
      <c r="P21" t="str">
        <f>Yardi!O20</f>
        <v>07/2026 Prepaid Amortization</v>
      </c>
      <c r="R21" t="s">
        <v>37</v>
      </c>
      <c r="S21" t="s">
        <v>37</v>
      </c>
      <c r="T21" t="s">
        <v>37</v>
      </c>
      <c r="U21" t="s">
        <v>37</v>
      </c>
      <c r="V21" s="410">
        <f>Yardi!J20</f>
        <v>0</v>
      </c>
    </row>
    <row r="22" spans="1:22" x14ac:dyDescent="0.25">
      <c r="A22" t="s">
        <v>37</v>
      </c>
      <c r="B22" t="s">
        <v>37</v>
      </c>
      <c r="C22" t="s">
        <v>37</v>
      </c>
      <c r="D22" t="s">
        <v>37</v>
      </c>
      <c r="E22" t="s">
        <v>37</v>
      </c>
      <c r="F22" t="s">
        <v>37</v>
      </c>
      <c r="G22" t="s">
        <v>37</v>
      </c>
      <c r="H22" t="s">
        <v>37</v>
      </c>
      <c r="I22" t="s">
        <v>37</v>
      </c>
      <c r="J22" t="s">
        <v>37</v>
      </c>
      <c r="K22" t="s">
        <v>37</v>
      </c>
      <c r="L22" t="s">
        <v>37</v>
      </c>
      <c r="M22" t="s">
        <v>37</v>
      </c>
      <c r="N22" t="s">
        <v>37</v>
      </c>
      <c r="O22" t="str">
        <f>Yardi!K21</f>
        <v>13050-000</v>
      </c>
      <c r="P22" t="str">
        <f>Yardi!O21</f>
        <v>07/2026 Prepaid Amortization</v>
      </c>
      <c r="R22" t="s">
        <v>37</v>
      </c>
      <c r="S22" t="s">
        <v>37</v>
      </c>
      <c r="T22" t="s">
        <v>37</v>
      </c>
      <c r="U22" t="s">
        <v>37</v>
      </c>
      <c r="V22" s="410">
        <f>Yardi!J21</f>
        <v>0</v>
      </c>
    </row>
    <row r="23" spans="1:22" x14ac:dyDescent="0.25">
      <c r="A23" t="s">
        <v>37</v>
      </c>
      <c r="B23" t="s">
        <v>37</v>
      </c>
      <c r="C23" t="s">
        <v>37</v>
      </c>
      <c r="D23" t="s">
        <v>37</v>
      </c>
      <c r="E23" t="s">
        <v>37</v>
      </c>
      <c r="F23" t="s">
        <v>37</v>
      </c>
      <c r="G23" t="s">
        <v>37</v>
      </c>
      <c r="H23" t="s">
        <v>37</v>
      </c>
      <c r="I23" t="s">
        <v>37</v>
      </c>
      <c r="J23" t="s">
        <v>37</v>
      </c>
      <c r="K23" t="s">
        <v>37</v>
      </c>
      <c r="L23" t="s">
        <v>37</v>
      </c>
      <c r="M23" t="s">
        <v>37</v>
      </c>
      <c r="N23" t="s">
        <v>37</v>
      </c>
      <c r="O23" t="str">
        <f>Yardi!K22</f>
        <v>63010-000</v>
      </c>
      <c r="P23" t="str">
        <f>Yardi!O22</f>
        <v>07/2026 Accrual</v>
      </c>
      <c r="R23" t="s">
        <v>37</v>
      </c>
      <c r="S23" t="s">
        <v>37</v>
      </c>
      <c r="T23" t="s">
        <v>37</v>
      </c>
      <c r="U23" t="s">
        <v>37</v>
      </c>
      <c r="V23" s="410">
        <f>Yardi!J22</f>
        <v>0</v>
      </c>
    </row>
    <row r="24" spans="1:22" x14ac:dyDescent="0.25">
      <c r="A24" t="s">
        <v>37</v>
      </c>
      <c r="B24" t="s">
        <v>37</v>
      </c>
      <c r="C24" t="s">
        <v>37</v>
      </c>
      <c r="D24" t="s">
        <v>37</v>
      </c>
      <c r="E24" t="s">
        <v>37</v>
      </c>
      <c r="F24" t="s">
        <v>37</v>
      </c>
      <c r="G24" t="s">
        <v>37</v>
      </c>
      <c r="H24" t="s">
        <v>37</v>
      </c>
      <c r="I24" t="s">
        <v>37</v>
      </c>
      <c r="J24" t="s">
        <v>37</v>
      </c>
      <c r="K24" t="s">
        <v>37</v>
      </c>
      <c r="L24" t="s">
        <v>37</v>
      </c>
      <c r="M24" t="s">
        <v>37</v>
      </c>
      <c r="N24" t="s">
        <v>37</v>
      </c>
      <c r="O24" t="str">
        <f>Yardi!K23</f>
        <v>22025-000</v>
      </c>
      <c r="P24" t="str">
        <f>Yardi!O23</f>
        <v>07/2026 Accrual</v>
      </c>
      <c r="R24" t="s">
        <v>37</v>
      </c>
      <c r="S24" t="s">
        <v>37</v>
      </c>
      <c r="T24" t="s">
        <v>37</v>
      </c>
      <c r="U24" t="s">
        <v>37</v>
      </c>
      <c r="V24" s="410">
        <f>Yardi!J23</f>
        <v>0</v>
      </c>
    </row>
    <row r="25" spans="1:22" x14ac:dyDescent="0.25">
      <c r="A25" t="s">
        <v>37</v>
      </c>
      <c r="B25" t="s">
        <v>37</v>
      </c>
      <c r="C25" t="s">
        <v>37</v>
      </c>
      <c r="D25" t="s">
        <v>37</v>
      </c>
      <c r="E25" t="s">
        <v>37</v>
      </c>
      <c r="F25" t="s">
        <v>37</v>
      </c>
      <c r="G25" t="s">
        <v>37</v>
      </c>
      <c r="H25" t="s">
        <v>37</v>
      </c>
      <c r="I25" t="s">
        <v>37</v>
      </c>
      <c r="J25" t="s">
        <v>37</v>
      </c>
      <c r="K25" t="s">
        <v>37</v>
      </c>
      <c r="L25" t="s">
        <v>37</v>
      </c>
      <c r="M25" t="s">
        <v>37</v>
      </c>
      <c r="N25" t="s">
        <v>37</v>
      </c>
      <c r="O25">
        <f>Yardi!K24</f>
        <v>0</v>
      </c>
      <c r="P25" t="str">
        <f>Yardi!O24</f>
        <v>07/2026 Accrual</v>
      </c>
      <c r="R25" t="s">
        <v>37</v>
      </c>
      <c r="S25" t="s">
        <v>37</v>
      </c>
      <c r="T25" t="s">
        <v>37</v>
      </c>
      <c r="U25" t="s">
        <v>37</v>
      </c>
      <c r="V25" s="410">
        <f>Yardi!J24</f>
        <v>0</v>
      </c>
    </row>
    <row r="26" spans="1:22" x14ac:dyDescent="0.25">
      <c r="A26" t="s">
        <v>37</v>
      </c>
      <c r="B26" t="s">
        <v>37</v>
      </c>
      <c r="C26" t="s">
        <v>37</v>
      </c>
      <c r="D26" t="s">
        <v>37</v>
      </c>
      <c r="E26" t="s">
        <v>37</v>
      </c>
      <c r="F26" t="s">
        <v>37</v>
      </c>
      <c r="G26" t="s">
        <v>37</v>
      </c>
      <c r="H26" t="s">
        <v>37</v>
      </c>
      <c r="I26" t="s">
        <v>37</v>
      </c>
      <c r="J26" t="s">
        <v>37</v>
      </c>
      <c r="K26" t="s">
        <v>37</v>
      </c>
      <c r="L26" t="s">
        <v>37</v>
      </c>
      <c r="M26" t="s">
        <v>37</v>
      </c>
      <c r="N26" t="s">
        <v>37</v>
      </c>
      <c r="O26" t="str">
        <f>Yardi!K25</f>
        <v>22025-000</v>
      </c>
      <c r="P26" t="str">
        <f>Yardi!O25</f>
        <v>07/2026 Accrual</v>
      </c>
      <c r="R26" t="s">
        <v>37</v>
      </c>
      <c r="S26" t="s">
        <v>37</v>
      </c>
      <c r="T26" t="s">
        <v>37</v>
      </c>
      <c r="U26" t="s">
        <v>37</v>
      </c>
      <c r="V26" s="410">
        <f>Yardi!J25</f>
        <v>0</v>
      </c>
    </row>
    <row r="27" spans="1:22" x14ac:dyDescent="0.25">
      <c r="A27" t="s">
        <v>37</v>
      </c>
      <c r="B27" t="s">
        <v>37</v>
      </c>
      <c r="C27" t="s">
        <v>37</v>
      </c>
      <c r="D27" t="s">
        <v>37</v>
      </c>
      <c r="E27" t="s">
        <v>37</v>
      </c>
      <c r="F27" t="s">
        <v>37</v>
      </c>
      <c r="G27" t="s">
        <v>37</v>
      </c>
      <c r="H27" t="s">
        <v>37</v>
      </c>
      <c r="I27" t="s">
        <v>37</v>
      </c>
      <c r="J27" t="s">
        <v>37</v>
      </c>
      <c r="K27" t="s">
        <v>37</v>
      </c>
      <c r="L27" t="s">
        <v>37</v>
      </c>
      <c r="M27" t="s">
        <v>37</v>
      </c>
      <c r="N27" t="s">
        <v>37</v>
      </c>
      <c r="O27">
        <f>Yardi!K26</f>
        <v>0</v>
      </c>
      <c r="P27" t="str">
        <f>Yardi!O26</f>
        <v>07/2026 Accrual</v>
      </c>
      <c r="R27" t="s">
        <v>37</v>
      </c>
      <c r="S27" t="s">
        <v>37</v>
      </c>
      <c r="T27" t="s">
        <v>37</v>
      </c>
      <c r="U27" t="s">
        <v>37</v>
      </c>
      <c r="V27" s="410">
        <f>Yardi!J26</f>
        <v>0</v>
      </c>
    </row>
    <row r="28" spans="1:22" x14ac:dyDescent="0.25">
      <c r="A28" t="s">
        <v>37</v>
      </c>
      <c r="B28" t="s">
        <v>37</v>
      </c>
      <c r="C28" t="s">
        <v>37</v>
      </c>
      <c r="D28" t="s">
        <v>37</v>
      </c>
      <c r="E28" t="s">
        <v>37</v>
      </c>
      <c r="F28" t="s">
        <v>37</v>
      </c>
      <c r="G28" t="s">
        <v>37</v>
      </c>
      <c r="H28" t="s">
        <v>37</v>
      </c>
      <c r="I28" t="s">
        <v>37</v>
      </c>
      <c r="J28" t="s">
        <v>37</v>
      </c>
      <c r="K28" t="s">
        <v>37</v>
      </c>
      <c r="L28" t="s">
        <v>37</v>
      </c>
      <c r="M28" t="s">
        <v>37</v>
      </c>
      <c r="N28" t="s">
        <v>37</v>
      </c>
      <c r="O28" t="str">
        <f>Yardi!K27</f>
        <v>22025-000</v>
      </c>
      <c r="P28" t="str">
        <f>Yardi!O27</f>
        <v>07/2026 Accrual</v>
      </c>
      <c r="R28" t="s">
        <v>37</v>
      </c>
      <c r="S28" t="s">
        <v>37</v>
      </c>
      <c r="T28" t="s">
        <v>37</v>
      </c>
      <c r="U28" t="s">
        <v>37</v>
      </c>
      <c r="V28" s="410">
        <f>Yardi!J27</f>
        <v>0</v>
      </c>
    </row>
    <row r="29" spans="1:22" x14ac:dyDescent="0.25">
      <c r="A29" t="s">
        <v>37</v>
      </c>
      <c r="B29" t="s">
        <v>37</v>
      </c>
      <c r="C29" t="s">
        <v>37</v>
      </c>
      <c r="D29" t="s">
        <v>37</v>
      </c>
      <c r="E29" t="s">
        <v>37</v>
      </c>
      <c r="F29" t="s">
        <v>37</v>
      </c>
      <c r="G29" t="s">
        <v>37</v>
      </c>
      <c r="H29" t="s">
        <v>37</v>
      </c>
      <c r="I29" t="s">
        <v>37</v>
      </c>
      <c r="J29" t="s">
        <v>37</v>
      </c>
      <c r="K29" t="s">
        <v>37</v>
      </c>
      <c r="L29" t="s">
        <v>37</v>
      </c>
      <c r="M29" t="s">
        <v>37</v>
      </c>
      <c r="N29" t="s">
        <v>37</v>
      </c>
      <c r="O29">
        <f>Yardi!K28</f>
        <v>0</v>
      </c>
      <c r="P29" t="str">
        <f>Yardi!O28</f>
        <v>07/2026 Accrual</v>
      </c>
      <c r="R29" t="s">
        <v>37</v>
      </c>
      <c r="S29" t="s">
        <v>37</v>
      </c>
      <c r="T29" t="s">
        <v>37</v>
      </c>
      <c r="U29" t="s">
        <v>37</v>
      </c>
      <c r="V29" s="410">
        <f>Yardi!J28</f>
        <v>0</v>
      </c>
    </row>
    <row r="30" spans="1:22" x14ac:dyDescent="0.25">
      <c r="A30" t="s">
        <v>37</v>
      </c>
      <c r="B30" t="s">
        <v>37</v>
      </c>
      <c r="C30" t="s">
        <v>37</v>
      </c>
      <c r="D30" t="s">
        <v>37</v>
      </c>
      <c r="E30" t="s">
        <v>37</v>
      </c>
      <c r="F30" t="s">
        <v>37</v>
      </c>
      <c r="G30" t="s">
        <v>37</v>
      </c>
      <c r="H30" t="s">
        <v>37</v>
      </c>
      <c r="I30" t="s">
        <v>37</v>
      </c>
      <c r="J30" t="s">
        <v>37</v>
      </c>
      <c r="K30" t="s">
        <v>37</v>
      </c>
      <c r="L30" t="s">
        <v>37</v>
      </c>
      <c r="M30" t="s">
        <v>37</v>
      </c>
      <c r="N30" t="s">
        <v>37</v>
      </c>
      <c r="O30" t="str">
        <f>Yardi!K29</f>
        <v>22025-000</v>
      </c>
      <c r="P30" t="str">
        <f>Yardi!O29</f>
        <v>07/2026 Accrual</v>
      </c>
      <c r="R30" t="s">
        <v>37</v>
      </c>
      <c r="S30" t="s">
        <v>37</v>
      </c>
      <c r="T30" t="s">
        <v>37</v>
      </c>
      <c r="U30" t="s">
        <v>37</v>
      </c>
      <c r="V30" s="410">
        <f>Yardi!J29</f>
        <v>0</v>
      </c>
    </row>
    <row r="31" spans="1:22" x14ac:dyDescent="0.25">
      <c r="A31" t="s">
        <v>37</v>
      </c>
      <c r="B31" t="s">
        <v>37</v>
      </c>
      <c r="C31" t="s">
        <v>37</v>
      </c>
      <c r="D31" t="s">
        <v>37</v>
      </c>
      <c r="E31" t="s">
        <v>37</v>
      </c>
      <c r="F31" t="s">
        <v>37</v>
      </c>
      <c r="G31" t="s">
        <v>37</v>
      </c>
      <c r="H31" t="s">
        <v>37</v>
      </c>
      <c r="I31" t="s">
        <v>37</v>
      </c>
      <c r="J31" t="s">
        <v>37</v>
      </c>
      <c r="K31" t="s">
        <v>37</v>
      </c>
      <c r="L31" t="s">
        <v>37</v>
      </c>
      <c r="M31" t="s">
        <v>37</v>
      </c>
      <c r="N31" t="s">
        <v>37</v>
      </c>
      <c r="O31">
        <f>Yardi!K30</f>
        <v>0</v>
      </c>
      <c r="P31" t="str">
        <f>Yardi!O30</f>
        <v>07/2026 Accrual</v>
      </c>
      <c r="R31" t="s">
        <v>37</v>
      </c>
      <c r="S31" t="s">
        <v>37</v>
      </c>
      <c r="T31" t="s">
        <v>37</v>
      </c>
      <c r="U31" t="s">
        <v>37</v>
      </c>
      <c r="V31" s="410">
        <f>Yardi!J30</f>
        <v>0</v>
      </c>
    </row>
    <row r="32" spans="1:22" x14ac:dyDescent="0.25">
      <c r="A32" t="s">
        <v>37</v>
      </c>
      <c r="B32" t="s">
        <v>37</v>
      </c>
      <c r="C32" t="s">
        <v>37</v>
      </c>
      <c r="D32" t="s">
        <v>37</v>
      </c>
      <c r="E32" t="s">
        <v>37</v>
      </c>
      <c r="F32" t="s">
        <v>37</v>
      </c>
      <c r="G32" t="s">
        <v>37</v>
      </c>
      <c r="H32" t="s">
        <v>37</v>
      </c>
      <c r="I32" t="s">
        <v>37</v>
      </c>
      <c r="J32" t="s">
        <v>37</v>
      </c>
      <c r="K32" t="s">
        <v>37</v>
      </c>
      <c r="L32" t="s">
        <v>37</v>
      </c>
      <c r="M32" t="s">
        <v>37</v>
      </c>
      <c r="N32" t="s">
        <v>37</v>
      </c>
      <c r="O32" t="str">
        <f>Yardi!K31</f>
        <v>22025-000</v>
      </c>
      <c r="P32" t="str">
        <f>Yardi!O31</f>
        <v>07/2026 Accrual</v>
      </c>
      <c r="R32" t="s">
        <v>37</v>
      </c>
      <c r="S32" t="s">
        <v>37</v>
      </c>
      <c r="T32" t="s">
        <v>37</v>
      </c>
      <c r="U32" t="s">
        <v>37</v>
      </c>
      <c r="V32" s="410">
        <f>Yardi!J31</f>
        <v>0</v>
      </c>
    </row>
    <row r="33" spans="1:22" x14ac:dyDescent="0.25">
      <c r="A33" t="s">
        <v>37</v>
      </c>
      <c r="B33" t="s">
        <v>37</v>
      </c>
      <c r="C33" t="s">
        <v>37</v>
      </c>
      <c r="D33" t="s">
        <v>37</v>
      </c>
      <c r="E33" t="s">
        <v>37</v>
      </c>
      <c r="F33" t="s">
        <v>37</v>
      </c>
      <c r="G33" t="s">
        <v>37</v>
      </c>
      <c r="H33" t="s">
        <v>37</v>
      </c>
      <c r="I33" t="s">
        <v>37</v>
      </c>
      <c r="J33" t="s">
        <v>37</v>
      </c>
      <c r="K33" t="s">
        <v>37</v>
      </c>
      <c r="L33" t="s">
        <v>37</v>
      </c>
      <c r="M33" t="s">
        <v>37</v>
      </c>
      <c r="N33" t="s">
        <v>37</v>
      </c>
      <c r="O33">
        <f>Yardi!K32</f>
        <v>0</v>
      </c>
      <c r="P33" t="str">
        <f>Yardi!O32</f>
        <v>07/2026 Accrual</v>
      </c>
      <c r="R33" t="s">
        <v>37</v>
      </c>
      <c r="S33" t="s">
        <v>37</v>
      </c>
      <c r="T33" t="s">
        <v>37</v>
      </c>
      <c r="U33" t="s">
        <v>37</v>
      </c>
      <c r="V33" s="410">
        <f>Yardi!J32</f>
        <v>0</v>
      </c>
    </row>
    <row r="34" spans="1:22" x14ac:dyDescent="0.25">
      <c r="A34" t="s">
        <v>37</v>
      </c>
      <c r="B34" t="s">
        <v>37</v>
      </c>
      <c r="C34" t="s">
        <v>37</v>
      </c>
      <c r="D34" t="s">
        <v>37</v>
      </c>
      <c r="E34" t="s">
        <v>37</v>
      </c>
      <c r="F34" t="s">
        <v>37</v>
      </c>
      <c r="G34" t="s">
        <v>37</v>
      </c>
      <c r="H34" t="s">
        <v>37</v>
      </c>
      <c r="I34" t="s">
        <v>37</v>
      </c>
      <c r="J34" t="s">
        <v>37</v>
      </c>
      <c r="K34" t="s">
        <v>37</v>
      </c>
      <c r="L34" t="s">
        <v>37</v>
      </c>
      <c r="M34" t="s">
        <v>37</v>
      </c>
      <c r="N34" t="s">
        <v>37</v>
      </c>
      <c r="O34" t="str">
        <f>Yardi!K33</f>
        <v>22025-000</v>
      </c>
      <c r="P34" t="str">
        <f>Yardi!O33</f>
        <v>07/2026 Accrual</v>
      </c>
      <c r="R34" t="s">
        <v>37</v>
      </c>
      <c r="S34" t="s">
        <v>37</v>
      </c>
      <c r="T34" t="s">
        <v>37</v>
      </c>
      <c r="U34" t="s">
        <v>37</v>
      </c>
      <c r="V34" s="410">
        <f>Yardi!J33</f>
        <v>0</v>
      </c>
    </row>
    <row r="35" spans="1:22" x14ac:dyDescent="0.25">
      <c r="A35" t="s">
        <v>37</v>
      </c>
      <c r="B35" t="s">
        <v>37</v>
      </c>
      <c r="C35" t="s">
        <v>37</v>
      </c>
      <c r="D35" t="s">
        <v>37</v>
      </c>
      <c r="E35" t="s">
        <v>37</v>
      </c>
      <c r="F35" t="s">
        <v>37</v>
      </c>
      <c r="G35" t="s">
        <v>37</v>
      </c>
      <c r="H35" t="s">
        <v>37</v>
      </c>
      <c r="I35" t="s">
        <v>37</v>
      </c>
      <c r="J35" t="s">
        <v>37</v>
      </c>
      <c r="K35" t="s">
        <v>37</v>
      </c>
      <c r="L35" t="s">
        <v>37</v>
      </c>
      <c r="M35" t="s">
        <v>37</v>
      </c>
      <c r="N35" t="s">
        <v>37</v>
      </c>
      <c r="O35">
        <f>Yardi!K34</f>
        <v>0</v>
      </c>
      <c r="P35" t="str">
        <f>Yardi!O34</f>
        <v>07/2026 Accrual</v>
      </c>
      <c r="R35" t="s">
        <v>37</v>
      </c>
      <c r="S35" t="s">
        <v>37</v>
      </c>
      <c r="T35" t="s">
        <v>37</v>
      </c>
      <c r="U35" t="s">
        <v>37</v>
      </c>
      <c r="V35" s="410">
        <f>Yardi!J34</f>
        <v>0</v>
      </c>
    </row>
    <row r="36" spans="1:22" x14ac:dyDescent="0.25">
      <c r="A36" t="s">
        <v>37</v>
      </c>
      <c r="B36" t="s">
        <v>37</v>
      </c>
      <c r="C36" t="s">
        <v>37</v>
      </c>
      <c r="D36" t="s">
        <v>37</v>
      </c>
      <c r="E36" t="s">
        <v>37</v>
      </c>
      <c r="F36" t="s">
        <v>37</v>
      </c>
      <c r="G36" t="s">
        <v>37</v>
      </c>
      <c r="H36" t="s">
        <v>37</v>
      </c>
      <c r="I36" t="s">
        <v>37</v>
      </c>
      <c r="J36" t="s">
        <v>37</v>
      </c>
      <c r="K36" t="s">
        <v>37</v>
      </c>
      <c r="L36" t="s">
        <v>37</v>
      </c>
      <c r="M36" t="s">
        <v>37</v>
      </c>
      <c r="N36" t="s">
        <v>37</v>
      </c>
      <c r="O36" t="str">
        <f>Yardi!K35</f>
        <v>22025-000</v>
      </c>
      <c r="P36" t="str">
        <f>Yardi!O35</f>
        <v>07/2026 Accrual</v>
      </c>
      <c r="R36" t="s">
        <v>37</v>
      </c>
      <c r="S36" t="s">
        <v>37</v>
      </c>
      <c r="T36" t="s">
        <v>37</v>
      </c>
      <c r="U36" t="s">
        <v>37</v>
      </c>
      <c r="V36" s="410">
        <f>Yardi!J35</f>
        <v>0</v>
      </c>
    </row>
    <row r="37" spans="1:22" x14ac:dyDescent="0.25">
      <c r="A37" t="s">
        <v>37</v>
      </c>
      <c r="B37" t="s">
        <v>37</v>
      </c>
      <c r="C37" t="s">
        <v>37</v>
      </c>
      <c r="D37" t="s">
        <v>37</v>
      </c>
      <c r="E37" t="s">
        <v>37</v>
      </c>
      <c r="F37" t="s">
        <v>37</v>
      </c>
      <c r="G37" t="s">
        <v>37</v>
      </c>
      <c r="H37" t="s">
        <v>37</v>
      </c>
      <c r="I37" t="s">
        <v>37</v>
      </c>
      <c r="J37" t="s">
        <v>37</v>
      </c>
      <c r="K37" t="s">
        <v>37</v>
      </c>
      <c r="L37" t="s">
        <v>37</v>
      </c>
      <c r="M37" t="s">
        <v>37</v>
      </c>
      <c r="N37" t="s">
        <v>37</v>
      </c>
      <c r="O37">
        <f>Yardi!K36</f>
        <v>0</v>
      </c>
      <c r="P37" t="str">
        <f>Yardi!O36</f>
        <v>07/2026 Accrual</v>
      </c>
      <c r="R37" t="s">
        <v>37</v>
      </c>
      <c r="S37" t="s">
        <v>37</v>
      </c>
      <c r="T37" t="s">
        <v>37</v>
      </c>
      <c r="U37" t="s">
        <v>37</v>
      </c>
      <c r="V37" s="410">
        <f>Yardi!J36</f>
        <v>0</v>
      </c>
    </row>
    <row r="38" spans="1:22" x14ac:dyDescent="0.25">
      <c r="A38" t="s">
        <v>37</v>
      </c>
      <c r="B38" t="s">
        <v>37</v>
      </c>
      <c r="C38" t="s">
        <v>37</v>
      </c>
      <c r="D38" t="s">
        <v>37</v>
      </c>
      <c r="E38" t="s">
        <v>37</v>
      </c>
      <c r="F38" t="s">
        <v>37</v>
      </c>
      <c r="G38" t="s">
        <v>37</v>
      </c>
      <c r="H38" t="s">
        <v>37</v>
      </c>
      <c r="I38" t="s">
        <v>37</v>
      </c>
      <c r="J38" t="s">
        <v>37</v>
      </c>
      <c r="K38" t="s">
        <v>37</v>
      </c>
      <c r="L38" t="s">
        <v>37</v>
      </c>
      <c r="M38" t="s">
        <v>37</v>
      </c>
      <c r="N38" t="s">
        <v>37</v>
      </c>
      <c r="O38" t="str">
        <f>Yardi!K37</f>
        <v>22025-000</v>
      </c>
      <c r="P38" t="str">
        <f>Yardi!O37</f>
        <v>07/2026 Accrual</v>
      </c>
      <c r="R38" t="s">
        <v>37</v>
      </c>
      <c r="S38" t="s">
        <v>37</v>
      </c>
      <c r="T38" t="s">
        <v>37</v>
      </c>
      <c r="U38" t="s">
        <v>37</v>
      </c>
      <c r="V38" s="410">
        <f>Yardi!J37</f>
        <v>0</v>
      </c>
    </row>
    <row r="39" spans="1:22" x14ac:dyDescent="0.25">
      <c r="A39" t="s">
        <v>37</v>
      </c>
      <c r="B39" t="s">
        <v>37</v>
      </c>
      <c r="C39" t="s">
        <v>37</v>
      </c>
      <c r="D39" t="s">
        <v>37</v>
      </c>
      <c r="E39" t="s">
        <v>37</v>
      </c>
      <c r="F39" t="s">
        <v>37</v>
      </c>
      <c r="G39" t="s">
        <v>37</v>
      </c>
      <c r="H39" t="s">
        <v>37</v>
      </c>
      <c r="I39" t="s">
        <v>37</v>
      </c>
      <c r="J39" t="s">
        <v>37</v>
      </c>
      <c r="K39" t="s">
        <v>37</v>
      </c>
      <c r="L39" t="s">
        <v>37</v>
      </c>
      <c r="M39" t="s">
        <v>37</v>
      </c>
      <c r="N39" t="s">
        <v>37</v>
      </c>
      <c r="O39">
        <f>Yardi!K38</f>
        <v>0</v>
      </c>
      <c r="P39" t="str">
        <f>Yardi!O38</f>
        <v>07/2026 Accrual</v>
      </c>
      <c r="R39" t="s">
        <v>37</v>
      </c>
      <c r="S39" t="s">
        <v>37</v>
      </c>
      <c r="T39" t="s">
        <v>37</v>
      </c>
      <c r="U39" t="s">
        <v>37</v>
      </c>
      <c r="V39" s="410">
        <f>Yardi!J38</f>
        <v>0</v>
      </c>
    </row>
    <row r="40" spans="1:22" x14ac:dyDescent="0.25">
      <c r="A40" t="s">
        <v>37</v>
      </c>
      <c r="B40" t="s">
        <v>37</v>
      </c>
      <c r="C40" t="s">
        <v>37</v>
      </c>
      <c r="D40" t="s">
        <v>37</v>
      </c>
      <c r="E40" t="s">
        <v>37</v>
      </c>
      <c r="F40" t="s">
        <v>37</v>
      </c>
      <c r="G40" t="s">
        <v>37</v>
      </c>
      <c r="H40" t="s">
        <v>37</v>
      </c>
      <c r="I40" t="s">
        <v>37</v>
      </c>
      <c r="J40" t="s">
        <v>37</v>
      </c>
      <c r="K40" t="s">
        <v>37</v>
      </c>
      <c r="L40" t="s">
        <v>37</v>
      </c>
      <c r="M40" t="s">
        <v>37</v>
      </c>
      <c r="N40" t="s">
        <v>37</v>
      </c>
      <c r="O40" t="str">
        <f>Yardi!K39</f>
        <v>22025-000</v>
      </c>
      <c r="P40" t="str">
        <f>Yardi!O39</f>
        <v>07/2026 Accrual</v>
      </c>
      <c r="R40" t="s">
        <v>37</v>
      </c>
      <c r="S40" t="s">
        <v>37</v>
      </c>
      <c r="T40" t="s">
        <v>37</v>
      </c>
      <c r="U40" t="s">
        <v>37</v>
      </c>
      <c r="V40" s="410">
        <f>Yardi!J39</f>
        <v>0</v>
      </c>
    </row>
    <row r="41" spans="1:22" x14ac:dyDescent="0.25">
      <c r="A41" t="s">
        <v>37</v>
      </c>
      <c r="B41" t="s">
        <v>37</v>
      </c>
      <c r="C41" t="s">
        <v>37</v>
      </c>
      <c r="D41" t="s">
        <v>37</v>
      </c>
      <c r="E41" t="s">
        <v>37</v>
      </c>
      <c r="F41" t="s">
        <v>37</v>
      </c>
      <c r="G41" t="s">
        <v>37</v>
      </c>
      <c r="H41" t="s">
        <v>37</v>
      </c>
      <c r="I41" t="s">
        <v>37</v>
      </c>
      <c r="J41" t="s">
        <v>37</v>
      </c>
      <c r="K41" t="s">
        <v>37</v>
      </c>
      <c r="L41" t="s">
        <v>37</v>
      </c>
      <c r="M41" t="s">
        <v>37</v>
      </c>
      <c r="N41" t="s">
        <v>37</v>
      </c>
      <c r="O41">
        <f>Yardi!K40</f>
        <v>0</v>
      </c>
      <c r="P41" t="str">
        <f>Yardi!O40</f>
        <v>07/2026 Accrual</v>
      </c>
      <c r="R41" t="s">
        <v>37</v>
      </c>
      <c r="S41" t="s">
        <v>37</v>
      </c>
      <c r="T41" t="s">
        <v>37</v>
      </c>
      <c r="U41" t="s">
        <v>37</v>
      </c>
      <c r="V41" s="410">
        <f>Yardi!J40</f>
        <v>0</v>
      </c>
    </row>
    <row r="42" spans="1:22" x14ac:dyDescent="0.25">
      <c r="A42" t="s">
        <v>37</v>
      </c>
      <c r="B42" t="s">
        <v>37</v>
      </c>
      <c r="C42" t="s">
        <v>37</v>
      </c>
      <c r="D42" t="s">
        <v>37</v>
      </c>
      <c r="E42" t="s">
        <v>37</v>
      </c>
      <c r="F42" t="s">
        <v>37</v>
      </c>
      <c r="G42" t="s">
        <v>37</v>
      </c>
      <c r="H42" t="s">
        <v>37</v>
      </c>
      <c r="I42" t="s">
        <v>37</v>
      </c>
      <c r="J42" t="s">
        <v>37</v>
      </c>
      <c r="K42" t="s">
        <v>37</v>
      </c>
      <c r="L42" t="s">
        <v>37</v>
      </c>
      <c r="M42" t="s">
        <v>37</v>
      </c>
      <c r="N42" t="s">
        <v>37</v>
      </c>
      <c r="O42" t="str">
        <f>Yardi!K41</f>
        <v>22025-000</v>
      </c>
      <c r="P42" t="str">
        <f>Yardi!O41</f>
        <v>07/2026 Accrual</v>
      </c>
      <c r="R42" t="s">
        <v>37</v>
      </c>
      <c r="S42" t="s">
        <v>37</v>
      </c>
      <c r="T42" t="s">
        <v>37</v>
      </c>
      <c r="U42" t="s">
        <v>37</v>
      </c>
      <c r="V42" s="410">
        <f>Yardi!J41</f>
        <v>0</v>
      </c>
    </row>
    <row r="43" spans="1:22" x14ac:dyDescent="0.25">
      <c r="A43" t="s">
        <v>37</v>
      </c>
      <c r="B43" t="s">
        <v>37</v>
      </c>
      <c r="C43" t="s">
        <v>37</v>
      </c>
      <c r="D43" t="s">
        <v>37</v>
      </c>
      <c r="E43" t="s">
        <v>37</v>
      </c>
      <c r="F43" t="s">
        <v>37</v>
      </c>
      <c r="G43" t="s">
        <v>37</v>
      </c>
      <c r="H43" t="s">
        <v>37</v>
      </c>
      <c r="I43" t="s">
        <v>37</v>
      </c>
      <c r="J43" t="s">
        <v>37</v>
      </c>
      <c r="K43" t="s">
        <v>37</v>
      </c>
      <c r="L43" t="s">
        <v>37</v>
      </c>
      <c r="M43" t="s">
        <v>37</v>
      </c>
      <c r="N43" t="s">
        <v>37</v>
      </c>
      <c r="O43" t="str">
        <f>Yardi!K42</f>
        <v>62010-000</v>
      </c>
      <c r="P43" t="str">
        <f>Yardi!O42</f>
        <v>07/2026 Prepaid Ad Valorem Property Taxes Amortization</v>
      </c>
      <c r="R43" t="s">
        <v>37</v>
      </c>
      <c r="S43" t="s">
        <v>37</v>
      </c>
      <c r="T43" t="s">
        <v>37</v>
      </c>
      <c r="U43" t="s">
        <v>37</v>
      </c>
      <c r="V43" s="410">
        <f>Yardi!J42</f>
        <v>0</v>
      </c>
    </row>
    <row r="44" spans="1:22" x14ac:dyDescent="0.25">
      <c r="A44" t="s">
        <v>37</v>
      </c>
      <c r="B44" t="s">
        <v>37</v>
      </c>
      <c r="C44" t="s">
        <v>37</v>
      </c>
      <c r="D44" t="s">
        <v>37</v>
      </c>
      <c r="E44" t="s">
        <v>37</v>
      </c>
      <c r="F44" t="s">
        <v>37</v>
      </c>
      <c r="G44" t="s">
        <v>37</v>
      </c>
      <c r="H44" t="s">
        <v>37</v>
      </c>
      <c r="I44" t="s">
        <v>37</v>
      </c>
      <c r="J44" t="s">
        <v>37</v>
      </c>
      <c r="K44" t="s">
        <v>37</v>
      </c>
      <c r="L44" t="s">
        <v>37</v>
      </c>
      <c r="M44" t="s">
        <v>37</v>
      </c>
      <c r="N44" t="s">
        <v>37</v>
      </c>
      <c r="O44">
        <f>Yardi!K43</f>
        <v>13070</v>
      </c>
      <c r="P44" t="str">
        <f>Yardi!O43</f>
        <v>07/2026 Prepaid Ad Valorem Property Taxes Amortization</v>
      </c>
      <c r="R44" t="s">
        <v>37</v>
      </c>
      <c r="S44" t="s">
        <v>37</v>
      </c>
      <c r="T44" t="s">
        <v>37</v>
      </c>
      <c r="U44" t="s">
        <v>37</v>
      </c>
      <c r="V44" s="410">
        <f>Yardi!J43</f>
        <v>0</v>
      </c>
    </row>
    <row r="45" spans="1:22" x14ac:dyDescent="0.25">
      <c r="A45" t="s">
        <v>37</v>
      </c>
      <c r="B45" t="s">
        <v>37</v>
      </c>
      <c r="C45" t="s">
        <v>37</v>
      </c>
      <c r="D45" t="s">
        <v>37</v>
      </c>
      <c r="E45" t="s">
        <v>37</v>
      </c>
      <c r="F45" t="s">
        <v>37</v>
      </c>
      <c r="G45" t="s">
        <v>37</v>
      </c>
      <c r="H45" t="s">
        <v>37</v>
      </c>
      <c r="I45" t="s">
        <v>37</v>
      </c>
      <c r="J45" t="s">
        <v>37</v>
      </c>
      <c r="K45" t="s">
        <v>37</v>
      </c>
      <c r="L45" t="s">
        <v>37</v>
      </c>
      <c r="M45" t="s">
        <v>37</v>
      </c>
      <c r="N45" t="s">
        <v>37</v>
      </c>
      <c r="O45" t="str">
        <f>Yardi!K44</f>
        <v>62030-000</v>
      </c>
      <c r="P45" t="str">
        <f>Yardi!O44</f>
        <v>07/2026 Prepaid Amortization</v>
      </c>
      <c r="R45" t="s">
        <v>37</v>
      </c>
      <c r="S45" t="s">
        <v>37</v>
      </c>
      <c r="T45" t="s">
        <v>37</v>
      </c>
      <c r="U45" t="s">
        <v>37</v>
      </c>
      <c r="V45" s="410">
        <f>Yardi!J44</f>
        <v>0</v>
      </c>
    </row>
    <row r="46" spans="1:22" x14ac:dyDescent="0.25">
      <c r="A46" t="s">
        <v>37</v>
      </c>
      <c r="B46" t="s">
        <v>37</v>
      </c>
      <c r="C46" t="s">
        <v>37</v>
      </c>
      <c r="D46" t="s">
        <v>37</v>
      </c>
      <c r="E46" t="s">
        <v>37</v>
      </c>
      <c r="F46" t="s">
        <v>37</v>
      </c>
      <c r="G46" t="s">
        <v>37</v>
      </c>
      <c r="H46" t="s">
        <v>37</v>
      </c>
      <c r="I46" t="s">
        <v>37</v>
      </c>
      <c r="J46" t="s">
        <v>37</v>
      </c>
      <c r="K46" t="s">
        <v>37</v>
      </c>
      <c r="L46" t="s">
        <v>37</v>
      </c>
      <c r="M46" t="s">
        <v>37</v>
      </c>
      <c r="N46" t="s">
        <v>37</v>
      </c>
      <c r="O46" t="str">
        <f>Yardi!K45</f>
        <v>13070-000</v>
      </c>
      <c r="P46" t="str">
        <f>Yardi!O45</f>
        <v>07/2026 Prepaid Amortization</v>
      </c>
      <c r="R46" t="s">
        <v>37</v>
      </c>
      <c r="S46" t="s">
        <v>37</v>
      </c>
      <c r="T46" t="s">
        <v>37</v>
      </c>
      <c r="U46" t="s">
        <v>37</v>
      </c>
      <c r="V46" s="410">
        <f>Yardi!J45</f>
        <v>0</v>
      </c>
    </row>
    <row r="47" spans="1:22" x14ac:dyDescent="0.25">
      <c r="A47" t="s">
        <v>37</v>
      </c>
      <c r="B47" t="s">
        <v>37</v>
      </c>
      <c r="C47" t="s">
        <v>37</v>
      </c>
      <c r="D47" t="s">
        <v>37</v>
      </c>
      <c r="E47" t="s">
        <v>37</v>
      </c>
      <c r="F47" t="s">
        <v>37</v>
      </c>
      <c r="G47" t="s">
        <v>37</v>
      </c>
      <c r="H47" t="s">
        <v>37</v>
      </c>
      <c r="I47" t="s">
        <v>37</v>
      </c>
      <c r="J47" t="s">
        <v>37</v>
      </c>
      <c r="K47" t="s">
        <v>37</v>
      </c>
      <c r="L47" t="s">
        <v>37</v>
      </c>
      <c r="M47" t="s">
        <v>37</v>
      </c>
      <c r="N47" t="s">
        <v>37</v>
      </c>
      <c r="O47">
        <f>Yardi!K46</f>
        <v>0</v>
      </c>
      <c r="P47" t="str">
        <f>Yardi!O46</f>
        <v>07/2026 Prepaid Amortization</v>
      </c>
      <c r="R47" t="s">
        <v>37</v>
      </c>
      <c r="S47" t="s">
        <v>37</v>
      </c>
      <c r="T47" t="s">
        <v>37</v>
      </c>
      <c r="U47" t="s">
        <v>37</v>
      </c>
      <c r="V47" s="410">
        <f>Yardi!J46</f>
        <v>0</v>
      </c>
    </row>
    <row r="48" spans="1:22" x14ac:dyDescent="0.25">
      <c r="A48" t="s">
        <v>37</v>
      </c>
      <c r="B48" t="s">
        <v>37</v>
      </c>
      <c r="C48" t="s">
        <v>37</v>
      </c>
      <c r="D48" t="s">
        <v>37</v>
      </c>
      <c r="E48" t="s">
        <v>37</v>
      </c>
      <c r="F48" t="s">
        <v>37</v>
      </c>
      <c r="G48" t="s">
        <v>37</v>
      </c>
      <c r="H48" t="s">
        <v>37</v>
      </c>
      <c r="I48" t="s">
        <v>37</v>
      </c>
      <c r="J48" t="s">
        <v>37</v>
      </c>
      <c r="K48" t="s">
        <v>37</v>
      </c>
      <c r="L48" t="s">
        <v>37</v>
      </c>
      <c r="M48" t="s">
        <v>37</v>
      </c>
      <c r="N48" t="s">
        <v>37</v>
      </c>
      <c r="O48" t="str">
        <f>Yardi!K47</f>
        <v>13070-000</v>
      </c>
      <c r="P48" t="str">
        <f>Yardi!O47</f>
        <v>07/2026 Prepaid Amortization</v>
      </c>
      <c r="R48" t="s">
        <v>37</v>
      </c>
      <c r="S48" t="s">
        <v>37</v>
      </c>
      <c r="T48" t="s">
        <v>37</v>
      </c>
      <c r="U48" t="s">
        <v>37</v>
      </c>
      <c r="V48" s="410">
        <f>Yardi!J47</f>
        <v>0</v>
      </c>
    </row>
    <row r="49" spans="1:22" x14ac:dyDescent="0.25">
      <c r="A49" t="s">
        <v>37</v>
      </c>
      <c r="B49" t="s">
        <v>37</v>
      </c>
      <c r="C49" t="s">
        <v>37</v>
      </c>
      <c r="D49" t="s">
        <v>37</v>
      </c>
      <c r="E49" t="s">
        <v>37</v>
      </c>
      <c r="F49" t="s">
        <v>37</v>
      </c>
      <c r="G49" t="s">
        <v>37</v>
      </c>
      <c r="H49" t="s">
        <v>37</v>
      </c>
      <c r="I49" t="s">
        <v>37</v>
      </c>
      <c r="J49" t="s">
        <v>37</v>
      </c>
      <c r="K49" t="s">
        <v>37</v>
      </c>
      <c r="L49" t="s">
        <v>37</v>
      </c>
      <c r="M49" t="s">
        <v>37</v>
      </c>
      <c r="N49" t="s">
        <v>37</v>
      </c>
      <c r="O49">
        <f>Yardi!K48</f>
        <v>0</v>
      </c>
      <c r="P49" t="str">
        <f>Yardi!O48</f>
        <v>07/2026 Prepaid Amortization</v>
      </c>
      <c r="R49" t="s">
        <v>37</v>
      </c>
      <c r="S49" t="s">
        <v>37</v>
      </c>
      <c r="T49" t="s">
        <v>37</v>
      </c>
      <c r="U49" t="s">
        <v>37</v>
      </c>
      <c r="V49" s="410">
        <f>Yardi!J48</f>
        <v>0</v>
      </c>
    </row>
    <row r="50" spans="1:22" x14ac:dyDescent="0.25">
      <c r="A50" t="s">
        <v>37</v>
      </c>
      <c r="B50" t="s">
        <v>37</v>
      </c>
      <c r="C50" t="s">
        <v>37</v>
      </c>
      <c r="D50" t="s">
        <v>37</v>
      </c>
      <c r="E50" t="s">
        <v>37</v>
      </c>
      <c r="F50" t="s">
        <v>37</v>
      </c>
      <c r="G50" t="s">
        <v>37</v>
      </c>
      <c r="H50" t="s">
        <v>37</v>
      </c>
      <c r="I50" t="s">
        <v>37</v>
      </c>
      <c r="J50" t="s">
        <v>37</v>
      </c>
      <c r="K50" t="s">
        <v>37</v>
      </c>
      <c r="L50" t="s">
        <v>37</v>
      </c>
      <c r="M50" t="s">
        <v>37</v>
      </c>
      <c r="N50" t="s">
        <v>37</v>
      </c>
      <c r="O50" t="str">
        <f>Yardi!K49</f>
        <v>13070-000</v>
      </c>
      <c r="P50" t="str">
        <f>Yardi!O49</f>
        <v>07/2026 Prepaid Amortization</v>
      </c>
      <c r="R50" t="s">
        <v>37</v>
      </c>
      <c r="S50" t="s">
        <v>37</v>
      </c>
      <c r="T50" t="s">
        <v>37</v>
      </c>
      <c r="U50" t="s">
        <v>37</v>
      </c>
      <c r="V50" s="410">
        <f>Yardi!J49</f>
        <v>0</v>
      </c>
    </row>
    <row r="51" spans="1:22" x14ac:dyDescent="0.25">
      <c r="A51" t="s">
        <v>37</v>
      </c>
      <c r="B51" t="s">
        <v>37</v>
      </c>
      <c r="C51" t="s">
        <v>37</v>
      </c>
      <c r="D51" t="s">
        <v>37</v>
      </c>
      <c r="E51" t="s">
        <v>37</v>
      </c>
      <c r="F51" t="s">
        <v>37</v>
      </c>
      <c r="G51" t="s">
        <v>37</v>
      </c>
      <c r="H51" t="s">
        <v>37</v>
      </c>
      <c r="I51" t="s">
        <v>37</v>
      </c>
      <c r="J51" t="s">
        <v>37</v>
      </c>
      <c r="K51" t="s">
        <v>37</v>
      </c>
      <c r="L51" t="s">
        <v>37</v>
      </c>
      <c r="M51" t="s">
        <v>37</v>
      </c>
      <c r="N51" t="s">
        <v>37</v>
      </c>
      <c r="O51">
        <f>Yardi!K50</f>
        <v>0</v>
      </c>
      <c r="P51" t="str">
        <f>Yardi!O50</f>
        <v>07/2026 Prepaid Amortization</v>
      </c>
      <c r="R51" t="s">
        <v>37</v>
      </c>
      <c r="S51" t="s">
        <v>37</v>
      </c>
      <c r="T51" t="s">
        <v>37</v>
      </c>
      <c r="U51" t="s">
        <v>37</v>
      </c>
      <c r="V51" s="410">
        <f>Yardi!J50</f>
        <v>0</v>
      </c>
    </row>
    <row r="52" spans="1:22" x14ac:dyDescent="0.25">
      <c r="A52" t="s">
        <v>37</v>
      </c>
      <c r="B52" t="s">
        <v>37</v>
      </c>
      <c r="C52" t="s">
        <v>37</v>
      </c>
      <c r="D52" t="s">
        <v>37</v>
      </c>
      <c r="E52" t="s">
        <v>37</v>
      </c>
      <c r="F52" t="s">
        <v>37</v>
      </c>
      <c r="G52" t="s">
        <v>37</v>
      </c>
      <c r="H52" t="s">
        <v>37</v>
      </c>
      <c r="I52" t="s">
        <v>37</v>
      </c>
      <c r="J52" t="s">
        <v>37</v>
      </c>
      <c r="K52" t="s">
        <v>37</v>
      </c>
      <c r="L52" t="s">
        <v>37</v>
      </c>
      <c r="M52" t="s">
        <v>37</v>
      </c>
      <c r="N52" t="s">
        <v>37</v>
      </c>
      <c r="O52" t="str">
        <f>Yardi!K51</f>
        <v>13070-000</v>
      </c>
      <c r="P52" t="str">
        <f>Yardi!O51</f>
        <v>07/2026 Prepaid Amortization</v>
      </c>
      <c r="R52" t="s">
        <v>37</v>
      </c>
      <c r="S52" t="s">
        <v>37</v>
      </c>
      <c r="T52" t="s">
        <v>37</v>
      </c>
      <c r="U52" t="s">
        <v>37</v>
      </c>
      <c r="V52" s="410">
        <f>Yardi!J51</f>
        <v>0</v>
      </c>
    </row>
    <row r="53" spans="1:22" x14ac:dyDescent="0.25">
      <c r="A53" t="s">
        <v>37</v>
      </c>
      <c r="B53" t="s">
        <v>37</v>
      </c>
      <c r="C53" t="s">
        <v>37</v>
      </c>
      <c r="D53" t="s">
        <v>37</v>
      </c>
      <c r="E53" t="s">
        <v>37</v>
      </c>
      <c r="F53" t="s">
        <v>37</v>
      </c>
      <c r="G53" t="s">
        <v>37</v>
      </c>
      <c r="H53" t="s">
        <v>37</v>
      </c>
      <c r="I53" t="s">
        <v>37</v>
      </c>
      <c r="J53" t="s">
        <v>37</v>
      </c>
      <c r="K53" t="s">
        <v>37</v>
      </c>
      <c r="L53" t="s">
        <v>37</v>
      </c>
      <c r="M53" t="s">
        <v>37</v>
      </c>
      <c r="N53" t="s">
        <v>37</v>
      </c>
      <c r="O53">
        <f>Yardi!K52</f>
        <v>0</v>
      </c>
      <c r="P53" t="str">
        <f>Yardi!O52</f>
        <v>07/2026 Prepaid Amortization</v>
      </c>
      <c r="R53" t="s">
        <v>37</v>
      </c>
      <c r="S53" t="s">
        <v>37</v>
      </c>
      <c r="T53" t="s">
        <v>37</v>
      </c>
      <c r="U53" t="s">
        <v>37</v>
      </c>
      <c r="V53" s="410">
        <f>Yardi!J52</f>
        <v>0</v>
      </c>
    </row>
    <row r="54" spans="1:22" x14ac:dyDescent="0.25">
      <c r="A54" t="s">
        <v>37</v>
      </c>
      <c r="B54" t="s">
        <v>37</v>
      </c>
      <c r="C54" t="s">
        <v>37</v>
      </c>
      <c r="D54" t="s">
        <v>37</v>
      </c>
      <c r="E54" t="s">
        <v>37</v>
      </c>
      <c r="F54" t="s">
        <v>37</v>
      </c>
      <c r="G54" t="s">
        <v>37</v>
      </c>
      <c r="H54" t="s">
        <v>37</v>
      </c>
      <c r="I54" t="s">
        <v>37</v>
      </c>
      <c r="J54" t="s">
        <v>37</v>
      </c>
      <c r="K54" t="s">
        <v>37</v>
      </c>
      <c r="L54" t="s">
        <v>37</v>
      </c>
      <c r="M54" t="s">
        <v>37</v>
      </c>
      <c r="N54" t="s">
        <v>37</v>
      </c>
      <c r="O54" t="str">
        <f>Yardi!K53</f>
        <v>13070-000</v>
      </c>
      <c r="P54" t="str">
        <f>Yardi!O53</f>
        <v>07/2026 Prepaid Amortization</v>
      </c>
      <c r="R54" t="s">
        <v>37</v>
      </c>
      <c r="S54" t="s">
        <v>37</v>
      </c>
      <c r="T54" t="s">
        <v>37</v>
      </c>
      <c r="U54" t="s">
        <v>37</v>
      </c>
      <c r="V54" s="410">
        <f>Yardi!J53</f>
        <v>0</v>
      </c>
    </row>
    <row r="55" spans="1:22" x14ac:dyDescent="0.25">
      <c r="A55" t="s">
        <v>37</v>
      </c>
      <c r="B55" t="s">
        <v>37</v>
      </c>
      <c r="C55" t="s">
        <v>37</v>
      </c>
      <c r="D55" t="s">
        <v>37</v>
      </c>
      <c r="E55" t="s">
        <v>37</v>
      </c>
      <c r="F55" t="s">
        <v>37</v>
      </c>
      <c r="G55" t="s">
        <v>37</v>
      </c>
      <c r="H55" t="s">
        <v>37</v>
      </c>
      <c r="I55" t="s">
        <v>37</v>
      </c>
      <c r="J55" t="s">
        <v>37</v>
      </c>
      <c r="K55" t="s">
        <v>37</v>
      </c>
      <c r="L55" t="s">
        <v>37</v>
      </c>
      <c r="M55" t="s">
        <v>37</v>
      </c>
      <c r="N55" t="s">
        <v>37</v>
      </c>
      <c r="O55" t="str">
        <f>Yardi!K54</f>
        <v>62010-000</v>
      </c>
      <c r="P55" t="str">
        <f>Yardi!O54</f>
        <v>07/2026 Ad Valorem Property Taxes Accrual</v>
      </c>
      <c r="R55" t="s">
        <v>37</v>
      </c>
      <c r="S55" t="s">
        <v>37</v>
      </c>
      <c r="T55" t="s">
        <v>37</v>
      </c>
      <c r="U55" t="s">
        <v>37</v>
      </c>
      <c r="V55" s="410">
        <f>Yardi!J54</f>
        <v>0</v>
      </c>
    </row>
    <row r="56" spans="1:22" x14ac:dyDescent="0.25">
      <c r="A56" t="s">
        <v>37</v>
      </c>
      <c r="B56" t="s">
        <v>37</v>
      </c>
      <c r="C56" t="s">
        <v>37</v>
      </c>
      <c r="D56" t="s">
        <v>37</v>
      </c>
      <c r="E56" t="s">
        <v>37</v>
      </c>
      <c r="F56" t="s">
        <v>37</v>
      </c>
      <c r="G56" t="s">
        <v>37</v>
      </c>
      <c r="H56" t="s">
        <v>37</v>
      </c>
      <c r="I56" t="s">
        <v>37</v>
      </c>
      <c r="J56" t="s">
        <v>37</v>
      </c>
      <c r="K56" t="s">
        <v>37</v>
      </c>
      <c r="L56" t="s">
        <v>37</v>
      </c>
      <c r="M56" t="s">
        <v>37</v>
      </c>
      <c r="N56" t="s">
        <v>37</v>
      </c>
      <c r="O56">
        <f>Yardi!K55</f>
        <v>22020</v>
      </c>
      <c r="P56" t="str">
        <f>Yardi!O55</f>
        <v>07/2026 Ad Valorem Property Taxes Accrual</v>
      </c>
      <c r="R56" t="s">
        <v>37</v>
      </c>
      <c r="S56" t="s">
        <v>37</v>
      </c>
      <c r="T56" t="s">
        <v>37</v>
      </c>
      <c r="U56" t="s">
        <v>37</v>
      </c>
      <c r="V56" s="410">
        <f>Yardi!J55</f>
        <v>0</v>
      </c>
    </row>
    <row r="57" spans="1:22" x14ac:dyDescent="0.25">
      <c r="A57" t="s">
        <v>37</v>
      </c>
      <c r="B57" t="s">
        <v>37</v>
      </c>
      <c r="C57" t="s">
        <v>37</v>
      </c>
      <c r="D57" t="s">
        <v>37</v>
      </c>
      <c r="E57" t="s">
        <v>37</v>
      </c>
      <c r="F57" t="s">
        <v>37</v>
      </c>
      <c r="G57" t="s">
        <v>37</v>
      </c>
      <c r="H57" t="s">
        <v>37</v>
      </c>
      <c r="I57" t="s">
        <v>37</v>
      </c>
      <c r="J57" t="s">
        <v>37</v>
      </c>
      <c r="K57" t="s">
        <v>37</v>
      </c>
      <c r="L57" t="s">
        <v>37</v>
      </c>
      <c r="M57" t="s">
        <v>37</v>
      </c>
      <c r="N57" t="s">
        <v>37</v>
      </c>
      <c r="O57" t="str">
        <f>Yardi!K56</f>
        <v>62010-000</v>
      </c>
      <c r="P57" t="str">
        <f>Yardi!O56</f>
        <v>07/2026 Accrual</v>
      </c>
      <c r="R57" t="s">
        <v>37</v>
      </c>
      <c r="S57" t="s">
        <v>37</v>
      </c>
      <c r="T57" t="s">
        <v>37</v>
      </c>
      <c r="U57" t="s">
        <v>37</v>
      </c>
      <c r="V57" s="410">
        <f>Yardi!J56</f>
        <v>0</v>
      </c>
    </row>
    <row r="58" spans="1:22" x14ac:dyDescent="0.25">
      <c r="A58" t="s">
        <v>37</v>
      </c>
      <c r="B58" t="s">
        <v>37</v>
      </c>
      <c r="C58" t="s">
        <v>37</v>
      </c>
      <c r="D58" t="s">
        <v>37</v>
      </c>
      <c r="E58" t="s">
        <v>37</v>
      </c>
      <c r="F58" t="s">
        <v>37</v>
      </c>
      <c r="G58" t="s">
        <v>37</v>
      </c>
      <c r="H58" t="s">
        <v>37</v>
      </c>
      <c r="I58" t="s">
        <v>37</v>
      </c>
      <c r="J58" t="s">
        <v>37</v>
      </c>
      <c r="K58" t="s">
        <v>37</v>
      </c>
      <c r="L58" t="s">
        <v>37</v>
      </c>
      <c r="M58" t="s">
        <v>37</v>
      </c>
      <c r="N58" t="s">
        <v>37</v>
      </c>
      <c r="O58">
        <f>Yardi!K57</f>
        <v>22020</v>
      </c>
      <c r="P58" t="str">
        <f>Yardi!O57</f>
        <v>07/2026 Accrual</v>
      </c>
      <c r="R58" t="s">
        <v>37</v>
      </c>
      <c r="S58" t="s">
        <v>37</v>
      </c>
      <c r="T58" t="s">
        <v>37</v>
      </c>
      <c r="U58" t="s">
        <v>37</v>
      </c>
      <c r="V58" s="410">
        <f>Yardi!J57</f>
        <v>0</v>
      </c>
    </row>
    <row r="59" spans="1:22" x14ac:dyDescent="0.25">
      <c r="A59" t="s">
        <v>37</v>
      </c>
      <c r="B59" t="s">
        <v>37</v>
      </c>
      <c r="C59" t="s">
        <v>37</v>
      </c>
      <c r="D59" t="s">
        <v>37</v>
      </c>
      <c r="E59" t="s">
        <v>37</v>
      </c>
      <c r="F59" t="s">
        <v>37</v>
      </c>
      <c r="G59" t="s">
        <v>37</v>
      </c>
      <c r="H59" t="s">
        <v>37</v>
      </c>
      <c r="I59" t="s">
        <v>37</v>
      </c>
      <c r="J59" t="s">
        <v>37</v>
      </c>
      <c r="K59" t="s">
        <v>37</v>
      </c>
      <c r="L59" t="s">
        <v>37</v>
      </c>
      <c r="M59" t="s">
        <v>37</v>
      </c>
      <c r="N59" t="s">
        <v>37</v>
      </c>
      <c r="O59" t="str">
        <f>Yardi!K58</f>
        <v>62010-000</v>
      </c>
      <c r="P59" t="str">
        <f>Yardi!O58</f>
        <v>07/2026 Accrual</v>
      </c>
      <c r="R59" t="s">
        <v>37</v>
      </c>
      <c r="S59" t="s">
        <v>37</v>
      </c>
      <c r="T59" t="s">
        <v>37</v>
      </c>
      <c r="U59" t="s">
        <v>37</v>
      </c>
      <c r="V59" s="410">
        <f>Yardi!J58</f>
        <v>0</v>
      </c>
    </row>
    <row r="60" spans="1:22" x14ac:dyDescent="0.25">
      <c r="A60" t="s">
        <v>37</v>
      </c>
      <c r="B60" t="s">
        <v>37</v>
      </c>
      <c r="C60" t="s">
        <v>37</v>
      </c>
      <c r="D60" t="s">
        <v>37</v>
      </c>
      <c r="E60" t="s">
        <v>37</v>
      </c>
      <c r="F60" t="s">
        <v>37</v>
      </c>
      <c r="G60" t="s">
        <v>37</v>
      </c>
      <c r="H60" t="s">
        <v>37</v>
      </c>
      <c r="I60" t="s">
        <v>37</v>
      </c>
      <c r="J60" t="s">
        <v>37</v>
      </c>
      <c r="K60" t="s">
        <v>37</v>
      </c>
      <c r="L60" t="s">
        <v>37</v>
      </c>
      <c r="M60" t="s">
        <v>37</v>
      </c>
      <c r="N60" t="s">
        <v>37</v>
      </c>
      <c r="O60">
        <f>Yardi!K59</f>
        <v>22020</v>
      </c>
      <c r="P60" t="str">
        <f>Yardi!O59</f>
        <v>07/2026 Accrual</v>
      </c>
      <c r="R60" t="s">
        <v>37</v>
      </c>
      <c r="S60" t="s">
        <v>37</v>
      </c>
      <c r="T60" t="s">
        <v>37</v>
      </c>
      <c r="U60" t="s">
        <v>37</v>
      </c>
      <c r="V60" s="410">
        <f>Yardi!J59</f>
        <v>0</v>
      </c>
    </row>
    <row r="61" spans="1:22" x14ac:dyDescent="0.25">
      <c r="A61" t="s">
        <v>37</v>
      </c>
      <c r="B61" t="s">
        <v>37</v>
      </c>
      <c r="C61" t="s">
        <v>37</v>
      </c>
      <c r="D61" t="s">
        <v>37</v>
      </c>
      <c r="E61" t="s">
        <v>37</v>
      </c>
      <c r="F61" t="s">
        <v>37</v>
      </c>
      <c r="G61" t="s">
        <v>37</v>
      </c>
      <c r="H61" t="s">
        <v>37</v>
      </c>
      <c r="I61" t="s">
        <v>37</v>
      </c>
      <c r="J61" t="s">
        <v>37</v>
      </c>
      <c r="K61" t="s">
        <v>37</v>
      </c>
      <c r="L61" t="s">
        <v>37</v>
      </c>
      <c r="M61" t="s">
        <v>37</v>
      </c>
      <c r="N61" t="s">
        <v>37</v>
      </c>
      <c r="O61" t="str">
        <f>Yardi!K60</f>
        <v>62030-000</v>
      </c>
      <c r="P61" t="str">
        <f>Yardi!O60</f>
        <v>07/2026 Accrual</v>
      </c>
      <c r="R61" t="s">
        <v>37</v>
      </c>
      <c r="S61" t="s">
        <v>37</v>
      </c>
      <c r="T61" t="s">
        <v>37</v>
      </c>
      <c r="U61" t="s">
        <v>37</v>
      </c>
      <c r="V61" s="410">
        <f>Yardi!J60</f>
        <v>0</v>
      </c>
    </row>
    <row r="62" spans="1:22" x14ac:dyDescent="0.25">
      <c r="A62" t="s">
        <v>37</v>
      </c>
      <c r="B62" t="s">
        <v>37</v>
      </c>
      <c r="C62" t="s">
        <v>37</v>
      </c>
      <c r="D62" t="s">
        <v>37</v>
      </c>
      <c r="E62" t="s">
        <v>37</v>
      </c>
      <c r="F62" t="s">
        <v>37</v>
      </c>
      <c r="G62" t="s">
        <v>37</v>
      </c>
      <c r="H62" t="s">
        <v>37</v>
      </c>
      <c r="I62" t="s">
        <v>37</v>
      </c>
      <c r="J62" t="s">
        <v>37</v>
      </c>
      <c r="K62" t="s">
        <v>37</v>
      </c>
      <c r="L62" t="s">
        <v>37</v>
      </c>
      <c r="M62" t="s">
        <v>37</v>
      </c>
      <c r="N62" t="s">
        <v>37</v>
      </c>
      <c r="O62" t="str">
        <f>Yardi!K61</f>
        <v>22020-000</v>
      </c>
      <c r="P62" t="str">
        <f>Yardi!O61</f>
        <v>07/2026 Accrual</v>
      </c>
      <c r="R62" t="s">
        <v>37</v>
      </c>
      <c r="S62" t="s">
        <v>37</v>
      </c>
      <c r="T62" t="s">
        <v>37</v>
      </c>
      <c r="U62" t="s">
        <v>37</v>
      </c>
      <c r="V62" s="410">
        <f>Yardi!J61</f>
        <v>0</v>
      </c>
    </row>
    <row r="63" spans="1:22" x14ac:dyDescent="0.25">
      <c r="A63" t="s">
        <v>37</v>
      </c>
      <c r="B63" t="s">
        <v>37</v>
      </c>
      <c r="C63" t="s">
        <v>37</v>
      </c>
      <c r="D63" t="s">
        <v>37</v>
      </c>
      <c r="E63" t="s">
        <v>37</v>
      </c>
      <c r="F63" t="s">
        <v>37</v>
      </c>
      <c r="G63" t="s">
        <v>37</v>
      </c>
      <c r="H63" t="s">
        <v>37</v>
      </c>
      <c r="I63" t="s">
        <v>37</v>
      </c>
      <c r="J63" t="s">
        <v>37</v>
      </c>
      <c r="K63" t="s">
        <v>37</v>
      </c>
      <c r="L63" t="s">
        <v>37</v>
      </c>
      <c r="M63" t="s">
        <v>37</v>
      </c>
      <c r="N63" t="s">
        <v>37</v>
      </c>
      <c r="O63" t="str">
        <f>Yardi!K62</f>
        <v>62010-000</v>
      </c>
      <c r="P63" t="str">
        <f>Yardi!O62</f>
        <v>07/2026 Accrual</v>
      </c>
      <c r="R63" t="s">
        <v>37</v>
      </c>
      <c r="S63" t="s">
        <v>37</v>
      </c>
      <c r="T63" t="s">
        <v>37</v>
      </c>
      <c r="U63" t="s">
        <v>37</v>
      </c>
      <c r="V63" s="410">
        <f>Yardi!J62</f>
        <v>0</v>
      </c>
    </row>
    <row r="64" spans="1:22" x14ac:dyDescent="0.25">
      <c r="A64" t="s">
        <v>37</v>
      </c>
      <c r="B64" t="s">
        <v>37</v>
      </c>
      <c r="C64" t="s">
        <v>37</v>
      </c>
      <c r="D64" t="s">
        <v>37</v>
      </c>
      <c r="E64" t="s">
        <v>37</v>
      </c>
      <c r="F64" t="s">
        <v>37</v>
      </c>
      <c r="G64" t="s">
        <v>37</v>
      </c>
      <c r="H64" t="s">
        <v>37</v>
      </c>
      <c r="I64" t="s">
        <v>37</v>
      </c>
      <c r="J64" t="s">
        <v>37</v>
      </c>
      <c r="K64" t="s">
        <v>37</v>
      </c>
      <c r="L64" t="s">
        <v>37</v>
      </c>
      <c r="M64" t="s">
        <v>37</v>
      </c>
      <c r="N64" t="s">
        <v>37</v>
      </c>
      <c r="O64">
        <f>Yardi!K63</f>
        <v>22020</v>
      </c>
      <c r="P64" t="str">
        <f>Yardi!O63</f>
        <v>07/2026 Accrual</v>
      </c>
      <c r="R64" t="s">
        <v>37</v>
      </c>
      <c r="S64" t="s">
        <v>37</v>
      </c>
      <c r="T64" t="s">
        <v>37</v>
      </c>
      <c r="U64" t="s">
        <v>37</v>
      </c>
      <c r="V64" s="410">
        <f>Yardi!J63</f>
        <v>0</v>
      </c>
    </row>
    <row r="65" spans="1:22" x14ac:dyDescent="0.25">
      <c r="A65" t="s">
        <v>37</v>
      </c>
      <c r="B65" t="s">
        <v>37</v>
      </c>
      <c r="C65" t="s">
        <v>37</v>
      </c>
      <c r="D65" t="s">
        <v>37</v>
      </c>
      <c r="E65" t="s">
        <v>37</v>
      </c>
      <c r="F65" t="s">
        <v>37</v>
      </c>
      <c r="G65" t="s">
        <v>37</v>
      </c>
      <c r="H65" t="s">
        <v>37</v>
      </c>
      <c r="I65" t="s">
        <v>37</v>
      </c>
      <c r="J65" t="s">
        <v>37</v>
      </c>
      <c r="K65" t="s">
        <v>37</v>
      </c>
      <c r="L65" t="s">
        <v>37</v>
      </c>
      <c r="M65" t="s">
        <v>37</v>
      </c>
      <c r="N65" t="s">
        <v>37</v>
      </c>
      <c r="O65">
        <f>Yardi!K64</f>
        <v>0</v>
      </c>
      <c r="P65" t="str">
        <f>Yardi!O64</f>
        <v>07/2026 Accrual</v>
      </c>
      <c r="R65" t="s">
        <v>37</v>
      </c>
      <c r="S65" t="s">
        <v>37</v>
      </c>
      <c r="T65" t="s">
        <v>37</v>
      </c>
      <c r="U65" t="s">
        <v>37</v>
      </c>
      <c r="V65" s="410">
        <f>Yardi!J64</f>
        <v>0</v>
      </c>
    </row>
    <row r="66" spans="1:22" x14ac:dyDescent="0.25">
      <c r="A66" t="s">
        <v>37</v>
      </c>
      <c r="B66" t="s">
        <v>37</v>
      </c>
      <c r="C66" t="s">
        <v>37</v>
      </c>
      <c r="D66" t="s">
        <v>37</v>
      </c>
      <c r="E66" t="s">
        <v>37</v>
      </c>
      <c r="F66" t="s">
        <v>37</v>
      </c>
      <c r="G66" t="s">
        <v>37</v>
      </c>
      <c r="H66" t="s">
        <v>37</v>
      </c>
      <c r="I66" t="s">
        <v>37</v>
      </c>
      <c r="J66" t="s">
        <v>37</v>
      </c>
      <c r="K66" t="s">
        <v>37</v>
      </c>
      <c r="L66" t="s">
        <v>37</v>
      </c>
      <c r="M66" t="s">
        <v>37</v>
      </c>
      <c r="N66" t="s">
        <v>37</v>
      </c>
      <c r="O66" t="str">
        <f>Yardi!K65</f>
        <v>22020-000</v>
      </c>
      <c r="P66" t="str">
        <f>Yardi!O65</f>
        <v>07/2026 Accrual</v>
      </c>
      <c r="R66" t="s">
        <v>37</v>
      </c>
      <c r="S66" t="s">
        <v>37</v>
      </c>
      <c r="T66" t="s">
        <v>37</v>
      </c>
      <c r="U66" t="s">
        <v>37</v>
      </c>
      <c r="V66" s="410">
        <f>Yardi!J65</f>
        <v>0</v>
      </c>
    </row>
    <row r="67" spans="1:22" x14ac:dyDescent="0.25">
      <c r="A67" t="s">
        <v>37</v>
      </c>
      <c r="B67" t="s">
        <v>37</v>
      </c>
      <c r="C67" t="s">
        <v>37</v>
      </c>
      <c r="D67" t="s">
        <v>37</v>
      </c>
      <c r="E67" t="s">
        <v>37</v>
      </c>
      <c r="F67" t="s">
        <v>37</v>
      </c>
      <c r="G67" t="s">
        <v>37</v>
      </c>
      <c r="H67" t="s">
        <v>37</v>
      </c>
      <c r="I67" t="s">
        <v>37</v>
      </c>
      <c r="J67" t="s">
        <v>37</v>
      </c>
      <c r="K67" t="s">
        <v>37</v>
      </c>
      <c r="L67" t="s">
        <v>37</v>
      </c>
      <c r="M67" t="s">
        <v>37</v>
      </c>
      <c r="N67" t="s">
        <v>37</v>
      </c>
      <c r="O67" t="str">
        <f>Yardi!K66</f>
        <v>58280-000</v>
      </c>
      <c r="P67" t="str">
        <f>Yardi!O66</f>
        <v>07/2026 Prepaid Butterfly - 10.1.2024-9.30.2025 Intercom software subscription Amortization</v>
      </c>
      <c r="R67" t="s">
        <v>37</v>
      </c>
      <c r="S67" t="s">
        <v>37</v>
      </c>
      <c r="T67" t="s">
        <v>37</v>
      </c>
      <c r="U67" t="s">
        <v>37</v>
      </c>
      <c r="V67" s="410">
        <f>Yardi!J66</f>
        <v>0</v>
      </c>
    </row>
    <row r="68" spans="1:22" x14ac:dyDescent="0.25">
      <c r="A68" t="s">
        <v>37</v>
      </c>
      <c r="B68" t="s">
        <v>37</v>
      </c>
      <c r="C68" t="s">
        <v>37</v>
      </c>
      <c r="D68" t="s">
        <v>37</v>
      </c>
      <c r="E68" t="s">
        <v>37</v>
      </c>
      <c r="F68" t="s">
        <v>37</v>
      </c>
      <c r="G68" t="s">
        <v>37</v>
      </c>
      <c r="H68" t="s">
        <v>37</v>
      </c>
      <c r="I68" t="s">
        <v>37</v>
      </c>
      <c r="J68" t="s">
        <v>37</v>
      </c>
      <c r="K68" t="s">
        <v>37</v>
      </c>
      <c r="L68" t="s">
        <v>37</v>
      </c>
      <c r="M68" t="s">
        <v>37</v>
      </c>
      <c r="N68" t="s">
        <v>37</v>
      </c>
      <c r="O68">
        <f>Yardi!K67</f>
        <v>13085</v>
      </c>
      <c r="P68" t="str">
        <f>Yardi!O67</f>
        <v>07/2026 Prepaid Butterfly - 10.1.2024-9.30.2025 Intercom software subscription Amortization</v>
      </c>
      <c r="R68" t="s">
        <v>37</v>
      </c>
      <c r="S68" t="s">
        <v>37</v>
      </c>
      <c r="T68" t="s">
        <v>37</v>
      </c>
      <c r="U68" t="s">
        <v>37</v>
      </c>
      <c r="V68" s="410">
        <f>Yardi!J67</f>
        <v>0</v>
      </c>
    </row>
    <row r="69" spans="1:22" x14ac:dyDescent="0.25">
      <c r="A69" t="s">
        <v>37</v>
      </c>
      <c r="B69" t="s">
        <v>37</v>
      </c>
      <c r="C69" t="s">
        <v>37</v>
      </c>
      <c r="D69" t="s">
        <v>37</v>
      </c>
      <c r="E69" t="s">
        <v>37</v>
      </c>
      <c r="F69" t="s">
        <v>37</v>
      </c>
      <c r="G69" t="s">
        <v>37</v>
      </c>
      <c r="H69" t="s">
        <v>37</v>
      </c>
      <c r="I69" t="s">
        <v>37</v>
      </c>
      <c r="J69" t="s">
        <v>37</v>
      </c>
      <c r="K69" t="s">
        <v>37</v>
      </c>
      <c r="L69" t="s">
        <v>37</v>
      </c>
      <c r="M69" t="s">
        <v>37</v>
      </c>
      <c r="N69" t="s">
        <v>37</v>
      </c>
      <c r="O69" t="str">
        <f>Yardi!K68</f>
        <v>58280-000</v>
      </c>
      <c r="P69" t="str">
        <f>Yardi!O68</f>
        <v>07/2026 Prepaid ChargePoint - 3 yr subscription 10.22.24-10.22.27 Amortization</v>
      </c>
      <c r="R69" t="s">
        <v>37</v>
      </c>
      <c r="S69" t="s">
        <v>37</v>
      </c>
      <c r="T69" t="s">
        <v>37</v>
      </c>
      <c r="U69" t="s">
        <v>37</v>
      </c>
      <c r="V69" s="410">
        <f>Yardi!J68</f>
        <v>0</v>
      </c>
    </row>
    <row r="70" spans="1:22" x14ac:dyDescent="0.25">
      <c r="A70" t="s">
        <v>37</v>
      </c>
      <c r="B70" t="s">
        <v>37</v>
      </c>
      <c r="C70" t="s">
        <v>37</v>
      </c>
      <c r="D70" t="s">
        <v>37</v>
      </c>
      <c r="E70" t="s">
        <v>37</v>
      </c>
      <c r="F70" t="s">
        <v>37</v>
      </c>
      <c r="G70" t="s">
        <v>37</v>
      </c>
      <c r="H70" t="s">
        <v>37</v>
      </c>
      <c r="I70" t="s">
        <v>37</v>
      </c>
      <c r="J70" t="s">
        <v>37</v>
      </c>
      <c r="K70" t="s">
        <v>37</v>
      </c>
      <c r="L70" t="s">
        <v>37</v>
      </c>
      <c r="M70" t="s">
        <v>37</v>
      </c>
      <c r="N70" t="s">
        <v>37</v>
      </c>
      <c r="O70">
        <f>Yardi!K69</f>
        <v>13085</v>
      </c>
      <c r="P70" t="str">
        <f>Yardi!O69</f>
        <v>07/2026 Prepaid ChargePoint - 3 yr subscription 10.22.24-10.22.27 Amortization</v>
      </c>
      <c r="R70" t="s">
        <v>37</v>
      </c>
      <c r="S70" t="s">
        <v>37</v>
      </c>
      <c r="T70" t="s">
        <v>37</v>
      </c>
      <c r="U70" t="s">
        <v>37</v>
      </c>
      <c r="V70" s="410">
        <f>Yardi!J69</f>
        <v>0</v>
      </c>
    </row>
    <row r="71" spans="1:22" x14ac:dyDescent="0.25">
      <c r="A71" t="s">
        <v>37</v>
      </c>
      <c r="B71" t="s">
        <v>37</v>
      </c>
      <c r="C71" t="s">
        <v>37</v>
      </c>
      <c r="D71" t="s">
        <v>37</v>
      </c>
      <c r="E71" t="s">
        <v>37</v>
      </c>
      <c r="F71" t="s">
        <v>37</v>
      </c>
      <c r="G71" t="s">
        <v>37</v>
      </c>
      <c r="H71" t="s">
        <v>37</v>
      </c>
      <c r="I71" t="s">
        <v>37</v>
      </c>
      <c r="J71" t="s">
        <v>37</v>
      </c>
      <c r="K71" t="s">
        <v>37</v>
      </c>
      <c r="L71" t="s">
        <v>37</v>
      </c>
      <c r="M71" t="s">
        <v>37</v>
      </c>
      <c r="N71" t="s">
        <v>37</v>
      </c>
      <c r="O71" t="str">
        <f>Yardi!K70</f>
        <v>53070-000</v>
      </c>
      <c r="P71" t="str">
        <f>Yardi!O70</f>
        <v>07/2026 Prepaid Jonson Controls Fire Protection - 10.1.2024-9.30/2025 Fire Alarm Monitor-Bldg 2 Amortization</v>
      </c>
      <c r="R71" t="s">
        <v>37</v>
      </c>
      <c r="S71" t="s">
        <v>37</v>
      </c>
      <c r="T71" t="s">
        <v>37</v>
      </c>
      <c r="U71" t="s">
        <v>37</v>
      </c>
      <c r="V71" s="410">
        <f>Yardi!J70</f>
        <v>0</v>
      </c>
    </row>
    <row r="72" spans="1:22" x14ac:dyDescent="0.25">
      <c r="A72" t="s">
        <v>37</v>
      </c>
      <c r="B72" t="s">
        <v>37</v>
      </c>
      <c r="C72" t="s">
        <v>37</v>
      </c>
      <c r="D72" t="s">
        <v>37</v>
      </c>
      <c r="E72" t="s">
        <v>37</v>
      </c>
      <c r="F72" t="s">
        <v>37</v>
      </c>
      <c r="G72" t="s">
        <v>37</v>
      </c>
      <c r="H72" t="s">
        <v>37</v>
      </c>
      <c r="I72" t="s">
        <v>37</v>
      </c>
      <c r="J72" t="s">
        <v>37</v>
      </c>
      <c r="K72" t="s">
        <v>37</v>
      </c>
      <c r="L72" t="s">
        <v>37</v>
      </c>
      <c r="M72" t="s">
        <v>37</v>
      </c>
      <c r="N72" t="s">
        <v>37</v>
      </c>
      <c r="O72">
        <f>Yardi!K71</f>
        <v>13085</v>
      </c>
      <c r="P72" t="str">
        <f>Yardi!O71</f>
        <v>07/2026 Prepaid Jonson Controls Fire Protection - 10.1.2024-9.30/2025 Fire Alarm Monitor-Bldg 2 Amortization</v>
      </c>
      <c r="R72" t="s">
        <v>37</v>
      </c>
      <c r="S72" t="s">
        <v>37</v>
      </c>
      <c r="T72" t="s">
        <v>37</v>
      </c>
      <c r="U72" t="s">
        <v>37</v>
      </c>
      <c r="V72" s="410">
        <f>Yardi!J71</f>
        <v>0</v>
      </c>
    </row>
    <row r="73" spans="1:22" x14ac:dyDescent="0.25">
      <c r="A73" t="s">
        <v>37</v>
      </c>
      <c r="B73" t="s">
        <v>37</v>
      </c>
      <c r="C73" t="s">
        <v>37</v>
      </c>
      <c r="D73" t="s">
        <v>37</v>
      </c>
      <c r="E73" t="s">
        <v>37</v>
      </c>
      <c r="F73" t="s">
        <v>37</v>
      </c>
      <c r="G73" t="s">
        <v>37</v>
      </c>
      <c r="H73" t="s">
        <v>37</v>
      </c>
      <c r="I73" t="s">
        <v>37</v>
      </c>
      <c r="J73" t="s">
        <v>37</v>
      </c>
      <c r="K73" t="s">
        <v>37</v>
      </c>
      <c r="L73" t="s">
        <v>37</v>
      </c>
      <c r="M73" t="s">
        <v>37</v>
      </c>
      <c r="N73" t="s">
        <v>37</v>
      </c>
      <c r="O73" t="str">
        <f>Yardi!K72</f>
        <v>53070-000</v>
      </c>
      <c r="P73" t="str">
        <f>Yardi!O72</f>
        <v>07/2026 Prepaid Jonson Controls Fire Protection - 10.1.2024-9.30/2025 Fire Alarm Monitor-Bldg 3 Amortization</v>
      </c>
      <c r="R73" t="s">
        <v>37</v>
      </c>
      <c r="S73" t="s">
        <v>37</v>
      </c>
      <c r="T73" t="s">
        <v>37</v>
      </c>
      <c r="U73" t="s">
        <v>37</v>
      </c>
      <c r="V73" s="410">
        <f>Yardi!J72</f>
        <v>0</v>
      </c>
    </row>
    <row r="74" spans="1:22" x14ac:dyDescent="0.25">
      <c r="A74" t="s">
        <v>37</v>
      </c>
      <c r="B74" t="s">
        <v>37</v>
      </c>
      <c r="C74" t="s">
        <v>37</v>
      </c>
      <c r="D74" t="s">
        <v>37</v>
      </c>
      <c r="E74" t="s">
        <v>37</v>
      </c>
      <c r="F74" t="s">
        <v>37</v>
      </c>
      <c r="G74" t="s">
        <v>37</v>
      </c>
      <c r="H74" t="s">
        <v>37</v>
      </c>
      <c r="I74" t="s">
        <v>37</v>
      </c>
      <c r="J74" t="s">
        <v>37</v>
      </c>
      <c r="K74" t="s">
        <v>37</v>
      </c>
      <c r="L74" t="s">
        <v>37</v>
      </c>
      <c r="M74" t="s">
        <v>37</v>
      </c>
      <c r="N74" t="s">
        <v>37</v>
      </c>
      <c r="O74">
        <f>Yardi!K73</f>
        <v>13085</v>
      </c>
      <c r="P74" t="str">
        <f>Yardi!O73</f>
        <v>07/2026 Prepaid Jonson Controls Fire Protection - 10.1.2024-9.30/2025 Fire Alarm Monitor-Bldg 3 Amortization</v>
      </c>
      <c r="R74" t="s">
        <v>37</v>
      </c>
      <c r="S74" t="s">
        <v>37</v>
      </c>
      <c r="T74" t="s">
        <v>37</v>
      </c>
      <c r="U74" t="s">
        <v>37</v>
      </c>
      <c r="V74" s="410">
        <f>Yardi!J73</f>
        <v>0</v>
      </c>
    </row>
    <row r="75" spans="1:22" x14ac:dyDescent="0.25">
      <c r="A75" t="s">
        <v>37</v>
      </c>
      <c r="B75" t="s">
        <v>37</v>
      </c>
      <c r="C75" t="s">
        <v>37</v>
      </c>
      <c r="D75" t="s">
        <v>37</v>
      </c>
      <c r="E75" t="s">
        <v>37</v>
      </c>
      <c r="F75" t="s">
        <v>37</v>
      </c>
      <c r="G75" t="s">
        <v>37</v>
      </c>
      <c r="H75" t="s">
        <v>37</v>
      </c>
      <c r="I75" t="s">
        <v>37</v>
      </c>
      <c r="J75" t="s">
        <v>37</v>
      </c>
      <c r="K75" t="s">
        <v>37</v>
      </c>
      <c r="L75" t="s">
        <v>37</v>
      </c>
      <c r="M75" t="s">
        <v>37</v>
      </c>
      <c r="N75" t="s">
        <v>37</v>
      </c>
      <c r="O75" t="str">
        <f>Yardi!K74</f>
        <v>53070-000</v>
      </c>
      <c r="P75" t="str">
        <f>Yardi!O74</f>
        <v>07/2026 Prepaid Jonson Controls Fire Protection - 10.1.2024-9.30/2025 Fire Alarm Monitor-Bldg 4 Amortization</v>
      </c>
      <c r="R75" t="s">
        <v>37</v>
      </c>
      <c r="S75" t="s">
        <v>37</v>
      </c>
      <c r="T75" t="s">
        <v>37</v>
      </c>
      <c r="U75" t="s">
        <v>37</v>
      </c>
      <c r="V75" s="410">
        <f>Yardi!J74</f>
        <v>0</v>
      </c>
    </row>
    <row r="76" spans="1:22" x14ac:dyDescent="0.25">
      <c r="A76" t="s">
        <v>37</v>
      </c>
      <c r="B76" t="s">
        <v>37</v>
      </c>
      <c r="C76" t="s">
        <v>37</v>
      </c>
      <c r="D76" t="s">
        <v>37</v>
      </c>
      <c r="E76" t="s">
        <v>37</v>
      </c>
      <c r="F76" t="s">
        <v>37</v>
      </c>
      <c r="G76" t="s">
        <v>37</v>
      </c>
      <c r="H76" t="s">
        <v>37</v>
      </c>
      <c r="I76" t="s">
        <v>37</v>
      </c>
      <c r="J76" t="s">
        <v>37</v>
      </c>
      <c r="K76" t="s">
        <v>37</v>
      </c>
      <c r="L76" t="s">
        <v>37</v>
      </c>
      <c r="M76" t="s">
        <v>37</v>
      </c>
      <c r="N76" t="s">
        <v>37</v>
      </c>
      <c r="O76">
        <f>Yardi!K75</f>
        <v>13085</v>
      </c>
      <c r="P76" t="str">
        <f>Yardi!O75</f>
        <v>07/2026 Prepaid Jonson Controls Fire Protection - 10.1.2024-9.30/2025 Fire Alarm Monitor-Bldg 4 Amortization</v>
      </c>
      <c r="R76" t="s">
        <v>37</v>
      </c>
      <c r="S76" t="s">
        <v>37</v>
      </c>
      <c r="T76" t="s">
        <v>37</v>
      </c>
      <c r="U76" t="s">
        <v>37</v>
      </c>
      <c r="V76" s="410">
        <f>Yardi!J75</f>
        <v>0</v>
      </c>
    </row>
    <row r="77" spans="1:22" x14ac:dyDescent="0.25">
      <c r="A77" t="s">
        <v>37</v>
      </c>
      <c r="B77" t="s">
        <v>37</v>
      </c>
      <c r="C77" t="s">
        <v>37</v>
      </c>
      <c r="D77" t="s">
        <v>37</v>
      </c>
      <c r="E77" t="s">
        <v>37</v>
      </c>
      <c r="F77" t="s">
        <v>37</v>
      </c>
      <c r="G77" t="s">
        <v>37</v>
      </c>
      <c r="H77" t="s">
        <v>37</v>
      </c>
      <c r="I77" t="s">
        <v>37</v>
      </c>
      <c r="J77" t="s">
        <v>37</v>
      </c>
      <c r="K77" t="s">
        <v>37</v>
      </c>
      <c r="L77" t="s">
        <v>37</v>
      </c>
      <c r="M77" t="s">
        <v>37</v>
      </c>
      <c r="N77" t="s">
        <v>37</v>
      </c>
      <c r="O77" t="str">
        <f>Yardi!K76</f>
        <v>53070-000</v>
      </c>
      <c r="P77" t="str">
        <f>Yardi!O76</f>
        <v>07/2026 Prepaid Jonson Controls Fire Protection - 10.1.2024-9.30/2025 Fire Alarm Monitor-Bldg 1 Amortization</v>
      </c>
      <c r="R77" t="s">
        <v>37</v>
      </c>
      <c r="S77" t="s">
        <v>37</v>
      </c>
      <c r="T77" t="s">
        <v>37</v>
      </c>
      <c r="U77" t="s">
        <v>37</v>
      </c>
      <c r="V77" s="410">
        <f>Yardi!J76</f>
        <v>0</v>
      </c>
    </row>
    <row r="78" spans="1:22" x14ac:dyDescent="0.25">
      <c r="A78" t="s">
        <v>37</v>
      </c>
      <c r="B78" t="s">
        <v>37</v>
      </c>
      <c r="C78" t="s">
        <v>37</v>
      </c>
      <c r="D78" t="s">
        <v>37</v>
      </c>
      <c r="E78" t="s">
        <v>37</v>
      </c>
      <c r="F78" t="s">
        <v>37</v>
      </c>
      <c r="G78" t="s">
        <v>37</v>
      </c>
      <c r="H78" t="s">
        <v>37</v>
      </c>
      <c r="I78" t="s">
        <v>37</v>
      </c>
      <c r="J78" t="s">
        <v>37</v>
      </c>
      <c r="K78" t="s">
        <v>37</v>
      </c>
      <c r="L78" t="s">
        <v>37</v>
      </c>
      <c r="M78" t="s">
        <v>37</v>
      </c>
      <c r="N78" t="s">
        <v>37</v>
      </c>
      <c r="O78">
        <f>Yardi!K77</f>
        <v>13085</v>
      </c>
      <c r="P78" t="str">
        <f>Yardi!O77</f>
        <v>07/2026 Prepaid Jonson Controls Fire Protection - 10.1.2024-9.30/2025 Fire Alarm Monitor-Bldg 1 Amortization</v>
      </c>
      <c r="R78" t="s">
        <v>37</v>
      </c>
      <c r="S78" t="s">
        <v>37</v>
      </c>
      <c r="T78" t="s">
        <v>37</v>
      </c>
      <c r="U78" t="s">
        <v>37</v>
      </c>
      <c r="V78" s="410">
        <f>Yardi!J77</f>
        <v>0</v>
      </c>
    </row>
    <row r="79" spans="1:22" x14ac:dyDescent="0.25">
      <c r="A79" t="s">
        <v>37</v>
      </c>
      <c r="B79" t="s">
        <v>37</v>
      </c>
      <c r="C79" t="s">
        <v>37</v>
      </c>
      <c r="D79" t="s">
        <v>37</v>
      </c>
      <c r="E79" t="s">
        <v>37</v>
      </c>
      <c r="F79" t="s">
        <v>37</v>
      </c>
      <c r="G79" t="s">
        <v>37</v>
      </c>
      <c r="H79" t="s">
        <v>37</v>
      </c>
      <c r="I79" t="s">
        <v>37</v>
      </c>
      <c r="J79" t="s">
        <v>37</v>
      </c>
      <c r="K79" t="s">
        <v>37</v>
      </c>
      <c r="L79" t="s">
        <v>37</v>
      </c>
      <c r="M79" t="s">
        <v>37</v>
      </c>
      <c r="N79" t="s">
        <v>37</v>
      </c>
      <c r="O79" t="str">
        <f>Yardi!K78</f>
        <v>53070-000</v>
      </c>
      <c r="P79" t="str">
        <f>Yardi!O78</f>
        <v>07/2026 Prepaid Jonson Controls Fire Protection - 10.1.2024-9.30/2025 Fire Security-Bldg 2 Amortization</v>
      </c>
      <c r="R79" t="s">
        <v>37</v>
      </c>
      <c r="S79" t="s">
        <v>37</v>
      </c>
      <c r="T79" t="s">
        <v>37</v>
      </c>
      <c r="U79" t="s">
        <v>37</v>
      </c>
      <c r="V79" s="410">
        <f>Yardi!J78</f>
        <v>0</v>
      </c>
    </row>
    <row r="80" spans="1:22" x14ac:dyDescent="0.25">
      <c r="A80" t="s">
        <v>37</v>
      </c>
      <c r="B80" t="s">
        <v>37</v>
      </c>
      <c r="C80" t="s">
        <v>37</v>
      </c>
      <c r="D80" t="s">
        <v>37</v>
      </c>
      <c r="E80" t="s">
        <v>37</v>
      </c>
      <c r="F80" t="s">
        <v>37</v>
      </c>
      <c r="G80" t="s">
        <v>37</v>
      </c>
      <c r="H80" t="s">
        <v>37</v>
      </c>
      <c r="I80" t="s">
        <v>37</v>
      </c>
      <c r="J80" t="s">
        <v>37</v>
      </c>
      <c r="K80" t="s">
        <v>37</v>
      </c>
      <c r="L80" t="s">
        <v>37</v>
      </c>
      <c r="M80" t="s">
        <v>37</v>
      </c>
      <c r="N80" t="s">
        <v>37</v>
      </c>
      <c r="O80">
        <f>Yardi!K79</f>
        <v>13085</v>
      </c>
      <c r="P80" t="str">
        <f>Yardi!O79</f>
        <v>07/2026 Prepaid Jonson Controls Fire Protection - 10.1.2024-9.30/2025 Fire Security-Bldg 2 Amortization</v>
      </c>
      <c r="R80" t="s">
        <v>37</v>
      </c>
      <c r="S80" t="s">
        <v>37</v>
      </c>
      <c r="T80" t="s">
        <v>37</v>
      </c>
      <c r="U80" t="s">
        <v>37</v>
      </c>
      <c r="V80" s="410">
        <f>Yardi!J79</f>
        <v>0</v>
      </c>
    </row>
    <row r="81" spans="1:22" x14ac:dyDescent="0.25">
      <c r="A81" t="s">
        <v>37</v>
      </c>
      <c r="B81" t="s">
        <v>37</v>
      </c>
      <c r="C81" t="s">
        <v>37</v>
      </c>
      <c r="D81" t="s">
        <v>37</v>
      </c>
      <c r="E81" t="s">
        <v>37</v>
      </c>
      <c r="F81" t="s">
        <v>37</v>
      </c>
      <c r="G81" t="s">
        <v>37</v>
      </c>
      <c r="H81" t="s">
        <v>37</v>
      </c>
      <c r="I81" t="s">
        <v>37</v>
      </c>
      <c r="J81" t="s">
        <v>37</v>
      </c>
      <c r="K81" t="s">
        <v>37</v>
      </c>
      <c r="L81" t="s">
        <v>37</v>
      </c>
      <c r="M81" t="s">
        <v>37</v>
      </c>
      <c r="N81" t="s">
        <v>37</v>
      </c>
      <c r="O81" t="str">
        <f>Yardi!K80</f>
        <v>53070-000</v>
      </c>
      <c r="P81" t="str">
        <f>Yardi!O80</f>
        <v>07/2026 Prepaid Jonson Controls Fire Protection - 10.1.2024-9.30/2025 Fire Security-Bldg 1 Amortization</v>
      </c>
      <c r="R81" t="s">
        <v>37</v>
      </c>
      <c r="S81" t="s">
        <v>37</v>
      </c>
      <c r="T81" t="s">
        <v>37</v>
      </c>
      <c r="U81" t="s">
        <v>37</v>
      </c>
      <c r="V81" s="410">
        <f>Yardi!J80</f>
        <v>0</v>
      </c>
    </row>
    <row r="82" spans="1:22" x14ac:dyDescent="0.25">
      <c r="A82" t="s">
        <v>37</v>
      </c>
      <c r="B82" t="s">
        <v>37</v>
      </c>
      <c r="C82" t="s">
        <v>37</v>
      </c>
      <c r="D82" t="s">
        <v>37</v>
      </c>
      <c r="E82" t="s">
        <v>37</v>
      </c>
      <c r="F82" t="s">
        <v>37</v>
      </c>
      <c r="G82" t="s">
        <v>37</v>
      </c>
      <c r="H82" t="s">
        <v>37</v>
      </c>
      <c r="I82" t="s">
        <v>37</v>
      </c>
      <c r="J82" t="s">
        <v>37</v>
      </c>
      <c r="K82" t="s">
        <v>37</v>
      </c>
      <c r="L82" t="s">
        <v>37</v>
      </c>
      <c r="M82" t="s">
        <v>37</v>
      </c>
      <c r="N82" t="s">
        <v>37</v>
      </c>
      <c r="O82">
        <f>Yardi!K81</f>
        <v>13085</v>
      </c>
      <c r="P82" t="str">
        <f>Yardi!O81</f>
        <v>07/2026 Prepaid Jonson Controls Fire Protection - 10.1.2024-9.30/2025 Fire Security-Bldg 1 Amortization</v>
      </c>
      <c r="R82" t="s">
        <v>37</v>
      </c>
      <c r="S82" t="s">
        <v>37</v>
      </c>
      <c r="T82" t="s">
        <v>37</v>
      </c>
      <c r="U82" t="s">
        <v>37</v>
      </c>
      <c r="V82" s="410">
        <f>Yardi!J81</f>
        <v>0</v>
      </c>
    </row>
    <row r="83" spans="1:22" x14ac:dyDescent="0.25">
      <c r="A83" t="s">
        <v>37</v>
      </c>
      <c r="B83" t="s">
        <v>37</v>
      </c>
      <c r="C83" t="s">
        <v>37</v>
      </c>
      <c r="D83" t="s">
        <v>37</v>
      </c>
      <c r="E83" t="s">
        <v>37</v>
      </c>
      <c r="F83" t="s">
        <v>37</v>
      </c>
      <c r="G83" t="s">
        <v>37</v>
      </c>
      <c r="H83" t="s">
        <v>37</v>
      </c>
      <c r="I83" t="s">
        <v>37</v>
      </c>
      <c r="J83" t="s">
        <v>37</v>
      </c>
      <c r="K83" t="s">
        <v>37</v>
      </c>
      <c r="L83" t="s">
        <v>37</v>
      </c>
      <c r="M83" t="s">
        <v>37</v>
      </c>
      <c r="N83" t="s">
        <v>37</v>
      </c>
      <c r="O83" t="str">
        <f>Yardi!K82</f>
        <v>53070-000</v>
      </c>
      <c r="P83" t="str">
        <f>Yardi!O82</f>
        <v>07/2026 Prepaid Jonson Controls Fire Protection - 10.1.2024-9.30/2025 Fire Security-Bldg 4 Amortization</v>
      </c>
      <c r="R83" t="s">
        <v>37</v>
      </c>
      <c r="S83" t="s">
        <v>37</v>
      </c>
      <c r="T83" t="s">
        <v>37</v>
      </c>
      <c r="U83" t="s">
        <v>37</v>
      </c>
      <c r="V83" s="410">
        <f>Yardi!J82</f>
        <v>0</v>
      </c>
    </row>
    <row r="84" spans="1:22" x14ac:dyDescent="0.25">
      <c r="A84" t="s">
        <v>37</v>
      </c>
      <c r="B84" t="s">
        <v>37</v>
      </c>
      <c r="C84" t="s">
        <v>37</v>
      </c>
      <c r="D84" t="s">
        <v>37</v>
      </c>
      <c r="E84" t="s">
        <v>37</v>
      </c>
      <c r="F84" t="s">
        <v>37</v>
      </c>
      <c r="G84" t="s">
        <v>37</v>
      </c>
      <c r="H84" t="s">
        <v>37</v>
      </c>
      <c r="I84" t="s">
        <v>37</v>
      </c>
      <c r="J84" t="s">
        <v>37</v>
      </c>
      <c r="K84" t="s">
        <v>37</v>
      </c>
      <c r="L84" t="s">
        <v>37</v>
      </c>
      <c r="M84" t="s">
        <v>37</v>
      </c>
      <c r="N84" t="s">
        <v>37</v>
      </c>
      <c r="O84">
        <f>Yardi!K83</f>
        <v>13085</v>
      </c>
      <c r="P84" t="str">
        <f>Yardi!O83</f>
        <v>07/2026 Prepaid Jonson Controls Fire Protection - 10.1.2024-9.30/2025 Fire Security-Bldg 4 Amortization</v>
      </c>
      <c r="R84" t="s">
        <v>37</v>
      </c>
      <c r="S84" t="s">
        <v>37</v>
      </c>
      <c r="T84" t="s">
        <v>37</v>
      </c>
      <c r="U84" t="s">
        <v>37</v>
      </c>
      <c r="V84" s="410">
        <f>Yardi!J83</f>
        <v>0</v>
      </c>
    </row>
    <row r="85" spans="1:22" x14ac:dyDescent="0.25">
      <c r="A85" t="s">
        <v>37</v>
      </c>
      <c r="B85" t="s">
        <v>37</v>
      </c>
      <c r="C85" t="s">
        <v>37</v>
      </c>
      <c r="D85" t="s">
        <v>37</v>
      </c>
      <c r="E85" t="s">
        <v>37</v>
      </c>
      <c r="F85" t="s">
        <v>37</v>
      </c>
      <c r="G85" t="s">
        <v>37</v>
      </c>
      <c r="H85" t="s">
        <v>37</v>
      </c>
      <c r="I85" t="s">
        <v>37</v>
      </c>
      <c r="J85" t="s">
        <v>37</v>
      </c>
      <c r="K85" t="s">
        <v>37</v>
      </c>
      <c r="L85" t="s">
        <v>37</v>
      </c>
      <c r="M85" t="s">
        <v>37</v>
      </c>
      <c r="N85" t="s">
        <v>37</v>
      </c>
      <c r="O85" t="str">
        <f>Yardi!K84</f>
        <v>53070-000</v>
      </c>
      <c r="P85" t="str">
        <f>Yardi!O84</f>
        <v>07/2026 Prepaid Jonson Controls Fire Protection - 10.1.2024-9.30/2025 Fire Security-Bldg 3 Amortization</v>
      </c>
      <c r="R85" t="s">
        <v>37</v>
      </c>
      <c r="S85" t="s">
        <v>37</v>
      </c>
      <c r="T85" t="s">
        <v>37</v>
      </c>
      <c r="U85" t="s">
        <v>37</v>
      </c>
      <c r="V85" s="410">
        <f>Yardi!J84</f>
        <v>0</v>
      </c>
    </row>
    <row r="86" spans="1:22" x14ac:dyDescent="0.25">
      <c r="A86" t="s">
        <v>37</v>
      </c>
      <c r="B86" t="s">
        <v>37</v>
      </c>
      <c r="C86" t="s">
        <v>37</v>
      </c>
      <c r="D86" t="s">
        <v>37</v>
      </c>
      <c r="E86" t="s">
        <v>37</v>
      </c>
      <c r="F86" t="s">
        <v>37</v>
      </c>
      <c r="G86" t="s">
        <v>37</v>
      </c>
      <c r="H86" t="s">
        <v>37</v>
      </c>
      <c r="I86" t="s">
        <v>37</v>
      </c>
      <c r="J86" t="s">
        <v>37</v>
      </c>
      <c r="K86" t="s">
        <v>37</v>
      </c>
      <c r="L86" t="s">
        <v>37</v>
      </c>
      <c r="M86" t="s">
        <v>37</v>
      </c>
      <c r="N86" t="s">
        <v>37</v>
      </c>
      <c r="O86">
        <f>Yardi!K85</f>
        <v>13085</v>
      </c>
      <c r="P86" t="str">
        <f>Yardi!O85</f>
        <v>07/2026 Prepaid Jonson Controls Fire Protection - 10.1.2024-9.30/2025 Fire Security-Bldg 3 Amortization</v>
      </c>
      <c r="R86" t="s">
        <v>37</v>
      </c>
      <c r="S86" t="s">
        <v>37</v>
      </c>
      <c r="T86" t="s">
        <v>37</v>
      </c>
      <c r="U86" t="s">
        <v>37</v>
      </c>
      <c r="V86" s="410">
        <f>Yardi!J85</f>
        <v>0</v>
      </c>
    </row>
    <row r="87" spans="1:22" x14ac:dyDescent="0.25">
      <c r="A87" t="s">
        <v>37</v>
      </c>
      <c r="B87" t="s">
        <v>37</v>
      </c>
      <c r="C87" t="s">
        <v>37</v>
      </c>
      <c r="D87" t="s">
        <v>37</v>
      </c>
      <c r="E87" t="s">
        <v>37</v>
      </c>
      <c r="F87" t="s">
        <v>37</v>
      </c>
      <c r="G87" t="s">
        <v>37</v>
      </c>
      <c r="H87" t="s">
        <v>37</v>
      </c>
      <c r="I87" t="s">
        <v>37</v>
      </c>
      <c r="J87" t="s">
        <v>37</v>
      </c>
      <c r="K87" t="s">
        <v>37</v>
      </c>
      <c r="L87" t="s">
        <v>37</v>
      </c>
      <c r="M87" t="s">
        <v>37</v>
      </c>
      <c r="N87" t="s">
        <v>37</v>
      </c>
      <c r="O87" t="str">
        <f>Yardi!K86</f>
        <v>53070-000</v>
      </c>
      <c r="P87" t="str">
        <f>Yardi!O86</f>
        <v>07/2026 Prepaid Johnson Controls Fire Protection Annual Invoice 3.1.25-2.28.26 Amortization</v>
      </c>
      <c r="R87" t="s">
        <v>37</v>
      </c>
      <c r="S87" t="s">
        <v>37</v>
      </c>
      <c r="T87" t="s">
        <v>37</v>
      </c>
      <c r="U87" t="s">
        <v>37</v>
      </c>
      <c r="V87" s="410">
        <f>Yardi!J86</f>
        <v>0</v>
      </c>
    </row>
    <row r="88" spans="1:22" x14ac:dyDescent="0.25">
      <c r="A88" t="s">
        <v>37</v>
      </c>
      <c r="B88" t="s">
        <v>37</v>
      </c>
      <c r="C88" t="s">
        <v>37</v>
      </c>
      <c r="D88" t="s">
        <v>37</v>
      </c>
      <c r="E88" t="s">
        <v>37</v>
      </c>
      <c r="F88" t="s">
        <v>37</v>
      </c>
      <c r="G88" t="s">
        <v>37</v>
      </c>
      <c r="H88" t="s">
        <v>37</v>
      </c>
      <c r="I88" t="s">
        <v>37</v>
      </c>
      <c r="J88" t="s">
        <v>37</v>
      </c>
      <c r="K88" t="s">
        <v>37</v>
      </c>
      <c r="L88" t="s">
        <v>37</v>
      </c>
      <c r="M88" t="s">
        <v>37</v>
      </c>
      <c r="N88" t="s">
        <v>37</v>
      </c>
      <c r="O88">
        <f>Yardi!K87</f>
        <v>13085</v>
      </c>
      <c r="P88" t="str">
        <f>Yardi!O87</f>
        <v>07/2026 Prepaid Johnson Controls Fire Protection Annual Invoice 3.1.25-2.28.26 Amortization</v>
      </c>
      <c r="R88" t="s">
        <v>37</v>
      </c>
      <c r="S88" t="s">
        <v>37</v>
      </c>
      <c r="T88" t="s">
        <v>37</v>
      </c>
      <c r="U88" t="s">
        <v>37</v>
      </c>
      <c r="V88" s="410">
        <f>Yardi!J87</f>
        <v>0</v>
      </c>
    </row>
    <row r="89" spans="1:22" x14ac:dyDescent="0.25">
      <c r="A89" t="s">
        <v>37</v>
      </c>
      <c r="B89" t="s">
        <v>37</v>
      </c>
      <c r="C89" t="s">
        <v>37</v>
      </c>
      <c r="D89" t="s">
        <v>37</v>
      </c>
      <c r="E89" t="s">
        <v>37</v>
      </c>
      <c r="F89" t="s">
        <v>37</v>
      </c>
      <c r="G89" t="s">
        <v>37</v>
      </c>
      <c r="H89" t="s">
        <v>37</v>
      </c>
      <c r="I89" t="s">
        <v>37</v>
      </c>
      <c r="J89" t="s">
        <v>37</v>
      </c>
      <c r="K89" t="s">
        <v>37</v>
      </c>
      <c r="L89" t="s">
        <v>37</v>
      </c>
      <c r="M89" t="s">
        <v>37</v>
      </c>
      <c r="N89" t="s">
        <v>37</v>
      </c>
      <c r="O89" t="str">
        <f>Yardi!K88</f>
        <v>53070-000</v>
      </c>
      <c r="P89" t="str">
        <f>Yardi!O88</f>
        <v>07/2026 Prepaid Johnson Controls Fire Protection Annual Invoice 3.1.25-2.28.26 Amortization</v>
      </c>
      <c r="R89" t="s">
        <v>37</v>
      </c>
      <c r="S89" t="s">
        <v>37</v>
      </c>
      <c r="T89" t="s">
        <v>37</v>
      </c>
      <c r="U89" t="s">
        <v>37</v>
      </c>
      <c r="V89" s="410">
        <f>Yardi!J88</f>
        <v>0</v>
      </c>
    </row>
    <row r="90" spans="1:22" x14ac:dyDescent="0.25">
      <c r="A90" t="s">
        <v>37</v>
      </c>
      <c r="B90" t="s">
        <v>37</v>
      </c>
      <c r="C90" t="s">
        <v>37</v>
      </c>
      <c r="D90" t="s">
        <v>37</v>
      </c>
      <c r="E90" t="s">
        <v>37</v>
      </c>
      <c r="F90" t="s">
        <v>37</v>
      </c>
      <c r="G90" t="s">
        <v>37</v>
      </c>
      <c r="H90" t="s">
        <v>37</v>
      </c>
      <c r="I90" t="s">
        <v>37</v>
      </c>
      <c r="J90" t="s">
        <v>37</v>
      </c>
      <c r="K90" t="s">
        <v>37</v>
      </c>
      <c r="L90" t="s">
        <v>37</v>
      </c>
      <c r="M90" t="s">
        <v>37</v>
      </c>
      <c r="N90" t="s">
        <v>37</v>
      </c>
      <c r="O90">
        <f>Yardi!K89</f>
        <v>13085</v>
      </c>
      <c r="P90" t="str">
        <f>Yardi!O89</f>
        <v>07/2026 Prepaid Johnson Controls Fire Protection Annual Invoice 3.1.25-2.28.26 Amortization</v>
      </c>
      <c r="R90" t="s">
        <v>37</v>
      </c>
      <c r="S90" t="s">
        <v>37</v>
      </c>
      <c r="T90" t="s">
        <v>37</v>
      </c>
      <c r="U90" t="s">
        <v>37</v>
      </c>
      <c r="V90" s="410">
        <f>Yardi!J89</f>
        <v>0</v>
      </c>
    </row>
    <row r="91" spans="1:22" x14ac:dyDescent="0.25">
      <c r="A91" t="s">
        <v>37</v>
      </c>
      <c r="B91" t="s">
        <v>37</v>
      </c>
      <c r="C91" t="s">
        <v>37</v>
      </c>
      <c r="D91" t="s">
        <v>37</v>
      </c>
      <c r="E91" t="s">
        <v>37</v>
      </c>
      <c r="F91" t="s">
        <v>37</v>
      </c>
      <c r="G91" t="s">
        <v>37</v>
      </c>
      <c r="H91" t="s">
        <v>37</v>
      </c>
      <c r="I91" t="s">
        <v>37</v>
      </c>
      <c r="J91" t="s">
        <v>37</v>
      </c>
      <c r="K91" t="s">
        <v>37</v>
      </c>
      <c r="L91" t="s">
        <v>37</v>
      </c>
      <c r="M91" t="s">
        <v>37</v>
      </c>
      <c r="N91" t="s">
        <v>37</v>
      </c>
      <c r="O91" t="str">
        <f>Yardi!K90</f>
        <v>53070-000</v>
      </c>
      <c r="P91" t="str">
        <f>Yardi!O90</f>
        <v>07/2026 Prepaid Johnson Controls Fire Protection Invoice 9.25-2.26 Amortization</v>
      </c>
      <c r="R91" t="s">
        <v>37</v>
      </c>
      <c r="S91" t="s">
        <v>37</v>
      </c>
      <c r="T91" t="s">
        <v>37</v>
      </c>
      <c r="U91" t="s">
        <v>37</v>
      </c>
      <c r="V91" s="410">
        <f>Yardi!J90</f>
        <v>0</v>
      </c>
    </row>
    <row r="92" spans="1:22" x14ac:dyDescent="0.25">
      <c r="A92" t="s">
        <v>37</v>
      </c>
      <c r="B92" t="s">
        <v>37</v>
      </c>
      <c r="C92" t="s">
        <v>37</v>
      </c>
      <c r="D92" t="s">
        <v>37</v>
      </c>
      <c r="E92" t="s">
        <v>37</v>
      </c>
      <c r="F92" t="s">
        <v>37</v>
      </c>
      <c r="G92" t="s">
        <v>37</v>
      </c>
      <c r="H92" t="s">
        <v>37</v>
      </c>
      <c r="I92" t="s">
        <v>37</v>
      </c>
      <c r="J92" t="s">
        <v>37</v>
      </c>
      <c r="K92" t="s">
        <v>37</v>
      </c>
      <c r="L92" t="s">
        <v>37</v>
      </c>
      <c r="M92" t="s">
        <v>37</v>
      </c>
      <c r="N92" t="s">
        <v>37</v>
      </c>
      <c r="O92">
        <f>Yardi!K91</f>
        <v>13085</v>
      </c>
      <c r="P92" t="str">
        <f>Yardi!O91</f>
        <v>07/2026 Prepaid Johnson Controls Fire Protection Invoice 9.25-2.26 Amortization</v>
      </c>
      <c r="R92" t="s">
        <v>37</v>
      </c>
      <c r="S92" t="s">
        <v>37</v>
      </c>
      <c r="T92" t="s">
        <v>37</v>
      </c>
      <c r="U92" t="s">
        <v>37</v>
      </c>
      <c r="V92" s="410">
        <f>Yardi!J91</f>
        <v>0</v>
      </c>
    </row>
    <row r="93" spans="1:22" x14ac:dyDescent="0.25">
      <c r="A93" t="s">
        <v>37</v>
      </c>
      <c r="B93" t="s">
        <v>37</v>
      </c>
      <c r="C93" t="s">
        <v>37</v>
      </c>
      <c r="D93" t="s">
        <v>37</v>
      </c>
      <c r="E93" t="s">
        <v>37</v>
      </c>
      <c r="F93" t="s">
        <v>37</v>
      </c>
      <c r="G93" t="s">
        <v>37</v>
      </c>
      <c r="H93" t="s">
        <v>37</v>
      </c>
      <c r="I93" t="s">
        <v>37</v>
      </c>
      <c r="J93" t="s">
        <v>37</v>
      </c>
      <c r="K93" t="s">
        <v>37</v>
      </c>
      <c r="L93" t="s">
        <v>37</v>
      </c>
      <c r="M93" t="s">
        <v>37</v>
      </c>
      <c r="N93" t="s">
        <v>37</v>
      </c>
      <c r="O93" t="str">
        <f>Yardi!K92</f>
        <v>53070-000</v>
      </c>
      <c r="P93" t="str">
        <f>Yardi!O92</f>
        <v>07/2026 Prepaid Johnson Controls Fire Protection Invoice 9.25-2.26 Amortization</v>
      </c>
      <c r="R93" t="s">
        <v>37</v>
      </c>
      <c r="S93" t="s">
        <v>37</v>
      </c>
      <c r="T93" t="s">
        <v>37</v>
      </c>
      <c r="U93" t="s">
        <v>37</v>
      </c>
      <c r="V93" s="410">
        <f>Yardi!J92</f>
        <v>0</v>
      </c>
    </row>
    <row r="94" spans="1:22" x14ac:dyDescent="0.25">
      <c r="A94" t="s">
        <v>37</v>
      </c>
      <c r="B94" t="s">
        <v>37</v>
      </c>
      <c r="C94" t="s">
        <v>37</v>
      </c>
      <c r="D94" t="s">
        <v>37</v>
      </c>
      <c r="E94" t="s">
        <v>37</v>
      </c>
      <c r="F94" t="s">
        <v>37</v>
      </c>
      <c r="G94" t="s">
        <v>37</v>
      </c>
      <c r="H94" t="s">
        <v>37</v>
      </c>
      <c r="I94" t="s">
        <v>37</v>
      </c>
      <c r="J94" t="s">
        <v>37</v>
      </c>
      <c r="K94" t="s">
        <v>37</v>
      </c>
      <c r="L94" t="s">
        <v>37</v>
      </c>
      <c r="M94" t="s">
        <v>37</v>
      </c>
      <c r="N94" t="s">
        <v>37</v>
      </c>
      <c r="O94">
        <f>Yardi!K93</f>
        <v>13085</v>
      </c>
      <c r="P94" t="str">
        <f>Yardi!O93</f>
        <v>07/2026 Prepaid Johnson Controls Fire Protection Invoice 9.25-2.26 Amortization</v>
      </c>
      <c r="R94" t="s">
        <v>37</v>
      </c>
      <c r="S94" t="s">
        <v>37</v>
      </c>
      <c r="T94" t="s">
        <v>37</v>
      </c>
      <c r="U94" t="s">
        <v>37</v>
      </c>
      <c r="V94" s="410">
        <f>Yardi!J93</f>
        <v>0</v>
      </c>
    </row>
    <row r="95" spans="1:22" x14ac:dyDescent="0.25">
      <c r="A95" t="s">
        <v>37</v>
      </c>
      <c r="B95" t="s">
        <v>37</v>
      </c>
      <c r="C95" t="s">
        <v>37</v>
      </c>
      <c r="D95" t="s">
        <v>37</v>
      </c>
      <c r="E95" t="s">
        <v>37</v>
      </c>
      <c r="F95" t="s">
        <v>37</v>
      </c>
      <c r="G95" t="s">
        <v>37</v>
      </c>
      <c r="H95" t="s">
        <v>37</v>
      </c>
      <c r="I95" t="s">
        <v>37</v>
      </c>
      <c r="J95" t="s">
        <v>37</v>
      </c>
      <c r="K95" t="s">
        <v>37</v>
      </c>
      <c r="L95" t="s">
        <v>37</v>
      </c>
      <c r="M95" t="s">
        <v>37</v>
      </c>
      <c r="N95" t="s">
        <v>37</v>
      </c>
      <c r="O95" t="str">
        <f>Yardi!K94</f>
        <v>53070-000</v>
      </c>
      <c r="P95" t="str">
        <f>Yardi!O94</f>
        <v>07/2026 Prepaid Johnson Controls Fire Protection Invoice 9.25-2.26 Amortization</v>
      </c>
      <c r="R95" t="s">
        <v>37</v>
      </c>
      <c r="S95" t="s">
        <v>37</v>
      </c>
      <c r="T95" t="s">
        <v>37</v>
      </c>
      <c r="U95" t="s">
        <v>37</v>
      </c>
      <c r="V95" s="410">
        <f>Yardi!J94</f>
        <v>0</v>
      </c>
    </row>
    <row r="96" spans="1:22" x14ac:dyDescent="0.25">
      <c r="A96" t="s">
        <v>37</v>
      </c>
      <c r="B96" t="s">
        <v>37</v>
      </c>
      <c r="C96" t="s">
        <v>37</v>
      </c>
      <c r="D96" t="s">
        <v>37</v>
      </c>
      <c r="E96" t="s">
        <v>37</v>
      </c>
      <c r="F96" t="s">
        <v>37</v>
      </c>
      <c r="G96" t="s">
        <v>37</v>
      </c>
      <c r="H96" t="s">
        <v>37</v>
      </c>
      <c r="I96" t="s">
        <v>37</v>
      </c>
      <c r="J96" t="s">
        <v>37</v>
      </c>
      <c r="K96" t="s">
        <v>37</v>
      </c>
      <c r="L96" t="s">
        <v>37</v>
      </c>
      <c r="M96" t="s">
        <v>37</v>
      </c>
      <c r="N96" t="s">
        <v>37</v>
      </c>
      <c r="O96">
        <f>Yardi!K95</f>
        <v>13085</v>
      </c>
      <c r="P96" t="str">
        <f>Yardi!O95</f>
        <v>07/2026 Prepaid Johnson Controls Fire Protection Invoice 9.25-2.26 Amortization</v>
      </c>
      <c r="R96" t="s">
        <v>37</v>
      </c>
      <c r="S96" t="s">
        <v>37</v>
      </c>
      <c r="T96" t="s">
        <v>37</v>
      </c>
      <c r="U96" t="s">
        <v>37</v>
      </c>
      <c r="V96" s="410">
        <f>Yardi!J95</f>
        <v>0</v>
      </c>
    </row>
    <row r="97" spans="1:22" x14ac:dyDescent="0.25">
      <c r="A97" t="s">
        <v>37</v>
      </c>
      <c r="B97" t="s">
        <v>37</v>
      </c>
      <c r="C97" t="s">
        <v>37</v>
      </c>
      <c r="D97" t="s">
        <v>37</v>
      </c>
      <c r="E97" t="s">
        <v>37</v>
      </c>
      <c r="F97" t="s">
        <v>37</v>
      </c>
      <c r="G97" t="s">
        <v>37</v>
      </c>
      <c r="H97" t="s">
        <v>37</v>
      </c>
      <c r="I97" t="s">
        <v>37</v>
      </c>
      <c r="J97" t="s">
        <v>37</v>
      </c>
      <c r="K97" t="s">
        <v>37</v>
      </c>
      <c r="L97" t="s">
        <v>37</v>
      </c>
      <c r="M97" t="s">
        <v>37</v>
      </c>
      <c r="N97" t="s">
        <v>37</v>
      </c>
      <c r="O97" t="str">
        <f>Yardi!K96</f>
        <v>53070-000</v>
      </c>
      <c r="P97" t="str">
        <f>Yardi!O96</f>
        <v>07/2026 Prepaid Johnson Controls Fire Protection Invoice 9.25-2.26 Amortization</v>
      </c>
      <c r="R97" t="s">
        <v>37</v>
      </c>
      <c r="S97" t="s">
        <v>37</v>
      </c>
      <c r="T97" t="s">
        <v>37</v>
      </c>
      <c r="U97" t="s">
        <v>37</v>
      </c>
      <c r="V97" s="410">
        <f>Yardi!J96</f>
        <v>0</v>
      </c>
    </row>
    <row r="98" spans="1:22" x14ac:dyDescent="0.25">
      <c r="A98" t="s">
        <v>37</v>
      </c>
      <c r="B98" t="s">
        <v>37</v>
      </c>
      <c r="C98" t="s">
        <v>37</v>
      </c>
      <c r="D98" t="s">
        <v>37</v>
      </c>
      <c r="E98" t="s">
        <v>37</v>
      </c>
      <c r="F98" t="s">
        <v>37</v>
      </c>
      <c r="G98" t="s">
        <v>37</v>
      </c>
      <c r="H98" t="s">
        <v>37</v>
      </c>
      <c r="I98" t="s">
        <v>37</v>
      </c>
      <c r="J98" t="s">
        <v>37</v>
      </c>
      <c r="K98" t="s">
        <v>37</v>
      </c>
      <c r="L98" t="s">
        <v>37</v>
      </c>
      <c r="M98" t="s">
        <v>37</v>
      </c>
      <c r="N98" t="s">
        <v>37</v>
      </c>
      <c r="O98">
        <f>Yardi!K97</f>
        <v>13085</v>
      </c>
      <c r="P98" t="str">
        <f>Yardi!O97</f>
        <v>07/2026 Prepaid Johnson Controls Fire Protection Invoice 9.25-2.26 Amortization</v>
      </c>
      <c r="R98" t="s">
        <v>37</v>
      </c>
      <c r="S98" t="s">
        <v>37</v>
      </c>
      <c r="T98" t="s">
        <v>37</v>
      </c>
      <c r="U98" t="s">
        <v>37</v>
      </c>
      <c r="V98" s="410">
        <f>Yardi!J97</f>
        <v>0</v>
      </c>
    </row>
    <row r="99" spans="1:22" x14ac:dyDescent="0.25">
      <c r="A99" t="s">
        <v>37</v>
      </c>
      <c r="B99" t="s">
        <v>37</v>
      </c>
      <c r="C99" t="s">
        <v>37</v>
      </c>
      <c r="D99" t="s">
        <v>37</v>
      </c>
      <c r="E99" t="s">
        <v>37</v>
      </c>
      <c r="F99" t="s">
        <v>37</v>
      </c>
      <c r="G99" t="s">
        <v>37</v>
      </c>
      <c r="H99" t="s">
        <v>37</v>
      </c>
      <c r="I99" t="s">
        <v>37</v>
      </c>
      <c r="J99" t="s">
        <v>37</v>
      </c>
      <c r="K99" t="s">
        <v>37</v>
      </c>
      <c r="L99" t="s">
        <v>37</v>
      </c>
      <c r="M99" t="s">
        <v>37</v>
      </c>
      <c r="N99" t="s">
        <v>37</v>
      </c>
      <c r="O99" t="str">
        <f>Yardi!K98</f>
        <v>53070-000</v>
      </c>
      <c r="P99" t="str">
        <f>Yardi!O98</f>
        <v>07/2026 Prepaid Johnson Controls Fire Protection Invoice 9.25-2.26 Amortization</v>
      </c>
      <c r="R99" t="s">
        <v>37</v>
      </c>
      <c r="S99" t="s">
        <v>37</v>
      </c>
      <c r="T99" t="s">
        <v>37</v>
      </c>
      <c r="U99" t="s">
        <v>37</v>
      </c>
      <c r="V99" s="410">
        <f>Yardi!J98</f>
        <v>0</v>
      </c>
    </row>
    <row r="100" spans="1:22" x14ac:dyDescent="0.25">
      <c r="A100" t="s">
        <v>37</v>
      </c>
      <c r="B100" t="s">
        <v>37</v>
      </c>
      <c r="C100" t="s">
        <v>37</v>
      </c>
      <c r="D100" t="s">
        <v>37</v>
      </c>
      <c r="E100" t="s">
        <v>37</v>
      </c>
      <c r="F100" t="s">
        <v>37</v>
      </c>
      <c r="G100" t="s">
        <v>37</v>
      </c>
      <c r="H100" t="s">
        <v>37</v>
      </c>
      <c r="I100" t="s">
        <v>37</v>
      </c>
      <c r="J100" t="s">
        <v>37</v>
      </c>
      <c r="K100" t="s">
        <v>37</v>
      </c>
      <c r="L100" t="s">
        <v>37</v>
      </c>
      <c r="M100" t="s">
        <v>37</v>
      </c>
      <c r="N100" t="s">
        <v>37</v>
      </c>
      <c r="O100">
        <f>Yardi!K99</f>
        <v>13085</v>
      </c>
      <c r="P100" t="str">
        <f>Yardi!O99</f>
        <v>07/2026 Prepaid Johnson Controls Fire Protection Invoice 9.25-2.26 Amortization</v>
      </c>
      <c r="R100" t="s">
        <v>37</v>
      </c>
      <c r="S100" t="s">
        <v>37</v>
      </c>
      <c r="T100" t="s">
        <v>37</v>
      </c>
      <c r="U100" t="s">
        <v>37</v>
      </c>
      <c r="V100" s="410">
        <f>Yardi!J99</f>
        <v>0</v>
      </c>
    </row>
    <row r="101" spans="1:22" x14ac:dyDescent="0.25">
      <c r="A101" t="s">
        <v>37</v>
      </c>
      <c r="B101" t="s">
        <v>37</v>
      </c>
      <c r="C101" t="s">
        <v>37</v>
      </c>
      <c r="D101" t="s">
        <v>37</v>
      </c>
      <c r="E101" t="s">
        <v>37</v>
      </c>
      <c r="F101" t="s">
        <v>37</v>
      </c>
      <c r="G101" t="s">
        <v>37</v>
      </c>
      <c r="H101" t="s">
        <v>37</v>
      </c>
      <c r="I101" t="s">
        <v>37</v>
      </c>
      <c r="J101" t="s">
        <v>37</v>
      </c>
      <c r="K101" t="s">
        <v>37</v>
      </c>
      <c r="L101" t="s">
        <v>37</v>
      </c>
      <c r="M101" t="s">
        <v>37</v>
      </c>
      <c r="N101" t="s">
        <v>37</v>
      </c>
      <c r="O101" t="str">
        <f>Yardi!K100</f>
        <v>53070-000</v>
      </c>
      <c r="P101" t="str">
        <f>Yardi!O100</f>
        <v>07/2026 Prepaid Johnson Controls Fire Protection Invoice 9.25-2.26 Amortization</v>
      </c>
      <c r="R101" t="s">
        <v>37</v>
      </c>
      <c r="S101" t="s">
        <v>37</v>
      </c>
      <c r="T101" t="s">
        <v>37</v>
      </c>
      <c r="U101" t="s">
        <v>37</v>
      </c>
      <c r="V101" s="410">
        <f>Yardi!J100</f>
        <v>0</v>
      </c>
    </row>
    <row r="102" spans="1:22" x14ac:dyDescent="0.25">
      <c r="A102" t="s">
        <v>37</v>
      </c>
      <c r="B102" t="s">
        <v>37</v>
      </c>
      <c r="C102" t="s">
        <v>37</v>
      </c>
      <c r="D102" t="s">
        <v>37</v>
      </c>
      <c r="E102" t="s">
        <v>37</v>
      </c>
      <c r="F102" t="s">
        <v>37</v>
      </c>
      <c r="G102" t="s">
        <v>37</v>
      </c>
      <c r="H102" t="s">
        <v>37</v>
      </c>
      <c r="I102" t="s">
        <v>37</v>
      </c>
      <c r="J102" t="s">
        <v>37</v>
      </c>
      <c r="K102" t="s">
        <v>37</v>
      </c>
      <c r="L102" t="s">
        <v>37</v>
      </c>
      <c r="M102" t="s">
        <v>37</v>
      </c>
      <c r="N102" t="s">
        <v>37</v>
      </c>
      <c r="O102">
        <f>Yardi!K101</f>
        <v>13085</v>
      </c>
      <c r="P102" t="str">
        <f>Yardi!O101</f>
        <v>07/2026 Prepaid Johnson Controls Fire Protection Invoice 9.25-2.26 Amortization</v>
      </c>
      <c r="R102" t="s">
        <v>37</v>
      </c>
      <c r="S102" t="s">
        <v>37</v>
      </c>
      <c r="T102" t="s">
        <v>37</v>
      </c>
      <c r="U102" t="s">
        <v>37</v>
      </c>
      <c r="V102" s="410">
        <f>Yardi!J101</f>
        <v>0</v>
      </c>
    </row>
    <row r="103" spans="1:22" x14ac:dyDescent="0.25">
      <c r="A103" t="s">
        <v>37</v>
      </c>
      <c r="B103" t="s">
        <v>37</v>
      </c>
      <c r="C103" t="s">
        <v>37</v>
      </c>
      <c r="D103" t="s">
        <v>37</v>
      </c>
      <c r="E103" t="s">
        <v>37</v>
      </c>
      <c r="F103" t="s">
        <v>37</v>
      </c>
      <c r="G103" t="s">
        <v>37</v>
      </c>
      <c r="H103" t="s">
        <v>37</v>
      </c>
      <c r="I103" t="s">
        <v>37</v>
      </c>
      <c r="J103" t="s">
        <v>37</v>
      </c>
      <c r="K103" t="s">
        <v>37</v>
      </c>
      <c r="L103" t="s">
        <v>37</v>
      </c>
      <c r="M103" t="s">
        <v>37</v>
      </c>
      <c r="N103" t="s">
        <v>37</v>
      </c>
      <c r="O103" t="str">
        <f>Yardi!K102</f>
        <v>53070-000</v>
      </c>
      <c r="P103" t="str">
        <f>Yardi!O102</f>
        <v>07/2026 Prepaid Johnson Controls Fire Protection Invoice 9.25-2.26 Amortization</v>
      </c>
      <c r="R103" t="s">
        <v>37</v>
      </c>
      <c r="S103" t="s">
        <v>37</v>
      </c>
      <c r="T103" t="s">
        <v>37</v>
      </c>
      <c r="U103" t="s">
        <v>37</v>
      </c>
      <c r="V103" s="410">
        <f>Yardi!J102</f>
        <v>0</v>
      </c>
    </row>
    <row r="104" spans="1:22" x14ac:dyDescent="0.25">
      <c r="A104" t="s">
        <v>37</v>
      </c>
      <c r="B104" t="s">
        <v>37</v>
      </c>
      <c r="C104" t="s">
        <v>37</v>
      </c>
      <c r="D104" t="s">
        <v>37</v>
      </c>
      <c r="E104" t="s">
        <v>37</v>
      </c>
      <c r="F104" t="s">
        <v>37</v>
      </c>
      <c r="G104" t="s">
        <v>37</v>
      </c>
      <c r="H104" t="s">
        <v>37</v>
      </c>
      <c r="I104" t="s">
        <v>37</v>
      </c>
      <c r="J104" t="s">
        <v>37</v>
      </c>
      <c r="K104" t="s">
        <v>37</v>
      </c>
      <c r="L104" t="s">
        <v>37</v>
      </c>
      <c r="M104" t="s">
        <v>37</v>
      </c>
      <c r="N104" t="s">
        <v>37</v>
      </c>
      <c r="O104">
        <f>Yardi!K103</f>
        <v>13085</v>
      </c>
      <c r="P104" t="str">
        <f>Yardi!O103</f>
        <v>07/2026 Prepaid Johnson Controls Fire Protection Invoice 9.25-2.26 Amortization</v>
      </c>
      <c r="R104" t="s">
        <v>37</v>
      </c>
      <c r="S104" t="s">
        <v>37</v>
      </c>
      <c r="T104" t="s">
        <v>37</v>
      </c>
      <c r="U104" t="s">
        <v>37</v>
      </c>
      <c r="V104" s="410">
        <f>Yardi!J103</f>
        <v>0</v>
      </c>
    </row>
    <row r="105" spans="1:22" x14ac:dyDescent="0.25">
      <c r="A105" t="s">
        <v>37</v>
      </c>
      <c r="B105" t="s">
        <v>37</v>
      </c>
      <c r="C105" t="s">
        <v>37</v>
      </c>
      <c r="D105" t="s">
        <v>37</v>
      </c>
      <c r="E105" t="s">
        <v>37</v>
      </c>
      <c r="F105" t="s">
        <v>37</v>
      </c>
      <c r="G105" t="s">
        <v>37</v>
      </c>
      <c r="H105" t="s">
        <v>37</v>
      </c>
      <c r="I105" t="s">
        <v>37</v>
      </c>
      <c r="J105" t="s">
        <v>37</v>
      </c>
      <c r="K105" t="s">
        <v>37</v>
      </c>
      <c r="L105" t="s">
        <v>37</v>
      </c>
      <c r="M105" t="s">
        <v>37</v>
      </c>
      <c r="N105" t="s">
        <v>37</v>
      </c>
      <c r="O105" t="e">
        <f>Yardi!K104</f>
        <v>#REF!</v>
      </c>
      <c r="P105" t="e">
        <f>Yardi!O104</f>
        <v>#REF!</v>
      </c>
      <c r="R105" t="s">
        <v>37</v>
      </c>
      <c r="S105" t="s">
        <v>37</v>
      </c>
      <c r="T105" t="s">
        <v>37</v>
      </c>
      <c r="U105" t="s">
        <v>37</v>
      </c>
      <c r="V105" s="410">
        <f>Yardi!J104</f>
        <v>0</v>
      </c>
    </row>
    <row r="106" spans="1:22" x14ac:dyDescent="0.25">
      <c r="A106" t="s">
        <v>37</v>
      </c>
      <c r="B106" t="s">
        <v>37</v>
      </c>
      <c r="C106" t="s">
        <v>37</v>
      </c>
      <c r="D106" t="s">
        <v>37</v>
      </c>
      <c r="E106" t="s">
        <v>37</v>
      </c>
      <c r="F106" t="s">
        <v>37</v>
      </c>
      <c r="G106" t="s">
        <v>37</v>
      </c>
      <c r="H106" t="s">
        <v>37</v>
      </c>
      <c r="I106" t="s">
        <v>37</v>
      </c>
      <c r="J106" t="s">
        <v>37</v>
      </c>
      <c r="K106" t="s">
        <v>37</v>
      </c>
      <c r="L106" t="s">
        <v>37</v>
      </c>
      <c r="M106" t="s">
        <v>37</v>
      </c>
      <c r="N106" t="s">
        <v>37</v>
      </c>
      <c r="O106">
        <f>Yardi!K105</f>
        <v>13085</v>
      </c>
      <c r="P106" t="e">
        <f>Yardi!O105</f>
        <v>#REF!</v>
      </c>
      <c r="R106" t="s">
        <v>37</v>
      </c>
      <c r="S106" t="s">
        <v>37</v>
      </c>
      <c r="T106" t="s">
        <v>37</v>
      </c>
      <c r="U106" t="s">
        <v>37</v>
      </c>
      <c r="V106" s="410">
        <f>Yardi!J105</f>
        <v>0</v>
      </c>
    </row>
    <row r="107" spans="1:22" x14ac:dyDescent="0.25">
      <c r="A107" t="s">
        <v>37</v>
      </c>
      <c r="B107" t="s">
        <v>37</v>
      </c>
      <c r="C107" t="s">
        <v>37</v>
      </c>
      <c r="D107" t="s">
        <v>37</v>
      </c>
      <c r="E107" t="s">
        <v>37</v>
      </c>
      <c r="F107" t="s">
        <v>37</v>
      </c>
      <c r="G107" t="s">
        <v>37</v>
      </c>
      <c r="H107" t="s">
        <v>37</v>
      </c>
      <c r="I107" t="s">
        <v>37</v>
      </c>
      <c r="J107" t="s">
        <v>37</v>
      </c>
      <c r="K107" t="s">
        <v>37</v>
      </c>
      <c r="L107" t="s">
        <v>37</v>
      </c>
      <c r="M107" t="s">
        <v>37</v>
      </c>
      <c r="N107" t="s">
        <v>37</v>
      </c>
      <c r="O107" t="e">
        <f>Yardi!K106</f>
        <v>#REF!</v>
      </c>
      <c r="P107" t="e">
        <f>Yardi!O106</f>
        <v>#REF!</v>
      </c>
      <c r="R107" t="s">
        <v>37</v>
      </c>
      <c r="S107" t="s">
        <v>37</v>
      </c>
      <c r="T107" t="s">
        <v>37</v>
      </c>
      <c r="U107" t="s">
        <v>37</v>
      </c>
      <c r="V107" s="410">
        <f>Yardi!J106</f>
        <v>0</v>
      </c>
    </row>
    <row r="108" spans="1:22" x14ac:dyDescent="0.25">
      <c r="A108" t="s">
        <v>37</v>
      </c>
      <c r="B108" t="s">
        <v>37</v>
      </c>
      <c r="C108" t="s">
        <v>37</v>
      </c>
      <c r="D108" t="s">
        <v>37</v>
      </c>
      <c r="E108" t="s">
        <v>37</v>
      </c>
      <c r="F108" t="s">
        <v>37</v>
      </c>
      <c r="G108" t="s">
        <v>37</v>
      </c>
      <c r="H108" t="s">
        <v>37</v>
      </c>
      <c r="I108" t="s">
        <v>37</v>
      </c>
      <c r="J108" t="s">
        <v>37</v>
      </c>
      <c r="K108" t="s">
        <v>37</v>
      </c>
      <c r="L108" t="s">
        <v>37</v>
      </c>
      <c r="M108" t="s">
        <v>37</v>
      </c>
      <c r="N108" t="s">
        <v>37</v>
      </c>
      <c r="O108">
        <f>Yardi!K107</f>
        <v>13085</v>
      </c>
      <c r="P108" t="e">
        <f>Yardi!O107</f>
        <v>#REF!</v>
      </c>
      <c r="R108" t="s">
        <v>37</v>
      </c>
      <c r="S108" t="s">
        <v>37</v>
      </c>
      <c r="T108" t="s">
        <v>37</v>
      </c>
      <c r="U108" t="s">
        <v>37</v>
      </c>
      <c r="V108" s="410">
        <f>Yardi!J107</f>
        <v>0</v>
      </c>
    </row>
    <row r="109" spans="1:22" x14ac:dyDescent="0.25">
      <c r="A109" t="s">
        <v>37</v>
      </c>
      <c r="B109" t="s">
        <v>37</v>
      </c>
      <c r="C109" t="s">
        <v>37</v>
      </c>
      <c r="D109" t="s">
        <v>37</v>
      </c>
      <c r="E109" t="s">
        <v>37</v>
      </c>
      <c r="F109" t="s">
        <v>37</v>
      </c>
      <c r="G109" t="s">
        <v>37</v>
      </c>
      <c r="H109" t="s">
        <v>37</v>
      </c>
      <c r="I109" t="s">
        <v>37</v>
      </c>
      <c r="J109" t="s">
        <v>37</v>
      </c>
      <c r="K109" t="s">
        <v>37</v>
      </c>
      <c r="L109" t="s">
        <v>37</v>
      </c>
      <c r="M109" t="s">
        <v>37</v>
      </c>
      <c r="N109" t="s">
        <v>37</v>
      </c>
      <c r="O109" t="str">
        <f>Yardi!K108</f>
        <v>58280-000</v>
      </c>
      <c r="P109" t="str">
        <f>Yardi!O108</f>
        <v>07/2026 Prepaid 09/25 Year Renewal MultiHousing Association 9/25-9/26 Amortization</v>
      </c>
      <c r="R109" t="s">
        <v>37</v>
      </c>
      <c r="S109" t="s">
        <v>37</v>
      </c>
      <c r="T109" t="s">
        <v>37</v>
      </c>
      <c r="U109" t="s">
        <v>37</v>
      </c>
      <c r="V109" s="410">
        <f>Yardi!J108</f>
        <v>0</v>
      </c>
    </row>
    <row r="110" spans="1:22" x14ac:dyDescent="0.25">
      <c r="A110" t="s">
        <v>37</v>
      </c>
      <c r="B110" t="s">
        <v>37</v>
      </c>
      <c r="C110" t="s">
        <v>37</v>
      </c>
      <c r="D110" t="s">
        <v>37</v>
      </c>
      <c r="E110" t="s">
        <v>37</v>
      </c>
      <c r="F110" t="s">
        <v>37</v>
      </c>
      <c r="G110" t="s">
        <v>37</v>
      </c>
      <c r="H110" t="s">
        <v>37</v>
      </c>
      <c r="I110" t="s">
        <v>37</v>
      </c>
      <c r="J110" t="s">
        <v>37</v>
      </c>
      <c r="K110" t="s">
        <v>37</v>
      </c>
      <c r="L110" t="s">
        <v>37</v>
      </c>
      <c r="M110" t="s">
        <v>37</v>
      </c>
      <c r="N110" t="s">
        <v>37</v>
      </c>
      <c r="O110">
        <f>Yardi!K109</f>
        <v>13085</v>
      </c>
      <c r="P110" t="str">
        <f>Yardi!O109</f>
        <v>07/2026 Prepaid 09/25 Year Renewal MultiHousing Association 9/25-9/26 Amortization</v>
      </c>
      <c r="R110" t="s">
        <v>37</v>
      </c>
      <c r="S110" t="s">
        <v>37</v>
      </c>
      <c r="T110" t="s">
        <v>37</v>
      </c>
      <c r="U110" t="s">
        <v>37</v>
      </c>
      <c r="V110" s="410">
        <f>Yardi!J109</f>
        <v>0</v>
      </c>
    </row>
    <row r="111" spans="1:22" x14ac:dyDescent="0.25">
      <c r="A111" t="s">
        <v>37</v>
      </c>
      <c r="B111" t="s">
        <v>37</v>
      </c>
      <c r="C111" t="s">
        <v>37</v>
      </c>
      <c r="D111" t="s">
        <v>37</v>
      </c>
      <c r="E111" t="s">
        <v>37</v>
      </c>
      <c r="F111" t="s">
        <v>37</v>
      </c>
      <c r="G111" t="s">
        <v>37</v>
      </c>
      <c r="H111" t="s">
        <v>37</v>
      </c>
      <c r="I111" t="s">
        <v>37</v>
      </c>
      <c r="J111" t="s">
        <v>37</v>
      </c>
      <c r="K111" t="s">
        <v>37</v>
      </c>
      <c r="L111" t="s">
        <v>37</v>
      </c>
      <c r="M111" t="s">
        <v>37</v>
      </c>
      <c r="N111" t="s">
        <v>37</v>
      </c>
      <c r="O111" t="e">
        <f>Yardi!K110</f>
        <v>#REF!</v>
      </c>
      <c r="P111" t="e">
        <f>Yardi!O110</f>
        <v>#REF!</v>
      </c>
      <c r="R111" t="s">
        <v>37</v>
      </c>
      <c r="S111" t="s">
        <v>37</v>
      </c>
      <c r="T111" t="s">
        <v>37</v>
      </c>
      <c r="U111" t="s">
        <v>37</v>
      </c>
      <c r="V111" s="410">
        <f>Yardi!J110</f>
        <v>0</v>
      </c>
    </row>
    <row r="112" spans="1:22" x14ac:dyDescent="0.25">
      <c r="A112" t="s">
        <v>37</v>
      </c>
      <c r="B112" t="s">
        <v>37</v>
      </c>
      <c r="C112" t="s">
        <v>37</v>
      </c>
      <c r="D112" t="s">
        <v>37</v>
      </c>
      <c r="E112" t="s">
        <v>37</v>
      </c>
      <c r="F112" t="s">
        <v>37</v>
      </c>
      <c r="G112" t="s">
        <v>37</v>
      </c>
      <c r="H112" t="s">
        <v>37</v>
      </c>
      <c r="I112" t="s">
        <v>37</v>
      </c>
      <c r="J112" t="s">
        <v>37</v>
      </c>
      <c r="K112" t="s">
        <v>37</v>
      </c>
      <c r="L112" t="s">
        <v>37</v>
      </c>
      <c r="M112" t="s">
        <v>37</v>
      </c>
      <c r="N112" t="s">
        <v>37</v>
      </c>
      <c r="O112">
        <f>Yardi!K111</f>
        <v>13085</v>
      </c>
      <c r="P112" t="e">
        <f>Yardi!O111</f>
        <v>#REF!</v>
      </c>
      <c r="R112" t="s">
        <v>37</v>
      </c>
      <c r="S112" t="s">
        <v>37</v>
      </c>
      <c r="T112" t="s">
        <v>37</v>
      </c>
      <c r="U112" t="s">
        <v>37</v>
      </c>
      <c r="V112" s="410">
        <f>Yardi!J111</f>
        <v>0</v>
      </c>
    </row>
    <row r="113" spans="1:22" x14ac:dyDescent="0.25">
      <c r="A113" t="s">
        <v>37</v>
      </c>
      <c r="B113" t="s">
        <v>37</v>
      </c>
      <c r="C113" t="s">
        <v>37</v>
      </c>
      <c r="D113" t="s">
        <v>37</v>
      </c>
      <c r="E113" t="s">
        <v>37</v>
      </c>
      <c r="F113" t="s">
        <v>37</v>
      </c>
      <c r="G113" t="s">
        <v>37</v>
      </c>
      <c r="H113" t="s">
        <v>37</v>
      </c>
      <c r="I113" t="s">
        <v>37</v>
      </c>
      <c r="J113" t="s">
        <v>37</v>
      </c>
      <c r="K113" t="s">
        <v>37</v>
      </c>
      <c r="L113" t="s">
        <v>37</v>
      </c>
      <c r="M113" t="s">
        <v>37</v>
      </c>
      <c r="N113" t="s">
        <v>37</v>
      </c>
      <c r="O113" t="str">
        <f>Yardi!K112</f>
        <v>53010-000</v>
      </c>
      <c r="P113" t="str">
        <f>Yardi!O112</f>
        <v>07/2026 Prepaid ButterflyMX Smart IntercomSoftware Subscription Term 11/1/25-9/30/26 Amortization</v>
      </c>
      <c r="R113" t="s">
        <v>37</v>
      </c>
      <c r="S113" t="s">
        <v>37</v>
      </c>
      <c r="T113" t="s">
        <v>37</v>
      </c>
      <c r="U113" t="s">
        <v>37</v>
      </c>
      <c r="V113" s="410">
        <f>Yardi!J112</f>
        <v>0</v>
      </c>
    </row>
    <row r="114" spans="1:22" x14ac:dyDescent="0.25">
      <c r="A114" t="s">
        <v>37</v>
      </c>
      <c r="B114" t="s">
        <v>37</v>
      </c>
      <c r="C114" t="s">
        <v>37</v>
      </c>
      <c r="D114" t="s">
        <v>37</v>
      </c>
      <c r="E114" t="s">
        <v>37</v>
      </c>
      <c r="F114" t="s">
        <v>37</v>
      </c>
      <c r="G114" t="s">
        <v>37</v>
      </c>
      <c r="H114" t="s">
        <v>37</v>
      </c>
      <c r="I114" t="s">
        <v>37</v>
      </c>
      <c r="J114" t="s">
        <v>37</v>
      </c>
      <c r="K114" t="s">
        <v>37</v>
      </c>
      <c r="L114" t="s">
        <v>37</v>
      </c>
      <c r="M114" t="s">
        <v>37</v>
      </c>
      <c r="N114" t="s">
        <v>37</v>
      </c>
      <c r="O114">
        <f>Yardi!K113</f>
        <v>13085</v>
      </c>
      <c r="P114" t="str">
        <f>Yardi!O113</f>
        <v>07/2026 Prepaid ButterflyMX Smart IntercomSoftware Subscription Term 11/1/25-9/30/26 Amortization</v>
      </c>
      <c r="R114" t="s">
        <v>37</v>
      </c>
      <c r="S114" t="s">
        <v>37</v>
      </c>
      <c r="T114" t="s">
        <v>37</v>
      </c>
      <c r="U114" t="s">
        <v>37</v>
      </c>
      <c r="V114" s="410">
        <f>Yardi!J113</f>
        <v>0</v>
      </c>
    </row>
    <row r="115" spans="1:22" x14ac:dyDescent="0.25">
      <c r="A115" t="s">
        <v>37</v>
      </c>
      <c r="B115" t="s">
        <v>37</v>
      </c>
      <c r="C115" t="s">
        <v>37</v>
      </c>
      <c r="D115" t="s">
        <v>37</v>
      </c>
      <c r="E115" t="s">
        <v>37</v>
      </c>
      <c r="F115" t="s">
        <v>37</v>
      </c>
      <c r="G115" t="s">
        <v>37</v>
      </c>
      <c r="H115" t="s">
        <v>37</v>
      </c>
      <c r="I115" t="s">
        <v>37</v>
      </c>
      <c r="J115" t="s">
        <v>37</v>
      </c>
      <c r="K115" t="s">
        <v>37</v>
      </c>
      <c r="L115" t="s">
        <v>37</v>
      </c>
      <c r="M115" t="s">
        <v>37</v>
      </c>
      <c r="N115" t="s">
        <v>37</v>
      </c>
      <c r="O115" t="e">
        <f>Yardi!K114</f>
        <v>#REF!</v>
      </c>
      <c r="P115" t="e">
        <f>Yardi!O114</f>
        <v>#REF!</v>
      </c>
      <c r="R115" t="s">
        <v>37</v>
      </c>
      <c r="S115" t="s">
        <v>37</v>
      </c>
      <c r="T115" t="s">
        <v>37</v>
      </c>
      <c r="U115" t="s">
        <v>37</v>
      </c>
      <c r="V115" s="410">
        <f>Yardi!J114</f>
        <v>0</v>
      </c>
    </row>
    <row r="116" spans="1:22" x14ac:dyDescent="0.25">
      <c r="A116" t="s">
        <v>37</v>
      </c>
      <c r="B116" t="s">
        <v>37</v>
      </c>
      <c r="C116" t="s">
        <v>37</v>
      </c>
      <c r="D116" t="s">
        <v>37</v>
      </c>
      <c r="E116" t="s">
        <v>37</v>
      </c>
      <c r="F116" t="s">
        <v>37</v>
      </c>
      <c r="G116" t="s">
        <v>37</v>
      </c>
      <c r="H116" t="s">
        <v>37</v>
      </c>
      <c r="I116" t="s">
        <v>37</v>
      </c>
      <c r="J116" t="s">
        <v>37</v>
      </c>
      <c r="K116" t="s">
        <v>37</v>
      </c>
      <c r="L116" t="s">
        <v>37</v>
      </c>
      <c r="M116" t="s">
        <v>37</v>
      </c>
      <c r="N116" t="s">
        <v>37</v>
      </c>
      <c r="O116">
        <f>Yardi!K115</f>
        <v>13085</v>
      </c>
      <c r="P116" t="e">
        <f>Yardi!O115</f>
        <v>#REF!</v>
      </c>
      <c r="R116" t="s">
        <v>37</v>
      </c>
      <c r="S116" t="s">
        <v>37</v>
      </c>
      <c r="T116" t="s">
        <v>37</v>
      </c>
      <c r="U116" t="s">
        <v>37</v>
      </c>
      <c r="V116" s="410">
        <f>Yardi!J115</f>
        <v>0</v>
      </c>
    </row>
    <row r="117" spans="1:22" x14ac:dyDescent="0.25">
      <c r="A117" t="s">
        <v>37</v>
      </c>
      <c r="B117" t="s">
        <v>37</v>
      </c>
      <c r="C117" t="s">
        <v>37</v>
      </c>
      <c r="D117" t="s">
        <v>37</v>
      </c>
      <c r="E117" t="s">
        <v>37</v>
      </c>
      <c r="F117" t="s">
        <v>37</v>
      </c>
      <c r="G117" t="s">
        <v>37</v>
      </c>
      <c r="H117" t="s">
        <v>37</v>
      </c>
      <c r="I117" t="s">
        <v>37</v>
      </c>
      <c r="J117" t="s">
        <v>37</v>
      </c>
      <c r="K117" t="s">
        <v>37</v>
      </c>
      <c r="L117" t="s">
        <v>37</v>
      </c>
      <c r="M117" t="s">
        <v>37</v>
      </c>
      <c r="N117" t="s">
        <v>37</v>
      </c>
      <c r="O117" t="str">
        <f>Yardi!K116</f>
        <v>54025-000</v>
      </c>
      <c r="P117" t="str">
        <f>Yardi!O116</f>
        <v>07/2026 Prepaid January Jonah Systems Amortization</v>
      </c>
      <c r="R117" t="s">
        <v>37</v>
      </c>
      <c r="S117" t="s">
        <v>37</v>
      </c>
      <c r="T117" t="s">
        <v>37</v>
      </c>
      <c r="U117" t="s">
        <v>37</v>
      </c>
      <c r="V117" s="410">
        <f>Yardi!J116</f>
        <v>0</v>
      </c>
    </row>
    <row r="118" spans="1:22" x14ac:dyDescent="0.25">
      <c r="A118" t="s">
        <v>37</v>
      </c>
      <c r="B118" t="s">
        <v>37</v>
      </c>
      <c r="C118" t="s">
        <v>37</v>
      </c>
      <c r="D118" t="s">
        <v>37</v>
      </c>
      <c r="E118" t="s">
        <v>37</v>
      </c>
      <c r="F118" t="s">
        <v>37</v>
      </c>
      <c r="G118" t="s">
        <v>37</v>
      </c>
      <c r="H118" t="s">
        <v>37</v>
      </c>
      <c r="I118" t="s">
        <v>37</v>
      </c>
      <c r="J118" t="s">
        <v>37</v>
      </c>
      <c r="K118" t="s">
        <v>37</v>
      </c>
      <c r="L118" t="s">
        <v>37</v>
      </c>
      <c r="M118" t="s">
        <v>37</v>
      </c>
      <c r="N118" t="s">
        <v>37</v>
      </c>
      <c r="O118">
        <f>Yardi!K117</f>
        <v>13085</v>
      </c>
      <c r="P118" t="str">
        <f>Yardi!O117</f>
        <v>07/2026 Prepaid January Jonah Systems Amortization</v>
      </c>
      <c r="R118" t="s">
        <v>37</v>
      </c>
      <c r="S118" t="s">
        <v>37</v>
      </c>
      <c r="T118" t="s">
        <v>37</v>
      </c>
      <c r="U118" t="s">
        <v>37</v>
      </c>
      <c r="V118" s="410">
        <f>Yardi!J117</f>
        <v>0</v>
      </c>
    </row>
    <row r="119" spans="1:22" x14ac:dyDescent="0.25">
      <c r="A119" t="s">
        <v>37</v>
      </c>
      <c r="B119" t="s">
        <v>37</v>
      </c>
      <c r="C119" t="s">
        <v>37</v>
      </c>
      <c r="D119" t="s">
        <v>37</v>
      </c>
      <c r="E119" t="s">
        <v>37</v>
      </c>
      <c r="F119" t="s">
        <v>37</v>
      </c>
      <c r="G119" t="s">
        <v>37</v>
      </c>
      <c r="H119" t="s">
        <v>37</v>
      </c>
      <c r="I119" t="s">
        <v>37</v>
      </c>
      <c r="J119" t="s">
        <v>37</v>
      </c>
      <c r="K119" t="s">
        <v>37</v>
      </c>
      <c r="L119" t="s">
        <v>37</v>
      </c>
      <c r="M119" t="s">
        <v>37</v>
      </c>
      <c r="N119" t="s">
        <v>37</v>
      </c>
      <c r="O119" t="str">
        <f>Yardi!K118</f>
        <v>54025-000</v>
      </c>
      <c r="P119" t="str">
        <f>Yardi!O118</f>
        <v>07/2026 Prepaid February Jonah Systems Amortization</v>
      </c>
      <c r="R119" t="s">
        <v>37</v>
      </c>
      <c r="S119" t="s">
        <v>37</v>
      </c>
      <c r="T119" t="s">
        <v>37</v>
      </c>
      <c r="U119" t="s">
        <v>37</v>
      </c>
      <c r="V119" s="410">
        <f>Yardi!J118</f>
        <v>0</v>
      </c>
    </row>
    <row r="120" spans="1:22" x14ac:dyDescent="0.25">
      <c r="A120" t="s">
        <v>37</v>
      </c>
      <c r="B120" t="s">
        <v>37</v>
      </c>
      <c r="C120" t="s">
        <v>37</v>
      </c>
      <c r="D120" t="s">
        <v>37</v>
      </c>
      <c r="E120" t="s">
        <v>37</v>
      </c>
      <c r="F120" t="s">
        <v>37</v>
      </c>
      <c r="G120" t="s">
        <v>37</v>
      </c>
      <c r="H120" t="s">
        <v>37</v>
      </c>
      <c r="I120" t="s">
        <v>37</v>
      </c>
      <c r="J120" t="s">
        <v>37</v>
      </c>
      <c r="K120" t="s">
        <v>37</v>
      </c>
      <c r="L120" t="s">
        <v>37</v>
      </c>
      <c r="M120" t="s">
        <v>37</v>
      </c>
      <c r="N120" t="s">
        <v>37</v>
      </c>
      <c r="O120">
        <f>Yardi!K119</f>
        <v>13085</v>
      </c>
      <c r="P120" t="str">
        <f>Yardi!O119</f>
        <v>07/2026 Prepaid February Jonah Systems Amortization</v>
      </c>
      <c r="R120" t="s">
        <v>37</v>
      </c>
      <c r="S120" t="s">
        <v>37</v>
      </c>
      <c r="T120" t="s">
        <v>37</v>
      </c>
      <c r="U120" t="s">
        <v>37</v>
      </c>
      <c r="V120" s="410">
        <f>Yardi!J119</f>
        <v>0</v>
      </c>
    </row>
    <row r="121" spans="1:22" x14ac:dyDescent="0.25">
      <c r="A121" t="s">
        <v>37</v>
      </c>
      <c r="B121" t="s">
        <v>37</v>
      </c>
      <c r="C121" t="s">
        <v>37</v>
      </c>
      <c r="D121" t="s">
        <v>37</v>
      </c>
      <c r="E121" t="s">
        <v>37</v>
      </c>
      <c r="F121" t="s">
        <v>37</v>
      </c>
      <c r="G121" t="s">
        <v>37</v>
      </c>
      <c r="H121" t="s">
        <v>37</v>
      </c>
      <c r="I121" t="s">
        <v>37</v>
      </c>
      <c r="J121" t="s">
        <v>37</v>
      </c>
      <c r="K121" t="s">
        <v>37</v>
      </c>
      <c r="L121" t="s">
        <v>37</v>
      </c>
      <c r="M121" t="s">
        <v>37</v>
      </c>
      <c r="N121" t="s">
        <v>37</v>
      </c>
      <c r="O121" t="str">
        <f>Yardi!K120</f>
        <v>58115-000</v>
      </c>
      <c r="P121" t="str">
        <f>Yardi!O120</f>
        <v>07/2026 Prepaid 01/01/2026 C&amp;L Annual Package|mn610wes| NATIONAL APARTMENT ASSOCIATION 0752207 |GCB| Amortization</v>
      </c>
      <c r="R121" t="s">
        <v>37</v>
      </c>
      <c r="S121" t="s">
        <v>37</v>
      </c>
      <c r="T121" t="s">
        <v>37</v>
      </c>
      <c r="U121" t="s">
        <v>37</v>
      </c>
      <c r="V121" s="410">
        <f>Yardi!J120</f>
        <v>0</v>
      </c>
    </row>
    <row r="122" spans="1:22" x14ac:dyDescent="0.25">
      <c r="A122" t="s">
        <v>37</v>
      </c>
      <c r="B122" t="s">
        <v>37</v>
      </c>
      <c r="C122" t="s">
        <v>37</v>
      </c>
      <c r="D122" t="s">
        <v>37</v>
      </c>
      <c r="E122" t="s">
        <v>37</v>
      </c>
      <c r="F122" t="s">
        <v>37</v>
      </c>
      <c r="G122" t="s">
        <v>37</v>
      </c>
      <c r="H122" t="s">
        <v>37</v>
      </c>
      <c r="I122" t="s">
        <v>37</v>
      </c>
      <c r="J122" t="s">
        <v>37</v>
      </c>
      <c r="K122" t="s">
        <v>37</v>
      </c>
      <c r="L122" t="s">
        <v>37</v>
      </c>
      <c r="M122" t="s">
        <v>37</v>
      </c>
      <c r="N122" t="s">
        <v>37</v>
      </c>
      <c r="O122">
        <f>Yardi!K121</f>
        <v>13085</v>
      </c>
      <c r="P122" t="str">
        <f>Yardi!O121</f>
        <v>07/2026 Prepaid 01/01/2026 C&amp;L Annual Package|mn610wes| NATIONAL APARTMENT ASSOCIATION 0752207 |GCB| Amortization</v>
      </c>
      <c r="R122" t="s">
        <v>37</v>
      </c>
      <c r="S122" t="s">
        <v>37</v>
      </c>
      <c r="T122" t="s">
        <v>37</v>
      </c>
      <c r="U122" t="s">
        <v>37</v>
      </c>
      <c r="V122" s="410">
        <f>Yardi!J121</f>
        <v>0</v>
      </c>
    </row>
    <row r="123" spans="1:22" x14ac:dyDescent="0.25">
      <c r="A123" t="s">
        <v>37</v>
      </c>
      <c r="B123" t="s">
        <v>37</v>
      </c>
      <c r="C123" t="s">
        <v>37</v>
      </c>
      <c r="D123" t="s">
        <v>37</v>
      </c>
      <c r="E123" t="s">
        <v>37</v>
      </c>
      <c r="F123" t="s">
        <v>37</v>
      </c>
      <c r="G123" t="s">
        <v>37</v>
      </c>
      <c r="H123" t="s">
        <v>37</v>
      </c>
      <c r="I123" t="s">
        <v>37</v>
      </c>
      <c r="J123" t="s">
        <v>37</v>
      </c>
      <c r="K123" t="s">
        <v>37</v>
      </c>
      <c r="L123" t="s">
        <v>37</v>
      </c>
      <c r="M123" t="s">
        <v>37</v>
      </c>
      <c r="N123" t="s">
        <v>37</v>
      </c>
      <c r="O123">
        <f>Yardi!K122</f>
        <v>0</v>
      </c>
      <c r="P123" t="str">
        <f>Yardi!O122</f>
        <v>07/2026 Prepaid Amortization</v>
      </c>
      <c r="R123" t="s">
        <v>37</v>
      </c>
      <c r="S123" t="s">
        <v>37</v>
      </c>
      <c r="T123" t="s">
        <v>37</v>
      </c>
      <c r="U123" t="s">
        <v>37</v>
      </c>
      <c r="V123" s="410">
        <f>Yardi!J122</f>
        <v>0</v>
      </c>
    </row>
    <row r="124" spans="1:22" x14ac:dyDescent="0.25">
      <c r="A124" t="s">
        <v>37</v>
      </c>
      <c r="B124" t="s">
        <v>37</v>
      </c>
      <c r="C124" t="s">
        <v>37</v>
      </c>
      <c r="D124" t="s">
        <v>37</v>
      </c>
      <c r="E124" t="s">
        <v>37</v>
      </c>
      <c r="F124" t="s">
        <v>37</v>
      </c>
      <c r="G124" t="s">
        <v>37</v>
      </c>
      <c r="H124" t="s">
        <v>37</v>
      </c>
      <c r="I124" t="s">
        <v>37</v>
      </c>
      <c r="J124" t="s">
        <v>37</v>
      </c>
      <c r="K124" t="s">
        <v>37</v>
      </c>
      <c r="L124" t="s">
        <v>37</v>
      </c>
      <c r="M124" t="s">
        <v>37</v>
      </c>
      <c r="N124" t="s">
        <v>37</v>
      </c>
      <c r="O124">
        <f>Yardi!K123</f>
        <v>13085</v>
      </c>
      <c r="P124" t="str">
        <f>Yardi!O123</f>
        <v>07/2026 Prepaid Amortization</v>
      </c>
      <c r="R124" t="s">
        <v>37</v>
      </c>
      <c r="S124" t="s">
        <v>37</v>
      </c>
      <c r="T124" t="s">
        <v>37</v>
      </c>
      <c r="U124" t="s">
        <v>37</v>
      </c>
      <c r="V124" s="410">
        <f>Yardi!J123</f>
        <v>0</v>
      </c>
    </row>
    <row r="125" spans="1:22" x14ac:dyDescent="0.25">
      <c r="A125" t="s">
        <v>37</v>
      </c>
      <c r="B125" t="s">
        <v>37</v>
      </c>
      <c r="C125" t="s">
        <v>37</v>
      </c>
      <c r="D125" t="s">
        <v>37</v>
      </c>
      <c r="E125" t="s">
        <v>37</v>
      </c>
      <c r="F125" t="s">
        <v>37</v>
      </c>
      <c r="G125" t="s">
        <v>37</v>
      </c>
      <c r="H125" t="s">
        <v>37</v>
      </c>
      <c r="I125" t="s">
        <v>37</v>
      </c>
      <c r="J125" t="s">
        <v>37</v>
      </c>
      <c r="K125" t="s">
        <v>37</v>
      </c>
      <c r="L125" t="s">
        <v>37</v>
      </c>
      <c r="M125" t="s">
        <v>37</v>
      </c>
      <c r="N125" t="s">
        <v>37</v>
      </c>
      <c r="O125">
        <f>Yardi!K124</f>
        <v>0</v>
      </c>
      <c r="P125" t="str">
        <f>Yardi!O124</f>
        <v>07/2026 Prepaid Amortization</v>
      </c>
      <c r="R125" t="s">
        <v>37</v>
      </c>
      <c r="S125" t="s">
        <v>37</v>
      </c>
      <c r="T125" t="s">
        <v>37</v>
      </c>
      <c r="U125" t="s">
        <v>37</v>
      </c>
      <c r="V125" s="410">
        <f>Yardi!J124</f>
        <v>0</v>
      </c>
    </row>
    <row r="126" spans="1:22" x14ac:dyDescent="0.25">
      <c r="A126" t="s">
        <v>37</v>
      </c>
      <c r="B126" t="s">
        <v>37</v>
      </c>
      <c r="C126" t="s">
        <v>37</v>
      </c>
      <c r="D126" t="s">
        <v>37</v>
      </c>
      <c r="E126" t="s">
        <v>37</v>
      </c>
      <c r="F126" t="s">
        <v>37</v>
      </c>
      <c r="G126" t="s">
        <v>37</v>
      </c>
      <c r="H126" t="s">
        <v>37</v>
      </c>
      <c r="I126" t="s">
        <v>37</v>
      </c>
      <c r="J126" t="s">
        <v>37</v>
      </c>
      <c r="K126" t="s">
        <v>37</v>
      </c>
      <c r="L126" t="s">
        <v>37</v>
      </c>
      <c r="M126" t="s">
        <v>37</v>
      </c>
      <c r="N126" t="s">
        <v>37</v>
      </c>
      <c r="O126">
        <f>Yardi!K125</f>
        <v>13085</v>
      </c>
      <c r="P126" t="str">
        <f>Yardi!O125</f>
        <v>07/2026 Prepaid Amortization</v>
      </c>
      <c r="R126" t="s">
        <v>37</v>
      </c>
      <c r="S126" t="s">
        <v>37</v>
      </c>
      <c r="T126" t="s">
        <v>37</v>
      </c>
      <c r="U126" t="s">
        <v>37</v>
      </c>
      <c r="V126" s="410">
        <f>Yardi!J125</f>
        <v>0</v>
      </c>
    </row>
    <row r="127" spans="1:22" x14ac:dyDescent="0.25">
      <c r="A127" t="s">
        <v>37</v>
      </c>
      <c r="B127" t="s">
        <v>37</v>
      </c>
      <c r="C127" t="s">
        <v>37</v>
      </c>
      <c r="D127" t="s">
        <v>37</v>
      </c>
      <c r="E127" t="s">
        <v>37</v>
      </c>
      <c r="F127" t="s">
        <v>37</v>
      </c>
      <c r="G127" t="s">
        <v>37</v>
      </c>
      <c r="H127" t="s">
        <v>37</v>
      </c>
      <c r="I127" t="s">
        <v>37</v>
      </c>
      <c r="J127" t="s">
        <v>37</v>
      </c>
      <c r="K127" t="s">
        <v>37</v>
      </c>
      <c r="L127" t="s">
        <v>37</v>
      </c>
      <c r="M127" t="s">
        <v>37</v>
      </c>
      <c r="N127" t="s">
        <v>37</v>
      </c>
      <c r="O127">
        <f>Yardi!K126</f>
        <v>0</v>
      </c>
      <c r="P127" t="str">
        <f>Yardi!O126</f>
        <v>07/2026 Prepaid Amortization</v>
      </c>
      <c r="R127" t="s">
        <v>37</v>
      </c>
      <c r="S127" t="s">
        <v>37</v>
      </c>
      <c r="T127" t="s">
        <v>37</v>
      </c>
      <c r="U127" t="s">
        <v>37</v>
      </c>
      <c r="V127" s="410">
        <f>Yardi!J126</f>
        <v>0</v>
      </c>
    </row>
    <row r="128" spans="1:22" x14ac:dyDescent="0.25">
      <c r="A128" t="s">
        <v>37</v>
      </c>
      <c r="B128" t="s">
        <v>37</v>
      </c>
      <c r="C128" t="s">
        <v>37</v>
      </c>
      <c r="D128" t="s">
        <v>37</v>
      </c>
      <c r="E128" t="s">
        <v>37</v>
      </c>
      <c r="F128" t="s">
        <v>37</v>
      </c>
      <c r="G128" t="s">
        <v>37</v>
      </c>
      <c r="H128" t="s">
        <v>37</v>
      </c>
      <c r="I128" t="s">
        <v>37</v>
      </c>
      <c r="J128" t="s">
        <v>37</v>
      </c>
      <c r="K128" t="s">
        <v>37</v>
      </c>
      <c r="L128" t="s">
        <v>37</v>
      </c>
      <c r="M128" t="s">
        <v>37</v>
      </c>
      <c r="N128" t="s">
        <v>37</v>
      </c>
      <c r="O128">
        <f>Yardi!K127</f>
        <v>13085</v>
      </c>
      <c r="P128" t="str">
        <f>Yardi!O127</f>
        <v>07/2026 Prepaid Amortization</v>
      </c>
      <c r="R128" t="s">
        <v>37</v>
      </c>
      <c r="S128" t="s">
        <v>37</v>
      </c>
      <c r="T128" t="s">
        <v>37</v>
      </c>
      <c r="U128" t="s">
        <v>37</v>
      </c>
      <c r="V128" s="410">
        <f>Yardi!J127</f>
        <v>0</v>
      </c>
    </row>
    <row r="129" spans="1:22" x14ac:dyDescent="0.25">
      <c r="A129" t="s">
        <v>37</v>
      </c>
      <c r="B129" t="s">
        <v>37</v>
      </c>
      <c r="C129" t="s">
        <v>37</v>
      </c>
      <c r="D129" t="s">
        <v>37</v>
      </c>
      <c r="E129" t="s">
        <v>37</v>
      </c>
      <c r="F129" t="s">
        <v>37</v>
      </c>
      <c r="G129" t="s">
        <v>37</v>
      </c>
      <c r="H129" t="s">
        <v>37</v>
      </c>
      <c r="I129" t="s">
        <v>37</v>
      </c>
      <c r="J129" t="s">
        <v>37</v>
      </c>
      <c r="K129" t="s">
        <v>37</v>
      </c>
      <c r="L129" t="s">
        <v>37</v>
      </c>
      <c r="M129" t="s">
        <v>37</v>
      </c>
      <c r="N129" t="s">
        <v>37</v>
      </c>
      <c r="O129">
        <f>Yardi!K128</f>
        <v>0</v>
      </c>
      <c r="P129" t="str">
        <f>Yardi!O128</f>
        <v>07/2026 Prepaid Amortization</v>
      </c>
      <c r="R129" t="s">
        <v>37</v>
      </c>
      <c r="S129" t="s">
        <v>37</v>
      </c>
      <c r="T129" t="s">
        <v>37</v>
      </c>
      <c r="U129" t="s">
        <v>37</v>
      </c>
      <c r="V129" s="410">
        <f>Yardi!J128</f>
        <v>0</v>
      </c>
    </row>
    <row r="130" spans="1:22" x14ac:dyDescent="0.25">
      <c r="A130" t="s">
        <v>37</v>
      </c>
      <c r="B130" t="s">
        <v>37</v>
      </c>
      <c r="C130" t="s">
        <v>37</v>
      </c>
      <c r="D130" t="s">
        <v>37</v>
      </c>
      <c r="E130" t="s">
        <v>37</v>
      </c>
      <c r="F130" t="s">
        <v>37</v>
      </c>
      <c r="G130" t="s">
        <v>37</v>
      </c>
      <c r="H130" t="s">
        <v>37</v>
      </c>
      <c r="I130" t="s">
        <v>37</v>
      </c>
      <c r="J130" t="s">
        <v>37</v>
      </c>
      <c r="K130" t="s">
        <v>37</v>
      </c>
      <c r="L130" t="s">
        <v>37</v>
      </c>
      <c r="M130" t="s">
        <v>37</v>
      </c>
      <c r="N130" t="s">
        <v>37</v>
      </c>
      <c r="O130">
        <f>Yardi!K129</f>
        <v>13085</v>
      </c>
      <c r="P130" t="str">
        <f>Yardi!O129</f>
        <v>07/2026 Prepaid Amortization</v>
      </c>
      <c r="R130" t="s">
        <v>37</v>
      </c>
      <c r="S130" t="s">
        <v>37</v>
      </c>
      <c r="T130" t="s">
        <v>37</v>
      </c>
      <c r="U130" t="s">
        <v>37</v>
      </c>
      <c r="V130" s="410">
        <f>Yardi!J129</f>
        <v>0</v>
      </c>
    </row>
    <row r="131" spans="1:22" x14ac:dyDescent="0.25">
      <c r="A131" t="s">
        <v>37</v>
      </c>
      <c r="B131" t="s">
        <v>37</v>
      </c>
      <c r="C131" t="s">
        <v>37</v>
      </c>
      <c r="D131" t="s">
        <v>37</v>
      </c>
      <c r="E131" t="s">
        <v>37</v>
      </c>
      <c r="F131" t="s">
        <v>37</v>
      </c>
      <c r="G131" t="s">
        <v>37</v>
      </c>
      <c r="H131" t="s">
        <v>37</v>
      </c>
      <c r="I131" t="s">
        <v>37</v>
      </c>
      <c r="J131" t="s">
        <v>37</v>
      </c>
      <c r="K131" t="s">
        <v>37</v>
      </c>
      <c r="L131" t="s">
        <v>37</v>
      </c>
      <c r="M131" t="s">
        <v>37</v>
      </c>
      <c r="N131" t="s">
        <v>37</v>
      </c>
      <c r="O131">
        <f>Yardi!K130</f>
        <v>0</v>
      </c>
      <c r="P131" t="str">
        <f>Yardi!O130</f>
        <v>07/2026 Prepaid Amortization</v>
      </c>
      <c r="R131" t="s">
        <v>37</v>
      </c>
      <c r="S131" t="s">
        <v>37</v>
      </c>
      <c r="T131" t="s">
        <v>37</v>
      </c>
      <c r="U131" t="s">
        <v>37</v>
      </c>
      <c r="V131" s="410">
        <f>Yardi!J130</f>
        <v>0</v>
      </c>
    </row>
    <row r="132" spans="1:22" x14ac:dyDescent="0.25">
      <c r="A132" t="s">
        <v>37</v>
      </c>
      <c r="B132" t="s">
        <v>37</v>
      </c>
      <c r="C132" t="s">
        <v>37</v>
      </c>
      <c r="D132" t="s">
        <v>37</v>
      </c>
      <c r="E132" t="s">
        <v>37</v>
      </c>
      <c r="F132" t="s">
        <v>37</v>
      </c>
      <c r="G132" t="s">
        <v>37</v>
      </c>
      <c r="H132" t="s">
        <v>37</v>
      </c>
      <c r="I132" t="s">
        <v>37</v>
      </c>
      <c r="J132" t="s">
        <v>37</v>
      </c>
      <c r="K132" t="s">
        <v>37</v>
      </c>
      <c r="L132" t="s">
        <v>37</v>
      </c>
      <c r="M132" t="s">
        <v>37</v>
      </c>
      <c r="N132" t="s">
        <v>37</v>
      </c>
      <c r="O132">
        <f>Yardi!K131</f>
        <v>13085</v>
      </c>
      <c r="P132" t="str">
        <f>Yardi!O131</f>
        <v>07/2026 Prepaid Amortization</v>
      </c>
      <c r="R132" t="s">
        <v>37</v>
      </c>
      <c r="S132" t="s">
        <v>37</v>
      </c>
      <c r="T132" t="s">
        <v>37</v>
      </c>
      <c r="U132" t="s">
        <v>37</v>
      </c>
      <c r="V132" s="410">
        <f>Yardi!J131</f>
        <v>0</v>
      </c>
    </row>
    <row r="133" spans="1:22" x14ac:dyDescent="0.25">
      <c r="A133" t="s">
        <v>37</v>
      </c>
      <c r="B133" t="s">
        <v>37</v>
      </c>
      <c r="C133" t="s">
        <v>37</v>
      </c>
      <c r="D133" t="s">
        <v>37</v>
      </c>
      <c r="E133" t="s">
        <v>37</v>
      </c>
      <c r="F133" t="s">
        <v>37</v>
      </c>
      <c r="G133" t="s">
        <v>37</v>
      </c>
      <c r="H133" t="s">
        <v>37</v>
      </c>
      <c r="I133" t="s">
        <v>37</v>
      </c>
      <c r="J133" t="s">
        <v>37</v>
      </c>
      <c r="K133" t="s">
        <v>37</v>
      </c>
      <c r="L133" t="s">
        <v>37</v>
      </c>
      <c r="M133" t="s">
        <v>37</v>
      </c>
      <c r="N133" t="s">
        <v>37</v>
      </c>
      <c r="O133">
        <f>Yardi!K132</f>
        <v>0</v>
      </c>
      <c r="P133" t="str">
        <f>Yardi!O132</f>
        <v>07/2026 Prepaid Amortization</v>
      </c>
      <c r="R133" t="s">
        <v>37</v>
      </c>
      <c r="S133" t="s">
        <v>37</v>
      </c>
      <c r="T133" t="s">
        <v>37</v>
      </c>
      <c r="U133" t="s">
        <v>37</v>
      </c>
      <c r="V133" s="410">
        <f>Yardi!J132</f>
        <v>0</v>
      </c>
    </row>
    <row r="134" spans="1:22" x14ac:dyDescent="0.25">
      <c r="A134" t="s">
        <v>37</v>
      </c>
      <c r="B134" t="s">
        <v>37</v>
      </c>
      <c r="C134" t="s">
        <v>37</v>
      </c>
      <c r="D134" t="s">
        <v>37</v>
      </c>
      <c r="E134" t="s">
        <v>37</v>
      </c>
      <c r="F134" t="s">
        <v>37</v>
      </c>
      <c r="G134" t="s">
        <v>37</v>
      </c>
      <c r="H134" t="s">
        <v>37</v>
      </c>
      <c r="I134" t="s">
        <v>37</v>
      </c>
      <c r="J134" t="s">
        <v>37</v>
      </c>
      <c r="K134" t="s">
        <v>37</v>
      </c>
      <c r="L134" t="s">
        <v>37</v>
      </c>
      <c r="M134" t="s">
        <v>37</v>
      </c>
      <c r="N134" t="s">
        <v>37</v>
      </c>
      <c r="O134">
        <f>Yardi!K133</f>
        <v>13085</v>
      </c>
      <c r="P134" t="str">
        <f>Yardi!O133</f>
        <v>07/2026 Prepaid Amortization</v>
      </c>
      <c r="R134" t="s">
        <v>37</v>
      </c>
      <c r="S134" t="s">
        <v>37</v>
      </c>
      <c r="T134" t="s">
        <v>37</v>
      </c>
      <c r="U134" t="s">
        <v>37</v>
      </c>
      <c r="V134" s="410">
        <f>Yardi!J133</f>
        <v>0</v>
      </c>
    </row>
    <row r="135" spans="1:22" x14ac:dyDescent="0.25">
      <c r="A135" t="s">
        <v>37</v>
      </c>
      <c r="B135" t="s">
        <v>37</v>
      </c>
      <c r="C135" t="s">
        <v>37</v>
      </c>
      <c r="D135" t="s">
        <v>37</v>
      </c>
      <c r="E135" t="s">
        <v>37</v>
      </c>
      <c r="F135" t="s">
        <v>37</v>
      </c>
      <c r="G135" t="s">
        <v>37</v>
      </c>
      <c r="H135" t="s">
        <v>37</v>
      </c>
      <c r="I135" t="s">
        <v>37</v>
      </c>
      <c r="J135" t="s">
        <v>37</v>
      </c>
      <c r="K135" t="s">
        <v>37</v>
      </c>
      <c r="L135" t="s">
        <v>37</v>
      </c>
      <c r="M135" t="s">
        <v>37</v>
      </c>
      <c r="N135" t="s">
        <v>37</v>
      </c>
      <c r="O135">
        <f>Yardi!K134</f>
        <v>0</v>
      </c>
      <c r="P135" t="str">
        <f>Yardi!O134</f>
        <v>07/2026 Prepaid Amortization</v>
      </c>
      <c r="R135" t="s">
        <v>37</v>
      </c>
      <c r="S135" t="s">
        <v>37</v>
      </c>
      <c r="T135" t="s">
        <v>37</v>
      </c>
      <c r="U135" t="s">
        <v>37</v>
      </c>
      <c r="V135" s="410">
        <f>Yardi!J134</f>
        <v>0</v>
      </c>
    </row>
    <row r="136" spans="1:22" x14ac:dyDescent="0.25">
      <c r="A136" t="s">
        <v>37</v>
      </c>
      <c r="B136" t="s">
        <v>37</v>
      </c>
      <c r="C136" t="s">
        <v>37</v>
      </c>
      <c r="D136" t="s">
        <v>37</v>
      </c>
      <c r="E136" t="s">
        <v>37</v>
      </c>
      <c r="F136" t="s">
        <v>37</v>
      </c>
      <c r="G136" t="s">
        <v>37</v>
      </c>
      <c r="H136" t="s">
        <v>37</v>
      </c>
      <c r="I136" t="s">
        <v>37</v>
      </c>
      <c r="J136" t="s">
        <v>37</v>
      </c>
      <c r="K136" t="s">
        <v>37</v>
      </c>
      <c r="L136" t="s">
        <v>37</v>
      </c>
      <c r="M136" t="s">
        <v>37</v>
      </c>
      <c r="N136" t="s">
        <v>37</v>
      </c>
      <c r="O136">
        <f>Yardi!K135</f>
        <v>13085</v>
      </c>
      <c r="P136" t="str">
        <f>Yardi!O135</f>
        <v>07/2026 Prepaid Amortization</v>
      </c>
      <c r="R136" t="s">
        <v>37</v>
      </c>
      <c r="S136" t="s">
        <v>37</v>
      </c>
      <c r="T136" t="s">
        <v>37</v>
      </c>
      <c r="U136" t="s">
        <v>37</v>
      </c>
      <c r="V136" s="410">
        <f>Yardi!J135</f>
        <v>0</v>
      </c>
    </row>
    <row r="137" spans="1:22" x14ac:dyDescent="0.25">
      <c r="A137" t="s">
        <v>37</v>
      </c>
      <c r="B137" t="s">
        <v>37</v>
      </c>
      <c r="C137" t="s">
        <v>37</v>
      </c>
      <c r="D137" t="s">
        <v>37</v>
      </c>
      <c r="E137" t="s">
        <v>37</v>
      </c>
      <c r="F137" t="s">
        <v>37</v>
      </c>
      <c r="G137" t="s">
        <v>37</v>
      </c>
      <c r="H137" t="s">
        <v>37</v>
      </c>
      <c r="I137" t="s">
        <v>37</v>
      </c>
      <c r="J137" t="s">
        <v>37</v>
      </c>
      <c r="K137" t="s">
        <v>37</v>
      </c>
      <c r="L137" t="s">
        <v>37</v>
      </c>
      <c r="M137" t="s">
        <v>37</v>
      </c>
      <c r="N137" t="s">
        <v>37</v>
      </c>
      <c r="O137">
        <f>Yardi!K136</f>
        <v>0</v>
      </c>
      <c r="P137" t="str">
        <f>Yardi!O136</f>
        <v>07/2026 Prepaid Amortization</v>
      </c>
      <c r="R137" t="s">
        <v>37</v>
      </c>
      <c r="S137" t="s">
        <v>37</v>
      </c>
      <c r="T137" t="s">
        <v>37</v>
      </c>
      <c r="U137" t="s">
        <v>37</v>
      </c>
      <c r="V137" s="410">
        <f>Yardi!J136</f>
        <v>0</v>
      </c>
    </row>
    <row r="138" spans="1:22" x14ac:dyDescent="0.25">
      <c r="A138" t="s">
        <v>37</v>
      </c>
      <c r="B138" t="s">
        <v>37</v>
      </c>
      <c r="C138" t="s">
        <v>37</v>
      </c>
      <c r="D138" t="s">
        <v>37</v>
      </c>
      <c r="E138" t="s">
        <v>37</v>
      </c>
      <c r="F138" t="s">
        <v>37</v>
      </c>
      <c r="G138" t="s">
        <v>37</v>
      </c>
      <c r="H138" t="s">
        <v>37</v>
      </c>
      <c r="I138" t="s">
        <v>37</v>
      </c>
      <c r="J138" t="s">
        <v>37</v>
      </c>
      <c r="K138" t="s">
        <v>37</v>
      </c>
      <c r="L138" t="s">
        <v>37</v>
      </c>
      <c r="M138" t="s">
        <v>37</v>
      </c>
      <c r="N138" t="s">
        <v>37</v>
      </c>
      <c r="O138">
        <f>Yardi!K137</f>
        <v>13085</v>
      </c>
      <c r="P138" t="str">
        <f>Yardi!O137</f>
        <v>07/2026 Prepaid Amortization</v>
      </c>
      <c r="R138" t="s">
        <v>37</v>
      </c>
      <c r="S138" t="s">
        <v>37</v>
      </c>
      <c r="T138" t="s">
        <v>37</v>
      </c>
      <c r="U138" t="s">
        <v>37</v>
      </c>
      <c r="V138" s="410">
        <f>Yardi!J137</f>
        <v>0</v>
      </c>
    </row>
    <row r="139" spans="1:22" x14ac:dyDescent="0.25">
      <c r="A139" t="s">
        <v>37</v>
      </c>
      <c r="B139" t="s">
        <v>37</v>
      </c>
      <c r="C139" t="s">
        <v>37</v>
      </c>
      <c r="D139" t="s">
        <v>37</v>
      </c>
      <c r="E139" t="s">
        <v>37</v>
      </c>
      <c r="F139" t="s">
        <v>37</v>
      </c>
      <c r="G139" t="s">
        <v>37</v>
      </c>
      <c r="H139" t="s">
        <v>37</v>
      </c>
      <c r="I139" t="s">
        <v>37</v>
      </c>
      <c r="J139" t="s">
        <v>37</v>
      </c>
      <c r="K139" t="s">
        <v>37</v>
      </c>
      <c r="L139" t="s">
        <v>37</v>
      </c>
      <c r="M139" t="s">
        <v>37</v>
      </c>
      <c r="N139" t="s">
        <v>37</v>
      </c>
      <c r="O139">
        <f>Yardi!K138</f>
        <v>0</v>
      </c>
      <c r="P139" t="str">
        <f>Yardi!O138</f>
        <v>07/2026 Prepaid Amortization</v>
      </c>
      <c r="R139" t="s">
        <v>37</v>
      </c>
      <c r="S139" t="s">
        <v>37</v>
      </c>
      <c r="T139" t="s">
        <v>37</v>
      </c>
      <c r="U139" t="s">
        <v>37</v>
      </c>
      <c r="V139" s="410">
        <f>Yardi!J138</f>
        <v>0</v>
      </c>
    </row>
    <row r="140" spans="1:22" x14ac:dyDescent="0.25">
      <c r="A140" t="s">
        <v>37</v>
      </c>
      <c r="B140" t="s">
        <v>37</v>
      </c>
      <c r="C140" t="s">
        <v>37</v>
      </c>
      <c r="D140" t="s">
        <v>37</v>
      </c>
      <c r="E140" t="s">
        <v>37</v>
      </c>
      <c r="F140" t="s">
        <v>37</v>
      </c>
      <c r="G140" t="s">
        <v>37</v>
      </c>
      <c r="H140" t="s">
        <v>37</v>
      </c>
      <c r="I140" t="s">
        <v>37</v>
      </c>
      <c r="J140" t="s">
        <v>37</v>
      </c>
      <c r="K140" t="s">
        <v>37</v>
      </c>
      <c r="L140" t="s">
        <v>37</v>
      </c>
      <c r="M140" t="s">
        <v>37</v>
      </c>
      <c r="N140" t="s">
        <v>37</v>
      </c>
      <c r="O140">
        <f>Yardi!K139</f>
        <v>13085</v>
      </c>
      <c r="P140" t="str">
        <f>Yardi!O139</f>
        <v>07/2026 Prepaid Amortization</v>
      </c>
      <c r="R140" t="s">
        <v>37</v>
      </c>
      <c r="S140" t="s">
        <v>37</v>
      </c>
      <c r="T140" t="s">
        <v>37</v>
      </c>
      <c r="U140" t="s">
        <v>37</v>
      </c>
      <c r="V140" s="410">
        <f>Yardi!J139</f>
        <v>0</v>
      </c>
    </row>
    <row r="141" spans="1:22" x14ac:dyDescent="0.25">
      <c r="A141" t="s">
        <v>37</v>
      </c>
      <c r="B141" t="s">
        <v>37</v>
      </c>
      <c r="C141" t="s">
        <v>37</v>
      </c>
      <c r="D141" t="s">
        <v>37</v>
      </c>
      <c r="E141" t="s">
        <v>37</v>
      </c>
      <c r="F141" t="s">
        <v>37</v>
      </c>
      <c r="G141" t="s">
        <v>37</v>
      </c>
      <c r="H141" t="s">
        <v>37</v>
      </c>
      <c r="I141" t="s">
        <v>37</v>
      </c>
      <c r="J141" t="s">
        <v>37</v>
      </c>
      <c r="K141" t="s">
        <v>37</v>
      </c>
      <c r="L141" t="s">
        <v>37</v>
      </c>
      <c r="M141" t="s">
        <v>37</v>
      </c>
      <c r="N141" t="s">
        <v>37</v>
      </c>
      <c r="O141">
        <f>Yardi!K140</f>
        <v>0</v>
      </c>
      <c r="P141" t="str">
        <f>Yardi!O140</f>
        <v>07/2026 Prepaid Amortization</v>
      </c>
      <c r="R141" t="s">
        <v>37</v>
      </c>
      <c r="S141" t="s">
        <v>37</v>
      </c>
      <c r="T141" t="s">
        <v>37</v>
      </c>
      <c r="U141" t="s">
        <v>37</v>
      </c>
      <c r="V141" s="410">
        <f>Yardi!J140</f>
        <v>0</v>
      </c>
    </row>
    <row r="142" spans="1:22" x14ac:dyDescent="0.25">
      <c r="A142" t="s">
        <v>37</v>
      </c>
      <c r="B142" t="s">
        <v>37</v>
      </c>
      <c r="C142" t="s">
        <v>37</v>
      </c>
      <c r="D142" t="s">
        <v>37</v>
      </c>
      <c r="E142" t="s">
        <v>37</v>
      </c>
      <c r="F142" t="s">
        <v>37</v>
      </c>
      <c r="G142" t="s">
        <v>37</v>
      </c>
      <c r="H142" t="s">
        <v>37</v>
      </c>
      <c r="I142" t="s">
        <v>37</v>
      </c>
      <c r="J142" t="s">
        <v>37</v>
      </c>
      <c r="K142" t="s">
        <v>37</v>
      </c>
      <c r="L142" t="s">
        <v>37</v>
      </c>
      <c r="M142" t="s">
        <v>37</v>
      </c>
      <c r="N142" t="s">
        <v>37</v>
      </c>
      <c r="O142">
        <f>Yardi!K141</f>
        <v>13085</v>
      </c>
      <c r="P142" t="str">
        <f>Yardi!O141</f>
        <v>07/2026 Prepaid Amortization</v>
      </c>
      <c r="R142" t="s">
        <v>37</v>
      </c>
      <c r="S142" t="s">
        <v>37</v>
      </c>
      <c r="T142" t="s">
        <v>37</v>
      </c>
      <c r="U142" t="s">
        <v>37</v>
      </c>
      <c r="V142" s="410">
        <f>Yardi!J141</f>
        <v>0</v>
      </c>
    </row>
    <row r="143" spans="1:22" x14ac:dyDescent="0.25">
      <c r="A143" t="s">
        <v>37</v>
      </c>
      <c r="B143" t="s">
        <v>37</v>
      </c>
      <c r="C143" t="s">
        <v>37</v>
      </c>
      <c r="D143" t="s">
        <v>37</v>
      </c>
      <c r="E143" t="s">
        <v>37</v>
      </c>
      <c r="F143" t="s">
        <v>37</v>
      </c>
      <c r="G143" t="s">
        <v>37</v>
      </c>
      <c r="H143" t="s">
        <v>37</v>
      </c>
      <c r="I143" t="s">
        <v>37</v>
      </c>
      <c r="J143" t="s">
        <v>37</v>
      </c>
      <c r="K143" t="s">
        <v>37</v>
      </c>
      <c r="L143" t="s">
        <v>37</v>
      </c>
      <c r="M143" t="s">
        <v>37</v>
      </c>
      <c r="N143" t="s">
        <v>37</v>
      </c>
      <c r="O143">
        <f>Yardi!K142</f>
        <v>0</v>
      </c>
      <c r="P143" t="str">
        <f>Yardi!O142</f>
        <v>07/2026 Prepaid Amortization</v>
      </c>
      <c r="R143" t="s">
        <v>37</v>
      </c>
      <c r="S143" t="s">
        <v>37</v>
      </c>
      <c r="T143" t="s">
        <v>37</v>
      </c>
      <c r="U143" t="s">
        <v>37</v>
      </c>
      <c r="V143" s="410">
        <f>Yardi!J142</f>
        <v>0</v>
      </c>
    </row>
    <row r="144" spans="1:22" x14ac:dyDescent="0.25">
      <c r="A144" t="s">
        <v>37</v>
      </c>
      <c r="B144" t="s">
        <v>37</v>
      </c>
      <c r="C144" t="s">
        <v>37</v>
      </c>
      <c r="D144" t="s">
        <v>37</v>
      </c>
      <c r="E144" t="s">
        <v>37</v>
      </c>
      <c r="F144" t="s">
        <v>37</v>
      </c>
      <c r="G144" t="s">
        <v>37</v>
      </c>
      <c r="H144" t="s">
        <v>37</v>
      </c>
      <c r="I144" t="s">
        <v>37</v>
      </c>
      <c r="J144" t="s">
        <v>37</v>
      </c>
      <c r="K144" t="s">
        <v>37</v>
      </c>
      <c r="L144" t="s">
        <v>37</v>
      </c>
      <c r="M144" t="s">
        <v>37</v>
      </c>
      <c r="N144" t="s">
        <v>37</v>
      </c>
      <c r="O144">
        <f>Yardi!K143</f>
        <v>13085</v>
      </c>
      <c r="P144" t="str">
        <f>Yardi!O143</f>
        <v>07/2026 Prepaid Amortization</v>
      </c>
      <c r="R144" t="s">
        <v>37</v>
      </c>
      <c r="S144" t="s">
        <v>37</v>
      </c>
      <c r="T144" t="s">
        <v>37</v>
      </c>
      <c r="U144" t="s">
        <v>37</v>
      </c>
      <c r="V144" s="410">
        <f>Yardi!J143</f>
        <v>0</v>
      </c>
    </row>
    <row r="145" spans="1:22" x14ac:dyDescent="0.25">
      <c r="A145" t="s">
        <v>37</v>
      </c>
      <c r="B145" t="s">
        <v>37</v>
      </c>
      <c r="C145" t="s">
        <v>37</v>
      </c>
      <c r="D145" t="s">
        <v>37</v>
      </c>
      <c r="E145" t="s">
        <v>37</v>
      </c>
      <c r="F145" t="s">
        <v>37</v>
      </c>
      <c r="G145" t="s">
        <v>37</v>
      </c>
      <c r="H145" t="s">
        <v>37</v>
      </c>
      <c r="I145" t="s">
        <v>37</v>
      </c>
      <c r="J145" t="s">
        <v>37</v>
      </c>
      <c r="K145" t="s">
        <v>37</v>
      </c>
      <c r="L145" t="s">
        <v>37</v>
      </c>
      <c r="M145" t="s">
        <v>37</v>
      </c>
      <c r="N145" t="s">
        <v>37</v>
      </c>
      <c r="O145">
        <f>Yardi!K144</f>
        <v>0</v>
      </c>
      <c r="P145" t="str">
        <f>Yardi!O144</f>
        <v>07/2026 Prepaid Amortization</v>
      </c>
      <c r="R145" t="s">
        <v>37</v>
      </c>
      <c r="S145" t="s">
        <v>37</v>
      </c>
      <c r="T145" t="s">
        <v>37</v>
      </c>
      <c r="U145" t="s">
        <v>37</v>
      </c>
      <c r="V145" s="410">
        <f>Yardi!J144</f>
        <v>0</v>
      </c>
    </row>
    <row r="146" spans="1:22" x14ac:dyDescent="0.25">
      <c r="A146" t="s">
        <v>37</v>
      </c>
      <c r="B146" t="s">
        <v>37</v>
      </c>
      <c r="C146" t="s">
        <v>37</v>
      </c>
      <c r="D146" t="s">
        <v>37</v>
      </c>
      <c r="E146" t="s">
        <v>37</v>
      </c>
      <c r="F146" t="s">
        <v>37</v>
      </c>
      <c r="G146" t="s">
        <v>37</v>
      </c>
      <c r="H146" t="s">
        <v>37</v>
      </c>
      <c r="I146" t="s">
        <v>37</v>
      </c>
      <c r="J146" t="s">
        <v>37</v>
      </c>
      <c r="K146" t="s">
        <v>37</v>
      </c>
      <c r="L146" t="s">
        <v>37</v>
      </c>
      <c r="M146" t="s">
        <v>37</v>
      </c>
      <c r="N146" t="s">
        <v>37</v>
      </c>
      <c r="O146">
        <f>Yardi!K145</f>
        <v>13085</v>
      </c>
      <c r="P146" t="str">
        <f>Yardi!O145</f>
        <v>07/2026 Prepaid Amortization</v>
      </c>
      <c r="R146" t="s">
        <v>37</v>
      </c>
      <c r="S146" t="s">
        <v>37</v>
      </c>
      <c r="T146" t="s">
        <v>37</v>
      </c>
      <c r="U146" t="s">
        <v>37</v>
      </c>
      <c r="V146" s="410">
        <f>Yardi!J145</f>
        <v>0</v>
      </c>
    </row>
    <row r="147" spans="1:22" x14ac:dyDescent="0.25">
      <c r="A147" t="s">
        <v>37</v>
      </c>
      <c r="B147" t="s">
        <v>37</v>
      </c>
      <c r="C147" t="s">
        <v>37</v>
      </c>
      <c r="D147" t="s">
        <v>37</v>
      </c>
      <c r="E147" t="s">
        <v>37</v>
      </c>
      <c r="F147" t="s">
        <v>37</v>
      </c>
      <c r="G147" t="s">
        <v>37</v>
      </c>
      <c r="H147" t="s">
        <v>37</v>
      </c>
      <c r="I147" t="s">
        <v>37</v>
      </c>
      <c r="J147" t="s">
        <v>37</v>
      </c>
      <c r="K147" t="s">
        <v>37</v>
      </c>
      <c r="L147" t="s">
        <v>37</v>
      </c>
      <c r="M147" t="s">
        <v>37</v>
      </c>
      <c r="N147" t="s">
        <v>37</v>
      </c>
      <c r="O147">
        <f>Yardi!K146</f>
        <v>0</v>
      </c>
      <c r="P147" t="str">
        <f>Yardi!O146</f>
        <v>07/2026 Prepaid Amortization</v>
      </c>
      <c r="R147" t="s">
        <v>37</v>
      </c>
      <c r="S147" t="s">
        <v>37</v>
      </c>
      <c r="T147" t="s">
        <v>37</v>
      </c>
      <c r="U147" t="s">
        <v>37</v>
      </c>
      <c r="V147" s="410">
        <f>Yardi!J146</f>
        <v>0</v>
      </c>
    </row>
    <row r="148" spans="1:22" x14ac:dyDescent="0.25">
      <c r="A148" t="s">
        <v>37</v>
      </c>
      <c r="B148" t="s">
        <v>37</v>
      </c>
      <c r="C148" t="s">
        <v>37</v>
      </c>
      <c r="D148" t="s">
        <v>37</v>
      </c>
      <c r="E148" t="s">
        <v>37</v>
      </c>
      <c r="F148" t="s">
        <v>37</v>
      </c>
      <c r="G148" t="s">
        <v>37</v>
      </c>
      <c r="H148" t="s">
        <v>37</v>
      </c>
      <c r="I148" t="s">
        <v>37</v>
      </c>
      <c r="J148" t="s">
        <v>37</v>
      </c>
      <c r="K148" t="s">
        <v>37</v>
      </c>
      <c r="L148" t="s">
        <v>37</v>
      </c>
      <c r="M148" t="s">
        <v>37</v>
      </c>
      <c r="N148" t="s">
        <v>37</v>
      </c>
      <c r="O148">
        <f>Yardi!K147</f>
        <v>13085</v>
      </c>
      <c r="P148" t="str">
        <f>Yardi!O147</f>
        <v>07/2026 Prepaid Amortization</v>
      </c>
      <c r="R148" t="s">
        <v>37</v>
      </c>
      <c r="S148" t="s">
        <v>37</v>
      </c>
      <c r="T148" t="s">
        <v>37</v>
      </c>
      <c r="U148" t="s">
        <v>37</v>
      </c>
      <c r="V148" s="410">
        <f>Yardi!J147</f>
        <v>0</v>
      </c>
    </row>
    <row r="149" spans="1:22" x14ac:dyDescent="0.25">
      <c r="A149" t="s">
        <v>37</v>
      </c>
      <c r="B149" t="s">
        <v>37</v>
      </c>
      <c r="C149" t="s">
        <v>37</v>
      </c>
      <c r="D149" t="s">
        <v>37</v>
      </c>
      <c r="E149" t="s">
        <v>37</v>
      </c>
      <c r="F149" t="s">
        <v>37</v>
      </c>
      <c r="G149" t="s">
        <v>37</v>
      </c>
      <c r="H149" t="s">
        <v>37</v>
      </c>
      <c r="I149" t="s">
        <v>37</v>
      </c>
      <c r="J149" t="s">
        <v>37</v>
      </c>
      <c r="K149" t="s">
        <v>37</v>
      </c>
      <c r="L149" t="s">
        <v>37</v>
      </c>
      <c r="M149" t="s">
        <v>37</v>
      </c>
      <c r="N149" t="s">
        <v>37</v>
      </c>
      <c r="O149">
        <f>Yardi!K148</f>
        <v>0</v>
      </c>
      <c r="P149" t="str">
        <f>Yardi!O148</f>
        <v>07/2026 Prepaid Amortization</v>
      </c>
      <c r="R149" t="s">
        <v>37</v>
      </c>
      <c r="S149" t="s">
        <v>37</v>
      </c>
      <c r="T149" t="s">
        <v>37</v>
      </c>
      <c r="U149" t="s">
        <v>37</v>
      </c>
      <c r="V149" s="410">
        <f>Yardi!J148</f>
        <v>0</v>
      </c>
    </row>
    <row r="150" spans="1:22" x14ac:dyDescent="0.25">
      <c r="A150" t="s">
        <v>37</v>
      </c>
      <c r="B150" t="s">
        <v>37</v>
      </c>
      <c r="C150" t="s">
        <v>37</v>
      </c>
      <c r="D150" t="s">
        <v>37</v>
      </c>
      <c r="E150" t="s">
        <v>37</v>
      </c>
      <c r="F150" t="s">
        <v>37</v>
      </c>
      <c r="G150" t="s">
        <v>37</v>
      </c>
      <c r="H150" t="s">
        <v>37</v>
      </c>
      <c r="I150" t="s">
        <v>37</v>
      </c>
      <c r="J150" t="s">
        <v>37</v>
      </c>
      <c r="K150" t="s">
        <v>37</v>
      </c>
      <c r="L150" t="s">
        <v>37</v>
      </c>
      <c r="M150" t="s">
        <v>37</v>
      </c>
      <c r="N150" t="s">
        <v>37</v>
      </c>
      <c r="O150">
        <f>Yardi!K149</f>
        <v>13085</v>
      </c>
      <c r="P150" t="str">
        <f>Yardi!O149</f>
        <v>07/2026 Prepaid Amortization</v>
      </c>
      <c r="R150" t="s">
        <v>37</v>
      </c>
      <c r="S150" t="s">
        <v>37</v>
      </c>
      <c r="T150" t="s">
        <v>37</v>
      </c>
      <c r="U150" t="s">
        <v>37</v>
      </c>
      <c r="V150" s="410">
        <f>Yardi!J149</f>
        <v>0</v>
      </c>
    </row>
    <row r="151" spans="1:22" x14ac:dyDescent="0.25">
      <c r="A151" t="s">
        <v>37</v>
      </c>
      <c r="B151" t="s">
        <v>37</v>
      </c>
      <c r="C151" t="s">
        <v>37</v>
      </c>
      <c r="D151" t="s">
        <v>37</v>
      </c>
      <c r="E151" t="s">
        <v>37</v>
      </c>
      <c r="F151" t="s">
        <v>37</v>
      </c>
      <c r="G151" t="s">
        <v>37</v>
      </c>
      <c r="H151" t="s">
        <v>37</v>
      </c>
      <c r="I151" t="s">
        <v>37</v>
      </c>
      <c r="J151" t="s">
        <v>37</v>
      </c>
      <c r="K151" t="s">
        <v>37</v>
      </c>
      <c r="L151" t="s">
        <v>37</v>
      </c>
      <c r="M151" t="s">
        <v>37</v>
      </c>
      <c r="N151" t="s">
        <v>37</v>
      </c>
      <c r="O151">
        <f>Yardi!K150</f>
        <v>0</v>
      </c>
      <c r="P151" t="str">
        <f>Yardi!O150</f>
        <v>07/2026 Prepaid Amortization</v>
      </c>
      <c r="R151" t="s">
        <v>37</v>
      </c>
      <c r="S151" t="s">
        <v>37</v>
      </c>
      <c r="T151" t="s">
        <v>37</v>
      </c>
      <c r="U151" t="s">
        <v>37</v>
      </c>
      <c r="V151" s="410">
        <f>Yardi!J150</f>
        <v>0</v>
      </c>
    </row>
    <row r="152" spans="1:22" x14ac:dyDescent="0.25">
      <c r="A152" t="s">
        <v>37</v>
      </c>
      <c r="B152" t="s">
        <v>37</v>
      </c>
      <c r="C152" t="s">
        <v>37</v>
      </c>
      <c r="D152" t="s">
        <v>37</v>
      </c>
      <c r="E152" t="s">
        <v>37</v>
      </c>
      <c r="F152" t="s">
        <v>37</v>
      </c>
      <c r="G152" t="s">
        <v>37</v>
      </c>
      <c r="H152" t="s">
        <v>37</v>
      </c>
      <c r="I152" t="s">
        <v>37</v>
      </c>
      <c r="J152" t="s">
        <v>37</v>
      </c>
      <c r="K152" t="s">
        <v>37</v>
      </c>
      <c r="L152" t="s">
        <v>37</v>
      </c>
      <c r="M152" t="s">
        <v>37</v>
      </c>
      <c r="N152" t="s">
        <v>37</v>
      </c>
      <c r="O152">
        <f>Yardi!K151</f>
        <v>13085</v>
      </c>
      <c r="P152" t="str">
        <f>Yardi!O151</f>
        <v>07/2026 Prepaid Amortization</v>
      </c>
      <c r="R152" t="s">
        <v>37</v>
      </c>
      <c r="S152" t="s">
        <v>37</v>
      </c>
      <c r="T152" t="s">
        <v>37</v>
      </c>
      <c r="U152" t="s">
        <v>37</v>
      </c>
      <c r="V152" s="410">
        <f>Yardi!J151</f>
        <v>0</v>
      </c>
    </row>
    <row r="153" spans="1:22" x14ac:dyDescent="0.25">
      <c r="A153" t="s">
        <v>37</v>
      </c>
      <c r="B153" t="s">
        <v>37</v>
      </c>
      <c r="C153" t="s">
        <v>37</v>
      </c>
      <c r="D153" t="s">
        <v>37</v>
      </c>
      <c r="E153" t="s">
        <v>37</v>
      </c>
      <c r="F153" t="s">
        <v>37</v>
      </c>
      <c r="G153" t="s">
        <v>37</v>
      </c>
      <c r="H153" t="s">
        <v>37</v>
      </c>
      <c r="I153" t="s">
        <v>37</v>
      </c>
      <c r="J153" t="s">
        <v>37</v>
      </c>
      <c r="K153" t="s">
        <v>37</v>
      </c>
      <c r="L153" t="s">
        <v>37</v>
      </c>
      <c r="M153" t="s">
        <v>37</v>
      </c>
      <c r="N153" t="s">
        <v>37</v>
      </c>
      <c r="O153">
        <f>Yardi!K152</f>
        <v>0</v>
      </c>
      <c r="P153" t="str">
        <f>Yardi!O152</f>
        <v>07/2026 Prepaid Amortization</v>
      </c>
      <c r="R153" t="s">
        <v>37</v>
      </c>
      <c r="S153" t="s">
        <v>37</v>
      </c>
      <c r="T153" t="s">
        <v>37</v>
      </c>
      <c r="U153" t="s">
        <v>37</v>
      </c>
      <c r="V153" s="410">
        <f>Yardi!J152</f>
        <v>0</v>
      </c>
    </row>
    <row r="154" spans="1:22" x14ac:dyDescent="0.25">
      <c r="A154" t="s">
        <v>37</v>
      </c>
      <c r="B154" t="s">
        <v>37</v>
      </c>
      <c r="C154" t="s">
        <v>37</v>
      </c>
      <c r="D154" t="s">
        <v>37</v>
      </c>
      <c r="E154" t="s">
        <v>37</v>
      </c>
      <c r="F154" t="s">
        <v>37</v>
      </c>
      <c r="G154" t="s">
        <v>37</v>
      </c>
      <c r="H154" t="s">
        <v>37</v>
      </c>
      <c r="I154" t="s">
        <v>37</v>
      </c>
      <c r="J154" t="s">
        <v>37</v>
      </c>
      <c r="K154" t="s">
        <v>37</v>
      </c>
      <c r="L154" t="s">
        <v>37</v>
      </c>
      <c r="M154" t="s">
        <v>37</v>
      </c>
      <c r="N154" t="s">
        <v>37</v>
      </c>
      <c r="O154">
        <f>Yardi!K153</f>
        <v>13085</v>
      </c>
      <c r="P154" t="str">
        <f>Yardi!O153</f>
        <v>07/2026 Prepaid Amortization</v>
      </c>
      <c r="R154" t="s">
        <v>37</v>
      </c>
      <c r="S154" t="s">
        <v>37</v>
      </c>
      <c r="T154" t="s">
        <v>37</v>
      </c>
      <c r="U154" t="s">
        <v>37</v>
      </c>
      <c r="V154" s="410">
        <f>Yardi!J153</f>
        <v>0</v>
      </c>
    </row>
    <row r="155" spans="1:22" x14ac:dyDescent="0.25">
      <c r="A155" t="s">
        <v>37</v>
      </c>
      <c r="B155" t="s">
        <v>37</v>
      </c>
      <c r="C155" t="s">
        <v>37</v>
      </c>
      <c r="D155" t="s">
        <v>37</v>
      </c>
      <c r="E155" t="s">
        <v>37</v>
      </c>
      <c r="F155" t="s">
        <v>37</v>
      </c>
      <c r="G155" t="s">
        <v>37</v>
      </c>
      <c r="H155" t="s">
        <v>37</v>
      </c>
      <c r="I155" t="s">
        <v>37</v>
      </c>
      <c r="J155" t="s">
        <v>37</v>
      </c>
      <c r="K155" t="s">
        <v>37</v>
      </c>
      <c r="L155" t="s">
        <v>37</v>
      </c>
      <c r="M155" t="s">
        <v>37</v>
      </c>
      <c r="N155" t="s">
        <v>37</v>
      </c>
      <c r="O155">
        <f>Yardi!K154</f>
        <v>0</v>
      </c>
      <c r="P155" t="str">
        <f>Yardi!O154</f>
        <v>07/2026 Prepaid Amortization</v>
      </c>
      <c r="R155" t="s">
        <v>37</v>
      </c>
      <c r="S155" t="s">
        <v>37</v>
      </c>
      <c r="T155" t="s">
        <v>37</v>
      </c>
      <c r="U155" t="s">
        <v>37</v>
      </c>
      <c r="V155" s="410">
        <f>Yardi!J154</f>
        <v>0</v>
      </c>
    </row>
    <row r="156" spans="1:22" x14ac:dyDescent="0.25">
      <c r="A156" t="s">
        <v>37</v>
      </c>
      <c r="B156" t="s">
        <v>37</v>
      </c>
      <c r="C156" t="s">
        <v>37</v>
      </c>
      <c r="D156" t="s">
        <v>37</v>
      </c>
      <c r="E156" t="s">
        <v>37</v>
      </c>
      <c r="F156" t="s">
        <v>37</v>
      </c>
      <c r="G156" t="s">
        <v>37</v>
      </c>
      <c r="H156" t="s">
        <v>37</v>
      </c>
      <c r="I156" t="s">
        <v>37</v>
      </c>
      <c r="J156" t="s">
        <v>37</v>
      </c>
      <c r="K156" t="s">
        <v>37</v>
      </c>
      <c r="L156" t="s">
        <v>37</v>
      </c>
      <c r="M156" t="s">
        <v>37</v>
      </c>
      <c r="N156" t="s">
        <v>37</v>
      </c>
      <c r="O156">
        <f>Yardi!K155</f>
        <v>13085</v>
      </c>
      <c r="P156" t="str">
        <f>Yardi!O155</f>
        <v>07/2026 Prepaid Amortization</v>
      </c>
      <c r="R156" t="s">
        <v>37</v>
      </c>
      <c r="S156" t="s">
        <v>37</v>
      </c>
      <c r="T156" t="s">
        <v>37</v>
      </c>
      <c r="U156" t="s">
        <v>37</v>
      </c>
      <c r="V156" s="410">
        <f>Yardi!J155</f>
        <v>0</v>
      </c>
    </row>
    <row r="157" spans="1:22" x14ac:dyDescent="0.25">
      <c r="A157" t="s">
        <v>37</v>
      </c>
      <c r="B157" t="s">
        <v>37</v>
      </c>
      <c r="C157" t="s">
        <v>37</v>
      </c>
      <c r="D157" t="s">
        <v>37</v>
      </c>
      <c r="E157" t="s">
        <v>37</v>
      </c>
      <c r="F157" t="s">
        <v>37</v>
      </c>
      <c r="G157" t="s">
        <v>37</v>
      </c>
      <c r="H157" t="s">
        <v>37</v>
      </c>
      <c r="I157" t="s">
        <v>37</v>
      </c>
      <c r="J157" t="s">
        <v>37</v>
      </c>
      <c r="K157" t="s">
        <v>37</v>
      </c>
      <c r="L157" t="s">
        <v>37</v>
      </c>
      <c r="M157" t="s">
        <v>37</v>
      </c>
      <c r="N157" t="s">
        <v>37</v>
      </c>
      <c r="O157">
        <f>Yardi!K156</f>
        <v>0</v>
      </c>
      <c r="P157" t="str">
        <f>Yardi!O156</f>
        <v>07/2026 Prepaid Amortization</v>
      </c>
      <c r="R157" t="s">
        <v>37</v>
      </c>
      <c r="S157" t="s">
        <v>37</v>
      </c>
      <c r="T157" t="s">
        <v>37</v>
      </c>
      <c r="U157" t="s">
        <v>37</v>
      </c>
      <c r="V157" s="410">
        <f>Yardi!J156</f>
        <v>0</v>
      </c>
    </row>
    <row r="158" spans="1:22" x14ac:dyDescent="0.25">
      <c r="A158" t="s">
        <v>37</v>
      </c>
      <c r="B158" t="s">
        <v>37</v>
      </c>
      <c r="C158" t="s">
        <v>37</v>
      </c>
      <c r="D158" t="s">
        <v>37</v>
      </c>
      <c r="E158" t="s">
        <v>37</v>
      </c>
      <c r="F158" t="s">
        <v>37</v>
      </c>
      <c r="G158" t="s">
        <v>37</v>
      </c>
      <c r="H158" t="s">
        <v>37</v>
      </c>
      <c r="I158" t="s">
        <v>37</v>
      </c>
      <c r="J158" t="s">
        <v>37</v>
      </c>
      <c r="K158" t="s">
        <v>37</v>
      </c>
      <c r="L158" t="s">
        <v>37</v>
      </c>
      <c r="M158" t="s">
        <v>37</v>
      </c>
      <c r="N158" t="s">
        <v>37</v>
      </c>
      <c r="O158">
        <f>Yardi!K157</f>
        <v>13085</v>
      </c>
      <c r="P158" t="str">
        <f>Yardi!O157</f>
        <v>07/2026 Prepaid Amortization</v>
      </c>
      <c r="R158" t="s">
        <v>37</v>
      </c>
      <c r="S158" t="s">
        <v>37</v>
      </c>
      <c r="T158" t="s">
        <v>37</v>
      </c>
      <c r="U158" t="s">
        <v>37</v>
      </c>
      <c r="V158" s="410">
        <f>Yardi!J157</f>
        <v>0</v>
      </c>
    </row>
    <row r="159" spans="1:22" x14ac:dyDescent="0.25">
      <c r="A159" t="s">
        <v>37</v>
      </c>
      <c r="B159" t="s">
        <v>37</v>
      </c>
      <c r="C159" t="s">
        <v>37</v>
      </c>
      <c r="D159" t="s">
        <v>37</v>
      </c>
      <c r="E159" t="s">
        <v>37</v>
      </c>
      <c r="F159" t="s">
        <v>37</v>
      </c>
      <c r="G159" t="s">
        <v>37</v>
      </c>
      <c r="H159" t="s">
        <v>37</v>
      </c>
      <c r="I159" t="s">
        <v>37</v>
      </c>
      <c r="J159" t="s">
        <v>37</v>
      </c>
      <c r="K159" t="s">
        <v>37</v>
      </c>
      <c r="L159" t="s">
        <v>37</v>
      </c>
      <c r="M159" t="s">
        <v>37</v>
      </c>
      <c r="N159" t="s">
        <v>37</v>
      </c>
      <c r="O159">
        <f>Yardi!K158</f>
        <v>0</v>
      </c>
      <c r="P159" t="str">
        <f>Yardi!O158</f>
        <v>07/2026 Prepaid Amortization</v>
      </c>
      <c r="R159" t="s">
        <v>37</v>
      </c>
      <c r="S159" t="s">
        <v>37</v>
      </c>
      <c r="T159" t="s">
        <v>37</v>
      </c>
      <c r="U159" t="s">
        <v>37</v>
      </c>
      <c r="V159" s="410">
        <f>Yardi!J158</f>
        <v>0</v>
      </c>
    </row>
    <row r="160" spans="1:22" x14ac:dyDescent="0.25">
      <c r="A160" t="s">
        <v>37</v>
      </c>
      <c r="B160" t="s">
        <v>37</v>
      </c>
      <c r="C160" t="s">
        <v>37</v>
      </c>
      <c r="D160" t="s">
        <v>37</v>
      </c>
      <c r="E160" t="s">
        <v>37</v>
      </c>
      <c r="F160" t="s">
        <v>37</v>
      </c>
      <c r="G160" t="s">
        <v>37</v>
      </c>
      <c r="H160" t="s">
        <v>37</v>
      </c>
      <c r="I160" t="s">
        <v>37</v>
      </c>
      <c r="J160" t="s">
        <v>37</v>
      </c>
      <c r="K160" t="s">
        <v>37</v>
      </c>
      <c r="L160" t="s">
        <v>37</v>
      </c>
      <c r="M160" t="s">
        <v>37</v>
      </c>
      <c r="N160" t="s">
        <v>37</v>
      </c>
      <c r="O160">
        <f>Yardi!K159</f>
        <v>13085</v>
      </c>
      <c r="P160" t="str">
        <f>Yardi!O159</f>
        <v>07/2026 Prepaid Amortization</v>
      </c>
      <c r="R160" t="s">
        <v>37</v>
      </c>
      <c r="S160" t="s">
        <v>37</v>
      </c>
      <c r="T160" t="s">
        <v>37</v>
      </c>
      <c r="U160" t="s">
        <v>37</v>
      </c>
      <c r="V160" s="410">
        <f>Yardi!J159</f>
        <v>0</v>
      </c>
    </row>
    <row r="161" spans="1:22" x14ac:dyDescent="0.25">
      <c r="A161" t="s">
        <v>37</v>
      </c>
      <c r="B161" t="s">
        <v>37</v>
      </c>
      <c r="C161" t="s">
        <v>37</v>
      </c>
      <c r="D161" t="s">
        <v>37</v>
      </c>
      <c r="E161" t="s">
        <v>37</v>
      </c>
      <c r="F161" t="s">
        <v>37</v>
      </c>
      <c r="G161" t="s">
        <v>37</v>
      </c>
      <c r="H161" t="s">
        <v>37</v>
      </c>
      <c r="I161" t="s">
        <v>37</v>
      </c>
      <c r="J161" t="s">
        <v>37</v>
      </c>
      <c r="K161" t="s">
        <v>37</v>
      </c>
      <c r="L161" t="s">
        <v>37</v>
      </c>
      <c r="M161" t="s">
        <v>37</v>
      </c>
      <c r="N161" t="s">
        <v>37</v>
      </c>
      <c r="O161">
        <f>Yardi!K160</f>
        <v>0</v>
      </c>
      <c r="P161" t="str">
        <f>Yardi!O160</f>
        <v>07/2026 Prepaid Amortization</v>
      </c>
      <c r="R161" t="s">
        <v>37</v>
      </c>
      <c r="S161" t="s">
        <v>37</v>
      </c>
      <c r="T161" t="s">
        <v>37</v>
      </c>
      <c r="U161" t="s">
        <v>37</v>
      </c>
      <c r="V161" s="410">
        <f>Yardi!J160</f>
        <v>0</v>
      </c>
    </row>
    <row r="162" spans="1:22" x14ac:dyDescent="0.25">
      <c r="A162" t="s">
        <v>37</v>
      </c>
      <c r="B162" t="s">
        <v>37</v>
      </c>
      <c r="C162" t="s">
        <v>37</v>
      </c>
      <c r="D162" t="s">
        <v>37</v>
      </c>
      <c r="E162" t="s">
        <v>37</v>
      </c>
      <c r="F162" t="s">
        <v>37</v>
      </c>
      <c r="G162" t="s">
        <v>37</v>
      </c>
      <c r="H162" t="s">
        <v>37</v>
      </c>
      <c r="I162" t="s">
        <v>37</v>
      </c>
      <c r="J162" t="s">
        <v>37</v>
      </c>
      <c r="K162" t="s">
        <v>37</v>
      </c>
      <c r="L162" t="s">
        <v>37</v>
      </c>
      <c r="M162" t="s">
        <v>37</v>
      </c>
      <c r="N162" t="s">
        <v>37</v>
      </c>
      <c r="O162">
        <f>Yardi!K161</f>
        <v>13085</v>
      </c>
      <c r="P162" t="str">
        <f>Yardi!O161</f>
        <v>07/2026 Prepaid Amortization</v>
      </c>
      <c r="R162" t="s">
        <v>37</v>
      </c>
      <c r="S162" t="s">
        <v>37</v>
      </c>
      <c r="T162" t="s">
        <v>37</v>
      </c>
      <c r="U162" t="s">
        <v>37</v>
      </c>
      <c r="V162" s="410">
        <f>Yardi!J161</f>
        <v>0</v>
      </c>
    </row>
    <row r="163" spans="1:22" x14ac:dyDescent="0.25">
      <c r="A163" t="s">
        <v>37</v>
      </c>
      <c r="B163" t="s">
        <v>37</v>
      </c>
      <c r="C163" t="s">
        <v>37</v>
      </c>
      <c r="D163" t="s">
        <v>37</v>
      </c>
      <c r="E163" t="s">
        <v>37</v>
      </c>
      <c r="F163" t="s">
        <v>37</v>
      </c>
      <c r="G163" t="s">
        <v>37</v>
      </c>
      <c r="H163" t="s">
        <v>37</v>
      </c>
      <c r="I163" t="s">
        <v>37</v>
      </c>
      <c r="J163" t="s">
        <v>37</v>
      </c>
      <c r="K163" t="s">
        <v>37</v>
      </c>
      <c r="L163" t="s">
        <v>37</v>
      </c>
      <c r="M163" t="s">
        <v>37</v>
      </c>
      <c r="N163" t="s">
        <v>37</v>
      </c>
      <c r="O163" t="str">
        <f>Yardi!K162</f>
        <v>54025-000</v>
      </c>
      <c r="P163" t="str">
        <f>Yardi!O162</f>
        <v>07/2026 Prepaid March Jonah Systems Amortization</v>
      </c>
      <c r="R163" t="s">
        <v>37</v>
      </c>
      <c r="S163" t="s">
        <v>37</v>
      </c>
      <c r="T163" t="s">
        <v>37</v>
      </c>
      <c r="U163" t="s">
        <v>37</v>
      </c>
      <c r="V163" s="410">
        <f>Yardi!J162</f>
        <v>0</v>
      </c>
    </row>
    <row r="164" spans="1:22" x14ac:dyDescent="0.25">
      <c r="A164" t="s">
        <v>37</v>
      </c>
      <c r="B164" t="s">
        <v>37</v>
      </c>
      <c r="C164" t="s">
        <v>37</v>
      </c>
      <c r="D164" t="s">
        <v>37</v>
      </c>
      <c r="E164" t="s">
        <v>37</v>
      </c>
      <c r="F164" t="s">
        <v>37</v>
      </c>
      <c r="G164" t="s">
        <v>37</v>
      </c>
      <c r="H164" t="s">
        <v>37</v>
      </c>
      <c r="I164" t="s">
        <v>37</v>
      </c>
      <c r="J164" t="s">
        <v>37</v>
      </c>
      <c r="K164" t="s">
        <v>37</v>
      </c>
      <c r="L164" t="s">
        <v>37</v>
      </c>
      <c r="M164" t="s">
        <v>37</v>
      </c>
      <c r="N164" t="s">
        <v>37</v>
      </c>
      <c r="O164">
        <f>Yardi!K163</f>
        <v>13085</v>
      </c>
      <c r="P164" t="str">
        <f>Yardi!O163</f>
        <v>07/2026 Prepaid March Jonah Systems Amortization</v>
      </c>
      <c r="R164" t="s">
        <v>37</v>
      </c>
      <c r="S164" t="s">
        <v>37</v>
      </c>
      <c r="T164" t="s">
        <v>37</v>
      </c>
      <c r="U164" t="s">
        <v>37</v>
      </c>
      <c r="V164" s="410">
        <f>Yardi!J163</f>
        <v>0</v>
      </c>
    </row>
    <row r="165" spans="1:22" x14ac:dyDescent="0.25">
      <c r="A165" t="s">
        <v>37</v>
      </c>
      <c r="B165" t="s">
        <v>37</v>
      </c>
      <c r="C165" t="s">
        <v>37</v>
      </c>
      <c r="D165" t="s">
        <v>37</v>
      </c>
      <c r="E165" t="s">
        <v>37</v>
      </c>
      <c r="F165" t="s">
        <v>37</v>
      </c>
      <c r="G165" t="s">
        <v>37</v>
      </c>
      <c r="H165" t="s">
        <v>37</v>
      </c>
      <c r="I165" t="s">
        <v>37</v>
      </c>
      <c r="J165" t="s">
        <v>37</v>
      </c>
      <c r="K165" t="s">
        <v>37</v>
      </c>
      <c r="L165" t="s">
        <v>37</v>
      </c>
      <c r="M165" t="s">
        <v>37</v>
      </c>
      <c r="N165" t="s">
        <v>37</v>
      </c>
      <c r="O165">
        <f>Yardi!K164</f>
        <v>0</v>
      </c>
      <c r="P165" t="str">
        <f>Yardi!O164</f>
        <v>07/2026 Prepaid Amortization</v>
      </c>
      <c r="R165" t="s">
        <v>37</v>
      </c>
      <c r="S165" t="s">
        <v>37</v>
      </c>
      <c r="T165" t="s">
        <v>37</v>
      </c>
      <c r="U165" t="s">
        <v>37</v>
      </c>
      <c r="V165" s="410">
        <f>Yardi!J164</f>
        <v>0</v>
      </c>
    </row>
    <row r="166" spans="1:22" x14ac:dyDescent="0.25">
      <c r="A166" t="s">
        <v>37</v>
      </c>
      <c r="B166" t="s">
        <v>37</v>
      </c>
      <c r="C166" t="s">
        <v>37</v>
      </c>
      <c r="D166" t="s">
        <v>37</v>
      </c>
      <c r="E166" t="s">
        <v>37</v>
      </c>
      <c r="F166" t="s">
        <v>37</v>
      </c>
      <c r="G166" t="s">
        <v>37</v>
      </c>
      <c r="H166" t="s">
        <v>37</v>
      </c>
      <c r="I166" t="s">
        <v>37</v>
      </c>
      <c r="J166" t="s">
        <v>37</v>
      </c>
      <c r="K166" t="s">
        <v>37</v>
      </c>
      <c r="L166" t="s">
        <v>37</v>
      </c>
      <c r="M166" t="s">
        <v>37</v>
      </c>
      <c r="N166" t="s">
        <v>37</v>
      </c>
      <c r="O166">
        <f>Yardi!K165</f>
        <v>13085</v>
      </c>
      <c r="P166" t="str">
        <f>Yardi!O165</f>
        <v>07/2026 Prepaid Amortization</v>
      </c>
      <c r="R166" t="s">
        <v>37</v>
      </c>
      <c r="S166" t="s">
        <v>37</v>
      </c>
      <c r="T166" t="s">
        <v>37</v>
      </c>
      <c r="U166" t="s">
        <v>37</v>
      </c>
      <c r="V166" s="410">
        <f>Yardi!J165</f>
        <v>0</v>
      </c>
    </row>
    <row r="1629" spans="7:7" x14ac:dyDescent="0.25">
      <c r="G1629" s="409"/>
    </row>
    <row r="1630" spans="7:7" x14ac:dyDescent="0.25">
      <c r="G1630" s="409"/>
    </row>
    <row r="1631" spans="7:7" x14ac:dyDescent="0.25">
      <c r="G1631" s="409"/>
    </row>
    <row r="1632" spans="7:7" x14ac:dyDescent="0.25">
      <c r="G1632" s="409"/>
    </row>
    <row r="1633" spans="7:7" x14ac:dyDescent="0.25">
      <c r="G1633" s="409"/>
    </row>
    <row r="1634" spans="7:7" x14ac:dyDescent="0.25">
      <c r="G1634" s="409"/>
    </row>
    <row r="1635" spans="7:7" x14ac:dyDescent="0.25">
      <c r="G1635" s="409"/>
    </row>
    <row r="1636" spans="7:7" x14ac:dyDescent="0.25">
      <c r="G1636" s="409"/>
    </row>
    <row r="1637" spans="7:7" x14ac:dyDescent="0.25">
      <c r="G1637" s="409"/>
    </row>
    <row r="1638" spans="7:7" x14ac:dyDescent="0.25">
      <c r="G1638" s="409"/>
    </row>
    <row r="1639" spans="7:7" x14ac:dyDescent="0.25">
      <c r="G1639" s="409"/>
    </row>
    <row r="1640" spans="7:7" x14ac:dyDescent="0.25">
      <c r="G1640" s="409"/>
    </row>
    <row r="1641" spans="7:7" x14ac:dyDescent="0.25">
      <c r="G1641" s="409"/>
    </row>
    <row r="1642" spans="7:7" x14ac:dyDescent="0.25">
      <c r="G1642" s="409"/>
    </row>
    <row r="1643" spans="7:7" x14ac:dyDescent="0.25">
      <c r="G1643" s="409"/>
    </row>
    <row r="1644" spans="7:7" x14ac:dyDescent="0.25">
      <c r="G1644" s="409"/>
    </row>
    <row r="1645" spans="7:7" x14ac:dyDescent="0.25">
      <c r="G1645" s="409"/>
    </row>
    <row r="1646" spans="7:7" x14ac:dyDescent="0.25">
      <c r="G1646" s="409"/>
    </row>
    <row r="1647" spans="7:7" x14ac:dyDescent="0.25">
      <c r="G1647" s="409"/>
    </row>
    <row r="1648" spans="7:7" x14ac:dyDescent="0.25">
      <c r="G1648" s="409"/>
    </row>
    <row r="1649" spans="7:7" x14ac:dyDescent="0.25">
      <c r="G1649" s="409"/>
    </row>
    <row r="1650" spans="7:7" x14ac:dyDescent="0.25">
      <c r="G1650" s="409"/>
    </row>
    <row r="1651" spans="7:7" x14ac:dyDescent="0.25">
      <c r="G1651" s="409"/>
    </row>
    <row r="1652" spans="7:7" x14ac:dyDescent="0.25">
      <c r="G1652" s="409"/>
    </row>
    <row r="1653" spans="7:7" x14ac:dyDescent="0.25">
      <c r="G1653" s="409"/>
    </row>
    <row r="1654" spans="7:7" x14ac:dyDescent="0.25">
      <c r="G1654" s="409"/>
    </row>
    <row r="1655" spans="7:7" x14ac:dyDescent="0.25">
      <c r="G1655" s="409"/>
    </row>
    <row r="1656" spans="7:7" x14ac:dyDescent="0.25">
      <c r="G1656" s="409"/>
    </row>
    <row r="1657" spans="7:7" x14ac:dyDescent="0.25">
      <c r="G1657" s="409"/>
    </row>
    <row r="1658" spans="7:7" x14ac:dyDescent="0.25">
      <c r="G1658" s="409"/>
    </row>
    <row r="1659" spans="7:7" x14ac:dyDescent="0.25">
      <c r="G1659" s="409"/>
    </row>
    <row r="1660" spans="7:7" x14ac:dyDescent="0.25">
      <c r="G1660" s="409"/>
    </row>
    <row r="1661" spans="7:7" x14ac:dyDescent="0.25">
      <c r="G1661" s="409"/>
    </row>
    <row r="1662" spans="7:7" x14ac:dyDescent="0.25">
      <c r="G1662" s="409"/>
    </row>
    <row r="1663" spans="7:7" x14ac:dyDescent="0.25">
      <c r="G1663" s="409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28F77-57A0-445A-BA99-755920E3EFCB}">
  <sheetPr codeName="Sheet18"/>
  <dimension ref="A2:AP168"/>
  <sheetViews>
    <sheetView workbookViewId="0">
      <selection sqref="A1:BY167"/>
    </sheetView>
  </sheetViews>
  <sheetFormatPr defaultRowHeight="15" x14ac:dyDescent="0.25"/>
  <cols>
    <col min="5" max="5" width="29.5703125" customWidth="1"/>
    <col min="6" max="6" width="29.85546875" customWidth="1"/>
    <col min="12" max="12" width="44.42578125" customWidth="1"/>
  </cols>
  <sheetData>
    <row r="2" spans="1:42" x14ac:dyDescent="0.25">
      <c r="A2" t="s">
        <v>1904</v>
      </c>
      <c r="B2" t="s">
        <v>1905</v>
      </c>
      <c r="C2" t="s">
        <v>1906</v>
      </c>
      <c r="D2" t="s">
        <v>1907</v>
      </c>
      <c r="E2" t="s">
        <v>1908</v>
      </c>
      <c r="F2" t="s">
        <v>1909</v>
      </c>
      <c r="G2" t="s">
        <v>1910</v>
      </c>
      <c r="H2" t="s">
        <v>1911</v>
      </c>
      <c r="I2" t="s">
        <v>1912</v>
      </c>
      <c r="J2" t="s">
        <v>1913</v>
      </c>
      <c r="K2" t="s">
        <v>1914</v>
      </c>
      <c r="L2" t="s">
        <v>1915</v>
      </c>
      <c r="M2" t="s">
        <v>1916</v>
      </c>
      <c r="N2" t="s">
        <v>1917</v>
      </c>
      <c r="O2" t="s">
        <v>1918</v>
      </c>
      <c r="P2" t="s">
        <v>1919</v>
      </c>
      <c r="Q2" t="s">
        <v>1920</v>
      </c>
      <c r="R2" t="s">
        <v>1921</v>
      </c>
      <c r="S2" t="s">
        <v>1922</v>
      </c>
      <c r="T2" t="s">
        <v>1923</v>
      </c>
      <c r="U2" t="s">
        <v>1924</v>
      </c>
      <c r="V2" t="s">
        <v>1925</v>
      </c>
      <c r="W2" t="s">
        <v>1926</v>
      </c>
      <c r="X2" t="s">
        <v>1927</v>
      </c>
      <c r="Y2" t="s">
        <v>1928</v>
      </c>
      <c r="Z2" t="s">
        <v>1929</v>
      </c>
      <c r="AA2" t="s">
        <v>1930</v>
      </c>
      <c r="AB2" t="s">
        <v>1931</v>
      </c>
      <c r="AC2" t="s">
        <v>1932</v>
      </c>
      <c r="AD2" t="s">
        <v>1933</v>
      </c>
      <c r="AE2" t="s">
        <v>1934</v>
      </c>
      <c r="AF2" t="s">
        <v>1935</v>
      </c>
      <c r="AG2" t="s">
        <v>1936</v>
      </c>
      <c r="AH2" t="s">
        <v>1937</v>
      </c>
      <c r="AI2" t="s">
        <v>1938</v>
      </c>
      <c r="AJ2" t="s">
        <v>1939</v>
      </c>
      <c r="AK2" t="s">
        <v>1940</v>
      </c>
      <c r="AL2" t="s">
        <v>1941</v>
      </c>
      <c r="AM2" t="s">
        <v>1942</v>
      </c>
      <c r="AN2" t="s">
        <v>1943</v>
      </c>
      <c r="AO2" t="s">
        <v>1944</v>
      </c>
      <c r="AP2" t="s">
        <v>1945</v>
      </c>
    </row>
    <row r="3" spans="1:42" x14ac:dyDescent="0.25">
      <c r="A3" t="s">
        <v>1946</v>
      </c>
      <c r="B3" t="s">
        <v>1947</v>
      </c>
      <c r="C3" t="s">
        <v>1948</v>
      </c>
      <c r="D3" t="s">
        <v>1949</v>
      </c>
      <c r="E3" t="s">
        <v>1950</v>
      </c>
      <c r="F3" t="s">
        <v>1951</v>
      </c>
      <c r="G3" t="s">
        <v>1952</v>
      </c>
      <c r="H3" t="s">
        <v>1953</v>
      </c>
      <c r="I3" t="s">
        <v>1954</v>
      </c>
      <c r="J3" t="s">
        <v>1955</v>
      </c>
      <c r="K3" t="s">
        <v>1956</v>
      </c>
      <c r="L3" t="s">
        <v>1957</v>
      </c>
      <c r="M3" t="s">
        <v>1958</v>
      </c>
      <c r="N3" t="s">
        <v>1959</v>
      </c>
      <c r="O3" t="s">
        <v>1960</v>
      </c>
      <c r="P3" t="s">
        <v>1961</v>
      </c>
      <c r="Q3" t="s">
        <v>1962</v>
      </c>
      <c r="R3" t="s">
        <v>1963</v>
      </c>
      <c r="S3" t="s">
        <v>1964</v>
      </c>
      <c r="T3" t="s">
        <v>1965</v>
      </c>
      <c r="U3" t="s">
        <v>1966</v>
      </c>
      <c r="V3" t="s">
        <v>1967</v>
      </c>
      <c r="W3" t="s">
        <v>1968</v>
      </c>
      <c r="X3" t="s">
        <v>1969</v>
      </c>
      <c r="Y3" t="s">
        <v>1970</v>
      </c>
      <c r="Z3" t="s">
        <v>1971</v>
      </c>
      <c r="AA3" t="s">
        <v>1972</v>
      </c>
      <c r="AB3" t="s">
        <v>1973</v>
      </c>
      <c r="AC3" t="s">
        <v>1974</v>
      </c>
      <c r="AD3" t="s">
        <v>1975</v>
      </c>
      <c r="AE3" t="s">
        <v>1976</v>
      </c>
      <c r="AF3" t="s">
        <v>1977</v>
      </c>
      <c r="AG3" t="s">
        <v>1978</v>
      </c>
      <c r="AH3" t="s">
        <v>1977</v>
      </c>
      <c r="AI3" t="s">
        <v>1978</v>
      </c>
      <c r="AJ3" t="s">
        <v>1977</v>
      </c>
      <c r="AK3" t="s">
        <v>1978</v>
      </c>
      <c r="AL3" t="s">
        <v>1977</v>
      </c>
      <c r="AM3" t="s">
        <v>1978</v>
      </c>
      <c r="AN3" t="s">
        <v>1977</v>
      </c>
      <c r="AO3" t="s">
        <v>1978</v>
      </c>
      <c r="AP3" t="s">
        <v>1979</v>
      </c>
    </row>
    <row r="4" spans="1:42" x14ac:dyDescent="0.25">
      <c r="A4" t="str">
        <f t="shared" ref="A4:A35" si="0">IF(M4=0,"#","")</f>
        <v>#</v>
      </c>
      <c r="B4" t="s">
        <v>1980</v>
      </c>
      <c r="C4" s="260">
        <f>Yardi!E2</f>
        <v>46204</v>
      </c>
      <c r="E4" t="str">
        <f>Yardi!G2</f>
        <v>July Recurring Entries</v>
      </c>
      <c r="F4" t="str">
        <f>Yardi!H2</f>
        <v>Balance Sheet Entries</v>
      </c>
      <c r="G4">
        <f>IF(A4="#",0,1)</f>
        <v>0</v>
      </c>
      <c r="H4" t="str">
        <f>Yardi!K2</f>
        <v>63010-000</v>
      </c>
      <c r="I4" t="str">
        <f>Yardi!I2</f>
        <v>mn610wes</v>
      </c>
      <c r="L4" t="str">
        <f>Yardi!O2</f>
        <v>07/2026 Prepaid Amortization</v>
      </c>
      <c r="M4" s="410">
        <f>Yardi!J2</f>
        <v>0</v>
      </c>
    </row>
    <row r="5" spans="1:42" x14ac:dyDescent="0.25">
      <c r="A5" t="str">
        <f t="shared" si="0"/>
        <v>#</v>
      </c>
      <c r="B5" t="s">
        <v>1980</v>
      </c>
      <c r="C5" s="260">
        <f>Yardi!E3</f>
        <v>46204</v>
      </c>
      <c r="E5" t="str">
        <f>Yardi!G3</f>
        <v>July Recurring Entries</v>
      </c>
      <c r="F5" t="str">
        <f>Yardi!H3</f>
        <v>Balance Sheet Entries</v>
      </c>
      <c r="G5">
        <f t="shared" ref="G5:G36" si="1">IF(A5="#",G4,G4+1)</f>
        <v>0</v>
      </c>
      <c r="H5" t="str">
        <f>Yardi!K3</f>
        <v>13050-000</v>
      </c>
      <c r="I5" t="str">
        <f>Yardi!I3</f>
        <v>mn610wes</v>
      </c>
      <c r="L5" t="str">
        <f>Yardi!O3</f>
        <v>07/2026 Prepaid Amortization</v>
      </c>
      <c r="M5" s="410">
        <f>Yardi!J3</f>
        <v>0</v>
      </c>
    </row>
    <row r="6" spans="1:42" x14ac:dyDescent="0.25">
      <c r="A6" t="str">
        <f t="shared" si="0"/>
        <v>#</v>
      </c>
      <c r="B6" t="s">
        <v>1980</v>
      </c>
      <c r="C6" s="260">
        <f>Yardi!E4</f>
        <v>46204</v>
      </c>
      <c r="E6" t="str">
        <f>Yardi!G4</f>
        <v>July Recurring Entries</v>
      </c>
      <c r="F6" t="str">
        <f>Yardi!H4</f>
        <v>Balance Sheet Entries</v>
      </c>
      <c r="G6">
        <f t="shared" si="1"/>
        <v>0</v>
      </c>
      <c r="H6">
        <f>Yardi!K4</f>
        <v>0</v>
      </c>
      <c r="I6" t="str">
        <f>Yardi!I4</f>
        <v>mn610wes</v>
      </c>
      <c r="L6" t="str">
        <f>Yardi!O4</f>
        <v>07/2026 Prepaid Amortization</v>
      </c>
      <c r="M6" s="410">
        <f>Yardi!J4</f>
        <v>0</v>
      </c>
    </row>
    <row r="7" spans="1:42" x14ac:dyDescent="0.25">
      <c r="A7" t="str">
        <f t="shared" si="0"/>
        <v>#</v>
      </c>
      <c r="B7" t="s">
        <v>1980</v>
      </c>
      <c r="C7" s="260">
        <f>Yardi!E5</f>
        <v>46204</v>
      </c>
      <c r="E7" t="str">
        <f>Yardi!G5</f>
        <v>July Recurring Entries</v>
      </c>
      <c r="F7" t="str">
        <f>Yardi!H5</f>
        <v>Balance Sheet Entries</v>
      </c>
      <c r="G7">
        <f t="shared" si="1"/>
        <v>0</v>
      </c>
      <c r="H7" t="str">
        <f>Yardi!K5</f>
        <v>13050-000</v>
      </c>
      <c r="I7" t="str">
        <f>Yardi!I5</f>
        <v>mn610wes</v>
      </c>
      <c r="L7" t="str">
        <f>Yardi!O5</f>
        <v>07/2026 Prepaid Amortization</v>
      </c>
      <c r="M7" s="410">
        <f>Yardi!J5</f>
        <v>0</v>
      </c>
    </row>
    <row r="8" spans="1:42" x14ac:dyDescent="0.25">
      <c r="A8" t="str">
        <f t="shared" si="0"/>
        <v>#</v>
      </c>
      <c r="B8" t="s">
        <v>1980</v>
      </c>
      <c r="C8" s="260">
        <f>Yardi!E6</f>
        <v>46204</v>
      </c>
      <c r="E8" t="str">
        <f>Yardi!G6</f>
        <v>July Recurring Entries</v>
      </c>
      <c r="F8" t="str">
        <f>Yardi!H6</f>
        <v>Balance Sheet Entries</v>
      </c>
      <c r="G8">
        <f t="shared" si="1"/>
        <v>0</v>
      </c>
      <c r="H8">
        <f>Yardi!K6</f>
        <v>0</v>
      </c>
      <c r="I8" t="str">
        <f>Yardi!I6</f>
        <v>mn610wes</v>
      </c>
      <c r="L8" t="str">
        <f>Yardi!O6</f>
        <v>07/2026 Prepaid Amortization</v>
      </c>
      <c r="M8" s="410">
        <f>Yardi!J6</f>
        <v>0</v>
      </c>
    </row>
    <row r="9" spans="1:42" x14ac:dyDescent="0.25">
      <c r="A9" t="str">
        <f t="shared" si="0"/>
        <v>#</v>
      </c>
      <c r="B9" t="s">
        <v>1980</v>
      </c>
      <c r="C9" s="260">
        <f>Yardi!E7</f>
        <v>46204</v>
      </c>
      <c r="E9" t="str">
        <f>Yardi!G7</f>
        <v>July Recurring Entries</v>
      </c>
      <c r="F9" t="str">
        <f>Yardi!H7</f>
        <v>Balance Sheet Entries</v>
      </c>
      <c r="G9">
        <f t="shared" si="1"/>
        <v>0</v>
      </c>
      <c r="H9" t="str">
        <f>Yardi!K7</f>
        <v>13050-000</v>
      </c>
      <c r="I9" t="str">
        <f>Yardi!I7</f>
        <v>mn610wes</v>
      </c>
      <c r="L9" t="str">
        <f>Yardi!O7</f>
        <v>07/2026 Prepaid Amortization</v>
      </c>
      <c r="M9" s="410">
        <f>Yardi!J7</f>
        <v>0</v>
      </c>
    </row>
    <row r="10" spans="1:42" x14ac:dyDescent="0.25">
      <c r="A10" t="str">
        <f t="shared" si="0"/>
        <v>#</v>
      </c>
      <c r="B10" t="s">
        <v>1980</v>
      </c>
      <c r="C10" s="260">
        <f>Yardi!E8</f>
        <v>46204</v>
      </c>
      <c r="E10" t="str">
        <f>Yardi!G8</f>
        <v>July Recurring Entries</v>
      </c>
      <c r="F10" t="str">
        <f>Yardi!H8</f>
        <v>Balance Sheet Entries</v>
      </c>
      <c r="G10">
        <f t="shared" si="1"/>
        <v>0</v>
      </c>
      <c r="H10">
        <f>Yardi!K8</f>
        <v>0</v>
      </c>
      <c r="I10" t="str">
        <f>Yardi!I8</f>
        <v>mn610wes</v>
      </c>
      <c r="L10" t="str">
        <f>Yardi!O8</f>
        <v>07/2026 Prepaid Amortization</v>
      </c>
      <c r="M10" s="410">
        <f>Yardi!J8</f>
        <v>0</v>
      </c>
    </row>
    <row r="11" spans="1:42" x14ac:dyDescent="0.25">
      <c r="A11" t="str">
        <f t="shared" si="0"/>
        <v>#</v>
      </c>
      <c r="B11" t="s">
        <v>1980</v>
      </c>
      <c r="C11" s="260">
        <f>Yardi!E9</f>
        <v>46204</v>
      </c>
      <c r="E11" t="str">
        <f>Yardi!G9</f>
        <v>July Recurring Entries</v>
      </c>
      <c r="F11" t="str">
        <f>Yardi!H9</f>
        <v>Balance Sheet Entries</v>
      </c>
      <c r="G11">
        <f t="shared" si="1"/>
        <v>0</v>
      </c>
      <c r="H11" t="str">
        <f>Yardi!K9</f>
        <v>13050-000</v>
      </c>
      <c r="I11" t="str">
        <f>Yardi!I9</f>
        <v>mn610wes</v>
      </c>
      <c r="L11" t="str">
        <f>Yardi!O9</f>
        <v>07/2026 Prepaid Amortization</v>
      </c>
      <c r="M11" s="410">
        <f>Yardi!J9</f>
        <v>0</v>
      </c>
    </row>
    <row r="12" spans="1:42" x14ac:dyDescent="0.25">
      <c r="A12" t="str">
        <f t="shared" si="0"/>
        <v>#</v>
      </c>
      <c r="B12" t="s">
        <v>1980</v>
      </c>
      <c r="C12" s="260">
        <f>Yardi!E10</f>
        <v>46204</v>
      </c>
      <c r="E12" t="str">
        <f>Yardi!G10</f>
        <v>July Recurring Entries</v>
      </c>
      <c r="F12" t="str">
        <f>Yardi!H10</f>
        <v>Balance Sheet Entries</v>
      </c>
      <c r="G12">
        <f t="shared" si="1"/>
        <v>0</v>
      </c>
      <c r="H12">
        <f>Yardi!K10</f>
        <v>0</v>
      </c>
      <c r="I12" t="str">
        <f>Yardi!I10</f>
        <v>mn610wes</v>
      </c>
      <c r="L12" t="str">
        <f>Yardi!O10</f>
        <v>07/2026 Prepaid Amortization</v>
      </c>
      <c r="M12" s="410">
        <f>Yardi!J10</f>
        <v>0</v>
      </c>
    </row>
    <row r="13" spans="1:42" x14ac:dyDescent="0.25">
      <c r="A13" t="str">
        <f t="shared" si="0"/>
        <v>#</v>
      </c>
      <c r="B13" t="s">
        <v>1980</v>
      </c>
      <c r="C13" s="260">
        <f>Yardi!E11</f>
        <v>46204</v>
      </c>
      <c r="E13" t="str">
        <f>Yardi!G11</f>
        <v>July Recurring Entries</v>
      </c>
      <c r="F13" t="str">
        <f>Yardi!H11</f>
        <v>Balance Sheet Entries</v>
      </c>
      <c r="G13">
        <f t="shared" si="1"/>
        <v>0</v>
      </c>
      <c r="H13" t="str">
        <f>Yardi!K11</f>
        <v>13050-000</v>
      </c>
      <c r="I13" t="str">
        <f>Yardi!I11</f>
        <v>mn610wes</v>
      </c>
      <c r="L13" t="str">
        <f>Yardi!O11</f>
        <v>07/2026 Prepaid Amortization</v>
      </c>
      <c r="M13" s="410">
        <f>Yardi!J11</f>
        <v>0</v>
      </c>
    </row>
    <row r="14" spans="1:42" x14ac:dyDescent="0.25">
      <c r="A14" t="str">
        <f t="shared" si="0"/>
        <v>#</v>
      </c>
      <c r="B14" t="s">
        <v>1980</v>
      </c>
      <c r="C14" s="260">
        <f>Yardi!E12</f>
        <v>46204</v>
      </c>
      <c r="E14" t="str">
        <f>Yardi!G12</f>
        <v>July Recurring Entries</v>
      </c>
      <c r="F14" t="str">
        <f>Yardi!H12</f>
        <v>Balance Sheet Entries</v>
      </c>
      <c r="G14">
        <f t="shared" si="1"/>
        <v>0</v>
      </c>
      <c r="H14">
        <f>Yardi!K12</f>
        <v>0</v>
      </c>
      <c r="I14" t="str">
        <f>Yardi!I12</f>
        <v>mn610wes</v>
      </c>
      <c r="L14" t="str">
        <f>Yardi!O12</f>
        <v>07/2026 Prepaid Amortization</v>
      </c>
      <c r="M14" s="410">
        <f>Yardi!J12</f>
        <v>0</v>
      </c>
    </row>
    <row r="15" spans="1:42" x14ac:dyDescent="0.25">
      <c r="A15" t="str">
        <f t="shared" si="0"/>
        <v>#</v>
      </c>
      <c r="B15" t="s">
        <v>1980</v>
      </c>
      <c r="C15" s="260">
        <f>Yardi!E13</f>
        <v>46204</v>
      </c>
      <c r="E15" t="str">
        <f>Yardi!G13</f>
        <v>July Recurring Entries</v>
      </c>
      <c r="F15" t="str">
        <f>Yardi!H13</f>
        <v>Balance Sheet Entries</v>
      </c>
      <c r="G15">
        <f t="shared" si="1"/>
        <v>0</v>
      </c>
      <c r="H15" t="str">
        <f>Yardi!K13</f>
        <v>13050-000</v>
      </c>
      <c r="I15" t="str">
        <f>Yardi!I13</f>
        <v>mn610wes</v>
      </c>
      <c r="L15" t="str">
        <f>Yardi!O13</f>
        <v>07/2026 Prepaid Amortization</v>
      </c>
      <c r="M15" s="410">
        <f>Yardi!J13</f>
        <v>0</v>
      </c>
    </row>
    <row r="16" spans="1:42" x14ac:dyDescent="0.25">
      <c r="A16" t="str">
        <f t="shared" si="0"/>
        <v>#</v>
      </c>
      <c r="B16" t="s">
        <v>1980</v>
      </c>
      <c r="C16" s="260">
        <f>Yardi!E14</f>
        <v>46204</v>
      </c>
      <c r="E16" t="str">
        <f>Yardi!G14</f>
        <v>July Recurring Entries</v>
      </c>
      <c r="F16" t="str">
        <f>Yardi!H14</f>
        <v>Balance Sheet Entries</v>
      </c>
      <c r="G16">
        <f t="shared" si="1"/>
        <v>0</v>
      </c>
      <c r="H16">
        <f>Yardi!K14</f>
        <v>0</v>
      </c>
      <c r="I16" t="str">
        <f>Yardi!I14</f>
        <v>mn610wes</v>
      </c>
      <c r="L16" t="str">
        <f>Yardi!O14</f>
        <v>07/2026 Prepaid Amortization</v>
      </c>
      <c r="M16" s="410">
        <f>Yardi!J14</f>
        <v>0</v>
      </c>
    </row>
    <row r="17" spans="1:13" x14ac:dyDescent="0.25">
      <c r="A17" t="str">
        <f t="shared" si="0"/>
        <v>#</v>
      </c>
      <c r="B17" t="s">
        <v>1980</v>
      </c>
      <c r="C17" s="260">
        <f>Yardi!E15</f>
        <v>46204</v>
      </c>
      <c r="E17" t="str">
        <f>Yardi!G15</f>
        <v>July Recurring Entries</v>
      </c>
      <c r="F17" t="str">
        <f>Yardi!H15</f>
        <v>Balance Sheet Entries</v>
      </c>
      <c r="G17">
        <f t="shared" si="1"/>
        <v>0</v>
      </c>
      <c r="H17" t="str">
        <f>Yardi!K15</f>
        <v>13050-000</v>
      </c>
      <c r="I17" t="str">
        <f>Yardi!I15</f>
        <v>mn610wes</v>
      </c>
      <c r="L17" t="str">
        <f>Yardi!O15</f>
        <v>07/2026 Prepaid Amortization</v>
      </c>
      <c r="M17" s="410">
        <f>Yardi!J15</f>
        <v>0</v>
      </c>
    </row>
    <row r="18" spans="1:13" x14ac:dyDescent="0.25">
      <c r="A18" t="str">
        <f t="shared" si="0"/>
        <v>#</v>
      </c>
      <c r="B18" t="s">
        <v>1980</v>
      </c>
      <c r="C18" s="260">
        <f>Yardi!E16</f>
        <v>46204</v>
      </c>
      <c r="E18" t="str">
        <f>Yardi!G16</f>
        <v>July Recurring Entries</v>
      </c>
      <c r="F18" t="str">
        <f>Yardi!H16</f>
        <v>Balance Sheet Entries</v>
      </c>
      <c r="G18">
        <f t="shared" si="1"/>
        <v>0</v>
      </c>
      <c r="H18">
        <f>Yardi!K16</f>
        <v>0</v>
      </c>
      <c r="I18" t="str">
        <f>Yardi!I16</f>
        <v>mn610wes</v>
      </c>
      <c r="L18" t="str">
        <f>Yardi!O16</f>
        <v>07/2026 Prepaid Amortization</v>
      </c>
      <c r="M18" s="410">
        <f>Yardi!J16</f>
        <v>0</v>
      </c>
    </row>
    <row r="19" spans="1:13" x14ac:dyDescent="0.25">
      <c r="A19" t="str">
        <f t="shared" si="0"/>
        <v>#</v>
      </c>
      <c r="B19" t="s">
        <v>1980</v>
      </c>
      <c r="C19" s="260">
        <f>Yardi!E17</f>
        <v>46204</v>
      </c>
      <c r="E19" t="str">
        <f>Yardi!G17</f>
        <v>July Recurring Entries</v>
      </c>
      <c r="F19" t="str">
        <f>Yardi!H17</f>
        <v>Balance Sheet Entries</v>
      </c>
      <c r="G19">
        <f t="shared" si="1"/>
        <v>0</v>
      </c>
      <c r="H19" t="str">
        <f>Yardi!K17</f>
        <v>13050-000</v>
      </c>
      <c r="I19" t="str">
        <f>Yardi!I17</f>
        <v>mn610wes</v>
      </c>
      <c r="L19" t="str">
        <f>Yardi!O17</f>
        <v>07/2026 Prepaid Amortization</v>
      </c>
      <c r="M19" s="410">
        <f>Yardi!J17</f>
        <v>0</v>
      </c>
    </row>
    <row r="20" spans="1:13" x14ac:dyDescent="0.25">
      <c r="A20" t="str">
        <f t="shared" si="0"/>
        <v>#</v>
      </c>
      <c r="B20" t="s">
        <v>1980</v>
      </c>
      <c r="C20" s="260">
        <f>Yardi!E18</f>
        <v>46204</v>
      </c>
      <c r="E20" t="str">
        <f>Yardi!G18</f>
        <v>July Recurring Entries</v>
      </c>
      <c r="F20" t="str">
        <f>Yardi!H18</f>
        <v>Balance Sheet Entries</v>
      </c>
      <c r="G20">
        <f t="shared" si="1"/>
        <v>0</v>
      </c>
      <c r="H20">
        <f>Yardi!K18</f>
        <v>0</v>
      </c>
      <c r="I20" t="str">
        <f>Yardi!I18</f>
        <v>mn610wes</v>
      </c>
      <c r="L20" t="str">
        <f>Yardi!O18</f>
        <v>07/2026 Prepaid Amortization</v>
      </c>
      <c r="M20" s="410">
        <f>Yardi!J18</f>
        <v>0</v>
      </c>
    </row>
    <row r="21" spans="1:13" x14ac:dyDescent="0.25">
      <c r="A21" t="str">
        <f t="shared" si="0"/>
        <v>#</v>
      </c>
      <c r="B21" t="s">
        <v>1980</v>
      </c>
      <c r="C21" s="260">
        <f>Yardi!E19</f>
        <v>46204</v>
      </c>
      <c r="E21" t="str">
        <f>Yardi!G19</f>
        <v>July Recurring Entries</v>
      </c>
      <c r="F21" t="str">
        <f>Yardi!H19</f>
        <v>Balance Sheet Entries</v>
      </c>
      <c r="G21">
        <f t="shared" si="1"/>
        <v>0</v>
      </c>
      <c r="H21" t="str">
        <f>Yardi!K19</f>
        <v>13050-000</v>
      </c>
      <c r="I21" t="str">
        <f>Yardi!I19</f>
        <v>mn610wes</v>
      </c>
      <c r="L21" t="str">
        <f>Yardi!O19</f>
        <v>07/2026 Prepaid Amortization</v>
      </c>
      <c r="M21" s="410">
        <f>Yardi!J19</f>
        <v>0</v>
      </c>
    </row>
    <row r="22" spans="1:13" x14ac:dyDescent="0.25">
      <c r="A22" t="str">
        <f t="shared" si="0"/>
        <v>#</v>
      </c>
      <c r="B22" t="s">
        <v>1980</v>
      </c>
      <c r="C22" s="260">
        <f>Yardi!E20</f>
        <v>46204</v>
      </c>
      <c r="E22" t="str">
        <f>Yardi!G20</f>
        <v>July Recurring Entries</v>
      </c>
      <c r="F22" t="str">
        <f>Yardi!H20</f>
        <v>Balance Sheet Entries</v>
      </c>
      <c r="G22">
        <f t="shared" si="1"/>
        <v>0</v>
      </c>
      <c r="H22">
        <f>Yardi!K20</f>
        <v>0</v>
      </c>
      <c r="I22" t="str">
        <f>Yardi!I20</f>
        <v>mn610wes</v>
      </c>
      <c r="L22" t="str">
        <f>Yardi!O20</f>
        <v>07/2026 Prepaid Amortization</v>
      </c>
      <c r="M22" s="410">
        <f>Yardi!J20</f>
        <v>0</v>
      </c>
    </row>
    <row r="23" spans="1:13" x14ac:dyDescent="0.25">
      <c r="A23" t="str">
        <f t="shared" si="0"/>
        <v>#</v>
      </c>
      <c r="B23" t="s">
        <v>1980</v>
      </c>
      <c r="C23" s="260">
        <f>Yardi!E21</f>
        <v>46204</v>
      </c>
      <c r="E23" t="str">
        <f>Yardi!G21</f>
        <v>July Recurring Entries</v>
      </c>
      <c r="F23" t="str">
        <f>Yardi!H21</f>
        <v>Balance Sheet Entries</v>
      </c>
      <c r="G23">
        <f t="shared" si="1"/>
        <v>0</v>
      </c>
      <c r="H23" t="str">
        <f>Yardi!K21</f>
        <v>13050-000</v>
      </c>
      <c r="I23" t="str">
        <f>Yardi!I21</f>
        <v>mn610wes</v>
      </c>
      <c r="L23" t="str">
        <f>Yardi!O21</f>
        <v>07/2026 Prepaid Amortization</v>
      </c>
      <c r="M23" s="410">
        <f>Yardi!J21</f>
        <v>0</v>
      </c>
    </row>
    <row r="24" spans="1:13" x14ac:dyDescent="0.25">
      <c r="A24" t="str">
        <f t="shared" si="0"/>
        <v>#</v>
      </c>
      <c r="B24" t="s">
        <v>1980</v>
      </c>
      <c r="C24" s="260">
        <f>Yardi!E22</f>
        <v>46204</v>
      </c>
      <c r="E24" t="str">
        <f>Yardi!G22</f>
        <v>July Recurring Entries</v>
      </c>
      <c r="F24" t="str">
        <f>Yardi!H22</f>
        <v>Balance Sheet Entries</v>
      </c>
      <c r="G24">
        <f t="shared" si="1"/>
        <v>0</v>
      </c>
      <c r="H24" t="str">
        <f>Yardi!K22</f>
        <v>63010-000</v>
      </c>
      <c r="I24" t="str">
        <f>Yardi!I22</f>
        <v>mn610wes</v>
      </c>
      <c r="L24" t="str">
        <f>Yardi!O22</f>
        <v>07/2026 Accrual</v>
      </c>
      <c r="M24" s="410">
        <f>Yardi!J22</f>
        <v>0</v>
      </c>
    </row>
    <row r="25" spans="1:13" x14ac:dyDescent="0.25">
      <c r="A25" t="str">
        <f t="shared" si="0"/>
        <v>#</v>
      </c>
      <c r="B25" t="s">
        <v>1980</v>
      </c>
      <c r="C25" s="260">
        <f>Yardi!E23</f>
        <v>46204</v>
      </c>
      <c r="E25" t="str">
        <f>Yardi!G23</f>
        <v>July Recurring Entries</v>
      </c>
      <c r="F25" t="str">
        <f>Yardi!H23</f>
        <v>Balance Sheet Entries</v>
      </c>
      <c r="G25">
        <f t="shared" si="1"/>
        <v>0</v>
      </c>
      <c r="H25" t="str">
        <f>Yardi!K23</f>
        <v>22025-000</v>
      </c>
      <c r="I25" t="str">
        <f>Yardi!I23</f>
        <v>mn610wes</v>
      </c>
      <c r="L25" t="str">
        <f>Yardi!O23</f>
        <v>07/2026 Accrual</v>
      </c>
      <c r="M25" s="410">
        <f>Yardi!J23</f>
        <v>0</v>
      </c>
    </row>
    <row r="26" spans="1:13" x14ac:dyDescent="0.25">
      <c r="A26" t="str">
        <f t="shared" si="0"/>
        <v>#</v>
      </c>
      <c r="B26" t="s">
        <v>1980</v>
      </c>
      <c r="C26" s="260">
        <f>Yardi!E24</f>
        <v>46204</v>
      </c>
      <c r="E26" t="str">
        <f>Yardi!G24</f>
        <v>July Recurring Entries</v>
      </c>
      <c r="F26" t="str">
        <f>Yardi!H24</f>
        <v>Balance Sheet Entries</v>
      </c>
      <c r="G26">
        <f t="shared" si="1"/>
        <v>0</v>
      </c>
      <c r="H26">
        <f>Yardi!K24</f>
        <v>0</v>
      </c>
      <c r="I26" t="str">
        <f>Yardi!I24</f>
        <v>mn610wes</v>
      </c>
      <c r="L26" t="str">
        <f>Yardi!O24</f>
        <v>07/2026 Accrual</v>
      </c>
      <c r="M26" s="410">
        <f>Yardi!J24</f>
        <v>0</v>
      </c>
    </row>
    <row r="27" spans="1:13" x14ac:dyDescent="0.25">
      <c r="A27" t="str">
        <f t="shared" si="0"/>
        <v>#</v>
      </c>
      <c r="B27" t="s">
        <v>1980</v>
      </c>
      <c r="C27" s="260">
        <f>Yardi!E25</f>
        <v>46204</v>
      </c>
      <c r="E27" t="str">
        <f>Yardi!G25</f>
        <v>July Recurring Entries</v>
      </c>
      <c r="F27" t="str">
        <f>Yardi!H25</f>
        <v>Balance Sheet Entries</v>
      </c>
      <c r="G27">
        <f t="shared" si="1"/>
        <v>0</v>
      </c>
      <c r="H27" t="str">
        <f>Yardi!K25</f>
        <v>22025-000</v>
      </c>
      <c r="I27" t="str">
        <f>Yardi!I25</f>
        <v>mn610wes</v>
      </c>
      <c r="L27" t="str">
        <f>Yardi!O25</f>
        <v>07/2026 Accrual</v>
      </c>
      <c r="M27" s="410">
        <f>Yardi!J25</f>
        <v>0</v>
      </c>
    </row>
    <row r="28" spans="1:13" x14ac:dyDescent="0.25">
      <c r="A28" t="str">
        <f t="shared" si="0"/>
        <v>#</v>
      </c>
      <c r="B28" t="s">
        <v>1980</v>
      </c>
      <c r="C28" s="260">
        <f>Yardi!E26</f>
        <v>46204</v>
      </c>
      <c r="E28" t="str">
        <f>Yardi!G26</f>
        <v>July Recurring Entries</v>
      </c>
      <c r="F28" t="str">
        <f>Yardi!H26</f>
        <v>Balance Sheet Entries</v>
      </c>
      <c r="G28">
        <f t="shared" si="1"/>
        <v>0</v>
      </c>
      <c r="H28">
        <f>Yardi!K26</f>
        <v>0</v>
      </c>
      <c r="I28" t="str">
        <f>Yardi!I26</f>
        <v>mn610wes</v>
      </c>
      <c r="L28" t="str">
        <f>Yardi!O26</f>
        <v>07/2026 Accrual</v>
      </c>
      <c r="M28" s="410">
        <f>Yardi!J26</f>
        <v>0</v>
      </c>
    </row>
    <row r="29" spans="1:13" x14ac:dyDescent="0.25">
      <c r="A29" t="str">
        <f t="shared" si="0"/>
        <v>#</v>
      </c>
      <c r="B29" t="s">
        <v>1980</v>
      </c>
      <c r="C29" s="260">
        <f>Yardi!E27</f>
        <v>46204</v>
      </c>
      <c r="E29" t="str">
        <f>Yardi!G27</f>
        <v>July Recurring Entries</v>
      </c>
      <c r="F29" t="str">
        <f>Yardi!H27</f>
        <v>Balance Sheet Entries</v>
      </c>
      <c r="G29">
        <f t="shared" si="1"/>
        <v>0</v>
      </c>
      <c r="H29" t="str">
        <f>Yardi!K27</f>
        <v>22025-000</v>
      </c>
      <c r="I29" t="str">
        <f>Yardi!I27</f>
        <v>mn610wes</v>
      </c>
      <c r="L29" t="str">
        <f>Yardi!O27</f>
        <v>07/2026 Accrual</v>
      </c>
      <c r="M29" s="410">
        <f>Yardi!J27</f>
        <v>0</v>
      </c>
    </row>
    <row r="30" spans="1:13" x14ac:dyDescent="0.25">
      <c r="A30" t="str">
        <f t="shared" si="0"/>
        <v>#</v>
      </c>
      <c r="B30" t="s">
        <v>1980</v>
      </c>
      <c r="C30" s="260">
        <f>Yardi!E28</f>
        <v>46204</v>
      </c>
      <c r="E30" t="str">
        <f>Yardi!G28</f>
        <v>July Recurring Entries</v>
      </c>
      <c r="F30" t="str">
        <f>Yardi!H28</f>
        <v>Balance Sheet Entries</v>
      </c>
      <c r="G30">
        <f t="shared" si="1"/>
        <v>0</v>
      </c>
      <c r="H30">
        <f>Yardi!K28</f>
        <v>0</v>
      </c>
      <c r="I30" t="str">
        <f>Yardi!I28</f>
        <v>mn610wes</v>
      </c>
      <c r="L30" t="str">
        <f>Yardi!O28</f>
        <v>07/2026 Accrual</v>
      </c>
      <c r="M30" s="410">
        <f>Yardi!J28</f>
        <v>0</v>
      </c>
    </row>
    <row r="31" spans="1:13" x14ac:dyDescent="0.25">
      <c r="A31" t="str">
        <f t="shared" si="0"/>
        <v>#</v>
      </c>
      <c r="B31" t="s">
        <v>1980</v>
      </c>
      <c r="C31" s="260">
        <f>Yardi!E29</f>
        <v>46204</v>
      </c>
      <c r="E31" t="str">
        <f>Yardi!G29</f>
        <v>July Recurring Entries</v>
      </c>
      <c r="F31" t="str">
        <f>Yardi!H29</f>
        <v>Balance Sheet Entries</v>
      </c>
      <c r="G31">
        <f t="shared" si="1"/>
        <v>0</v>
      </c>
      <c r="H31" t="str">
        <f>Yardi!K29</f>
        <v>22025-000</v>
      </c>
      <c r="I31" t="str">
        <f>Yardi!I29</f>
        <v>mn610wes</v>
      </c>
      <c r="L31" t="str">
        <f>Yardi!O29</f>
        <v>07/2026 Accrual</v>
      </c>
      <c r="M31" s="410">
        <f>Yardi!J29</f>
        <v>0</v>
      </c>
    </row>
    <row r="32" spans="1:13" x14ac:dyDescent="0.25">
      <c r="A32" t="str">
        <f t="shared" si="0"/>
        <v>#</v>
      </c>
      <c r="B32" t="s">
        <v>1980</v>
      </c>
      <c r="C32" s="260">
        <f>Yardi!E30</f>
        <v>46204</v>
      </c>
      <c r="E32" t="str">
        <f>Yardi!G30</f>
        <v>July Recurring Entries</v>
      </c>
      <c r="F32" t="str">
        <f>Yardi!H30</f>
        <v>Balance Sheet Entries</v>
      </c>
      <c r="G32">
        <f t="shared" si="1"/>
        <v>0</v>
      </c>
      <c r="H32">
        <f>Yardi!K30</f>
        <v>0</v>
      </c>
      <c r="I32" t="str">
        <f>Yardi!I30</f>
        <v>mn610wes</v>
      </c>
      <c r="L32" t="str">
        <f>Yardi!O30</f>
        <v>07/2026 Accrual</v>
      </c>
      <c r="M32" s="410">
        <f>Yardi!J30</f>
        <v>0</v>
      </c>
    </row>
    <row r="33" spans="1:13" x14ac:dyDescent="0.25">
      <c r="A33" t="str">
        <f t="shared" si="0"/>
        <v>#</v>
      </c>
      <c r="B33" t="s">
        <v>1980</v>
      </c>
      <c r="C33" s="260">
        <f>Yardi!E31</f>
        <v>46204</v>
      </c>
      <c r="E33" t="str">
        <f>Yardi!G31</f>
        <v>July Recurring Entries</v>
      </c>
      <c r="F33" t="str">
        <f>Yardi!H31</f>
        <v>Balance Sheet Entries</v>
      </c>
      <c r="G33">
        <f t="shared" si="1"/>
        <v>0</v>
      </c>
      <c r="H33" t="str">
        <f>Yardi!K31</f>
        <v>22025-000</v>
      </c>
      <c r="I33" t="str">
        <f>Yardi!I31</f>
        <v>mn610wes</v>
      </c>
      <c r="L33" t="str">
        <f>Yardi!O31</f>
        <v>07/2026 Accrual</v>
      </c>
      <c r="M33" s="410">
        <f>Yardi!J31</f>
        <v>0</v>
      </c>
    </row>
    <row r="34" spans="1:13" x14ac:dyDescent="0.25">
      <c r="A34" t="str">
        <f t="shared" si="0"/>
        <v>#</v>
      </c>
      <c r="B34" t="s">
        <v>1980</v>
      </c>
      <c r="C34" s="260">
        <f>Yardi!E32</f>
        <v>46204</v>
      </c>
      <c r="E34" t="str">
        <f>Yardi!G32</f>
        <v>July Recurring Entries</v>
      </c>
      <c r="F34" t="str">
        <f>Yardi!H32</f>
        <v>Balance Sheet Entries</v>
      </c>
      <c r="G34">
        <f t="shared" si="1"/>
        <v>0</v>
      </c>
      <c r="H34">
        <f>Yardi!K32</f>
        <v>0</v>
      </c>
      <c r="I34" t="str">
        <f>Yardi!I32</f>
        <v>mn610wes</v>
      </c>
      <c r="L34" t="str">
        <f>Yardi!O32</f>
        <v>07/2026 Accrual</v>
      </c>
      <c r="M34" s="410">
        <f>Yardi!J32</f>
        <v>0</v>
      </c>
    </row>
    <row r="35" spans="1:13" x14ac:dyDescent="0.25">
      <c r="A35" t="str">
        <f t="shared" si="0"/>
        <v>#</v>
      </c>
      <c r="B35" t="s">
        <v>1980</v>
      </c>
      <c r="C35" s="260">
        <f>Yardi!E33</f>
        <v>46204</v>
      </c>
      <c r="E35" t="str">
        <f>Yardi!G33</f>
        <v>July Recurring Entries</v>
      </c>
      <c r="F35" t="str">
        <f>Yardi!H33</f>
        <v>Balance Sheet Entries</v>
      </c>
      <c r="G35">
        <f t="shared" si="1"/>
        <v>0</v>
      </c>
      <c r="H35" t="str">
        <f>Yardi!K33</f>
        <v>22025-000</v>
      </c>
      <c r="I35" t="str">
        <f>Yardi!I33</f>
        <v>mn610wes</v>
      </c>
      <c r="L35" t="str">
        <f>Yardi!O33</f>
        <v>07/2026 Accrual</v>
      </c>
      <c r="M35" s="410">
        <f>Yardi!J33</f>
        <v>0</v>
      </c>
    </row>
    <row r="36" spans="1:13" x14ac:dyDescent="0.25">
      <c r="A36" t="str">
        <f t="shared" ref="A36:A67" si="2">IF(M36=0,"#","")</f>
        <v>#</v>
      </c>
      <c r="B36" t="s">
        <v>1980</v>
      </c>
      <c r="C36" s="260">
        <f>Yardi!E34</f>
        <v>46204</v>
      </c>
      <c r="E36" t="str">
        <f>Yardi!G34</f>
        <v>July Recurring Entries</v>
      </c>
      <c r="F36" t="str">
        <f>Yardi!H34</f>
        <v>Balance Sheet Entries</v>
      </c>
      <c r="G36">
        <f t="shared" si="1"/>
        <v>0</v>
      </c>
      <c r="H36">
        <f>Yardi!K34</f>
        <v>0</v>
      </c>
      <c r="I36" t="str">
        <f>Yardi!I34</f>
        <v>mn610wes</v>
      </c>
      <c r="L36" t="str">
        <f>Yardi!O34</f>
        <v>07/2026 Accrual</v>
      </c>
      <c r="M36" s="410">
        <f>Yardi!J34</f>
        <v>0</v>
      </c>
    </row>
    <row r="37" spans="1:13" x14ac:dyDescent="0.25">
      <c r="A37" t="str">
        <f t="shared" si="2"/>
        <v>#</v>
      </c>
      <c r="B37" t="s">
        <v>1980</v>
      </c>
      <c r="C37" s="260">
        <f>Yardi!E35</f>
        <v>46204</v>
      </c>
      <c r="E37" t="str">
        <f>Yardi!G35</f>
        <v>July Recurring Entries</v>
      </c>
      <c r="F37" t="str">
        <f>Yardi!H35</f>
        <v>Balance Sheet Entries</v>
      </c>
      <c r="G37">
        <f t="shared" ref="G37:G68" si="3">IF(A37="#",G36,G36+1)</f>
        <v>0</v>
      </c>
      <c r="H37" t="str">
        <f>Yardi!K35</f>
        <v>22025-000</v>
      </c>
      <c r="I37" t="str">
        <f>Yardi!I35</f>
        <v>mn610wes</v>
      </c>
      <c r="L37" t="str">
        <f>Yardi!O35</f>
        <v>07/2026 Accrual</v>
      </c>
      <c r="M37" s="410">
        <f>Yardi!J35</f>
        <v>0</v>
      </c>
    </row>
    <row r="38" spans="1:13" x14ac:dyDescent="0.25">
      <c r="A38" t="str">
        <f t="shared" si="2"/>
        <v>#</v>
      </c>
      <c r="B38" t="s">
        <v>1980</v>
      </c>
      <c r="C38" s="260">
        <f>Yardi!E36</f>
        <v>46204</v>
      </c>
      <c r="E38" t="str">
        <f>Yardi!G36</f>
        <v>July Recurring Entries</v>
      </c>
      <c r="F38" t="str">
        <f>Yardi!H36</f>
        <v>Balance Sheet Entries</v>
      </c>
      <c r="G38">
        <f t="shared" si="3"/>
        <v>0</v>
      </c>
      <c r="H38">
        <f>Yardi!K36</f>
        <v>0</v>
      </c>
      <c r="I38" t="str">
        <f>Yardi!I36</f>
        <v>mn610wes</v>
      </c>
      <c r="L38" t="str">
        <f>Yardi!O36</f>
        <v>07/2026 Accrual</v>
      </c>
      <c r="M38" s="410">
        <f>Yardi!J36</f>
        <v>0</v>
      </c>
    </row>
    <row r="39" spans="1:13" x14ac:dyDescent="0.25">
      <c r="A39" t="str">
        <f t="shared" si="2"/>
        <v>#</v>
      </c>
      <c r="B39" t="s">
        <v>1980</v>
      </c>
      <c r="C39" s="260">
        <f>Yardi!E37</f>
        <v>46204</v>
      </c>
      <c r="E39" t="str">
        <f>Yardi!G37</f>
        <v>July Recurring Entries</v>
      </c>
      <c r="F39" t="str">
        <f>Yardi!H37</f>
        <v>Balance Sheet Entries</v>
      </c>
      <c r="G39">
        <f t="shared" si="3"/>
        <v>0</v>
      </c>
      <c r="H39" t="str">
        <f>Yardi!K37</f>
        <v>22025-000</v>
      </c>
      <c r="I39" t="str">
        <f>Yardi!I37</f>
        <v>mn610wes</v>
      </c>
      <c r="L39" t="str">
        <f>Yardi!O37</f>
        <v>07/2026 Accrual</v>
      </c>
      <c r="M39" s="410">
        <f>Yardi!J37</f>
        <v>0</v>
      </c>
    </row>
    <row r="40" spans="1:13" x14ac:dyDescent="0.25">
      <c r="A40" t="str">
        <f t="shared" si="2"/>
        <v>#</v>
      </c>
      <c r="B40" t="s">
        <v>1980</v>
      </c>
      <c r="C40" s="260">
        <f>Yardi!E38</f>
        <v>46204</v>
      </c>
      <c r="E40" t="str">
        <f>Yardi!G38</f>
        <v>July Recurring Entries</v>
      </c>
      <c r="F40" t="str">
        <f>Yardi!H38</f>
        <v>Balance Sheet Entries</v>
      </c>
      <c r="G40">
        <f t="shared" si="3"/>
        <v>0</v>
      </c>
      <c r="H40">
        <f>Yardi!K38</f>
        <v>0</v>
      </c>
      <c r="I40" t="str">
        <f>Yardi!I38</f>
        <v>mn610wes</v>
      </c>
      <c r="L40" t="str">
        <f>Yardi!O38</f>
        <v>07/2026 Accrual</v>
      </c>
      <c r="M40" s="410">
        <f>Yardi!J38</f>
        <v>0</v>
      </c>
    </row>
    <row r="41" spans="1:13" x14ac:dyDescent="0.25">
      <c r="A41" t="str">
        <f t="shared" si="2"/>
        <v>#</v>
      </c>
      <c r="B41" t="s">
        <v>1980</v>
      </c>
      <c r="C41" s="260">
        <f>Yardi!E39</f>
        <v>46204</v>
      </c>
      <c r="E41" t="str">
        <f>Yardi!G39</f>
        <v>July Recurring Entries</v>
      </c>
      <c r="F41" t="str">
        <f>Yardi!H39</f>
        <v>Balance Sheet Entries</v>
      </c>
      <c r="G41">
        <f t="shared" si="3"/>
        <v>0</v>
      </c>
      <c r="H41" t="str">
        <f>Yardi!K39</f>
        <v>22025-000</v>
      </c>
      <c r="I41" t="str">
        <f>Yardi!I39</f>
        <v>mn610wes</v>
      </c>
      <c r="L41" t="str">
        <f>Yardi!O39</f>
        <v>07/2026 Accrual</v>
      </c>
      <c r="M41" s="410">
        <f>Yardi!J39</f>
        <v>0</v>
      </c>
    </row>
    <row r="42" spans="1:13" x14ac:dyDescent="0.25">
      <c r="A42" t="str">
        <f t="shared" si="2"/>
        <v>#</v>
      </c>
      <c r="B42" t="s">
        <v>1980</v>
      </c>
      <c r="C42" s="260">
        <f>Yardi!E40</f>
        <v>46204</v>
      </c>
      <c r="E42" t="str">
        <f>Yardi!G40</f>
        <v>July Recurring Entries</v>
      </c>
      <c r="F42" t="str">
        <f>Yardi!H40</f>
        <v>Balance Sheet Entries</v>
      </c>
      <c r="G42">
        <f t="shared" si="3"/>
        <v>0</v>
      </c>
      <c r="H42">
        <f>Yardi!K40</f>
        <v>0</v>
      </c>
      <c r="I42" t="str">
        <f>Yardi!I40</f>
        <v>mn610wes</v>
      </c>
      <c r="L42" t="str">
        <f>Yardi!O40</f>
        <v>07/2026 Accrual</v>
      </c>
      <c r="M42" s="410">
        <f>Yardi!J40</f>
        <v>0</v>
      </c>
    </row>
    <row r="43" spans="1:13" x14ac:dyDescent="0.25">
      <c r="A43" t="str">
        <f t="shared" si="2"/>
        <v>#</v>
      </c>
      <c r="B43" t="s">
        <v>1980</v>
      </c>
      <c r="C43" s="260">
        <f>Yardi!E41</f>
        <v>46204</v>
      </c>
      <c r="E43" t="str">
        <f>Yardi!G41</f>
        <v>July Recurring Entries</v>
      </c>
      <c r="F43" t="str">
        <f>Yardi!H41</f>
        <v>Balance Sheet Entries</v>
      </c>
      <c r="G43">
        <f t="shared" si="3"/>
        <v>0</v>
      </c>
      <c r="H43" t="str">
        <f>Yardi!K41</f>
        <v>22025-000</v>
      </c>
      <c r="I43" t="str">
        <f>Yardi!I41</f>
        <v>mn610wes</v>
      </c>
      <c r="L43" t="str">
        <f>Yardi!O41</f>
        <v>07/2026 Accrual</v>
      </c>
      <c r="M43" s="410">
        <f>Yardi!J41</f>
        <v>0</v>
      </c>
    </row>
    <row r="44" spans="1:13" x14ac:dyDescent="0.25">
      <c r="A44" t="str">
        <f t="shared" si="2"/>
        <v>#</v>
      </c>
      <c r="B44" t="s">
        <v>1980</v>
      </c>
      <c r="C44" s="260">
        <f>Yardi!E42</f>
        <v>46204</v>
      </c>
      <c r="E44" t="str">
        <f>Yardi!G42</f>
        <v>July Recurring Entries</v>
      </c>
      <c r="F44" t="str">
        <f>Yardi!H42</f>
        <v>Balance Sheet Entries</v>
      </c>
      <c r="G44">
        <f t="shared" si="3"/>
        <v>0</v>
      </c>
      <c r="H44" t="str">
        <f>Yardi!K42</f>
        <v>62010-000</v>
      </c>
      <c r="I44" t="str">
        <f>Yardi!I42</f>
        <v>mn610wes</v>
      </c>
      <c r="L44" t="str">
        <f>Yardi!O42</f>
        <v>07/2026 Prepaid Ad Valorem Property Taxes Amortization</v>
      </c>
      <c r="M44" s="410">
        <f>Yardi!J42</f>
        <v>0</v>
      </c>
    </row>
    <row r="45" spans="1:13" x14ac:dyDescent="0.25">
      <c r="A45" t="str">
        <f t="shared" si="2"/>
        <v>#</v>
      </c>
      <c r="B45" t="s">
        <v>1980</v>
      </c>
      <c r="C45" s="260">
        <f>Yardi!E43</f>
        <v>46204</v>
      </c>
      <c r="E45" t="str">
        <f>Yardi!G43</f>
        <v>July Recurring Entries</v>
      </c>
      <c r="F45" t="str">
        <f>Yardi!H43</f>
        <v>Balance Sheet Entries</v>
      </c>
      <c r="G45">
        <f t="shared" si="3"/>
        <v>0</v>
      </c>
      <c r="H45">
        <f>Yardi!K43</f>
        <v>13070</v>
      </c>
      <c r="I45" t="str">
        <f>Yardi!I43</f>
        <v>mn610wes</v>
      </c>
      <c r="L45" t="str">
        <f>Yardi!O43</f>
        <v>07/2026 Prepaid Ad Valorem Property Taxes Amortization</v>
      </c>
      <c r="M45" s="410">
        <f>Yardi!J43</f>
        <v>0</v>
      </c>
    </row>
    <row r="46" spans="1:13" x14ac:dyDescent="0.25">
      <c r="A46" t="str">
        <f t="shared" si="2"/>
        <v>#</v>
      </c>
      <c r="B46" t="s">
        <v>1980</v>
      </c>
      <c r="C46" s="260">
        <f>Yardi!E44</f>
        <v>46204</v>
      </c>
      <c r="E46" t="str">
        <f>Yardi!G44</f>
        <v>July Recurring Entries</v>
      </c>
      <c r="F46" t="str">
        <f>Yardi!H44</f>
        <v>Balance Sheet Entries</v>
      </c>
      <c r="G46">
        <f t="shared" si="3"/>
        <v>0</v>
      </c>
      <c r="H46" t="str">
        <f>Yardi!K44</f>
        <v>62030-000</v>
      </c>
      <c r="I46" t="str">
        <f>Yardi!I44</f>
        <v>mn610wes</v>
      </c>
      <c r="L46" t="str">
        <f>Yardi!O44</f>
        <v>07/2026 Prepaid Amortization</v>
      </c>
      <c r="M46" s="410">
        <f>Yardi!J44</f>
        <v>0</v>
      </c>
    </row>
    <row r="47" spans="1:13" x14ac:dyDescent="0.25">
      <c r="A47" t="str">
        <f t="shared" si="2"/>
        <v>#</v>
      </c>
      <c r="B47" t="s">
        <v>1980</v>
      </c>
      <c r="C47" s="260">
        <f>Yardi!E45</f>
        <v>46204</v>
      </c>
      <c r="E47" t="str">
        <f>Yardi!G45</f>
        <v>July Recurring Entries</v>
      </c>
      <c r="F47" t="str">
        <f>Yardi!H45</f>
        <v>Balance Sheet Entries</v>
      </c>
      <c r="G47">
        <f t="shared" si="3"/>
        <v>0</v>
      </c>
      <c r="H47" t="str">
        <f>Yardi!K45</f>
        <v>13070-000</v>
      </c>
      <c r="I47" t="str">
        <f>Yardi!I45</f>
        <v>mn610wes</v>
      </c>
      <c r="L47" t="str">
        <f>Yardi!O45</f>
        <v>07/2026 Prepaid Amortization</v>
      </c>
      <c r="M47" s="410">
        <f>Yardi!J45</f>
        <v>0</v>
      </c>
    </row>
    <row r="48" spans="1:13" x14ac:dyDescent="0.25">
      <c r="A48" t="str">
        <f t="shared" si="2"/>
        <v>#</v>
      </c>
      <c r="B48" t="s">
        <v>1980</v>
      </c>
      <c r="C48" s="260">
        <f>Yardi!E46</f>
        <v>46204</v>
      </c>
      <c r="E48" t="str">
        <f>Yardi!G46</f>
        <v>July Recurring Entries</v>
      </c>
      <c r="F48" t="str">
        <f>Yardi!H46</f>
        <v>Balance Sheet Entries</v>
      </c>
      <c r="G48">
        <f t="shared" si="3"/>
        <v>0</v>
      </c>
      <c r="H48">
        <f>Yardi!K46</f>
        <v>0</v>
      </c>
      <c r="I48" t="str">
        <f>Yardi!I46</f>
        <v>mn610wes</v>
      </c>
      <c r="L48" t="str">
        <f>Yardi!O46</f>
        <v>07/2026 Prepaid Amortization</v>
      </c>
      <c r="M48" s="410">
        <f>Yardi!J46</f>
        <v>0</v>
      </c>
    </row>
    <row r="49" spans="1:13" x14ac:dyDescent="0.25">
      <c r="A49" t="str">
        <f t="shared" si="2"/>
        <v>#</v>
      </c>
      <c r="B49" t="s">
        <v>1980</v>
      </c>
      <c r="C49" s="260">
        <f>Yardi!E47</f>
        <v>46204</v>
      </c>
      <c r="E49" t="str">
        <f>Yardi!G47</f>
        <v>July Recurring Entries</v>
      </c>
      <c r="F49" t="str">
        <f>Yardi!H47</f>
        <v>Balance Sheet Entries</v>
      </c>
      <c r="G49">
        <f t="shared" si="3"/>
        <v>0</v>
      </c>
      <c r="H49" t="str">
        <f>Yardi!K47</f>
        <v>13070-000</v>
      </c>
      <c r="I49" t="str">
        <f>Yardi!I47</f>
        <v>mn610wes</v>
      </c>
      <c r="L49" t="str">
        <f>Yardi!O47</f>
        <v>07/2026 Prepaid Amortization</v>
      </c>
      <c r="M49" s="410">
        <f>Yardi!J47</f>
        <v>0</v>
      </c>
    </row>
    <row r="50" spans="1:13" x14ac:dyDescent="0.25">
      <c r="A50" t="str">
        <f t="shared" si="2"/>
        <v>#</v>
      </c>
      <c r="B50" t="s">
        <v>1980</v>
      </c>
      <c r="C50" s="260">
        <f>Yardi!E48</f>
        <v>46204</v>
      </c>
      <c r="E50" t="str">
        <f>Yardi!G48</f>
        <v>July Recurring Entries</v>
      </c>
      <c r="F50" t="str">
        <f>Yardi!H48</f>
        <v>Balance Sheet Entries</v>
      </c>
      <c r="G50">
        <f t="shared" si="3"/>
        <v>0</v>
      </c>
      <c r="H50">
        <f>Yardi!K48</f>
        <v>0</v>
      </c>
      <c r="I50" t="str">
        <f>Yardi!I48</f>
        <v>mn610wes</v>
      </c>
      <c r="L50" t="str">
        <f>Yardi!O48</f>
        <v>07/2026 Prepaid Amortization</v>
      </c>
      <c r="M50" s="410">
        <f>Yardi!J48</f>
        <v>0</v>
      </c>
    </row>
    <row r="51" spans="1:13" x14ac:dyDescent="0.25">
      <c r="A51" t="str">
        <f t="shared" si="2"/>
        <v>#</v>
      </c>
      <c r="B51" t="s">
        <v>1980</v>
      </c>
      <c r="C51" s="260">
        <f>Yardi!E49</f>
        <v>46204</v>
      </c>
      <c r="E51" t="str">
        <f>Yardi!G49</f>
        <v>July Recurring Entries</v>
      </c>
      <c r="F51" t="str">
        <f>Yardi!H49</f>
        <v>Balance Sheet Entries</v>
      </c>
      <c r="G51">
        <f t="shared" si="3"/>
        <v>0</v>
      </c>
      <c r="H51" t="str">
        <f>Yardi!K49</f>
        <v>13070-000</v>
      </c>
      <c r="I51" t="str">
        <f>Yardi!I49</f>
        <v>mn610wes</v>
      </c>
      <c r="L51" t="str">
        <f>Yardi!O49</f>
        <v>07/2026 Prepaid Amortization</v>
      </c>
      <c r="M51" s="410">
        <f>Yardi!J49</f>
        <v>0</v>
      </c>
    </row>
    <row r="52" spans="1:13" x14ac:dyDescent="0.25">
      <c r="A52" t="str">
        <f t="shared" si="2"/>
        <v>#</v>
      </c>
      <c r="B52" t="s">
        <v>1980</v>
      </c>
      <c r="C52" s="260">
        <f>Yardi!E50</f>
        <v>46204</v>
      </c>
      <c r="E52" t="str">
        <f>Yardi!G50</f>
        <v>July Recurring Entries</v>
      </c>
      <c r="F52" t="str">
        <f>Yardi!H50</f>
        <v>Balance Sheet Entries</v>
      </c>
      <c r="G52">
        <f t="shared" si="3"/>
        <v>0</v>
      </c>
      <c r="H52">
        <f>Yardi!K50</f>
        <v>0</v>
      </c>
      <c r="I52" t="str">
        <f>Yardi!I50</f>
        <v>mn610wes</v>
      </c>
      <c r="L52" t="str">
        <f>Yardi!O50</f>
        <v>07/2026 Prepaid Amortization</v>
      </c>
      <c r="M52" s="410">
        <f>Yardi!J50</f>
        <v>0</v>
      </c>
    </row>
    <row r="53" spans="1:13" x14ac:dyDescent="0.25">
      <c r="A53" t="str">
        <f t="shared" si="2"/>
        <v>#</v>
      </c>
      <c r="B53" t="s">
        <v>1980</v>
      </c>
      <c r="C53" s="260">
        <f>Yardi!E51</f>
        <v>46204</v>
      </c>
      <c r="E53" t="str">
        <f>Yardi!G51</f>
        <v>July Recurring Entries</v>
      </c>
      <c r="F53" t="str">
        <f>Yardi!H51</f>
        <v>Balance Sheet Entries</v>
      </c>
      <c r="G53">
        <f t="shared" si="3"/>
        <v>0</v>
      </c>
      <c r="H53" t="str">
        <f>Yardi!K51</f>
        <v>13070-000</v>
      </c>
      <c r="I53" t="str">
        <f>Yardi!I51</f>
        <v>mn610wes</v>
      </c>
      <c r="L53" t="str">
        <f>Yardi!O51</f>
        <v>07/2026 Prepaid Amortization</v>
      </c>
      <c r="M53" s="410">
        <f>Yardi!J51</f>
        <v>0</v>
      </c>
    </row>
    <row r="54" spans="1:13" x14ac:dyDescent="0.25">
      <c r="A54" t="str">
        <f t="shared" si="2"/>
        <v>#</v>
      </c>
      <c r="B54" t="s">
        <v>1980</v>
      </c>
      <c r="C54" s="260">
        <f>Yardi!E52</f>
        <v>46204</v>
      </c>
      <c r="E54" t="str">
        <f>Yardi!G52</f>
        <v>July Recurring Entries</v>
      </c>
      <c r="F54" t="str">
        <f>Yardi!H52</f>
        <v>Balance Sheet Entries</v>
      </c>
      <c r="G54">
        <f t="shared" si="3"/>
        <v>0</v>
      </c>
      <c r="H54">
        <f>Yardi!K52</f>
        <v>0</v>
      </c>
      <c r="I54" t="str">
        <f>Yardi!I52</f>
        <v>mn610wes</v>
      </c>
      <c r="L54" t="str">
        <f>Yardi!O52</f>
        <v>07/2026 Prepaid Amortization</v>
      </c>
      <c r="M54" s="410">
        <f>Yardi!J52</f>
        <v>0</v>
      </c>
    </row>
    <row r="55" spans="1:13" x14ac:dyDescent="0.25">
      <c r="A55" t="str">
        <f t="shared" si="2"/>
        <v>#</v>
      </c>
      <c r="B55" t="s">
        <v>1980</v>
      </c>
      <c r="C55" s="260">
        <f>Yardi!E53</f>
        <v>46204</v>
      </c>
      <c r="E55" t="str">
        <f>Yardi!G53</f>
        <v>July Recurring Entries</v>
      </c>
      <c r="F55" t="str">
        <f>Yardi!H53</f>
        <v>Balance Sheet Entries</v>
      </c>
      <c r="G55">
        <f t="shared" si="3"/>
        <v>0</v>
      </c>
      <c r="H55" t="str">
        <f>Yardi!K53</f>
        <v>13070-000</v>
      </c>
      <c r="I55" t="str">
        <f>Yardi!I53</f>
        <v>mn610wes</v>
      </c>
      <c r="L55" t="str">
        <f>Yardi!O53</f>
        <v>07/2026 Prepaid Amortization</v>
      </c>
      <c r="M55" s="410">
        <f>Yardi!J53</f>
        <v>0</v>
      </c>
    </row>
    <row r="56" spans="1:13" x14ac:dyDescent="0.25">
      <c r="A56" t="str">
        <f t="shared" si="2"/>
        <v>#</v>
      </c>
      <c r="B56" t="s">
        <v>1980</v>
      </c>
      <c r="C56" s="260">
        <f>Yardi!E54</f>
        <v>46204</v>
      </c>
      <c r="E56" t="str">
        <f>Yardi!G54</f>
        <v>July Recurring Entries</v>
      </c>
      <c r="F56" t="str">
        <f>Yardi!H54</f>
        <v>Balance Sheet Entries</v>
      </c>
      <c r="G56">
        <f t="shared" si="3"/>
        <v>0</v>
      </c>
      <c r="H56" t="str">
        <f>Yardi!K54</f>
        <v>62010-000</v>
      </c>
      <c r="I56" t="str">
        <f>Yardi!I54</f>
        <v>mn610wes</v>
      </c>
      <c r="L56" t="str">
        <f>Yardi!O54</f>
        <v>07/2026 Ad Valorem Property Taxes Accrual</v>
      </c>
      <c r="M56" s="410">
        <f>Yardi!J54</f>
        <v>0</v>
      </c>
    </row>
    <row r="57" spans="1:13" x14ac:dyDescent="0.25">
      <c r="A57" t="str">
        <f t="shared" si="2"/>
        <v>#</v>
      </c>
      <c r="B57" t="s">
        <v>1980</v>
      </c>
      <c r="C57" s="260">
        <f>Yardi!E55</f>
        <v>46204</v>
      </c>
      <c r="E57" t="str">
        <f>Yardi!G55</f>
        <v>July Recurring Entries</v>
      </c>
      <c r="F57" t="str">
        <f>Yardi!H55</f>
        <v>Balance Sheet Entries</v>
      </c>
      <c r="G57">
        <f t="shared" si="3"/>
        <v>0</v>
      </c>
      <c r="H57">
        <f>Yardi!K55</f>
        <v>22020</v>
      </c>
      <c r="I57" t="str">
        <f>Yardi!I55</f>
        <v>mn610wes</v>
      </c>
      <c r="L57" t="str">
        <f>Yardi!O55</f>
        <v>07/2026 Ad Valorem Property Taxes Accrual</v>
      </c>
      <c r="M57" s="410">
        <f>Yardi!J55</f>
        <v>0</v>
      </c>
    </row>
    <row r="58" spans="1:13" x14ac:dyDescent="0.25">
      <c r="A58" t="str">
        <f t="shared" si="2"/>
        <v>#</v>
      </c>
      <c r="B58" t="s">
        <v>1980</v>
      </c>
      <c r="C58" s="260">
        <f>Yardi!E56</f>
        <v>46204</v>
      </c>
      <c r="E58" t="str">
        <f>Yardi!G56</f>
        <v>July Recurring Entries</v>
      </c>
      <c r="F58" t="str">
        <f>Yardi!H56</f>
        <v>Balance Sheet Entries</v>
      </c>
      <c r="G58">
        <f t="shared" si="3"/>
        <v>0</v>
      </c>
      <c r="H58" t="str">
        <f>Yardi!K56</f>
        <v>62010-000</v>
      </c>
      <c r="I58" t="str">
        <f>Yardi!I56</f>
        <v>mn610wes</v>
      </c>
      <c r="L58" t="str">
        <f>Yardi!O56</f>
        <v>07/2026 Accrual</v>
      </c>
      <c r="M58" s="410">
        <f>Yardi!J56</f>
        <v>0</v>
      </c>
    </row>
    <row r="59" spans="1:13" x14ac:dyDescent="0.25">
      <c r="A59" t="str">
        <f t="shared" si="2"/>
        <v>#</v>
      </c>
      <c r="B59" t="s">
        <v>1980</v>
      </c>
      <c r="C59" s="260">
        <f>Yardi!E57</f>
        <v>46204</v>
      </c>
      <c r="E59" t="str">
        <f>Yardi!G57</f>
        <v>July Recurring Entries</v>
      </c>
      <c r="F59" t="str">
        <f>Yardi!H57</f>
        <v>Balance Sheet Entries</v>
      </c>
      <c r="G59">
        <f t="shared" si="3"/>
        <v>0</v>
      </c>
      <c r="H59">
        <f>Yardi!K57</f>
        <v>22020</v>
      </c>
      <c r="I59" t="str">
        <f>Yardi!I57</f>
        <v>mn610wes</v>
      </c>
      <c r="L59" t="str">
        <f>Yardi!O57</f>
        <v>07/2026 Accrual</v>
      </c>
      <c r="M59" s="410">
        <f>Yardi!J57</f>
        <v>0</v>
      </c>
    </row>
    <row r="60" spans="1:13" x14ac:dyDescent="0.25">
      <c r="A60" t="str">
        <f t="shared" si="2"/>
        <v>#</v>
      </c>
      <c r="B60" t="s">
        <v>1980</v>
      </c>
      <c r="C60" s="260">
        <f>Yardi!E58</f>
        <v>46204</v>
      </c>
      <c r="E60" t="str">
        <f>Yardi!G58</f>
        <v>July Recurring Entries</v>
      </c>
      <c r="F60" t="str">
        <f>Yardi!H58</f>
        <v>Balance Sheet Entries</v>
      </c>
      <c r="G60">
        <f t="shared" si="3"/>
        <v>0</v>
      </c>
      <c r="H60" t="str">
        <f>Yardi!K58</f>
        <v>62010-000</v>
      </c>
      <c r="I60" t="str">
        <f>Yardi!I58</f>
        <v>mn610wes</v>
      </c>
      <c r="L60" t="str">
        <f>Yardi!O58</f>
        <v>07/2026 Accrual</v>
      </c>
      <c r="M60" s="410">
        <f>Yardi!J58</f>
        <v>0</v>
      </c>
    </row>
    <row r="61" spans="1:13" x14ac:dyDescent="0.25">
      <c r="A61" t="str">
        <f t="shared" si="2"/>
        <v>#</v>
      </c>
      <c r="B61" t="s">
        <v>1980</v>
      </c>
      <c r="C61" s="260">
        <f>Yardi!E59</f>
        <v>46204</v>
      </c>
      <c r="E61" t="str">
        <f>Yardi!G59</f>
        <v>July Recurring Entries</v>
      </c>
      <c r="F61" t="str">
        <f>Yardi!H59</f>
        <v>Balance Sheet Entries</v>
      </c>
      <c r="G61">
        <f t="shared" si="3"/>
        <v>0</v>
      </c>
      <c r="H61">
        <f>Yardi!K59</f>
        <v>22020</v>
      </c>
      <c r="I61" t="str">
        <f>Yardi!I59</f>
        <v>mn610wes</v>
      </c>
      <c r="L61" t="str">
        <f>Yardi!O59</f>
        <v>07/2026 Accrual</v>
      </c>
      <c r="M61" s="410">
        <f>Yardi!J59</f>
        <v>0</v>
      </c>
    </row>
    <row r="62" spans="1:13" x14ac:dyDescent="0.25">
      <c r="A62" t="str">
        <f t="shared" si="2"/>
        <v>#</v>
      </c>
      <c r="B62" t="s">
        <v>1980</v>
      </c>
      <c r="C62" s="260">
        <f>Yardi!E60</f>
        <v>46204</v>
      </c>
      <c r="E62" t="str">
        <f>Yardi!G60</f>
        <v>July Recurring Entries</v>
      </c>
      <c r="F62" t="str">
        <f>Yardi!H60</f>
        <v>Balance Sheet Entries</v>
      </c>
      <c r="G62">
        <f t="shared" si="3"/>
        <v>0</v>
      </c>
      <c r="H62" t="str">
        <f>Yardi!K60</f>
        <v>62030-000</v>
      </c>
      <c r="I62" t="str">
        <f>Yardi!I60</f>
        <v>mn610wes</v>
      </c>
      <c r="L62" t="str">
        <f>Yardi!O60</f>
        <v>07/2026 Accrual</v>
      </c>
      <c r="M62" s="410">
        <f>Yardi!J60</f>
        <v>0</v>
      </c>
    </row>
    <row r="63" spans="1:13" x14ac:dyDescent="0.25">
      <c r="A63" t="str">
        <f t="shared" si="2"/>
        <v>#</v>
      </c>
      <c r="B63" t="s">
        <v>1980</v>
      </c>
      <c r="C63" s="260">
        <f>Yardi!E61</f>
        <v>46204</v>
      </c>
      <c r="E63" t="str">
        <f>Yardi!G61</f>
        <v>July Recurring Entries</v>
      </c>
      <c r="F63" t="str">
        <f>Yardi!H61</f>
        <v>Balance Sheet Entries</v>
      </c>
      <c r="G63">
        <f t="shared" si="3"/>
        <v>0</v>
      </c>
      <c r="H63" t="str">
        <f>Yardi!K61</f>
        <v>22020-000</v>
      </c>
      <c r="I63" t="str">
        <f>Yardi!I61</f>
        <v>mn610wes</v>
      </c>
      <c r="L63" t="str">
        <f>Yardi!O61</f>
        <v>07/2026 Accrual</v>
      </c>
      <c r="M63" s="410">
        <f>Yardi!J61</f>
        <v>0</v>
      </c>
    </row>
    <row r="64" spans="1:13" x14ac:dyDescent="0.25">
      <c r="A64" t="str">
        <f t="shared" si="2"/>
        <v>#</v>
      </c>
      <c r="B64" t="s">
        <v>1980</v>
      </c>
      <c r="C64" s="260">
        <f>Yardi!E62</f>
        <v>46204</v>
      </c>
      <c r="E64" t="str">
        <f>Yardi!G62</f>
        <v>July Recurring Entries</v>
      </c>
      <c r="F64" t="str">
        <f>Yardi!H62</f>
        <v>Balance Sheet Entries</v>
      </c>
      <c r="G64">
        <f t="shared" si="3"/>
        <v>0</v>
      </c>
      <c r="H64" t="str">
        <f>Yardi!K62</f>
        <v>62010-000</v>
      </c>
      <c r="I64" t="str">
        <f>Yardi!I62</f>
        <v>mn610wes</v>
      </c>
      <c r="L64" t="str">
        <f>Yardi!O62</f>
        <v>07/2026 Accrual</v>
      </c>
      <c r="M64" s="410">
        <f>Yardi!J62</f>
        <v>0</v>
      </c>
    </row>
    <row r="65" spans="1:13" x14ac:dyDescent="0.25">
      <c r="A65" t="str">
        <f t="shared" si="2"/>
        <v>#</v>
      </c>
      <c r="B65" t="s">
        <v>1980</v>
      </c>
      <c r="C65" s="260">
        <f>Yardi!E63</f>
        <v>46204</v>
      </c>
      <c r="E65" t="str">
        <f>Yardi!G63</f>
        <v>July Recurring Entries</v>
      </c>
      <c r="F65" t="str">
        <f>Yardi!H63</f>
        <v>Balance Sheet Entries</v>
      </c>
      <c r="G65">
        <f t="shared" si="3"/>
        <v>0</v>
      </c>
      <c r="H65">
        <f>Yardi!K63</f>
        <v>22020</v>
      </c>
      <c r="I65" t="str">
        <f>Yardi!I63</f>
        <v>mn610wes</v>
      </c>
      <c r="L65" t="str">
        <f>Yardi!O63</f>
        <v>07/2026 Accrual</v>
      </c>
      <c r="M65" s="410">
        <f>Yardi!J63</f>
        <v>0</v>
      </c>
    </row>
    <row r="66" spans="1:13" x14ac:dyDescent="0.25">
      <c r="A66" t="str">
        <f t="shared" si="2"/>
        <v>#</v>
      </c>
      <c r="B66" t="s">
        <v>1980</v>
      </c>
      <c r="C66" s="260">
        <f>Yardi!E64</f>
        <v>46204</v>
      </c>
      <c r="E66" t="str">
        <f>Yardi!G64</f>
        <v>July Recurring Entries</v>
      </c>
      <c r="F66" t="str">
        <f>Yardi!H64</f>
        <v>Balance Sheet Entries</v>
      </c>
      <c r="G66">
        <f t="shared" si="3"/>
        <v>0</v>
      </c>
      <c r="H66">
        <f>Yardi!K64</f>
        <v>0</v>
      </c>
      <c r="I66" t="str">
        <f>Yardi!I64</f>
        <v>mn610wes</v>
      </c>
      <c r="L66" t="str">
        <f>Yardi!O64</f>
        <v>07/2026 Accrual</v>
      </c>
      <c r="M66" s="410">
        <f>Yardi!J64</f>
        <v>0</v>
      </c>
    </row>
    <row r="67" spans="1:13" x14ac:dyDescent="0.25">
      <c r="A67" t="str">
        <f t="shared" si="2"/>
        <v>#</v>
      </c>
      <c r="B67" t="s">
        <v>1980</v>
      </c>
      <c r="C67" s="260">
        <f>Yardi!E65</f>
        <v>46204</v>
      </c>
      <c r="E67" t="str">
        <f>Yardi!G65</f>
        <v>July Recurring Entries</v>
      </c>
      <c r="F67" t="str">
        <f>Yardi!H65</f>
        <v>Balance Sheet Entries</v>
      </c>
      <c r="G67">
        <f t="shared" si="3"/>
        <v>0</v>
      </c>
      <c r="H67" t="str">
        <f>Yardi!K65</f>
        <v>22020-000</v>
      </c>
      <c r="I67" t="str">
        <f>Yardi!I65</f>
        <v>mn610wes</v>
      </c>
      <c r="L67" t="str">
        <f>Yardi!O65</f>
        <v>07/2026 Accrual</v>
      </c>
      <c r="M67" s="410">
        <f>Yardi!J65</f>
        <v>0</v>
      </c>
    </row>
    <row r="68" spans="1:13" x14ac:dyDescent="0.25">
      <c r="A68" t="str">
        <f t="shared" ref="A68:A99" si="4">IF(M68=0,"#","")</f>
        <v>#</v>
      </c>
      <c r="B68" t="s">
        <v>1980</v>
      </c>
      <c r="C68" s="260">
        <f>Yardi!E66</f>
        <v>46204</v>
      </c>
      <c r="E68" t="str">
        <f>Yardi!G66</f>
        <v>July Recurring Entries</v>
      </c>
      <c r="F68" t="str">
        <f>Yardi!H66</f>
        <v>Balance Sheet Entries</v>
      </c>
      <c r="G68">
        <f t="shared" si="3"/>
        <v>0</v>
      </c>
      <c r="H68" t="str">
        <f>Yardi!K66</f>
        <v>58280-000</v>
      </c>
      <c r="I68" t="str">
        <f>Yardi!I66</f>
        <v>mn610wes</v>
      </c>
      <c r="L68" t="str">
        <f>Yardi!O66</f>
        <v>07/2026 Prepaid Butterfly - 10.1.2024-9.30.2025 Intercom software subscription Amortization</v>
      </c>
      <c r="M68" s="410">
        <f>Yardi!J66</f>
        <v>0</v>
      </c>
    </row>
    <row r="69" spans="1:13" x14ac:dyDescent="0.25">
      <c r="A69" t="str">
        <f t="shared" si="4"/>
        <v>#</v>
      </c>
      <c r="B69" t="s">
        <v>1980</v>
      </c>
      <c r="C69" s="260">
        <f>Yardi!E67</f>
        <v>46204</v>
      </c>
      <c r="E69" t="str">
        <f>Yardi!G67</f>
        <v>July Recurring Entries</v>
      </c>
      <c r="F69" t="str">
        <f>Yardi!H67</f>
        <v>Balance Sheet Entries</v>
      </c>
      <c r="G69">
        <f t="shared" ref="G69:G100" si="5">IF(A69="#",G68,G68+1)</f>
        <v>0</v>
      </c>
      <c r="H69">
        <f>Yardi!K67</f>
        <v>13085</v>
      </c>
      <c r="I69" t="str">
        <f>Yardi!I67</f>
        <v>mn610wes</v>
      </c>
      <c r="L69" t="str">
        <f>Yardi!O67</f>
        <v>07/2026 Prepaid Butterfly - 10.1.2024-9.30.2025 Intercom software subscription Amortization</v>
      </c>
      <c r="M69" s="410">
        <f>Yardi!J67</f>
        <v>0</v>
      </c>
    </row>
    <row r="70" spans="1:13" x14ac:dyDescent="0.25">
      <c r="A70" t="str">
        <f t="shared" si="4"/>
        <v>#</v>
      </c>
      <c r="B70" t="s">
        <v>1980</v>
      </c>
      <c r="C70" s="260">
        <f>Yardi!E68</f>
        <v>46204</v>
      </c>
      <c r="E70" t="str">
        <f>Yardi!G68</f>
        <v>July Recurring Entries</v>
      </c>
      <c r="F70" t="str">
        <f>Yardi!H68</f>
        <v>Balance Sheet Entries</v>
      </c>
      <c r="G70">
        <f t="shared" si="5"/>
        <v>0</v>
      </c>
      <c r="H70" t="str">
        <f>Yardi!K68</f>
        <v>58280-000</v>
      </c>
      <c r="I70" t="str">
        <f>Yardi!I68</f>
        <v>mn610wes</v>
      </c>
      <c r="L70" t="str">
        <f>Yardi!O68</f>
        <v>07/2026 Prepaid ChargePoint - 3 yr subscription 10.22.24-10.22.27 Amortization</v>
      </c>
      <c r="M70" s="410">
        <f>Yardi!J68</f>
        <v>0</v>
      </c>
    </row>
    <row r="71" spans="1:13" x14ac:dyDescent="0.25">
      <c r="A71" t="str">
        <f t="shared" si="4"/>
        <v>#</v>
      </c>
      <c r="B71" t="s">
        <v>1980</v>
      </c>
      <c r="C71" s="260">
        <f>Yardi!E69</f>
        <v>46204</v>
      </c>
      <c r="E71" t="str">
        <f>Yardi!G69</f>
        <v>July Recurring Entries</v>
      </c>
      <c r="F71" t="str">
        <f>Yardi!H69</f>
        <v>Balance Sheet Entries</v>
      </c>
      <c r="G71">
        <f t="shared" si="5"/>
        <v>0</v>
      </c>
      <c r="H71">
        <f>Yardi!K69</f>
        <v>13085</v>
      </c>
      <c r="I71" t="str">
        <f>Yardi!I69</f>
        <v>mn610wes</v>
      </c>
      <c r="L71" t="str">
        <f>Yardi!O69</f>
        <v>07/2026 Prepaid ChargePoint - 3 yr subscription 10.22.24-10.22.27 Amortization</v>
      </c>
      <c r="M71" s="410">
        <f>Yardi!J69</f>
        <v>0</v>
      </c>
    </row>
    <row r="72" spans="1:13" x14ac:dyDescent="0.25">
      <c r="A72" t="str">
        <f t="shared" si="4"/>
        <v>#</v>
      </c>
      <c r="B72" t="s">
        <v>1980</v>
      </c>
      <c r="C72" s="260">
        <f>Yardi!E70</f>
        <v>46204</v>
      </c>
      <c r="E72" t="str">
        <f>Yardi!G70</f>
        <v>July Recurring Entries</v>
      </c>
      <c r="F72" t="str">
        <f>Yardi!H70</f>
        <v>Balance Sheet Entries</v>
      </c>
      <c r="G72">
        <f t="shared" si="5"/>
        <v>0</v>
      </c>
      <c r="H72" t="str">
        <f>Yardi!K70</f>
        <v>53070-000</v>
      </c>
      <c r="I72" t="str">
        <f>Yardi!I70</f>
        <v>mn610wes</v>
      </c>
      <c r="L72" t="str">
        <f>Yardi!O70</f>
        <v>07/2026 Prepaid Jonson Controls Fire Protection - 10.1.2024-9.30/2025 Fire Alarm Monitor-Bldg 2 Amortization</v>
      </c>
      <c r="M72" s="410">
        <f>Yardi!J70</f>
        <v>0</v>
      </c>
    </row>
    <row r="73" spans="1:13" x14ac:dyDescent="0.25">
      <c r="A73" t="str">
        <f t="shared" si="4"/>
        <v>#</v>
      </c>
      <c r="B73" t="s">
        <v>1980</v>
      </c>
      <c r="C73" s="260">
        <f>Yardi!E71</f>
        <v>46204</v>
      </c>
      <c r="E73" t="str">
        <f>Yardi!G71</f>
        <v>July Recurring Entries</v>
      </c>
      <c r="F73" t="str">
        <f>Yardi!H71</f>
        <v>Balance Sheet Entries</v>
      </c>
      <c r="G73">
        <f t="shared" si="5"/>
        <v>0</v>
      </c>
      <c r="H73">
        <f>Yardi!K71</f>
        <v>13085</v>
      </c>
      <c r="I73" t="str">
        <f>Yardi!I71</f>
        <v>mn610wes</v>
      </c>
      <c r="L73" t="str">
        <f>Yardi!O71</f>
        <v>07/2026 Prepaid Jonson Controls Fire Protection - 10.1.2024-9.30/2025 Fire Alarm Monitor-Bldg 2 Amortization</v>
      </c>
      <c r="M73" s="410">
        <f>Yardi!J71</f>
        <v>0</v>
      </c>
    </row>
    <row r="74" spans="1:13" x14ac:dyDescent="0.25">
      <c r="A74" t="str">
        <f t="shared" si="4"/>
        <v>#</v>
      </c>
      <c r="B74" t="s">
        <v>1980</v>
      </c>
      <c r="C74" s="260">
        <f>Yardi!E72</f>
        <v>46204</v>
      </c>
      <c r="E74" t="str">
        <f>Yardi!G72</f>
        <v>July Recurring Entries</v>
      </c>
      <c r="F74" t="str">
        <f>Yardi!H72</f>
        <v>Balance Sheet Entries</v>
      </c>
      <c r="G74">
        <f t="shared" si="5"/>
        <v>0</v>
      </c>
      <c r="H74" t="str">
        <f>Yardi!K72</f>
        <v>53070-000</v>
      </c>
      <c r="I74" t="str">
        <f>Yardi!I72</f>
        <v>mn610wes</v>
      </c>
      <c r="L74" t="str">
        <f>Yardi!O72</f>
        <v>07/2026 Prepaid Jonson Controls Fire Protection - 10.1.2024-9.30/2025 Fire Alarm Monitor-Bldg 3 Amortization</v>
      </c>
      <c r="M74" s="410">
        <f>Yardi!J72</f>
        <v>0</v>
      </c>
    </row>
    <row r="75" spans="1:13" x14ac:dyDescent="0.25">
      <c r="A75" t="str">
        <f t="shared" si="4"/>
        <v>#</v>
      </c>
      <c r="B75" t="s">
        <v>1980</v>
      </c>
      <c r="C75" s="260">
        <f>Yardi!E73</f>
        <v>46204</v>
      </c>
      <c r="E75" t="str">
        <f>Yardi!G73</f>
        <v>July Recurring Entries</v>
      </c>
      <c r="F75" t="str">
        <f>Yardi!H73</f>
        <v>Balance Sheet Entries</v>
      </c>
      <c r="G75">
        <f t="shared" si="5"/>
        <v>0</v>
      </c>
      <c r="H75">
        <f>Yardi!K73</f>
        <v>13085</v>
      </c>
      <c r="I75" t="str">
        <f>Yardi!I73</f>
        <v>mn610wes</v>
      </c>
      <c r="L75" t="str">
        <f>Yardi!O73</f>
        <v>07/2026 Prepaid Jonson Controls Fire Protection - 10.1.2024-9.30/2025 Fire Alarm Monitor-Bldg 3 Amortization</v>
      </c>
      <c r="M75" s="410">
        <f>Yardi!J73</f>
        <v>0</v>
      </c>
    </row>
    <row r="76" spans="1:13" x14ac:dyDescent="0.25">
      <c r="A76" t="str">
        <f t="shared" si="4"/>
        <v>#</v>
      </c>
      <c r="B76" t="s">
        <v>1980</v>
      </c>
      <c r="C76" s="260">
        <f>Yardi!E74</f>
        <v>46204</v>
      </c>
      <c r="E76" t="str">
        <f>Yardi!G74</f>
        <v>July Recurring Entries</v>
      </c>
      <c r="F76" t="str">
        <f>Yardi!H74</f>
        <v>Balance Sheet Entries</v>
      </c>
      <c r="G76">
        <f t="shared" si="5"/>
        <v>0</v>
      </c>
      <c r="H76" t="str">
        <f>Yardi!K74</f>
        <v>53070-000</v>
      </c>
      <c r="I76" t="str">
        <f>Yardi!I74</f>
        <v>mn610wes</v>
      </c>
      <c r="L76" t="str">
        <f>Yardi!O74</f>
        <v>07/2026 Prepaid Jonson Controls Fire Protection - 10.1.2024-9.30/2025 Fire Alarm Monitor-Bldg 4 Amortization</v>
      </c>
      <c r="M76" s="410">
        <f>Yardi!J74</f>
        <v>0</v>
      </c>
    </row>
    <row r="77" spans="1:13" x14ac:dyDescent="0.25">
      <c r="A77" t="str">
        <f t="shared" si="4"/>
        <v>#</v>
      </c>
      <c r="B77" t="s">
        <v>1980</v>
      </c>
      <c r="C77" s="260">
        <f>Yardi!E75</f>
        <v>46204</v>
      </c>
      <c r="E77" t="str">
        <f>Yardi!G75</f>
        <v>July Recurring Entries</v>
      </c>
      <c r="F77" t="str">
        <f>Yardi!H75</f>
        <v>Balance Sheet Entries</v>
      </c>
      <c r="G77">
        <f t="shared" si="5"/>
        <v>0</v>
      </c>
      <c r="H77">
        <f>Yardi!K75</f>
        <v>13085</v>
      </c>
      <c r="I77" t="str">
        <f>Yardi!I75</f>
        <v>mn610wes</v>
      </c>
      <c r="L77" t="str">
        <f>Yardi!O75</f>
        <v>07/2026 Prepaid Jonson Controls Fire Protection - 10.1.2024-9.30/2025 Fire Alarm Monitor-Bldg 4 Amortization</v>
      </c>
      <c r="M77" s="410">
        <f>Yardi!J75</f>
        <v>0</v>
      </c>
    </row>
    <row r="78" spans="1:13" x14ac:dyDescent="0.25">
      <c r="A78" t="str">
        <f t="shared" si="4"/>
        <v>#</v>
      </c>
      <c r="B78" t="s">
        <v>1980</v>
      </c>
      <c r="C78" s="260">
        <f>Yardi!E76</f>
        <v>46204</v>
      </c>
      <c r="E78" t="str">
        <f>Yardi!G76</f>
        <v>July Recurring Entries</v>
      </c>
      <c r="F78" t="str">
        <f>Yardi!H76</f>
        <v>Balance Sheet Entries</v>
      </c>
      <c r="G78">
        <f t="shared" si="5"/>
        <v>0</v>
      </c>
      <c r="H78" t="str">
        <f>Yardi!K76</f>
        <v>53070-000</v>
      </c>
      <c r="I78" t="str">
        <f>Yardi!I76</f>
        <v>mn610wes</v>
      </c>
      <c r="L78" t="str">
        <f>Yardi!O76</f>
        <v>07/2026 Prepaid Jonson Controls Fire Protection - 10.1.2024-9.30/2025 Fire Alarm Monitor-Bldg 1 Amortization</v>
      </c>
      <c r="M78" s="410">
        <f>Yardi!J76</f>
        <v>0</v>
      </c>
    </row>
    <row r="79" spans="1:13" x14ac:dyDescent="0.25">
      <c r="A79" t="str">
        <f t="shared" si="4"/>
        <v>#</v>
      </c>
      <c r="B79" t="s">
        <v>1980</v>
      </c>
      <c r="C79" s="260">
        <f>Yardi!E77</f>
        <v>46204</v>
      </c>
      <c r="E79" t="str">
        <f>Yardi!G77</f>
        <v>July Recurring Entries</v>
      </c>
      <c r="F79" t="str">
        <f>Yardi!H77</f>
        <v>Balance Sheet Entries</v>
      </c>
      <c r="G79">
        <f t="shared" si="5"/>
        <v>0</v>
      </c>
      <c r="H79">
        <f>Yardi!K77</f>
        <v>13085</v>
      </c>
      <c r="I79" t="str">
        <f>Yardi!I77</f>
        <v>mn610wes</v>
      </c>
      <c r="L79" t="str">
        <f>Yardi!O77</f>
        <v>07/2026 Prepaid Jonson Controls Fire Protection - 10.1.2024-9.30/2025 Fire Alarm Monitor-Bldg 1 Amortization</v>
      </c>
      <c r="M79" s="410">
        <f>Yardi!J77</f>
        <v>0</v>
      </c>
    </row>
    <row r="80" spans="1:13" x14ac:dyDescent="0.25">
      <c r="A80" t="str">
        <f t="shared" si="4"/>
        <v>#</v>
      </c>
      <c r="B80" t="s">
        <v>1980</v>
      </c>
      <c r="C80" s="260">
        <f>Yardi!E78</f>
        <v>46204</v>
      </c>
      <c r="E80" t="str">
        <f>Yardi!G78</f>
        <v>July Recurring Entries</v>
      </c>
      <c r="F80" t="str">
        <f>Yardi!H78</f>
        <v>Balance Sheet Entries</v>
      </c>
      <c r="G80">
        <f t="shared" si="5"/>
        <v>0</v>
      </c>
      <c r="H80" t="str">
        <f>Yardi!K78</f>
        <v>53070-000</v>
      </c>
      <c r="I80" t="str">
        <f>Yardi!I78</f>
        <v>mn610wes</v>
      </c>
      <c r="L80" t="str">
        <f>Yardi!O78</f>
        <v>07/2026 Prepaid Jonson Controls Fire Protection - 10.1.2024-9.30/2025 Fire Security-Bldg 2 Amortization</v>
      </c>
      <c r="M80" s="410">
        <f>Yardi!J78</f>
        <v>0</v>
      </c>
    </row>
    <row r="81" spans="1:13" x14ac:dyDescent="0.25">
      <c r="A81" t="str">
        <f t="shared" si="4"/>
        <v>#</v>
      </c>
      <c r="B81" t="s">
        <v>1980</v>
      </c>
      <c r="C81" s="260">
        <f>Yardi!E79</f>
        <v>46204</v>
      </c>
      <c r="E81" t="str">
        <f>Yardi!G79</f>
        <v>July Recurring Entries</v>
      </c>
      <c r="F81" t="str">
        <f>Yardi!H79</f>
        <v>Balance Sheet Entries</v>
      </c>
      <c r="G81">
        <f t="shared" si="5"/>
        <v>0</v>
      </c>
      <c r="H81">
        <f>Yardi!K79</f>
        <v>13085</v>
      </c>
      <c r="I81" t="str">
        <f>Yardi!I79</f>
        <v>mn610wes</v>
      </c>
      <c r="L81" t="str">
        <f>Yardi!O79</f>
        <v>07/2026 Prepaid Jonson Controls Fire Protection - 10.1.2024-9.30/2025 Fire Security-Bldg 2 Amortization</v>
      </c>
      <c r="M81" s="410">
        <f>Yardi!J79</f>
        <v>0</v>
      </c>
    </row>
    <row r="82" spans="1:13" x14ac:dyDescent="0.25">
      <c r="A82" t="str">
        <f t="shared" si="4"/>
        <v>#</v>
      </c>
      <c r="B82" t="s">
        <v>1980</v>
      </c>
      <c r="C82" s="260">
        <f>Yardi!E80</f>
        <v>46204</v>
      </c>
      <c r="E82" t="str">
        <f>Yardi!G80</f>
        <v>July Recurring Entries</v>
      </c>
      <c r="F82" t="str">
        <f>Yardi!H80</f>
        <v>Balance Sheet Entries</v>
      </c>
      <c r="G82">
        <f t="shared" si="5"/>
        <v>0</v>
      </c>
      <c r="H82" t="str">
        <f>Yardi!K80</f>
        <v>53070-000</v>
      </c>
      <c r="I82" t="str">
        <f>Yardi!I80</f>
        <v>mn610wes</v>
      </c>
      <c r="L82" t="str">
        <f>Yardi!O80</f>
        <v>07/2026 Prepaid Jonson Controls Fire Protection - 10.1.2024-9.30/2025 Fire Security-Bldg 1 Amortization</v>
      </c>
      <c r="M82" s="410">
        <f>Yardi!J80</f>
        <v>0</v>
      </c>
    </row>
    <row r="83" spans="1:13" x14ac:dyDescent="0.25">
      <c r="A83" t="str">
        <f t="shared" si="4"/>
        <v>#</v>
      </c>
      <c r="B83" t="s">
        <v>1980</v>
      </c>
      <c r="C83" s="260">
        <f>Yardi!E81</f>
        <v>46204</v>
      </c>
      <c r="E83" t="str">
        <f>Yardi!G81</f>
        <v>July Recurring Entries</v>
      </c>
      <c r="F83" t="str">
        <f>Yardi!H81</f>
        <v>Balance Sheet Entries</v>
      </c>
      <c r="G83">
        <f t="shared" si="5"/>
        <v>0</v>
      </c>
      <c r="H83">
        <f>Yardi!K81</f>
        <v>13085</v>
      </c>
      <c r="I83" t="str">
        <f>Yardi!I81</f>
        <v>mn610wes</v>
      </c>
      <c r="L83" t="str">
        <f>Yardi!O81</f>
        <v>07/2026 Prepaid Jonson Controls Fire Protection - 10.1.2024-9.30/2025 Fire Security-Bldg 1 Amortization</v>
      </c>
      <c r="M83" s="410">
        <f>Yardi!J81</f>
        <v>0</v>
      </c>
    </row>
    <row r="84" spans="1:13" x14ac:dyDescent="0.25">
      <c r="A84" t="str">
        <f t="shared" si="4"/>
        <v>#</v>
      </c>
      <c r="B84" t="s">
        <v>1980</v>
      </c>
      <c r="C84" s="260">
        <f>Yardi!E82</f>
        <v>46204</v>
      </c>
      <c r="E84" t="str">
        <f>Yardi!G82</f>
        <v>July Recurring Entries</v>
      </c>
      <c r="F84" t="str">
        <f>Yardi!H82</f>
        <v>Balance Sheet Entries</v>
      </c>
      <c r="G84">
        <f t="shared" si="5"/>
        <v>0</v>
      </c>
      <c r="H84" t="str">
        <f>Yardi!K82</f>
        <v>53070-000</v>
      </c>
      <c r="I84" t="str">
        <f>Yardi!I82</f>
        <v>mn610wes</v>
      </c>
      <c r="L84" t="str">
        <f>Yardi!O82</f>
        <v>07/2026 Prepaid Jonson Controls Fire Protection - 10.1.2024-9.30/2025 Fire Security-Bldg 4 Amortization</v>
      </c>
      <c r="M84" s="410">
        <f>Yardi!J82</f>
        <v>0</v>
      </c>
    </row>
    <row r="85" spans="1:13" x14ac:dyDescent="0.25">
      <c r="A85" t="str">
        <f t="shared" si="4"/>
        <v>#</v>
      </c>
      <c r="B85" t="s">
        <v>1980</v>
      </c>
      <c r="C85" s="260">
        <f>Yardi!E83</f>
        <v>46204</v>
      </c>
      <c r="E85" t="str">
        <f>Yardi!G83</f>
        <v>July Recurring Entries</v>
      </c>
      <c r="F85" t="str">
        <f>Yardi!H83</f>
        <v>Balance Sheet Entries</v>
      </c>
      <c r="G85">
        <f t="shared" si="5"/>
        <v>0</v>
      </c>
      <c r="H85">
        <f>Yardi!K83</f>
        <v>13085</v>
      </c>
      <c r="I85" t="str">
        <f>Yardi!I83</f>
        <v>mn610wes</v>
      </c>
      <c r="L85" t="str">
        <f>Yardi!O83</f>
        <v>07/2026 Prepaid Jonson Controls Fire Protection - 10.1.2024-9.30/2025 Fire Security-Bldg 4 Amortization</v>
      </c>
      <c r="M85" s="410">
        <f>Yardi!J83</f>
        <v>0</v>
      </c>
    </row>
    <row r="86" spans="1:13" x14ac:dyDescent="0.25">
      <c r="A86" t="str">
        <f t="shared" si="4"/>
        <v>#</v>
      </c>
      <c r="B86" t="s">
        <v>1980</v>
      </c>
      <c r="C86" s="260">
        <f>Yardi!E84</f>
        <v>46204</v>
      </c>
      <c r="E86" t="str">
        <f>Yardi!G84</f>
        <v>July Recurring Entries</v>
      </c>
      <c r="F86" t="str">
        <f>Yardi!H84</f>
        <v>Balance Sheet Entries</v>
      </c>
      <c r="G86">
        <f t="shared" si="5"/>
        <v>0</v>
      </c>
      <c r="H86" t="str">
        <f>Yardi!K84</f>
        <v>53070-000</v>
      </c>
      <c r="I86" t="str">
        <f>Yardi!I84</f>
        <v>mn610wes</v>
      </c>
      <c r="L86" t="str">
        <f>Yardi!O84</f>
        <v>07/2026 Prepaid Jonson Controls Fire Protection - 10.1.2024-9.30/2025 Fire Security-Bldg 3 Amortization</v>
      </c>
      <c r="M86" s="410">
        <f>Yardi!J84</f>
        <v>0</v>
      </c>
    </row>
    <row r="87" spans="1:13" x14ac:dyDescent="0.25">
      <c r="A87" t="str">
        <f t="shared" si="4"/>
        <v>#</v>
      </c>
      <c r="B87" t="s">
        <v>1980</v>
      </c>
      <c r="C87" s="260">
        <f>Yardi!E85</f>
        <v>46204</v>
      </c>
      <c r="E87" t="str">
        <f>Yardi!G85</f>
        <v>July Recurring Entries</v>
      </c>
      <c r="F87" t="str">
        <f>Yardi!H85</f>
        <v>Balance Sheet Entries</v>
      </c>
      <c r="G87">
        <f t="shared" si="5"/>
        <v>0</v>
      </c>
      <c r="H87">
        <f>Yardi!K85</f>
        <v>13085</v>
      </c>
      <c r="I87" t="str">
        <f>Yardi!I85</f>
        <v>mn610wes</v>
      </c>
      <c r="L87" t="str">
        <f>Yardi!O85</f>
        <v>07/2026 Prepaid Jonson Controls Fire Protection - 10.1.2024-9.30/2025 Fire Security-Bldg 3 Amortization</v>
      </c>
      <c r="M87" s="410">
        <f>Yardi!J85</f>
        <v>0</v>
      </c>
    </row>
    <row r="88" spans="1:13" x14ac:dyDescent="0.25">
      <c r="A88" t="str">
        <f t="shared" si="4"/>
        <v>#</v>
      </c>
      <c r="B88" t="s">
        <v>1980</v>
      </c>
      <c r="C88" s="260">
        <f>Yardi!E86</f>
        <v>46204</v>
      </c>
      <c r="E88" t="str">
        <f>Yardi!G86</f>
        <v>July Recurring Entries</v>
      </c>
      <c r="F88" t="str">
        <f>Yardi!H86</f>
        <v>Balance Sheet Entries</v>
      </c>
      <c r="G88">
        <f t="shared" si="5"/>
        <v>0</v>
      </c>
      <c r="H88" t="str">
        <f>Yardi!K86</f>
        <v>53070-000</v>
      </c>
      <c r="I88" t="str">
        <f>Yardi!I86</f>
        <v>mn610wes</v>
      </c>
      <c r="L88" t="str">
        <f>Yardi!O86</f>
        <v>07/2026 Prepaid Johnson Controls Fire Protection Annual Invoice 3.1.25-2.28.26 Amortization</v>
      </c>
      <c r="M88" s="410">
        <f>Yardi!J86</f>
        <v>0</v>
      </c>
    </row>
    <row r="89" spans="1:13" x14ac:dyDescent="0.25">
      <c r="A89" t="str">
        <f t="shared" si="4"/>
        <v>#</v>
      </c>
      <c r="B89" t="s">
        <v>1980</v>
      </c>
      <c r="C89" s="260">
        <f>Yardi!E87</f>
        <v>46204</v>
      </c>
      <c r="E89" t="str">
        <f>Yardi!G87</f>
        <v>July Recurring Entries</v>
      </c>
      <c r="F89" t="str">
        <f>Yardi!H87</f>
        <v>Balance Sheet Entries</v>
      </c>
      <c r="G89">
        <f t="shared" si="5"/>
        <v>0</v>
      </c>
      <c r="H89">
        <f>Yardi!K87</f>
        <v>13085</v>
      </c>
      <c r="I89" t="str">
        <f>Yardi!I87</f>
        <v>mn610wes</v>
      </c>
      <c r="L89" t="str">
        <f>Yardi!O87</f>
        <v>07/2026 Prepaid Johnson Controls Fire Protection Annual Invoice 3.1.25-2.28.26 Amortization</v>
      </c>
      <c r="M89" s="410">
        <f>Yardi!J87</f>
        <v>0</v>
      </c>
    </row>
    <row r="90" spans="1:13" x14ac:dyDescent="0.25">
      <c r="A90" t="str">
        <f t="shared" si="4"/>
        <v>#</v>
      </c>
      <c r="B90" t="s">
        <v>1980</v>
      </c>
      <c r="C90" s="260">
        <f>Yardi!E88</f>
        <v>46204</v>
      </c>
      <c r="E90" t="str">
        <f>Yardi!G88</f>
        <v>July Recurring Entries</v>
      </c>
      <c r="F90" t="str">
        <f>Yardi!H88</f>
        <v>Balance Sheet Entries</v>
      </c>
      <c r="G90">
        <f t="shared" si="5"/>
        <v>0</v>
      </c>
      <c r="H90" t="str">
        <f>Yardi!K88</f>
        <v>53070-000</v>
      </c>
      <c r="I90" t="str">
        <f>Yardi!I88</f>
        <v>mn610wes</v>
      </c>
      <c r="L90" t="str">
        <f>Yardi!O88</f>
        <v>07/2026 Prepaid Johnson Controls Fire Protection Annual Invoice 3.1.25-2.28.26 Amortization</v>
      </c>
      <c r="M90" s="410">
        <f>Yardi!J88</f>
        <v>0</v>
      </c>
    </row>
    <row r="91" spans="1:13" x14ac:dyDescent="0.25">
      <c r="A91" t="str">
        <f t="shared" si="4"/>
        <v>#</v>
      </c>
      <c r="B91" t="s">
        <v>1980</v>
      </c>
      <c r="C91" s="260">
        <f>Yardi!E89</f>
        <v>46204</v>
      </c>
      <c r="E91" t="str">
        <f>Yardi!G89</f>
        <v>July Recurring Entries</v>
      </c>
      <c r="F91" t="str">
        <f>Yardi!H89</f>
        <v>Balance Sheet Entries</v>
      </c>
      <c r="G91">
        <f t="shared" si="5"/>
        <v>0</v>
      </c>
      <c r="H91">
        <f>Yardi!K89</f>
        <v>13085</v>
      </c>
      <c r="I91" t="str">
        <f>Yardi!I89</f>
        <v>mn610wes</v>
      </c>
      <c r="L91" t="str">
        <f>Yardi!O89</f>
        <v>07/2026 Prepaid Johnson Controls Fire Protection Annual Invoice 3.1.25-2.28.26 Amortization</v>
      </c>
      <c r="M91" s="410">
        <f>Yardi!J89</f>
        <v>0</v>
      </c>
    </row>
    <row r="92" spans="1:13" x14ac:dyDescent="0.25">
      <c r="A92" t="str">
        <f t="shared" si="4"/>
        <v>#</v>
      </c>
      <c r="B92" t="s">
        <v>1980</v>
      </c>
      <c r="C92" s="260">
        <f>Yardi!E90</f>
        <v>46204</v>
      </c>
      <c r="E92" t="str">
        <f>Yardi!G90</f>
        <v>July Recurring Entries</v>
      </c>
      <c r="F92" t="str">
        <f>Yardi!H90</f>
        <v>Balance Sheet Entries</v>
      </c>
      <c r="G92">
        <f t="shared" si="5"/>
        <v>0</v>
      </c>
      <c r="H92" t="str">
        <f>Yardi!K90</f>
        <v>53070-000</v>
      </c>
      <c r="I92" t="str">
        <f>Yardi!I90</f>
        <v>mn610wes</v>
      </c>
      <c r="L92" t="str">
        <f>Yardi!O90</f>
        <v>07/2026 Prepaid Johnson Controls Fire Protection Invoice 9.25-2.26 Amortization</v>
      </c>
      <c r="M92" s="410">
        <f>Yardi!J90</f>
        <v>0</v>
      </c>
    </row>
    <row r="93" spans="1:13" x14ac:dyDescent="0.25">
      <c r="A93" t="str">
        <f t="shared" si="4"/>
        <v>#</v>
      </c>
      <c r="B93" t="s">
        <v>1980</v>
      </c>
      <c r="C93" s="260">
        <f>Yardi!E91</f>
        <v>46204</v>
      </c>
      <c r="E93" t="str">
        <f>Yardi!G91</f>
        <v>July Recurring Entries</v>
      </c>
      <c r="F93" t="str">
        <f>Yardi!H91</f>
        <v>Balance Sheet Entries</v>
      </c>
      <c r="G93">
        <f t="shared" si="5"/>
        <v>0</v>
      </c>
      <c r="H93">
        <f>Yardi!K91</f>
        <v>13085</v>
      </c>
      <c r="I93" t="str">
        <f>Yardi!I91</f>
        <v>mn610wes</v>
      </c>
      <c r="L93" t="str">
        <f>Yardi!O91</f>
        <v>07/2026 Prepaid Johnson Controls Fire Protection Invoice 9.25-2.26 Amortization</v>
      </c>
      <c r="M93" s="410">
        <f>Yardi!J91</f>
        <v>0</v>
      </c>
    </row>
    <row r="94" spans="1:13" x14ac:dyDescent="0.25">
      <c r="A94" t="str">
        <f t="shared" si="4"/>
        <v>#</v>
      </c>
      <c r="B94" t="s">
        <v>1980</v>
      </c>
      <c r="C94" s="260">
        <f>Yardi!E92</f>
        <v>46204</v>
      </c>
      <c r="E94" t="str">
        <f>Yardi!G92</f>
        <v>July Recurring Entries</v>
      </c>
      <c r="F94" t="str">
        <f>Yardi!H92</f>
        <v>Balance Sheet Entries</v>
      </c>
      <c r="G94">
        <f t="shared" si="5"/>
        <v>0</v>
      </c>
      <c r="H94" t="str">
        <f>Yardi!K92</f>
        <v>53070-000</v>
      </c>
      <c r="I94" t="str">
        <f>Yardi!I92</f>
        <v>mn610wes</v>
      </c>
      <c r="L94" t="str">
        <f>Yardi!O92</f>
        <v>07/2026 Prepaid Johnson Controls Fire Protection Invoice 9.25-2.26 Amortization</v>
      </c>
      <c r="M94" s="410">
        <f>Yardi!J92</f>
        <v>0</v>
      </c>
    </row>
    <row r="95" spans="1:13" x14ac:dyDescent="0.25">
      <c r="A95" t="str">
        <f t="shared" si="4"/>
        <v>#</v>
      </c>
      <c r="B95" t="s">
        <v>1980</v>
      </c>
      <c r="C95" s="260">
        <f>Yardi!E93</f>
        <v>46204</v>
      </c>
      <c r="E95" t="str">
        <f>Yardi!G93</f>
        <v>July Recurring Entries</v>
      </c>
      <c r="F95" t="str">
        <f>Yardi!H93</f>
        <v>Balance Sheet Entries</v>
      </c>
      <c r="G95">
        <f t="shared" si="5"/>
        <v>0</v>
      </c>
      <c r="H95">
        <f>Yardi!K93</f>
        <v>13085</v>
      </c>
      <c r="I95" t="str">
        <f>Yardi!I93</f>
        <v>mn610wes</v>
      </c>
      <c r="L95" t="str">
        <f>Yardi!O93</f>
        <v>07/2026 Prepaid Johnson Controls Fire Protection Invoice 9.25-2.26 Amortization</v>
      </c>
      <c r="M95" s="410">
        <f>Yardi!J93</f>
        <v>0</v>
      </c>
    </row>
    <row r="96" spans="1:13" x14ac:dyDescent="0.25">
      <c r="A96" t="str">
        <f t="shared" si="4"/>
        <v>#</v>
      </c>
      <c r="B96" t="s">
        <v>1980</v>
      </c>
      <c r="C96" s="260">
        <f>Yardi!E94</f>
        <v>46204</v>
      </c>
      <c r="E96" t="str">
        <f>Yardi!G94</f>
        <v>July Recurring Entries</v>
      </c>
      <c r="F96" t="str">
        <f>Yardi!H94</f>
        <v>Balance Sheet Entries</v>
      </c>
      <c r="G96">
        <f t="shared" si="5"/>
        <v>0</v>
      </c>
      <c r="H96" t="str">
        <f>Yardi!K94</f>
        <v>53070-000</v>
      </c>
      <c r="I96" t="str">
        <f>Yardi!I94</f>
        <v>mn610wes</v>
      </c>
      <c r="L96" t="str">
        <f>Yardi!O94</f>
        <v>07/2026 Prepaid Johnson Controls Fire Protection Invoice 9.25-2.26 Amortization</v>
      </c>
      <c r="M96" s="410">
        <f>Yardi!J94</f>
        <v>0</v>
      </c>
    </row>
    <row r="97" spans="1:13" x14ac:dyDescent="0.25">
      <c r="A97" t="str">
        <f t="shared" si="4"/>
        <v>#</v>
      </c>
      <c r="B97" t="s">
        <v>1980</v>
      </c>
      <c r="C97" s="260">
        <f>Yardi!E95</f>
        <v>46204</v>
      </c>
      <c r="E97" t="str">
        <f>Yardi!G95</f>
        <v>July Recurring Entries</v>
      </c>
      <c r="F97" t="str">
        <f>Yardi!H95</f>
        <v>Balance Sheet Entries</v>
      </c>
      <c r="G97">
        <f t="shared" si="5"/>
        <v>0</v>
      </c>
      <c r="H97">
        <f>Yardi!K95</f>
        <v>13085</v>
      </c>
      <c r="I97" t="str">
        <f>Yardi!I95</f>
        <v>mn610wes</v>
      </c>
      <c r="L97" t="str">
        <f>Yardi!O95</f>
        <v>07/2026 Prepaid Johnson Controls Fire Protection Invoice 9.25-2.26 Amortization</v>
      </c>
      <c r="M97" s="410">
        <f>Yardi!J95</f>
        <v>0</v>
      </c>
    </row>
    <row r="98" spans="1:13" x14ac:dyDescent="0.25">
      <c r="A98" t="str">
        <f t="shared" si="4"/>
        <v>#</v>
      </c>
      <c r="B98" t="s">
        <v>1980</v>
      </c>
      <c r="C98" s="260">
        <f>Yardi!E96</f>
        <v>46204</v>
      </c>
      <c r="E98" t="str">
        <f>Yardi!G96</f>
        <v>July Recurring Entries</v>
      </c>
      <c r="F98" t="str">
        <f>Yardi!H96</f>
        <v>Balance Sheet Entries</v>
      </c>
      <c r="G98">
        <f t="shared" si="5"/>
        <v>0</v>
      </c>
      <c r="H98" t="str">
        <f>Yardi!K96</f>
        <v>53070-000</v>
      </c>
      <c r="I98" t="str">
        <f>Yardi!I96</f>
        <v>mn610wes</v>
      </c>
      <c r="L98" t="str">
        <f>Yardi!O96</f>
        <v>07/2026 Prepaid Johnson Controls Fire Protection Invoice 9.25-2.26 Amortization</v>
      </c>
      <c r="M98" s="410">
        <f>Yardi!J96</f>
        <v>0</v>
      </c>
    </row>
    <row r="99" spans="1:13" x14ac:dyDescent="0.25">
      <c r="A99" t="str">
        <f t="shared" si="4"/>
        <v>#</v>
      </c>
      <c r="B99" t="s">
        <v>1980</v>
      </c>
      <c r="C99" s="260">
        <f>Yardi!E97</f>
        <v>46204</v>
      </c>
      <c r="E99" t="str">
        <f>Yardi!G97</f>
        <v>July Recurring Entries</v>
      </c>
      <c r="F99" t="str">
        <f>Yardi!H97</f>
        <v>Balance Sheet Entries</v>
      </c>
      <c r="G99">
        <f t="shared" si="5"/>
        <v>0</v>
      </c>
      <c r="H99">
        <f>Yardi!K97</f>
        <v>13085</v>
      </c>
      <c r="I99" t="str">
        <f>Yardi!I97</f>
        <v>mn610wes</v>
      </c>
      <c r="L99" t="str">
        <f>Yardi!O97</f>
        <v>07/2026 Prepaid Johnson Controls Fire Protection Invoice 9.25-2.26 Amortization</v>
      </c>
      <c r="M99" s="410">
        <f>Yardi!J97</f>
        <v>0</v>
      </c>
    </row>
    <row r="100" spans="1:13" x14ac:dyDescent="0.25">
      <c r="A100" t="str">
        <f t="shared" ref="A100:A131" si="6">IF(M100=0,"#","")</f>
        <v>#</v>
      </c>
      <c r="B100" t="s">
        <v>1980</v>
      </c>
      <c r="C100" s="260">
        <f>Yardi!E98</f>
        <v>46204</v>
      </c>
      <c r="E100" t="str">
        <f>Yardi!G98</f>
        <v>July Recurring Entries</v>
      </c>
      <c r="F100" t="str">
        <f>Yardi!H98</f>
        <v>Balance Sheet Entries</v>
      </c>
      <c r="G100">
        <f t="shared" si="5"/>
        <v>0</v>
      </c>
      <c r="H100" t="str">
        <f>Yardi!K98</f>
        <v>53070-000</v>
      </c>
      <c r="I100" t="str">
        <f>Yardi!I98</f>
        <v>mn610wes</v>
      </c>
      <c r="L100" t="str">
        <f>Yardi!O98</f>
        <v>07/2026 Prepaid Johnson Controls Fire Protection Invoice 9.25-2.26 Amortization</v>
      </c>
      <c r="M100" s="410">
        <f>Yardi!J98</f>
        <v>0</v>
      </c>
    </row>
    <row r="101" spans="1:13" x14ac:dyDescent="0.25">
      <c r="A101" t="str">
        <f t="shared" si="6"/>
        <v>#</v>
      </c>
      <c r="B101" t="s">
        <v>1980</v>
      </c>
      <c r="C101" s="260">
        <f>Yardi!E99</f>
        <v>46204</v>
      </c>
      <c r="E101" t="str">
        <f>Yardi!G99</f>
        <v>July Recurring Entries</v>
      </c>
      <c r="F101" t="str">
        <f>Yardi!H99</f>
        <v>Balance Sheet Entries</v>
      </c>
      <c r="G101">
        <f t="shared" ref="G101:G132" si="7">IF(A101="#",G100,G100+1)</f>
        <v>0</v>
      </c>
      <c r="H101">
        <f>Yardi!K99</f>
        <v>13085</v>
      </c>
      <c r="I101" t="str">
        <f>Yardi!I99</f>
        <v>mn610wes</v>
      </c>
      <c r="L101" t="str">
        <f>Yardi!O99</f>
        <v>07/2026 Prepaid Johnson Controls Fire Protection Invoice 9.25-2.26 Amortization</v>
      </c>
      <c r="M101" s="410">
        <f>Yardi!J99</f>
        <v>0</v>
      </c>
    </row>
    <row r="102" spans="1:13" x14ac:dyDescent="0.25">
      <c r="A102" t="str">
        <f t="shared" si="6"/>
        <v>#</v>
      </c>
      <c r="B102" t="s">
        <v>1980</v>
      </c>
      <c r="C102" s="260">
        <f>Yardi!E100</f>
        <v>46204</v>
      </c>
      <c r="E102" t="str">
        <f>Yardi!G100</f>
        <v>July Recurring Entries</v>
      </c>
      <c r="F102" t="str">
        <f>Yardi!H100</f>
        <v>Balance Sheet Entries</v>
      </c>
      <c r="G102">
        <f t="shared" si="7"/>
        <v>0</v>
      </c>
      <c r="H102" t="str">
        <f>Yardi!K100</f>
        <v>53070-000</v>
      </c>
      <c r="I102" t="str">
        <f>Yardi!I100</f>
        <v>mn610wes</v>
      </c>
      <c r="L102" t="str">
        <f>Yardi!O100</f>
        <v>07/2026 Prepaid Johnson Controls Fire Protection Invoice 9.25-2.26 Amortization</v>
      </c>
      <c r="M102" s="410">
        <f>Yardi!J100</f>
        <v>0</v>
      </c>
    </row>
    <row r="103" spans="1:13" x14ac:dyDescent="0.25">
      <c r="A103" t="str">
        <f t="shared" si="6"/>
        <v>#</v>
      </c>
      <c r="B103" t="s">
        <v>1980</v>
      </c>
      <c r="C103" s="260">
        <f>Yardi!E101</f>
        <v>46204</v>
      </c>
      <c r="E103" t="str">
        <f>Yardi!G101</f>
        <v>July Recurring Entries</v>
      </c>
      <c r="F103" t="str">
        <f>Yardi!H101</f>
        <v>Balance Sheet Entries</v>
      </c>
      <c r="G103">
        <f t="shared" si="7"/>
        <v>0</v>
      </c>
      <c r="H103">
        <f>Yardi!K101</f>
        <v>13085</v>
      </c>
      <c r="I103" t="str">
        <f>Yardi!I101</f>
        <v>mn610wes</v>
      </c>
      <c r="L103" t="str">
        <f>Yardi!O101</f>
        <v>07/2026 Prepaid Johnson Controls Fire Protection Invoice 9.25-2.26 Amortization</v>
      </c>
      <c r="M103" s="410">
        <f>Yardi!J101</f>
        <v>0</v>
      </c>
    </row>
    <row r="104" spans="1:13" x14ac:dyDescent="0.25">
      <c r="A104" t="str">
        <f t="shared" si="6"/>
        <v>#</v>
      </c>
      <c r="B104" t="s">
        <v>1980</v>
      </c>
      <c r="C104" s="260">
        <f>Yardi!E102</f>
        <v>46204</v>
      </c>
      <c r="E104" t="str">
        <f>Yardi!G102</f>
        <v>July Recurring Entries</v>
      </c>
      <c r="F104" t="str">
        <f>Yardi!H102</f>
        <v>Balance Sheet Entries</v>
      </c>
      <c r="G104">
        <f t="shared" si="7"/>
        <v>0</v>
      </c>
      <c r="H104" t="str">
        <f>Yardi!K102</f>
        <v>53070-000</v>
      </c>
      <c r="I104" t="str">
        <f>Yardi!I102</f>
        <v>mn610wes</v>
      </c>
      <c r="L104" t="str">
        <f>Yardi!O102</f>
        <v>07/2026 Prepaid Johnson Controls Fire Protection Invoice 9.25-2.26 Amortization</v>
      </c>
      <c r="M104" s="410">
        <f>Yardi!J102</f>
        <v>0</v>
      </c>
    </row>
    <row r="105" spans="1:13" x14ac:dyDescent="0.25">
      <c r="A105" t="str">
        <f t="shared" si="6"/>
        <v>#</v>
      </c>
      <c r="B105" t="s">
        <v>1980</v>
      </c>
      <c r="C105" s="260">
        <f>Yardi!E103</f>
        <v>46204</v>
      </c>
      <c r="E105" t="str">
        <f>Yardi!G103</f>
        <v>July Recurring Entries</v>
      </c>
      <c r="F105" t="str">
        <f>Yardi!H103</f>
        <v>Balance Sheet Entries</v>
      </c>
      <c r="G105">
        <f t="shared" si="7"/>
        <v>0</v>
      </c>
      <c r="H105">
        <f>Yardi!K103</f>
        <v>13085</v>
      </c>
      <c r="I105" t="str">
        <f>Yardi!I103</f>
        <v>mn610wes</v>
      </c>
      <c r="L105" t="str">
        <f>Yardi!O103</f>
        <v>07/2026 Prepaid Johnson Controls Fire Protection Invoice 9.25-2.26 Amortization</v>
      </c>
      <c r="M105" s="410">
        <f>Yardi!J103</f>
        <v>0</v>
      </c>
    </row>
    <row r="106" spans="1:13" x14ac:dyDescent="0.25">
      <c r="A106" t="str">
        <f t="shared" si="6"/>
        <v>#</v>
      </c>
      <c r="B106" t="s">
        <v>1980</v>
      </c>
      <c r="C106" s="260">
        <f>Yardi!E104</f>
        <v>46204</v>
      </c>
      <c r="E106" t="str">
        <f>Yardi!G104</f>
        <v>July Recurring Entries</v>
      </c>
      <c r="F106" t="str">
        <f>Yardi!H104</f>
        <v>Balance Sheet Entries</v>
      </c>
      <c r="G106">
        <f t="shared" si="7"/>
        <v>0</v>
      </c>
      <c r="H106" t="e">
        <f>Yardi!K104</f>
        <v>#REF!</v>
      </c>
      <c r="I106" t="str">
        <f>Yardi!I104</f>
        <v>mn610wes</v>
      </c>
      <c r="L106" t="e">
        <f>Yardi!O104</f>
        <v>#REF!</v>
      </c>
      <c r="M106" s="410">
        <f>Yardi!J104</f>
        <v>0</v>
      </c>
    </row>
    <row r="107" spans="1:13" x14ac:dyDescent="0.25">
      <c r="A107" t="str">
        <f t="shared" si="6"/>
        <v>#</v>
      </c>
      <c r="B107" t="s">
        <v>1980</v>
      </c>
      <c r="C107" s="260">
        <f>Yardi!E105</f>
        <v>46204</v>
      </c>
      <c r="E107" t="str">
        <f>Yardi!G105</f>
        <v>July Recurring Entries</v>
      </c>
      <c r="F107" t="str">
        <f>Yardi!H105</f>
        <v>Balance Sheet Entries</v>
      </c>
      <c r="G107">
        <f t="shared" si="7"/>
        <v>0</v>
      </c>
      <c r="H107">
        <f>Yardi!K105</f>
        <v>13085</v>
      </c>
      <c r="I107" t="str">
        <f>Yardi!I105</f>
        <v>mn610wes</v>
      </c>
      <c r="L107" t="e">
        <f>Yardi!O105</f>
        <v>#REF!</v>
      </c>
      <c r="M107" s="410">
        <f>Yardi!J105</f>
        <v>0</v>
      </c>
    </row>
    <row r="108" spans="1:13" x14ac:dyDescent="0.25">
      <c r="A108" t="str">
        <f t="shared" si="6"/>
        <v>#</v>
      </c>
      <c r="B108" t="s">
        <v>1980</v>
      </c>
      <c r="C108" s="260">
        <f>Yardi!E106</f>
        <v>46204</v>
      </c>
      <c r="E108" t="str">
        <f>Yardi!G106</f>
        <v>July Recurring Entries</v>
      </c>
      <c r="F108" t="str">
        <f>Yardi!H106</f>
        <v>Balance Sheet Entries</v>
      </c>
      <c r="G108">
        <f t="shared" si="7"/>
        <v>0</v>
      </c>
      <c r="H108" t="e">
        <f>Yardi!K106</f>
        <v>#REF!</v>
      </c>
      <c r="I108" t="str">
        <f>Yardi!I106</f>
        <v>mn610wes</v>
      </c>
      <c r="L108" t="e">
        <f>Yardi!O106</f>
        <v>#REF!</v>
      </c>
      <c r="M108" s="410">
        <f>Yardi!J106</f>
        <v>0</v>
      </c>
    </row>
    <row r="109" spans="1:13" x14ac:dyDescent="0.25">
      <c r="A109" t="str">
        <f t="shared" si="6"/>
        <v>#</v>
      </c>
      <c r="B109" t="s">
        <v>1980</v>
      </c>
      <c r="C109" s="260">
        <f>Yardi!E107</f>
        <v>46204</v>
      </c>
      <c r="E109" t="str">
        <f>Yardi!G107</f>
        <v>July Recurring Entries</v>
      </c>
      <c r="F109" t="str">
        <f>Yardi!H107</f>
        <v>Balance Sheet Entries</v>
      </c>
      <c r="G109">
        <f t="shared" si="7"/>
        <v>0</v>
      </c>
      <c r="H109">
        <f>Yardi!K107</f>
        <v>13085</v>
      </c>
      <c r="I109" t="str">
        <f>Yardi!I107</f>
        <v>mn610wes</v>
      </c>
      <c r="L109" t="e">
        <f>Yardi!O107</f>
        <v>#REF!</v>
      </c>
      <c r="M109" s="410">
        <f>Yardi!J107</f>
        <v>0</v>
      </c>
    </row>
    <row r="110" spans="1:13" x14ac:dyDescent="0.25">
      <c r="A110" t="str">
        <f t="shared" si="6"/>
        <v>#</v>
      </c>
      <c r="B110" t="s">
        <v>1980</v>
      </c>
      <c r="C110" s="260">
        <f>Yardi!E108</f>
        <v>46204</v>
      </c>
      <c r="E110" t="str">
        <f>Yardi!G108</f>
        <v>July Recurring Entries</v>
      </c>
      <c r="F110" t="str">
        <f>Yardi!H108</f>
        <v>Balance Sheet Entries</v>
      </c>
      <c r="G110">
        <f t="shared" si="7"/>
        <v>0</v>
      </c>
      <c r="H110" t="str">
        <f>Yardi!K108</f>
        <v>58280-000</v>
      </c>
      <c r="I110" t="str">
        <f>Yardi!I108</f>
        <v>mn610wes</v>
      </c>
      <c r="L110" t="str">
        <f>Yardi!O108</f>
        <v>07/2026 Prepaid 09/25 Year Renewal MultiHousing Association 9/25-9/26 Amortization</v>
      </c>
      <c r="M110" s="410">
        <f>Yardi!J108</f>
        <v>0</v>
      </c>
    </row>
    <row r="111" spans="1:13" x14ac:dyDescent="0.25">
      <c r="A111" t="str">
        <f t="shared" si="6"/>
        <v>#</v>
      </c>
      <c r="B111" t="s">
        <v>1980</v>
      </c>
      <c r="C111" s="260">
        <f>Yardi!E109</f>
        <v>46204</v>
      </c>
      <c r="E111" t="str">
        <f>Yardi!G109</f>
        <v>July Recurring Entries</v>
      </c>
      <c r="F111" t="str">
        <f>Yardi!H109</f>
        <v>Balance Sheet Entries</v>
      </c>
      <c r="G111">
        <f t="shared" si="7"/>
        <v>0</v>
      </c>
      <c r="H111">
        <f>Yardi!K109</f>
        <v>13085</v>
      </c>
      <c r="I111" t="str">
        <f>Yardi!I109</f>
        <v>mn610wes</v>
      </c>
      <c r="L111" t="str">
        <f>Yardi!O109</f>
        <v>07/2026 Prepaid 09/25 Year Renewal MultiHousing Association 9/25-9/26 Amortization</v>
      </c>
      <c r="M111" s="410">
        <f>Yardi!J109</f>
        <v>0</v>
      </c>
    </row>
    <row r="112" spans="1:13" x14ac:dyDescent="0.25">
      <c r="A112" t="str">
        <f t="shared" si="6"/>
        <v>#</v>
      </c>
      <c r="B112" t="s">
        <v>1980</v>
      </c>
      <c r="C112" s="260">
        <f>Yardi!E110</f>
        <v>46204</v>
      </c>
      <c r="E112" t="str">
        <f>Yardi!G110</f>
        <v>July Recurring Entries</v>
      </c>
      <c r="F112" t="str">
        <f>Yardi!H110</f>
        <v>Balance Sheet Entries</v>
      </c>
      <c r="G112">
        <f t="shared" si="7"/>
        <v>0</v>
      </c>
      <c r="H112" t="e">
        <f>Yardi!K110</f>
        <v>#REF!</v>
      </c>
      <c r="I112" t="str">
        <f>Yardi!I110</f>
        <v>mn610wes</v>
      </c>
      <c r="L112" t="e">
        <f>Yardi!O110</f>
        <v>#REF!</v>
      </c>
      <c r="M112" s="410">
        <f>Yardi!J110</f>
        <v>0</v>
      </c>
    </row>
    <row r="113" spans="1:13" x14ac:dyDescent="0.25">
      <c r="A113" t="str">
        <f t="shared" si="6"/>
        <v>#</v>
      </c>
      <c r="B113" t="s">
        <v>1980</v>
      </c>
      <c r="C113" s="260">
        <f>Yardi!E111</f>
        <v>46204</v>
      </c>
      <c r="E113" t="str">
        <f>Yardi!G111</f>
        <v>July Recurring Entries</v>
      </c>
      <c r="F113" t="str">
        <f>Yardi!H111</f>
        <v>Balance Sheet Entries</v>
      </c>
      <c r="G113">
        <f t="shared" si="7"/>
        <v>0</v>
      </c>
      <c r="H113">
        <f>Yardi!K111</f>
        <v>13085</v>
      </c>
      <c r="I113" t="str">
        <f>Yardi!I111</f>
        <v>mn610wes</v>
      </c>
      <c r="L113" t="e">
        <f>Yardi!O111</f>
        <v>#REF!</v>
      </c>
      <c r="M113" s="410">
        <f>Yardi!J111</f>
        <v>0</v>
      </c>
    </row>
    <row r="114" spans="1:13" x14ac:dyDescent="0.25">
      <c r="A114" t="str">
        <f t="shared" si="6"/>
        <v>#</v>
      </c>
      <c r="B114" t="s">
        <v>1980</v>
      </c>
      <c r="C114" s="260">
        <f>Yardi!E112</f>
        <v>46204</v>
      </c>
      <c r="E114" t="str">
        <f>Yardi!G112</f>
        <v>July Recurring Entries</v>
      </c>
      <c r="F114" t="str">
        <f>Yardi!H112</f>
        <v>Balance Sheet Entries</v>
      </c>
      <c r="G114">
        <f t="shared" si="7"/>
        <v>0</v>
      </c>
      <c r="H114" t="str">
        <f>Yardi!K112</f>
        <v>53010-000</v>
      </c>
      <c r="I114" t="str">
        <f>Yardi!I112</f>
        <v>mn610wes</v>
      </c>
      <c r="L114" t="str">
        <f>Yardi!O112</f>
        <v>07/2026 Prepaid ButterflyMX Smart IntercomSoftware Subscription Term 11/1/25-9/30/26 Amortization</v>
      </c>
      <c r="M114" s="410">
        <f>Yardi!J112</f>
        <v>0</v>
      </c>
    </row>
    <row r="115" spans="1:13" x14ac:dyDescent="0.25">
      <c r="A115" t="str">
        <f t="shared" si="6"/>
        <v>#</v>
      </c>
      <c r="B115" t="s">
        <v>1980</v>
      </c>
      <c r="C115" s="260">
        <f>Yardi!E113</f>
        <v>46204</v>
      </c>
      <c r="E115" t="str">
        <f>Yardi!G113</f>
        <v>July Recurring Entries</v>
      </c>
      <c r="F115" t="str">
        <f>Yardi!H113</f>
        <v>Balance Sheet Entries</v>
      </c>
      <c r="G115">
        <f t="shared" si="7"/>
        <v>0</v>
      </c>
      <c r="H115">
        <f>Yardi!K113</f>
        <v>13085</v>
      </c>
      <c r="I115" t="str">
        <f>Yardi!I113</f>
        <v>mn610wes</v>
      </c>
      <c r="L115" t="str">
        <f>Yardi!O113</f>
        <v>07/2026 Prepaid ButterflyMX Smart IntercomSoftware Subscription Term 11/1/25-9/30/26 Amortization</v>
      </c>
      <c r="M115" s="410">
        <f>Yardi!J113</f>
        <v>0</v>
      </c>
    </row>
    <row r="116" spans="1:13" x14ac:dyDescent="0.25">
      <c r="A116" t="str">
        <f t="shared" si="6"/>
        <v>#</v>
      </c>
      <c r="B116" t="s">
        <v>1980</v>
      </c>
      <c r="C116" s="260">
        <f>Yardi!E114</f>
        <v>46204</v>
      </c>
      <c r="E116" t="str">
        <f>Yardi!G114</f>
        <v>July Recurring Entries</v>
      </c>
      <c r="F116" t="str">
        <f>Yardi!H114</f>
        <v>Balance Sheet Entries</v>
      </c>
      <c r="G116">
        <f t="shared" si="7"/>
        <v>0</v>
      </c>
      <c r="H116" t="e">
        <f>Yardi!K114</f>
        <v>#REF!</v>
      </c>
      <c r="I116" t="str">
        <f>Yardi!I114</f>
        <v>mn610wes</v>
      </c>
      <c r="L116" t="e">
        <f>Yardi!O114</f>
        <v>#REF!</v>
      </c>
      <c r="M116" s="410">
        <f>Yardi!J114</f>
        <v>0</v>
      </c>
    </row>
    <row r="117" spans="1:13" x14ac:dyDescent="0.25">
      <c r="A117" t="str">
        <f t="shared" si="6"/>
        <v>#</v>
      </c>
      <c r="B117" t="s">
        <v>1980</v>
      </c>
      <c r="C117" s="260">
        <f>Yardi!E115</f>
        <v>46204</v>
      </c>
      <c r="E117" t="str">
        <f>Yardi!G115</f>
        <v>July Recurring Entries</v>
      </c>
      <c r="F117" t="str">
        <f>Yardi!H115</f>
        <v>Balance Sheet Entries</v>
      </c>
      <c r="G117">
        <f t="shared" si="7"/>
        <v>0</v>
      </c>
      <c r="H117">
        <f>Yardi!K115</f>
        <v>13085</v>
      </c>
      <c r="I117" t="str">
        <f>Yardi!I115</f>
        <v>mn610wes</v>
      </c>
      <c r="L117" t="e">
        <f>Yardi!O115</f>
        <v>#REF!</v>
      </c>
      <c r="M117" s="410">
        <f>Yardi!J115</f>
        <v>0</v>
      </c>
    </row>
    <row r="118" spans="1:13" x14ac:dyDescent="0.25">
      <c r="A118" t="str">
        <f t="shared" si="6"/>
        <v>#</v>
      </c>
      <c r="B118" t="s">
        <v>1980</v>
      </c>
      <c r="C118" s="260">
        <f>Yardi!E116</f>
        <v>46204</v>
      </c>
      <c r="E118" t="str">
        <f>Yardi!G116</f>
        <v>July Recurring Entries</v>
      </c>
      <c r="F118" t="str">
        <f>Yardi!H116</f>
        <v>Balance Sheet Entries</v>
      </c>
      <c r="G118">
        <f t="shared" si="7"/>
        <v>0</v>
      </c>
      <c r="H118" t="str">
        <f>Yardi!K116</f>
        <v>54025-000</v>
      </c>
      <c r="I118" t="str">
        <f>Yardi!I116</f>
        <v>mn610wes</v>
      </c>
      <c r="L118" t="str">
        <f>Yardi!O116</f>
        <v>07/2026 Prepaid January Jonah Systems Amortization</v>
      </c>
      <c r="M118" s="410">
        <f>Yardi!J116</f>
        <v>0</v>
      </c>
    </row>
    <row r="119" spans="1:13" x14ac:dyDescent="0.25">
      <c r="A119" t="str">
        <f t="shared" si="6"/>
        <v>#</v>
      </c>
      <c r="B119" t="s">
        <v>1980</v>
      </c>
      <c r="C119" s="260">
        <f>Yardi!E117</f>
        <v>46204</v>
      </c>
      <c r="E119" t="str">
        <f>Yardi!G117</f>
        <v>July Recurring Entries</v>
      </c>
      <c r="F119" t="str">
        <f>Yardi!H117</f>
        <v>Balance Sheet Entries</v>
      </c>
      <c r="G119">
        <f t="shared" si="7"/>
        <v>0</v>
      </c>
      <c r="H119">
        <f>Yardi!K117</f>
        <v>13085</v>
      </c>
      <c r="I119" t="str">
        <f>Yardi!I117</f>
        <v>mn610wes</v>
      </c>
      <c r="L119" t="str">
        <f>Yardi!O117</f>
        <v>07/2026 Prepaid January Jonah Systems Amortization</v>
      </c>
      <c r="M119" s="410">
        <f>Yardi!J117</f>
        <v>0</v>
      </c>
    </row>
    <row r="120" spans="1:13" x14ac:dyDescent="0.25">
      <c r="A120" t="str">
        <f t="shared" si="6"/>
        <v>#</v>
      </c>
      <c r="B120" t="s">
        <v>1980</v>
      </c>
      <c r="C120" s="260">
        <f>Yardi!E118</f>
        <v>46204</v>
      </c>
      <c r="E120" t="str">
        <f>Yardi!G118</f>
        <v>July Recurring Entries</v>
      </c>
      <c r="F120" t="str">
        <f>Yardi!H118</f>
        <v>Balance Sheet Entries</v>
      </c>
      <c r="G120">
        <f t="shared" si="7"/>
        <v>0</v>
      </c>
      <c r="H120" t="str">
        <f>Yardi!K118</f>
        <v>54025-000</v>
      </c>
      <c r="I120" t="str">
        <f>Yardi!I118</f>
        <v>mn610wes</v>
      </c>
      <c r="L120" t="str">
        <f>Yardi!O118</f>
        <v>07/2026 Prepaid February Jonah Systems Amortization</v>
      </c>
      <c r="M120" s="410">
        <f>Yardi!J118</f>
        <v>0</v>
      </c>
    </row>
    <row r="121" spans="1:13" x14ac:dyDescent="0.25">
      <c r="A121" t="str">
        <f t="shared" si="6"/>
        <v>#</v>
      </c>
      <c r="B121" t="s">
        <v>1980</v>
      </c>
      <c r="C121" s="260">
        <f>Yardi!E119</f>
        <v>46204</v>
      </c>
      <c r="E121" t="str">
        <f>Yardi!G119</f>
        <v>July Recurring Entries</v>
      </c>
      <c r="F121" t="str">
        <f>Yardi!H119</f>
        <v>Balance Sheet Entries</v>
      </c>
      <c r="G121">
        <f t="shared" si="7"/>
        <v>0</v>
      </c>
      <c r="H121">
        <f>Yardi!K119</f>
        <v>13085</v>
      </c>
      <c r="I121" t="str">
        <f>Yardi!I119</f>
        <v>mn610wes</v>
      </c>
      <c r="L121" t="str">
        <f>Yardi!O119</f>
        <v>07/2026 Prepaid February Jonah Systems Amortization</v>
      </c>
      <c r="M121" s="410">
        <f>Yardi!J119</f>
        <v>0</v>
      </c>
    </row>
    <row r="122" spans="1:13" x14ac:dyDescent="0.25">
      <c r="A122" t="str">
        <f t="shared" si="6"/>
        <v>#</v>
      </c>
      <c r="B122" t="s">
        <v>1980</v>
      </c>
      <c r="C122" s="260">
        <f>Yardi!E120</f>
        <v>46204</v>
      </c>
      <c r="E122" t="str">
        <f>Yardi!G120</f>
        <v>July Recurring Entries</v>
      </c>
      <c r="F122" t="str">
        <f>Yardi!H120</f>
        <v>Balance Sheet Entries</v>
      </c>
      <c r="G122">
        <f t="shared" si="7"/>
        <v>0</v>
      </c>
      <c r="H122" t="str">
        <f>Yardi!K120</f>
        <v>58115-000</v>
      </c>
      <c r="I122" t="str">
        <f>Yardi!I120</f>
        <v>mn610wes</v>
      </c>
      <c r="L122" t="str">
        <f>Yardi!O120</f>
        <v>07/2026 Prepaid 01/01/2026 C&amp;L Annual Package|mn610wes| NATIONAL APARTMENT ASSOCIATION 0752207 |GCB| Amortization</v>
      </c>
      <c r="M122" s="410">
        <f>Yardi!J120</f>
        <v>0</v>
      </c>
    </row>
    <row r="123" spans="1:13" x14ac:dyDescent="0.25">
      <c r="A123" t="str">
        <f t="shared" si="6"/>
        <v>#</v>
      </c>
      <c r="B123" t="s">
        <v>1980</v>
      </c>
      <c r="C123" s="260">
        <f>Yardi!E121</f>
        <v>46204</v>
      </c>
      <c r="E123" t="str">
        <f>Yardi!G121</f>
        <v>July Recurring Entries</v>
      </c>
      <c r="F123" t="str">
        <f>Yardi!H121</f>
        <v>Balance Sheet Entries</v>
      </c>
      <c r="G123">
        <f t="shared" si="7"/>
        <v>0</v>
      </c>
      <c r="H123">
        <f>Yardi!K121</f>
        <v>13085</v>
      </c>
      <c r="I123" t="str">
        <f>Yardi!I121</f>
        <v>mn610wes</v>
      </c>
      <c r="L123" t="str">
        <f>Yardi!O121</f>
        <v>07/2026 Prepaid 01/01/2026 C&amp;L Annual Package|mn610wes| NATIONAL APARTMENT ASSOCIATION 0752207 |GCB| Amortization</v>
      </c>
      <c r="M123" s="410">
        <f>Yardi!J121</f>
        <v>0</v>
      </c>
    </row>
    <row r="124" spans="1:13" x14ac:dyDescent="0.25">
      <c r="A124" t="str">
        <f t="shared" si="6"/>
        <v>#</v>
      </c>
      <c r="B124" t="s">
        <v>1980</v>
      </c>
      <c r="C124" s="260">
        <f>Yardi!E122</f>
        <v>46204</v>
      </c>
      <c r="E124" t="str">
        <f>Yardi!G122</f>
        <v>July Recurring Entries</v>
      </c>
      <c r="F124" t="str">
        <f>Yardi!H122</f>
        <v>Balance Sheet Entries</v>
      </c>
      <c r="G124">
        <f t="shared" si="7"/>
        <v>0</v>
      </c>
      <c r="H124">
        <f>Yardi!K122</f>
        <v>0</v>
      </c>
      <c r="I124" t="str">
        <f>Yardi!I122</f>
        <v>mn610wes</v>
      </c>
      <c r="L124" t="str">
        <f>Yardi!O122</f>
        <v>07/2026 Prepaid Amortization</v>
      </c>
      <c r="M124" s="410">
        <f>Yardi!J122</f>
        <v>0</v>
      </c>
    </row>
    <row r="125" spans="1:13" x14ac:dyDescent="0.25">
      <c r="A125" t="str">
        <f t="shared" si="6"/>
        <v>#</v>
      </c>
      <c r="B125" t="s">
        <v>1980</v>
      </c>
      <c r="C125" s="260">
        <f>Yardi!E123</f>
        <v>46204</v>
      </c>
      <c r="E125" t="str">
        <f>Yardi!G123</f>
        <v>July Recurring Entries</v>
      </c>
      <c r="F125" t="str">
        <f>Yardi!H123</f>
        <v>Balance Sheet Entries</v>
      </c>
      <c r="G125">
        <f t="shared" si="7"/>
        <v>0</v>
      </c>
      <c r="H125">
        <f>Yardi!K123</f>
        <v>13085</v>
      </c>
      <c r="I125" t="str">
        <f>Yardi!I123</f>
        <v>mn610wes</v>
      </c>
      <c r="L125" t="str">
        <f>Yardi!O123</f>
        <v>07/2026 Prepaid Amortization</v>
      </c>
      <c r="M125" s="410">
        <f>Yardi!J123</f>
        <v>0</v>
      </c>
    </row>
    <row r="126" spans="1:13" x14ac:dyDescent="0.25">
      <c r="A126" t="str">
        <f t="shared" si="6"/>
        <v>#</v>
      </c>
      <c r="B126" t="s">
        <v>1980</v>
      </c>
      <c r="C126" s="260">
        <f>Yardi!E124</f>
        <v>46204</v>
      </c>
      <c r="E126" t="str">
        <f>Yardi!G124</f>
        <v>July Recurring Entries</v>
      </c>
      <c r="F126" t="str">
        <f>Yardi!H124</f>
        <v>Balance Sheet Entries</v>
      </c>
      <c r="G126">
        <f t="shared" si="7"/>
        <v>0</v>
      </c>
      <c r="H126">
        <f>Yardi!K124</f>
        <v>0</v>
      </c>
      <c r="I126" t="str">
        <f>Yardi!I124</f>
        <v>mn610wes</v>
      </c>
      <c r="L126" t="str">
        <f>Yardi!O124</f>
        <v>07/2026 Prepaid Amortization</v>
      </c>
      <c r="M126" s="410">
        <f>Yardi!J124</f>
        <v>0</v>
      </c>
    </row>
    <row r="127" spans="1:13" x14ac:dyDescent="0.25">
      <c r="A127" t="str">
        <f t="shared" si="6"/>
        <v>#</v>
      </c>
      <c r="B127" t="s">
        <v>1980</v>
      </c>
      <c r="C127" s="260">
        <f>Yardi!E125</f>
        <v>46204</v>
      </c>
      <c r="E127" t="str">
        <f>Yardi!G125</f>
        <v>July Recurring Entries</v>
      </c>
      <c r="F127" t="str">
        <f>Yardi!H125</f>
        <v>Balance Sheet Entries</v>
      </c>
      <c r="G127">
        <f t="shared" si="7"/>
        <v>0</v>
      </c>
      <c r="H127">
        <f>Yardi!K125</f>
        <v>13085</v>
      </c>
      <c r="I127" t="str">
        <f>Yardi!I125</f>
        <v>mn610wes</v>
      </c>
      <c r="L127" t="str">
        <f>Yardi!O125</f>
        <v>07/2026 Prepaid Amortization</v>
      </c>
      <c r="M127" s="410">
        <f>Yardi!J125</f>
        <v>0</v>
      </c>
    </row>
    <row r="128" spans="1:13" x14ac:dyDescent="0.25">
      <c r="A128" t="str">
        <f t="shared" si="6"/>
        <v>#</v>
      </c>
      <c r="B128" t="s">
        <v>1980</v>
      </c>
      <c r="C128" s="260">
        <f>Yardi!E126</f>
        <v>46204</v>
      </c>
      <c r="E128" t="str">
        <f>Yardi!G126</f>
        <v>July Recurring Entries</v>
      </c>
      <c r="F128" t="str">
        <f>Yardi!H126</f>
        <v>Balance Sheet Entries</v>
      </c>
      <c r="G128">
        <f t="shared" si="7"/>
        <v>0</v>
      </c>
      <c r="H128">
        <f>Yardi!K126</f>
        <v>0</v>
      </c>
      <c r="I128" t="str">
        <f>Yardi!I126</f>
        <v>mn610wes</v>
      </c>
      <c r="L128" t="str">
        <f>Yardi!O126</f>
        <v>07/2026 Prepaid Amortization</v>
      </c>
      <c r="M128" s="410">
        <f>Yardi!J126</f>
        <v>0</v>
      </c>
    </row>
    <row r="129" spans="1:13" x14ac:dyDescent="0.25">
      <c r="A129" t="str">
        <f t="shared" si="6"/>
        <v>#</v>
      </c>
      <c r="B129" t="s">
        <v>1980</v>
      </c>
      <c r="C129" s="260">
        <f>Yardi!E127</f>
        <v>46204</v>
      </c>
      <c r="E129" t="str">
        <f>Yardi!G127</f>
        <v>July Recurring Entries</v>
      </c>
      <c r="F129" t="str">
        <f>Yardi!H127</f>
        <v>Balance Sheet Entries</v>
      </c>
      <c r="G129">
        <f t="shared" si="7"/>
        <v>0</v>
      </c>
      <c r="H129">
        <f>Yardi!K127</f>
        <v>13085</v>
      </c>
      <c r="I129" t="str">
        <f>Yardi!I127</f>
        <v>mn610wes</v>
      </c>
      <c r="L129" t="str">
        <f>Yardi!O127</f>
        <v>07/2026 Prepaid Amortization</v>
      </c>
      <c r="M129" s="410">
        <f>Yardi!J127</f>
        <v>0</v>
      </c>
    </row>
    <row r="130" spans="1:13" x14ac:dyDescent="0.25">
      <c r="A130" t="str">
        <f t="shared" si="6"/>
        <v>#</v>
      </c>
      <c r="B130" t="s">
        <v>1980</v>
      </c>
      <c r="C130" s="260">
        <f>Yardi!E128</f>
        <v>46204</v>
      </c>
      <c r="E130" t="str">
        <f>Yardi!G128</f>
        <v>July Recurring Entries</v>
      </c>
      <c r="F130" t="str">
        <f>Yardi!H128</f>
        <v>Balance Sheet Entries</v>
      </c>
      <c r="G130">
        <f t="shared" si="7"/>
        <v>0</v>
      </c>
      <c r="H130">
        <f>Yardi!K128</f>
        <v>0</v>
      </c>
      <c r="I130" t="str">
        <f>Yardi!I128</f>
        <v>mn610wes</v>
      </c>
      <c r="L130" t="str">
        <f>Yardi!O128</f>
        <v>07/2026 Prepaid Amortization</v>
      </c>
      <c r="M130" s="410">
        <f>Yardi!J128</f>
        <v>0</v>
      </c>
    </row>
    <row r="131" spans="1:13" x14ac:dyDescent="0.25">
      <c r="A131" t="str">
        <f t="shared" si="6"/>
        <v>#</v>
      </c>
      <c r="B131" t="s">
        <v>1980</v>
      </c>
      <c r="C131" s="260">
        <f>Yardi!E129</f>
        <v>46204</v>
      </c>
      <c r="E131" t="str">
        <f>Yardi!G129</f>
        <v>July Recurring Entries</v>
      </c>
      <c r="F131" t="str">
        <f>Yardi!H129</f>
        <v>Balance Sheet Entries</v>
      </c>
      <c r="G131">
        <f t="shared" si="7"/>
        <v>0</v>
      </c>
      <c r="H131">
        <f>Yardi!K129</f>
        <v>13085</v>
      </c>
      <c r="I131" t="str">
        <f>Yardi!I129</f>
        <v>mn610wes</v>
      </c>
      <c r="L131" t="str">
        <f>Yardi!O129</f>
        <v>07/2026 Prepaid Amortization</v>
      </c>
      <c r="M131" s="410">
        <f>Yardi!J129</f>
        <v>0</v>
      </c>
    </row>
    <row r="132" spans="1:13" x14ac:dyDescent="0.25">
      <c r="A132" t="str">
        <f t="shared" ref="A132:A167" si="8">IF(M132=0,"#","")</f>
        <v>#</v>
      </c>
      <c r="B132" t="s">
        <v>1980</v>
      </c>
      <c r="C132" s="260">
        <f>Yardi!E130</f>
        <v>46204</v>
      </c>
      <c r="E132" t="str">
        <f>Yardi!G130</f>
        <v>July Recurring Entries</v>
      </c>
      <c r="F132" t="str">
        <f>Yardi!H130</f>
        <v>Balance Sheet Entries</v>
      </c>
      <c r="G132">
        <f t="shared" si="7"/>
        <v>0</v>
      </c>
      <c r="H132">
        <f>Yardi!K130</f>
        <v>0</v>
      </c>
      <c r="I132" t="str">
        <f>Yardi!I130</f>
        <v>mn610wes</v>
      </c>
      <c r="L132" t="str">
        <f>Yardi!O130</f>
        <v>07/2026 Prepaid Amortization</v>
      </c>
      <c r="M132" s="410">
        <f>Yardi!J130</f>
        <v>0</v>
      </c>
    </row>
    <row r="133" spans="1:13" x14ac:dyDescent="0.25">
      <c r="A133" t="str">
        <f t="shared" si="8"/>
        <v>#</v>
      </c>
      <c r="B133" t="s">
        <v>1980</v>
      </c>
      <c r="C133" s="260">
        <f>Yardi!E131</f>
        <v>46204</v>
      </c>
      <c r="E133" t="str">
        <f>Yardi!G131</f>
        <v>July Recurring Entries</v>
      </c>
      <c r="F133" t="str">
        <f>Yardi!H131</f>
        <v>Balance Sheet Entries</v>
      </c>
      <c r="G133">
        <f t="shared" ref="G133:G167" si="9">IF(A133="#",G132,G132+1)</f>
        <v>0</v>
      </c>
      <c r="H133">
        <f>Yardi!K131</f>
        <v>13085</v>
      </c>
      <c r="I133" t="str">
        <f>Yardi!I131</f>
        <v>mn610wes</v>
      </c>
      <c r="L133" t="str">
        <f>Yardi!O131</f>
        <v>07/2026 Prepaid Amortization</v>
      </c>
      <c r="M133" s="410">
        <f>Yardi!J131</f>
        <v>0</v>
      </c>
    </row>
    <row r="134" spans="1:13" x14ac:dyDescent="0.25">
      <c r="A134" t="str">
        <f t="shared" si="8"/>
        <v>#</v>
      </c>
      <c r="B134" t="s">
        <v>1980</v>
      </c>
      <c r="C134" s="260">
        <f>Yardi!E132</f>
        <v>46204</v>
      </c>
      <c r="E134" t="str">
        <f>Yardi!G132</f>
        <v>July Recurring Entries</v>
      </c>
      <c r="F134" t="str">
        <f>Yardi!H132</f>
        <v>Balance Sheet Entries</v>
      </c>
      <c r="G134">
        <f t="shared" si="9"/>
        <v>0</v>
      </c>
      <c r="H134">
        <f>Yardi!K132</f>
        <v>0</v>
      </c>
      <c r="I134" t="str">
        <f>Yardi!I132</f>
        <v>mn610wes</v>
      </c>
      <c r="L134" t="str">
        <f>Yardi!O132</f>
        <v>07/2026 Prepaid Amortization</v>
      </c>
      <c r="M134" s="410">
        <f>Yardi!J132</f>
        <v>0</v>
      </c>
    </row>
    <row r="135" spans="1:13" x14ac:dyDescent="0.25">
      <c r="A135" t="str">
        <f t="shared" si="8"/>
        <v>#</v>
      </c>
      <c r="B135" t="s">
        <v>1980</v>
      </c>
      <c r="C135" s="260">
        <f>Yardi!E133</f>
        <v>46204</v>
      </c>
      <c r="E135" t="str">
        <f>Yardi!G133</f>
        <v>July Recurring Entries</v>
      </c>
      <c r="F135" t="str">
        <f>Yardi!H133</f>
        <v>Balance Sheet Entries</v>
      </c>
      <c r="G135">
        <f t="shared" si="9"/>
        <v>0</v>
      </c>
      <c r="H135">
        <f>Yardi!K133</f>
        <v>13085</v>
      </c>
      <c r="I135" t="str">
        <f>Yardi!I133</f>
        <v>mn610wes</v>
      </c>
      <c r="L135" t="str">
        <f>Yardi!O133</f>
        <v>07/2026 Prepaid Amortization</v>
      </c>
      <c r="M135" s="410">
        <f>Yardi!J133</f>
        <v>0</v>
      </c>
    </row>
    <row r="136" spans="1:13" x14ac:dyDescent="0.25">
      <c r="A136" t="str">
        <f t="shared" si="8"/>
        <v>#</v>
      </c>
      <c r="B136" t="s">
        <v>1980</v>
      </c>
      <c r="C136" s="260">
        <f>Yardi!E134</f>
        <v>46204</v>
      </c>
      <c r="E136" t="str">
        <f>Yardi!G134</f>
        <v>July Recurring Entries</v>
      </c>
      <c r="F136" t="str">
        <f>Yardi!H134</f>
        <v>Balance Sheet Entries</v>
      </c>
      <c r="G136">
        <f t="shared" si="9"/>
        <v>0</v>
      </c>
      <c r="H136">
        <f>Yardi!K134</f>
        <v>0</v>
      </c>
      <c r="I136" t="str">
        <f>Yardi!I134</f>
        <v>mn610wes</v>
      </c>
      <c r="L136" t="str">
        <f>Yardi!O134</f>
        <v>07/2026 Prepaid Amortization</v>
      </c>
      <c r="M136" s="410">
        <f>Yardi!J134</f>
        <v>0</v>
      </c>
    </row>
    <row r="137" spans="1:13" x14ac:dyDescent="0.25">
      <c r="A137" t="str">
        <f t="shared" si="8"/>
        <v>#</v>
      </c>
      <c r="B137" t="s">
        <v>1980</v>
      </c>
      <c r="C137" s="260">
        <f>Yardi!E135</f>
        <v>46204</v>
      </c>
      <c r="E137" t="str">
        <f>Yardi!G135</f>
        <v>July Recurring Entries</v>
      </c>
      <c r="F137" t="str">
        <f>Yardi!H135</f>
        <v>Balance Sheet Entries</v>
      </c>
      <c r="G137">
        <f t="shared" si="9"/>
        <v>0</v>
      </c>
      <c r="H137">
        <f>Yardi!K135</f>
        <v>13085</v>
      </c>
      <c r="I137" t="str">
        <f>Yardi!I135</f>
        <v>mn610wes</v>
      </c>
      <c r="L137" t="str">
        <f>Yardi!O135</f>
        <v>07/2026 Prepaid Amortization</v>
      </c>
      <c r="M137" s="410">
        <f>Yardi!J135</f>
        <v>0</v>
      </c>
    </row>
    <row r="138" spans="1:13" x14ac:dyDescent="0.25">
      <c r="A138" t="str">
        <f t="shared" si="8"/>
        <v>#</v>
      </c>
      <c r="B138" t="s">
        <v>1980</v>
      </c>
      <c r="C138" s="260">
        <f>Yardi!E136</f>
        <v>46204</v>
      </c>
      <c r="E138" t="str">
        <f>Yardi!G136</f>
        <v>July Recurring Entries</v>
      </c>
      <c r="F138" t="str">
        <f>Yardi!H136</f>
        <v>Balance Sheet Entries</v>
      </c>
      <c r="G138">
        <f t="shared" si="9"/>
        <v>0</v>
      </c>
      <c r="H138">
        <f>Yardi!K136</f>
        <v>0</v>
      </c>
      <c r="I138" t="str">
        <f>Yardi!I136</f>
        <v>mn610wes</v>
      </c>
      <c r="L138" t="str">
        <f>Yardi!O136</f>
        <v>07/2026 Prepaid Amortization</v>
      </c>
      <c r="M138" s="410">
        <f>Yardi!J136</f>
        <v>0</v>
      </c>
    </row>
    <row r="139" spans="1:13" x14ac:dyDescent="0.25">
      <c r="A139" t="str">
        <f t="shared" si="8"/>
        <v>#</v>
      </c>
      <c r="B139" t="s">
        <v>1980</v>
      </c>
      <c r="C139" s="260">
        <f>Yardi!E137</f>
        <v>46204</v>
      </c>
      <c r="E139" t="str">
        <f>Yardi!G137</f>
        <v>July Recurring Entries</v>
      </c>
      <c r="F139" t="str">
        <f>Yardi!H137</f>
        <v>Balance Sheet Entries</v>
      </c>
      <c r="G139">
        <f t="shared" si="9"/>
        <v>0</v>
      </c>
      <c r="H139">
        <f>Yardi!K137</f>
        <v>13085</v>
      </c>
      <c r="I139" t="str">
        <f>Yardi!I137</f>
        <v>mn610wes</v>
      </c>
      <c r="L139" t="str">
        <f>Yardi!O137</f>
        <v>07/2026 Prepaid Amortization</v>
      </c>
      <c r="M139" s="410">
        <f>Yardi!J137</f>
        <v>0</v>
      </c>
    </row>
    <row r="140" spans="1:13" x14ac:dyDescent="0.25">
      <c r="A140" t="str">
        <f t="shared" si="8"/>
        <v>#</v>
      </c>
      <c r="B140" t="s">
        <v>1980</v>
      </c>
      <c r="C140" s="260">
        <f>Yardi!E138</f>
        <v>46204</v>
      </c>
      <c r="E140" t="str">
        <f>Yardi!G138</f>
        <v>July Recurring Entries</v>
      </c>
      <c r="F140" t="str">
        <f>Yardi!H138</f>
        <v>Balance Sheet Entries</v>
      </c>
      <c r="G140">
        <f t="shared" si="9"/>
        <v>0</v>
      </c>
      <c r="H140">
        <f>Yardi!K138</f>
        <v>0</v>
      </c>
      <c r="I140" t="str">
        <f>Yardi!I138</f>
        <v>mn610wes</v>
      </c>
      <c r="L140" t="str">
        <f>Yardi!O138</f>
        <v>07/2026 Prepaid Amortization</v>
      </c>
      <c r="M140" s="410">
        <f>Yardi!J138</f>
        <v>0</v>
      </c>
    </row>
    <row r="141" spans="1:13" x14ac:dyDescent="0.25">
      <c r="A141" t="str">
        <f t="shared" si="8"/>
        <v>#</v>
      </c>
      <c r="B141" t="s">
        <v>1980</v>
      </c>
      <c r="C141" s="260">
        <f>Yardi!E139</f>
        <v>46204</v>
      </c>
      <c r="E141" t="str">
        <f>Yardi!G139</f>
        <v>July Recurring Entries</v>
      </c>
      <c r="F141" t="str">
        <f>Yardi!H139</f>
        <v>Balance Sheet Entries</v>
      </c>
      <c r="G141">
        <f t="shared" si="9"/>
        <v>0</v>
      </c>
      <c r="H141">
        <f>Yardi!K139</f>
        <v>13085</v>
      </c>
      <c r="I141" t="str">
        <f>Yardi!I139</f>
        <v>mn610wes</v>
      </c>
      <c r="L141" t="str">
        <f>Yardi!O139</f>
        <v>07/2026 Prepaid Amortization</v>
      </c>
      <c r="M141" s="410">
        <f>Yardi!J139</f>
        <v>0</v>
      </c>
    </row>
    <row r="142" spans="1:13" x14ac:dyDescent="0.25">
      <c r="A142" t="str">
        <f t="shared" si="8"/>
        <v>#</v>
      </c>
      <c r="B142" t="s">
        <v>1980</v>
      </c>
      <c r="C142" s="260">
        <f>Yardi!E140</f>
        <v>46204</v>
      </c>
      <c r="E142" t="str">
        <f>Yardi!G140</f>
        <v>July Recurring Entries</v>
      </c>
      <c r="F142" t="str">
        <f>Yardi!H140</f>
        <v>Balance Sheet Entries</v>
      </c>
      <c r="G142">
        <f t="shared" si="9"/>
        <v>0</v>
      </c>
      <c r="H142">
        <f>Yardi!K140</f>
        <v>0</v>
      </c>
      <c r="I142" t="str">
        <f>Yardi!I140</f>
        <v>mn610wes</v>
      </c>
      <c r="L142" t="str">
        <f>Yardi!O140</f>
        <v>07/2026 Prepaid Amortization</v>
      </c>
      <c r="M142" s="410">
        <f>Yardi!J140</f>
        <v>0</v>
      </c>
    </row>
    <row r="143" spans="1:13" x14ac:dyDescent="0.25">
      <c r="A143" t="str">
        <f t="shared" si="8"/>
        <v>#</v>
      </c>
      <c r="B143" t="s">
        <v>1980</v>
      </c>
      <c r="C143" s="260">
        <f>Yardi!E141</f>
        <v>46204</v>
      </c>
      <c r="E143" t="str">
        <f>Yardi!G141</f>
        <v>July Recurring Entries</v>
      </c>
      <c r="F143" t="str">
        <f>Yardi!H141</f>
        <v>Balance Sheet Entries</v>
      </c>
      <c r="G143">
        <f t="shared" si="9"/>
        <v>0</v>
      </c>
      <c r="H143">
        <f>Yardi!K141</f>
        <v>13085</v>
      </c>
      <c r="I143" t="str">
        <f>Yardi!I141</f>
        <v>mn610wes</v>
      </c>
      <c r="L143" t="str">
        <f>Yardi!O141</f>
        <v>07/2026 Prepaid Amortization</v>
      </c>
      <c r="M143" s="410">
        <f>Yardi!J141</f>
        <v>0</v>
      </c>
    </row>
    <row r="144" spans="1:13" x14ac:dyDescent="0.25">
      <c r="A144" t="str">
        <f t="shared" si="8"/>
        <v>#</v>
      </c>
      <c r="B144" t="s">
        <v>1980</v>
      </c>
      <c r="C144" s="260">
        <f>Yardi!E142</f>
        <v>46204</v>
      </c>
      <c r="E144" t="str">
        <f>Yardi!G142</f>
        <v>July Recurring Entries</v>
      </c>
      <c r="F144" t="str">
        <f>Yardi!H142</f>
        <v>Balance Sheet Entries</v>
      </c>
      <c r="G144">
        <f t="shared" si="9"/>
        <v>0</v>
      </c>
      <c r="H144">
        <f>Yardi!K142</f>
        <v>0</v>
      </c>
      <c r="I144" t="str">
        <f>Yardi!I142</f>
        <v>mn610wes</v>
      </c>
      <c r="L144" t="str">
        <f>Yardi!O142</f>
        <v>07/2026 Prepaid Amortization</v>
      </c>
      <c r="M144" s="410">
        <f>Yardi!J142</f>
        <v>0</v>
      </c>
    </row>
    <row r="145" spans="1:13" x14ac:dyDescent="0.25">
      <c r="A145" t="str">
        <f t="shared" si="8"/>
        <v>#</v>
      </c>
      <c r="B145" t="s">
        <v>1980</v>
      </c>
      <c r="C145" s="260">
        <f>Yardi!E143</f>
        <v>46204</v>
      </c>
      <c r="E145" t="str">
        <f>Yardi!G143</f>
        <v>July Recurring Entries</v>
      </c>
      <c r="F145" t="str">
        <f>Yardi!H143</f>
        <v>Balance Sheet Entries</v>
      </c>
      <c r="G145">
        <f t="shared" si="9"/>
        <v>0</v>
      </c>
      <c r="H145">
        <f>Yardi!K143</f>
        <v>13085</v>
      </c>
      <c r="I145" t="str">
        <f>Yardi!I143</f>
        <v>mn610wes</v>
      </c>
      <c r="L145" t="str">
        <f>Yardi!O143</f>
        <v>07/2026 Prepaid Amortization</v>
      </c>
      <c r="M145" s="410">
        <f>Yardi!J143</f>
        <v>0</v>
      </c>
    </row>
    <row r="146" spans="1:13" x14ac:dyDescent="0.25">
      <c r="A146" t="str">
        <f t="shared" si="8"/>
        <v>#</v>
      </c>
      <c r="B146" t="s">
        <v>1980</v>
      </c>
      <c r="C146" s="260">
        <f>Yardi!E144</f>
        <v>46204</v>
      </c>
      <c r="E146" t="str">
        <f>Yardi!G144</f>
        <v>July Recurring Entries</v>
      </c>
      <c r="F146" t="str">
        <f>Yardi!H144</f>
        <v>Balance Sheet Entries</v>
      </c>
      <c r="G146">
        <f t="shared" si="9"/>
        <v>0</v>
      </c>
      <c r="H146">
        <f>Yardi!K144</f>
        <v>0</v>
      </c>
      <c r="I146" t="str">
        <f>Yardi!I144</f>
        <v>mn610wes</v>
      </c>
      <c r="L146" t="str">
        <f>Yardi!O144</f>
        <v>07/2026 Prepaid Amortization</v>
      </c>
      <c r="M146" s="410">
        <f>Yardi!J144</f>
        <v>0</v>
      </c>
    </row>
    <row r="147" spans="1:13" x14ac:dyDescent="0.25">
      <c r="A147" t="str">
        <f t="shared" si="8"/>
        <v>#</v>
      </c>
      <c r="B147" t="s">
        <v>1980</v>
      </c>
      <c r="C147" s="260">
        <f>Yardi!E145</f>
        <v>46204</v>
      </c>
      <c r="E147" t="str">
        <f>Yardi!G145</f>
        <v>July Recurring Entries</v>
      </c>
      <c r="F147" t="str">
        <f>Yardi!H145</f>
        <v>Balance Sheet Entries</v>
      </c>
      <c r="G147">
        <f t="shared" si="9"/>
        <v>0</v>
      </c>
      <c r="H147">
        <f>Yardi!K145</f>
        <v>13085</v>
      </c>
      <c r="I147" t="str">
        <f>Yardi!I145</f>
        <v>mn610wes</v>
      </c>
      <c r="L147" t="str">
        <f>Yardi!O145</f>
        <v>07/2026 Prepaid Amortization</v>
      </c>
      <c r="M147" s="410">
        <f>Yardi!J145</f>
        <v>0</v>
      </c>
    </row>
    <row r="148" spans="1:13" x14ac:dyDescent="0.25">
      <c r="A148" t="str">
        <f t="shared" si="8"/>
        <v>#</v>
      </c>
      <c r="B148" t="s">
        <v>1980</v>
      </c>
      <c r="C148" s="260">
        <f>Yardi!E146</f>
        <v>46204</v>
      </c>
      <c r="E148" t="str">
        <f>Yardi!G146</f>
        <v>July Recurring Entries</v>
      </c>
      <c r="F148" t="str">
        <f>Yardi!H146</f>
        <v>Balance Sheet Entries</v>
      </c>
      <c r="G148">
        <f t="shared" si="9"/>
        <v>0</v>
      </c>
      <c r="H148">
        <f>Yardi!K146</f>
        <v>0</v>
      </c>
      <c r="I148" t="str">
        <f>Yardi!I146</f>
        <v>mn610wes</v>
      </c>
      <c r="L148" t="str">
        <f>Yardi!O146</f>
        <v>07/2026 Prepaid Amortization</v>
      </c>
      <c r="M148" s="410">
        <f>Yardi!J146</f>
        <v>0</v>
      </c>
    </row>
    <row r="149" spans="1:13" x14ac:dyDescent="0.25">
      <c r="A149" t="str">
        <f t="shared" si="8"/>
        <v>#</v>
      </c>
      <c r="B149" t="s">
        <v>1980</v>
      </c>
      <c r="C149" s="260">
        <f>Yardi!E147</f>
        <v>46204</v>
      </c>
      <c r="E149" t="str">
        <f>Yardi!G147</f>
        <v>July Recurring Entries</v>
      </c>
      <c r="F149" t="str">
        <f>Yardi!H147</f>
        <v>Balance Sheet Entries</v>
      </c>
      <c r="G149">
        <f t="shared" si="9"/>
        <v>0</v>
      </c>
      <c r="H149">
        <f>Yardi!K147</f>
        <v>13085</v>
      </c>
      <c r="I149" t="str">
        <f>Yardi!I147</f>
        <v>mn610wes</v>
      </c>
      <c r="L149" t="str">
        <f>Yardi!O147</f>
        <v>07/2026 Prepaid Amortization</v>
      </c>
      <c r="M149" s="410">
        <f>Yardi!J147</f>
        <v>0</v>
      </c>
    </row>
    <row r="150" spans="1:13" x14ac:dyDescent="0.25">
      <c r="A150" t="str">
        <f t="shared" si="8"/>
        <v>#</v>
      </c>
      <c r="B150" t="s">
        <v>1980</v>
      </c>
      <c r="C150" s="260">
        <f>Yardi!E148</f>
        <v>46204</v>
      </c>
      <c r="E150" t="str">
        <f>Yardi!G148</f>
        <v>July Recurring Entries</v>
      </c>
      <c r="F150" t="str">
        <f>Yardi!H148</f>
        <v>Balance Sheet Entries</v>
      </c>
      <c r="G150">
        <f t="shared" si="9"/>
        <v>0</v>
      </c>
      <c r="H150">
        <f>Yardi!K148</f>
        <v>0</v>
      </c>
      <c r="I150" t="str">
        <f>Yardi!I148</f>
        <v>mn610wes</v>
      </c>
      <c r="L150" t="str">
        <f>Yardi!O148</f>
        <v>07/2026 Prepaid Amortization</v>
      </c>
      <c r="M150" s="410">
        <f>Yardi!J148</f>
        <v>0</v>
      </c>
    </row>
    <row r="151" spans="1:13" x14ac:dyDescent="0.25">
      <c r="A151" t="str">
        <f t="shared" si="8"/>
        <v>#</v>
      </c>
      <c r="B151" t="s">
        <v>1980</v>
      </c>
      <c r="C151" s="260">
        <f>Yardi!E149</f>
        <v>46204</v>
      </c>
      <c r="E151" t="str">
        <f>Yardi!G149</f>
        <v>July Recurring Entries</v>
      </c>
      <c r="F151" t="str">
        <f>Yardi!H149</f>
        <v>Balance Sheet Entries</v>
      </c>
      <c r="G151">
        <f t="shared" si="9"/>
        <v>0</v>
      </c>
      <c r="H151">
        <f>Yardi!K149</f>
        <v>13085</v>
      </c>
      <c r="I151" t="str">
        <f>Yardi!I149</f>
        <v>mn610wes</v>
      </c>
      <c r="L151" t="str">
        <f>Yardi!O149</f>
        <v>07/2026 Prepaid Amortization</v>
      </c>
      <c r="M151" s="410">
        <f>Yardi!J149</f>
        <v>0</v>
      </c>
    </row>
    <row r="152" spans="1:13" x14ac:dyDescent="0.25">
      <c r="A152" t="str">
        <f t="shared" si="8"/>
        <v>#</v>
      </c>
      <c r="B152" t="s">
        <v>1980</v>
      </c>
      <c r="C152" s="260">
        <f>Yardi!E150</f>
        <v>46204</v>
      </c>
      <c r="E152" t="str">
        <f>Yardi!G150</f>
        <v>July Recurring Entries</v>
      </c>
      <c r="F152" t="str">
        <f>Yardi!H150</f>
        <v>Balance Sheet Entries</v>
      </c>
      <c r="G152">
        <f t="shared" si="9"/>
        <v>0</v>
      </c>
      <c r="H152">
        <f>Yardi!K150</f>
        <v>0</v>
      </c>
      <c r="I152" t="str">
        <f>Yardi!I150</f>
        <v>mn610wes</v>
      </c>
      <c r="L152" t="str">
        <f>Yardi!O150</f>
        <v>07/2026 Prepaid Amortization</v>
      </c>
      <c r="M152" s="410">
        <f>Yardi!J150</f>
        <v>0</v>
      </c>
    </row>
    <row r="153" spans="1:13" x14ac:dyDescent="0.25">
      <c r="A153" t="str">
        <f t="shared" si="8"/>
        <v>#</v>
      </c>
      <c r="B153" t="s">
        <v>1980</v>
      </c>
      <c r="C153" s="260">
        <f>Yardi!E151</f>
        <v>46204</v>
      </c>
      <c r="E153" t="str">
        <f>Yardi!G151</f>
        <v>July Recurring Entries</v>
      </c>
      <c r="F153" t="str">
        <f>Yardi!H151</f>
        <v>Balance Sheet Entries</v>
      </c>
      <c r="G153">
        <f t="shared" si="9"/>
        <v>0</v>
      </c>
      <c r="H153">
        <f>Yardi!K151</f>
        <v>13085</v>
      </c>
      <c r="I153" t="str">
        <f>Yardi!I151</f>
        <v>mn610wes</v>
      </c>
      <c r="L153" t="str">
        <f>Yardi!O151</f>
        <v>07/2026 Prepaid Amortization</v>
      </c>
      <c r="M153" s="410">
        <f>Yardi!J151</f>
        <v>0</v>
      </c>
    </row>
    <row r="154" spans="1:13" x14ac:dyDescent="0.25">
      <c r="A154" t="str">
        <f t="shared" si="8"/>
        <v>#</v>
      </c>
      <c r="B154" t="s">
        <v>1980</v>
      </c>
      <c r="C154" s="260">
        <f>Yardi!E152</f>
        <v>46204</v>
      </c>
      <c r="E154" t="str">
        <f>Yardi!G152</f>
        <v>July Recurring Entries</v>
      </c>
      <c r="F154" t="str">
        <f>Yardi!H152</f>
        <v>Balance Sheet Entries</v>
      </c>
      <c r="G154">
        <f t="shared" si="9"/>
        <v>0</v>
      </c>
      <c r="H154">
        <f>Yardi!K152</f>
        <v>0</v>
      </c>
      <c r="I154" t="str">
        <f>Yardi!I152</f>
        <v>mn610wes</v>
      </c>
      <c r="L154" t="str">
        <f>Yardi!O152</f>
        <v>07/2026 Prepaid Amortization</v>
      </c>
      <c r="M154" s="410">
        <f>Yardi!J152</f>
        <v>0</v>
      </c>
    </row>
    <row r="155" spans="1:13" x14ac:dyDescent="0.25">
      <c r="A155" t="str">
        <f t="shared" si="8"/>
        <v>#</v>
      </c>
      <c r="B155" t="s">
        <v>1980</v>
      </c>
      <c r="C155" s="260">
        <f>Yardi!E153</f>
        <v>46204</v>
      </c>
      <c r="E155" t="str">
        <f>Yardi!G153</f>
        <v>July Recurring Entries</v>
      </c>
      <c r="F155" t="str">
        <f>Yardi!H153</f>
        <v>Balance Sheet Entries</v>
      </c>
      <c r="G155">
        <f t="shared" si="9"/>
        <v>0</v>
      </c>
      <c r="H155">
        <f>Yardi!K153</f>
        <v>13085</v>
      </c>
      <c r="I155" t="str">
        <f>Yardi!I153</f>
        <v>mn610wes</v>
      </c>
      <c r="L155" t="str">
        <f>Yardi!O153</f>
        <v>07/2026 Prepaid Amortization</v>
      </c>
      <c r="M155" s="410">
        <f>Yardi!J153</f>
        <v>0</v>
      </c>
    </row>
    <row r="156" spans="1:13" x14ac:dyDescent="0.25">
      <c r="A156" t="str">
        <f t="shared" si="8"/>
        <v>#</v>
      </c>
      <c r="B156" t="s">
        <v>1980</v>
      </c>
      <c r="C156" s="260">
        <f>Yardi!E154</f>
        <v>46204</v>
      </c>
      <c r="E156" t="str">
        <f>Yardi!G154</f>
        <v>July Recurring Entries</v>
      </c>
      <c r="F156" t="str">
        <f>Yardi!H154</f>
        <v>Balance Sheet Entries</v>
      </c>
      <c r="G156">
        <f t="shared" si="9"/>
        <v>0</v>
      </c>
      <c r="H156">
        <f>Yardi!K154</f>
        <v>0</v>
      </c>
      <c r="I156" t="str">
        <f>Yardi!I154</f>
        <v>mn610wes</v>
      </c>
      <c r="L156" t="str">
        <f>Yardi!O154</f>
        <v>07/2026 Prepaid Amortization</v>
      </c>
      <c r="M156" s="410">
        <f>Yardi!J154</f>
        <v>0</v>
      </c>
    </row>
    <row r="157" spans="1:13" x14ac:dyDescent="0.25">
      <c r="A157" t="str">
        <f t="shared" si="8"/>
        <v>#</v>
      </c>
      <c r="B157" t="s">
        <v>1980</v>
      </c>
      <c r="C157" s="260">
        <f>Yardi!E155</f>
        <v>46204</v>
      </c>
      <c r="E157" t="str">
        <f>Yardi!G155</f>
        <v>July Recurring Entries</v>
      </c>
      <c r="F157" t="str">
        <f>Yardi!H155</f>
        <v>Balance Sheet Entries</v>
      </c>
      <c r="G157">
        <f t="shared" si="9"/>
        <v>0</v>
      </c>
      <c r="H157">
        <f>Yardi!K155</f>
        <v>13085</v>
      </c>
      <c r="I157" t="str">
        <f>Yardi!I155</f>
        <v>mn610wes</v>
      </c>
      <c r="L157" t="str">
        <f>Yardi!O155</f>
        <v>07/2026 Prepaid Amortization</v>
      </c>
      <c r="M157" s="410">
        <f>Yardi!J155</f>
        <v>0</v>
      </c>
    </row>
    <row r="158" spans="1:13" x14ac:dyDescent="0.25">
      <c r="A158" t="str">
        <f t="shared" si="8"/>
        <v>#</v>
      </c>
      <c r="B158" t="s">
        <v>1980</v>
      </c>
      <c r="C158" s="260">
        <f>Yardi!E156</f>
        <v>46204</v>
      </c>
      <c r="E158" t="str">
        <f>Yardi!G156</f>
        <v>July Recurring Entries</v>
      </c>
      <c r="F158" t="str">
        <f>Yardi!H156</f>
        <v>Balance Sheet Entries</v>
      </c>
      <c r="G158">
        <f t="shared" si="9"/>
        <v>0</v>
      </c>
      <c r="H158">
        <f>Yardi!K156</f>
        <v>0</v>
      </c>
      <c r="I158" t="str">
        <f>Yardi!I156</f>
        <v>mn610wes</v>
      </c>
      <c r="L158" t="str">
        <f>Yardi!O156</f>
        <v>07/2026 Prepaid Amortization</v>
      </c>
      <c r="M158" s="410">
        <f>Yardi!J156</f>
        <v>0</v>
      </c>
    </row>
    <row r="159" spans="1:13" x14ac:dyDescent="0.25">
      <c r="A159" t="str">
        <f t="shared" si="8"/>
        <v>#</v>
      </c>
      <c r="B159" t="s">
        <v>1980</v>
      </c>
      <c r="C159" s="260">
        <f>Yardi!E157</f>
        <v>46204</v>
      </c>
      <c r="E159" t="str">
        <f>Yardi!G157</f>
        <v>July Recurring Entries</v>
      </c>
      <c r="F159" t="str">
        <f>Yardi!H157</f>
        <v>Balance Sheet Entries</v>
      </c>
      <c r="G159">
        <f t="shared" si="9"/>
        <v>0</v>
      </c>
      <c r="H159">
        <f>Yardi!K157</f>
        <v>13085</v>
      </c>
      <c r="I159" t="str">
        <f>Yardi!I157</f>
        <v>mn610wes</v>
      </c>
      <c r="L159" t="str">
        <f>Yardi!O157</f>
        <v>07/2026 Prepaid Amortization</v>
      </c>
      <c r="M159" s="410">
        <f>Yardi!J157</f>
        <v>0</v>
      </c>
    </row>
    <row r="160" spans="1:13" x14ac:dyDescent="0.25">
      <c r="A160" t="str">
        <f t="shared" si="8"/>
        <v>#</v>
      </c>
      <c r="B160" t="s">
        <v>1980</v>
      </c>
      <c r="C160" s="260">
        <f>Yardi!E158</f>
        <v>46204</v>
      </c>
      <c r="E160" t="str">
        <f>Yardi!G158</f>
        <v>July Recurring Entries</v>
      </c>
      <c r="F160" t="str">
        <f>Yardi!H158</f>
        <v>Balance Sheet Entries</v>
      </c>
      <c r="G160">
        <f t="shared" si="9"/>
        <v>0</v>
      </c>
      <c r="H160">
        <f>Yardi!K158</f>
        <v>0</v>
      </c>
      <c r="I160" t="str">
        <f>Yardi!I158</f>
        <v>mn610wes</v>
      </c>
      <c r="L160" t="str">
        <f>Yardi!O158</f>
        <v>07/2026 Prepaid Amortization</v>
      </c>
      <c r="M160" s="410">
        <f>Yardi!J158</f>
        <v>0</v>
      </c>
    </row>
    <row r="161" spans="1:13" x14ac:dyDescent="0.25">
      <c r="A161" t="str">
        <f t="shared" si="8"/>
        <v>#</v>
      </c>
      <c r="B161" t="s">
        <v>1980</v>
      </c>
      <c r="C161" s="260">
        <f>Yardi!E159</f>
        <v>46204</v>
      </c>
      <c r="E161" t="str">
        <f>Yardi!G159</f>
        <v>July Recurring Entries</v>
      </c>
      <c r="F161" t="str">
        <f>Yardi!H159</f>
        <v>Balance Sheet Entries</v>
      </c>
      <c r="G161">
        <f t="shared" si="9"/>
        <v>0</v>
      </c>
      <c r="H161">
        <f>Yardi!K159</f>
        <v>13085</v>
      </c>
      <c r="I161" t="str">
        <f>Yardi!I159</f>
        <v>mn610wes</v>
      </c>
      <c r="L161" t="str">
        <f>Yardi!O159</f>
        <v>07/2026 Prepaid Amortization</v>
      </c>
      <c r="M161" s="410">
        <f>Yardi!J159</f>
        <v>0</v>
      </c>
    </row>
    <row r="162" spans="1:13" x14ac:dyDescent="0.25">
      <c r="A162" t="str">
        <f t="shared" si="8"/>
        <v>#</v>
      </c>
      <c r="B162" t="s">
        <v>1980</v>
      </c>
      <c r="C162" s="260">
        <f>Yardi!E160</f>
        <v>46204</v>
      </c>
      <c r="E162" t="str">
        <f>Yardi!G160</f>
        <v>July Recurring Entries</v>
      </c>
      <c r="F162" t="str">
        <f>Yardi!H160</f>
        <v>Balance Sheet Entries</v>
      </c>
      <c r="G162">
        <f t="shared" si="9"/>
        <v>0</v>
      </c>
      <c r="H162">
        <f>Yardi!K160</f>
        <v>0</v>
      </c>
      <c r="I162" t="str">
        <f>Yardi!I160</f>
        <v>mn610wes</v>
      </c>
      <c r="L162" t="str">
        <f>Yardi!O160</f>
        <v>07/2026 Prepaid Amortization</v>
      </c>
      <c r="M162" s="410">
        <f>Yardi!J160</f>
        <v>0</v>
      </c>
    </row>
    <row r="163" spans="1:13" x14ac:dyDescent="0.25">
      <c r="A163" t="str">
        <f t="shared" si="8"/>
        <v>#</v>
      </c>
      <c r="B163" t="s">
        <v>1980</v>
      </c>
      <c r="C163" s="260">
        <f>Yardi!E161</f>
        <v>46204</v>
      </c>
      <c r="E163" t="str">
        <f>Yardi!G161</f>
        <v>July Recurring Entries</v>
      </c>
      <c r="F163" t="str">
        <f>Yardi!H161</f>
        <v>Balance Sheet Entries</v>
      </c>
      <c r="G163">
        <f t="shared" si="9"/>
        <v>0</v>
      </c>
      <c r="H163">
        <f>Yardi!K161</f>
        <v>13085</v>
      </c>
      <c r="I163" t="str">
        <f>Yardi!I161</f>
        <v>mn610wes</v>
      </c>
      <c r="L163" t="str">
        <f>Yardi!O161</f>
        <v>07/2026 Prepaid Amortization</v>
      </c>
      <c r="M163" s="410">
        <f>Yardi!J161</f>
        <v>0</v>
      </c>
    </row>
    <row r="164" spans="1:13" x14ac:dyDescent="0.25">
      <c r="A164" t="str">
        <f t="shared" si="8"/>
        <v>#</v>
      </c>
      <c r="B164" t="s">
        <v>1980</v>
      </c>
      <c r="C164" s="260">
        <f>Yardi!E162</f>
        <v>46204</v>
      </c>
      <c r="E164" t="str">
        <f>Yardi!G162</f>
        <v>July Recurring Entries</v>
      </c>
      <c r="F164" t="str">
        <f>Yardi!H162</f>
        <v>Balance Sheet Entries</v>
      </c>
      <c r="G164">
        <f t="shared" si="9"/>
        <v>0</v>
      </c>
      <c r="H164" t="str">
        <f>Yardi!K162</f>
        <v>54025-000</v>
      </c>
      <c r="I164" t="str">
        <f>Yardi!I162</f>
        <v>mn610wes</v>
      </c>
      <c r="L164" t="str">
        <f>Yardi!O162</f>
        <v>07/2026 Prepaid March Jonah Systems Amortization</v>
      </c>
      <c r="M164" s="410">
        <f>Yardi!J162</f>
        <v>0</v>
      </c>
    </row>
    <row r="165" spans="1:13" x14ac:dyDescent="0.25">
      <c r="A165" t="str">
        <f t="shared" si="8"/>
        <v>#</v>
      </c>
      <c r="B165" t="s">
        <v>1980</v>
      </c>
      <c r="C165" s="260">
        <f>Yardi!E163</f>
        <v>46204</v>
      </c>
      <c r="E165" t="str">
        <f>Yardi!G163</f>
        <v>July Recurring Entries</v>
      </c>
      <c r="F165" t="str">
        <f>Yardi!H163</f>
        <v>Balance Sheet Entries</v>
      </c>
      <c r="G165">
        <f t="shared" si="9"/>
        <v>0</v>
      </c>
      <c r="H165">
        <f>Yardi!K163</f>
        <v>13085</v>
      </c>
      <c r="I165" t="str">
        <f>Yardi!I163</f>
        <v>mn610wes</v>
      </c>
      <c r="L165" t="str">
        <f>Yardi!O163</f>
        <v>07/2026 Prepaid March Jonah Systems Amortization</v>
      </c>
      <c r="M165" s="410">
        <f>Yardi!J163</f>
        <v>0</v>
      </c>
    </row>
    <row r="166" spans="1:13" x14ac:dyDescent="0.25">
      <c r="A166" t="str">
        <f t="shared" si="8"/>
        <v>#</v>
      </c>
      <c r="B166" t="s">
        <v>1980</v>
      </c>
      <c r="C166" s="260">
        <f>Yardi!E164</f>
        <v>46204</v>
      </c>
      <c r="E166" t="str">
        <f>Yardi!G164</f>
        <v>July Recurring Entries</v>
      </c>
      <c r="F166" t="str">
        <f>Yardi!H164</f>
        <v>Balance Sheet Entries</v>
      </c>
      <c r="G166">
        <f t="shared" si="9"/>
        <v>0</v>
      </c>
      <c r="H166">
        <f>Yardi!K164</f>
        <v>0</v>
      </c>
      <c r="I166" t="str">
        <f>Yardi!I164</f>
        <v>mn610wes</v>
      </c>
      <c r="L166" t="str">
        <f>Yardi!O164</f>
        <v>07/2026 Prepaid Amortization</v>
      </c>
      <c r="M166" s="410">
        <f>Yardi!J164</f>
        <v>0</v>
      </c>
    </row>
    <row r="167" spans="1:13" x14ac:dyDescent="0.25">
      <c r="A167" t="str">
        <f t="shared" si="8"/>
        <v>#</v>
      </c>
      <c r="B167" t="s">
        <v>1980</v>
      </c>
      <c r="C167" s="260">
        <f>Yardi!E165</f>
        <v>46204</v>
      </c>
      <c r="E167" t="str">
        <f>Yardi!G165</f>
        <v>July Recurring Entries</v>
      </c>
      <c r="F167" t="str">
        <f>Yardi!H165</f>
        <v>Balance Sheet Entries</v>
      </c>
      <c r="G167">
        <f t="shared" si="9"/>
        <v>0</v>
      </c>
      <c r="H167">
        <f>Yardi!K165</f>
        <v>13085</v>
      </c>
      <c r="I167" t="str">
        <f>Yardi!I165</f>
        <v>mn610wes</v>
      </c>
      <c r="L167" t="str">
        <f>Yardi!O165</f>
        <v>07/2026 Prepaid Amortization</v>
      </c>
      <c r="M167" s="410">
        <f>Yardi!J165</f>
        <v>0</v>
      </c>
    </row>
    <row r="168" spans="1:13" ht="14.25" customHeight="1" x14ac:dyDescent="0.25"/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77F32-8310-4CAF-ABC3-CF559540BA77}">
  <sheetPr codeName="Sheet19"/>
  <dimension ref="A3:H166"/>
  <sheetViews>
    <sheetView workbookViewId="0">
      <selection activeCell="R22" sqref="R22"/>
    </sheetView>
  </sheetViews>
  <sheetFormatPr defaultRowHeight="15" x14ac:dyDescent="0.25"/>
  <cols>
    <col min="4" max="4" width="53.42578125" bestFit="1" customWidth="1"/>
  </cols>
  <sheetData>
    <row r="3" spans="1:8" x14ac:dyDescent="0.25">
      <c r="A3" t="str">
        <f>IF(Yardi!I2&lt;&gt;0,Yardi!I2,"")</f>
        <v>mn610wes</v>
      </c>
      <c r="B3" t="str">
        <f>IF(Yardi!K2&lt;&gt;0,CONCATENATE("RE",Yardi!K2),"")</f>
        <v>RE63010-000</v>
      </c>
      <c r="C3" t="str">
        <f>IF(Yardi!J2&lt;&gt;0,Yardi!J2,"")</f>
        <v/>
      </c>
      <c r="D3" t="str">
        <f>_xlfn.TEXTJOIN(" ",TRUE,TEXT('Input-Instructions'!$B$6,"MM/YY"),"PPD",'Property Insurance'!$G$9,,"Amort")</f>
        <v>07/26 PPD Amort</v>
      </c>
      <c r="E3" t="str">
        <f>IF(Yardi!O2&lt;&gt;0,"USD","")</f>
        <v>USD</v>
      </c>
      <c r="F3" t="str">
        <f>IF(Yardi!J2&lt;&gt;0,Yardi!J2,"")</f>
        <v/>
      </c>
      <c r="H3" t="str">
        <f>IF(Yardi!J2&lt;&gt;0,"@","")</f>
        <v/>
      </c>
    </row>
    <row r="4" spans="1:8" x14ac:dyDescent="0.25">
      <c r="A4" t="str">
        <f>IF(Yardi!I3&lt;&gt;0,Yardi!I3,"")</f>
        <v>mn610wes</v>
      </c>
      <c r="B4" t="str">
        <f>IF(Yardi!K3&lt;&gt;0,CONCATENATE("RE",Yardi!K3),"")</f>
        <v>RE13050-000</v>
      </c>
      <c r="C4" t="str">
        <f>IF(Yardi!J3&lt;&gt;0,Yardi!J3,"")</f>
        <v/>
      </c>
      <c r="D4" t="str">
        <f>_xlfn.TEXTJOIN(" ",TRUE,TEXT('Input-Instructions'!$B$6,"MM/YY"),"PPD",'Property Insurance'!$G$9,,"Amort")</f>
        <v>07/26 PPD Amort</v>
      </c>
      <c r="E4" t="str">
        <f>IF(Yardi!O3&lt;&gt;0,"USD","")</f>
        <v>USD</v>
      </c>
      <c r="F4" t="str">
        <f>IF(Yardi!J3&lt;&gt;0,Yardi!J3,"")</f>
        <v/>
      </c>
      <c r="H4" t="str">
        <f>IF(Yardi!J3&lt;&gt;0,"@","")</f>
        <v/>
      </c>
    </row>
    <row r="5" spans="1:8" x14ac:dyDescent="0.25">
      <c r="A5" t="str">
        <f>IF(Yardi!I4&lt;&gt;0,Yardi!I4,"")</f>
        <v>mn610wes</v>
      </c>
      <c r="B5" t="str">
        <f>IF(Yardi!K4&lt;&gt;0,CONCATENATE("RE",Yardi!K4),"")</f>
        <v/>
      </c>
      <c r="C5" t="str">
        <f>IF(Yardi!J4&lt;&gt;0,Yardi!J4,"")</f>
        <v/>
      </c>
      <c r="D5" t="str">
        <f>_xlfn.TEXTJOIN(" ",TRUE,TEXT('Input-Instructions'!$B$6,"MM/YY"),"PPD",'Property Insurance'!$G$10,,"Amort")</f>
        <v>07/26 PPD Amort</v>
      </c>
      <c r="E5" t="str">
        <f>IF(Yardi!O4&lt;&gt;0,"USD","")</f>
        <v>USD</v>
      </c>
      <c r="F5" t="str">
        <f>IF(Yardi!J4&lt;&gt;0,Yardi!J4,"")</f>
        <v/>
      </c>
      <c r="H5" t="str">
        <f>IF(Yardi!J4&lt;&gt;0,"@","")</f>
        <v/>
      </c>
    </row>
    <row r="6" spans="1:8" x14ac:dyDescent="0.25">
      <c r="A6" t="str">
        <f>IF(Yardi!I5&lt;&gt;0,Yardi!I5,"")</f>
        <v>mn610wes</v>
      </c>
      <c r="B6" t="str">
        <f>IF(Yardi!K5&lt;&gt;0,CONCATENATE("RE",Yardi!K5),"")</f>
        <v>RE13050-000</v>
      </c>
      <c r="C6" t="str">
        <f>IF(Yardi!J5&lt;&gt;0,Yardi!J5,"")</f>
        <v/>
      </c>
      <c r="D6" t="str">
        <f>_xlfn.TEXTJOIN(" ",TRUE,TEXT('Input-Instructions'!$B$6,"MM/YY"),"PPD",'Property Insurance'!$G$10,,"Amort")</f>
        <v>07/26 PPD Amort</v>
      </c>
      <c r="E6" t="str">
        <f>IF(Yardi!O5&lt;&gt;0,"USD","")</f>
        <v>USD</v>
      </c>
      <c r="F6" t="str">
        <f>IF(Yardi!J5&lt;&gt;0,Yardi!J5,"")</f>
        <v/>
      </c>
      <c r="H6" t="str">
        <f>IF(Yardi!J5&lt;&gt;0,"@","")</f>
        <v/>
      </c>
    </row>
    <row r="7" spans="1:8" x14ac:dyDescent="0.25">
      <c r="A7" t="str">
        <f>IF(Yardi!I6&lt;&gt;0,Yardi!I6,"")</f>
        <v>mn610wes</v>
      </c>
      <c r="B7" t="str">
        <f>IF(Yardi!K6&lt;&gt;0,CONCATENATE("RE",Yardi!K6),"")</f>
        <v/>
      </c>
      <c r="C7" t="str">
        <f>IF(Yardi!J6&lt;&gt;0,Yardi!J6,"")</f>
        <v/>
      </c>
      <c r="D7" t="str">
        <f>_xlfn.TEXTJOIN(" ",TRUE,TEXT('Input-Instructions'!$B$6,"MM/YY"),"PPD",'Property Insurance'!$G$11,,"Amort")</f>
        <v>07/26 PPD Amort</v>
      </c>
      <c r="E7" t="str">
        <f>IF(Yardi!O6&lt;&gt;0,"USD","")</f>
        <v>USD</v>
      </c>
      <c r="F7" t="str">
        <f>IF(Yardi!J6&lt;&gt;0,Yardi!J6,"")</f>
        <v/>
      </c>
      <c r="H7" t="str">
        <f>IF(Yardi!J6&lt;&gt;0,"@","")</f>
        <v/>
      </c>
    </row>
    <row r="8" spans="1:8" x14ac:dyDescent="0.25">
      <c r="A8" t="str">
        <f>IF(Yardi!I7&lt;&gt;0,Yardi!I7,"")</f>
        <v>mn610wes</v>
      </c>
      <c r="B8" t="str">
        <f>IF(Yardi!K7&lt;&gt;0,CONCATENATE("RE",Yardi!K7),"")</f>
        <v>RE13050-000</v>
      </c>
      <c r="C8" t="str">
        <f>IF(Yardi!J7&lt;&gt;0,Yardi!J7,"")</f>
        <v/>
      </c>
      <c r="D8" t="str">
        <f>_xlfn.TEXTJOIN(" ",TRUE,TEXT('Input-Instructions'!$B$6,"MM/YY"),"PPD",'Property Insurance'!$G$11,,"Amort")</f>
        <v>07/26 PPD Amort</v>
      </c>
      <c r="E8" t="str">
        <f>IF(Yardi!O7&lt;&gt;0,"USD","")</f>
        <v>USD</v>
      </c>
      <c r="F8" t="str">
        <f>IF(Yardi!J7&lt;&gt;0,Yardi!J7,"")</f>
        <v/>
      </c>
      <c r="H8" t="str">
        <f>IF(Yardi!J7&lt;&gt;0,"@","")</f>
        <v/>
      </c>
    </row>
    <row r="9" spans="1:8" x14ac:dyDescent="0.25">
      <c r="A9" t="str">
        <f>IF(Yardi!I8&lt;&gt;0,Yardi!I8,"")</f>
        <v>mn610wes</v>
      </c>
      <c r="B9" t="str">
        <f>IF(Yardi!K8&lt;&gt;0,CONCATENATE("RE",Yardi!K8),"")</f>
        <v/>
      </c>
      <c r="C9" t="str">
        <f>IF(Yardi!J8&lt;&gt;0,Yardi!J8,"")</f>
        <v/>
      </c>
      <c r="D9" t="str">
        <f>_xlfn.TEXTJOIN(" ",TRUE,TEXT('Input-Instructions'!$B$6,"MM/YY"),"PPD",'Property Insurance'!$G$12,,"Amort")</f>
        <v>07/26 PPD Amort</v>
      </c>
      <c r="E9" t="str">
        <f>IF(Yardi!O8&lt;&gt;0,"USD","")</f>
        <v>USD</v>
      </c>
      <c r="F9" t="str">
        <f>IF(Yardi!J8&lt;&gt;0,Yardi!J8,"")</f>
        <v/>
      </c>
      <c r="H9" t="str">
        <f>IF(Yardi!J8&lt;&gt;0,"@","")</f>
        <v/>
      </c>
    </row>
    <row r="10" spans="1:8" x14ac:dyDescent="0.25">
      <c r="A10" t="str">
        <f>IF(Yardi!I9&lt;&gt;0,Yardi!I9,"")</f>
        <v>mn610wes</v>
      </c>
      <c r="B10" t="str">
        <f>IF(Yardi!K9&lt;&gt;0,CONCATENATE("RE",Yardi!K9),"")</f>
        <v>RE13050-000</v>
      </c>
      <c r="C10" t="str">
        <f>IF(Yardi!J9&lt;&gt;0,Yardi!J9,"")</f>
        <v/>
      </c>
      <c r="D10" t="str">
        <f>_xlfn.TEXTJOIN(" ",TRUE,TEXT('Input-Instructions'!$B$6,"MM/YY"),"PPD",'Property Insurance'!$G$12,,"Amort")</f>
        <v>07/26 PPD Amort</v>
      </c>
      <c r="E10" t="str">
        <f>IF(Yardi!O9&lt;&gt;0,"USD","")</f>
        <v>USD</v>
      </c>
      <c r="F10" t="str">
        <f>IF(Yardi!J9&lt;&gt;0,Yardi!J9,"")</f>
        <v/>
      </c>
      <c r="H10" t="str">
        <f>IF(Yardi!J9&lt;&gt;0,"@","")</f>
        <v/>
      </c>
    </row>
    <row r="11" spans="1:8" x14ac:dyDescent="0.25">
      <c r="A11" t="str">
        <f>IF(Yardi!I10&lt;&gt;0,Yardi!I10,"")</f>
        <v>mn610wes</v>
      </c>
      <c r="B11" t="str">
        <f>IF(Yardi!K10&lt;&gt;0,CONCATENATE("RE",Yardi!K10),"")</f>
        <v/>
      </c>
      <c r="C11" t="str">
        <f>IF(Yardi!J10&lt;&gt;0,Yardi!J10,"")</f>
        <v/>
      </c>
      <c r="D11" t="str">
        <f>_xlfn.TEXTJOIN(" ",TRUE,TEXT('Input-Instructions'!$B$6,"MM/YY"),"PPD",'Property Insurance'!$G$13,,"Amort")</f>
        <v>07/26 PPD Amort</v>
      </c>
      <c r="E11" t="str">
        <f>IF(Yardi!O10&lt;&gt;0,"USD","")</f>
        <v>USD</v>
      </c>
      <c r="F11" t="str">
        <f>IF(Yardi!J10&lt;&gt;0,Yardi!J10,"")</f>
        <v/>
      </c>
      <c r="H11" t="str">
        <f>IF(Yardi!J10&lt;&gt;0,"@","")</f>
        <v/>
      </c>
    </row>
    <row r="12" spans="1:8" x14ac:dyDescent="0.25">
      <c r="A12" t="str">
        <f>IF(Yardi!I11&lt;&gt;0,Yardi!I11,"")</f>
        <v>mn610wes</v>
      </c>
      <c r="B12" t="str">
        <f>IF(Yardi!K11&lt;&gt;0,CONCATENATE("RE",Yardi!K11),"")</f>
        <v>RE13050-000</v>
      </c>
      <c r="C12" t="str">
        <f>IF(Yardi!J11&lt;&gt;0,Yardi!J11,"")</f>
        <v/>
      </c>
      <c r="D12" t="str">
        <f>_xlfn.TEXTJOIN(" ",TRUE,TEXT('Input-Instructions'!$B$6,"MM/YY"),"PPD",'Property Insurance'!$G$13,,"Amort")</f>
        <v>07/26 PPD Amort</v>
      </c>
      <c r="E12" t="str">
        <f>IF(Yardi!O11&lt;&gt;0,"USD","")</f>
        <v>USD</v>
      </c>
      <c r="F12" t="str">
        <f>IF(Yardi!J11&lt;&gt;0,Yardi!J11,"")</f>
        <v/>
      </c>
      <c r="H12" t="str">
        <f>IF(Yardi!J11&lt;&gt;0,"@","")</f>
        <v/>
      </c>
    </row>
    <row r="13" spans="1:8" x14ac:dyDescent="0.25">
      <c r="A13" t="str">
        <f>IF(Yardi!I12&lt;&gt;0,Yardi!I12,"")</f>
        <v>mn610wes</v>
      </c>
      <c r="B13" t="str">
        <f>IF(Yardi!K12&lt;&gt;0,CONCATENATE("RE",Yardi!K12),"")</f>
        <v/>
      </c>
      <c r="C13" t="str">
        <f>IF(Yardi!J12&lt;&gt;0,Yardi!J12,"")</f>
        <v/>
      </c>
      <c r="D13" t="str">
        <f>_xlfn.TEXTJOIN(" ",TRUE,TEXT('Input-Instructions'!$B$6,"MM/YY"),"PPD",'Property Insurance'!$G$14,,"Amort")</f>
        <v>07/26 PPD Amort</v>
      </c>
      <c r="E13" t="str">
        <f>IF(Yardi!O12&lt;&gt;0,"USD","")</f>
        <v>USD</v>
      </c>
      <c r="F13" t="str">
        <f>IF(Yardi!J12&lt;&gt;0,Yardi!J12,"")</f>
        <v/>
      </c>
      <c r="H13" t="str">
        <f>IF(Yardi!J12&lt;&gt;0,"@","")</f>
        <v/>
      </c>
    </row>
    <row r="14" spans="1:8" x14ac:dyDescent="0.25">
      <c r="A14" t="str">
        <f>IF(Yardi!I13&lt;&gt;0,Yardi!I13,"")</f>
        <v>mn610wes</v>
      </c>
      <c r="B14" t="str">
        <f>IF(Yardi!K13&lt;&gt;0,CONCATENATE("RE",Yardi!K13),"")</f>
        <v>RE13050-000</v>
      </c>
      <c r="C14" t="str">
        <f>IF(Yardi!J13&lt;&gt;0,Yardi!J13,"")</f>
        <v/>
      </c>
      <c r="D14" t="str">
        <f>_xlfn.TEXTJOIN(" ",TRUE,TEXT('Input-Instructions'!$B$6,"MM/YY"),"PPD",'Property Insurance'!$G$14,,"Amort")</f>
        <v>07/26 PPD Amort</v>
      </c>
      <c r="E14" t="str">
        <f>IF(Yardi!O13&lt;&gt;0,"USD","")</f>
        <v>USD</v>
      </c>
      <c r="F14" t="str">
        <f>IF(Yardi!J13&lt;&gt;0,Yardi!J13,"")</f>
        <v/>
      </c>
      <c r="H14" t="str">
        <f>IF(Yardi!J13&lt;&gt;0,"@","")</f>
        <v/>
      </c>
    </row>
    <row r="15" spans="1:8" x14ac:dyDescent="0.25">
      <c r="A15" t="str">
        <f>IF(Yardi!I14&lt;&gt;0,Yardi!I14,"")</f>
        <v>mn610wes</v>
      </c>
      <c r="B15" t="str">
        <f>IF(Yardi!K14&lt;&gt;0,CONCATENATE("RE",Yardi!K14),"")</f>
        <v/>
      </c>
      <c r="C15" t="str">
        <f>IF(Yardi!J14&lt;&gt;0,Yardi!J14,"")</f>
        <v/>
      </c>
      <c r="D15" t="str">
        <f>_xlfn.TEXTJOIN(" ",TRUE,TEXT('Input-Instructions'!$B$6,"MM/YY"),"PPD",'Property Insurance'!$G$15,,"Amort")</f>
        <v>07/26 PPD Amort</v>
      </c>
      <c r="E15" t="str">
        <f>IF(Yardi!O14&lt;&gt;0,"USD","")</f>
        <v>USD</v>
      </c>
      <c r="F15" t="str">
        <f>IF(Yardi!J14&lt;&gt;0,Yardi!J14,"")</f>
        <v/>
      </c>
      <c r="H15" t="str">
        <f>IF(Yardi!J14&lt;&gt;0,"@","")</f>
        <v/>
      </c>
    </row>
    <row r="16" spans="1:8" x14ac:dyDescent="0.25">
      <c r="A16" t="str">
        <f>IF(Yardi!I15&lt;&gt;0,Yardi!I15,"")</f>
        <v>mn610wes</v>
      </c>
      <c r="B16" t="str">
        <f>IF(Yardi!K15&lt;&gt;0,CONCATENATE("RE",Yardi!K15),"")</f>
        <v>RE13050-000</v>
      </c>
      <c r="C16" t="str">
        <f>IF(Yardi!J15&lt;&gt;0,Yardi!J15,"")</f>
        <v/>
      </c>
      <c r="D16" t="str">
        <f>_xlfn.TEXTJOIN(" ",TRUE,TEXT('Input-Instructions'!$B$6,"MM/YY"),"PPD",'Property Insurance'!$G$15,,"Amort")</f>
        <v>07/26 PPD Amort</v>
      </c>
      <c r="E16" t="str">
        <f>IF(Yardi!O15&lt;&gt;0,"USD","")</f>
        <v>USD</v>
      </c>
      <c r="F16" t="str">
        <f>IF(Yardi!J15&lt;&gt;0,Yardi!J15,"")</f>
        <v/>
      </c>
      <c r="H16" t="str">
        <f>IF(Yardi!J15&lt;&gt;0,"@","")</f>
        <v/>
      </c>
    </row>
    <row r="17" spans="1:8" x14ac:dyDescent="0.25">
      <c r="A17" t="str">
        <f>IF(Yardi!I16&lt;&gt;0,Yardi!I16,"")</f>
        <v>mn610wes</v>
      </c>
      <c r="B17" t="str">
        <f>IF(Yardi!K16&lt;&gt;0,CONCATENATE("RE",Yardi!K16),"")</f>
        <v/>
      </c>
      <c r="C17" t="str">
        <f>IF(Yardi!J16&lt;&gt;0,Yardi!J16,"")</f>
        <v/>
      </c>
      <c r="D17" t="str">
        <f>_xlfn.TEXTJOIN(" ",TRUE,TEXT('Input-Instructions'!$B$6,"MM/YY"),"PPD",'Property Insurance'!$G$16,,"Amort")</f>
        <v>07/26 PPD Amort</v>
      </c>
      <c r="E17" t="str">
        <f>IF(Yardi!O16&lt;&gt;0,"USD","")</f>
        <v>USD</v>
      </c>
      <c r="F17" t="str">
        <f>IF(Yardi!J16&lt;&gt;0,Yardi!J16,"")</f>
        <v/>
      </c>
      <c r="H17" t="str">
        <f>IF(Yardi!J16&lt;&gt;0,"@","")</f>
        <v/>
      </c>
    </row>
    <row r="18" spans="1:8" x14ac:dyDescent="0.25">
      <c r="A18" t="str">
        <f>IF(Yardi!I17&lt;&gt;0,Yardi!I17,"")</f>
        <v>mn610wes</v>
      </c>
      <c r="B18" t="str">
        <f>IF(Yardi!K17&lt;&gt;0,CONCATENATE("RE",Yardi!K17),"")</f>
        <v>RE13050-000</v>
      </c>
      <c r="C18" t="str">
        <f>IF(Yardi!J17&lt;&gt;0,Yardi!J17,"")</f>
        <v/>
      </c>
      <c r="D18" t="str">
        <f>_xlfn.TEXTJOIN(" ",TRUE,TEXT('Input-Instructions'!$B$6,"MM/YY"),"PPD",'Property Insurance'!$G$16,,"Amort")</f>
        <v>07/26 PPD Amort</v>
      </c>
      <c r="E18" t="str">
        <f>IF(Yardi!O17&lt;&gt;0,"USD","")</f>
        <v>USD</v>
      </c>
      <c r="F18" t="str">
        <f>IF(Yardi!J17&lt;&gt;0,Yardi!J17,"")</f>
        <v/>
      </c>
      <c r="H18" t="str">
        <f>IF(Yardi!J17&lt;&gt;0,"@","")</f>
        <v/>
      </c>
    </row>
    <row r="19" spans="1:8" x14ac:dyDescent="0.25">
      <c r="A19" t="str">
        <f>IF(Yardi!I18&lt;&gt;0,Yardi!I18,"")</f>
        <v>mn610wes</v>
      </c>
      <c r="B19" t="str">
        <f>IF(Yardi!K18&lt;&gt;0,CONCATENATE("RE",Yardi!K18),"")</f>
        <v/>
      </c>
      <c r="C19" t="str">
        <f>IF(Yardi!J18&lt;&gt;0,Yardi!J18,"")</f>
        <v/>
      </c>
      <c r="D19" t="str">
        <f>_xlfn.TEXTJOIN(" ",TRUE,TEXT('Input-Instructions'!$B$6,"MM/YY"),"PPD",'Property Insurance'!$G$17,,"Amort")</f>
        <v>07/26 PPD Amort</v>
      </c>
      <c r="E19" t="str">
        <f>IF(Yardi!O18&lt;&gt;0,"USD","")</f>
        <v>USD</v>
      </c>
      <c r="F19" t="str">
        <f>IF(Yardi!J18&lt;&gt;0,Yardi!J18,"")</f>
        <v/>
      </c>
      <c r="H19" t="str">
        <f>IF(Yardi!J18&lt;&gt;0,"@","")</f>
        <v/>
      </c>
    </row>
    <row r="20" spans="1:8" x14ac:dyDescent="0.25">
      <c r="A20" t="str">
        <f>IF(Yardi!I19&lt;&gt;0,Yardi!I19,"")</f>
        <v>mn610wes</v>
      </c>
      <c r="B20" t="str">
        <f>IF(Yardi!K19&lt;&gt;0,CONCATENATE("RE",Yardi!K19),"")</f>
        <v>RE13050-000</v>
      </c>
      <c r="C20" t="str">
        <f>IF(Yardi!J19&lt;&gt;0,Yardi!J19,"")</f>
        <v/>
      </c>
      <c r="D20" t="str">
        <f>_xlfn.TEXTJOIN(" ",TRUE,TEXT('Input-Instructions'!$B$6,"MM/YY"),"PPD",'Property Insurance'!$G$17,,"Amort")</f>
        <v>07/26 PPD Amort</v>
      </c>
      <c r="E20" t="str">
        <f>IF(Yardi!O19&lt;&gt;0,"USD","")</f>
        <v>USD</v>
      </c>
      <c r="F20" t="str">
        <f>IF(Yardi!J19&lt;&gt;0,Yardi!J19,"")</f>
        <v/>
      </c>
      <c r="H20" t="str">
        <f>IF(Yardi!J19&lt;&gt;0,"@","")</f>
        <v/>
      </c>
    </row>
    <row r="21" spans="1:8" x14ac:dyDescent="0.25">
      <c r="A21" t="str">
        <f>IF(Yardi!I20&lt;&gt;0,Yardi!I20,"")</f>
        <v>mn610wes</v>
      </c>
      <c r="B21" t="str">
        <f>IF(Yardi!K20&lt;&gt;0,CONCATENATE("RE",Yardi!K20),"")</f>
        <v/>
      </c>
      <c r="C21" t="str">
        <f>IF(Yardi!J20&lt;&gt;0,Yardi!J20,"")</f>
        <v/>
      </c>
      <c r="D21" t="str">
        <f>_xlfn.TEXTJOIN(" ",TRUE,TEXT('Input-Instructions'!$B$6,"MM/YY"),"PPD",'Property Insurance'!$G$18,,"Amort")</f>
        <v>07/26 PPD Amort</v>
      </c>
      <c r="E21" t="str">
        <f>IF(Yardi!O20&lt;&gt;0,"USD","")</f>
        <v>USD</v>
      </c>
      <c r="F21" t="str">
        <f>IF(Yardi!J20&lt;&gt;0,Yardi!J20,"")</f>
        <v/>
      </c>
      <c r="H21" t="str">
        <f>IF(Yardi!J20&lt;&gt;0,"@","")</f>
        <v/>
      </c>
    </row>
    <row r="22" spans="1:8" x14ac:dyDescent="0.25">
      <c r="A22" t="str">
        <f>IF(Yardi!I21&lt;&gt;0,Yardi!I21,"")</f>
        <v>mn610wes</v>
      </c>
      <c r="B22" t="str">
        <f>IF(Yardi!K21&lt;&gt;0,CONCATENATE("RE",Yardi!K21),"")</f>
        <v>RE13050-000</v>
      </c>
      <c r="C22" t="str">
        <f>IF(Yardi!J21&lt;&gt;0,Yardi!J21,"")</f>
        <v/>
      </c>
      <c r="D22" t="str">
        <f>_xlfn.TEXTJOIN(" ",TRUE,TEXT('Input-Instructions'!$B$6,"MM/YY"),"PPD",'Property Insurance'!$G$18,,"Amort")</f>
        <v>07/26 PPD Amort</v>
      </c>
      <c r="E22" t="str">
        <f>IF(Yardi!O21&lt;&gt;0,"USD","")</f>
        <v>USD</v>
      </c>
      <c r="F22" t="str">
        <f>IF(Yardi!J21&lt;&gt;0,Yardi!J21,"")</f>
        <v/>
      </c>
      <c r="H22" t="str">
        <f>IF(Yardi!J21&lt;&gt;0,"@","")</f>
        <v/>
      </c>
    </row>
    <row r="23" spans="1:8" x14ac:dyDescent="0.25">
      <c r="A23" t="str">
        <f>IF(Yardi!I22&lt;&gt;0,Yardi!I22,"")</f>
        <v>mn610wes</v>
      </c>
      <c r="B23" t="str">
        <f>IF(Yardi!K22&lt;&gt;0,CONCATENATE("RE",Yardi!K22),"")</f>
        <v>RE63010-000</v>
      </c>
      <c r="C23" t="str">
        <f>IF(Yardi!J22&lt;&gt;0,Yardi!J22,"")</f>
        <v/>
      </c>
      <c r="D23" t="str">
        <f>_xlfn.TEXTJOIN(" ",TRUE,TEXT('Input-Instructions'!$B$6,"MM/YY"),'Property Insurance'!$G$25,,"ACC")</f>
        <v>07/26 ACC</v>
      </c>
      <c r="E23" t="str">
        <f>IF(Yardi!O22&lt;&gt;0,"USD","")</f>
        <v>USD</v>
      </c>
      <c r="F23" t="str">
        <f>IF(Yardi!J22&lt;&gt;0,Yardi!J22,"")</f>
        <v/>
      </c>
      <c r="H23" t="str">
        <f>IF(Yardi!J22&lt;&gt;0,"@","")</f>
        <v/>
      </c>
    </row>
    <row r="24" spans="1:8" x14ac:dyDescent="0.25">
      <c r="A24" t="str">
        <f>IF(Yardi!I23&lt;&gt;0,Yardi!I23,"")</f>
        <v>mn610wes</v>
      </c>
      <c r="B24" t="str">
        <f>IF(Yardi!K23&lt;&gt;0,CONCATENATE("RE",Yardi!K23),"")</f>
        <v>RE22025-000</v>
      </c>
      <c r="C24" t="str">
        <f>IF(Yardi!J23&lt;&gt;0,Yardi!J23,"")</f>
        <v/>
      </c>
      <c r="D24" t="str">
        <f>_xlfn.TEXTJOIN(" ",TRUE,TEXT('Input-Instructions'!$B$6,"MM/YY"),'Property Insurance'!$G$25,,"ACC")</f>
        <v>07/26 ACC</v>
      </c>
      <c r="E24" t="str">
        <f>IF(Yardi!O23&lt;&gt;0,"USD","")</f>
        <v>USD</v>
      </c>
      <c r="F24" t="str">
        <f>IF(Yardi!J23&lt;&gt;0,Yardi!J23,"")</f>
        <v/>
      </c>
      <c r="H24" t="str">
        <f>IF(Yardi!J23&lt;&gt;0,"@","")</f>
        <v/>
      </c>
    </row>
    <row r="25" spans="1:8" x14ac:dyDescent="0.25">
      <c r="A25" t="str">
        <f>IF(Yardi!I24&lt;&gt;0,Yardi!I24,"")</f>
        <v>mn610wes</v>
      </c>
      <c r="B25" t="str">
        <f>IF(Yardi!K24&lt;&gt;0,CONCATENATE("RE",Yardi!K24),"")</f>
        <v/>
      </c>
      <c r="C25" t="str">
        <f>IF(Yardi!J24&lt;&gt;0,Yardi!J24,"")</f>
        <v/>
      </c>
      <c r="D25" t="str">
        <f>_xlfn.TEXTJOIN(" ",TRUE,TEXT('Input-Instructions'!$B$6,"MM/YY"),'Property Insurance'!$G$25,,"ACC")</f>
        <v>07/26 ACC</v>
      </c>
      <c r="E25" t="str">
        <f>IF(Yardi!O24&lt;&gt;0,"USD","")</f>
        <v>USD</v>
      </c>
      <c r="F25" t="str">
        <f>IF(Yardi!J24&lt;&gt;0,Yardi!J24,"")</f>
        <v/>
      </c>
      <c r="H25" t="str">
        <f>IF(Yardi!J24&lt;&gt;0,"@","")</f>
        <v/>
      </c>
    </row>
    <row r="26" spans="1:8" x14ac:dyDescent="0.25">
      <c r="A26" t="str">
        <f>IF(Yardi!I25&lt;&gt;0,Yardi!I25,"")</f>
        <v>mn610wes</v>
      </c>
      <c r="B26" t="str">
        <f>IF(Yardi!K25&lt;&gt;0,CONCATENATE("RE",Yardi!K25),"")</f>
        <v>RE22025-000</v>
      </c>
      <c r="C26" t="str">
        <f>IF(Yardi!J25&lt;&gt;0,Yardi!J25,"")</f>
        <v/>
      </c>
      <c r="D26" t="str">
        <f>_xlfn.TEXTJOIN(" ",TRUE,TEXT('Input-Instructions'!$B$6,"MM/YY"),'Property Insurance'!$G$25,,"ACC")</f>
        <v>07/26 ACC</v>
      </c>
      <c r="E26" t="str">
        <f>IF(Yardi!O25&lt;&gt;0,"USD","")</f>
        <v>USD</v>
      </c>
      <c r="F26" t="str">
        <f>IF(Yardi!J25&lt;&gt;0,Yardi!J25,"")</f>
        <v/>
      </c>
      <c r="H26" t="str">
        <f>IF(Yardi!J25&lt;&gt;0,"@","")</f>
        <v/>
      </c>
    </row>
    <row r="27" spans="1:8" x14ac:dyDescent="0.25">
      <c r="A27" t="str">
        <f>IF(Yardi!I26&lt;&gt;0,Yardi!I26,"")</f>
        <v>mn610wes</v>
      </c>
      <c r="B27" t="str">
        <f>IF(Yardi!K26&lt;&gt;0,CONCATENATE("RE",Yardi!K26),"")</f>
        <v/>
      </c>
      <c r="C27" t="str">
        <f>IF(Yardi!J26&lt;&gt;0,Yardi!J26,"")</f>
        <v/>
      </c>
      <c r="D27" t="str">
        <f>_xlfn.TEXTJOIN(" ",TRUE,TEXT('Input-Instructions'!$B$6,"MM/YY"),'Property Insurance'!$G$26,,"ACC")</f>
        <v>07/26 ACC</v>
      </c>
      <c r="E27" t="str">
        <f>IF(Yardi!O26&lt;&gt;0,"USD","")</f>
        <v>USD</v>
      </c>
      <c r="F27" t="str">
        <f>IF(Yardi!J26&lt;&gt;0,Yardi!J26,"")</f>
        <v/>
      </c>
      <c r="H27" t="str">
        <f>IF(Yardi!J26&lt;&gt;0,"@","")</f>
        <v/>
      </c>
    </row>
    <row r="28" spans="1:8" x14ac:dyDescent="0.25">
      <c r="A28" t="str">
        <f>IF(Yardi!I27&lt;&gt;0,Yardi!I27,"")</f>
        <v>mn610wes</v>
      </c>
      <c r="B28" t="str">
        <f>IF(Yardi!K27&lt;&gt;0,CONCATENATE("RE",Yardi!K27),"")</f>
        <v>RE22025-000</v>
      </c>
      <c r="C28" t="str">
        <f>IF(Yardi!J27&lt;&gt;0,Yardi!J27,"")</f>
        <v/>
      </c>
      <c r="D28" t="str">
        <f>_xlfn.TEXTJOIN(" ",TRUE,TEXT('Input-Instructions'!$B$6,"MM/YY"),'Property Insurance'!$G$26,,"ACC")</f>
        <v>07/26 ACC</v>
      </c>
      <c r="E28" t="str">
        <f>IF(Yardi!O27&lt;&gt;0,"USD","")</f>
        <v>USD</v>
      </c>
      <c r="F28" t="str">
        <f>IF(Yardi!J27&lt;&gt;0,Yardi!J27,"")</f>
        <v/>
      </c>
      <c r="H28" t="str">
        <f>IF(Yardi!J27&lt;&gt;0,"@","")</f>
        <v/>
      </c>
    </row>
    <row r="29" spans="1:8" x14ac:dyDescent="0.25">
      <c r="A29" t="str">
        <f>IF(Yardi!I28&lt;&gt;0,Yardi!I28,"")</f>
        <v>mn610wes</v>
      </c>
      <c r="B29" t="str">
        <f>IF(Yardi!K28&lt;&gt;0,CONCATENATE("RE",Yardi!K28),"")</f>
        <v/>
      </c>
      <c r="C29" t="str">
        <f>IF(Yardi!J28&lt;&gt;0,Yardi!J28,"")</f>
        <v/>
      </c>
      <c r="D29" t="str">
        <f>_xlfn.TEXTJOIN(" ",TRUE,TEXT('Input-Instructions'!$B$6,"MM/YY"),'Property Insurance'!$G$27,,"ACC")</f>
        <v>07/26 ACC</v>
      </c>
      <c r="E29" t="str">
        <f>IF(Yardi!O28&lt;&gt;0,"USD","")</f>
        <v>USD</v>
      </c>
      <c r="F29" t="str">
        <f>IF(Yardi!J28&lt;&gt;0,Yardi!J28,"")</f>
        <v/>
      </c>
      <c r="H29" t="str">
        <f>IF(Yardi!J28&lt;&gt;0,"@","")</f>
        <v/>
      </c>
    </row>
    <row r="30" spans="1:8" x14ac:dyDescent="0.25">
      <c r="A30" t="str">
        <f>IF(Yardi!I29&lt;&gt;0,Yardi!I29,"")</f>
        <v>mn610wes</v>
      </c>
      <c r="B30" t="str">
        <f>IF(Yardi!K29&lt;&gt;0,CONCATENATE("RE",Yardi!K29),"")</f>
        <v>RE22025-000</v>
      </c>
      <c r="C30" t="str">
        <f>IF(Yardi!J29&lt;&gt;0,Yardi!J29,"")</f>
        <v/>
      </c>
      <c r="D30" t="str">
        <f>_xlfn.TEXTJOIN(" ",TRUE,TEXT('Input-Instructions'!$B$6,"MM/YY"),'Property Insurance'!$G$27,,"ACC")</f>
        <v>07/26 ACC</v>
      </c>
      <c r="E30" t="str">
        <f>IF(Yardi!O29&lt;&gt;0,"USD","")</f>
        <v>USD</v>
      </c>
      <c r="F30" t="str">
        <f>IF(Yardi!J29&lt;&gt;0,Yardi!J29,"")</f>
        <v/>
      </c>
      <c r="H30" t="str">
        <f>IF(Yardi!J29&lt;&gt;0,"@","")</f>
        <v/>
      </c>
    </row>
    <row r="31" spans="1:8" x14ac:dyDescent="0.25">
      <c r="A31" t="str">
        <f>IF(Yardi!I30&lt;&gt;0,Yardi!I30,"")</f>
        <v>mn610wes</v>
      </c>
      <c r="B31" t="str">
        <f>IF(Yardi!K30&lt;&gt;0,CONCATENATE("RE",Yardi!K30),"")</f>
        <v/>
      </c>
      <c r="C31" t="str">
        <f>IF(Yardi!J30&lt;&gt;0,Yardi!J30,"")</f>
        <v/>
      </c>
      <c r="D31" t="str">
        <f>_xlfn.TEXTJOIN(" ",TRUE,TEXT('Input-Instructions'!$B$6,"MM/YY"),'Property Insurance'!$G$28,,"ACC")</f>
        <v>07/26 ACC</v>
      </c>
      <c r="E31" t="str">
        <f>IF(Yardi!O30&lt;&gt;0,"USD","")</f>
        <v>USD</v>
      </c>
      <c r="F31" t="str">
        <f>IF(Yardi!J30&lt;&gt;0,Yardi!J30,"")</f>
        <v/>
      </c>
      <c r="H31" t="str">
        <f>IF(Yardi!J30&lt;&gt;0,"@","")</f>
        <v/>
      </c>
    </row>
    <row r="32" spans="1:8" x14ac:dyDescent="0.25">
      <c r="A32" t="str">
        <f>IF(Yardi!I31&lt;&gt;0,Yardi!I31,"")</f>
        <v>mn610wes</v>
      </c>
      <c r="B32" t="str">
        <f>IF(Yardi!K31&lt;&gt;0,CONCATENATE("RE",Yardi!K31),"")</f>
        <v>RE22025-000</v>
      </c>
      <c r="C32" t="str">
        <f>IF(Yardi!J31&lt;&gt;0,Yardi!J31,"")</f>
        <v/>
      </c>
      <c r="D32" t="str">
        <f>_xlfn.TEXTJOIN(" ",TRUE,TEXT('Input-Instructions'!$B$6,"MM/YY"),'Property Insurance'!$G$28,,"ACC")</f>
        <v>07/26 ACC</v>
      </c>
      <c r="E32" t="str">
        <f>IF(Yardi!O31&lt;&gt;0,"USD","")</f>
        <v>USD</v>
      </c>
      <c r="F32" t="str">
        <f>IF(Yardi!J31&lt;&gt;0,Yardi!J31,"")</f>
        <v/>
      </c>
      <c r="H32" t="str">
        <f>IF(Yardi!J31&lt;&gt;0,"@","")</f>
        <v/>
      </c>
    </row>
    <row r="33" spans="1:8" x14ac:dyDescent="0.25">
      <c r="A33" t="str">
        <f>IF(Yardi!I32&lt;&gt;0,Yardi!I32,"")</f>
        <v>mn610wes</v>
      </c>
      <c r="B33" t="str">
        <f>IF(Yardi!K32&lt;&gt;0,CONCATENATE("RE",Yardi!K32),"")</f>
        <v/>
      </c>
      <c r="C33" t="str">
        <f>IF(Yardi!J32&lt;&gt;0,Yardi!J32,"")</f>
        <v/>
      </c>
      <c r="D33" t="str">
        <f>_xlfn.TEXTJOIN(" ",TRUE,TEXT('Input-Instructions'!$B$6,"MM/YY"),'Property Insurance'!$G$29,,"ACC")</f>
        <v>07/26 ACC</v>
      </c>
      <c r="E33" t="str">
        <f>IF(Yardi!O32&lt;&gt;0,"USD","")</f>
        <v>USD</v>
      </c>
      <c r="F33" t="str">
        <f>IF(Yardi!J32&lt;&gt;0,Yardi!J32,"")</f>
        <v/>
      </c>
      <c r="H33" t="str">
        <f>IF(Yardi!J32&lt;&gt;0,"@","")</f>
        <v/>
      </c>
    </row>
    <row r="34" spans="1:8" x14ac:dyDescent="0.25">
      <c r="A34" t="str">
        <f>IF(Yardi!I33&lt;&gt;0,Yardi!I33,"")</f>
        <v>mn610wes</v>
      </c>
      <c r="B34" t="str">
        <f>IF(Yardi!K33&lt;&gt;0,CONCATENATE("RE",Yardi!K33),"")</f>
        <v>RE22025-000</v>
      </c>
      <c r="C34" t="str">
        <f>IF(Yardi!J33&lt;&gt;0,Yardi!J33,"")</f>
        <v/>
      </c>
      <c r="D34" t="str">
        <f>_xlfn.TEXTJOIN(" ",TRUE,TEXT('Input-Instructions'!$B$6,"MM/YY"),'Property Insurance'!$G$29,,"ACC")</f>
        <v>07/26 ACC</v>
      </c>
      <c r="E34" t="str">
        <f>IF(Yardi!O33&lt;&gt;0,"USD","")</f>
        <v>USD</v>
      </c>
      <c r="F34" t="str">
        <f>IF(Yardi!J33&lt;&gt;0,Yardi!J33,"")</f>
        <v/>
      </c>
      <c r="H34" t="str">
        <f>IF(Yardi!J33&lt;&gt;0,"@","")</f>
        <v/>
      </c>
    </row>
    <row r="35" spans="1:8" x14ac:dyDescent="0.25">
      <c r="A35" t="str">
        <f>IF(Yardi!I34&lt;&gt;0,Yardi!I34,"")</f>
        <v>mn610wes</v>
      </c>
      <c r="B35" t="str">
        <f>IF(Yardi!K34&lt;&gt;0,CONCATENATE("RE",Yardi!K34),"")</f>
        <v/>
      </c>
      <c r="C35" t="str">
        <f>IF(Yardi!J34&lt;&gt;0,Yardi!J34,"")</f>
        <v/>
      </c>
      <c r="D35" t="str">
        <f>_xlfn.TEXTJOIN(" ",TRUE,TEXT('Input-Instructions'!$B$6,"MM/YY"),'Property Insurance'!$G$30,,"ACC")</f>
        <v>07/26 ACC</v>
      </c>
      <c r="E35" t="str">
        <f>IF(Yardi!O34&lt;&gt;0,"USD","")</f>
        <v>USD</v>
      </c>
      <c r="F35" t="str">
        <f>IF(Yardi!J34&lt;&gt;0,Yardi!J34,"")</f>
        <v/>
      </c>
      <c r="H35" t="str">
        <f>IF(Yardi!J34&lt;&gt;0,"@","")</f>
        <v/>
      </c>
    </row>
    <row r="36" spans="1:8" x14ac:dyDescent="0.25">
      <c r="A36" t="str">
        <f>IF(Yardi!I35&lt;&gt;0,Yardi!I35,"")</f>
        <v>mn610wes</v>
      </c>
      <c r="B36" t="str">
        <f>IF(Yardi!K35&lt;&gt;0,CONCATENATE("RE",Yardi!K35),"")</f>
        <v>RE22025-000</v>
      </c>
      <c r="C36" t="str">
        <f>IF(Yardi!J35&lt;&gt;0,Yardi!J35,"")</f>
        <v/>
      </c>
      <c r="D36" t="str">
        <f>_xlfn.TEXTJOIN(" ",TRUE,TEXT('Input-Instructions'!$B$6,"MM/YY"),'Property Insurance'!$G$30,,"ACC")</f>
        <v>07/26 ACC</v>
      </c>
      <c r="E36" t="str">
        <f>IF(Yardi!O35&lt;&gt;0,"USD","")</f>
        <v>USD</v>
      </c>
      <c r="F36" t="str">
        <f>IF(Yardi!J35&lt;&gt;0,Yardi!J35,"")</f>
        <v/>
      </c>
      <c r="H36" t="str">
        <f>IF(Yardi!J35&lt;&gt;0,"@","")</f>
        <v/>
      </c>
    </row>
    <row r="37" spans="1:8" x14ac:dyDescent="0.25">
      <c r="A37" t="str">
        <f>IF(Yardi!I36&lt;&gt;0,Yardi!I36,"")</f>
        <v>mn610wes</v>
      </c>
      <c r="B37" t="str">
        <f>IF(Yardi!K36&lt;&gt;0,CONCATENATE("RE",Yardi!K36),"")</f>
        <v/>
      </c>
      <c r="C37" t="str">
        <f>IF(Yardi!J36&lt;&gt;0,Yardi!J36,"")</f>
        <v/>
      </c>
      <c r="D37" t="str">
        <f>_xlfn.TEXTJOIN(" ",TRUE,TEXT('Input-Instructions'!$B$6,"MM/YY"),'Property Insurance'!$G$31,,"ACC")</f>
        <v>07/26 ACC</v>
      </c>
      <c r="E37" t="str">
        <f>IF(Yardi!O36&lt;&gt;0,"USD","")</f>
        <v>USD</v>
      </c>
      <c r="F37" t="str">
        <f>IF(Yardi!J36&lt;&gt;0,Yardi!J36,"")</f>
        <v/>
      </c>
      <c r="H37" t="str">
        <f>IF(Yardi!J36&lt;&gt;0,"@","")</f>
        <v/>
      </c>
    </row>
    <row r="38" spans="1:8" x14ac:dyDescent="0.25">
      <c r="A38" t="str">
        <f>IF(Yardi!I37&lt;&gt;0,Yardi!I37,"")</f>
        <v>mn610wes</v>
      </c>
      <c r="B38" t="str">
        <f>IF(Yardi!K37&lt;&gt;0,CONCATENATE("RE",Yardi!K37),"")</f>
        <v>RE22025-000</v>
      </c>
      <c r="C38" t="str">
        <f>IF(Yardi!J37&lt;&gt;0,Yardi!J37,"")</f>
        <v/>
      </c>
      <c r="D38" t="str">
        <f>_xlfn.TEXTJOIN(" ",TRUE,TEXT('Input-Instructions'!$B$6,"MM/YY"),'Property Insurance'!$G$31,,"ACC")</f>
        <v>07/26 ACC</v>
      </c>
      <c r="E38" t="str">
        <f>IF(Yardi!O37&lt;&gt;0,"USD","")</f>
        <v>USD</v>
      </c>
      <c r="F38" t="str">
        <f>IF(Yardi!J37&lt;&gt;0,Yardi!J37,"")</f>
        <v/>
      </c>
      <c r="H38" t="str">
        <f>IF(Yardi!J37&lt;&gt;0,"@","")</f>
        <v/>
      </c>
    </row>
    <row r="39" spans="1:8" x14ac:dyDescent="0.25">
      <c r="A39" t="str">
        <f>IF(Yardi!I38&lt;&gt;0,Yardi!I38,"")</f>
        <v>mn610wes</v>
      </c>
      <c r="B39" t="str">
        <f>IF(Yardi!K38&lt;&gt;0,CONCATENATE("RE",Yardi!K38),"")</f>
        <v/>
      </c>
      <c r="C39" t="str">
        <f>IF(Yardi!J38&lt;&gt;0,Yardi!J38,"")</f>
        <v/>
      </c>
      <c r="D39" t="str">
        <f>_xlfn.TEXTJOIN(" ",TRUE,TEXT('Input-Instructions'!$B$6,"MM/YY"),'Property Insurance'!$G$32,,"ACC")</f>
        <v>07/26 ACC</v>
      </c>
      <c r="E39" t="str">
        <f>IF(Yardi!O38&lt;&gt;0,"USD","")</f>
        <v>USD</v>
      </c>
      <c r="F39" t="str">
        <f>IF(Yardi!J38&lt;&gt;0,Yardi!J38,"")</f>
        <v/>
      </c>
      <c r="H39" t="str">
        <f>IF(Yardi!J38&lt;&gt;0,"@","")</f>
        <v/>
      </c>
    </row>
    <row r="40" spans="1:8" x14ac:dyDescent="0.25">
      <c r="A40" t="str">
        <f>IF(Yardi!I39&lt;&gt;0,Yardi!I39,"")</f>
        <v>mn610wes</v>
      </c>
      <c r="B40" t="str">
        <f>IF(Yardi!K39&lt;&gt;0,CONCATENATE("RE",Yardi!K39),"")</f>
        <v>RE22025-000</v>
      </c>
      <c r="C40" t="str">
        <f>IF(Yardi!J39&lt;&gt;0,Yardi!J39,"")</f>
        <v/>
      </c>
      <c r="D40" t="str">
        <f>_xlfn.TEXTJOIN(" ",TRUE,TEXT('Input-Instructions'!$B$6,"MM/YY"),'Property Insurance'!$G$32,,"ACC")</f>
        <v>07/26 ACC</v>
      </c>
      <c r="E40" t="str">
        <f>IF(Yardi!O39&lt;&gt;0,"USD","")</f>
        <v>USD</v>
      </c>
      <c r="F40" t="str">
        <f>IF(Yardi!J39&lt;&gt;0,Yardi!J39,"")</f>
        <v/>
      </c>
      <c r="H40" t="str">
        <f>IF(Yardi!J39&lt;&gt;0,"@","")</f>
        <v/>
      </c>
    </row>
    <row r="41" spans="1:8" x14ac:dyDescent="0.25">
      <c r="A41" t="str">
        <f>IF(Yardi!I40&lt;&gt;0,Yardi!I40,"")</f>
        <v>mn610wes</v>
      </c>
      <c r="B41" t="str">
        <f>IF(Yardi!K40&lt;&gt;0,CONCATENATE("RE",Yardi!K40),"")</f>
        <v/>
      </c>
      <c r="C41" t="str">
        <f>IF(Yardi!J40&lt;&gt;0,Yardi!J40,"")</f>
        <v/>
      </c>
      <c r="D41" t="str">
        <f>_xlfn.TEXTJOIN(" ",TRUE,TEXT('Input-Instructions'!$B$6,"MM/YY"),'Property Insurance'!$G$33,,"ACC")</f>
        <v>07/26 ACC</v>
      </c>
      <c r="E41" t="str">
        <f>IF(Yardi!O40&lt;&gt;0,"USD","")</f>
        <v>USD</v>
      </c>
      <c r="F41" t="str">
        <f>IF(Yardi!J40&lt;&gt;0,Yardi!J40,"")</f>
        <v/>
      </c>
      <c r="H41" t="str">
        <f>IF(Yardi!J40&lt;&gt;0,"@","")</f>
        <v/>
      </c>
    </row>
    <row r="42" spans="1:8" x14ac:dyDescent="0.25">
      <c r="A42" t="str">
        <f>IF(Yardi!I41&lt;&gt;0,Yardi!I41,"")</f>
        <v>mn610wes</v>
      </c>
      <c r="B42" t="str">
        <f>IF(Yardi!K41&lt;&gt;0,CONCATENATE("RE",Yardi!K41),"")</f>
        <v>RE22025-000</v>
      </c>
      <c r="C42" t="str">
        <f>IF(Yardi!J41&lt;&gt;0,Yardi!J41,"")</f>
        <v/>
      </c>
      <c r="D42" t="str">
        <f>_xlfn.TEXTJOIN(" ",TRUE,TEXT('Input-Instructions'!$B$6,"MM/YY"),'Property Insurance'!$G$33,,"ACC")</f>
        <v>07/26 ACC</v>
      </c>
      <c r="E42" t="str">
        <f>IF(Yardi!O41&lt;&gt;0,"USD","")</f>
        <v>USD</v>
      </c>
      <c r="F42" t="str">
        <f>IF(Yardi!J41&lt;&gt;0,Yardi!J41,"")</f>
        <v/>
      </c>
      <c r="H42" t="str">
        <f>IF(Yardi!J41&lt;&gt;0,"@","")</f>
        <v/>
      </c>
    </row>
    <row r="43" spans="1:8" x14ac:dyDescent="0.25">
      <c r="A43" t="str">
        <f>IF(Yardi!I42&lt;&gt;0,Yardi!I42,"")</f>
        <v>mn610wes</v>
      </c>
      <c r="B43" t="str">
        <f>IF(Yardi!K42&lt;&gt;0,CONCATENATE("RE",Yardi!K42),"")</f>
        <v>RE62010-000</v>
      </c>
      <c r="C43" t="str">
        <f>IF(Yardi!J42&lt;&gt;0,Yardi!J42,"")</f>
        <v/>
      </c>
      <c r="D43" t="str">
        <f>_xlfn.TEXTJOIN(" ",TRUE,TEXT('Input-Instructions'!$B$6,"MM/YY"),"PPD",'Real Estate Taxes'!$G$9,,"Amort")</f>
        <v>07/26 PPD Ad Valorem Property Taxes Amort</v>
      </c>
      <c r="E43" t="str">
        <f>IF(Yardi!O42&lt;&gt;0,"USD","")</f>
        <v>USD</v>
      </c>
      <c r="F43" t="str">
        <f>IF(Yardi!J42&lt;&gt;0,Yardi!J42,"")</f>
        <v/>
      </c>
      <c r="H43" t="str">
        <f>IF(Yardi!J42&lt;&gt;0,"@","")</f>
        <v/>
      </c>
    </row>
    <row r="44" spans="1:8" x14ac:dyDescent="0.25">
      <c r="A44" t="str">
        <f>IF(Yardi!I43&lt;&gt;0,Yardi!I43,"")</f>
        <v>mn610wes</v>
      </c>
      <c r="B44" t="str">
        <f>IF(Yardi!K43&lt;&gt;0,CONCATENATE("RE",Yardi!K43),"")</f>
        <v>RE13070</v>
      </c>
      <c r="C44" t="str">
        <f>IF(Yardi!J43&lt;&gt;0,Yardi!J43,"")</f>
        <v/>
      </c>
      <c r="D44" t="str">
        <f>_xlfn.TEXTJOIN(" ",TRUE,TEXT('Input-Instructions'!$B$6,"MM/YY"),"PPD",'Real Estate Taxes'!$G$9,,"Amort")</f>
        <v>07/26 PPD Ad Valorem Property Taxes Amort</v>
      </c>
      <c r="E44" t="str">
        <f>IF(Yardi!O43&lt;&gt;0,"USD","")</f>
        <v>USD</v>
      </c>
      <c r="F44" t="str">
        <f>IF(Yardi!J43&lt;&gt;0,Yardi!J43,"")</f>
        <v/>
      </c>
      <c r="H44" t="str">
        <f>IF(Yardi!J43&lt;&gt;0,"@","")</f>
        <v/>
      </c>
    </row>
    <row r="45" spans="1:8" x14ac:dyDescent="0.25">
      <c r="A45" t="str">
        <f>IF(Yardi!I44&lt;&gt;0,Yardi!I44,"")</f>
        <v>mn610wes</v>
      </c>
      <c r="B45" t="str">
        <f>IF(Yardi!K44&lt;&gt;0,CONCATENATE("RE",Yardi!K44),"")</f>
        <v>RE62030-000</v>
      </c>
      <c r="C45" t="str">
        <f>IF(Yardi!J44&lt;&gt;0,Yardi!J44,"")</f>
        <v/>
      </c>
      <c r="D45" t="str">
        <f>_xlfn.TEXTJOIN(" ",TRUE,TEXT('Input-Instructions'!$B$6,"MM/YY"),"PPD",'Real Estate Taxes'!$G$10,,"Amort")</f>
        <v>07/26 PPD Amort</v>
      </c>
      <c r="E45" t="str">
        <f>IF(Yardi!O44&lt;&gt;0,"USD","")</f>
        <v>USD</v>
      </c>
      <c r="F45" t="str">
        <f>IF(Yardi!J44&lt;&gt;0,Yardi!J44,"")</f>
        <v/>
      </c>
      <c r="H45" t="str">
        <f>IF(Yardi!J44&lt;&gt;0,"@","")</f>
        <v/>
      </c>
    </row>
    <row r="46" spans="1:8" x14ac:dyDescent="0.25">
      <c r="A46" t="str">
        <f>IF(Yardi!I45&lt;&gt;0,Yardi!I45,"")</f>
        <v>mn610wes</v>
      </c>
      <c r="B46" t="str">
        <f>IF(Yardi!K45&lt;&gt;0,CONCATENATE("RE",Yardi!K45),"")</f>
        <v>RE13070-000</v>
      </c>
      <c r="C46" t="str">
        <f>IF(Yardi!J45&lt;&gt;0,Yardi!J45,"")</f>
        <v/>
      </c>
      <c r="D46" t="str">
        <f>_xlfn.TEXTJOIN(" ",TRUE,TEXT('Input-Instructions'!$B$6,"MM/YY"),"PPD",'Real Estate Taxes'!$G$10,,"Amort")</f>
        <v>07/26 PPD Amort</v>
      </c>
      <c r="E46" t="str">
        <f>IF(Yardi!O45&lt;&gt;0,"USD","")</f>
        <v>USD</v>
      </c>
      <c r="F46" t="str">
        <f>IF(Yardi!J45&lt;&gt;0,Yardi!J45,"")</f>
        <v/>
      </c>
      <c r="H46" t="str">
        <f>IF(Yardi!J45&lt;&gt;0,"@","")</f>
        <v/>
      </c>
    </row>
    <row r="47" spans="1:8" x14ac:dyDescent="0.25">
      <c r="A47" t="str">
        <f>IF(Yardi!I46&lt;&gt;0,Yardi!I46,"")</f>
        <v>mn610wes</v>
      </c>
      <c r="B47" t="str">
        <f>IF(Yardi!K46&lt;&gt;0,CONCATENATE("RE",Yardi!K46),"")</f>
        <v/>
      </c>
      <c r="C47" t="str">
        <f>IF(Yardi!J46&lt;&gt;0,Yardi!J46,"")</f>
        <v/>
      </c>
      <c r="D47" t="str">
        <f>_xlfn.TEXTJOIN(" ",TRUE,TEXT('Input-Instructions'!$B$6,"MM/YY"),"PPD",'Real Estate Taxes'!$G$11,,"Amort")</f>
        <v>07/26 PPD Amort</v>
      </c>
      <c r="E47" t="str">
        <f>IF(Yardi!O46&lt;&gt;0,"USD","")</f>
        <v>USD</v>
      </c>
      <c r="F47" t="str">
        <f>IF(Yardi!J46&lt;&gt;0,Yardi!J46,"")</f>
        <v/>
      </c>
      <c r="H47" t="str">
        <f>IF(Yardi!J46&lt;&gt;0,"@","")</f>
        <v/>
      </c>
    </row>
    <row r="48" spans="1:8" x14ac:dyDescent="0.25">
      <c r="A48" t="str">
        <f>IF(Yardi!I47&lt;&gt;0,Yardi!I47,"")</f>
        <v>mn610wes</v>
      </c>
      <c r="B48" t="str">
        <f>IF(Yardi!K47&lt;&gt;0,CONCATENATE("RE",Yardi!K47),"")</f>
        <v>RE13070-000</v>
      </c>
      <c r="C48" t="str">
        <f>IF(Yardi!J47&lt;&gt;0,Yardi!J47,"")</f>
        <v/>
      </c>
      <c r="D48" t="str">
        <f>_xlfn.TEXTJOIN(" ",TRUE,TEXT('Input-Instructions'!$B$6,"MM/YY"),"PPD",'Real Estate Taxes'!$G$11,,"Amort")</f>
        <v>07/26 PPD Amort</v>
      </c>
      <c r="E48" t="str">
        <f>IF(Yardi!O47&lt;&gt;0,"USD","")</f>
        <v>USD</v>
      </c>
      <c r="F48" t="str">
        <f>IF(Yardi!J47&lt;&gt;0,Yardi!J47,"")</f>
        <v/>
      </c>
      <c r="H48" t="str">
        <f>IF(Yardi!J47&lt;&gt;0,"@","")</f>
        <v/>
      </c>
    </row>
    <row r="49" spans="1:8" x14ac:dyDescent="0.25">
      <c r="A49" t="str">
        <f>IF(Yardi!I48&lt;&gt;0,Yardi!I48,"")</f>
        <v>mn610wes</v>
      </c>
      <c r="B49" t="str">
        <f>IF(Yardi!K48&lt;&gt;0,CONCATENATE("RE",Yardi!K48),"")</f>
        <v/>
      </c>
      <c r="C49" t="str">
        <f>IF(Yardi!J48&lt;&gt;0,Yardi!J48,"")</f>
        <v/>
      </c>
      <c r="D49" t="str">
        <f>_xlfn.TEXTJOIN(" ",TRUE,TEXT('Input-Instructions'!$B$6,"MM/YY"),"PPD",'Real Estate Taxes'!$G$12,,"Amort")</f>
        <v>07/26 PPD Amort</v>
      </c>
      <c r="E49" t="str">
        <f>IF(Yardi!O48&lt;&gt;0,"USD","")</f>
        <v>USD</v>
      </c>
      <c r="F49" t="str">
        <f>IF(Yardi!J48&lt;&gt;0,Yardi!J48,"")</f>
        <v/>
      </c>
      <c r="H49" t="str">
        <f>IF(Yardi!J48&lt;&gt;0,"@","")</f>
        <v/>
      </c>
    </row>
    <row r="50" spans="1:8" x14ac:dyDescent="0.25">
      <c r="A50" t="str">
        <f>IF(Yardi!I49&lt;&gt;0,Yardi!I49,"")</f>
        <v>mn610wes</v>
      </c>
      <c r="B50" t="str">
        <f>IF(Yardi!K49&lt;&gt;0,CONCATENATE("RE",Yardi!K49),"")</f>
        <v>RE13070-000</v>
      </c>
      <c r="C50" t="str">
        <f>IF(Yardi!J49&lt;&gt;0,Yardi!J49,"")</f>
        <v/>
      </c>
      <c r="D50" t="str">
        <f>_xlfn.TEXTJOIN(" ",TRUE,TEXT('Input-Instructions'!$B$6,"MM/YY"),"PPD",'Real Estate Taxes'!$G$12,,"Amort")</f>
        <v>07/26 PPD Amort</v>
      </c>
      <c r="E50" t="str">
        <f>IF(Yardi!O49&lt;&gt;0,"USD","")</f>
        <v>USD</v>
      </c>
      <c r="F50" t="str">
        <f>IF(Yardi!J49&lt;&gt;0,Yardi!J49,"")</f>
        <v/>
      </c>
      <c r="H50" t="str">
        <f>IF(Yardi!J49&lt;&gt;0,"@","")</f>
        <v/>
      </c>
    </row>
    <row r="51" spans="1:8" x14ac:dyDescent="0.25">
      <c r="A51" t="str">
        <f>IF(Yardi!I50&lt;&gt;0,Yardi!I50,"")</f>
        <v>mn610wes</v>
      </c>
      <c r="B51" t="str">
        <f>IF(Yardi!K50&lt;&gt;0,CONCATENATE("RE",Yardi!K50),"")</f>
        <v/>
      </c>
      <c r="C51" t="str">
        <f>IF(Yardi!J50&lt;&gt;0,Yardi!J50,"")</f>
        <v/>
      </c>
      <c r="D51" t="str">
        <f>_xlfn.TEXTJOIN(" ",TRUE,TEXT('Input-Instructions'!$B$6,"MM/YY"),"PPD",'Real Estate Taxes'!$G$13,,"Amort")</f>
        <v>07/26 PPD Amort</v>
      </c>
      <c r="E51" t="str">
        <f>IF(Yardi!O50&lt;&gt;0,"USD","")</f>
        <v>USD</v>
      </c>
      <c r="F51" t="str">
        <f>IF(Yardi!J50&lt;&gt;0,Yardi!J50,"")</f>
        <v/>
      </c>
      <c r="H51" t="str">
        <f>IF(Yardi!J50&lt;&gt;0,"@","")</f>
        <v/>
      </c>
    </row>
    <row r="52" spans="1:8" x14ac:dyDescent="0.25">
      <c r="A52" t="str">
        <f>IF(Yardi!I51&lt;&gt;0,Yardi!I51,"")</f>
        <v>mn610wes</v>
      </c>
      <c r="B52" t="str">
        <f>IF(Yardi!K51&lt;&gt;0,CONCATENATE("RE",Yardi!K51),"")</f>
        <v>RE13070-000</v>
      </c>
      <c r="C52" t="str">
        <f>IF(Yardi!J51&lt;&gt;0,Yardi!J51,"")</f>
        <v/>
      </c>
      <c r="D52" t="str">
        <f>_xlfn.TEXTJOIN(" ",TRUE,TEXT('Input-Instructions'!$B$6,"MM/YY"),"PPD",'Real Estate Taxes'!$G$13,,"Amort")</f>
        <v>07/26 PPD Amort</v>
      </c>
      <c r="E52" t="str">
        <f>IF(Yardi!O51&lt;&gt;0,"USD","")</f>
        <v>USD</v>
      </c>
      <c r="F52" t="str">
        <f>IF(Yardi!J51&lt;&gt;0,Yardi!J51,"")</f>
        <v/>
      </c>
      <c r="H52" t="str">
        <f>IF(Yardi!J51&lt;&gt;0,"@","")</f>
        <v/>
      </c>
    </row>
    <row r="53" spans="1:8" x14ac:dyDescent="0.25">
      <c r="A53" t="str">
        <f>IF(Yardi!I52&lt;&gt;0,Yardi!I52,"")</f>
        <v>mn610wes</v>
      </c>
      <c r="B53" t="str">
        <f>IF(Yardi!K52&lt;&gt;0,CONCATENATE("RE",Yardi!K52),"")</f>
        <v/>
      </c>
      <c r="C53" t="str">
        <f>IF(Yardi!J52&lt;&gt;0,Yardi!J52,"")</f>
        <v/>
      </c>
      <c r="D53" t="str">
        <f>_xlfn.TEXTJOIN(" ",TRUE,TEXT('Input-Instructions'!$B$6,"MM/YY"),"PPD",'Real Estate Taxes'!$G$14,,"Amort")</f>
        <v>07/26 PPD Amort</v>
      </c>
      <c r="E53" t="str">
        <f>IF(Yardi!O52&lt;&gt;0,"USD","")</f>
        <v>USD</v>
      </c>
      <c r="F53" t="str">
        <f>IF(Yardi!J52&lt;&gt;0,Yardi!J52,"")</f>
        <v/>
      </c>
      <c r="H53" t="str">
        <f>IF(Yardi!J52&lt;&gt;0,"@","")</f>
        <v/>
      </c>
    </row>
    <row r="54" spans="1:8" x14ac:dyDescent="0.25">
      <c r="A54" t="str">
        <f>IF(Yardi!I53&lt;&gt;0,Yardi!I53,"")</f>
        <v>mn610wes</v>
      </c>
      <c r="B54" t="str">
        <f>IF(Yardi!K53&lt;&gt;0,CONCATENATE("RE",Yardi!K53),"")</f>
        <v>RE13070-000</v>
      </c>
      <c r="C54" t="str">
        <f>IF(Yardi!J53&lt;&gt;0,Yardi!J53,"")</f>
        <v/>
      </c>
      <c r="D54" t="str">
        <f>_xlfn.TEXTJOIN(" ",TRUE,TEXT('Input-Instructions'!$B$6,"MM/YY"),"PPD",'Real Estate Taxes'!$G$14,,"Amort")</f>
        <v>07/26 PPD Amort</v>
      </c>
      <c r="E54" t="str">
        <f>IF(Yardi!O53&lt;&gt;0,"USD","")</f>
        <v>USD</v>
      </c>
      <c r="F54" t="str">
        <f>IF(Yardi!J53&lt;&gt;0,Yardi!J53,"")</f>
        <v/>
      </c>
      <c r="H54" t="str">
        <f>IF(Yardi!J53&lt;&gt;0,"@","")</f>
        <v/>
      </c>
    </row>
    <row r="55" spans="1:8" x14ac:dyDescent="0.25">
      <c r="A55" t="str">
        <f>IF(Yardi!I54&lt;&gt;0,Yardi!I54,"")</f>
        <v>mn610wes</v>
      </c>
      <c r="B55" t="str">
        <f>IF(Yardi!K54&lt;&gt;0,CONCATENATE("RE",Yardi!K54),"")</f>
        <v>RE62010-000</v>
      </c>
      <c r="C55" t="str">
        <f>IF(Yardi!J54&lt;&gt;0,Yardi!J54,"")</f>
        <v/>
      </c>
      <c r="D55" t="str">
        <f>_xlfn.TEXTJOIN(" ",TRUE,TEXT('Input-Instructions'!$B$6,"MM/YY"),'Real Estate Taxes'!$G$20,,"ACC")</f>
        <v>07/26 Ad Valorem Property Taxes ACC</v>
      </c>
      <c r="E55" t="str">
        <f>IF(Yardi!O54&lt;&gt;0,"USD","")</f>
        <v>USD</v>
      </c>
      <c r="F55" t="str">
        <f>IF(Yardi!J54&lt;&gt;0,Yardi!J54,"")</f>
        <v/>
      </c>
      <c r="H55" t="str">
        <f>IF(Yardi!J54&lt;&gt;0,"@","")</f>
        <v/>
      </c>
    </row>
    <row r="56" spans="1:8" x14ac:dyDescent="0.25">
      <c r="A56" t="str">
        <f>IF(Yardi!I55&lt;&gt;0,Yardi!I55,"")</f>
        <v>mn610wes</v>
      </c>
      <c r="B56" t="str">
        <f>IF(Yardi!K55&lt;&gt;0,CONCATENATE("RE",Yardi!K55),"")</f>
        <v>RE22020</v>
      </c>
      <c r="C56" t="str">
        <f>IF(Yardi!J55&lt;&gt;0,Yardi!J55,"")</f>
        <v/>
      </c>
      <c r="D56" t="str">
        <f>_xlfn.TEXTJOIN(" ",TRUE,TEXT('Input-Instructions'!$B$6,"MM/YY"),'Real Estate Taxes'!$G$20,,"ACC")</f>
        <v>07/26 Ad Valorem Property Taxes ACC</v>
      </c>
      <c r="E56" t="str">
        <f>IF(Yardi!O55&lt;&gt;0,"USD","")</f>
        <v>USD</v>
      </c>
      <c r="F56" t="str">
        <f>IF(Yardi!J55&lt;&gt;0,Yardi!J55,"")</f>
        <v/>
      </c>
      <c r="H56" t="str">
        <f>IF(Yardi!J55&lt;&gt;0,"@","")</f>
        <v/>
      </c>
    </row>
    <row r="57" spans="1:8" x14ac:dyDescent="0.25">
      <c r="A57" t="str">
        <f>IF(Yardi!I56&lt;&gt;0,Yardi!I56,"")</f>
        <v>mn610wes</v>
      </c>
      <c r="B57" t="str">
        <f>IF(Yardi!K56&lt;&gt;0,CONCATENATE("RE",Yardi!K56),"")</f>
        <v>RE62010-000</v>
      </c>
      <c r="C57" t="str">
        <f>IF(Yardi!J56&lt;&gt;0,Yardi!J56,"")</f>
        <v/>
      </c>
      <c r="D57" t="str">
        <f>_xlfn.TEXTJOIN(" ",TRUE,TEXT('Input-Instructions'!$B$6,"MM/YY"),'Real Estate Taxes'!$G$21,,"ACC")</f>
        <v>07/26 ACC</v>
      </c>
      <c r="E57" t="str">
        <f>IF(Yardi!O56&lt;&gt;0,"USD","")</f>
        <v>USD</v>
      </c>
      <c r="F57" t="str">
        <f>IF(Yardi!J56&lt;&gt;0,Yardi!J56,"")</f>
        <v/>
      </c>
      <c r="H57" t="str">
        <f>IF(Yardi!J56&lt;&gt;0,"@","")</f>
        <v/>
      </c>
    </row>
    <row r="58" spans="1:8" x14ac:dyDescent="0.25">
      <c r="A58" t="str">
        <f>IF(Yardi!I57&lt;&gt;0,Yardi!I57,"")</f>
        <v>mn610wes</v>
      </c>
      <c r="B58" t="str">
        <f>IF(Yardi!K57&lt;&gt;0,CONCATENATE("RE",Yardi!K57),"")</f>
        <v>RE22020</v>
      </c>
      <c r="C58" t="str">
        <f>IF(Yardi!J57&lt;&gt;0,Yardi!J57,"")</f>
        <v/>
      </c>
      <c r="D58" t="str">
        <f>_xlfn.TEXTJOIN(" ",TRUE,TEXT('Input-Instructions'!$B$6,"MM/YY"),'Real Estate Taxes'!$G$21,,"ACC")</f>
        <v>07/26 ACC</v>
      </c>
      <c r="E58" t="str">
        <f>IF(Yardi!O57&lt;&gt;0,"USD","")</f>
        <v>USD</v>
      </c>
      <c r="F58" t="str">
        <f>IF(Yardi!J57&lt;&gt;0,Yardi!J57,"")</f>
        <v/>
      </c>
      <c r="H58" t="str">
        <f>IF(Yardi!J57&lt;&gt;0,"@","")</f>
        <v/>
      </c>
    </row>
    <row r="59" spans="1:8" x14ac:dyDescent="0.25">
      <c r="A59" t="str">
        <f>IF(Yardi!I58&lt;&gt;0,Yardi!I58,"")</f>
        <v>mn610wes</v>
      </c>
      <c r="B59" t="str">
        <f>IF(Yardi!K58&lt;&gt;0,CONCATENATE("RE",Yardi!K58),"")</f>
        <v>RE62010-000</v>
      </c>
      <c r="C59" t="str">
        <f>IF(Yardi!J58&lt;&gt;0,Yardi!J58,"")</f>
        <v/>
      </c>
      <c r="D59" t="str">
        <f>_xlfn.TEXTJOIN(" ",TRUE,TEXT('Input-Instructions'!$B$6,"MM/YY"),'Real Estate Taxes'!$G$22,,"ACC")</f>
        <v>07/26 ACC</v>
      </c>
      <c r="E59" t="str">
        <f>IF(Yardi!O58&lt;&gt;0,"USD","")</f>
        <v>USD</v>
      </c>
      <c r="F59" t="str">
        <f>IF(Yardi!J58&lt;&gt;0,Yardi!J58,"")</f>
        <v/>
      </c>
      <c r="H59" t="str">
        <f>IF(Yardi!J58&lt;&gt;0,"@","")</f>
        <v/>
      </c>
    </row>
    <row r="60" spans="1:8" x14ac:dyDescent="0.25">
      <c r="A60" t="str">
        <f>IF(Yardi!I59&lt;&gt;0,Yardi!I59,"")</f>
        <v>mn610wes</v>
      </c>
      <c r="B60" t="str">
        <f>IF(Yardi!K59&lt;&gt;0,CONCATENATE("RE",Yardi!K59),"")</f>
        <v>RE22020</v>
      </c>
      <c r="C60" t="str">
        <f>IF(Yardi!J59&lt;&gt;0,Yardi!J59,"")</f>
        <v/>
      </c>
      <c r="D60" t="str">
        <f>_xlfn.TEXTJOIN(" ",TRUE,TEXT('Input-Instructions'!$B$6,"MM/YY"),'Real Estate Taxes'!$G$22,,"ACC")</f>
        <v>07/26 ACC</v>
      </c>
      <c r="E60" t="str">
        <f>IF(Yardi!O59&lt;&gt;0,"USD","")</f>
        <v>USD</v>
      </c>
      <c r="F60" t="str">
        <f>IF(Yardi!J59&lt;&gt;0,Yardi!J59,"")</f>
        <v/>
      </c>
      <c r="H60" t="str">
        <f>IF(Yardi!J59&lt;&gt;0,"@","")</f>
        <v/>
      </c>
    </row>
    <row r="61" spans="1:8" x14ac:dyDescent="0.25">
      <c r="A61" t="str">
        <f>IF(Yardi!I60&lt;&gt;0,Yardi!I60,"")</f>
        <v>mn610wes</v>
      </c>
      <c r="B61" t="str">
        <f>IF(Yardi!K60&lt;&gt;0,CONCATENATE("RE",Yardi!K60),"")</f>
        <v>RE62030-000</v>
      </c>
      <c r="C61" t="str">
        <f>IF(Yardi!J60&lt;&gt;0,Yardi!J60,"")</f>
        <v/>
      </c>
      <c r="D61" t="str">
        <f>_xlfn.TEXTJOIN(" ",TRUE,TEXT('Input-Instructions'!$B$6,"MM/YY"),'Real Estate Taxes'!$G$23,,"ACC")</f>
        <v>07/26 ACC</v>
      </c>
      <c r="E61" t="str">
        <f>IF(Yardi!O60&lt;&gt;0,"USD","")</f>
        <v>USD</v>
      </c>
      <c r="F61" t="str">
        <f>IF(Yardi!J60&lt;&gt;0,Yardi!J60,"")</f>
        <v/>
      </c>
      <c r="H61" t="str">
        <f>IF(Yardi!J60&lt;&gt;0,"@","")</f>
        <v/>
      </c>
    </row>
    <row r="62" spans="1:8" x14ac:dyDescent="0.25">
      <c r="A62" t="str">
        <f>IF(Yardi!I61&lt;&gt;0,Yardi!I61,"")</f>
        <v>mn610wes</v>
      </c>
      <c r="B62" t="str">
        <f>IF(Yardi!K61&lt;&gt;0,CONCATENATE("RE",Yardi!K61),"")</f>
        <v>RE22020-000</v>
      </c>
      <c r="C62" t="str">
        <f>IF(Yardi!J61&lt;&gt;0,Yardi!J61,"")</f>
        <v/>
      </c>
      <c r="D62" t="str">
        <f>_xlfn.TEXTJOIN(" ",TRUE,TEXT('Input-Instructions'!$B$6,"MM/YY"),'Real Estate Taxes'!$G$23,,"ACC")</f>
        <v>07/26 ACC</v>
      </c>
      <c r="E62" t="str">
        <f>IF(Yardi!O61&lt;&gt;0,"USD","")</f>
        <v>USD</v>
      </c>
      <c r="F62" t="str">
        <f>IF(Yardi!J61&lt;&gt;0,Yardi!J61,"")</f>
        <v/>
      </c>
      <c r="H62" t="str">
        <f>IF(Yardi!J61&lt;&gt;0,"@","")</f>
        <v/>
      </c>
    </row>
    <row r="63" spans="1:8" x14ac:dyDescent="0.25">
      <c r="A63" t="str">
        <f>IF(Yardi!I62&lt;&gt;0,Yardi!I62,"")</f>
        <v>mn610wes</v>
      </c>
      <c r="B63" t="str">
        <f>IF(Yardi!K62&lt;&gt;0,CONCATENATE("RE",Yardi!K62),"")</f>
        <v>RE62010-000</v>
      </c>
      <c r="C63" t="str">
        <f>IF(Yardi!J62&lt;&gt;0,Yardi!J62,"")</f>
        <v/>
      </c>
      <c r="D63" t="str">
        <f>_xlfn.TEXTJOIN(" ",TRUE,TEXT('Input-Instructions'!$B$6,"MM/YY"),'Real Estate Taxes'!$G$24,,"ACC")</f>
        <v>07/26 ACC</v>
      </c>
      <c r="E63" t="str">
        <f>IF(Yardi!O62&lt;&gt;0,"USD","")</f>
        <v>USD</v>
      </c>
      <c r="F63" t="str">
        <f>IF(Yardi!J62&lt;&gt;0,Yardi!J62,"")</f>
        <v/>
      </c>
      <c r="H63" t="str">
        <f>IF(Yardi!J62&lt;&gt;0,"@","")</f>
        <v/>
      </c>
    </row>
    <row r="64" spans="1:8" x14ac:dyDescent="0.25">
      <c r="A64" t="str">
        <f>IF(Yardi!I63&lt;&gt;0,Yardi!I63,"")</f>
        <v>mn610wes</v>
      </c>
      <c r="B64" t="str">
        <f>IF(Yardi!K63&lt;&gt;0,CONCATENATE("RE",Yardi!K63),"")</f>
        <v>RE22020</v>
      </c>
      <c r="C64" t="str">
        <f>IF(Yardi!J63&lt;&gt;0,Yardi!J63,"")</f>
        <v/>
      </c>
      <c r="D64" t="str">
        <f>_xlfn.TEXTJOIN(" ",TRUE,TEXT('Input-Instructions'!$B$6,"MM/YY"),'Real Estate Taxes'!$G$24,,"ACC")</f>
        <v>07/26 ACC</v>
      </c>
      <c r="E64" t="str">
        <f>IF(Yardi!O63&lt;&gt;0,"USD","")</f>
        <v>USD</v>
      </c>
      <c r="F64" t="str">
        <f>IF(Yardi!J63&lt;&gt;0,Yardi!J63,"")</f>
        <v/>
      </c>
      <c r="H64" t="str">
        <f>IF(Yardi!J63&lt;&gt;0,"@","")</f>
        <v/>
      </c>
    </row>
    <row r="65" spans="1:8" x14ac:dyDescent="0.25">
      <c r="A65" t="str">
        <f>IF(Yardi!I64&lt;&gt;0,Yardi!I64,"")</f>
        <v>mn610wes</v>
      </c>
      <c r="B65" t="str">
        <f>IF(Yardi!K64&lt;&gt;0,CONCATENATE("RE",Yardi!K64),"")</f>
        <v/>
      </c>
      <c r="C65" t="str">
        <f>IF(Yardi!J64&lt;&gt;0,Yardi!J64,"")</f>
        <v/>
      </c>
      <c r="D65" t="str">
        <f>_xlfn.TEXTJOIN(" ",TRUE,TEXT('Input-Instructions'!$B$6,"MM/YY"),'Real Estate Taxes'!$G$25,,"ACC")</f>
        <v>07/26 ACC</v>
      </c>
      <c r="E65" t="str">
        <f>IF(Yardi!O64&lt;&gt;0,"USD","")</f>
        <v>USD</v>
      </c>
      <c r="F65" t="str">
        <f>IF(Yardi!J64&lt;&gt;0,Yardi!J64,"")</f>
        <v/>
      </c>
      <c r="H65" t="str">
        <f>IF(Yardi!J64&lt;&gt;0,"@","")</f>
        <v/>
      </c>
    </row>
    <row r="66" spans="1:8" x14ac:dyDescent="0.25">
      <c r="A66" t="str">
        <f>IF(Yardi!I65&lt;&gt;0,Yardi!I65,"")</f>
        <v>mn610wes</v>
      </c>
      <c r="B66" t="str">
        <f>IF(Yardi!K65&lt;&gt;0,CONCATENATE("RE",Yardi!K65),"")</f>
        <v>RE22020-000</v>
      </c>
      <c r="C66" t="str">
        <f>IF(Yardi!J65&lt;&gt;0,Yardi!J65,"")</f>
        <v/>
      </c>
      <c r="D66" t="str">
        <f>_xlfn.TEXTJOIN(" ",TRUE,TEXT('Input-Instructions'!$B$6,"MM/YY"),'Real Estate Taxes'!$G$25,,"ACC")</f>
        <v>07/26 ACC</v>
      </c>
      <c r="E66" t="str">
        <f>IF(Yardi!O65&lt;&gt;0,"USD","")</f>
        <v>USD</v>
      </c>
      <c r="F66" t="str">
        <f>IF(Yardi!J65&lt;&gt;0,Yardi!J65,"")</f>
        <v/>
      </c>
      <c r="H66" t="str">
        <f>IF(Yardi!J65&lt;&gt;0,"@","")</f>
        <v/>
      </c>
    </row>
    <row r="67" spans="1:8" x14ac:dyDescent="0.25">
      <c r="A67" t="str">
        <f>IF(Yardi!I66&lt;&gt;0,Yardi!I66,"")</f>
        <v>mn610wes</v>
      </c>
      <c r="B67" t="str">
        <f>IF(Yardi!K66&lt;&gt;0,CONCATENATE("RE",Yardi!K66),"")</f>
        <v>RE58280-000</v>
      </c>
      <c r="C67" t="str">
        <f>IF(Yardi!J66&lt;&gt;0,Yardi!J66,"")</f>
        <v/>
      </c>
      <c r="D67" t="str">
        <f>_xlfn.TEXTJOIN(" ",TRUE,TEXT('Input-Instructions'!$B$6,"MM/YY"),"PPD",'Prepaid Other'!$F$6,"Amort")</f>
        <v>07/26 PPD Butterfly - 10.1.2024-9.30.2025 Intercom software subscription Amort</v>
      </c>
      <c r="E67" t="str">
        <f>IF(Yardi!O66&lt;&gt;0,"USD","")</f>
        <v>USD</v>
      </c>
      <c r="F67" t="str">
        <f>IF(Yardi!J66&lt;&gt;0,Yardi!J66,"")</f>
        <v/>
      </c>
      <c r="H67" t="str">
        <f>IF(Yardi!J66&lt;&gt;0,"@","")</f>
        <v/>
      </c>
    </row>
    <row r="68" spans="1:8" x14ac:dyDescent="0.25">
      <c r="A68" t="str">
        <f>IF(Yardi!I67&lt;&gt;0,Yardi!I67,"")</f>
        <v>mn610wes</v>
      </c>
      <c r="B68" t="str">
        <f>IF(Yardi!K67&lt;&gt;0,CONCATENATE("RE",Yardi!K67),"")</f>
        <v>RE13085</v>
      </c>
      <c r="C68" t="str">
        <f>IF(Yardi!J67&lt;&gt;0,Yardi!J67,"")</f>
        <v/>
      </c>
      <c r="D68" t="str">
        <f>_xlfn.TEXTJOIN(" ",TRUE,TEXT('Input-Instructions'!$B$6,"MM/YY"),"PPD",'Prepaid Other'!$F$6,"Amort")</f>
        <v>07/26 PPD Butterfly - 10.1.2024-9.30.2025 Intercom software subscription Amort</v>
      </c>
      <c r="E68" t="str">
        <f>IF(Yardi!O67&lt;&gt;0,"USD","")</f>
        <v>USD</v>
      </c>
      <c r="F68" t="str">
        <f>IF(Yardi!J67&lt;&gt;0,Yardi!J67,"")</f>
        <v/>
      </c>
      <c r="H68" t="str">
        <f>IF(Yardi!J67&lt;&gt;0,"@","")</f>
        <v/>
      </c>
    </row>
    <row r="69" spans="1:8" x14ac:dyDescent="0.25">
      <c r="A69" t="str">
        <f>IF(Yardi!I68&lt;&gt;0,Yardi!I68,"")</f>
        <v>mn610wes</v>
      </c>
      <c r="B69" t="str">
        <f>IF(Yardi!K68&lt;&gt;0,CONCATENATE("RE",Yardi!K68),"")</f>
        <v>RE58280-000</v>
      </c>
      <c r="C69" t="str">
        <f>IF(Yardi!J68&lt;&gt;0,Yardi!J68,"")</f>
        <v/>
      </c>
      <c r="D69" t="str">
        <f>_xlfn.TEXTJOIN(" ",TRUE,TEXT('Input-Instructions'!$B$6,"MM/YY"),"PPD",'Prepaid Other'!$F$7,"Amort")</f>
        <v>07/26 PPD ChargePoint - 3 yr subscription 10.22.24-10.22.27 Amort</v>
      </c>
      <c r="E69" t="str">
        <f>IF(Yardi!O68&lt;&gt;0,"USD","")</f>
        <v>USD</v>
      </c>
      <c r="F69" t="str">
        <f>IF(Yardi!J68&lt;&gt;0,Yardi!J68,"")</f>
        <v/>
      </c>
      <c r="H69" t="str">
        <f>IF(Yardi!J68&lt;&gt;0,"@","")</f>
        <v/>
      </c>
    </row>
    <row r="70" spans="1:8" x14ac:dyDescent="0.25">
      <c r="A70" t="str">
        <f>IF(Yardi!I69&lt;&gt;0,Yardi!I69,"")</f>
        <v>mn610wes</v>
      </c>
      <c r="B70" t="str">
        <f>IF(Yardi!K69&lt;&gt;0,CONCATENATE("RE",Yardi!K69),"")</f>
        <v>RE13085</v>
      </c>
      <c r="C70" t="str">
        <f>IF(Yardi!J69&lt;&gt;0,Yardi!J69,"")</f>
        <v/>
      </c>
      <c r="D70" t="str">
        <f>_xlfn.TEXTJOIN(" ",TRUE,TEXT('Input-Instructions'!$B$6,"MM/YY"),"PPD",'Prepaid Other'!$F$7,"Amort")</f>
        <v>07/26 PPD ChargePoint - 3 yr subscription 10.22.24-10.22.27 Amort</v>
      </c>
      <c r="E70" t="str">
        <f>IF(Yardi!O69&lt;&gt;0,"USD","")</f>
        <v>USD</v>
      </c>
      <c r="F70" t="str">
        <f>IF(Yardi!J69&lt;&gt;0,Yardi!J69,"")</f>
        <v/>
      </c>
      <c r="H70" t="str">
        <f>IF(Yardi!J69&lt;&gt;0,"@","")</f>
        <v/>
      </c>
    </row>
    <row r="71" spans="1:8" x14ac:dyDescent="0.25">
      <c r="A71" t="str">
        <f>IF(Yardi!I70&lt;&gt;0,Yardi!I70,"")</f>
        <v>mn610wes</v>
      </c>
      <c r="B71" t="str">
        <f>IF(Yardi!K70&lt;&gt;0,CONCATENATE("RE",Yardi!K70),"")</f>
        <v>RE53070-000</v>
      </c>
      <c r="C71" t="str">
        <f>IF(Yardi!J70&lt;&gt;0,Yardi!J70,"")</f>
        <v/>
      </c>
      <c r="D71" t="str">
        <f>_xlfn.TEXTJOIN(" ",TRUE,TEXT('Input-Instructions'!$B$6,"MM/YY"),"PPD",'Prepaid Other'!$F$8,"Amort")</f>
        <v>07/26 PPD Jonson Controls Fire Protection - 10.1.2024-9.30/2025 Fire Alarm Monitor-Bldg 2 Amort</v>
      </c>
      <c r="E71" t="str">
        <f>IF(Yardi!O70&lt;&gt;0,"USD","")</f>
        <v>USD</v>
      </c>
      <c r="F71" t="str">
        <f>IF(Yardi!J70&lt;&gt;0,Yardi!J70,"")</f>
        <v/>
      </c>
      <c r="H71" t="str">
        <f>IF(Yardi!J70&lt;&gt;0,"@","")</f>
        <v/>
      </c>
    </row>
    <row r="72" spans="1:8" x14ac:dyDescent="0.25">
      <c r="A72" t="str">
        <f>IF(Yardi!I71&lt;&gt;0,Yardi!I71,"")</f>
        <v>mn610wes</v>
      </c>
      <c r="B72" t="str">
        <f>IF(Yardi!K71&lt;&gt;0,CONCATENATE("RE",Yardi!K71),"")</f>
        <v>RE13085</v>
      </c>
      <c r="C72" t="str">
        <f>IF(Yardi!J71&lt;&gt;0,Yardi!J71,"")</f>
        <v/>
      </c>
      <c r="D72" t="str">
        <f>_xlfn.TEXTJOIN(" ",TRUE,TEXT('Input-Instructions'!$B$6,"MM/YY"),"PPD",'Prepaid Other'!$F$8,"Amort")</f>
        <v>07/26 PPD Jonson Controls Fire Protection - 10.1.2024-9.30/2025 Fire Alarm Monitor-Bldg 2 Amort</v>
      </c>
      <c r="E72" t="str">
        <f>IF(Yardi!O71&lt;&gt;0,"USD","")</f>
        <v>USD</v>
      </c>
      <c r="F72" t="str">
        <f>IF(Yardi!J71&lt;&gt;0,Yardi!J71,"")</f>
        <v/>
      </c>
      <c r="H72" t="str">
        <f>IF(Yardi!J71&lt;&gt;0,"@","")</f>
        <v/>
      </c>
    </row>
    <row r="73" spans="1:8" x14ac:dyDescent="0.25">
      <c r="A73" t="str">
        <f>IF(Yardi!I72&lt;&gt;0,Yardi!I72,"")</f>
        <v>mn610wes</v>
      </c>
      <c r="B73" t="str">
        <f>IF(Yardi!K72&lt;&gt;0,CONCATENATE("RE",Yardi!K72),"")</f>
        <v>RE53070-000</v>
      </c>
      <c r="C73" t="str">
        <f>IF(Yardi!J72&lt;&gt;0,Yardi!J72,"")</f>
        <v/>
      </c>
      <c r="D73" t="str">
        <f>_xlfn.TEXTJOIN(" ",TRUE,TEXT('Input-Instructions'!$B$6,"MM/YY"),"PPD",'Prepaid Other'!$F$9,"Amort")</f>
        <v>07/26 PPD Jonson Controls Fire Protection - 10.1.2024-9.30/2025 Fire Alarm Monitor-Bldg 3 Amort</v>
      </c>
      <c r="E73" t="str">
        <f>IF(Yardi!O72&lt;&gt;0,"USD","")</f>
        <v>USD</v>
      </c>
      <c r="F73" t="str">
        <f>IF(Yardi!J72&lt;&gt;0,Yardi!J72,"")</f>
        <v/>
      </c>
      <c r="H73" t="str">
        <f>IF(Yardi!J72&lt;&gt;0,"@","")</f>
        <v/>
      </c>
    </row>
    <row r="74" spans="1:8" x14ac:dyDescent="0.25">
      <c r="A74" t="str">
        <f>IF(Yardi!I73&lt;&gt;0,Yardi!I73,"")</f>
        <v>mn610wes</v>
      </c>
      <c r="B74" t="str">
        <f>IF(Yardi!K73&lt;&gt;0,CONCATENATE("RE",Yardi!K73),"")</f>
        <v>RE13085</v>
      </c>
      <c r="C74" t="str">
        <f>IF(Yardi!J73&lt;&gt;0,Yardi!J73,"")</f>
        <v/>
      </c>
      <c r="D74" t="str">
        <f>_xlfn.TEXTJOIN(" ",TRUE,TEXT('Input-Instructions'!$B$6,"MM/YY"),"PPD",'Prepaid Other'!$F$9,"Amort")</f>
        <v>07/26 PPD Jonson Controls Fire Protection - 10.1.2024-9.30/2025 Fire Alarm Monitor-Bldg 3 Amort</v>
      </c>
      <c r="E74" t="str">
        <f>IF(Yardi!O73&lt;&gt;0,"USD","")</f>
        <v>USD</v>
      </c>
      <c r="F74" t="str">
        <f>IF(Yardi!J73&lt;&gt;0,Yardi!J73,"")</f>
        <v/>
      </c>
      <c r="H74" t="str">
        <f>IF(Yardi!J73&lt;&gt;0,"@","")</f>
        <v/>
      </c>
    </row>
    <row r="75" spans="1:8" x14ac:dyDescent="0.25">
      <c r="A75" t="str">
        <f>IF(Yardi!I74&lt;&gt;0,Yardi!I74,"")</f>
        <v>mn610wes</v>
      </c>
      <c r="B75" t="str">
        <f>IF(Yardi!K74&lt;&gt;0,CONCATENATE("RE",Yardi!K74),"")</f>
        <v>RE53070-000</v>
      </c>
      <c r="C75" t="str">
        <f>IF(Yardi!J74&lt;&gt;0,Yardi!J74,"")</f>
        <v/>
      </c>
      <c r="D75" t="str">
        <f>_xlfn.TEXTJOIN(" ",TRUE,TEXT('Input-Instructions'!$B$6,"MM/YY"),"PPD",'Prepaid Other'!$F$10,"Amort")</f>
        <v>07/26 PPD Jonson Controls Fire Protection - 10.1.2024-9.30/2025 Fire Alarm Monitor-Bldg 4 Amort</v>
      </c>
      <c r="E75" t="str">
        <f>IF(Yardi!O74&lt;&gt;0,"USD","")</f>
        <v>USD</v>
      </c>
      <c r="F75" t="str">
        <f>IF(Yardi!J74&lt;&gt;0,Yardi!J74,"")</f>
        <v/>
      </c>
      <c r="H75" t="str">
        <f>IF(Yardi!J74&lt;&gt;0,"@","")</f>
        <v/>
      </c>
    </row>
    <row r="76" spans="1:8" x14ac:dyDescent="0.25">
      <c r="A76" t="str">
        <f>IF(Yardi!I75&lt;&gt;0,Yardi!I75,"")</f>
        <v>mn610wes</v>
      </c>
      <c r="B76" t="str">
        <f>IF(Yardi!K75&lt;&gt;0,CONCATENATE("RE",Yardi!K75),"")</f>
        <v>RE13085</v>
      </c>
      <c r="C76" t="str">
        <f>IF(Yardi!J75&lt;&gt;0,Yardi!J75,"")</f>
        <v/>
      </c>
      <c r="D76" t="str">
        <f>_xlfn.TEXTJOIN(" ",TRUE,TEXT('Input-Instructions'!$B$6,"MM/YY"),"PPD",'Prepaid Other'!$F$10,"Amort")</f>
        <v>07/26 PPD Jonson Controls Fire Protection - 10.1.2024-9.30/2025 Fire Alarm Monitor-Bldg 4 Amort</v>
      </c>
      <c r="E76" t="str">
        <f>IF(Yardi!O75&lt;&gt;0,"USD","")</f>
        <v>USD</v>
      </c>
      <c r="F76" t="str">
        <f>IF(Yardi!J75&lt;&gt;0,Yardi!J75,"")</f>
        <v/>
      </c>
      <c r="H76" t="str">
        <f>IF(Yardi!J75&lt;&gt;0,"@","")</f>
        <v/>
      </c>
    </row>
    <row r="77" spans="1:8" x14ac:dyDescent="0.25">
      <c r="A77" t="str">
        <f>IF(Yardi!I76&lt;&gt;0,Yardi!I76,"")</f>
        <v>mn610wes</v>
      </c>
      <c r="B77" t="str">
        <f>IF(Yardi!K76&lt;&gt;0,CONCATENATE("RE",Yardi!K76),"")</f>
        <v>RE53070-000</v>
      </c>
      <c r="C77" t="str">
        <f>IF(Yardi!J76&lt;&gt;0,Yardi!J76,"")</f>
        <v/>
      </c>
      <c r="D77" t="str">
        <f>_xlfn.TEXTJOIN(" ",TRUE,TEXT('Input-Instructions'!$B$6,"MM/YY"),"PPD",'Prepaid Other'!$F$11,"Amort")</f>
        <v>07/26 PPD Jonson Controls Fire Protection - 10.1.2024-9.30/2025 Fire Alarm Monitor-Bldg 1 Amort</v>
      </c>
      <c r="E77" t="str">
        <f>IF(Yardi!O76&lt;&gt;0,"USD","")</f>
        <v>USD</v>
      </c>
      <c r="F77" t="str">
        <f>IF(Yardi!J76&lt;&gt;0,Yardi!J76,"")</f>
        <v/>
      </c>
      <c r="H77" t="str">
        <f>IF(Yardi!J76&lt;&gt;0,"@","")</f>
        <v/>
      </c>
    </row>
    <row r="78" spans="1:8" x14ac:dyDescent="0.25">
      <c r="A78" t="str">
        <f>IF(Yardi!I77&lt;&gt;0,Yardi!I77,"")</f>
        <v>mn610wes</v>
      </c>
      <c r="B78" t="str">
        <f>IF(Yardi!K77&lt;&gt;0,CONCATENATE("RE",Yardi!K77),"")</f>
        <v>RE13085</v>
      </c>
      <c r="C78" t="str">
        <f>IF(Yardi!J77&lt;&gt;0,Yardi!J77,"")</f>
        <v/>
      </c>
      <c r="D78" t="str">
        <f>_xlfn.TEXTJOIN(" ",TRUE,TEXT('Input-Instructions'!$B$6,"MM/YY"),"PPD",'Prepaid Other'!$F$11,"Amort")</f>
        <v>07/26 PPD Jonson Controls Fire Protection - 10.1.2024-9.30/2025 Fire Alarm Monitor-Bldg 1 Amort</v>
      </c>
      <c r="E78" t="str">
        <f>IF(Yardi!O77&lt;&gt;0,"USD","")</f>
        <v>USD</v>
      </c>
      <c r="F78" t="str">
        <f>IF(Yardi!J77&lt;&gt;0,Yardi!J77,"")</f>
        <v/>
      </c>
      <c r="H78" t="str">
        <f>IF(Yardi!J77&lt;&gt;0,"@","")</f>
        <v/>
      </c>
    </row>
    <row r="79" spans="1:8" x14ac:dyDescent="0.25">
      <c r="A79" t="str">
        <f>IF(Yardi!I78&lt;&gt;0,Yardi!I78,"")</f>
        <v>mn610wes</v>
      </c>
      <c r="B79" t="str">
        <f>IF(Yardi!K78&lt;&gt;0,CONCATENATE("RE",Yardi!K78),"")</f>
        <v>RE53070-000</v>
      </c>
      <c r="C79" t="str">
        <f>IF(Yardi!J78&lt;&gt;0,Yardi!J78,"")</f>
        <v/>
      </c>
      <c r="D79" t="str">
        <f>_xlfn.TEXTJOIN(" ",TRUE,TEXT('Input-Instructions'!$B$6,"MM/YY"),"PPD",'Prepaid Other'!$F$12,"Amort")</f>
        <v>07/26 PPD Jonson Controls Fire Protection - 10.1.2024-9.30/2025 Fire Security-Bldg 2 Amort</v>
      </c>
      <c r="E79" t="str">
        <f>IF(Yardi!O78&lt;&gt;0,"USD","")</f>
        <v>USD</v>
      </c>
      <c r="F79" t="str">
        <f>IF(Yardi!J78&lt;&gt;0,Yardi!J78,"")</f>
        <v/>
      </c>
      <c r="H79" t="str">
        <f>IF(Yardi!J78&lt;&gt;0,"@","")</f>
        <v/>
      </c>
    </row>
    <row r="80" spans="1:8" x14ac:dyDescent="0.25">
      <c r="A80" t="str">
        <f>IF(Yardi!I79&lt;&gt;0,Yardi!I79,"")</f>
        <v>mn610wes</v>
      </c>
      <c r="B80" t="str">
        <f>IF(Yardi!K79&lt;&gt;0,CONCATENATE("RE",Yardi!K79),"")</f>
        <v>RE13085</v>
      </c>
      <c r="C80" t="str">
        <f>IF(Yardi!J79&lt;&gt;0,Yardi!J79,"")</f>
        <v/>
      </c>
      <c r="D80" t="str">
        <f>_xlfn.TEXTJOIN(" ",TRUE,TEXT('Input-Instructions'!$B$6,"MM/YY"),"PPD",'Prepaid Other'!$F$12,"Amort")</f>
        <v>07/26 PPD Jonson Controls Fire Protection - 10.1.2024-9.30/2025 Fire Security-Bldg 2 Amort</v>
      </c>
      <c r="E80" t="str">
        <f>IF(Yardi!O79&lt;&gt;0,"USD","")</f>
        <v>USD</v>
      </c>
      <c r="F80" t="str">
        <f>IF(Yardi!J79&lt;&gt;0,Yardi!J79,"")</f>
        <v/>
      </c>
      <c r="H80" t="str">
        <f>IF(Yardi!J79&lt;&gt;0,"@","")</f>
        <v/>
      </c>
    </row>
    <row r="81" spans="1:8" x14ac:dyDescent="0.25">
      <c r="A81" t="str">
        <f>IF(Yardi!I80&lt;&gt;0,Yardi!I80,"")</f>
        <v>mn610wes</v>
      </c>
      <c r="B81" t="str">
        <f>IF(Yardi!K80&lt;&gt;0,CONCATENATE("RE",Yardi!K80),"")</f>
        <v>RE53070-000</v>
      </c>
      <c r="C81" t="str">
        <f>IF(Yardi!J80&lt;&gt;0,Yardi!J80,"")</f>
        <v/>
      </c>
      <c r="D81" t="str">
        <f>_xlfn.TEXTJOIN(" ",TRUE,TEXT('Input-Instructions'!$B$6,"MM/YY"),"PPD",'Prepaid Other'!$F$13,"Amort")</f>
        <v>07/26 PPD Jonson Controls Fire Protection - 10.1.2024-9.30/2025 Fire Security-Bldg 1 Amort</v>
      </c>
      <c r="E81" t="str">
        <f>IF(Yardi!O80&lt;&gt;0,"USD","")</f>
        <v>USD</v>
      </c>
      <c r="F81" t="str">
        <f>IF(Yardi!J80&lt;&gt;0,Yardi!J80,"")</f>
        <v/>
      </c>
      <c r="H81" t="str">
        <f>IF(Yardi!J80&lt;&gt;0,"@","")</f>
        <v/>
      </c>
    </row>
    <row r="82" spans="1:8" x14ac:dyDescent="0.25">
      <c r="A82" t="str">
        <f>IF(Yardi!I81&lt;&gt;0,Yardi!I81,"")</f>
        <v>mn610wes</v>
      </c>
      <c r="B82" t="str">
        <f>IF(Yardi!K81&lt;&gt;0,CONCATENATE("RE",Yardi!K81),"")</f>
        <v>RE13085</v>
      </c>
      <c r="C82" t="str">
        <f>IF(Yardi!J81&lt;&gt;0,Yardi!J81,"")</f>
        <v/>
      </c>
      <c r="D82" t="str">
        <f>_xlfn.TEXTJOIN(" ",TRUE,TEXT('Input-Instructions'!$B$6,"MM/YY"),"PPD",'Prepaid Other'!$F$13,"Amort")</f>
        <v>07/26 PPD Jonson Controls Fire Protection - 10.1.2024-9.30/2025 Fire Security-Bldg 1 Amort</v>
      </c>
      <c r="E82" t="str">
        <f>IF(Yardi!O81&lt;&gt;0,"USD","")</f>
        <v>USD</v>
      </c>
      <c r="F82" t="str">
        <f>IF(Yardi!J81&lt;&gt;0,Yardi!J81,"")</f>
        <v/>
      </c>
      <c r="H82" t="str">
        <f>IF(Yardi!J81&lt;&gt;0,"@","")</f>
        <v/>
      </c>
    </row>
    <row r="83" spans="1:8" x14ac:dyDescent="0.25">
      <c r="A83" t="str">
        <f>IF(Yardi!I82&lt;&gt;0,Yardi!I82,"")</f>
        <v>mn610wes</v>
      </c>
      <c r="B83" t="str">
        <f>IF(Yardi!K82&lt;&gt;0,CONCATENATE("RE",Yardi!K82),"")</f>
        <v>RE53070-000</v>
      </c>
      <c r="C83" t="str">
        <f>IF(Yardi!J82&lt;&gt;0,Yardi!J82,"")</f>
        <v/>
      </c>
      <c r="D83" t="str">
        <f>_xlfn.TEXTJOIN(" ",TRUE,TEXT('Input-Instructions'!$B$6,"MM/YY"),"PPD",'Prepaid Other'!$F$14,"Amort")</f>
        <v>07/26 PPD Jonson Controls Fire Protection - 10.1.2024-9.30/2025 Fire Security-Bldg 4 Amort</v>
      </c>
      <c r="E83" t="str">
        <f>IF(Yardi!O82&lt;&gt;0,"USD","")</f>
        <v>USD</v>
      </c>
      <c r="F83" t="str">
        <f>IF(Yardi!J82&lt;&gt;0,Yardi!J82,"")</f>
        <v/>
      </c>
      <c r="H83" t="str">
        <f>IF(Yardi!J82&lt;&gt;0,"@","")</f>
        <v/>
      </c>
    </row>
    <row r="84" spans="1:8" x14ac:dyDescent="0.25">
      <c r="A84" t="str">
        <f>IF(Yardi!I83&lt;&gt;0,Yardi!I83,"")</f>
        <v>mn610wes</v>
      </c>
      <c r="B84" t="str">
        <f>IF(Yardi!K83&lt;&gt;0,CONCATENATE("RE",Yardi!K83),"")</f>
        <v>RE13085</v>
      </c>
      <c r="C84" t="str">
        <f>IF(Yardi!J83&lt;&gt;0,Yardi!J83,"")</f>
        <v/>
      </c>
      <c r="D84" t="str">
        <f>_xlfn.TEXTJOIN(" ",TRUE,TEXT('Input-Instructions'!$B$6,"MM/YY"),"PPD",'Prepaid Other'!$F$14,"Amort")</f>
        <v>07/26 PPD Jonson Controls Fire Protection - 10.1.2024-9.30/2025 Fire Security-Bldg 4 Amort</v>
      </c>
      <c r="E84" t="str">
        <f>IF(Yardi!O83&lt;&gt;0,"USD","")</f>
        <v>USD</v>
      </c>
      <c r="F84" t="str">
        <f>IF(Yardi!J83&lt;&gt;0,Yardi!J83,"")</f>
        <v/>
      </c>
      <c r="H84" t="str">
        <f>IF(Yardi!J83&lt;&gt;0,"@","")</f>
        <v/>
      </c>
    </row>
    <row r="85" spans="1:8" x14ac:dyDescent="0.25">
      <c r="A85" t="str">
        <f>IF(Yardi!I84&lt;&gt;0,Yardi!I84,"")</f>
        <v>mn610wes</v>
      </c>
      <c r="B85" t="str">
        <f>IF(Yardi!K84&lt;&gt;0,CONCATENATE("RE",Yardi!K84),"")</f>
        <v>RE53070-000</v>
      </c>
      <c r="C85" t="str">
        <f>IF(Yardi!J84&lt;&gt;0,Yardi!J84,"")</f>
        <v/>
      </c>
      <c r="D85" t="str">
        <f>_xlfn.TEXTJOIN(" ",TRUE,TEXT('Input-Instructions'!$B$6,"MM/YY"),"PPD",'Prepaid Other'!$F$15,"Amort")</f>
        <v>07/26 PPD Jonson Controls Fire Protection - 10.1.2024-9.30/2025 Fire Security-Bldg 3 Amort</v>
      </c>
      <c r="E85" t="str">
        <f>IF(Yardi!O84&lt;&gt;0,"USD","")</f>
        <v>USD</v>
      </c>
      <c r="F85" t="str">
        <f>IF(Yardi!J84&lt;&gt;0,Yardi!J84,"")</f>
        <v/>
      </c>
      <c r="H85" t="str">
        <f>IF(Yardi!J84&lt;&gt;0,"@","")</f>
        <v/>
      </c>
    </row>
    <row r="86" spans="1:8" x14ac:dyDescent="0.25">
      <c r="A86" t="str">
        <f>IF(Yardi!I85&lt;&gt;0,Yardi!I85,"")</f>
        <v>mn610wes</v>
      </c>
      <c r="B86" t="str">
        <f>IF(Yardi!K85&lt;&gt;0,CONCATENATE("RE",Yardi!K85),"")</f>
        <v>RE13085</v>
      </c>
      <c r="C86" t="str">
        <f>IF(Yardi!J85&lt;&gt;0,Yardi!J85,"")</f>
        <v/>
      </c>
      <c r="D86" t="str">
        <f>_xlfn.TEXTJOIN(" ",TRUE,TEXT('Input-Instructions'!$B$6,"MM/YY"),"PPD",'Prepaid Other'!$F$15,"Amort")</f>
        <v>07/26 PPD Jonson Controls Fire Protection - 10.1.2024-9.30/2025 Fire Security-Bldg 3 Amort</v>
      </c>
      <c r="E86" t="str">
        <f>IF(Yardi!O85&lt;&gt;0,"USD","")</f>
        <v>USD</v>
      </c>
      <c r="F86" t="str">
        <f>IF(Yardi!J85&lt;&gt;0,Yardi!J85,"")</f>
        <v/>
      </c>
      <c r="H86" t="str">
        <f>IF(Yardi!J85&lt;&gt;0,"@","")</f>
        <v/>
      </c>
    </row>
    <row r="87" spans="1:8" x14ac:dyDescent="0.25">
      <c r="A87" t="str">
        <f>IF(Yardi!I86&lt;&gt;0,Yardi!I86,"")</f>
        <v>mn610wes</v>
      </c>
      <c r="B87" t="str">
        <f>IF(Yardi!K86&lt;&gt;0,CONCATENATE("RE",Yardi!K86),"")</f>
        <v>RE53070-000</v>
      </c>
      <c r="C87" t="str">
        <f>IF(Yardi!J86&lt;&gt;0,Yardi!J86,"")</f>
        <v/>
      </c>
      <c r="D87" t="str">
        <f>_xlfn.TEXTJOIN(" ",TRUE,TEXT('Input-Instructions'!$B$6,"MM/YY"),"PPD",'Prepaid Other'!$F$16,"Amort")</f>
        <v>07/26 PPD Johnson Controls Fire Protection Annual Invoice 3.1.25-2.28.26 Amort</v>
      </c>
      <c r="E87" t="str">
        <f>IF(Yardi!O86&lt;&gt;0,"USD","")</f>
        <v>USD</v>
      </c>
      <c r="F87" t="str">
        <f>IF(Yardi!J86&lt;&gt;0,Yardi!J86,"")</f>
        <v/>
      </c>
      <c r="H87" t="str">
        <f>IF(Yardi!J86&lt;&gt;0,"@","")</f>
        <v/>
      </c>
    </row>
    <row r="88" spans="1:8" x14ac:dyDescent="0.25">
      <c r="A88" t="str">
        <f>IF(Yardi!I87&lt;&gt;0,Yardi!I87,"")</f>
        <v>mn610wes</v>
      </c>
      <c r="B88" t="str">
        <f>IF(Yardi!K87&lt;&gt;0,CONCATENATE("RE",Yardi!K87),"")</f>
        <v>RE13085</v>
      </c>
      <c r="C88" t="str">
        <f>IF(Yardi!J87&lt;&gt;0,Yardi!J87,"")</f>
        <v/>
      </c>
      <c r="D88" t="str">
        <f>_xlfn.TEXTJOIN(" ",TRUE,TEXT('Input-Instructions'!$B$6,"MM/YY"),"PPD",'Prepaid Other'!$F$16,"Amort")</f>
        <v>07/26 PPD Johnson Controls Fire Protection Annual Invoice 3.1.25-2.28.26 Amort</v>
      </c>
      <c r="E88" t="str">
        <f>IF(Yardi!O87&lt;&gt;0,"USD","")</f>
        <v>USD</v>
      </c>
      <c r="F88" t="str">
        <f>IF(Yardi!J87&lt;&gt;0,Yardi!J87,"")</f>
        <v/>
      </c>
      <c r="H88" t="str">
        <f>IF(Yardi!J87&lt;&gt;0,"@","")</f>
        <v/>
      </c>
    </row>
    <row r="89" spans="1:8" x14ac:dyDescent="0.25">
      <c r="A89" t="str">
        <f>IF(Yardi!I88&lt;&gt;0,Yardi!I88,"")</f>
        <v>mn610wes</v>
      </c>
      <c r="B89" t="str">
        <f>IF(Yardi!K88&lt;&gt;0,CONCATENATE("RE",Yardi!K88),"")</f>
        <v>RE53070-000</v>
      </c>
      <c r="C89" t="str">
        <f>IF(Yardi!J88&lt;&gt;0,Yardi!J88,"")</f>
        <v/>
      </c>
      <c r="D89" t="str">
        <f>_xlfn.TEXTJOIN(" ",TRUE,TEXT('Input-Instructions'!$B$6,"MM/YY"),"PPD",'Prepaid Other'!$F$17,"Amort")</f>
        <v>07/26 PPD Johnson Controls Fire Protection Annual Invoice 3.1.25-2.28.26 Amort</v>
      </c>
      <c r="E89" t="str">
        <f>IF(Yardi!O88&lt;&gt;0,"USD","")</f>
        <v>USD</v>
      </c>
      <c r="F89" t="str">
        <f>IF(Yardi!J88&lt;&gt;0,Yardi!J88,"")</f>
        <v/>
      </c>
      <c r="H89" t="str">
        <f>IF(Yardi!J88&lt;&gt;0,"@","")</f>
        <v/>
      </c>
    </row>
    <row r="90" spans="1:8" x14ac:dyDescent="0.25">
      <c r="A90" t="str">
        <f>IF(Yardi!I89&lt;&gt;0,Yardi!I89,"")</f>
        <v>mn610wes</v>
      </c>
      <c r="B90" t="str">
        <f>IF(Yardi!K89&lt;&gt;0,CONCATENATE("RE",Yardi!K89),"")</f>
        <v>RE13085</v>
      </c>
      <c r="C90" t="str">
        <f>IF(Yardi!J89&lt;&gt;0,Yardi!J89,"")</f>
        <v/>
      </c>
      <c r="D90" t="str">
        <f>_xlfn.TEXTJOIN(" ",TRUE,TEXT('Input-Instructions'!$B$6,"MM/YY"),"PPD",'Prepaid Other'!$F$17,"Amort")</f>
        <v>07/26 PPD Johnson Controls Fire Protection Annual Invoice 3.1.25-2.28.26 Amort</v>
      </c>
      <c r="E90" t="str">
        <f>IF(Yardi!O89&lt;&gt;0,"USD","")</f>
        <v>USD</v>
      </c>
      <c r="F90" t="str">
        <f>IF(Yardi!J89&lt;&gt;0,Yardi!J89,"")</f>
        <v/>
      </c>
      <c r="H90" t="str">
        <f>IF(Yardi!J89&lt;&gt;0,"@","")</f>
        <v/>
      </c>
    </row>
    <row r="91" spans="1:8" x14ac:dyDescent="0.25">
      <c r="A91" t="str">
        <f>IF(Yardi!I90&lt;&gt;0,Yardi!I90,"")</f>
        <v>mn610wes</v>
      </c>
      <c r="B91" t="str">
        <f>IF(Yardi!K90&lt;&gt;0,CONCATENATE("RE",Yardi!K90),"")</f>
        <v>RE53070-000</v>
      </c>
      <c r="C91" t="str">
        <f>IF(Yardi!J90&lt;&gt;0,Yardi!J90,"")</f>
        <v/>
      </c>
      <c r="D91" t="str">
        <f>_xlfn.TEXTJOIN(" ",TRUE,TEXT('Input-Instructions'!$B$6,"MM/YY"),"PPD",'Prepaid Other'!$F$18,"Amort")</f>
        <v>07/26 PPD Johnson Controls Fire Protection Invoice 9.25-2.26 Amort</v>
      </c>
      <c r="E91" t="str">
        <f>IF(Yardi!O90&lt;&gt;0,"USD","")</f>
        <v>USD</v>
      </c>
      <c r="F91" t="str">
        <f>IF(Yardi!J90&lt;&gt;0,Yardi!J90,"")</f>
        <v/>
      </c>
      <c r="H91" t="str">
        <f>IF(Yardi!J90&lt;&gt;0,"@","")</f>
        <v/>
      </c>
    </row>
    <row r="92" spans="1:8" x14ac:dyDescent="0.25">
      <c r="A92" t="str">
        <f>IF(Yardi!I91&lt;&gt;0,Yardi!I91,"")</f>
        <v>mn610wes</v>
      </c>
      <c r="B92" t="str">
        <f>IF(Yardi!K91&lt;&gt;0,CONCATENATE("RE",Yardi!K91),"")</f>
        <v>RE13085</v>
      </c>
      <c r="C92" t="str">
        <f>IF(Yardi!J91&lt;&gt;0,Yardi!J91,"")</f>
        <v/>
      </c>
      <c r="D92" t="str">
        <f>_xlfn.TEXTJOIN(" ",TRUE,TEXT('Input-Instructions'!$B$6,"MM/YY"),"PPD",'Prepaid Other'!$F$18,"Amort")</f>
        <v>07/26 PPD Johnson Controls Fire Protection Invoice 9.25-2.26 Amort</v>
      </c>
      <c r="E92" t="str">
        <f>IF(Yardi!O91&lt;&gt;0,"USD","")</f>
        <v>USD</v>
      </c>
      <c r="F92" t="str">
        <f>IF(Yardi!J91&lt;&gt;0,Yardi!J91,"")</f>
        <v/>
      </c>
      <c r="H92" t="str">
        <f>IF(Yardi!J91&lt;&gt;0,"@","")</f>
        <v/>
      </c>
    </row>
    <row r="93" spans="1:8" x14ac:dyDescent="0.25">
      <c r="A93" t="str">
        <f>IF(Yardi!I92&lt;&gt;0,Yardi!I92,"")</f>
        <v>mn610wes</v>
      </c>
      <c r="B93" t="str">
        <f>IF(Yardi!K92&lt;&gt;0,CONCATENATE("RE",Yardi!K92),"")</f>
        <v>RE53070-000</v>
      </c>
      <c r="C93" t="str">
        <f>IF(Yardi!J92&lt;&gt;0,Yardi!J92,"")</f>
        <v/>
      </c>
      <c r="D93" t="str">
        <f>_xlfn.TEXTJOIN(" ",TRUE,TEXT('Input-Instructions'!$B$6,"MM/YY"),"PPD",'Prepaid Other'!$F$19,"Amort")</f>
        <v>07/26 PPD Johnson Controls Fire Protection Invoice 9.25-2.26 Amort</v>
      </c>
      <c r="E93" t="str">
        <f>IF(Yardi!O92&lt;&gt;0,"USD","")</f>
        <v>USD</v>
      </c>
      <c r="F93" t="str">
        <f>IF(Yardi!J92&lt;&gt;0,Yardi!J92,"")</f>
        <v/>
      </c>
      <c r="H93" t="str">
        <f>IF(Yardi!J92&lt;&gt;0,"@","")</f>
        <v/>
      </c>
    </row>
    <row r="94" spans="1:8" x14ac:dyDescent="0.25">
      <c r="A94" t="str">
        <f>IF(Yardi!I93&lt;&gt;0,Yardi!I93,"")</f>
        <v>mn610wes</v>
      </c>
      <c r="B94" t="str">
        <f>IF(Yardi!K93&lt;&gt;0,CONCATENATE("RE",Yardi!K93),"")</f>
        <v>RE13085</v>
      </c>
      <c r="C94" t="str">
        <f>IF(Yardi!J93&lt;&gt;0,Yardi!J93,"")</f>
        <v/>
      </c>
      <c r="D94" t="str">
        <f>_xlfn.TEXTJOIN(" ",TRUE,TEXT('Input-Instructions'!$B$6,"MM/YY"),"PPD",'Prepaid Other'!$F$19,"Amort")</f>
        <v>07/26 PPD Johnson Controls Fire Protection Invoice 9.25-2.26 Amort</v>
      </c>
      <c r="E94" t="str">
        <f>IF(Yardi!O93&lt;&gt;0,"USD","")</f>
        <v>USD</v>
      </c>
      <c r="F94" t="str">
        <f>IF(Yardi!J93&lt;&gt;0,Yardi!J93,"")</f>
        <v/>
      </c>
      <c r="H94" t="str">
        <f>IF(Yardi!J93&lt;&gt;0,"@","")</f>
        <v/>
      </c>
    </row>
    <row r="95" spans="1:8" x14ac:dyDescent="0.25">
      <c r="A95" t="str">
        <f>IF(Yardi!I94&lt;&gt;0,Yardi!I94,"")</f>
        <v>mn610wes</v>
      </c>
      <c r="B95" t="str">
        <f>IF(Yardi!K94&lt;&gt;0,CONCATENATE("RE",Yardi!K94),"")</f>
        <v>RE53070-000</v>
      </c>
      <c r="C95" t="str">
        <f>IF(Yardi!J94&lt;&gt;0,Yardi!J94,"")</f>
        <v/>
      </c>
      <c r="D95" t="str">
        <f>_xlfn.TEXTJOIN(" ",TRUE,TEXT('Input-Instructions'!$B$6,"MM/YY"),"PPD",'Prepaid Other'!$F$20,"Amort")</f>
        <v>07/26 PPD Johnson Controls Fire Protection Invoice 9.25-2.26 Amort</v>
      </c>
      <c r="E95" t="str">
        <f>IF(Yardi!O94&lt;&gt;0,"USD","")</f>
        <v>USD</v>
      </c>
      <c r="F95" t="str">
        <f>IF(Yardi!J94&lt;&gt;0,Yardi!J94,"")</f>
        <v/>
      </c>
      <c r="H95" t="str">
        <f>IF(Yardi!J94&lt;&gt;0,"@","")</f>
        <v/>
      </c>
    </row>
    <row r="96" spans="1:8" x14ac:dyDescent="0.25">
      <c r="A96" t="str">
        <f>IF(Yardi!I95&lt;&gt;0,Yardi!I95,"")</f>
        <v>mn610wes</v>
      </c>
      <c r="B96" t="str">
        <f>IF(Yardi!K95&lt;&gt;0,CONCATENATE("RE",Yardi!K95),"")</f>
        <v>RE13085</v>
      </c>
      <c r="C96" t="str">
        <f>IF(Yardi!J95&lt;&gt;0,Yardi!J95,"")</f>
        <v/>
      </c>
      <c r="D96" t="str">
        <f>_xlfn.TEXTJOIN(" ",TRUE,TEXT('Input-Instructions'!$B$6,"MM/YY"),"PPD",'Prepaid Other'!$F$20,"Amort")</f>
        <v>07/26 PPD Johnson Controls Fire Protection Invoice 9.25-2.26 Amort</v>
      </c>
      <c r="E96" t="str">
        <f>IF(Yardi!O95&lt;&gt;0,"USD","")</f>
        <v>USD</v>
      </c>
      <c r="F96" t="str">
        <f>IF(Yardi!J95&lt;&gt;0,Yardi!J95,"")</f>
        <v/>
      </c>
      <c r="H96" t="str">
        <f>IF(Yardi!J95&lt;&gt;0,"@","")</f>
        <v/>
      </c>
    </row>
    <row r="97" spans="1:8" x14ac:dyDescent="0.25">
      <c r="A97" t="str">
        <f>IF(Yardi!I96&lt;&gt;0,Yardi!I96,"")</f>
        <v>mn610wes</v>
      </c>
      <c r="B97" t="str">
        <f>IF(Yardi!K96&lt;&gt;0,CONCATENATE("RE",Yardi!K96),"")</f>
        <v>RE53070-000</v>
      </c>
      <c r="C97" t="str">
        <f>IF(Yardi!J96&lt;&gt;0,Yardi!J96,"")</f>
        <v/>
      </c>
      <c r="D97" t="str">
        <f>_xlfn.TEXTJOIN(" ",TRUE,TEXT('Input-Instructions'!$B$6,"MM/YY"),"PPD",'Prepaid Other'!$F$21,"Amort")</f>
        <v>07/26 PPD Johnson Controls Fire Protection Invoice 9.25-2.26 Amort</v>
      </c>
      <c r="E97" t="str">
        <f>IF(Yardi!O96&lt;&gt;0,"USD","")</f>
        <v>USD</v>
      </c>
      <c r="F97" t="str">
        <f>IF(Yardi!J96&lt;&gt;0,Yardi!J96,"")</f>
        <v/>
      </c>
      <c r="H97" t="str">
        <f>IF(Yardi!J96&lt;&gt;0,"@","")</f>
        <v/>
      </c>
    </row>
    <row r="98" spans="1:8" x14ac:dyDescent="0.25">
      <c r="A98" t="str">
        <f>IF(Yardi!I97&lt;&gt;0,Yardi!I97,"")</f>
        <v>mn610wes</v>
      </c>
      <c r="B98" t="str">
        <f>IF(Yardi!K97&lt;&gt;0,CONCATENATE("RE",Yardi!K97),"")</f>
        <v>RE13085</v>
      </c>
      <c r="C98" t="str">
        <f>IF(Yardi!J97&lt;&gt;0,Yardi!J97,"")</f>
        <v/>
      </c>
      <c r="D98" t="str">
        <f>_xlfn.TEXTJOIN(" ",TRUE,TEXT('Input-Instructions'!$B$6,"MM/YY"),"PPD",'Prepaid Other'!$F$21,"Amort")</f>
        <v>07/26 PPD Johnson Controls Fire Protection Invoice 9.25-2.26 Amort</v>
      </c>
      <c r="E98" t="str">
        <f>IF(Yardi!O97&lt;&gt;0,"USD","")</f>
        <v>USD</v>
      </c>
      <c r="F98" t="str">
        <f>IF(Yardi!J97&lt;&gt;0,Yardi!J97,"")</f>
        <v/>
      </c>
      <c r="H98" t="str">
        <f>IF(Yardi!J97&lt;&gt;0,"@","")</f>
        <v/>
      </c>
    </row>
    <row r="99" spans="1:8" x14ac:dyDescent="0.25">
      <c r="A99" t="str">
        <f>IF(Yardi!I98&lt;&gt;0,Yardi!I98,"")</f>
        <v>mn610wes</v>
      </c>
      <c r="B99" t="str">
        <f>IF(Yardi!K98&lt;&gt;0,CONCATENATE("RE",Yardi!K98),"")</f>
        <v>RE53070-000</v>
      </c>
      <c r="C99" t="str">
        <f>IF(Yardi!J98&lt;&gt;0,Yardi!J98,"")</f>
        <v/>
      </c>
      <c r="D99" t="str">
        <f>_xlfn.TEXTJOIN(" ",TRUE,TEXT('Input-Instructions'!$B$6,"MM/YY"),"PPD",'Prepaid Other'!$F$22,"Amort")</f>
        <v>07/26 PPD Johnson Controls Fire Protection Invoice 9.25-2.26 Amort</v>
      </c>
      <c r="E99" t="str">
        <f>IF(Yardi!O98&lt;&gt;0,"USD","")</f>
        <v>USD</v>
      </c>
      <c r="F99" t="str">
        <f>IF(Yardi!J98&lt;&gt;0,Yardi!J98,"")</f>
        <v/>
      </c>
      <c r="H99" t="str">
        <f>IF(Yardi!J98&lt;&gt;0,"@","")</f>
        <v/>
      </c>
    </row>
    <row r="100" spans="1:8" x14ac:dyDescent="0.25">
      <c r="A100" t="str">
        <f>IF(Yardi!I99&lt;&gt;0,Yardi!I99,"")</f>
        <v>mn610wes</v>
      </c>
      <c r="B100" t="str">
        <f>IF(Yardi!K99&lt;&gt;0,CONCATENATE("RE",Yardi!K99),"")</f>
        <v>RE13085</v>
      </c>
      <c r="C100" t="str">
        <f>IF(Yardi!J99&lt;&gt;0,Yardi!J99,"")</f>
        <v/>
      </c>
      <c r="D100" t="str">
        <f>_xlfn.TEXTJOIN(" ",TRUE,TEXT('Input-Instructions'!$B$6,"MM/YY"),"PPD",'Prepaid Other'!$F$22,"Amort")</f>
        <v>07/26 PPD Johnson Controls Fire Protection Invoice 9.25-2.26 Amort</v>
      </c>
      <c r="E100" t="str">
        <f>IF(Yardi!O99&lt;&gt;0,"USD","")</f>
        <v>USD</v>
      </c>
      <c r="F100" t="str">
        <f>IF(Yardi!J99&lt;&gt;0,Yardi!J99,"")</f>
        <v/>
      </c>
      <c r="H100" t="str">
        <f>IF(Yardi!J99&lt;&gt;0,"@","")</f>
        <v/>
      </c>
    </row>
    <row r="101" spans="1:8" x14ac:dyDescent="0.25">
      <c r="A101" t="str">
        <f>IF(Yardi!I100&lt;&gt;0,Yardi!I100,"")</f>
        <v>mn610wes</v>
      </c>
      <c r="B101" t="str">
        <f>IF(Yardi!K100&lt;&gt;0,CONCATENATE("RE",Yardi!K100),"")</f>
        <v>RE53070-000</v>
      </c>
      <c r="C101" t="str">
        <f>IF(Yardi!J100&lt;&gt;0,Yardi!J100,"")</f>
        <v/>
      </c>
      <c r="D101" t="str">
        <f>_xlfn.TEXTJOIN(" ",TRUE,TEXT('Input-Instructions'!$B$6,"MM/YY"),"PPD",'Prepaid Other'!$F$23,"Amort")</f>
        <v>07/26 PPD Johnson Controls Fire Protection Invoice 9.25-2.26 Amort</v>
      </c>
      <c r="E101" t="str">
        <f>IF(Yardi!O100&lt;&gt;0,"USD","")</f>
        <v>USD</v>
      </c>
      <c r="F101" t="str">
        <f>IF(Yardi!J100&lt;&gt;0,Yardi!J100,"")</f>
        <v/>
      </c>
      <c r="H101" t="str">
        <f>IF(Yardi!J100&lt;&gt;0,"@","")</f>
        <v/>
      </c>
    </row>
    <row r="102" spans="1:8" x14ac:dyDescent="0.25">
      <c r="A102" t="str">
        <f>IF(Yardi!I101&lt;&gt;0,Yardi!I101,"")</f>
        <v>mn610wes</v>
      </c>
      <c r="B102" t="str">
        <f>IF(Yardi!K101&lt;&gt;0,CONCATENATE("RE",Yardi!K101),"")</f>
        <v>RE13085</v>
      </c>
      <c r="C102" t="str">
        <f>IF(Yardi!J101&lt;&gt;0,Yardi!J101,"")</f>
        <v/>
      </c>
      <c r="D102" t="str">
        <f>_xlfn.TEXTJOIN(" ",TRUE,TEXT('Input-Instructions'!$B$6,"MM/YY"),"PPD",'Prepaid Other'!$F$23,"Amort")</f>
        <v>07/26 PPD Johnson Controls Fire Protection Invoice 9.25-2.26 Amort</v>
      </c>
      <c r="E102" t="str">
        <f>IF(Yardi!O101&lt;&gt;0,"USD","")</f>
        <v>USD</v>
      </c>
      <c r="F102" t="str">
        <f>IF(Yardi!J101&lt;&gt;0,Yardi!J101,"")</f>
        <v/>
      </c>
      <c r="H102" t="str">
        <f>IF(Yardi!J101&lt;&gt;0,"@","")</f>
        <v/>
      </c>
    </row>
    <row r="103" spans="1:8" x14ac:dyDescent="0.25">
      <c r="A103" t="str">
        <f>IF(Yardi!I102&lt;&gt;0,Yardi!I102,"")</f>
        <v>mn610wes</v>
      </c>
      <c r="B103" t="str">
        <f>IF(Yardi!K102&lt;&gt;0,CONCATENATE("RE",Yardi!K102),"")</f>
        <v>RE53070-000</v>
      </c>
      <c r="C103" t="str">
        <f>IF(Yardi!J102&lt;&gt;0,Yardi!J102,"")</f>
        <v/>
      </c>
      <c r="D103" t="str">
        <f>_xlfn.TEXTJOIN(" ",TRUE,TEXT('Input-Instructions'!$B$6,"MM/YY"),"PPD",'Prepaid Other'!$F$24,"Amort")</f>
        <v>07/26 PPD Johnson Controls Fire Protection Invoice 9.25-2.26 Amort</v>
      </c>
      <c r="E103" t="str">
        <f>IF(Yardi!O102&lt;&gt;0,"USD","")</f>
        <v>USD</v>
      </c>
      <c r="F103" t="str">
        <f>IF(Yardi!J102&lt;&gt;0,Yardi!J102,"")</f>
        <v/>
      </c>
      <c r="H103" t="str">
        <f>IF(Yardi!J102&lt;&gt;0,"@","")</f>
        <v/>
      </c>
    </row>
    <row r="104" spans="1:8" x14ac:dyDescent="0.25">
      <c r="A104" t="str">
        <f>IF(Yardi!I103&lt;&gt;0,Yardi!I103,"")</f>
        <v>mn610wes</v>
      </c>
      <c r="B104" t="str">
        <f>IF(Yardi!K103&lt;&gt;0,CONCATENATE("RE",Yardi!K103),"")</f>
        <v>RE13085</v>
      </c>
      <c r="C104" t="str">
        <f>IF(Yardi!J103&lt;&gt;0,Yardi!J103,"")</f>
        <v/>
      </c>
      <c r="D104" t="str">
        <f>_xlfn.TEXTJOIN(" ",TRUE,TEXT('Input-Instructions'!$B$6,"MM/YY"),"PPD",'Prepaid Other'!$F$24,"Amort")</f>
        <v>07/26 PPD Johnson Controls Fire Protection Invoice 9.25-2.26 Amort</v>
      </c>
      <c r="E104" t="str">
        <f>IF(Yardi!O103&lt;&gt;0,"USD","")</f>
        <v>USD</v>
      </c>
      <c r="F104" t="str">
        <f>IF(Yardi!J103&lt;&gt;0,Yardi!J103,"")</f>
        <v/>
      </c>
      <c r="H104" t="str">
        <f>IF(Yardi!J103&lt;&gt;0,"@","")</f>
        <v/>
      </c>
    </row>
    <row r="105" spans="1:8" x14ac:dyDescent="0.25">
      <c r="A105" t="str">
        <f>IF(Yardi!I104&lt;&gt;0,Yardi!I104,"")</f>
        <v>mn610wes</v>
      </c>
      <c r="B105" t="e">
        <f>IF(Yardi!K104&lt;&gt;0,CONCATENATE("RE",Yardi!K104),"")</f>
        <v>#REF!</v>
      </c>
      <c r="C105" t="str">
        <f>IF(Yardi!J104&lt;&gt;0,Yardi!J104,"")</f>
        <v/>
      </c>
      <c r="D105" t="e">
        <f>_xlfn.TEXTJOIN(" ",TRUE,TEXT('Input-Instructions'!$B$6,"MM/YY"),"PPD",'Prepaid Other'!#REF!,"Amort")</f>
        <v>#REF!</v>
      </c>
      <c r="E105" t="e">
        <f>IF(Yardi!O104&lt;&gt;0,"USD","")</f>
        <v>#REF!</v>
      </c>
      <c r="F105" t="str">
        <f>IF(Yardi!J104&lt;&gt;0,Yardi!J104,"")</f>
        <v/>
      </c>
      <c r="H105" t="str">
        <f>IF(Yardi!J104&lt;&gt;0,"@","")</f>
        <v/>
      </c>
    </row>
    <row r="106" spans="1:8" x14ac:dyDescent="0.25">
      <c r="A106" t="str">
        <f>IF(Yardi!I105&lt;&gt;0,Yardi!I105,"")</f>
        <v>mn610wes</v>
      </c>
      <c r="B106" t="str">
        <f>IF(Yardi!K105&lt;&gt;0,CONCATENATE("RE",Yardi!K105),"")</f>
        <v>RE13085</v>
      </c>
      <c r="C106" t="str">
        <f>IF(Yardi!J105&lt;&gt;0,Yardi!J105,"")</f>
        <v/>
      </c>
      <c r="D106" t="e">
        <f>_xlfn.TEXTJOIN(" ",TRUE,TEXT('Input-Instructions'!$B$6,"MM/YY"),"PPD",'Prepaid Other'!#REF!,"Amort")</f>
        <v>#REF!</v>
      </c>
      <c r="E106" t="e">
        <f>IF(Yardi!O105&lt;&gt;0,"USD","")</f>
        <v>#REF!</v>
      </c>
      <c r="F106" t="str">
        <f>IF(Yardi!J105&lt;&gt;0,Yardi!J105,"")</f>
        <v/>
      </c>
      <c r="H106" t="str">
        <f>IF(Yardi!J105&lt;&gt;0,"@","")</f>
        <v/>
      </c>
    </row>
    <row r="107" spans="1:8" x14ac:dyDescent="0.25">
      <c r="A107" t="str">
        <f>IF(Yardi!I106&lt;&gt;0,Yardi!I106,"")</f>
        <v>mn610wes</v>
      </c>
      <c r="B107" t="e">
        <f>IF(Yardi!K106&lt;&gt;0,CONCATENATE("RE",Yardi!K106),"")</f>
        <v>#REF!</v>
      </c>
      <c r="C107" t="str">
        <f>IF(Yardi!J106&lt;&gt;0,Yardi!J106,"")</f>
        <v/>
      </c>
      <c r="D107" t="e">
        <f>_xlfn.TEXTJOIN(" ",TRUE,TEXT('Input-Instructions'!$B$6,"MM/YY"),"PPD",'Prepaid Other'!#REF!,"Amort")</f>
        <v>#REF!</v>
      </c>
      <c r="E107" t="e">
        <f>IF(Yardi!O106&lt;&gt;0,"USD","")</f>
        <v>#REF!</v>
      </c>
      <c r="F107" t="str">
        <f>IF(Yardi!J106&lt;&gt;0,Yardi!J106,"")</f>
        <v/>
      </c>
      <c r="H107" t="str">
        <f>IF(Yardi!J106&lt;&gt;0,"@","")</f>
        <v/>
      </c>
    </row>
    <row r="108" spans="1:8" x14ac:dyDescent="0.25">
      <c r="A108" t="str">
        <f>IF(Yardi!I107&lt;&gt;0,Yardi!I107,"")</f>
        <v>mn610wes</v>
      </c>
      <c r="B108" t="str">
        <f>IF(Yardi!K107&lt;&gt;0,CONCATENATE("RE",Yardi!K107),"")</f>
        <v>RE13085</v>
      </c>
      <c r="C108" t="str">
        <f>IF(Yardi!J107&lt;&gt;0,Yardi!J107,"")</f>
        <v/>
      </c>
      <c r="D108" t="e">
        <f>_xlfn.TEXTJOIN(" ",TRUE,TEXT('Input-Instructions'!$B$6,"MM/YY"),"PPD",'Prepaid Other'!#REF!,"Amort")</f>
        <v>#REF!</v>
      </c>
      <c r="E108" t="e">
        <f>IF(Yardi!O107&lt;&gt;0,"USD","")</f>
        <v>#REF!</v>
      </c>
      <c r="F108" t="str">
        <f>IF(Yardi!J107&lt;&gt;0,Yardi!J107,"")</f>
        <v/>
      </c>
      <c r="H108" t="str">
        <f>IF(Yardi!J107&lt;&gt;0,"@","")</f>
        <v/>
      </c>
    </row>
    <row r="109" spans="1:8" x14ac:dyDescent="0.25">
      <c r="A109" t="str">
        <f>IF(Yardi!I108&lt;&gt;0,Yardi!I108,"")</f>
        <v>mn610wes</v>
      </c>
      <c r="B109" t="str">
        <f>IF(Yardi!K108&lt;&gt;0,CONCATENATE("RE",Yardi!K108),"")</f>
        <v>RE58280-000</v>
      </c>
      <c r="C109" t="str">
        <f>IF(Yardi!J108&lt;&gt;0,Yardi!J108,"")</f>
        <v/>
      </c>
      <c r="D109" t="str">
        <f>_xlfn.TEXTJOIN(" ",TRUE,TEXT('Input-Instructions'!$B$6,"MM/YY"),"PPD",'Prepaid Other'!$F$25,"Amort")</f>
        <v>07/26 PPD 09/25 Year Renewal MultiHousing Association 9/25-9/26 Amort</v>
      </c>
      <c r="E109" t="str">
        <f>IF(Yardi!O108&lt;&gt;0,"USD","")</f>
        <v>USD</v>
      </c>
      <c r="F109" t="str">
        <f>IF(Yardi!J108&lt;&gt;0,Yardi!J108,"")</f>
        <v/>
      </c>
      <c r="H109" t="str">
        <f>IF(Yardi!J108&lt;&gt;0,"@","")</f>
        <v/>
      </c>
    </row>
    <row r="110" spans="1:8" x14ac:dyDescent="0.25">
      <c r="A110" t="str">
        <f>IF(Yardi!I109&lt;&gt;0,Yardi!I109,"")</f>
        <v>mn610wes</v>
      </c>
      <c r="B110" t="str">
        <f>IF(Yardi!K109&lt;&gt;0,CONCATENATE("RE",Yardi!K109),"")</f>
        <v>RE13085</v>
      </c>
      <c r="C110" t="str">
        <f>IF(Yardi!J109&lt;&gt;0,Yardi!J109,"")</f>
        <v/>
      </c>
      <c r="D110" t="str">
        <f>_xlfn.TEXTJOIN(" ",TRUE,TEXT('Input-Instructions'!$B$6,"MM/YY"),"PPD",'Prepaid Other'!$F$25,"Amort")</f>
        <v>07/26 PPD 09/25 Year Renewal MultiHousing Association 9/25-9/26 Amort</v>
      </c>
      <c r="E110" t="str">
        <f>IF(Yardi!O109&lt;&gt;0,"USD","")</f>
        <v>USD</v>
      </c>
      <c r="F110" t="str">
        <f>IF(Yardi!J109&lt;&gt;0,Yardi!J109,"")</f>
        <v/>
      </c>
      <c r="H110" t="str">
        <f>IF(Yardi!J109&lt;&gt;0,"@","")</f>
        <v/>
      </c>
    </row>
    <row r="111" spans="1:8" x14ac:dyDescent="0.25">
      <c r="A111" t="str">
        <f>IF(Yardi!I110&lt;&gt;0,Yardi!I110,"")</f>
        <v>mn610wes</v>
      </c>
      <c r="B111" t="e">
        <f>IF(Yardi!K110&lt;&gt;0,CONCATENATE("RE",Yardi!K110),"")</f>
        <v>#REF!</v>
      </c>
      <c r="C111" t="str">
        <f>IF(Yardi!J110&lt;&gt;0,Yardi!J110,"")</f>
        <v/>
      </c>
      <c r="D111" t="e">
        <f>_xlfn.TEXTJOIN(" ",TRUE,TEXT('Input-Instructions'!$B$6,"MM/YY"),"PPD",'Prepaid Other'!#REF!,"Amort")</f>
        <v>#REF!</v>
      </c>
      <c r="E111" t="e">
        <f>IF(Yardi!O110&lt;&gt;0,"USD","")</f>
        <v>#REF!</v>
      </c>
      <c r="F111" t="str">
        <f>IF(Yardi!J110&lt;&gt;0,Yardi!J110,"")</f>
        <v/>
      </c>
      <c r="H111" t="str">
        <f>IF(Yardi!J110&lt;&gt;0,"@","")</f>
        <v/>
      </c>
    </row>
    <row r="112" spans="1:8" x14ac:dyDescent="0.25">
      <c r="A112" t="str">
        <f>IF(Yardi!I111&lt;&gt;0,Yardi!I111,"")</f>
        <v>mn610wes</v>
      </c>
      <c r="B112" t="str">
        <f>IF(Yardi!K111&lt;&gt;0,CONCATENATE("RE",Yardi!K111),"")</f>
        <v>RE13085</v>
      </c>
      <c r="C112" t="str">
        <f>IF(Yardi!J111&lt;&gt;0,Yardi!J111,"")</f>
        <v/>
      </c>
      <c r="D112" t="e">
        <f>_xlfn.TEXTJOIN(" ",TRUE,TEXT('Input-Instructions'!$B$6,"MM/YY"),"PPD",'Prepaid Other'!#REF!,"Amort")</f>
        <v>#REF!</v>
      </c>
      <c r="E112" t="e">
        <f>IF(Yardi!O111&lt;&gt;0,"USD","")</f>
        <v>#REF!</v>
      </c>
      <c r="F112" t="str">
        <f>IF(Yardi!J111&lt;&gt;0,Yardi!J111,"")</f>
        <v/>
      </c>
      <c r="H112" t="str">
        <f>IF(Yardi!J111&lt;&gt;0,"@","")</f>
        <v/>
      </c>
    </row>
    <row r="113" spans="1:8" x14ac:dyDescent="0.25">
      <c r="A113" t="str">
        <f>IF(Yardi!I112&lt;&gt;0,Yardi!I112,"")</f>
        <v>mn610wes</v>
      </c>
      <c r="B113" t="str">
        <f>IF(Yardi!K112&lt;&gt;0,CONCATENATE("RE",Yardi!K112),"")</f>
        <v>RE53010-000</v>
      </c>
      <c r="C113" t="str">
        <f>IF(Yardi!J112&lt;&gt;0,Yardi!J112,"")</f>
        <v/>
      </c>
      <c r="D113" t="str">
        <f>_xlfn.TEXTJOIN(" ",TRUE,TEXT('Input-Instructions'!$B$6,"MM/YY"),"PPD",'Prepaid Other'!$F$26,"Amort")</f>
        <v>07/26 PPD ButterflyMX Smart IntercomSoftware Subscription Term 11/1/25-9/30/26 Amort</v>
      </c>
      <c r="E113" t="str">
        <f>IF(Yardi!O112&lt;&gt;0,"USD","")</f>
        <v>USD</v>
      </c>
      <c r="F113" t="str">
        <f>IF(Yardi!J112&lt;&gt;0,Yardi!J112,"")</f>
        <v/>
      </c>
      <c r="H113" t="str">
        <f>IF(Yardi!J112&lt;&gt;0,"@","")</f>
        <v/>
      </c>
    </row>
    <row r="114" spans="1:8" x14ac:dyDescent="0.25">
      <c r="A114" t="str">
        <f>IF(Yardi!I113&lt;&gt;0,Yardi!I113,"")</f>
        <v>mn610wes</v>
      </c>
      <c r="B114" t="str">
        <f>IF(Yardi!K113&lt;&gt;0,CONCATENATE("RE",Yardi!K113),"")</f>
        <v>RE13085</v>
      </c>
      <c r="C114" t="str">
        <f>IF(Yardi!J113&lt;&gt;0,Yardi!J113,"")</f>
        <v/>
      </c>
      <c r="D114" t="str">
        <f>_xlfn.TEXTJOIN(" ",TRUE,TEXT('Input-Instructions'!$B$6,"MM/YY"),"PPD",'Prepaid Other'!$F$26,"Amort")</f>
        <v>07/26 PPD ButterflyMX Smart IntercomSoftware Subscription Term 11/1/25-9/30/26 Amort</v>
      </c>
      <c r="E114" t="str">
        <f>IF(Yardi!O113&lt;&gt;0,"USD","")</f>
        <v>USD</v>
      </c>
      <c r="F114" t="str">
        <f>IF(Yardi!J113&lt;&gt;0,Yardi!J113,"")</f>
        <v/>
      </c>
      <c r="H114" t="str">
        <f>IF(Yardi!J113&lt;&gt;0,"@","")</f>
        <v/>
      </c>
    </row>
    <row r="115" spans="1:8" x14ac:dyDescent="0.25">
      <c r="A115" t="str">
        <f>IF(Yardi!I114&lt;&gt;0,Yardi!I114,"")</f>
        <v>mn610wes</v>
      </c>
      <c r="B115" t="e">
        <f>IF(Yardi!K114&lt;&gt;0,CONCATENATE("RE",Yardi!K114),"")</f>
        <v>#REF!</v>
      </c>
      <c r="C115" t="str">
        <f>IF(Yardi!J114&lt;&gt;0,Yardi!J114,"")</f>
        <v/>
      </c>
      <c r="D115" t="e">
        <f>_xlfn.TEXTJOIN(" ",TRUE,TEXT('Input-Instructions'!$B$6,"MM/YY"),"PPD",'Prepaid Other'!#REF!,"Amort")</f>
        <v>#REF!</v>
      </c>
      <c r="E115" t="e">
        <f>IF(Yardi!O114&lt;&gt;0,"USD","")</f>
        <v>#REF!</v>
      </c>
      <c r="F115" t="str">
        <f>IF(Yardi!J114&lt;&gt;0,Yardi!J114,"")</f>
        <v/>
      </c>
      <c r="H115" t="str">
        <f>IF(Yardi!J114&lt;&gt;0,"@","")</f>
        <v/>
      </c>
    </row>
    <row r="116" spans="1:8" x14ac:dyDescent="0.25">
      <c r="A116" t="str">
        <f>IF(Yardi!I115&lt;&gt;0,Yardi!I115,"")</f>
        <v>mn610wes</v>
      </c>
      <c r="B116" t="str">
        <f>IF(Yardi!K115&lt;&gt;0,CONCATENATE("RE",Yardi!K115),"")</f>
        <v>RE13085</v>
      </c>
      <c r="C116" t="str">
        <f>IF(Yardi!J115&lt;&gt;0,Yardi!J115,"")</f>
        <v/>
      </c>
      <c r="D116" t="e">
        <f>_xlfn.TEXTJOIN(" ",TRUE,TEXT('Input-Instructions'!$B$6,"MM/YY"),"PPD",'Prepaid Other'!#REF!,"Amort")</f>
        <v>#REF!</v>
      </c>
      <c r="E116" t="e">
        <f>IF(Yardi!O115&lt;&gt;0,"USD","")</f>
        <v>#REF!</v>
      </c>
      <c r="F116" t="str">
        <f>IF(Yardi!J115&lt;&gt;0,Yardi!J115,"")</f>
        <v/>
      </c>
      <c r="H116" t="str">
        <f>IF(Yardi!J115&lt;&gt;0,"@","")</f>
        <v/>
      </c>
    </row>
    <row r="117" spans="1:8" x14ac:dyDescent="0.25">
      <c r="A117" t="str">
        <f>IF(Yardi!I116&lt;&gt;0,Yardi!I116,"")</f>
        <v>mn610wes</v>
      </c>
      <c r="B117" t="str">
        <f>IF(Yardi!K116&lt;&gt;0,CONCATENATE("RE",Yardi!K116),"")</f>
        <v>RE54025-000</v>
      </c>
      <c r="C117" t="str">
        <f>IF(Yardi!J116&lt;&gt;0,Yardi!J116,"")</f>
        <v/>
      </c>
      <c r="D117" t="str">
        <f>_xlfn.TEXTJOIN(" ",TRUE,TEXT('Input-Instructions'!$B$6,"MM/YY"),"PPD",'Prepaid Other'!$F$27,"Amort")</f>
        <v>07/26 PPD January Jonah Systems Amort</v>
      </c>
      <c r="E117" t="str">
        <f>IF(Yardi!O116&lt;&gt;0,"USD","")</f>
        <v>USD</v>
      </c>
      <c r="F117" t="str">
        <f>IF(Yardi!J116&lt;&gt;0,Yardi!J116,"")</f>
        <v/>
      </c>
      <c r="H117" t="str">
        <f>IF(Yardi!J116&lt;&gt;0,"@","")</f>
        <v/>
      </c>
    </row>
    <row r="118" spans="1:8" x14ac:dyDescent="0.25">
      <c r="A118" t="str">
        <f>IF(Yardi!I117&lt;&gt;0,Yardi!I117,"")</f>
        <v>mn610wes</v>
      </c>
      <c r="B118" t="str">
        <f>IF(Yardi!K117&lt;&gt;0,CONCATENATE("RE",Yardi!K117),"")</f>
        <v>RE13085</v>
      </c>
      <c r="C118" t="str">
        <f>IF(Yardi!J117&lt;&gt;0,Yardi!J117,"")</f>
        <v/>
      </c>
      <c r="D118" t="str">
        <f>_xlfn.TEXTJOIN(" ",TRUE,TEXT('Input-Instructions'!$B$6,"MM/YY"),"PPD",'Prepaid Other'!$F$27,"Amort")</f>
        <v>07/26 PPD January Jonah Systems Amort</v>
      </c>
      <c r="E118" t="str">
        <f>IF(Yardi!O117&lt;&gt;0,"USD","")</f>
        <v>USD</v>
      </c>
      <c r="F118" t="str">
        <f>IF(Yardi!J117&lt;&gt;0,Yardi!J117,"")</f>
        <v/>
      </c>
      <c r="H118" t="str">
        <f>IF(Yardi!J117&lt;&gt;0,"@","")</f>
        <v/>
      </c>
    </row>
    <row r="119" spans="1:8" x14ac:dyDescent="0.25">
      <c r="A119" t="str">
        <f>IF(Yardi!I118&lt;&gt;0,Yardi!I118,"")</f>
        <v>mn610wes</v>
      </c>
      <c r="B119" t="str">
        <f>IF(Yardi!K118&lt;&gt;0,CONCATENATE("RE",Yardi!K118),"")</f>
        <v>RE54025-000</v>
      </c>
      <c r="C119" t="str">
        <f>IF(Yardi!J118&lt;&gt;0,Yardi!J118,"")</f>
        <v/>
      </c>
      <c r="D119" t="str">
        <f>_xlfn.TEXTJOIN(" ",TRUE,TEXT('Input-Instructions'!$B$6,"MM/YY"),"PPD",'Prepaid Other'!$F$28,"Amort")</f>
        <v>07/26 PPD February Jonah Systems Amort</v>
      </c>
      <c r="E119" t="str">
        <f>IF(Yardi!O118&lt;&gt;0,"USD","")</f>
        <v>USD</v>
      </c>
      <c r="F119" t="str">
        <f>IF(Yardi!J118&lt;&gt;0,Yardi!J118,"")</f>
        <v/>
      </c>
      <c r="H119" t="str">
        <f>IF(Yardi!J118&lt;&gt;0,"@","")</f>
        <v/>
      </c>
    </row>
    <row r="120" spans="1:8" x14ac:dyDescent="0.25">
      <c r="A120" t="str">
        <f>IF(Yardi!I119&lt;&gt;0,Yardi!I119,"")</f>
        <v>mn610wes</v>
      </c>
      <c r="B120" t="str">
        <f>IF(Yardi!K119&lt;&gt;0,CONCATENATE("RE",Yardi!K119),"")</f>
        <v>RE13085</v>
      </c>
      <c r="C120" t="str">
        <f>IF(Yardi!J119&lt;&gt;0,Yardi!J119,"")</f>
        <v/>
      </c>
      <c r="D120" t="str">
        <f>_xlfn.TEXTJOIN(" ",TRUE,TEXT('Input-Instructions'!$B$6,"MM/YY"),"PPD",'Prepaid Other'!$F$28,"Amort")</f>
        <v>07/26 PPD February Jonah Systems Amort</v>
      </c>
      <c r="E120" t="str">
        <f>IF(Yardi!O119&lt;&gt;0,"USD","")</f>
        <v>USD</v>
      </c>
      <c r="F120" t="str">
        <f>IF(Yardi!J119&lt;&gt;0,Yardi!J119,"")</f>
        <v/>
      </c>
      <c r="H120" t="str">
        <f>IF(Yardi!J119&lt;&gt;0,"@","")</f>
        <v/>
      </c>
    </row>
    <row r="121" spans="1:8" x14ac:dyDescent="0.25">
      <c r="A121" t="str">
        <f>IF(Yardi!I120&lt;&gt;0,Yardi!I120,"")</f>
        <v>mn610wes</v>
      </c>
      <c r="B121" t="str">
        <f>IF(Yardi!K120&lt;&gt;0,CONCATENATE("RE",Yardi!K120),"")</f>
        <v>RE58115-000</v>
      </c>
      <c r="C121" t="str">
        <f>IF(Yardi!J120&lt;&gt;0,Yardi!J120,"")</f>
        <v/>
      </c>
      <c r="D121" t="str">
        <f>_xlfn.TEXTJOIN(" ",TRUE,TEXT('Input-Instructions'!$B$6,"MM/YY"),"PPD",'Prepaid Other'!$F$29,"Amort")</f>
        <v>07/26 PPD 01/01/2026 C&amp;L Annual Package|mn610wes| NATIONAL APARTMENT ASSOCIATION 0752207 |GCB| Amort</v>
      </c>
      <c r="E121" t="str">
        <f>IF(Yardi!O120&lt;&gt;0,"USD","")</f>
        <v>USD</v>
      </c>
      <c r="F121" t="str">
        <f>IF(Yardi!J120&lt;&gt;0,Yardi!J120,"")</f>
        <v/>
      </c>
      <c r="H121" t="str">
        <f>IF(Yardi!J120&lt;&gt;0,"@","")</f>
        <v/>
      </c>
    </row>
    <row r="122" spans="1:8" x14ac:dyDescent="0.25">
      <c r="A122" t="str">
        <f>IF(Yardi!I121&lt;&gt;0,Yardi!I121,"")</f>
        <v>mn610wes</v>
      </c>
      <c r="B122" t="str">
        <f>IF(Yardi!K121&lt;&gt;0,CONCATENATE("RE",Yardi!K121),"")</f>
        <v>RE13085</v>
      </c>
      <c r="C122" t="str">
        <f>IF(Yardi!J121&lt;&gt;0,Yardi!J121,"")</f>
        <v/>
      </c>
      <c r="D122" t="str">
        <f>_xlfn.TEXTJOIN(" ",TRUE,TEXT('Input-Instructions'!$B$6,"MM/YY"),"PPD",'Prepaid Other'!$F$29,"Amort")</f>
        <v>07/26 PPD 01/01/2026 C&amp;L Annual Package|mn610wes| NATIONAL APARTMENT ASSOCIATION 0752207 |GCB| Amort</v>
      </c>
      <c r="E122" t="str">
        <f>IF(Yardi!O121&lt;&gt;0,"USD","")</f>
        <v>USD</v>
      </c>
      <c r="F122" t="str">
        <f>IF(Yardi!J121&lt;&gt;0,Yardi!J121,"")</f>
        <v/>
      </c>
      <c r="H122" t="str">
        <f>IF(Yardi!J121&lt;&gt;0,"@","")</f>
        <v/>
      </c>
    </row>
    <row r="123" spans="1:8" x14ac:dyDescent="0.25">
      <c r="A123" t="str">
        <f>IF(Yardi!I122&lt;&gt;0,Yardi!I122,"")</f>
        <v>mn610wes</v>
      </c>
      <c r="B123" t="str">
        <f>IF(Yardi!K122&lt;&gt;0,CONCATENATE("RE",Yardi!K122),"")</f>
        <v/>
      </c>
      <c r="C123" t="str">
        <f>IF(Yardi!J122&lt;&gt;0,Yardi!J122,"")</f>
        <v/>
      </c>
      <c r="D123" t="str">
        <f>_xlfn.TEXTJOIN(" ",TRUE,TEXT('Input-Instructions'!$B$6,"MM/YY"),"PPD",'Prepaid Other'!$F$30,"Amort")</f>
        <v>07/26 PPD Amort</v>
      </c>
      <c r="E123" t="str">
        <f>IF(Yardi!O122&lt;&gt;0,"USD","")</f>
        <v>USD</v>
      </c>
      <c r="F123" t="str">
        <f>IF(Yardi!J122&lt;&gt;0,Yardi!J122,"")</f>
        <v/>
      </c>
      <c r="H123" t="str">
        <f>IF(Yardi!J122&lt;&gt;0,"@","")</f>
        <v/>
      </c>
    </row>
    <row r="124" spans="1:8" x14ac:dyDescent="0.25">
      <c r="A124" t="str">
        <f>IF(Yardi!I123&lt;&gt;0,Yardi!I123,"")</f>
        <v>mn610wes</v>
      </c>
      <c r="B124" t="str">
        <f>IF(Yardi!K123&lt;&gt;0,CONCATENATE("RE",Yardi!K123),"")</f>
        <v>RE13085</v>
      </c>
      <c r="C124" t="str">
        <f>IF(Yardi!J123&lt;&gt;0,Yardi!J123,"")</f>
        <v/>
      </c>
      <c r="D124" t="str">
        <f>_xlfn.TEXTJOIN(" ",TRUE,TEXT('Input-Instructions'!$B$6,"MM/YY"),"PPD",'Prepaid Other'!$F$30,"Amort")</f>
        <v>07/26 PPD Amort</v>
      </c>
      <c r="E124" t="str">
        <f>IF(Yardi!O123&lt;&gt;0,"USD","")</f>
        <v>USD</v>
      </c>
      <c r="F124" t="str">
        <f>IF(Yardi!J123&lt;&gt;0,Yardi!J123,"")</f>
        <v/>
      </c>
      <c r="H124" t="str">
        <f>IF(Yardi!J123&lt;&gt;0,"@","")</f>
        <v/>
      </c>
    </row>
    <row r="125" spans="1:8" x14ac:dyDescent="0.25">
      <c r="A125" t="str">
        <f>IF(Yardi!I124&lt;&gt;0,Yardi!I124,"")</f>
        <v>mn610wes</v>
      </c>
      <c r="B125" t="str">
        <f>IF(Yardi!K124&lt;&gt;0,CONCATENATE("RE",Yardi!K124),"")</f>
        <v/>
      </c>
      <c r="C125" t="str">
        <f>IF(Yardi!J124&lt;&gt;0,Yardi!J124,"")</f>
        <v/>
      </c>
      <c r="D125" t="str">
        <f>_xlfn.TEXTJOIN(" ",TRUE,TEXT('Input-Instructions'!$B$6,"MM/YY"),"PPD",'Prepaid Other'!$F$31,"Amort")</f>
        <v>07/26 PPD Amort</v>
      </c>
      <c r="E125" t="str">
        <f>IF(Yardi!O124&lt;&gt;0,"USD","")</f>
        <v>USD</v>
      </c>
      <c r="F125" t="str">
        <f>IF(Yardi!J124&lt;&gt;0,Yardi!J124,"")</f>
        <v/>
      </c>
      <c r="H125" t="str">
        <f>IF(Yardi!J124&lt;&gt;0,"@","")</f>
        <v/>
      </c>
    </row>
    <row r="126" spans="1:8" x14ac:dyDescent="0.25">
      <c r="A126" t="str">
        <f>IF(Yardi!I125&lt;&gt;0,Yardi!I125,"")</f>
        <v>mn610wes</v>
      </c>
      <c r="B126" t="str">
        <f>IF(Yardi!K125&lt;&gt;0,CONCATENATE("RE",Yardi!K125),"")</f>
        <v>RE13085</v>
      </c>
      <c r="C126" t="str">
        <f>IF(Yardi!J125&lt;&gt;0,Yardi!J125,"")</f>
        <v/>
      </c>
      <c r="D126" t="str">
        <f>_xlfn.TEXTJOIN(" ",TRUE,TEXT('Input-Instructions'!$B$6,"MM/YY"),"PPD",'Prepaid Other'!$F$31,"Amort")</f>
        <v>07/26 PPD Amort</v>
      </c>
      <c r="E126" t="str">
        <f>IF(Yardi!O125&lt;&gt;0,"USD","")</f>
        <v>USD</v>
      </c>
      <c r="F126" t="str">
        <f>IF(Yardi!J125&lt;&gt;0,Yardi!J125,"")</f>
        <v/>
      </c>
      <c r="H126" t="str">
        <f>IF(Yardi!J125&lt;&gt;0,"@","")</f>
        <v/>
      </c>
    </row>
    <row r="127" spans="1:8" x14ac:dyDescent="0.25">
      <c r="A127" t="str">
        <f>IF(Yardi!I126&lt;&gt;0,Yardi!I126,"")</f>
        <v>mn610wes</v>
      </c>
      <c r="B127" t="str">
        <f>IF(Yardi!K126&lt;&gt;0,CONCATENATE("RE",Yardi!K126),"")</f>
        <v/>
      </c>
      <c r="C127" t="str">
        <f>IF(Yardi!J126&lt;&gt;0,Yardi!J126,"")</f>
        <v/>
      </c>
      <c r="D127" t="str">
        <f>_xlfn.TEXTJOIN(" ",TRUE,TEXT('Input-Instructions'!$B$6,"MM/YY"),"PPD",'Prepaid Other'!$F$32,"Amort")</f>
        <v>07/26 PPD Amort</v>
      </c>
      <c r="E127" t="str">
        <f>IF(Yardi!O126&lt;&gt;0,"USD","")</f>
        <v>USD</v>
      </c>
      <c r="F127" t="str">
        <f>IF(Yardi!J126&lt;&gt;0,Yardi!J126,"")</f>
        <v/>
      </c>
      <c r="H127" t="str">
        <f>IF(Yardi!J126&lt;&gt;0,"@","")</f>
        <v/>
      </c>
    </row>
    <row r="128" spans="1:8" x14ac:dyDescent="0.25">
      <c r="A128" t="str">
        <f>IF(Yardi!I127&lt;&gt;0,Yardi!I127,"")</f>
        <v>mn610wes</v>
      </c>
      <c r="B128" t="str">
        <f>IF(Yardi!K127&lt;&gt;0,CONCATENATE("RE",Yardi!K127),"")</f>
        <v>RE13085</v>
      </c>
      <c r="C128" t="str">
        <f>IF(Yardi!J127&lt;&gt;0,Yardi!J127,"")</f>
        <v/>
      </c>
      <c r="D128" t="str">
        <f>_xlfn.TEXTJOIN(" ",TRUE,TEXT('Input-Instructions'!$B$6,"MM/YY"),"PPD",'Prepaid Other'!$F$32,"Amort")</f>
        <v>07/26 PPD Amort</v>
      </c>
      <c r="E128" t="str">
        <f>IF(Yardi!O127&lt;&gt;0,"USD","")</f>
        <v>USD</v>
      </c>
      <c r="F128" t="str">
        <f>IF(Yardi!J127&lt;&gt;0,Yardi!J127,"")</f>
        <v/>
      </c>
      <c r="H128" t="str">
        <f>IF(Yardi!J127&lt;&gt;0,"@","")</f>
        <v/>
      </c>
    </row>
    <row r="129" spans="1:8" x14ac:dyDescent="0.25">
      <c r="A129" t="str">
        <f>IF(Yardi!I128&lt;&gt;0,Yardi!I128,"")</f>
        <v>mn610wes</v>
      </c>
      <c r="B129" t="str">
        <f>IF(Yardi!K128&lt;&gt;0,CONCATENATE("RE",Yardi!K128),"")</f>
        <v/>
      </c>
      <c r="C129" t="str">
        <f>IF(Yardi!J128&lt;&gt;0,Yardi!J128,"")</f>
        <v/>
      </c>
      <c r="D129" t="str">
        <f>_xlfn.TEXTJOIN(" ",TRUE,TEXT('Input-Instructions'!$B$6,"MM/YY"),"PPD",'Prepaid Other'!$F$33,"Amort")</f>
        <v>07/26 PPD Amort</v>
      </c>
      <c r="E129" t="str">
        <f>IF(Yardi!O128&lt;&gt;0,"USD","")</f>
        <v>USD</v>
      </c>
      <c r="F129" t="str">
        <f>IF(Yardi!J128&lt;&gt;0,Yardi!J128,"")</f>
        <v/>
      </c>
      <c r="H129" t="str">
        <f>IF(Yardi!J128&lt;&gt;0,"@","")</f>
        <v/>
      </c>
    </row>
    <row r="130" spans="1:8" x14ac:dyDescent="0.25">
      <c r="A130" t="str">
        <f>IF(Yardi!I129&lt;&gt;0,Yardi!I129,"")</f>
        <v>mn610wes</v>
      </c>
      <c r="B130" t="str">
        <f>IF(Yardi!K129&lt;&gt;0,CONCATENATE("RE",Yardi!K129),"")</f>
        <v>RE13085</v>
      </c>
      <c r="C130" t="str">
        <f>IF(Yardi!J129&lt;&gt;0,Yardi!J129,"")</f>
        <v/>
      </c>
      <c r="D130" t="str">
        <f>_xlfn.TEXTJOIN(" ",TRUE,TEXT('Input-Instructions'!$B$6,"MM/YY"),"PPD",'Prepaid Other'!$F$33,"Amort")</f>
        <v>07/26 PPD Amort</v>
      </c>
      <c r="E130" t="str">
        <f>IF(Yardi!O129&lt;&gt;0,"USD","")</f>
        <v>USD</v>
      </c>
      <c r="F130" t="str">
        <f>IF(Yardi!J129&lt;&gt;0,Yardi!J129,"")</f>
        <v/>
      </c>
      <c r="H130" t="str">
        <f>IF(Yardi!J129&lt;&gt;0,"@","")</f>
        <v/>
      </c>
    </row>
    <row r="131" spans="1:8" x14ac:dyDescent="0.25">
      <c r="A131" t="str">
        <f>IF(Yardi!I130&lt;&gt;0,Yardi!I130,"")</f>
        <v>mn610wes</v>
      </c>
      <c r="B131" t="str">
        <f>IF(Yardi!K130&lt;&gt;0,CONCATENATE("RE",Yardi!K130),"")</f>
        <v/>
      </c>
      <c r="C131" t="str">
        <f>IF(Yardi!J130&lt;&gt;0,Yardi!J130,"")</f>
        <v/>
      </c>
      <c r="D131" t="str">
        <f>_xlfn.TEXTJOIN(" ",TRUE,TEXT('Input-Instructions'!$B$6,"MM/YY"),"PPD",'Prepaid Other'!$F$34,"Amort")</f>
        <v>07/26 PPD Amort</v>
      </c>
      <c r="E131" t="str">
        <f>IF(Yardi!O130&lt;&gt;0,"USD","")</f>
        <v>USD</v>
      </c>
      <c r="F131" t="str">
        <f>IF(Yardi!J130&lt;&gt;0,Yardi!J130,"")</f>
        <v/>
      </c>
      <c r="H131" t="str">
        <f>IF(Yardi!J130&lt;&gt;0,"@","")</f>
        <v/>
      </c>
    </row>
    <row r="132" spans="1:8" x14ac:dyDescent="0.25">
      <c r="A132" t="str">
        <f>IF(Yardi!I131&lt;&gt;0,Yardi!I131,"")</f>
        <v>mn610wes</v>
      </c>
      <c r="B132" t="str">
        <f>IF(Yardi!K131&lt;&gt;0,CONCATENATE("RE",Yardi!K131),"")</f>
        <v>RE13085</v>
      </c>
      <c r="C132" t="str">
        <f>IF(Yardi!J131&lt;&gt;0,Yardi!J131,"")</f>
        <v/>
      </c>
      <c r="D132" t="str">
        <f>_xlfn.TEXTJOIN(" ",TRUE,TEXT('Input-Instructions'!$B$6,"MM/YY"),"PPD",'Prepaid Other'!$F$34,"Amort")</f>
        <v>07/26 PPD Amort</v>
      </c>
      <c r="E132" t="str">
        <f>IF(Yardi!O131&lt;&gt;0,"USD","")</f>
        <v>USD</v>
      </c>
      <c r="F132" t="str">
        <f>IF(Yardi!J131&lt;&gt;0,Yardi!J131,"")</f>
        <v/>
      </c>
      <c r="H132" t="str">
        <f>IF(Yardi!J131&lt;&gt;0,"@","")</f>
        <v/>
      </c>
    </row>
    <row r="133" spans="1:8" x14ac:dyDescent="0.25">
      <c r="A133" t="str">
        <f>IF(Yardi!I132&lt;&gt;0,Yardi!I132,"")</f>
        <v>mn610wes</v>
      </c>
      <c r="B133" t="str">
        <f>IF(Yardi!K132&lt;&gt;0,CONCATENATE("RE",Yardi!K132),"")</f>
        <v/>
      </c>
      <c r="C133" t="str">
        <f>IF(Yardi!J132&lt;&gt;0,Yardi!J132,"")</f>
        <v/>
      </c>
      <c r="D133" t="str">
        <f>_xlfn.TEXTJOIN(" ",TRUE,TEXT('Input-Instructions'!$B$6,"MM/YY"),"PPD",'Prepaid Other'!$F$35,"Amort")</f>
        <v>07/26 PPD Amort</v>
      </c>
      <c r="E133" t="str">
        <f>IF(Yardi!O132&lt;&gt;0,"USD","")</f>
        <v>USD</v>
      </c>
      <c r="F133" t="str">
        <f>IF(Yardi!J132&lt;&gt;0,Yardi!J132,"")</f>
        <v/>
      </c>
      <c r="H133" t="str">
        <f>IF(Yardi!J132&lt;&gt;0,"@","")</f>
        <v/>
      </c>
    </row>
    <row r="134" spans="1:8" x14ac:dyDescent="0.25">
      <c r="A134" t="str">
        <f>IF(Yardi!I133&lt;&gt;0,Yardi!I133,"")</f>
        <v>mn610wes</v>
      </c>
      <c r="B134" t="str">
        <f>IF(Yardi!K133&lt;&gt;0,CONCATENATE("RE",Yardi!K133),"")</f>
        <v>RE13085</v>
      </c>
      <c r="C134" t="str">
        <f>IF(Yardi!J133&lt;&gt;0,Yardi!J133,"")</f>
        <v/>
      </c>
      <c r="D134" t="str">
        <f>_xlfn.TEXTJOIN(" ",TRUE,TEXT('Input-Instructions'!$B$6,"MM/YY"),"PPD",'Prepaid Other'!$F$35,"Amort")</f>
        <v>07/26 PPD Amort</v>
      </c>
      <c r="E134" t="str">
        <f>IF(Yardi!O133&lt;&gt;0,"USD","")</f>
        <v>USD</v>
      </c>
      <c r="F134" t="str">
        <f>IF(Yardi!J133&lt;&gt;0,Yardi!J133,"")</f>
        <v/>
      </c>
      <c r="H134" t="str">
        <f>IF(Yardi!J133&lt;&gt;0,"@","")</f>
        <v/>
      </c>
    </row>
    <row r="135" spans="1:8" x14ac:dyDescent="0.25">
      <c r="A135" t="str">
        <f>IF(Yardi!I134&lt;&gt;0,Yardi!I134,"")</f>
        <v>mn610wes</v>
      </c>
      <c r="B135" t="str">
        <f>IF(Yardi!K134&lt;&gt;0,CONCATENATE("RE",Yardi!K134),"")</f>
        <v/>
      </c>
      <c r="C135" t="str">
        <f>IF(Yardi!J134&lt;&gt;0,Yardi!J134,"")</f>
        <v/>
      </c>
      <c r="D135" t="str">
        <f>_xlfn.TEXTJOIN(" ",TRUE,TEXT('Input-Instructions'!$B$6,"MM/YY"),"PPD",'Prepaid Other'!$F$36,"Amort")</f>
        <v>07/26 PPD Amort</v>
      </c>
      <c r="E135" t="str">
        <f>IF(Yardi!O134&lt;&gt;0,"USD","")</f>
        <v>USD</v>
      </c>
      <c r="F135" t="str">
        <f>IF(Yardi!J134&lt;&gt;0,Yardi!J134,"")</f>
        <v/>
      </c>
      <c r="H135" t="str">
        <f>IF(Yardi!J134&lt;&gt;0,"@","")</f>
        <v/>
      </c>
    </row>
    <row r="136" spans="1:8" x14ac:dyDescent="0.25">
      <c r="A136" t="str">
        <f>IF(Yardi!I135&lt;&gt;0,Yardi!I135,"")</f>
        <v>mn610wes</v>
      </c>
      <c r="B136" t="str">
        <f>IF(Yardi!K135&lt;&gt;0,CONCATENATE("RE",Yardi!K135),"")</f>
        <v>RE13085</v>
      </c>
      <c r="C136" t="str">
        <f>IF(Yardi!J135&lt;&gt;0,Yardi!J135,"")</f>
        <v/>
      </c>
      <c r="D136" t="str">
        <f>_xlfn.TEXTJOIN(" ",TRUE,TEXT('Input-Instructions'!$B$6,"MM/YY"),"PPD",'Prepaid Other'!$F$36,"Amort")</f>
        <v>07/26 PPD Amort</v>
      </c>
      <c r="E136" t="str">
        <f>IF(Yardi!O135&lt;&gt;0,"USD","")</f>
        <v>USD</v>
      </c>
      <c r="F136" t="str">
        <f>IF(Yardi!J135&lt;&gt;0,Yardi!J135,"")</f>
        <v/>
      </c>
      <c r="H136" t="str">
        <f>IF(Yardi!J135&lt;&gt;0,"@","")</f>
        <v/>
      </c>
    </row>
    <row r="137" spans="1:8" x14ac:dyDescent="0.25">
      <c r="A137" t="str">
        <f>IF(Yardi!I136&lt;&gt;0,Yardi!I136,"")</f>
        <v>mn610wes</v>
      </c>
      <c r="B137" t="str">
        <f>IF(Yardi!K136&lt;&gt;0,CONCATENATE("RE",Yardi!K136),"")</f>
        <v/>
      </c>
      <c r="C137" t="str">
        <f>IF(Yardi!J136&lt;&gt;0,Yardi!J136,"")</f>
        <v/>
      </c>
      <c r="D137" t="str">
        <f>_xlfn.TEXTJOIN(" ",TRUE,TEXT('Input-Instructions'!$B$6,"MM/YY"),"PPD",'Prepaid Other'!$F$37,"Amort")</f>
        <v>07/26 PPD Amort</v>
      </c>
      <c r="E137" t="str">
        <f>IF(Yardi!O136&lt;&gt;0,"USD","")</f>
        <v>USD</v>
      </c>
      <c r="F137" t="str">
        <f>IF(Yardi!J136&lt;&gt;0,Yardi!J136,"")</f>
        <v/>
      </c>
      <c r="H137" t="str">
        <f>IF(Yardi!J136&lt;&gt;0,"@","")</f>
        <v/>
      </c>
    </row>
    <row r="138" spans="1:8" x14ac:dyDescent="0.25">
      <c r="A138" t="str">
        <f>IF(Yardi!I137&lt;&gt;0,Yardi!I137,"")</f>
        <v>mn610wes</v>
      </c>
      <c r="B138" t="str">
        <f>IF(Yardi!K137&lt;&gt;0,CONCATENATE("RE",Yardi!K137),"")</f>
        <v>RE13085</v>
      </c>
      <c r="C138" t="str">
        <f>IF(Yardi!J137&lt;&gt;0,Yardi!J137,"")</f>
        <v/>
      </c>
      <c r="D138" t="str">
        <f>_xlfn.TEXTJOIN(" ",TRUE,TEXT('Input-Instructions'!$B$6,"MM/YY"),"PPD",'Prepaid Other'!$F$37,"Amort")</f>
        <v>07/26 PPD Amort</v>
      </c>
      <c r="E138" t="str">
        <f>IF(Yardi!O137&lt;&gt;0,"USD","")</f>
        <v>USD</v>
      </c>
      <c r="F138" t="str">
        <f>IF(Yardi!J137&lt;&gt;0,Yardi!J137,"")</f>
        <v/>
      </c>
      <c r="H138" t="str">
        <f>IF(Yardi!J137&lt;&gt;0,"@","")</f>
        <v/>
      </c>
    </row>
    <row r="139" spans="1:8" x14ac:dyDescent="0.25">
      <c r="A139" t="str">
        <f>IF(Yardi!I138&lt;&gt;0,Yardi!I138,"")</f>
        <v>mn610wes</v>
      </c>
      <c r="B139" t="str">
        <f>IF(Yardi!K138&lt;&gt;0,CONCATENATE("RE",Yardi!K138),"")</f>
        <v/>
      </c>
      <c r="C139" t="str">
        <f>IF(Yardi!J138&lt;&gt;0,Yardi!J138,"")</f>
        <v/>
      </c>
      <c r="D139" t="str">
        <f>_xlfn.TEXTJOIN(" ",TRUE,TEXT('Input-Instructions'!$B$6,"MM/YY"),"PPD",'Prepaid Other'!$F$38,"Amort")</f>
        <v>07/26 PPD Amort</v>
      </c>
      <c r="E139" t="str">
        <f>IF(Yardi!O138&lt;&gt;0,"USD","")</f>
        <v>USD</v>
      </c>
      <c r="F139" t="str">
        <f>IF(Yardi!J138&lt;&gt;0,Yardi!J138,"")</f>
        <v/>
      </c>
      <c r="H139" t="str">
        <f>IF(Yardi!J138&lt;&gt;0,"@","")</f>
        <v/>
      </c>
    </row>
    <row r="140" spans="1:8" x14ac:dyDescent="0.25">
      <c r="A140" t="str">
        <f>IF(Yardi!I139&lt;&gt;0,Yardi!I139,"")</f>
        <v>mn610wes</v>
      </c>
      <c r="B140" t="str">
        <f>IF(Yardi!K139&lt;&gt;0,CONCATENATE("RE",Yardi!K139),"")</f>
        <v>RE13085</v>
      </c>
      <c r="C140" t="str">
        <f>IF(Yardi!J139&lt;&gt;0,Yardi!J139,"")</f>
        <v/>
      </c>
      <c r="D140" t="str">
        <f>_xlfn.TEXTJOIN(" ",TRUE,TEXT('Input-Instructions'!$B$6,"MM/YY"),"PPD",'Prepaid Other'!$F$38,"Amort")</f>
        <v>07/26 PPD Amort</v>
      </c>
      <c r="E140" t="str">
        <f>IF(Yardi!O139&lt;&gt;0,"USD","")</f>
        <v>USD</v>
      </c>
      <c r="F140" t="str">
        <f>IF(Yardi!J139&lt;&gt;0,Yardi!J139,"")</f>
        <v/>
      </c>
      <c r="H140" t="str">
        <f>IF(Yardi!J139&lt;&gt;0,"@","")</f>
        <v/>
      </c>
    </row>
    <row r="141" spans="1:8" x14ac:dyDescent="0.25">
      <c r="A141" t="str">
        <f>IF(Yardi!I140&lt;&gt;0,Yardi!I140,"")</f>
        <v>mn610wes</v>
      </c>
      <c r="B141" t="str">
        <f>IF(Yardi!K140&lt;&gt;0,CONCATENATE("RE",Yardi!K140),"")</f>
        <v/>
      </c>
      <c r="C141" t="str">
        <f>IF(Yardi!J140&lt;&gt;0,Yardi!J140,"")</f>
        <v/>
      </c>
      <c r="D141" t="str">
        <f>_xlfn.TEXTJOIN(" ",TRUE,TEXT('Input-Instructions'!$B$6,"MM/YY"),"PPD",'Prepaid Other'!$F$39,"Amort")</f>
        <v>07/26 PPD Amort</v>
      </c>
      <c r="E141" t="str">
        <f>IF(Yardi!O140&lt;&gt;0,"USD","")</f>
        <v>USD</v>
      </c>
      <c r="F141" t="str">
        <f>IF(Yardi!J140&lt;&gt;0,Yardi!J140,"")</f>
        <v/>
      </c>
      <c r="H141" t="str">
        <f>IF(Yardi!J140&lt;&gt;0,"@","")</f>
        <v/>
      </c>
    </row>
    <row r="142" spans="1:8" x14ac:dyDescent="0.25">
      <c r="A142" t="str">
        <f>IF(Yardi!I141&lt;&gt;0,Yardi!I141,"")</f>
        <v>mn610wes</v>
      </c>
      <c r="B142" t="str">
        <f>IF(Yardi!K141&lt;&gt;0,CONCATENATE("RE",Yardi!K141),"")</f>
        <v>RE13085</v>
      </c>
      <c r="C142" t="str">
        <f>IF(Yardi!J141&lt;&gt;0,Yardi!J141,"")</f>
        <v/>
      </c>
      <c r="D142" t="str">
        <f>_xlfn.TEXTJOIN(" ",TRUE,TEXT('Input-Instructions'!$B$6,"MM/YY"),"PPD",'Prepaid Other'!$F$39,"Amort")</f>
        <v>07/26 PPD Amort</v>
      </c>
      <c r="E142" t="str">
        <f>IF(Yardi!O141&lt;&gt;0,"USD","")</f>
        <v>USD</v>
      </c>
      <c r="F142" t="str">
        <f>IF(Yardi!J141&lt;&gt;0,Yardi!J141,"")</f>
        <v/>
      </c>
      <c r="H142" t="str">
        <f>IF(Yardi!J141&lt;&gt;0,"@","")</f>
        <v/>
      </c>
    </row>
    <row r="143" spans="1:8" x14ac:dyDescent="0.25">
      <c r="A143" t="str">
        <f>IF(Yardi!I142&lt;&gt;0,Yardi!I142,"")</f>
        <v>mn610wes</v>
      </c>
      <c r="B143" t="str">
        <f>IF(Yardi!K142&lt;&gt;0,CONCATENATE("RE",Yardi!K142),"")</f>
        <v/>
      </c>
      <c r="C143" t="str">
        <f>IF(Yardi!J142&lt;&gt;0,Yardi!J142,"")</f>
        <v/>
      </c>
      <c r="D143" t="str">
        <f>_xlfn.TEXTJOIN(" ",TRUE,TEXT('Input-Instructions'!$B$6,"MM/YY"),"PPD",'Prepaid Other'!$F$40,"Amort")</f>
        <v>07/26 PPD Amort</v>
      </c>
      <c r="E143" t="str">
        <f>IF(Yardi!O142&lt;&gt;0,"USD","")</f>
        <v>USD</v>
      </c>
      <c r="F143" t="str">
        <f>IF(Yardi!J142&lt;&gt;0,Yardi!J142,"")</f>
        <v/>
      </c>
      <c r="H143" t="str">
        <f>IF(Yardi!J142&lt;&gt;0,"@","")</f>
        <v/>
      </c>
    </row>
    <row r="144" spans="1:8" x14ac:dyDescent="0.25">
      <c r="A144" t="str">
        <f>IF(Yardi!I143&lt;&gt;0,Yardi!I143,"")</f>
        <v>mn610wes</v>
      </c>
      <c r="B144" t="str">
        <f>IF(Yardi!K143&lt;&gt;0,CONCATENATE("RE",Yardi!K143),"")</f>
        <v>RE13085</v>
      </c>
      <c r="C144" t="str">
        <f>IF(Yardi!J143&lt;&gt;0,Yardi!J143,"")</f>
        <v/>
      </c>
      <c r="D144" t="str">
        <f>_xlfn.TEXTJOIN(" ",TRUE,TEXT('Input-Instructions'!$B$6,"MM/YY"),"PPD",'Prepaid Other'!$F$40,"Amort")</f>
        <v>07/26 PPD Amort</v>
      </c>
      <c r="E144" t="str">
        <f>IF(Yardi!O143&lt;&gt;0,"USD","")</f>
        <v>USD</v>
      </c>
      <c r="F144" t="str">
        <f>IF(Yardi!J143&lt;&gt;0,Yardi!J143,"")</f>
        <v/>
      </c>
      <c r="H144" t="str">
        <f>IF(Yardi!J143&lt;&gt;0,"@","")</f>
        <v/>
      </c>
    </row>
    <row r="145" spans="1:8" x14ac:dyDescent="0.25">
      <c r="A145" t="str">
        <f>IF(Yardi!I144&lt;&gt;0,Yardi!I144,"")</f>
        <v>mn610wes</v>
      </c>
      <c r="B145" t="str">
        <f>IF(Yardi!K144&lt;&gt;0,CONCATENATE("RE",Yardi!K144),"")</f>
        <v/>
      </c>
      <c r="C145" t="str">
        <f>IF(Yardi!J144&lt;&gt;0,Yardi!J144,"")</f>
        <v/>
      </c>
      <c r="D145" t="str">
        <f>_xlfn.TEXTJOIN(" ",TRUE,TEXT('Input-Instructions'!$B$6,"MM/YY"),"PPD",'Prepaid Other'!$F$41,"Amort")</f>
        <v>07/26 PPD Amort</v>
      </c>
      <c r="E145" t="str">
        <f>IF(Yardi!O144&lt;&gt;0,"USD","")</f>
        <v>USD</v>
      </c>
      <c r="F145" t="str">
        <f>IF(Yardi!J144&lt;&gt;0,Yardi!J144,"")</f>
        <v/>
      </c>
      <c r="H145" t="str">
        <f>IF(Yardi!J144&lt;&gt;0,"@","")</f>
        <v/>
      </c>
    </row>
    <row r="146" spans="1:8" x14ac:dyDescent="0.25">
      <c r="A146" t="str">
        <f>IF(Yardi!I145&lt;&gt;0,Yardi!I145,"")</f>
        <v>mn610wes</v>
      </c>
      <c r="B146" t="str">
        <f>IF(Yardi!K145&lt;&gt;0,CONCATENATE("RE",Yardi!K145),"")</f>
        <v>RE13085</v>
      </c>
      <c r="C146" t="str">
        <f>IF(Yardi!J145&lt;&gt;0,Yardi!J145,"")</f>
        <v/>
      </c>
      <c r="D146" t="str">
        <f>_xlfn.TEXTJOIN(" ",TRUE,TEXT('Input-Instructions'!$B$6,"MM/YY"),"PPD",'Prepaid Other'!$F$41,"Amort")</f>
        <v>07/26 PPD Amort</v>
      </c>
      <c r="E146" t="str">
        <f>IF(Yardi!O145&lt;&gt;0,"USD","")</f>
        <v>USD</v>
      </c>
      <c r="F146" t="str">
        <f>IF(Yardi!J145&lt;&gt;0,Yardi!J145,"")</f>
        <v/>
      </c>
      <c r="H146" t="str">
        <f>IF(Yardi!J145&lt;&gt;0,"@","")</f>
        <v/>
      </c>
    </row>
    <row r="147" spans="1:8" x14ac:dyDescent="0.25">
      <c r="A147" t="str">
        <f>IF(Yardi!I146&lt;&gt;0,Yardi!I146,"")</f>
        <v>mn610wes</v>
      </c>
      <c r="B147" t="str">
        <f>IF(Yardi!K146&lt;&gt;0,CONCATENATE("RE",Yardi!K146),"")</f>
        <v/>
      </c>
      <c r="C147" t="str">
        <f>IF(Yardi!J146&lt;&gt;0,Yardi!J146,"")</f>
        <v/>
      </c>
      <c r="D147" t="str">
        <f>_xlfn.TEXTJOIN(" ",TRUE,TEXT('Input-Instructions'!$B$6,"MM/YY"),"PPD",'Prepaid Other'!$F$42,"Amort")</f>
        <v>07/26 PPD Amort</v>
      </c>
      <c r="E147" t="str">
        <f>IF(Yardi!O146&lt;&gt;0,"USD","")</f>
        <v>USD</v>
      </c>
      <c r="F147" t="str">
        <f>IF(Yardi!J146&lt;&gt;0,Yardi!J146,"")</f>
        <v/>
      </c>
      <c r="H147" t="str">
        <f>IF(Yardi!J146&lt;&gt;0,"@","")</f>
        <v/>
      </c>
    </row>
    <row r="148" spans="1:8" x14ac:dyDescent="0.25">
      <c r="A148" t="str">
        <f>IF(Yardi!I147&lt;&gt;0,Yardi!I147,"")</f>
        <v>mn610wes</v>
      </c>
      <c r="B148" t="str">
        <f>IF(Yardi!K147&lt;&gt;0,CONCATENATE("RE",Yardi!K147),"")</f>
        <v>RE13085</v>
      </c>
      <c r="C148" t="str">
        <f>IF(Yardi!J147&lt;&gt;0,Yardi!J147,"")</f>
        <v/>
      </c>
      <c r="D148" t="str">
        <f>_xlfn.TEXTJOIN(" ",TRUE,TEXT('Input-Instructions'!$B$6,"MM/YY"),"PPD",'Prepaid Other'!$F$42,"Amort")</f>
        <v>07/26 PPD Amort</v>
      </c>
      <c r="E148" t="str">
        <f>IF(Yardi!O147&lt;&gt;0,"USD","")</f>
        <v>USD</v>
      </c>
      <c r="F148" t="str">
        <f>IF(Yardi!J147&lt;&gt;0,Yardi!J147,"")</f>
        <v/>
      </c>
      <c r="H148" t="str">
        <f>IF(Yardi!J147&lt;&gt;0,"@","")</f>
        <v/>
      </c>
    </row>
    <row r="149" spans="1:8" x14ac:dyDescent="0.25">
      <c r="A149" t="str">
        <f>IF(Yardi!I148&lt;&gt;0,Yardi!I148,"")</f>
        <v>mn610wes</v>
      </c>
      <c r="B149" t="str">
        <f>IF(Yardi!K148&lt;&gt;0,CONCATENATE("RE",Yardi!K148),"")</f>
        <v/>
      </c>
      <c r="C149" t="str">
        <f>IF(Yardi!J148&lt;&gt;0,Yardi!J148,"")</f>
        <v/>
      </c>
      <c r="D149" t="str">
        <f>_xlfn.TEXTJOIN(" ",TRUE,TEXT('Input-Instructions'!$B$6,"MM/YY"),"PPD",'Prepaid Other'!$F$43,"Amort")</f>
        <v>07/26 PPD Amort</v>
      </c>
      <c r="E149" t="str">
        <f>IF(Yardi!O148&lt;&gt;0,"USD","")</f>
        <v>USD</v>
      </c>
      <c r="F149" t="str">
        <f>IF(Yardi!J148&lt;&gt;0,Yardi!J148,"")</f>
        <v/>
      </c>
      <c r="H149" t="str">
        <f>IF(Yardi!J148&lt;&gt;0,"@","")</f>
        <v/>
      </c>
    </row>
    <row r="150" spans="1:8" x14ac:dyDescent="0.25">
      <c r="A150" t="str">
        <f>IF(Yardi!I149&lt;&gt;0,Yardi!I149,"")</f>
        <v>mn610wes</v>
      </c>
      <c r="B150" t="str">
        <f>IF(Yardi!K149&lt;&gt;0,CONCATENATE("RE",Yardi!K149),"")</f>
        <v>RE13085</v>
      </c>
      <c r="C150" t="str">
        <f>IF(Yardi!J149&lt;&gt;0,Yardi!J149,"")</f>
        <v/>
      </c>
      <c r="D150" t="str">
        <f>_xlfn.TEXTJOIN(" ",TRUE,TEXT('Input-Instructions'!$B$6,"MM/YY"),"PPD",'Prepaid Other'!$F$43,"Amort")</f>
        <v>07/26 PPD Amort</v>
      </c>
      <c r="E150" t="str">
        <f>IF(Yardi!O149&lt;&gt;0,"USD","")</f>
        <v>USD</v>
      </c>
      <c r="F150" t="str">
        <f>IF(Yardi!J149&lt;&gt;0,Yardi!J149,"")</f>
        <v/>
      </c>
      <c r="H150" t="str">
        <f>IF(Yardi!J149&lt;&gt;0,"@","")</f>
        <v/>
      </c>
    </row>
    <row r="151" spans="1:8" x14ac:dyDescent="0.25">
      <c r="A151" t="str">
        <f>IF(Yardi!I150&lt;&gt;0,Yardi!I150,"")</f>
        <v>mn610wes</v>
      </c>
      <c r="B151" t="str">
        <f>IF(Yardi!K150&lt;&gt;0,CONCATENATE("RE",Yardi!K150),"")</f>
        <v/>
      </c>
      <c r="C151" t="str">
        <f>IF(Yardi!J150&lt;&gt;0,Yardi!J150,"")</f>
        <v/>
      </c>
      <c r="D151" t="str">
        <f>_xlfn.TEXTJOIN(" ",TRUE,TEXT('Input-Instructions'!$B$6,"MM/YY"),"PPD",'Prepaid Other'!$F$44,"Amort")</f>
        <v>07/26 PPD Amort</v>
      </c>
      <c r="E151" t="str">
        <f>IF(Yardi!O150&lt;&gt;0,"USD","")</f>
        <v>USD</v>
      </c>
      <c r="F151" t="str">
        <f>IF(Yardi!J150&lt;&gt;0,Yardi!J150,"")</f>
        <v/>
      </c>
      <c r="H151" t="str">
        <f>IF(Yardi!J150&lt;&gt;0,"@","")</f>
        <v/>
      </c>
    </row>
    <row r="152" spans="1:8" x14ac:dyDescent="0.25">
      <c r="A152" t="str">
        <f>IF(Yardi!I151&lt;&gt;0,Yardi!I151,"")</f>
        <v>mn610wes</v>
      </c>
      <c r="B152" t="str">
        <f>IF(Yardi!K151&lt;&gt;0,CONCATENATE("RE",Yardi!K151),"")</f>
        <v>RE13085</v>
      </c>
      <c r="C152" t="str">
        <f>IF(Yardi!J151&lt;&gt;0,Yardi!J151,"")</f>
        <v/>
      </c>
      <c r="D152" t="str">
        <f>_xlfn.TEXTJOIN(" ",TRUE,TEXT('Input-Instructions'!$B$6,"MM/YY"),"PPD",'Prepaid Other'!$F$44,"Amort")</f>
        <v>07/26 PPD Amort</v>
      </c>
      <c r="E152" t="str">
        <f>IF(Yardi!O151&lt;&gt;0,"USD","")</f>
        <v>USD</v>
      </c>
      <c r="F152" t="str">
        <f>IF(Yardi!J151&lt;&gt;0,Yardi!J151,"")</f>
        <v/>
      </c>
      <c r="H152" t="str">
        <f>IF(Yardi!J151&lt;&gt;0,"@","")</f>
        <v/>
      </c>
    </row>
    <row r="153" spans="1:8" x14ac:dyDescent="0.25">
      <c r="A153" t="str">
        <f>IF(Yardi!I152&lt;&gt;0,Yardi!I152,"")</f>
        <v>mn610wes</v>
      </c>
      <c r="B153" t="str">
        <f>IF(Yardi!K152&lt;&gt;0,CONCATENATE("RE",Yardi!K152),"")</f>
        <v/>
      </c>
      <c r="C153" t="str">
        <f>IF(Yardi!J152&lt;&gt;0,Yardi!J152,"")</f>
        <v/>
      </c>
      <c r="D153" t="str">
        <f>_xlfn.TEXTJOIN(" ",TRUE,TEXT('Input-Instructions'!$B$6,"MM/YY"),"PPD",'Prepaid Other'!$F$45,"Amort")</f>
        <v>07/26 PPD Amort</v>
      </c>
      <c r="E153" t="str">
        <f>IF(Yardi!O152&lt;&gt;0,"USD","")</f>
        <v>USD</v>
      </c>
      <c r="F153" t="str">
        <f>IF(Yardi!J152&lt;&gt;0,Yardi!J152,"")</f>
        <v/>
      </c>
      <c r="H153" t="str">
        <f>IF(Yardi!J152&lt;&gt;0,"@","")</f>
        <v/>
      </c>
    </row>
    <row r="154" spans="1:8" x14ac:dyDescent="0.25">
      <c r="A154" t="str">
        <f>IF(Yardi!I153&lt;&gt;0,Yardi!I153,"")</f>
        <v>mn610wes</v>
      </c>
      <c r="B154" t="str">
        <f>IF(Yardi!K153&lt;&gt;0,CONCATENATE("RE",Yardi!K153),"")</f>
        <v>RE13085</v>
      </c>
      <c r="C154" t="str">
        <f>IF(Yardi!J153&lt;&gt;0,Yardi!J153,"")</f>
        <v/>
      </c>
      <c r="D154" t="str">
        <f>_xlfn.TEXTJOIN(" ",TRUE,TEXT('Input-Instructions'!$B$6,"MM/YY"),"PPD",'Prepaid Other'!$F$45,"Amort")</f>
        <v>07/26 PPD Amort</v>
      </c>
      <c r="E154" t="str">
        <f>IF(Yardi!O153&lt;&gt;0,"USD","")</f>
        <v>USD</v>
      </c>
      <c r="F154" t="str">
        <f>IF(Yardi!J153&lt;&gt;0,Yardi!J153,"")</f>
        <v/>
      </c>
      <c r="H154" t="str">
        <f>IF(Yardi!J153&lt;&gt;0,"@","")</f>
        <v/>
      </c>
    </row>
    <row r="155" spans="1:8" x14ac:dyDescent="0.25">
      <c r="A155" t="str">
        <f>IF(Yardi!I154&lt;&gt;0,Yardi!I154,"")</f>
        <v>mn610wes</v>
      </c>
      <c r="B155" t="str">
        <f>IF(Yardi!K154&lt;&gt;0,CONCATENATE("RE",Yardi!K154),"")</f>
        <v/>
      </c>
      <c r="C155" t="str">
        <f>IF(Yardi!J154&lt;&gt;0,Yardi!J154,"")</f>
        <v/>
      </c>
      <c r="D155" t="str">
        <f>_xlfn.TEXTJOIN(" ",TRUE,TEXT('Input-Instructions'!$B$6,"MM/YY"),"PPD",'Prepaid Other'!$F$46,"Amort")</f>
        <v>07/26 PPD Amort</v>
      </c>
      <c r="E155" t="str">
        <f>IF(Yardi!O154&lt;&gt;0,"USD","")</f>
        <v>USD</v>
      </c>
      <c r="F155" t="str">
        <f>IF(Yardi!J154&lt;&gt;0,Yardi!J154,"")</f>
        <v/>
      </c>
      <c r="H155" t="str">
        <f>IF(Yardi!J154&lt;&gt;0,"@","")</f>
        <v/>
      </c>
    </row>
    <row r="156" spans="1:8" x14ac:dyDescent="0.25">
      <c r="A156" t="str">
        <f>IF(Yardi!I155&lt;&gt;0,Yardi!I155,"")</f>
        <v>mn610wes</v>
      </c>
      <c r="B156" t="str">
        <f>IF(Yardi!K155&lt;&gt;0,CONCATENATE("RE",Yardi!K155),"")</f>
        <v>RE13085</v>
      </c>
      <c r="C156" t="str">
        <f>IF(Yardi!J155&lt;&gt;0,Yardi!J155,"")</f>
        <v/>
      </c>
      <c r="D156" t="str">
        <f>_xlfn.TEXTJOIN(" ",TRUE,TEXT('Input-Instructions'!$B$6,"MM/YY"),"PPD",'Prepaid Other'!$F$46,"Amort")</f>
        <v>07/26 PPD Amort</v>
      </c>
      <c r="E156" t="str">
        <f>IF(Yardi!O155&lt;&gt;0,"USD","")</f>
        <v>USD</v>
      </c>
      <c r="F156" t="str">
        <f>IF(Yardi!J155&lt;&gt;0,Yardi!J155,"")</f>
        <v/>
      </c>
      <c r="H156" t="str">
        <f>IF(Yardi!J155&lt;&gt;0,"@","")</f>
        <v/>
      </c>
    </row>
    <row r="157" spans="1:8" x14ac:dyDescent="0.25">
      <c r="A157" t="str">
        <f>IF(Yardi!I156&lt;&gt;0,Yardi!I156,"")</f>
        <v>mn610wes</v>
      </c>
      <c r="B157" t="str">
        <f>IF(Yardi!K156&lt;&gt;0,CONCATENATE("RE",Yardi!K156),"")</f>
        <v/>
      </c>
      <c r="C157" t="str">
        <f>IF(Yardi!J156&lt;&gt;0,Yardi!J156,"")</f>
        <v/>
      </c>
      <c r="D157" t="str">
        <f>_xlfn.TEXTJOIN(" ",TRUE,TEXT('Input-Instructions'!$B$6,"MM/YY"),"PPD",'Prepaid Other'!$F$47,"Amort")</f>
        <v>07/26 PPD Amort</v>
      </c>
      <c r="E157" t="str">
        <f>IF(Yardi!O156&lt;&gt;0,"USD","")</f>
        <v>USD</v>
      </c>
      <c r="F157" t="str">
        <f>IF(Yardi!J156&lt;&gt;0,Yardi!J156,"")</f>
        <v/>
      </c>
      <c r="H157" t="str">
        <f>IF(Yardi!J156&lt;&gt;0,"@","")</f>
        <v/>
      </c>
    </row>
    <row r="158" spans="1:8" x14ac:dyDescent="0.25">
      <c r="A158" t="str">
        <f>IF(Yardi!I157&lt;&gt;0,Yardi!I157,"")</f>
        <v>mn610wes</v>
      </c>
      <c r="B158" t="str">
        <f>IF(Yardi!K157&lt;&gt;0,CONCATENATE("RE",Yardi!K157),"")</f>
        <v>RE13085</v>
      </c>
      <c r="C158" t="str">
        <f>IF(Yardi!J157&lt;&gt;0,Yardi!J157,"")</f>
        <v/>
      </c>
      <c r="D158" t="str">
        <f>_xlfn.TEXTJOIN(" ",TRUE,TEXT('Input-Instructions'!$B$6,"MM/YY"),"PPD",'Prepaid Other'!$F$47,"Amort")</f>
        <v>07/26 PPD Amort</v>
      </c>
      <c r="E158" t="str">
        <f>IF(Yardi!O157&lt;&gt;0,"USD","")</f>
        <v>USD</v>
      </c>
      <c r="F158" t="str">
        <f>IF(Yardi!J157&lt;&gt;0,Yardi!J157,"")</f>
        <v/>
      </c>
      <c r="H158" t="str">
        <f>IF(Yardi!J157&lt;&gt;0,"@","")</f>
        <v/>
      </c>
    </row>
    <row r="159" spans="1:8" x14ac:dyDescent="0.25">
      <c r="A159" t="str">
        <f>IF(Yardi!I158&lt;&gt;0,Yardi!I158,"")</f>
        <v>mn610wes</v>
      </c>
      <c r="B159" t="str">
        <f>IF(Yardi!K158&lt;&gt;0,CONCATENATE("RE",Yardi!K158),"")</f>
        <v/>
      </c>
      <c r="C159" t="str">
        <f>IF(Yardi!J158&lt;&gt;0,Yardi!J158,"")</f>
        <v/>
      </c>
      <c r="D159" t="str">
        <f>_xlfn.TEXTJOIN(" ",TRUE,TEXT('Input-Instructions'!$B$6,"MM/YY"),"PPD",'Prepaid Other'!$F$48,"Amort")</f>
        <v>07/26 PPD Amort</v>
      </c>
      <c r="E159" t="str">
        <f>IF(Yardi!O158&lt;&gt;0,"USD","")</f>
        <v>USD</v>
      </c>
      <c r="F159" t="str">
        <f>IF(Yardi!J158&lt;&gt;0,Yardi!J158,"")</f>
        <v/>
      </c>
      <c r="H159" t="str">
        <f>IF(Yardi!J158&lt;&gt;0,"@","")</f>
        <v/>
      </c>
    </row>
    <row r="160" spans="1:8" x14ac:dyDescent="0.25">
      <c r="A160" t="str">
        <f>IF(Yardi!I159&lt;&gt;0,Yardi!I159,"")</f>
        <v>mn610wes</v>
      </c>
      <c r="B160" t="str">
        <f>IF(Yardi!K159&lt;&gt;0,CONCATENATE("RE",Yardi!K159),"")</f>
        <v>RE13085</v>
      </c>
      <c r="C160" t="str">
        <f>IF(Yardi!J159&lt;&gt;0,Yardi!J159,"")</f>
        <v/>
      </c>
      <c r="D160" t="str">
        <f>_xlfn.TEXTJOIN(" ",TRUE,TEXT('Input-Instructions'!$B$6,"MM/YY"),"PPD",'Prepaid Other'!$F$48,"Amort")</f>
        <v>07/26 PPD Amort</v>
      </c>
      <c r="E160" t="str">
        <f>IF(Yardi!O159&lt;&gt;0,"USD","")</f>
        <v>USD</v>
      </c>
      <c r="F160" t="str">
        <f>IF(Yardi!J159&lt;&gt;0,Yardi!J159,"")</f>
        <v/>
      </c>
      <c r="H160" t="str">
        <f>IF(Yardi!J159&lt;&gt;0,"@","")</f>
        <v/>
      </c>
    </row>
    <row r="161" spans="1:8" x14ac:dyDescent="0.25">
      <c r="A161" t="str">
        <f>IF(Yardi!I160&lt;&gt;0,Yardi!I160,"")</f>
        <v>mn610wes</v>
      </c>
      <c r="B161" t="str">
        <f>IF(Yardi!K160&lt;&gt;0,CONCATENATE("RE",Yardi!K160),"")</f>
        <v/>
      </c>
      <c r="C161" t="str">
        <f>IF(Yardi!J160&lt;&gt;0,Yardi!J160,"")</f>
        <v/>
      </c>
      <c r="D161" t="str">
        <f>_xlfn.TEXTJOIN(" ",TRUE,TEXT('Input-Instructions'!$B$6,"MM/YY"),"PPD",'Prepaid Other'!$F$49,"Amort")</f>
        <v>07/26 PPD Amort</v>
      </c>
      <c r="E161" t="str">
        <f>IF(Yardi!O160&lt;&gt;0,"USD","")</f>
        <v>USD</v>
      </c>
      <c r="F161" t="str">
        <f>IF(Yardi!J160&lt;&gt;0,Yardi!J160,"")</f>
        <v/>
      </c>
      <c r="H161" t="str">
        <f>IF(Yardi!J160&lt;&gt;0,"@","")</f>
        <v/>
      </c>
    </row>
    <row r="162" spans="1:8" x14ac:dyDescent="0.25">
      <c r="A162" t="str">
        <f>IF(Yardi!I161&lt;&gt;0,Yardi!I161,"")</f>
        <v>mn610wes</v>
      </c>
      <c r="B162" t="str">
        <f>IF(Yardi!K161&lt;&gt;0,CONCATENATE("RE",Yardi!K161),"")</f>
        <v>RE13085</v>
      </c>
      <c r="C162" t="str">
        <f>IF(Yardi!J161&lt;&gt;0,Yardi!J161,"")</f>
        <v/>
      </c>
      <c r="D162" t="str">
        <f>_xlfn.TEXTJOIN(" ",TRUE,TEXT('Input-Instructions'!$B$6,"MM/YY"),"PPD",'Prepaid Other'!$F$49,"Amort")</f>
        <v>07/26 PPD Amort</v>
      </c>
      <c r="E162" t="str">
        <f>IF(Yardi!O161&lt;&gt;0,"USD","")</f>
        <v>USD</v>
      </c>
      <c r="F162" t="str">
        <f>IF(Yardi!J161&lt;&gt;0,Yardi!J161,"")</f>
        <v/>
      </c>
      <c r="H162" t="str">
        <f>IF(Yardi!J161&lt;&gt;0,"@","")</f>
        <v/>
      </c>
    </row>
    <row r="163" spans="1:8" x14ac:dyDescent="0.25">
      <c r="A163" t="str">
        <f>IF(Yardi!I162&lt;&gt;0,Yardi!I162,"")</f>
        <v>mn610wes</v>
      </c>
      <c r="B163" t="str">
        <f>IF(Yardi!K162&lt;&gt;0,CONCATENATE("RE",Yardi!K162),"")</f>
        <v>RE54025-000</v>
      </c>
      <c r="C163" t="str">
        <f>IF(Yardi!J162&lt;&gt;0,Yardi!J162,"")</f>
        <v/>
      </c>
      <c r="D163" t="str">
        <f>_xlfn.TEXTJOIN(" ",TRUE,TEXT('Input-Instructions'!$B$6,"MM/YY"),"PPD",'Prepaid Other'!$F$50,"Amort")</f>
        <v>07/26 PPD March Jonah Systems Amort</v>
      </c>
      <c r="E163" t="str">
        <f>IF(Yardi!O162&lt;&gt;0,"USD","")</f>
        <v>USD</v>
      </c>
      <c r="F163" t="str">
        <f>IF(Yardi!J162&lt;&gt;0,Yardi!J162,"")</f>
        <v/>
      </c>
      <c r="H163" t="str">
        <f>IF(Yardi!J162&lt;&gt;0,"@","")</f>
        <v/>
      </c>
    </row>
    <row r="164" spans="1:8" x14ac:dyDescent="0.25">
      <c r="A164" t="str">
        <f>IF(Yardi!I163&lt;&gt;0,Yardi!I163,"")</f>
        <v>mn610wes</v>
      </c>
      <c r="B164" t="str">
        <f>IF(Yardi!K163&lt;&gt;0,CONCATENATE("RE",Yardi!K163),"")</f>
        <v>RE13085</v>
      </c>
      <c r="C164" t="str">
        <f>IF(Yardi!J163&lt;&gt;0,Yardi!J163,"")</f>
        <v/>
      </c>
      <c r="D164" t="str">
        <f>_xlfn.TEXTJOIN(" ",TRUE,TEXT('Input-Instructions'!$B$6,"MM/YY"),"PPD",'Prepaid Other'!$F$50,"Amort")</f>
        <v>07/26 PPD March Jonah Systems Amort</v>
      </c>
      <c r="E164" t="str">
        <f>IF(Yardi!O163&lt;&gt;0,"USD","")</f>
        <v>USD</v>
      </c>
      <c r="F164" t="str">
        <f>IF(Yardi!J163&lt;&gt;0,Yardi!J163,"")</f>
        <v/>
      </c>
      <c r="H164" t="str">
        <f>IF(Yardi!J163&lt;&gt;0,"@","")</f>
        <v/>
      </c>
    </row>
    <row r="165" spans="1:8" x14ac:dyDescent="0.25">
      <c r="A165" t="str">
        <f>IF(Yardi!I164&lt;&gt;0,Yardi!I164,"")</f>
        <v>mn610wes</v>
      </c>
      <c r="B165" t="str">
        <f>IF(Yardi!K164&lt;&gt;0,CONCATENATE("RE",Yardi!K164),"")</f>
        <v/>
      </c>
      <c r="C165" t="str">
        <f>IF(Yardi!J164&lt;&gt;0,Yardi!J164,"")</f>
        <v/>
      </c>
      <c r="D165" t="str">
        <f>_xlfn.TEXTJOIN(" ",TRUE,TEXT('Input-Instructions'!$B$6,"MM/YY"),"PPD",'Prepaid Other'!$F$60,"Amort")</f>
        <v>07/26 PPD Amort</v>
      </c>
      <c r="E165" t="str">
        <f>IF(Yardi!O164&lt;&gt;0,"USD","")</f>
        <v>USD</v>
      </c>
      <c r="F165" t="str">
        <f>IF(Yardi!J164&lt;&gt;0,Yardi!J164,"")</f>
        <v/>
      </c>
      <c r="H165" t="str">
        <f>IF(Yardi!J164&lt;&gt;0,"@","")</f>
        <v/>
      </c>
    </row>
    <row r="166" spans="1:8" x14ac:dyDescent="0.25">
      <c r="A166" t="str">
        <f>IF(Yardi!I165&lt;&gt;0,Yardi!I165,"")</f>
        <v>mn610wes</v>
      </c>
      <c r="B166" t="str">
        <f>IF(Yardi!K165&lt;&gt;0,CONCATENATE("RE",Yardi!K165),"")</f>
        <v>RE13085</v>
      </c>
      <c r="C166" t="str">
        <f>IF(Yardi!J165&lt;&gt;0,Yardi!J165,"")</f>
        <v/>
      </c>
      <c r="D166" t="str">
        <f>_xlfn.TEXTJOIN(" ",TRUE,TEXT('Input-Instructions'!$B$6,"MM/YY"),"PPD",'Prepaid Other'!$F$60,"Amort")</f>
        <v>07/26 PPD Amort</v>
      </c>
      <c r="E166" t="str">
        <f>IF(Yardi!O165&lt;&gt;0,"USD","")</f>
        <v>USD</v>
      </c>
      <c r="F166" t="str">
        <f>IF(Yardi!J165&lt;&gt;0,Yardi!J165,"")</f>
        <v/>
      </c>
      <c r="H166" t="str">
        <f>IF(Yardi!J165&lt;&gt;0,"@","")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A45E0-BDF6-448B-91A6-7F68E909A3FE}">
  <sheetPr codeName="Sheet13">
    <pageSetUpPr fitToPage="1"/>
  </sheetPr>
  <dimension ref="A1:AA118"/>
  <sheetViews>
    <sheetView zoomScale="80" zoomScaleNormal="80" workbookViewId="0">
      <selection activeCell="I6" sqref="I6"/>
    </sheetView>
  </sheetViews>
  <sheetFormatPr defaultColWidth="12.42578125" defaultRowHeight="15.75" x14ac:dyDescent="0.25"/>
  <cols>
    <col min="1" max="1" width="54.42578125" style="9" customWidth="1"/>
    <col min="2" max="2" width="22" style="9" customWidth="1"/>
    <col min="3" max="3" width="41.42578125" style="13" customWidth="1"/>
    <col min="4" max="4" width="16.85546875" style="99" customWidth="1"/>
    <col min="5" max="5" width="23.42578125" style="13" customWidth="1"/>
    <col min="6" max="6" width="17.5703125" style="13" customWidth="1"/>
    <col min="7" max="7" width="24.42578125" style="47" customWidth="1"/>
    <col min="8" max="8" width="6.42578125" style="9" customWidth="1"/>
    <col min="9" max="9" width="87" style="9" customWidth="1"/>
    <col min="10" max="10" width="6.140625" style="9" customWidth="1"/>
    <col min="11" max="11" width="8.140625" style="9" customWidth="1"/>
    <col min="12" max="16384" width="12.42578125" style="9"/>
  </cols>
  <sheetData>
    <row r="1" spans="1:27" ht="28.5" customHeight="1" x14ac:dyDescent="0.35">
      <c r="A1" s="547" t="str">
        <f>'Input-Instructions'!B3</f>
        <v>610 West</v>
      </c>
      <c r="B1" s="547"/>
      <c r="C1" s="547"/>
      <c r="D1" s="547"/>
      <c r="E1" s="547"/>
      <c r="F1" s="547"/>
      <c r="G1" s="547"/>
      <c r="H1" s="547"/>
      <c r="AA1" s="9" t="b">
        <v>0</v>
      </c>
    </row>
    <row r="2" spans="1:27" ht="25.5" customHeight="1" x14ac:dyDescent="0.3">
      <c r="A2" s="645" t="s">
        <v>1981</v>
      </c>
      <c r="B2" s="645"/>
      <c r="C2" s="645"/>
      <c r="D2" s="645"/>
      <c r="E2" s="645"/>
      <c r="F2" s="645"/>
      <c r="G2" s="645"/>
      <c r="H2" s="645"/>
    </row>
    <row r="3" spans="1:27" ht="21" customHeight="1" x14ac:dyDescent="0.3">
      <c r="A3" s="10"/>
      <c r="B3" s="10"/>
      <c r="C3" s="11"/>
      <c r="D3" s="11"/>
      <c r="E3" s="11"/>
      <c r="F3" s="11"/>
      <c r="G3" s="11"/>
    </row>
    <row r="4" spans="1:27" ht="21" customHeight="1" x14ac:dyDescent="0.3">
      <c r="B4" s="89" t="s">
        <v>1982</v>
      </c>
      <c r="C4" s="625"/>
      <c r="D4" s="625"/>
      <c r="E4" s="90"/>
      <c r="F4" s="91" t="s">
        <v>1983</v>
      </c>
      <c r="G4" s="90"/>
    </row>
    <row r="5" spans="1:27" ht="21" customHeight="1" x14ac:dyDescent="0.3">
      <c r="B5" s="89" t="s">
        <v>1984</v>
      </c>
      <c r="C5" s="626"/>
      <c r="D5" s="626"/>
      <c r="E5" s="92"/>
      <c r="F5" s="91" t="s">
        <v>1985</v>
      </c>
      <c r="G5" s="93"/>
    </row>
    <row r="6" spans="1:27" ht="21" customHeight="1" x14ac:dyDescent="0.3">
      <c r="B6" s="89" t="s">
        <v>1986</v>
      </c>
      <c r="C6" s="90"/>
      <c r="D6" s="94"/>
      <c r="E6" s="94"/>
      <c r="F6" s="91"/>
      <c r="G6" s="93"/>
    </row>
    <row r="7" spans="1:27" ht="21" customHeight="1" thickBot="1" x14ac:dyDescent="0.35">
      <c r="A7" s="10"/>
      <c r="B7" s="10"/>
      <c r="C7" s="11"/>
      <c r="D7" s="11"/>
      <c r="E7" s="11"/>
      <c r="F7" s="11"/>
      <c r="G7" s="11"/>
    </row>
    <row r="8" spans="1:27" ht="21" customHeight="1" x14ac:dyDescent="0.3">
      <c r="A8" s="627" t="s">
        <v>1987</v>
      </c>
      <c r="B8" s="628"/>
      <c r="C8" s="11"/>
      <c r="D8" s="633" t="s">
        <v>1988</v>
      </c>
      <c r="E8" s="634"/>
      <c r="F8" s="634"/>
      <c r="G8" s="635"/>
    </row>
    <row r="9" spans="1:27" ht="21" customHeight="1" x14ac:dyDescent="0.3">
      <c r="A9" s="629"/>
      <c r="B9" s="630"/>
      <c r="C9" s="11"/>
      <c r="D9" s="636"/>
      <c r="E9" s="637"/>
      <c r="F9" s="637"/>
      <c r="G9" s="638"/>
    </row>
    <row r="10" spans="1:27" ht="21" customHeight="1" x14ac:dyDescent="0.3">
      <c r="A10" s="629"/>
      <c r="B10" s="630"/>
      <c r="C10" s="11"/>
      <c r="D10" s="636"/>
      <c r="E10" s="637"/>
      <c r="F10" s="637"/>
      <c r="G10" s="638"/>
    </row>
    <row r="11" spans="1:27" ht="21" customHeight="1" thickBot="1" x14ac:dyDescent="0.35">
      <c r="A11" s="631"/>
      <c r="B11" s="632"/>
      <c r="C11" s="11"/>
      <c r="D11" s="639"/>
      <c r="E11" s="640"/>
      <c r="F11" s="640"/>
      <c r="G11" s="641"/>
    </row>
    <row r="12" spans="1:27" ht="21" customHeight="1" x14ac:dyDescent="0.3">
      <c r="A12" s="10"/>
      <c r="B12" s="10"/>
      <c r="C12" s="11"/>
      <c r="D12" s="11"/>
      <c r="E12" s="11"/>
      <c r="F12" s="11"/>
      <c r="G12" s="11"/>
      <c r="I12" s="95"/>
    </row>
    <row r="13" spans="1:27" ht="21" customHeight="1" x14ac:dyDescent="0.25">
      <c r="A13" s="642" t="str">
        <f ca="1">IF(G5&gt;=TODAY()-365,"REMINDER: HUD typically requires monthly financial statements be submitted for the first year of a project.  If you are unfamiliar with this process, consult your supervisor."," ")</f>
        <v xml:space="preserve"> </v>
      </c>
      <c r="B13" s="642"/>
      <c r="C13" s="642"/>
      <c r="D13" s="642"/>
      <c r="E13" s="642"/>
      <c r="F13" s="642"/>
      <c r="G13" s="642"/>
    </row>
    <row r="14" spans="1:27" ht="21" customHeight="1" x14ac:dyDescent="0.3">
      <c r="A14" s="10"/>
      <c r="B14" s="10"/>
      <c r="C14" s="11"/>
      <c r="D14" s="11"/>
      <c r="E14" s="11"/>
      <c r="F14" s="11"/>
      <c r="G14" s="11"/>
    </row>
    <row r="15" spans="1:27" ht="15" customHeight="1" x14ac:dyDescent="0.25">
      <c r="A15" s="96" t="s">
        <v>1989</v>
      </c>
      <c r="C15" s="9"/>
      <c r="D15" s="9"/>
      <c r="E15" s="9"/>
      <c r="F15" s="9"/>
      <c r="G15" s="9"/>
    </row>
    <row r="16" spans="1:27" ht="15" customHeight="1" x14ac:dyDescent="0.3">
      <c r="A16" s="97" t="s">
        <v>1990</v>
      </c>
      <c r="B16" s="624" t="s">
        <v>1991</v>
      </c>
      <c r="C16" s="624"/>
      <c r="D16" s="624"/>
      <c r="E16" s="624"/>
      <c r="F16" s="624"/>
      <c r="G16" s="624"/>
    </row>
    <row r="17" spans="1:8" ht="15" customHeight="1" x14ac:dyDescent="0.25">
      <c r="B17" s="20"/>
      <c r="C17" s="20"/>
      <c r="D17" s="98"/>
      <c r="E17" s="20"/>
      <c r="F17" s="19"/>
      <c r="G17" s="28"/>
    </row>
    <row r="18" spans="1:8" ht="15" customHeight="1" x14ac:dyDescent="0.25">
      <c r="B18" s="20"/>
      <c r="C18" s="99"/>
      <c r="D18" s="20"/>
      <c r="E18" s="100" t="s">
        <v>1992</v>
      </c>
      <c r="F18" s="101"/>
      <c r="G18" s="9"/>
    </row>
    <row r="19" spans="1:8" ht="15" customHeight="1" x14ac:dyDescent="0.25">
      <c r="B19" s="20"/>
      <c r="C19" s="102"/>
      <c r="D19" s="20"/>
      <c r="E19" s="19"/>
      <c r="F19" s="28"/>
      <c r="G19" s="9"/>
    </row>
    <row r="20" spans="1:8" ht="15" customHeight="1" x14ac:dyDescent="0.25">
      <c r="B20" s="20"/>
      <c r="C20" s="99"/>
      <c r="D20" s="103"/>
      <c r="E20" s="104" t="s">
        <v>1993</v>
      </c>
      <c r="F20" s="105"/>
      <c r="G20" s="9"/>
    </row>
    <row r="21" spans="1:8" ht="15" customHeight="1" x14ac:dyDescent="0.25">
      <c r="A21" s="12"/>
      <c r="B21" s="20"/>
      <c r="C21" s="16"/>
      <c r="D21" s="106"/>
      <c r="E21" s="25"/>
      <c r="F21" s="16"/>
      <c r="G21" s="107" t="str">
        <f>IF(F18&gt;=F20,"OK", "ERROR")</f>
        <v>OK</v>
      </c>
    </row>
    <row r="22" spans="1:8" ht="15" customHeight="1" thickBot="1" x14ac:dyDescent="0.3">
      <c r="A22" s="108"/>
      <c r="B22" s="108"/>
      <c r="C22" s="109"/>
      <c r="D22" s="110"/>
      <c r="E22" s="111"/>
      <c r="F22" s="112"/>
      <c r="G22" s="113"/>
    </row>
    <row r="23" spans="1:8" ht="15" customHeight="1" x14ac:dyDescent="0.25">
      <c r="A23" s="9" t="s">
        <v>1994</v>
      </c>
      <c r="B23" s="12"/>
      <c r="E23" s="15"/>
      <c r="F23" s="16"/>
      <c r="G23" s="9"/>
    </row>
    <row r="24" spans="1:8" ht="15" customHeight="1" x14ac:dyDescent="0.3">
      <c r="A24" s="97" t="s">
        <v>1995</v>
      </c>
      <c r="B24" s="97" t="s">
        <v>1996</v>
      </c>
      <c r="C24" s="114"/>
      <c r="D24" s="115"/>
      <c r="E24" s="116"/>
      <c r="F24" s="117"/>
      <c r="G24" s="12"/>
    </row>
    <row r="25" spans="1:8" ht="15" customHeight="1" x14ac:dyDescent="0.25">
      <c r="B25" s="17"/>
      <c r="C25" s="17"/>
      <c r="D25" s="98"/>
      <c r="E25" s="19"/>
      <c r="F25" s="19"/>
      <c r="G25" s="28"/>
    </row>
    <row r="26" spans="1:8" ht="15" customHeight="1" x14ac:dyDescent="0.25">
      <c r="A26" s="12"/>
      <c r="B26" s="12"/>
      <c r="C26" s="118" t="s">
        <v>1997</v>
      </c>
      <c r="D26" s="119"/>
      <c r="E26" s="13" t="s">
        <v>1998</v>
      </c>
      <c r="F26" s="120"/>
      <c r="G26" s="9"/>
    </row>
    <row r="27" spans="1:8" ht="15" customHeight="1" x14ac:dyDescent="0.25">
      <c r="A27" s="12"/>
      <c r="B27" s="12"/>
      <c r="D27" s="121"/>
      <c r="E27" s="122"/>
      <c r="F27" s="16"/>
      <c r="G27" s="9"/>
    </row>
    <row r="28" spans="1:8" ht="15" customHeight="1" x14ac:dyDescent="0.25">
      <c r="A28" s="12"/>
      <c r="B28" s="12"/>
      <c r="D28" s="121"/>
      <c r="E28" s="118" t="s">
        <v>1999</v>
      </c>
      <c r="F28" s="119"/>
      <c r="G28" s="117" t="str">
        <f>IF(F28&lt;&gt;D26,"ERROR","OK")</f>
        <v>OK</v>
      </c>
    </row>
    <row r="29" spans="1:8" ht="15" customHeight="1" x14ac:dyDescent="0.25">
      <c r="A29" s="12"/>
      <c r="B29" s="12"/>
      <c r="D29" s="121"/>
      <c r="E29" s="118"/>
      <c r="F29" s="123"/>
      <c r="G29" s="117"/>
    </row>
    <row r="30" spans="1:8" ht="15" customHeight="1" thickBot="1" x14ac:dyDescent="0.3">
      <c r="A30" s="108"/>
      <c r="B30" s="108"/>
      <c r="C30" s="124"/>
      <c r="D30" s="125"/>
      <c r="E30" s="126"/>
      <c r="F30" s="127"/>
      <c r="G30" s="128"/>
    </row>
    <row r="31" spans="1:8" ht="15" customHeight="1" x14ac:dyDescent="0.25">
      <c r="A31" s="9" t="s">
        <v>2000</v>
      </c>
      <c r="B31" s="12"/>
      <c r="D31" s="121"/>
      <c r="E31" s="122"/>
      <c r="F31" s="16"/>
      <c r="G31" s="9"/>
    </row>
    <row r="32" spans="1:8" ht="51.75" customHeight="1" x14ac:dyDescent="0.3">
      <c r="A32" s="129" t="s">
        <v>2001</v>
      </c>
      <c r="B32" s="643" t="s">
        <v>2002</v>
      </c>
      <c r="C32" s="643"/>
      <c r="D32" s="643"/>
      <c r="E32" s="643"/>
      <c r="F32" s="643"/>
      <c r="G32" s="130"/>
      <c r="H32" s="130"/>
    </row>
    <row r="33" spans="1:27" ht="15" customHeight="1" x14ac:dyDescent="0.3">
      <c r="B33" s="97"/>
      <c r="C33" s="131"/>
      <c r="D33" s="132"/>
      <c r="E33" s="133"/>
      <c r="F33" s="134"/>
      <c r="G33" s="130"/>
      <c r="H33" s="130"/>
      <c r="I33" s="135"/>
    </row>
    <row r="34" spans="1:27" ht="15" customHeight="1" x14ac:dyDescent="0.25">
      <c r="B34" s="20"/>
      <c r="C34" s="20"/>
      <c r="D34" s="136"/>
      <c r="E34" s="118" t="s">
        <v>2003</v>
      </c>
      <c r="F34" s="119"/>
      <c r="G34" s="28"/>
      <c r="I34" s="135" t="s">
        <v>37</v>
      </c>
    </row>
    <row r="35" spans="1:27" ht="15" customHeight="1" x14ac:dyDescent="0.25">
      <c r="B35" s="20"/>
      <c r="C35" s="20"/>
      <c r="D35" s="136"/>
      <c r="E35" s="20"/>
      <c r="F35" s="20"/>
      <c r="G35" s="28"/>
      <c r="I35" s="135"/>
    </row>
    <row r="36" spans="1:27" ht="15" customHeight="1" thickBot="1" x14ac:dyDescent="0.3">
      <c r="A36" s="137"/>
      <c r="B36" s="137"/>
      <c r="C36" s="124"/>
      <c r="D36" s="110"/>
      <c r="E36" s="124"/>
      <c r="F36" s="138"/>
      <c r="G36" s="139"/>
      <c r="I36" s="135"/>
    </row>
    <row r="37" spans="1:27" ht="15" customHeight="1" x14ac:dyDescent="0.25">
      <c r="A37" s="33" t="s">
        <v>2004</v>
      </c>
      <c r="B37" s="33"/>
      <c r="D37" s="16"/>
      <c r="E37" s="122"/>
      <c r="F37" s="16"/>
      <c r="G37" s="140"/>
    </row>
    <row r="38" spans="1:27" ht="38.25" customHeight="1" x14ac:dyDescent="0.3">
      <c r="A38" s="141" t="s">
        <v>2005</v>
      </c>
      <c r="B38" s="624" t="s">
        <v>2006</v>
      </c>
      <c r="C38" s="624"/>
      <c r="D38" s="624"/>
      <c r="E38" s="624"/>
      <c r="F38" s="624"/>
      <c r="G38" s="140"/>
    </row>
    <row r="39" spans="1:27" ht="15" customHeight="1" x14ac:dyDescent="0.3">
      <c r="A39" s="33"/>
      <c r="B39" s="142"/>
      <c r="C39" s="43"/>
      <c r="D39" s="121"/>
      <c r="E39" s="122"/>
      <c r="F39" s="16"/>
      <c r="G39" s="143"/>
    </row>
    <row r="40" spans="1:27" ht="15" customHeight="1" x14ac:dyDescent="0.25">
      <c r="A40" s="33"/>
      <c r="B40" s="30"/>
      <c r="C40" s="33"/>
      <c r="D40" s="121"/>
      <c r="E40" s="122"/>
      <c r="F40" s="16"/>
      <c r="G40" s="143"/>
      <c r="AA40" s="9" t="b">
        <v>0</v>
      </c>
    </row>
    <row r="41" spans="1:27" ht="15" customHeight="1" x14ac:dyDescent="0.25">
      <c r="A41" s="33"/>
      <c r="B41" s="20"/>
      <c r="C41" s="20"/>
      <c r="D41" s="102"/>
      <c r="E41" s="144" t="s">
        <v>2007</v>
      </c>
      <c r="F41" s="19"/>
      <c r="G41" s="28"/>
    </row>
    <row r="42" spans="1:27" ht="15" customHeight="1" x14ac:dyDescent="0.25">
      <c r="A42" s="33"/>
      <c r="B42" s="20"/>
      <c r="C42" s="19"/>
      <c r="D42" s="102"/>
      <c r="E42" s="19"/>
      <c r="F42" s="19"/>
      <c r="G42" s="28"/>
    </row>
    <row r="43" spans="1:27" ht="15" customHeight="1" x14ac:dyDescent="0.25">
      <c r="A43" s="33"/>
      <c r="B43" s="20"/>
      <c r="C43" s="16"/>
      <c r="D43" s="121"/>
      <c r="E43" s="118" t="s">
        <v>2008</v>
      </c>
      <c r="F43" s="145"/>
      <c r="G43" s="146" t="str">
        <f>IF($AA$40=TRUE,IF(F43="43127-000","OK","ERROR"),"N/A ")</f>
        <v xml:space="preserve">N/A </v>
      </c>
    </row>
    <row r="44" spans="1:27" ht="15" customHeight="1" x14ac:dyDescent="0.25">
      <c r="A44" s="33"/>
      <c r="B44" s="33"/>
      <c r="C44" s="43"/>
      <c r="D44" s="121"/>
      <c r="E44" s="122"/>
      <c r="F44" s="16"/>
      <c r="G44" s="140"/>
    </row>
    <row r="45" spans="1:27" ht="15" customHeight="1" thickBot="1" x14ac:dyDescent="0.3">
      <c r="A45" s="147"/>
      <c r="B45" s="147"/>
      <c r="C45" s="109"/>
      <c r="D45" s="110"/>
      <c r="E45" s="111"/>
      <c r="F45" s="112"/>
      <c r="G45" s="113"/>
    </row>
    <row r="46" spans="1:27" ht="15" customHeight="1" x14ac:dyDescent="0.25">
      <c r="A46" s="9" t="s">
        <v>2009</v>
      </c>
      <c r="B46" s="12"/>
      <c r="E46" s="15"/>
      <c r="F46" s="16"/>
      <c r="G46" s="9"/>
    </row>
    <row r="47" spans="1:27" ht="52.5" customHeight="1" x14ac:dyDescent="0.3">
      <c r="A47" s="148" t="s">
        <v>2010</v>
      </c>
      <c r="B47" s="644" t="s">
        <v>2011</v>
      </c>
      <c r="C47" s="644"/>
      <c r="D47" s="644"/>
      <c r="E47" s="644"/>
      <c r="F47" s="644"/>
      <c r="G47" s="28"/>
    </row>
    <row r="48" spans="1:27" ht="15" customHeight="1" x14ac:dyDescent="0.3">
      <c r="A48" s="30"/>
      <c r="B48" s="149"/>
      <c r="C48" s="20"/>
      <c r="D48" s="136"/>
      <c r="E48" s="20"/>
      <c r="F48" s="20"/>
      <c r="G48" s="28"/>
    </row>
    <row r="49" spans="1:7" ht="15" customHeight="1" x14ac:dyDescent="0.3">
      <c r="A49" s="30"/>
      <c r="B49" s="149"/>
      <c r="C49" s="20"/>
      <c r="D49" s="136"/>
      <c r="E49" s="150" t="s">
        <v>2012</v>
      </c>
      <c r="F49" s="37"/>
      <c r="G49" s="28"/>
    </row>
    <row r="50" spans="1:7" ht="15" customHeight="1" x14ac:dyDescent="0.3">
      <c r="A50" s="30"/>
      <c r="B50" s="149"/>
      <c r="C50" s="20"/>
      <c r="D50" s="136"/>
      <c r="E50" s="122"/>
      <c r="F50" s="16"/>
      <c r="G50" s="28"/>
    </row>
    <row r="51" spans="1:7" ht="15" customHeight="1" x14ac:dyDescent="0.25">
      <c r="A51" s="30"/>
      <c r="B51" s="20"/>
      <c r="C51" s="20"/>
      <c r="D51" s="136"/>
      <c r="E51" s="150" t="s">
        <v>2013</v>
      </c>
      <c r="G51" s="28"/>
    </row>
    <row r="52" spans="1:7" ht="15" customHeight="1" x14ac:dyDescent="0.25">
      <c r="A52" s="30"/>
      <c r="B52" s="151"/>
      <c r="C52" s="33"/>
      <c r="D52" s="152"/>
      <c r="E52" s="46"/>
      <c r="F52" s="37"/>
      <c r="G52" s="140"/>
    </row>
    <row r="53" spans="1:7" ht="15" customHeight="1" thickBot="1" x14ac:dyDescent="0.3">
      <c r="A53" s="128"/>
      <c r="B53" s="128"/>
      <c r="C53" s="128"/>
      <c r="D53" s="128"/>
      <c r="E53" s="128"/>
      <c r="F53" s="128"/>
      <c r="G53" s="113"/>
    </row>
    <row r="54" spans="1:7" x14ac:dyDescent="0.25">
      <c r="A54" s="9" t="s">
        <v>2014</v>
      </c>
      <c r="B54" s="12"/>
      <c r="E54" s="15"/>
      <c r="F54" s="16"/>
      <c r="G54" s="9"/>
    </row>
    <row r="55" spans="1:7" ht="72.95" customHeight="1" x14ac:dyDescent="0.3">
      <c r="A55" s="148" t="s">
        <v>2015</v>
      </c>
      <c r="B55" s="624" t="s">
        <v>2016</v>
      </c>
      <c r="C55" s="624"/>
      <c r="D55" s="624"/>
      <c r="E55" s="624"/>
      <c r="F55" s="624"/>
      <c r="G55" s="9"/>
    </row>
    <row r="56" spans="1:7" ht="18.75" x14ac:dyDescent="0.3">
      <c r="A56" s="30"/>
      <c r="B56" s="142"/>
      <c r="C56" s="20"/>
      <c r="D56" s="136"/>
      <c r="E56" s="20"/>
      <c r="F56" s="20"/>
      <c r="G56" s="9"/>
    </row>
    <row r="57" spans="1:7" ht="18.75" x14ac:dyDescent="0.3">
      <c r="A57" s="30"/>
      <c r="B57" s="142"/>
      <c r="C57" s="20"/>
      <c r="D57" s="136"/>
      <c r="E57" s="20"/>
      <c r="F57" s="20"/>
      <c r="G57" s="9"/>
    </row>
    <row r="58" spans="1:7" x14ac:dyDescent="0.25">
      <c r="A58" s="30"/>
      <c r="B58" s="37"/>
      <c r="C58" s="33"/>
      <c r="D58" s="136"/>
      <c r="E58" s="39"/>
      <c r="F58" s="20"/>
      <c r="G58" s="32"/>
    </row>
    <row r="59" spans="1:7" x14ac:dyDescent="0.25">
      <c r="E59" s="15"/>
      <c r="F59" s="16"/>
    </row>
    <row r="60" spans="1:7" x14ac:dyDescent="0.25">
      <c r="E60" s="15"/>
      <c r="F60" s="16"/>
    </row>
    <row r="61" spans="1:7" x14ac:dyDescent="0.25">
      <c r="E61" s="15"/>
      <c r="F61" s="16"/>
    </row>
    <row r="62" spans="1:7" x14ac:dyDescent="0.25">
      <c r="E62" s="15"/>
      <c r="F62" s="16"/>
    </row>
    <row r="63" spans="1:7" x14ac:dyDescent="0.25">
      <c r="A63" s="153"/>
      <c r="B63" s="649" t="s">
        <v>2017</v>
      </c>
      <c r="C63" s="650"/>
      <c r="D63" s="650"/>
      <c r="E63" s="650"/>
      <c r="F63" s="650"/>
      <c r="G63" s="651"/>
    </row>
    <row r="64" spans="1:7" x14ac:dyDescent="0.25">
      <c r="A64" s="652"/>
      <c r="B64" s="653" t="s">
        <v>2018</v>
      </c>
      <c r="C64" s="653"/>
      <c r="D64" s="655" t="s">
        <v>2019</v>
      </c>
      <c r="E64" s="655"/>
      <c r="F64" s="657" t="s">
        <v>2020</v>
      </c>
      <c r="G64" s="657"/>
    </row>
    <row r="65" spans="1:9" x14ac:dyDescent="0.25">
      <c r="A65" s="652"/>
      <c r="B65" s="654"/>
      <c r="C65" s="654"/>
      <c r="D65" s="656"/>
      <c r="E65" s="656"/>
      <c r="F65" s="658"/>
      <c r="G65" s="658"/>
    </row>
    <row r="66" spans="1:9" x14ac:dyDescent="0.25">
      <c r="A66" s="659" t="s">
        <v>2021</v>
      </c>
      <c r="B66" s="661" t="s">
        <v>2022</v>
      </c>
      <c r="C66" s="662"/>
      <c r="D66" s="663" t="s">
        <v>2023</v>
      </c>
      <c r="E66" s="664"/>
      <c r="F66" s="665" t="s">
        <v>2023</v>
      </c>
      <c r="G66" s="666"/>
    </row>
    <row r="67" spans="1:9" x14ac:dyDescent="0.25">
      <c r="A67" s="660"/>
      <c r="B67" s="153"/>
      <c r="C67" s="154"/>
      <c r="D67" s="667" t="s">
        <v>2022</v>
      </c>
      <c r="E67" s="668"/>
      <c r="F67" s="669" t="s">
        <v>2022</v>
      </c>
      <c r="G67" s="670"/>
    </row>
    <row r="68" spans="1:9" x14ac:dyDescent="0.25">
      <c r="A68" s="660"/>
      <c r="B68" s="153"/>
      <c r="C68" s="154"/>
      <c r="D68" s="667" t="s">
        <v>2024</v>
      </c>
      <c r="E68" s="668"/>
      <c r="F68" s="669" t="s">
        <v>2024</v>
      </c>
      <c r="G68" s="670"/>
    </row>
    <row r="69" spans="1:9" x14ac:dyDescent="0.25">
      <c r="A69" s="660"/>
      <c r="B69" s="153"/>
      <c r="C69" s="154"/>
      <c r="D69" s="155"/>
      <c r="E69" s="156"/>
      <c r="F69" s="669" t="s">
        <v>2025</v>
      </c>
      <c r="G69" s="670"/>
    </row>
    <row r="70" spans="1:9" x14ac:dyDescent="0.25">
      <c r="A70" s="653"/>
      <c r="B70" s="157"/>
      <c r="C70" s="158"/>
      <c r="D70" s="159"/>
      <c r="E70" s="160"/>
      <c r="F70" s="671" t="s">
        <v>2026</v>
      </c>
      <c r="G70" s="672"/>
    </row>
    <row r="71" spans="1:9" x14ac:dyDescent="0.25">
      <c r="E71" s="15"/>
      <c r="F71" s="16"/>
    </row>
    <row r="72" spans="1:9" x14ac:dyDescent="0.25">
      <c r="E72" s="15"/>
      <c r="F72" s="16"/>
    </row>
    <row r="73" spans="1:9" ht="16.5" thickBot="1" x14ac:dyDescent="0.3">
      <c r="E73" s="15"/>
      <c r="F73" s="16"/>
    </row>
    <row r="74" spans="1:9" ht="21" thickBot="1" x14ac:dyDescent="0.35">
      <c r="A74" s="646" t="s">
        <v>2027</v>
      </c>
      <c r="B74" s="647"/>
      <c r="C74" s="647"/>
      <c r="D74" s="647"/>
      <c r="E74" s="647"/>
      <c r="F74" s="647"/>
      <c r="G74" s="647"/>
      <c r="H74" s="648"/>
      <c r="I74" s="161" t="s">
        <v>2028</v>
      </c>
    </row>
    <row r="75" spans="1:9" ht="20.25" x14ac:dyDescent="0.3">
      <c r="A75" s="162"/>
      <c r="B75" s="163"/>
      <c r="C75" s="164"/>
      <c r="D75" s="165"/>
      <c r="E75" s="166"/>
      <c r="F75" s="167"/>
      <c r="G75" s="168"/>
      <c r="H75" s="169"/>
    </row>
    <row r="76" spans="1:9" x14ac:dyDescent="0.25">
      <c r="A76" s="170"/>
      <c r="B76" s="33"/>
      <c r="C76" s="43"/>
      <c r="D76" s="121"/>
      <c r="E76" s="34"/>
      <c r="F76" s="16"/>
      <c r="G76" s="140"/>
      <c r="H76" s="171"/>
    </row>
    <row r="77" spans="1:9" ht="31.5" x14ac:dyDescent="0.25">
      <c r="A77" s="172" t="s">
        <v>2029</v>
      </c>
      <c r="B77" s="173" t="s">
        <v>2030</v>
      </c>
      <c r="C77" s="174" t="s">
        <v>2031</v>
      </c>
      <c r="D77" s="1"/>
      <c r="E77" s="1"/>
      <c r="F77" s="1"/>
      <c r="G77" s="1"/>
      <c r="H77" s="175"/>
    </row>
    <row r="78" spans="1:9" ht="25.5" x14ac:dyDescent="0.25">
      <c r="A78" s="176" t="s">
        <v>2032</v>
      </c>
      <c r="B78" s="173" t="s">
        <v>2033</v>
      </c>
      <c r="C78" s="174" t="s">
        <v>2034</v>
      </c>
      <c r="D78" s="1"/>
      <c r="E78" s="1"/>
      <c r="F78" s="1"/>
      <c r="G78" s="1"/>
      <c r="H78" s="175"/>
    </row>
    <row r="79" spans="1:9" x14ac:dyDescent="0.25">
      <c r="A79" s="177"/>
      <c r="B79" s="178" t="s">
        <v>2035</v>
      </c>
      <c r="C79" s="179"/>
      <c r="D79" s="1"/>
      <c r="E79" s="1"/>
      <c r="F79" s="1"/>
      <c r="G79" s="1"/>
      <c r="H79" s="175"/>
    </row>
    <row r="80" spans="1:9" x14ac:dyDescent="0.25">
      <c r="A80" s="180"/>
      <c r="B80" s="178" t="s">
        <v>2036</v>
      </c>
      <c r="C80" s="179"/>
      <c r="D80" s="1"/>
      <c r="E80" s="1"/>
      <c r="F80" s="1"/>
      <c r="G80" s="1"/>
      <c r="H80" s="175"/>
    </row>
    <row r="81" spans="1:9" x14ac:dyDescent="0.25">
      <c r="A81" s="181"/>
      <c r="B81" s="1"/>
      <c r="C81" s="1"/>
      <c r="D81" s="1"/>
      <c r="E81" s="1"/>
      <c r="F81" s="1"/>
      <c r="G81" s="1"/>
      <c r="H81" s="175"/>
    </row>
    <row r="82" spans="1:9" ht="21" thickBot="1" x14ac:dyDescent="0.3">
      <c r="A82" s="182"/>
      <c r="B82" s="1"/>
      <c r="C82" s="1"/>
      <c r="D82" s="1"/>
      <c r="E82" s="1"/>
      <c r="F82" s="1"/>
      <c r="G82" s="1"/>
      <c r="H82" s="175"/>
    </row>
    <row r="83" spans="1:9" ht="15.75" customHeight="1" thickBot="1" x14ac:dyDescent="0.3">
      <c r="A83" s="678" t="s">
        <v>2037</v>
      </c>
      <c r="B83" s="679"/>
      <c r="C83" s="678" t="s">
        <v>2038</v>
      </c>
      <c r="D83" s="680"/>
      <c r="E83" s="679"/>
      <c r="F83" s="678" t="s">
        <v>2039</v>
      </c>
      <c r="G83" s="680"/>
      <c r="H83" s="679"/>
    </row>
    <row r="84" spans="1:9" ht="17.25" thickTop="1" thickBot="1" x14ac:dyDescent="0.3">
      <c r="A84" s="681" t="s">
        <v>2040</v>
      </c>
      <c r="B84" s="682"/>
      <c r="C84" s="682"/>
      <c r="D84" s="682"/>
      <c r="E84" s="682"/>
      <c r="F84" s="682"/>
      <c r="G84" s="682"/>
      <c r="H84" s="683"/>
    </row>
    <row r="85" spans="1:9" ht="17.25" thickTop="1" thickBot="1" x14ac:dyDescent="0.3">
      <c r="A85" s="684" t="s">
        <v>2041</v>
      </c>
      <c r="B85" s="685"/>
      <c r="C85" s="685"/>
      <c r="D85" s="685"/>
      <c r="E85" s="685"/>
      <c r="F85" s="685"/>
      <c r="G85" s="685"/>
      <c r="H85" s="686"/>
    </row>
    <row r="86" spans="1:9" ht="39.75" customHeight="1" thickBot="1" x14ac:dyDescent="0.3">
      <c r="A86" s="673" t="s">
        <v>2042</v>
      </c>
      <c r="B86" s="674"/>
      <c r="C86" s="674"/>
      <c r="D86" s="675"/>
      <c r="E86" s="676" t="s">
        <v>2043</v>
      </c>
      <c r="F86" s="677"/>
      <c r="G86" s="687"/>
      <c r="H86" s="688"/>
      <c r="I86" s="183" t="s">
        <v>2044</v>
      </c>
    </row>
    <row r="87" spans="1:9" ht="15.75" customHeight="1" thickBot="1" x14ac:dyDescent="0.3">
      <c r="A87" s="693" t="s">
        <v>2045</v>
      </c>
      <c r="B87" s="694"/>
      <c r="C87" s="694"/>
      <c r="D87" s="695"/>
      <c r="E87" s="676" t="s">
        <v>2043</v>
      </c>
      <c r="F87" s="677"/>
      <c r="G87" s="689"/>
      <c r="H87" s="690"/>
      <c r="I87" s="184" t="s">
        <v>2046</v>
      </c>
    </row>
    <row r="88" spans="1:9" ht="34.5" customHeight="1" thickBot="1" x14ac:dyDescent="0.3">
      <c r="A88" s="673" t="s">
        <v>2047</v>
      </c>
      <c r="B88" s="674"/>
      <c r="C88" s="674"/>
      <c r="D88" s="675"/>
      <c r="E88" s="676" t="s">
        <v>2043</v>
      </c>
      <c r="F88" s="677"/>
      <c r="G88" s="691"/>
      <c r="H88" s="692"/>
      <c r="I88" s="183" t="s">
        <v>2048</v>
      </c>
    </row>
    <row r="89" spans="1:9" ht="16.5" thickBot="1" x14ac:dyDescent="0.3">
      <c r="A89" s="696" t="s">
        <v>2049</v>
      </c>
      <c r="B89" s="697"/>
      <c r="C89" s="697"/>
      <c r="D89" s="697"/>
      <c r="E89" s="697"/>
      <c r="F89" s="698"/>
      <c r="G89" s="699" t="s">
        <v>2043</v>
      </c>
      <c r="H89" s="700"/>
    </row>
    <row r="90" spans="1:9" ht="17.25" thickTop="1" thickBot="1" x14ac:dyDescent="0.3">
      <c r="A90" s="684" t="s">
        <v>2050</v>
      </c>
      <c r="B90" s="685"/>
      <c r="C90" s="685"/>
      <c r="D90" s="685"/>
      <c r="E90" s="685"/>
      <c r="F90" s="685"/>
      <c r="G90" s="685"/>
      <c r="H90" s="686"/>
    </row>
    <row r="91" spans="1:9" ht="41.25" customHeight="1" thickBot="1" x14ac:dyDescent="0.3">
      <c r="A91" s="673" t="s">
        <v>2051</v>
      </c>
      <c r="B91" s="674"/>
      <c r="C91" s="674"/>
      <c r="D91" s="675"/>
      <c r="E91" s="676" t="s">
        <v>2043</v>
      </c>
      <c r="F91" s="677"/>
      <c r="G91" s="687"/>
      <c r="H91" s="688"/>
      <c r="I91" s="183" t="s">
        <v>2052</v>
      </c>
    </row>
    <row r="92" spans="1:9" ht="16.5" thickBot="1" x14ac:dyDescent="0.3">
      <c r="A92" s="673" t="s">
        <v>2053</v>
      </c>
      <c r="B92" s="674"/>
      <c r="C92" s="674"/>
      <c r="D92" s="675"/>
      <c r="E92" s="676" t="s">
        <v>2043</v>
      </c>
      <c r="F92" s="677"/>
      <c r="G92" s="689"/>
      <c r="H92" s="690"/>
      <c r="I92" s="184" t="s">
        <v>2054</v>
      </c>
    </row>
    <row r="93" spans="1:9" ht="24.75" customHeight="1" thickBot="1" x14ac:dyDescent="0.3">
      <c r="A93" s="673" t="s">
        <v>2055</v>
      </c>
      <c r="B93" s="674"/>
      <c r="C93" s="674"/>
      <c r="D93" s="675"/>
      <c r="E93" s="676" t="s">
        <v>2043</v>
      </c>
      <c r="F93" s="677"/>
      <c r="G93" s="689"/>
      <c r="H93" s="690"/>
      <c r="I93" s="183" t="s">
        <v>2056</v>
      </c>
    </row>
    <row r="94" spans="1:9" ht="39.75" customHeight="1" thickBot="1" x14ac:dyDescent="0.3">
      <c r="A94" s="673" t="s">
        <v>2057</v>
      </c>
      <c r="B94" s="674"/>
      <c r="C94" s="674"/>
      <c r="D94" s="675"/>
      <c r="E94" s="676" t="s">
        <v>2043</v>
      </c>
      <c r="F94" s="677"/>
      <c r="G94" s="689"/>
      <c r="H94" s="690"/>
      <c r="I94" s="183" t="s">
        <v>2058</v>
      </c>
    </row>
    <row r="95" spans="1:9" ht="16.5" thickBot="1" x14ac:dyDescent="0.3">
      <c r="A95" s="673" t="s">
        <v>2059</v>
      </c>
      <c r="B95" s="674"/>
      <c r="C95" s="674"/>
      <c r="D95" s="675"/>
      <c r="E95" s="676" t="s">
        <v>2043</v>
      </c>
      <c r="F95" s="677"/>
      <c r="G95" s="689"/>
      <c r="H95" s="690"/>
      <c r="I95" s="184" t="s">
        <v>2060</v>
      </c>
    </row>
    <row r="96" spans="1:9" ht="35.25" customHeight="1" thickBot="1" x14ac:dyDescent="0.3">
      <c r="A96" s="673" t="s">
        <v>2061</v>
      </c>
      <c r="B96" s="674"/>
      <c r="C96" s="674"/>
      <c r="D96" s="675"/>
      <c r="E96" s="676" t="s">
        <v>2043</v>
      </c>
      <c r="F96" s="677"/>
      <c r="G96" s="689"/>
      <c r="H96" s="690"/>
      <c r="I96" s="183" t="s">
        <v>2062</v>
      </c>
    </row>
    <row r="97" spans="1:9" ht="16.5" thickBot="1" x14ac:dyDescent="0.3">
      <c r="A97" s="673" t="s">
        <v>2063</v>
      </c>
      <c r="B97" s="674"/>
      <c r="C97" s="674"/>
      <c r="D97" s="675"/>
      <c r="E97" s="676" t="s">
        <v>2043</v>
      </c>
      <c r="F97" s="677"/>
      <c r="G97" s="689"/>
      <c r="H97" s="690"/>
      <c r="I97" s="183" t="s">
        <v>2064</v>
      </c>
    </row>
    <row r="98" spans="1:9" ht="16.5" thickBot="1" x14ac:dyDescent="0.3">
      <c r="A98" s="673" t="s">
        <v>2065</v>
      </c>
      <c r="B98" s="674"/>
      <c r="C98" s="674"/>
      <c r="D98" s="675"/>
      <c r="E98" s="676" t="s">
        <v>2043</v>
      </c>
      <c r="F98" s="677"/>
      <c r="G98" s="689"/>
      <c r="H98" s="690"/>
      <c r="I98" s="184" t="s">
        <v>2066</v>
      </c>
    </row>
    <row r="99" spans="1:9" ht="16.5" thickBot="1" x14ac:dyDescent="0.3">
      <c r="A99" s="673" t="s">
        <v>2067</v>
      </c>
      <c r="B99" s="674"/>
      <c r="C99" s="674"/>
      <c r="D99" s="675"/>
      <c r="E99" s="676" t="s">
        <v>2043</v>
      </c>
      <c r="F99" s="677"/>
      <c r="G99" s="689"/>
      <c r="H99" s="690"/>
      <c r="I99" s="184" t="s">
        <v>2068</v>
      </c>
    </row>
    <row r="100" spans="1:9" ht="37.5" customHeight="1" thickBot="1" x14ac:dyDescent="0.3">
      <c r="A100" s="673" t="s">
        <v>2069</v>
      </c>
      <c r="B100" s="674"/>
      <c r="C100" s="674"/>
      <c r="D100" s="675"/>
      <c r="E100" s="704" t="s">
        <v>2043</v>
      </c>
      <c r="F100" s="705"/>
      <c r="G100" s="691"/>
      <c r="H100" s="692"/>
      <c r="I100" s="185" t="s">
        <v>2070</v>
      </c>
    </row>
    <row r="101" spans="1:9" ht="15.75" customHeight="1" thickBot="1" x14ac:dyDescent="0.3">
      <c r="A101" s="706" t="s">
        <v>2071</v>
      </c>
      <c r="B101" s="707"/>
      <c r="C101" s="707"/>
      <c r="D101" s="708"/>
      <c r="E101" s="676"/>
      <c r="F101" s="677"/>
      <c r="G101" s="676" t="s">
        <v>2043</v>
      </c>
      <c r="H101" s="677"/>
    </row>
    <row r="102" spans="1:9" ht="15.75" customHeight="1" thickBot="1" x14ac:dyDescent="0.3">
      <c r="A102" s="696" t="s">
        <v>2072</v>
      </c>
      <c r="B102" s="697"/>
      <c r="C102" s="697"/>
      <c r="D102" s="698"/>
      <c r="E102" s="699"/>
      <c r="F102" s="700"/>
      <c r="G102" s="699" t="s">
        <v>2043</v>
      </c>
      <c r="H102" s="700"/>
    </row>
    <row r="103" spans="1:9" ht="16.5" customHeight="1" thickTop="1" thickBot="1" x14ac:dyDescent="0.3">
      <c r="A103" s="684" t="s">
        <v>2073</v>
      </c>
      <c r="B103" s="685"/>
      <c r="C103" s="685"/>
      <c r="D103" s="685"/>
      <c r="E103" s="685"/>
      <c r="F103" s="685"/>
      <c r="G103" s="685"/>
      <c r="H103" s="686"/>
    </row>
    <row r="104" spans="1:9" ht="16.5" thickBot="1" x14ac:dyDescent="0.3">
      <c r="A104" s="701" t="s">
        <v>2074</v>
      </c>
      <c r="B104" s="702"/>
      <c r="C104" s="702"/>
      <c r="D104" s="702"/>
      <c r="E104" s="702"/>
      <c r="F104" s="703"/>
      <c r="G104" s="676" t="s">
        <v>2043</v>
      </c>
      <c r="H104" s="677"/>
    </row>
    <row r="105" spans="1:9" ht="16.5" customHeight="1" thickBot="1" x14ac:dyDescent="0.3">
      <c r="A105" s="710" t="s">
        <v>2075</v>
      </c>
      <c r="B105" s="711"/>
      <c r="C105" s="711"/>
      <c r="D105" s="711"/>
      <c r="E105" s="711"/>
      <c r="F105" s="712"/>
      <c r="G105" s="676" t="s">
        <v>2043</v>
      </c>
      <c r="H105" s="677"/>
      <c r="I105" s="12"/>
    </row>
    <row r="106" spans="1:9" ht="16.5" thickBot="1" x14ac:dyDescent="0.3">
      <c r="A106" s="713" t="s">
        <v>11</v>
      </c>
      <c r="B106" s="714"/>
      <c r="C106" s="715"/>
      <c r="D106" s="713" t="s">
        <v>13</v>
      </c>
      <c r="E106" s="714"/>
      <c r="F106" s="714"/>
      <c r="G106" s="714"/>
      <c r="H106" s="715"/>
    </row>
    <row r="107" spans="1:9" ht="15" customHeight="1" x14ac:dyDescent="0.25">
      <c r="A107" s="716" t="s">
        <v>2076</v>
      </c>
      <c r="B107" s="718" t="s">
        <v>1684</v>
      </c>
      <c r="C107" s="719"/>
      <c r="D107" s="718" t="s">
        <v>2077</v>
      </c>
      <c r="E107" s="722"/>
      <c r="F107" s="722"/>
      <c r="G107" s="719"/>
      <c r="H107" s="716" t="s">
        <v>1684</v>
      </c>
      <c r="I107" s="709" t="s">
        <v>2078</v>
      </c>
    </row>
    <row r="108" spans="1:9" ht="16.5" thickBot="1" x14ac:dyDescent="0.3">
      <c r="A108" s="717"/>
      <c r="B108" s="720"/>
      <c r="C108" s="721"/>
      <c r="D108" s="720"/>
      <c r="E108" s="723"/>
      <c r="F108" s="723"/>
      <c r="G108" s="721"/>
      <c r="H108" s="717"/>
      <c r="I108" s="709"/>
    </row>
    <row r="109" spans="1:9" x14ac:dyDescent="0.25">
      <c r="F109" s="16"/>
    </row>
    <row r="110" spans="1:9" x14ac:dyDescent="0.25">
      <c r="F110" s="16"/>
    </row>
    <row r="111" spans="1:9" x14ac:dyDescent="0.25">
      <c r="F111" s="16"/>
    </row>
    <row r="112" spans="1:9" x14ac:dyDescent="0.25">
      <c r="F112" s="16"/>
    </row>
    <row r="113" spans="6:6" x14ac:dyDescent="0.25">
      <c r="F113" s="16"/>
    </row>
    <row r="114" spans="6:6" x14ac:dyDescent="0.25">
      <c r="F114" s="16"/>
    </row>
    <row r="115" spans="6:6" x14ac:dyDescent="0.25">
      <c r="F115" s="16"/>
    </row>
    <row r="116" spans="6:6" x14ac:dyDescent="0.25">
      <c r="F116" s="16"/>
    </row>
    <row r="117" spans="6:6" x14ac:dyDescent="0.25">
      <c r="F117" s="16"/>
    </row>
    <row r="118" spans="6:6" x14ac:dyDescent="0.25">
      <c r="F118" s="16"/>
    </row>
  </sheetData>
  <mergeCells count="82">
    <mergeCell ref="I107:I108"/>
    <mergeCell ref="A105:F105"/>
    <mergeCell ref="G105:H105"/>
    <mergeCell ref="A106:C106"/>
    <mergeCell ref="D106:H106"/>
    <mergeCell ref="A107:A108"/>
    <mergeCell ref="B107:C108"/>
    <mergeCell ref="D107:G108"/>
    <mergeCell ref="H107:H108"/>
    <mergeCell ref="A104:F104"/>
    <mergeCell ref="G104:H104"/>
    <mergeCell ref="A99:D99"/>
    <mergeCell ref="E99:F99"/>
    <mergeCell ref="A100:D100"/>
    <mergeCell ref="E100:F100"/>
    <mergeCell ref="A101:D101"/>
    <mergeCell ref="E101:F101"/>
    <mergeCell ref="G101:H101"/>
    <mergeCell ref="A102:D102"/>
    <mergeCell ref="E102:F102"/>
    <mergeCell ref="G102:H102"/>
    <mergeCell ref="A103:H103"/>
    <mergeCell ref="A93:D93"/>
    <mergeCell ref="E93:F93"/>
    <mergeCell ref="A91:D91"/>
    <mergeCell ref="E91:F91"/>
    <mergeCell ref="G91:H100"/>
    <mergeCell ref="A92:D92"/>
    <mergeCell ref="E92:F92"/>
    <mergeCell ref="A94:D94"/>
    <mergeCell ref="E94:F94"/>
    <mergeCell ref="A95:D95"/>
    <mergeCell ref="E95:F95"/>
    <mergeCell ref="A96:D96"/>
    <mergeCell ref="E96:F96"/>
    <mergeCell ref="A88:D88"/>
    <mergeCell ref="E88:F88"/>
    <mergeCell ref="A89:F89"/>
    <mergeCell ref="G89:H89"/>
    <mergeCell ref="A90:H90"/>
    <mergeCell ref="F69:G69"/>
    <mergeCell ref="F70:G70"/>
    <mergeCell ref="A97:D97"/>
    <mergeCell ref="E97:F97"/>
    <mergeCell ref="A98:D98"/>
    <mergeCell ref="E98:F98"/>
    <mergeCell ref="A83:B83"/>
    <mergeCell ref="C83:E83"/>
    <mergeCell ref="F83:H83"/>
    <mergeCell ref="A84:H84"/>
    <mergeCell ref="A85:H85"/>
    <mergeCell ref="A86:D86"/>
    <mergeCell ref="E86:F86"/>
    <mergeCell ref="G86:H88"/>
    <mergeCell ref="A87:D87"/>
    <mergeCell ref="E87:F87"/>
    <mergeCell ref="A1:H1"/>
    <mergeCell ref="A2:H2"/>
    <mergeCell ref="A74:H74"/>
    <mergeCell ref="B63:G63"/>
    <mergeCell ref="A64:A65"/>
    <mergeCell ref="B64:C65"/>
    <mergeCell ref="D64:E65"/>
    <mergeCell ref="F64:G65"/>
    <mergeCell ref="A66:A70"/>
    <mergeCell ref="B66:C66"/>
    <mergeCell ref="D66:E66"/>
    <mergeCell ref="F66:G66"/>
    <mergeCell ref="D67:E67"/>
    <mergeCell ref="F67:G67"/>
    <mergeCell ref="D68:E68"/>
    <mergeCell ref="F68:G68"/>
    <mergeCell ref="B55:F55"/>
    <mergeCell ref="C4:D4"/>
    <mergeCell ref="C5:D5"/>
    <mergeCell ref="A8:B11"/>
    <mergeCell ref="D8:G11"/>
    <mergeCell ref="A13:G13"/>
    <mergeCell ref="B16:G16"/>
    <mergeCell ref="B32:F32"/>
    <mergeCell ref="B38:F38"/>
    <mergeCell ref="B47:F47"/>
  </mergeCells>
  <conditionalFormatting sqref="I33:I36">
    <cfRule type="containsText" dxfId="9" priority="6" operator="containsText" text="HUD">
      <formula>NOT(ISERROR(SEARCH("HUD",I33)))</formula>
    </cfRule>
    <cfRule type="containsText" dxfId="8" priority="7" operator="containsText" text="ERROR">
      <formula>NOT(ISERROR(SEARCH("ERROR",I33)))</formula>
    </cfRule>
  </conditionalFormatting>
  <conditionalFormatting sqref="A53:F53">
    <cfRule type="containsText" dxfId="7" priority="5" operator="containsText" text="HUD">
      <formula>NOT(ISERROR(SEARCH("HUD",A53)))</formula>
    </cfRule>
  </conditionalFormatting>
  <conditionalFormatting sqref="G21">
    <cfRule type="containsText" dxfId="6" priority="4" operator="containsText" text="ERROR">
      <formula>NOT(ISERROR(SEARCH("ERROR",G21)))</formula>
    </cfRule>
  </conditionalFormatting>
  <conditionalFormatting sqref="G28">
    <cfRule type="containsText" dxfId="5" priority="3" operator="containsText" text="ERROR">
      <formula>NOT(ISERROR(SEARCH("ERROR",G28)))</formula>
    </cfRule>
  </conditionalFormatting>
  <conditionalFormatting sqref="G43">
    <cfRule type="containsText" dxfId="4" priority="2" operator="containsText" text="ERROR">
      <formula>NOT(ISERROR(SEARCH("ERROR",G43)))</formula>
    </cfRule>
  </conditionalFormatting>
  <conditionalFormatting sqref="A13">
    <cfRule type="containsText" dxfId="3" priority="1" operator="containsText" text="REMINDER">
      <formula>NOT(ISERROR(SEARCH("REMINDER",A13)))</formula>
    </cfRule>
  </conditionalFormatting>
  <printOptions horizontalCentered="1"/>
  <pageMargins left="0.7" right="0.7" top="0.75" bottom="0.75" header="0.3" footer="0.3"/>
  <pageSetup scale="5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5</xdr:col>
                    <xdr:colOff>114300</xdr:colOff>
                    <xdr:row>39</xdr:row>
                    <xdr:rowOff>180975</xdr:rowOff>
                  </from>
                  <to>
                    <xdr:col>6</xdr:col>
                    <xdr:colOff>219075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5</xdr:col>
                    <xdr:colOff>85725</xdr:colOff>
                    <xdr:row>47</xdr:row>
                    <xdr:rowOff>171450</xdr:rowOff>
                  </from>
                  <to>
                    <xdr:col>6</xdr:col>
                    <xdr:colOff>219075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5</xdr:col>
                    <xdr:colOff>85725</xdr:colOff>
                    <xdr:row>49</xdr:row>
                    <xdr:rowOff>171450</xdr:rowOff>
                  </from>
                  <to>
                    <xdr:col>6</xdr:col>
                    <xdr:colOff>219075</xdr:colOff>
                    <xdr:row>51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24E9D-3449-44A3-8599-9DA77797E766}">
  <sheetPr codeName="Sheet14">
    <tabColor rgb="FFFFFF00"/>
  </sheetPr>
  <dimension ref="A1:B9301"/>
  <sheetViews>
    <sheetView workbookViewId="0">
      <selection activeCell="A4" sqref="A4"/>
    </sheetView>
  </sheetViews>
  <sheetFormatPr defaultColWidth="9.140625" defaultRowHeight="15" x14ac:dyDescent="0.25"/>
  <cols>
    <col min="1" max="1" width="10.5703125" style="1" customWidth="1"/>
    <col min="2" max="2" width="56" style="1" bestFit="1" customWidth="1"/>
    <col min="3" max="16384" width="9.140625" style="1"/>
  </cols>
  <sheetData>
    <row r="1" spans="1:2" x14ac:dyDescent="0.25">
      <c r="A1" s="186" t="s">
        <v>82</v>
      </c>
      <c r="B1" s="186" t="s">
        <v>2079</v>
      </c>
    </row>
    <row r="2" spans="1:2" ht="15.75" x14ac:dyDescent="0.25">
      <c r="A2" s="344">
        <v>500</v>
      </c>
      <c r="B2" s="345" t="s">
        <v>2080</v>
      </c>
    </row>
    <row r="3" spans="1:2" ht="15.75" x14ac:dyDescent="0.25">
      <c r="A3" s="344">
        <v>510</v>
      </c>
      <c r="B3" s="345" t="s">
        <v>2081</v>
      </c>
    </row>
    <row r="4" spans="1:2" ht="15.75" x14ac:dyDescent="0.25">
      <c r="A4" s="344">
        <v>11000</v>
      </c>
      <c r="B4" s="345" t="s">
        <v>2041</v>
      </c>
    </row>
    <row r="5" spans="1:2" ht="15.75" x14ac:dyDescent="0.25">
      <c r="A5" s="344">
        <v>11010</v>
      </c>
      <c r="B5" s="345" t="s">
        <v>2082</v>
      </c>
    </row>
    <row r="6" spans="1:2" ht="15.75" x14ac:dyDescent="0.25">
      <c r="A6" s="344">
        <v>11011</v>
      </c>
      <c r="B6" s="345" t="s">
        <v>2083</v>
      </c>
    </row>
    <row r="7" spans="1:2" ht="15.75" x14ac:dyDescent="0.25">
      <c r="A7" s="344">
        <v>11012</v>
      </c>
      <c r="B7" s="345" t="s">
        <v>2084</v>
      </c>
    </row>
    <row r="8" spans="1:2" ht="15.75" x14ac:dyDescent="0.25">
      <c r="A8" s="344">
        <v>11013</v>
      </c>
      <c r="B8" s="345" t="s">
        <v>2085</v>
      </c>
    </row>
    <row r="9" spans="1:2" ht="15.75" x14ac:dyDescent="0.25">
      <c r="A9" s="344">
        <v>11014</v>
      </c>
      <c r="B9" s="345" t="s">
        <v>2086</v>
      </c>
    </row>
    <row r="10" spans="1:2" ht="15.75" x14ac:dyDescent="0.25">
      <c r="A10" s="344">
        <v>11020</v>
      </c>
      <c r="B10" s="345" t="s">
        <v>2087</v>
      </c>
    </row>
    <row r="11" spans="1:2" ht="15.75" x14ac:dyDescent="0.25">
      <c r="A11" s="344">
        <v>11021</v>
      </c>
      <c r="B11" s="345" t="s">
        <v>2088</v>
      </c>
    </row>
    <row r="12" spans="1:2" ht="15.75" x14ac:dyDescent="0.25">
      <c r="A12" s="344">
        <v>11022</v>
      </c>
      <c r="B12" s="345" t="s">
        <v>2089</v>
      </c>
    </row>
    <row r="13" spans="1:2" ht="15.75" x14ac:dyDescent="0.25">
      <c r="A13" s="344">
        <v>11023</v>
      </c>
      <c r="B13" s="345" t="s">
        <v>2090</v>
      </c>
    </row>
    <row r="14" spans="1:2" ht="15.75" x14ac:dyDescent="0.25">
      <c r="A14" s="344">
        <v>11024</v>
      </c>
      <c r="B14" s="345" t="s">
        <v>2091</v>
      </c>
    </row>
    <row r="15" spans="1:2" ht="15.75" x14ac:dyDescent="0.25">
      <c r="A15" s="344">
        <v>11025</v>
      </c>
      <c r="B15" s="345" t="s">
        <v>2092</v>
      </c>
    </row>
    <row r="16" spans="1:2" ht="15.75" x14ac:dyDescent="0.25">
      <c r="A16" s="344">
        <v>11026</v>
      </c>
      <c r="B16" s="345" t="s">
        <v>2093</v>
      </c>
    </row>
    <row r="17" spans="1:2" ht="15.75" x14ac:dyDescent="0.25">
      <c r="A17" s="344">
        <v>11027</v>
      </c>
      <c r="B17" s="345" t="s">
        <v>2094</v>
      </c>
    </row>
    <row r="18" spans="1:2" ht="15.75" x14ac:dyDescent="0.25">
      <c r="A18" s="344">
        <v>11028</v>
      </c>
      <c r="B18" s="345" t="s">
        <v>2095</v>
      </c>
    </row>
    <row r="19" spans="1:2" ht="15.75" x14ac:dyDescent="0.25">
      <c r="A19" s="344">
        <v>11029</v>
      </c>
      <c r="B19" s="345" t="s">
        <v>2096</v>
      </c>
    </row>
    <row r="20" spans="1:2" ht="15.75" x14ac:dyDescent="0.25">
      <c r="A20" s="344">
        <v>11030</v>
      </c>
      <c r="B20" s="345" t="s">
        <v>2097</v>
      </c>
    </row>
    <row r="21" spans="1:2" ht="15.75" x14ac:dyDescent="0.25">
      <c r="A21" s="344">
        <v>11031</v>
      </c>
      <c r="B21" s="345" t="s">
        <v>2098</v>
      </c>
    </row>
    <row r="22" spans="1:2" ht="15.75" x14ac:dyDescent="0.25">
      <c r="A22" s="344">
        <v>11032</v>
      </c>
      <c r="B22" s="345" t="s">
        <v>2099</v>
      </c>
    </row>
    <row r="23" spans="1:2" ht="15.75" x14ac:dyDescent="0.25">
      <c r="A23" s="344">
        <v>11033</v>
      </c>
      <c r="B23" s="345" t="s">
        <v>2100</v>
      </c>
    </row>
    <row r="24" spans="1:2" ht="15.75" x14ac:dyDescent="0.25">
      <c r="A24" s="344">
        <v>11034</v>
      </c>
      <c r="B24" s="345" t="s">
        <v>2101</v>
      </c>
    </row>
    <row r="25" spans="1:2" ht="15.75" x14ac:dyDescent="0.25">
      <c r="A25" s="344">
        <v>11035</v>
      </c>
      <c r="B25" s="345" t="s">
        <v>2102</v>
      </c>
    </row>
    <row r="26" spans="1:2" ht="15.75" x14ac:dyDescent="0.25">
      <c r="A26" s="344">
        <v>11036</v>
      </c>
      <c r="B26" s="345" t="s">
        <v>2103</v>
      </c>
    </row>
    <row r="27" spans="1:2" ht="15.75" x14ac:dyDescent="0.25">
      <c r="A27" s="344">
        <v>11037</v>
      </c>
      <c r="B27" s="345" t="s">
        <v>2104</v>
      </c>
    </row>
    <row r="28" spans="1:2" ht="15.75" x14ac:dyDescent="0.25">
      <c r="A28" s="344">
        <v>11038</v>
      </c>
      <c r="B28" s="345" t="s">
        <v>2105</v>
      </c>
    </row>
    <row r="29" spans="1:2" ht="15.75" x14ac:dyDescent="0.25">
      <c r="A29" s="344">
        <v>11039</v>
      </c>
      <c r="B29" s="345" t="s">
        <v>2106</v>
      </c>
    </row>
    <row r="30" spans="1:2" ht="15.75" x14ac:dyDescent="0.25">
      <c r="A30" s="344">
        <v>11040</v>
      </c>
      <c r="B30" s="345" t="s">
        <v>2107</v>
      </c>
    </row>
    <row r="31" spans="1:2" ht="15.75" x14ac:dyDescent="0.25">
      <c r="A31" s="344">
        <v>11041</v>
      </c>
      <c r="B31" s="345" t="s">
        <v>2108</v>
      </c>
    </row>
    <row r="32" spans="1:2" ht="15.75" x14ac:dyDescent="0.25">
      <c r="A32" s="344">
        <v>11042</v>
      </c>
      <c r="B32" s="345" t="s">
        <v>2109</v>
      </c>
    </row>
    <row r="33" spans="1:2" ht="15.75" x14ac:dyDescent="0.25">
      <c r="A33" s="344">
        <v>11050</v>
      </c>
      <c r="B33" s="345" t="s">
        <v>2110</v>
      </c>
    </row>
    <row r="34" spans="1:2" ht="15.75" x14ac:dyDescent="0.25">
      <c r="A34" s="344">
        <v>11051</v>
      </c>
      <c r="B34" s="345" t="s">
        <v>2111</v>
      </c>
    </row>
    <row r="35" spans="1:2" ht="15.75" x14ac:dyDescent="0.25">
      <c r="A35" s="344">
        <v>11052</v>
      </c>
      <c r="B35" s="345" t="s">
        <v>2112</v>
      </c>
    </row>
    <row r="36" spans="1:2" ht="15.75" x14ac:dyDescent="0.25">
      <c r="A36" s="344">
        <v>11053</v>
      </c>
      <c r="B36" s="345" t="s">
        <v>2113</v>
      </c>
    </row>
    <row r="37" spans="1:2" ht="15.75" x14ac:dyDescent="0.25">
      <c r="A37" s="344">
        <v>11054</v>
      </c>
      <c r="B37" s="345" t="s">
        <v>2114</v>
      </c>
    </row>
    <row r="38" spans="1:2" ht="15.75" x14ac:dyDescent="0.25">
      <c r="A38" s="344">
        <v>11055</v>
      </c>
      <c r="B38" s="345" t="s">
        <v>2115</v>
      </c>
    </row>
    <row r="39" spans="1:2" ht="15.75" x14ac:dyDescent="0.25">
      <c r="A39" s="344">
        <v>11056</v>
      </c>
      <c r="B39" s="345" t="s">
        <v>2116</v>
      </c>
    </row>
    <row r="40" spans="1:2" ht="15.75" x14ac:dyDescent="0.25">
      <c r="A40" s="344">
        <v>11057</v>
      </c>
      <c r="B40" s="345" t="s">
        <v>2110</v>
      </c>
    </row>
    <row r="41" spans="1:2" ht="15.75" x14ac:dyDescent="0.25">
      <c r="A41" s="344">
        <v>11060</v>
      </c>
      <c r="B41" s="345" t="s">
        <v>2117</v>
      </c>
    </row>
    <row r="42" spans="1:2" ht="15.75" x14ac:dyDescent="0.25">
      <c r="A42" s="344">
        <v>11061</v>
      </c>
      <c r="B42" s="345" t="s">
        <v>2118</v>
      </c>
    </row>
    <row r="43" spans="1:2" ht="15.75" x14ac:dyDescent="0.25">
      <c r="A43" s="344">
        <v>11062</v>
      </c>
      <c r="B43" s="345" t="s">
        <v>2119</v>
      </c>
    </row>
    <row r="44" spans="1:2" ht="15.75" x14ac:dyDescent="0.25">
      <c r="A44" s="344">
        <v>11063</v>
      </c>
      <c r="B44" s="345" t="s">
        <v>2120</v>
      </c>
    </row>
    <row r="45" spans="1:2" ht="15.75" x14ac:dyDescent="0.25">
      <c r="A45" s="344">
        <v>11065</v>
      </c>
      <c r="B45" s="345" t="s">
        <v>2121</v>
      </c>
    </row>
    <row r="46" spans="1:2" ht="15.75" x14ac:dyDescent="0.25">
      <c r="A46" s="344">
        <v>11066</v>
      </c>
      <c r="B46" s="345" t="s">
        <v>2122</v>
      </c>
    </row>
    <row r="47" spans="1:2" ht="15.75" x14ac:dyDescent="0.25">
      <c r="A47" s="344">
        <v>11067</v>
      </c>
      <c r="B47" s="345" t="s">
        <v>2123</v>
      </c>
    </row>
    <row r="48" spans="1:2" ht="15.75" x14ac:dyDescent="0.25">
      <c r="A48" s="344">
        <v>11070</v>
      </c>
      <c r="B48" s="345" t="s">
        <v>2124</v>
      </c>
    </row>
    <row r="49" spans="1:2" ht="15.75" x14ac:dyDescent="0.25">
      <c r="A49" s="344">
        <v>11071</v>
      </c>
      <c r="B49" s="345" t="s">
        <v>2125</v>
      </c>
    </row>
    <row r="50" spans="1:2" ht="15.75" x14ac:dyDescent="0.25">
      <c r="A50" s="344">
        <v>11075</v>
      </c>
      <c r="B50" s="345" t="s">
        <v>2126</v>
      </c>
    </row>
    <row r="51" spans="1:2" ht="15.75" x14ac:dyDescent="0.25">
      <c r="A51" s="344">
        <v>11080</v>
      </c>
      <c r="B51" s="345" t="s">
        <v>2127</v>
      </c>
    </row>
    <row r="52" spans="1:2" ht="15.75" x14ac:dyDescent="0.25">
      <c r="A52" s="344">
        <v>11081</v>
      </c>
      <c r="B52" s="345" t="s">
        <v>2128</v>
      </c>
    </row>
    <row r="53" spans="1:2" ht="15.75" x14ac:dyDescent="0.25">
      <c r="A53" s="344">
        <v>11082</v>
      </c>
      <c r="B53" s="345" t="s">
        <v>2129</v>
      </c>
    </row>
    <row r="54" spans="1:2" ht="15.75" x14ac:dyDescent="0.25">
      <c r="A54" s="344">
        <v>11085</v>
      </c>
      <c r="B54" s="345" t="s">
        <v>2130</v>
      </c>
    </row>
    <row r="55" spans="1:2" ht="15.75" x14ac:dyDescent="0.25">
      <c r="A55" s="344">
        <v>11086</v>
      </c>
      <c r="B55" s="345" t="s">
        <v>26</v>
      </c>
    </row>
    <row r="56" spans="1:2" ht="15.75" x14ac:dyDescent="0.25">
      <c r="A56" s="344">
        <v>11090</v>
      </c>
      <c r="B56" s="345" t="s">
        <v>2131</v>
      </c>
    </row>
    <row r="57" spans="1:2" ht="15.75" x14ac:dyDescent="0.25">
      <c r="A57" s="344">
        <v>11100</v>
      </c>
      <c r="B57" s="345" t="s">
        <v>2132</v>
      </c>
    </row>
    <row r="58" spans="1:2" ht="15.75" x14ac:dyDescent="0.25">
      <c r="A58" s="344">
        <v>11101</v>
      </c>
      <c r="B58" s="345" t="s">
        <v>2133</v>
      </c>
    </row>
    <row r="59" spans="1:2" ht="15.75" x14ac:dyDescent="0.25">
      <c r="A59" s="344">
        <v>11500</v>
      </c>
      <c r="B59" s="345" t="s">
        <v>2134</v>
      </c>
    </row>
    <row r="60" spans="1:2" ht="15.75" x14ac:dyDescent="0.25">
      <c r="A60" s="344">
        <v>11600</v>
      </c>
      <c r="B60" s="345" t="s">
        <v>2135</v>
      </c>
    </row>
    <row r="61" spans="1:2" ht="15.75" x14ac:dyDescent="0.25">
      <c r="A61" s="344">
        <v>11610</v>
      </c>
      <c r="B61" s="345" t="s">
        <v>2135</v>
      </c>
    </row>
    <row r="62" spans="1:2" ht="15.75" x14ac:dyDescent="0.25">
      <c r="A62" s="344">
        <v>11615</v>
      </c>
      <c r="B62" s="345" t="s">
        <v>2136</v>
      </c>
    </row>
    <row r="63" spans="1:2" ht="15.75" x14ac:dyDescent="0.25">
      <c r="A63" s="344">
        <v>11620</v>
      </c>
      <c r="B63" s="345" t="s">
        <v>2137</v>
      </c>
    </row>
    <row r="64" spans="1:2" ht="15.75" x14ac:dyDescent="0.25">
      <c r="A64" s="344">
        <v>11625</v>
      </c>
      <c r="B64" s="345" t="s">
        <v>2138</v>
      </c>
    </row>
    <row r="65" spans="1:2" ht="15.75" x14ac:dyDescent="0.25">
      <c r="A65" s="344">
        <v>11630</v>
      </c>
      <c r="B65" s="345" t="s">
        <v>2139</v>
      </c>
    </row>
    <row r="66" spans="1:2" ht="15.75" x14ac:dyDescent="0.25">
      <c r="A66" s="344">
        <v>11640</v>
      </c>
      <c r="B66" s="345" t="s">
        <v>2140</v>
      </c>
    </row>
    <row r="67" spans="1:2" ht="15.75" x14ac:dyDescent="0.25">
      <c r="A67" s="344">
        <v>11650</v>
      </c>
      <c r="B67" s="345" t="s">
        <v>2141</v>
      </c>
    </row>
    <row r="68" spans="1:2" ht="15.75" x14ac:dyDescent="0.25">
      <c r="A68" s="344">
        <v>11700</v>
      </c>
      <c r="B68" s="345" t="s">
        <v>2142</v>
      </c>
    </row>
    <row r="69" spans="1:2" ht="15.75" x14ac:dyDescent="0.25">
      <c r="A69" s="344">
        <v>11710</v>
      </c>
      <c r="B69" s="345" t="s">
        <v>2142</v>
      </c>
    </row>
    <row r="70" spans="1:2" ht="15.75" x14ac:dyDescent="0.25">
      <c r="A70" s="344">
        <v>11715</v>
      </c>
      <c r="B70" s="345" t="s">
        <v>2143</v>
      </c>
    </row>
    <row r="71" spans="1:2" ht="15.75" x14ac:dyDescent="0.25">
      <c r="A71" s="344">
        <v>11720</v>
      </c>
      <c r="B71" s="345" t="s">
        <v>2144</v>
      </c>
    </row>
    <row r="72" spans="1:2" ht="15.75" x14ac:dyDescent="0.25">
      <c r="A72" s="344">
        <v>11722</v>
      </c>
      <c r="B72" s="345" t="s">
        <v>2145</v>
      </c>
    </row>
    <row r="73" spans="1:2" ht="15.75" x14ac:dyDescent="0.25">
      <c r="A73" s="344">
        <v>11725</v>
      </c>
      <c r="B73" s="345" t="s">
        <v>2146</v>
      </c>
    </row>
    <row r="74" spans="1:2" ht="15.75" x14ac:dyDescent="0.25">
      <c r="A74" s="344">
        <v>11726</v>
      </c>
      <c r="B74" s="345" t="s">
        <v>2147</v>
      </c>
    </row>
    <row r="75" spans="1:2" ht="15.75" x14ac:dyDescent="0.25">
      <c r="A75" s="344">
        <v>11730</v>
      </c>
      <c r="B75" s="345" t="s">
        <v>2148</v>
      </c>
    </row>
    <row r="76" spans="1:2" ht="15.75" x14ac:dyDescent="0.25">
      <c r="A76" s="344">
        <v>11735</v>
      </c>
      <c r="B76" s="345" t="s">
        <v>2149</v>
      </c>
    </row>
    <row r="77" spans="1:2" ht="15.75" x14ac:dyDescent="0.25">
      <c r="A77" s="344">
        <v>11739</v>
      </c>
      <c r="B77" s="345" t="s">
        <v>2150</v>
      </c>
    </row>
    <row r="78" spans="1:2" ht="15.75" x14ac:dyDescent="0.25">
      <c r="A78" s="344">
        <v>11740</v>
      </c>
      <c r="B78" s="345" t="s">
        <v>2151</v>
      </c>
    </row>
    <row r="79" spans="1:2" ht="15.75" x14ac:dyDescent="0.25">
      <c r="A79" s="344">
        <v>11741</v>
      </c>
      <c r="B79" s="345" t="s">
        <v>2152</v>
      </c>
    </row>
    <row r="80" spans="1:2" ht="15.75" x14ac:dyDescent="0.25">
      <c r="A80" s="344">
        <v>11742</v>
      </c>
      <c r="B80" s="345" t="s">
        <v>2153</v>
      </c>
    </row>
    <row r="81" spans="1:2" ht="15.75" x14ac:dyDescent="0.25">
      <c r="A81" s="344">
        <v>11755</v>
      </c>
      <c r="B81" s="345" t="s">
        <v>2154</v>
      </c>
    </row>
    <row r="82" spans="1:2" ht="15.75" x14ac:dyDescent="0.25">
      <c r="A82" s="344">
        <v>11760</v>
      </c>
      <c r="B82" s="345" t="s">
        <v>2155</v>
      </c>
    </row>
    <row r="83" spans="1:2" ht="15.75" x14ac:dyDescent="0.25">
      <c r="A83" s="344">
        <v>11765</v>
      </c>
      <c r="B83" s="345" t="s">
        <v>2156</v>
      </c>
    </row>
    <row r="84" spans="1:2" ht="15.75" x14ac:dyDescent="0.25">
      <c r="A84" s="344">
        <v>11770</v>
      </c>
      <c r="B84" s="345" t="s">
        <v>2157</v>
      </c>
    </row>
    <row r="85" spans="1:2" ht="15.75" x14ac:dyDescent="0.25">
      <c r="A85" s="344">
        <v>11775</v>
      </c>
      <c r="B85" s="345" t="s">
        <v>2158</v>
      </c>
    </row>
    <row r="86" spans="1:2" ht="15.75" x14ac:dyDescent="0.25">
      <c r="A86" s="344">
        <v>11780</v>
      </c>
      <c r="B86" s="345" t="s">
        <v>2159</v>
      </c>
    </row>
    <row r="87" spans="1:2" ht="15.75" x14ac:dyDescent="0.25">
      <c r="A87" s="344">
        <v>11785</v>
      </c>
      <c r="B87" s="345" t="s">
        <v>2160</v>
      </c>
    </row>
    <row r="88" spans="1:2" ht="15.75" x14ac:dyDescent="0.25">
      <c r="A88" s="344">
        <v>11788</v>
      </c>
      <c r="B88" s="345" t="s">
        <v>2161</v>
      </c>
    </row>
    <row r="89" spans="1:2" ht="15.75" x14ac:dyDescent="0.25">
      <c r="A89" s="344">
        <v>11789</v>
      </c>
      <c r="B89" s="345" t="s">
        <v>2162</v>
      </c>
    </row>
    <row r="90" spans="1:2" ht="15.75" x14ac:dyDescent="0.25">
      <c r="A90" s="344">
        <v>11790</v>
      </c>
      <c r="B90" s="345" t="s">
        <v>2163</v>
      </c>
    </row>
    <row r="91" spans="1:2" ht="15.75" x14ac:dyDescent="0.25">
      <c r="A91" s="344">
        <v>11791</v>
      </c>
      <c r="B91" s="345" t="s">
        <v>2164</v>
      </c>
    </row>
    <row r="92" spans="1:2" ht="15.75" x14ac:dyDescent="0.25">
      <c r="A92" s="344">
        <v>11792</v>
      </c>
      <c r="B92" s="345" t="s">
        <v>2165</v>
      </c>
    </row>
    <row r="93" spans="1:2" ht="15.75" x14ac:dyDescent="0.25">
      <c r="A93" s="344">
        <v>11793</v>
      </c>
      <c r="B93" s="345" t="s">
        <v>2166</v>
      </c>
    </row>
    <row r="94" spans="1:2" ht="15.75" x14ac:dyDescent="0.25">
      <c r="A94" s="344">
        <v>11794</v>
      </c>
      <c r="B94" s="345" t="s">
        <v>2167</v>
      </c>
    </row>
    <row r="95" spans="1:2" ht="15.75" x14ac:dyDescent="0.25">
      <c r="A95" s="344">
        <v>11795</v>
      </c>
      <c r="B95" s="345" t="s">
        <v>2168</v>
      </c>
    </row>
    <row r="96" spans="1:2" ht="15.75" x14ac:dyDescent="0.25">
      <c r="A96" s="344">
        <v>11796</v>
      </c>
      <c r="B96" s="345" t="s">
        <v>2169</v>
      </c>
    </row>
    <row r="97" spans="1:2" ht="15.75" x14ac:dyDescent="0.25">
      <c r="A97" s="344">
        <v>11797</v>
      </c>
      <c r="B97" s="345" t="s">
        <v>2170</v>
      </c>
    </row>
    <row r="98" spans="1:2" ht="15.75" x14ac:dyDescent="0.25">
      <c r="A98" s="344">
        <v>11798</v>
      </c>
      <c r="B98" s="345" t="s">
        <v>2171</v>
      </c>
    </row>
    <row r="99" spans="1:2" ht="15.75" x14ac:dyDescent="0.25">
      <c r="A99" s="344">
        <v>11799</v>
      </c>
      <c r="B99" s="345" t="s">
        <v>2172</v>
      </c>
    </row>
    <row r="100" spans="1:2" ht="15.75" x14ac:dyDescent="0.25">
      <c r="A100" s="344">
        <v>11800</v>
      </c>
      <c r="B100" s="345" t="s">
        <v>2173</v>
      </c>
    </row>
    <row r="101" spans="1:2" ht="15.75" x14ac:dyDescent="0.25">
      <c r="A101" s="344">
        <v>11805</v>
      </c>
      <c r="B101" s="345" t="s">
        <v>2174</v>
      </c>
    </row>
    <row r="102" spans="1:2" ht="15.75" x14ac:dyDescent="0.25">
      <c r="A102" s="344">
        <v>11806</v>
      </c>
      <c r="B102" s="345" t="s">
        <v>2175</v>
      </c>
    </row>
    <row r="103" spans="1:2" ht="15.75" x14ac:dyDescent="0.25">
      <c r="A103" s="344">
        <v>11807</v>
      </c>
      <c r="B103" s="345" t="s">
        <v>2176</v>
      </c>
    </row>
    <row r="104" spans="1:2" ht="15.75" x14ac:dyDescent="0.25">
      <c r="A104" s="344">
        <v>11808</v>
      </c>
      <c r="B104" s="345" t="s">
        <v>2177</v>
      </c>
    </row>
    <row r="105" spans="1:2" ht="15.75" x14ac:dyDescent="0.25">
      <c r="A105" s="344">
        <v>11809</v>
      </c>
      <c r="B105" s="345" t="s">
        <v>2178</v>
      </c>
    </row>
    <row r="106" spans="1:2" ht="15.75" x14ac:dyDescent="0.25">
      <c r="A106" s="344">
        <v>11810</v>
      </c>
      <c r="B106" s="345" t="s">
        <v>2173</v>
      </c>
    </row>
    <row r="107" spans="1:2" ht="15.75" x14ac:dyDescent="0.25">
      <c r="A107" s="344">
        <v>11811</v>
      </c>
      <c r="B107" s="345" t="s">
        <v>2179</v>
      </c>
    </row>
    <row r="108" spans="1:2" ht="15.75" x14ac:dyDescent="0.25">
      <c r="A108" s="344">
        <v>11812</v>
      </c>
      <c r="B108" s="345" t="s">
        <v>2180</v>
      </c>
    </row>
    <row r="109" spans="1:2" ht="15.75" x14ac:dyDescent="0.25">
      <c r="A109" s="344">
        <v>11830</v>
      </c>
      <c r="B109" s="345" t="s">
        <v>2181</v>
      </c>
    </row>
    <row r="110" spans="1:2" ht="15.75" x14ac:dyDescent="0.25">
      <c r="A110" s="344">
        <v>11835</v>
      </c>
      <c r="B110" s="345" t="s">
        <v>2182</v>
      </c>
    </row>
    <row r="111" spans="1:2" ht="15.75" x14ac:dyDescent="0.25">
      <c r="A111" s="344">
        <v>11840</v>
      </c>
      <c r="B111" s="345" t="s">
        <v>2183</v>
      </c>
    </row>
    <row r="112" spans="1:2" ht="15.75" x14ac:dyDescent="0.25">
      <c r="A112" s="344">
        <v>11845</v>
      </c>
      <c r="B112" s="345" t="s">
        <v>2184</v>
      </c>
    </row>
    <row r="113" spans="1:2" ht="15.75" x14ac:dyDescent="0.25">
      <c r="A113" s="344">
        <v>11901</v>
      </c>
      <c r="B113" s="345" t="s">
        <v>2185</v>
      </c>
    </row>
    <row r="114" spans="1:2" ht="15.75" x14ac:dyDescent="0.25">
      <c r="A114" s="344">
        <v>11902</v>
      </c>
      <c r="B114" s="345" t="s">
        <v>2186</v>
      </c>
    </row>
    <row r="115" spans="1:2" ht="15.75" x14ac:dyDescent="0.25">
      <c r="A115" s="344">
        <v>11903</v>
      </c>
      <c r="B115" s="345" t="s">
        <v>2187</v>
      </c>
    </row>
    <row r="116" spans="1:2" ht="15.75" x14ac:dyDescent="0.25">
      <c r="A116" s="344">
        <v>11904</v>
      </c>
      <c r="B116" s="345" t="s">
        <v>2188</v>
      </c>
    </row>
    <row r="117" spans="1:2" ht="15.75" x14ac:dyDescent="0.25">
      <c r="A117" s="344">
        <v>11905</v>
      </c>
      <c r="B117" s="345" t="s">
        <v>2189</v>
      </c>
    </row>
    <row r="118" spans="1:2" ht="15.75" x14ac:dyDescent="0.25">
      <c r="A118" s="344">
        <v>11906</v>
      </c>
      <c r="B118" s="345" t="s">
        <v>2190</v>
      </c>
    </row>
    <row r="119" spans="1:2" ht="15.75" x14ac:dyDescent="0.25">
      <c r="A119" s="344">
        <v>11907</v>
      </c>
      <c r="B119" s="345" t="s">
        <v>2191</v>
      </c>
    </row>
    <row r="120" spans="1:2" ht="15.75" x14ac:dyDescent="0.25">
      <c r="A120" s="344">
        <v>11908</v>
      </c>
      <c r="B120" s="345" t="s">
        <v>2192</v>
      </c>
    </row>
    <row r="121" spans="1:2" ht="15.75" x14ac:dyDescent="0.25">
      <c r="A121" s="344">
        <v>11909</v>
      </c>
      <c r="B121" s="345" t="s">
        <v>2193</v>
      </c>
    </row>
    <row r="122" spans="1:2" ht="15.75" x14ac:dyDescent="0.25">
      <c r="A122" s="344">
        <v>11910</v>
      </c>
      <c r="B122" s="345" t="s">
        <v>2194</v>
      </c>
    </row>
    <row r="123" spans="1:2" ht="15.75" x14ac:dyDescent="0.25">
      <c r="A123" s="344">
        <v>11911</v>
      </c>
      <c r="B123" s="345" t="s">
        <v>2195</v>
      </c>
    </row>
    <row r="124" spans="1:2" ht="15.75" x14ac:dyDescent="0.25">
      <c r="A124" s="344">
        <v>11912</v>
      </c>
      <c r="B124" s="345" t="s">
        <v>2196</v>
      </c>
    </row>
    <row r="125" spans="1:2" ht="15.75" x14ac:dyDescent="0.25">
      <c r="A125" s="344">
        <v>11913</v>
      </c>
      <c r="B125" s="345" t="s">
        <v>2197</v>
      </c>
    </row>
    <row r="126" spans="1:2" ht="15.75" x14ac:dyDescent="0.25">
      <c r="A126" s="344">
        <v>11914</v>
      </c>
      <c r="B126" s="345" t="s">
        <v>2198</v>
      </c>
    </row>
    <row r="127" spans="1:2" ht="15.75" x14ac:dyDescent="0.25">
      <c r="A127" s="344">
        <v>11915</v>
      </c>
      <c r="B127" s="345" t="s">
        <v>2199</v>
      </c>
    </row>
    <row r="128" spans="1:2" ht="15.75" x14ac:dyDescent="0.25">
      <c r="A128" s="344">
        <v>11916</v>
      </c>
      <c r="B128" s="345" t="s">
        <v>2200</v>
      </c>
    </row>
    <row r="129" spans="1:2" ht="15.75" x14ac:dyDescent="0.25">
      <c r="A129" s="344">
        <v>11917</v>
      </c>
      <c r="B129" s="345" t="s">
        <v>2201</v>
      </c>
    </row>
    <row r="130" spans="1:2" ht="15.75" x14ac:dyDescent="0.25">
      <c r="A130" s="344">
        <v>12000</v>
      </c>
      <c r="B130" s="345" t="s">
        <v>2202</v>
      </c>
    </row>
    <row r="131" spans="1:2" ht="15.75" x14ac:dyDescent="0.25">
      <c r="A131" s="344">
        <v>12010</v>
      </c>
      <c r="B131" s="345" t="s">
        <v>2202</v>
      </c>
    </row>
    <row r="132" spans="1:2" ht="15.75" x14ac:dyDescent="0.25">
      <c r="A132" s="344">
        <v>12011</v>
      </c>
      <c r="B132" s="345" t="s">
        <v>2203</v>
      </c>
    </row>
    <row r="133" spans="1:2" ht="15.75" x14ac:dyDescent="0.25">
      <c r="A133" s="344">
        <v>12012</v>
      </c>
      <c r="B133" s="345" t="s">
        <v>2204</v>
      </c>
    </row>
    <row r="134" spans="1:2" ht="15.75" x14ac:dyDescent="0.25">
      <c r="A134" s="344">
        <v>12013</v>
      </c>
      <c r="B134" s="345" t="s">
        <v>2205</v>
      </c>
    </row>
    <row r="135" spans="1:2" ht="15.75" x14ac:dyDescent="0.25">
      <c r="A135" s="344">
        <v>12014</v>
      </c>
      <c r="B135" s="345" t="s">
        <v>2206</v>
      </c>
    </row>
    <row r="136" spans="1:2" ht="15.75" x14ac:dyDescent="0.25">
      <c r="A136" s="344">
        <v>12015</v>
      </c>
      <c r="B136" s="345" t="s">
        <v>2207</v>
      </c>
    </row>
    <row r="137" spans="1:2" ht="15.75" x14ac:dyDescent="0.25">
      <c r="A137" s="344">
        <v>12016</v>
      </c>
      <c r="B137" s="345" t="s">
        <v>2208</v>
      </c>
    </row>
    <row r="138" spans="1:2" ht="15.75" x14ac:dyDescent="0.25">
      <c r="A138" s="344">
        <v>12017</v>
      </c>
      <c r="B138" s="345" t="s">
        <v>2209</v>
      </c>
    </row>
    <row r="139" spans="1:2" ht="15.75" x14ac:dyDescent="0.25">
      <c r="A139" s="344">
        <v>12020</v>
      </c>
      <c r="B139" s="345" t="s">
        <v>2210</v>
      </c>
    </row>
    <row r="140" spans="1:2" ht="15.75" x14ac:dyDescent="0.25">
      <c r="A140" s="344">
        <v>12021</v>
      </c>
      <c r="B140" s="345" t="s">
        <v>2211</v>
      </c>
    </row>
    <row r="141" spans="1:2" ht="15.75" x14ac:dyDescent="0.25">
      <c r="A141" s="344">
        <v>12025</v>
      </c>
      <c r="B141" s="345" t="s">
        <v>2212</v>
      </c>
    </row>
    <row r="142" spans="1:2" ht="15.75" x14ac:dyDescent="0.25">
      <c r="A142" s="344">
        <v>12026</v>
      </c>
      <c r="B142" s="345" t="s">
        <v>2213</v>
      </c>
    </row>
    <row r="143" spans="1:2" ht="15.75" x14ac:dyDescent="0.25">
      <c r="A143" s="344">
        <v>12030</v>
      </c>
      <c r="B143" s="345" t="s">
        <v>2214</v>
      </c>
    </row>
    <row r="144" spans="1:2" ht="15.75" x14ac:dyDescent="0.25">
      <c r="A144" s="344">
        <v>12035</v>
      </c>
      <c r="B144" s="345" t="s">
        <v>34</v>
      </c>
    </row>
    <row r="145" spans="1:2" ht="15.75" x14ac:dyDescent="0.25">
      <c r="A145" s="344">
        <v>12036</v>
      </c>
      <c r="B145" s="345" t="s">
        <v>2215</v>
      </c>
    </row>
    <row r="146" spans="1:2" ht="15.75" x14ac:dyDescent="0.25">
      <c r="A146" s="344">
        <v>12040</v>
      </c>
      <c r="B146" s="345" t="s">
        <v>2216</v>
      </c>
    </row>
    <row r="147" spans="1:2" ht="15.75" x14ac:dyDescent="0.25">
      <c r="A147" s="344">
        <v>12045</v>
      </c>
      <c r="B147" s="345" t="s">
        <v>2217</v>
      </c>
    </row>
    <row r="148" spans="1:2" ht="15.75" x14ac:dyDescent="0.25">
      <c r="A148" s="344">
        <v>12050</v>
      </c>
      <c r="B148" s="345" t="s">
        <v>2218</v>
      </c>
    </row>
    <row r="149" spans="1:2" ht="15.75" x14ac:dyDescent="0.25">
      <c r="A149" s="344">
        <v>12055</v>
      </c>
      <c r="B149" s="345" t="s">
        <v>2219</v>
      </c>
    </row>
    <row r="150" spans="1:2" ht="15.75" x14ac:dyDescent="0.25">
      <c r="A150" s="344">
        <v>12060</v>
      </c>
      <c r="B150" s="345" t="s">
        <v>2220</v>
      </c>
    </row>
    <row r="151" spans="1:2" ht="15.75" x14ac:dyDescent="0.25">
      <c r="A151" s="344">
        <v>12061</v>
      </c>
      <c r="B151" s="345" t="s">
        <v>2221</v>
      </c>
    </row>
    <row r="152" spans="1:2" ht="15.75" x14ac:dyDescent="0.25">
      <c r="A152" s="344">
        <v>12062</v>
      </c>
      <c r="B152" s="345" t="s">
        <v>2222</v>
      </c>
    </row>
    <row r="153" spans="1:2" ht="15.75" x14ac:dyDescent="0.25">
      <c r="A153" s="344">
        <v>12063</v>
      </c>
      <c r="B153" s="345" t="s">
        <v>2223</v>
      </c>
    </row>
    <row r="154" spans="1:2" ht="15.75" x14ac:dyDescent="0.25">
      <c r="A154" s="344">
        <v>12065</v>
      </c>
      <c r="B154" s="345" t="s">
        <v>2224</v>
      </c>
    </row>
    <row r="155" spans="1:2" ht="15.75" x14ac:dyDescent="0.25">
      <c r="A155" s="344">
        <v>12066</v>
      </c>
      <c r="B155" s="345" t="s">
        <v>2225</v>
      </c>
    </row>
    <row r="156" spans="1:2" ht="15.75" x14ac:dyDescent="0.25">
      <c r="A156" s="344">
        <v>12070</v>
      </c>
      <c r="B156" s="345" t="s">
        <v>2226</v>
      </c>
    </row>
    <row r="157" spans="1:2" ht="15.75" x14ac:dyDescent="0.25">
      <c r="A157" s="344">
        <v>12071</v>
      </c>
      <c r="B157" s="345" t="s">
        <v>2227</v>
      </c>
    </row>
    <row r="158" spans="1:2" ht="15.75" x14ac:dyDescent="0.25">
      <c r="A158" s="344">
        <v>12072</v>
      </c>
      <c r="B158" s="345" t="s">
        <v>2228</v>
      </c>
    </row>
    <row r="159" spans="1:2" ht="15.75" x14ac:dyDescent="0.25">
      <c r="A159" s="344">
        <v>12073</v>
      </c>
      <c r="B159" s="345" t="s">
        <v>2229</v>
      </c>
    </row>
    <row r="160" spans="1:2" ht="15.75" x14ac:dyDescent="0.25">
      <c r="A160" s="344">
        <v>12074</v>
      </c>
      <c r="B160" s="345" t="s">
        <v>2230</v>
      </c>
    </row>
    <row r="161" spans="1:2" ht="15.75" x14ac:dyDescent="0.25">
      <c r="A161" s="344">
        <v>12075</v>
      </c>
      <c r="B161" s="345" t="s">
        <v>2231</v>
      </c>
    </row>
    <row r="162" spans="1:2" ht="15.75" x14ac:dyDescent="0.25">
      <c r="A162" s="344">
        <v>12076</v>
      </c>
      <c r="B162" s="345" t="s">
        <v>2232</v>
      </c>
    </row>
    <row r="163" spans="1:2" ht="15.75" x14ac:dyDescent="0.25">
      <c r="A163" s="344">
        <v>12077</v>
      </c>
      <c r="B163" s="345" t="s">
        <v>2233</v>
      </c>
    </row>
    <row r="164" spans="1:2" ht="15.75" x14ac:dyDescent="0.25">
      <c r="A164" s="344">
        <v>12078</v>
      </c>
      <c r="B164" s="345" t="s">
        <v>2234</v>
      </c>
    </row>
    <row r="165" spans="1:2" ht="15.75" x14ac:dyDescent="0.25">
      <c r="A165" s="344">
        <v>12079</v>
      </c>
      <c r="B165" s="345" t="s">
        <v>2235</v>
      </c>
    </row>
    <row r="166" spans="1:2" ht="15.75" x14ac:dyDescent="0.25">
      <c r="A166" s="344">
        <v>12080</v>
      </c>
      <c r="B166" s="345" t="s">
        <v>2236</v>
      </c>
    </row>
    <row r="167" spans="1:2" ht="15.75" x14ac:dyDescent="0.25">
      <c r="A167" s="344">
        <v>12081</v>
      </c>
      <c r="B167" s="345" t="s">
        <v>2237</v>
      </c>
    </row>
    <row r="168" spans="1:2" ht="15.75" x14ac:dyDescent="0.25">
      <c r="A168" s="344">
        <v>12082</v>
      </c>
      <c r="B168" s="345" t="s">
        <v>2238</v>
      </c>
    </row>
    <row r="169" spans="1:2" ht="15.75" x14ac:dyDescent="0.25">
      <c r="A169" s="344">
        <v>12083</v>
      </c>
      <c r="B169" s="345" t="s">
        <v>2239</v>
      </c>
    </row>
    <row r="170" spans="1:2" ht="15.75" x14ac:dyDescent="0.25">
      <c r="A170" s="344">
        <v>12084</v>
      </c>
      <c r="B170" s="345" t="s">
        <v>2240</v>
      </c>
    </row>
    <row r="171" spans="1:2" ht="15.75" x14ac:dyDescent="0.25">
      <c r="A171" s="344">
        <v>12085</v>
      </c>
      <c r="B171" s="345" t="s">
        <v>2241</v>
      </c>
    </row>
    <row r="172" spans="1:2" ht="15.75" x14ac:dyDescent="0.25">
      <c r="A172" s="344">
        <v>12087</v>
      </c>
      <c r="B172" s="345" t="s">
        <v>2242</v>
      </c>
    </row>
    <row r="173" spans="1:2" ht="15.75" x14ac:dyDescent="0.25">
      <c r="A173" s="344">
        <v>12089</v>
      </c>
      <c r="B173" s="345" t="s">
        <v>2243</v>
      </c>
    </row>
    <row r="174" spans="1:2" ht="15.75" x14ac:dyDescent="0.25">
      <c r="A174" s="344">
        <v>12090</v>
      </c>
      <c r="B174" s="345" t="s">
        <v>2244</v>
      </c>
    </row>
    <row r="175" spans="1:2" ht="15.75" x14ac:dyDescent="0.25">
      <c r="A175" s="344">
        <v>12095</v>
      </c>
      <c r="B175" s="345" t="s">
        <v>2245</v>
      </c>
    </row>
    <row r="176" spans="1:2" ht="15.75" x14ac:dyDescent="0.25">
      <c r="A176" s="344">
        <v>12100</v>
      </c>
      <c r="B176" s="345" t="s">
        <v>1735</v>
      </c>
    </row>
    <row r="177" spans="1:2" ht="15.75" x14ac:dyDescent="0.25">
      <c r="A177" s="344">
        <v>12105</v>
      </c>
      <c r="B177" s="345" t="s">
        <v>2246</v>
      </c>
    </row>
    <row r="178" spans="1:2" ht="15.75" x14ac:dyDescent="0.25">
      <c r="A178" s="344">
        <v>12110</v>
      </c>
      <c r="B178" s="345" t="s">
        <v>2247</v>
      </c>
    </row>
    <row r="179" spans="1:2" ht="15.75" x14ac:dyDescent="0.25">
      <c r="A179" s="344">
        <v>12115</v>
      </c>
      <c r="B179" s="345" t="s">
        <v>2248</v>
      </c>
    </row>
    <row r="180" spans="1:2" ht="15.75" x14ac:dyDescent="0.25">
      <c r="A180" s="344">
        <v>12120</v>
      </c>
      <c r="B180" s="345" t="s">
        <v>2249</v>
      </c>
    </row>
    <row r="181" spans="1:2" ht="15.75" x14ac:dyDescent="0.25">
      <c r="A181" s="344">
        <v>12122</v>
      </c>
      <c r="B181" s="345" t="s">
        <v>2250</v>
      </c>
    </row>
    <row r="182" spans="1:2" ht="15.75" x14ac:dyDescent="0.25">
      <c r="A182" s="344">
        <v>12125</v>
      </c>
      <c r="B182" s="345" t="s">
        <v>2251</v>
      </c>
    </row>
    <row r="183" spans="1:2" ht="15.75" x14ac:dyDescent="0.25">
      <c r="A183" s="344">
        <v>12126</v>
      </c>
      <c r="B183" s="345" t="s">
        <v>2252</v>
      </c>
    </row>
    <row r="184" spans="1:2" ht="15.75" x14ac:dyDescent="0.25">
      <c r="A184" s="344">
        <v>12127</v>
      </c>
      <c r="B184" s="345" t="s">
        <v>2253</v>
      </c>
    </row>
    <row r="185" spans="1:2" ht="15.75" x14ac:dyDescent="0.25">
      <c r="A185" s="344">
        <v>12128</v>
      </c>
      <c r="B185" s="345" t="s">
        <v>2254</v>
      </c>
    </row>
    <row r="186" spans="1:2" ht="15.75" x14ac:dyDescent="0.25">
      <c r="A186" s="344">
        <v>13000</v>
      </c>
      <c r="B186" s="345" t="s">
        <v>2255</v>
      </c>
    </row>
    <row r="187" spans="1:2" ht="15.75" x14ac:dyDescent="0.25">
      <c r="A187" s="344">
        <v>13010</v>
      </c>
      <c r="B187" s="345" t="s">
        <v>2256</v>
      </c>
    </row>
    <row r="188" spans="1:2" ht="15.75" x14ac:dyDescent="0.25">
      <c r="A188" s="344">
        <v>13020</v>
      </c>
      <c r="B188" s="345" t="s">
        <v>2257</v>
      </c>
    </row>
    <row r="189" spans="1:2" ht="15.75" x14ac:dyDescent="0.25">
      <c r="A189" s="344">
        <v>13021</v>
      </c>
      <c r="B189" s="345" t="s">
        <v>2258</v>
      </c>
    </row>
    <row r="190" spans="1:2" ht="15.75" x14ac:dyDescent="0.25">
      <c r="A190" s="344">
        <v>13022</v>
      </c>
      <c r="B190" s="345" t="s">
        <v>2259</v>
      </c>
    </row>
    <row r="191" spans="1:2" ht="15.75" x14ac:dyDescent="0.25">
      <c r="A191" s="344">
        <v>13023</v>
      </c>
      <c r="B191" s="345" t="s">
        <v>2260</v>
      </c>
    </row>
    <row r="192" spans="1:2" ht="15.75" x14ac:dyDescent="0.25">
      <c r="A192" s="344">
        <v>13024</v>
      </c>
      <c r="B192" s="345" t="s">
        <v>2261</v>
      </c>
    </row>
    <row r="193" spans="1:2" ht="15.75" x14ac:dyDescent="0.25">
      <c r="A193" s="344">
        <v>13025</v>
      </c>
      <c r="B193" s="345" t="s">
        <v>2262</v>
      </c>
    </row>
    <row r="194" spans="1:2" ht="15.75" x14ac:dyDescent="0.25">
      <c r="A194" s="344">
        <v>13026</v>
      </c>
      <c r="B194" s="345" t="s">
        <v>2263</v>
      </c>
    </row>
    <row r="195" spans="1:2" ht="15.75" x14ac:dyDescent="0.25">
      <c r="A195" s="344">
        <v>13027</v>
      </c>
      <c r="B195" s="345" t="s">
        <v>2264</v>
      </c>
    </row>
    <row r="196" spans="1:2" ht="15.75" x14ac:dyDescent="0.25">
      <c r="A196" s="344">
        <v>13028</v>
      </c>
      <c r="B196" s="345" t="s">
        <v>2265</v>
      </c>
    </row>
    <row r="197" spans="1:2" ht="15.75" x14ac:dyDescent="0.25">
      <c r="A197" s="344">
        <v>13029</v>
      </c>
      <c r="B197" s="345" t="s">
        <v>2266</v>
      </c>
    </row>
    <row r="198" spans="1:2" ht="15.75" x14ac:dyDescent="0.25">
      <c r="A198" s="344">
        <v>13030</v>
      </c>
      <c r="B198" s="345" t="s">
        <v>2267</v>
      </c>
    </row>
    <row r="199" spans="1:2" ht="15.75" x14ac:dyDescent="0.25">
      <c r="A199" s="344">
        <v>13031</v>
      </c>
      <c r="B199" s="345" t="s">
        <v>2268</v>
      </c>
    </row>
    <row r="200" spans="1:2" ht="15.75" x14ac:dyDescent="0.25">
      <c r="A200" s="344">
        <v>13032</v>
      </c>
      <c r="B200" s="345" t="s">
        <v>2269</v>
      </c>
    </row>
    <row r="201" spans="1:2" ht="15.75" x14ac:dyDescent="0.25">
      <c r="A201" s="344">
        <v>13033</v>
      </c>
      <c r="B201" s="345" t="s">
        <v>2270</v>
      </c>
    </row>
    <row r="202" spans="1:2" ht="15.75" x14ac:dyDescent="0.25">
      <c r="A202" s="344">
        <v>13034</v>
      </c>
      <c r="B202" s="345" t="s">
        <v>2271</v>
      </c>
    </row>
    <row r="203" spans="1:2" ht="15.75" x14ac:dyDescent="0.25">
      <c r="A203" s="344">
        <v>13040</v>
      </c>
      <c r="B203" s="345" t="s">
        <v>2272</v>
      </c>
    </row>
    <row r="204" spans="1:2" ht="15.75" x14ac:dyDescent="0.25">
      <c r="A204" s="344">
        <v>13045</v>
      </c>
      <c r="B204" s="345" t="s">
        <v>2273</v>
      </c>
    </row>
    <row r="205" spans="1:2" ht="15.75" x14ac:dyDescent="0.25">
      <c r="A205" s="344">
        <v>13050</v>
      </c>
      <c r="B205" s="345" t="s">
        <v>2274</v>
      </c>
    </row>
    <row r="206" spans="1:2" ht="15.75" x14ac:dyDescent="0.25">
      <c r="A206" s="344">
        <v>13055</v>
      </c>
      <c r="B206" s="345" t="s">
        <v>2275</v>
      </c>
    </row>
    <row r="207" spans="1:2" ht="15.75" x14ac:dyDescent="0.25">
      <c r="A207" s="344">
        <v>13065</v>
      </c>
      <c r="B207" s="345" t="s">
        <v>2276</v>
      </c>
    </row>
    <row r="208" spans="1:2" ht="15.75" x14ac:dyDescent="0.25">
      <c r="A208" s="344">
        <v>13070</v>
      </c>
      <c r="B208" s="345" t="s">
        <v>2277</v>
      </c>
    </row>
    <row r="209" spans="1:2" ht="15.75" x14ac:dyDescent="0.25">
      <c r="A209" s="344">
        <v>13075</v>
      </c>
      <c r="B209" s="345" t="s">
        <v>2278</v>
      </c>
    </row>
    <row r="210" spans="1:2" ht="15.75" x14ac:dyDescent="0.25">
      <c r="A210" s="344">
        <v>13080</v>
      </c>
      <c r="B210" s="345" t="s">
        <v>2279</v>
      </c>
    </row>
    <row r="211" spans="1:2" ht="15.75" x14ac:dyDescent="0.25">
      <c r="A211" s="344">
        <v>13081</v>
      </c>
      <c r="B211" s="345" t="s">
        <v>2280</v>
      </c>
    </row>
    <row r="212" spans="1:2" ht="15.75" x14ac:dyDescent="0.25">
      <c r="A212" s="344">
        <v>13085</v>
      </c>
      <c r="B212" s="345" t="s">
        <v>1880</v>
      </c>
    </row>
    <row r="213" spans="1:2" ht="15.75" x14ac:dyDescent="0.25">
      <c r="A213" s="344">
        <v>13086</v>
      </c>
      <c r="B213" s="345" t="s">
        <v>2281</v>
      </c>
    </row>
    <row r="214" spans="1:2" ht="15.75" x14ac:dyDescent="0.25">
      <c r="A214" s="344">
        <v>13087</v>
      </c>
      <c r="B214" s="345" t="s">
        <v>2282</v>
      </c>
    </row>
    <row r="215" spans="1:2" ht="15.75" x14ac:dyDescent="0.25">
      <c r="A215" s="344">
        <v>13088</v>
      </c>
      <c r="B215" s="345" t="s">
        <v>2283</v>
      </c>
    </row>
    <row r="216" spans="1:2" ht="15.75" x14ac:dyDescent="0.25">
      <c r="A216" s="344">
        <v>13089</v>
      </c>
      <c r="B216" s="345" t="s">
        <v>2284</v>
      </c>
    </row>
    <row r="217" spans="1:2" ht="15.75" x14ac:dyDescent="0.25">
      <c r="A217" s="344">
        <v>13090</v>
      </c>
      <c r="B217" s="345" t="s">
        <v>2285</v>
      </c>
    </row>
    <row r="218" spans="1:2" ht="15.75" x14ac:dyDescent="0.25">
      <c r="A218" s="344">
        <v>13091</v>
      </c>
      <c r="B218" s="345" t="s">
        <v>2286</v>
      </c>
    </row>
    <row r="219" spans="1:2" ht="15.75" x14ac:dyDescent="0.25">
      <c r="A219" s="344">
        <v>13092</v>
      </c>
      <c r="B219" s="345" t="s">
        <v>2287</v>
      </c>
    </row>
    <row r="220" spans="1:2" ht="15.75" x14ac:dyDescent="0.25">
      <c r="A220" s="344">
        <v>13095</v>
      </c>
      <c r="B220" s="345" t="s">
        <v>2288</v>
      </c>
    </row>
    <row r="221" spans="1:2" ht="15.75" x14ac:dyDescent="0.25">
      <c r="A221" s="344">
        <v>14000</v>
      </c>
      <c r="B221" s="345" t="s">
        <v>2289</v>
      </c>
    </row>
    <row r="222" spans="1:2" ht="15.75" x14ac:dyDescent="0.25">
      <c r="A222" s="344">
        <v>14010</v>
      </c>
      <c r="B222" s="345" t="s">
        <v>2290</v>
      </c>
    </row>
    <row r="223" spans="1:2" ht="15.75" x14ac:dyDescent="0.25">
      <c r="A223" s="344">
        <v>14020</v>
      </c>
      <c r="B223" s="345" t="s">
        <v>2290</v>
      </c>
    </row>
    <row r="224" spans="1:2" ht="15.75" x14ac:dyDescent="0.25">
      <c r="A224" s="344">
        <v>14021</v>
      </c>
      <c r="B224" s="345" t="s">
        <v>2291</v>
      </c>
    </row>
    <row r="225" spans="1:2" ht="15.75" x14ac:dyDescent="0.25">
      <c r="A225" s="344">
        <v>14022</v>
      </c>
      <c r="B225" s="345" t="s">
        <v>2292</v>
      </c>
    </row>
    <row r="226" spans="1:2" ht="15.75" x14ac:dyDescent="0.25">
      <c r="A226" s="344">
        <v>14025</v>
      </c>
      <c r="B226" s="345" t="s">
        <v>2293</v>
      </c>
    </row>
    <row r="227" spans="1:2" ht="15.75" x14ac:dyDescent="0.25">
      <c r="A227" s="344">
        <v>14026</v>
      </c>
      <c r="B227" s="345" t="s">
        <v>2294</v>
      </c>
    </row>
    <row r="228" spans="1:2" ht="15.75" x14ac:dyDescent="0.25">
      <c r="A228" s="344">
        <v>14027</v>
      </c>
      <c r="B228" s="345" t="s">
        <v>2295</v>
      </c>
    </row>
    <row r="229" spans="1:2" ht="15.75" x14ac:dyDescent="0.25">
      <c r="A229" s="344">
        <v>14030</v>
      </c>
      <c r="B229" s="345" t="s">
        <v>2296</v>
      </c>
    </row>
    <row r="230" spans="1:2" ht="15.75" x14ac:dyDescent="0.25">
      <c r="A230" s="344">
        <v>14032</v>
      </c>
      <c r="B230" s="345" t="s">
        <v>2297</v>
      </c>
    </row>
    <row r="231" spans="1:2" ht="15.75" x14ac:dyDescent="0.25">
      <c r="A231" s="344">
        <v>14033</v>
      </c>
      <c r="B231" s="345" t="s">
        <v>2298</v>
      </c>
    </row>
    <row r="232" spans="1:2" ht="15.75" x14ac:dyDescent="0.25">
      <c r="A232" s="344">
        <v>14034</v>
      </c>
      <c r="B232" s="345" t="s">
        <v>2299</v>
      </c>
    </row>
    <row r="233" spans="1:2" ht="15.75" x14ac:dyDescent="0.25">
      <c r="A233" s="344">
        <v>14035</v>
      </c>
      <c r="B233" s="345" t="s">
        <v>2300</v>
      </c>
    </row>
    <row r="234" spans="1:2" ht="15.75" x14ac:dyDescent="0.25">
      <c r="A234" s="344">
        <v>14036</v>
      </c>
      <c r="B234" s="345" t="s">
        <v>2301</v>
      </c>
    </row>
    <row r="235" spans="1:2" ht="15.75" x14ac:dyDescent="0.25">
      <c r="A235" s="344">
        <v>14038</v>
      </c>
      <c r="B235" s="345" t="s">
        <v>2302</v>
      </c>
    </row>
    <row r="236" spans="1:2" ht="15.75" x14ac:dyDescent="0.25">
      <c r="A236" s="344">
        <v>14040</v>
      </c>
      <c r="B236" s="345" t="s">
        <v>2303</v>
      </c>
    </row>
    <row r="237" spans="1:2" ht="15.75" x14ac:dyDescent="0.25">
      <c r="A237" s="344">
        <v>14045</v>
      </c>
      <c r="B237" s="345" t="s">
        <v>2303</v>
      </c>
    </row>
    <row r="238" spans="1:2" ht="15.75" x14ac:dyDescent="0.25">
      <c r="A238" s="344">
        <v>14046</v>
      </c>
      <c r="B238" s="345" t="s">
        <v>2304</v>
      </c>
    </row>
    <row r="239" spans="1:2" ht="15.75" x14ac:dyDescent="0.25">
      <c r="A239" s="344">
        <v>14047</v>
      </c>
      <c r="B239" s="345" t="s">
        <v>2305</v>
      </c>
    </row>
    <row r="240" spans="1:2" ht="15.75" x14ac:dyDescent="0.25">
      <c r="A240" s="344">
        <v>14048</v>
      </c>
      <c r="B240" s="345" t="s">
        <v>2306</v>
      </c>
    </row>
    <row r="241" spans="1:2" ht="15.75" x14ac:dyDescent="0.25">
      <c r="A241" s="344">
        <v>14049</v>
      </c>
      <c r="B241" s="345" t="s">
        <v>2307</v>
      </c>
    </row>
    <row r="242" spans="1:2" ht="15.75" x14ac:dyDescent="0.25">
      <c r="A242" s="344">
        <v>14050</v>
      </c>
      <c r="B242" s="345" t="s">
        <v>2308</v>
      </c>
    </row>
    <row r="243" spans="1:2" ht="15.75" x14ac:dyDescent="0.25">
      <c r="A243" s="344">
        <v>14051</v>
      </c>
      <c r="B243" s="345" t="s">
        <v>2309</v>
      </c>
    </row>
    <row r="244" spans="1:2" ht="15.75" x14ac:dyDescent="0.25">
      <c r="A244" s="344">
        <v>14052</v>
      </c>
      <c r="B244" s="345" t="s">
        <v>2310</v>
      </c>
    </row>
    <row r="245" spans="1:2" ht="15.75" x14ac:dyDescent="0.25">
      <c r="A245" s="344">
        <v>14053</v>
      </c>
      <c r="B245" s="345" t="s">
        <v>2311</v>
      </c>
    </row>
    <row r="246" spans="1:2" ht="15.75" x14ac:dyDescent="0.25">
      <c r="A246" s="344">
        <v>14054</v>
      </c>
      <c r="B246" s="345" t="s">
        <v>2312</v>
      </c>
    </row>
    <row r="247" spans="1:2" ht="15.75" x14ac:dyDescent="0.25">
      <c r="A247" s="344">
        <v>14060</v>
      </c>
      <c r="B247" s="345" t="s">
        <v>2313</v>
      </c>
    </row>
    <row r="248" spans="1:2" ht="15.75" x14ac:dyDescent="0.25">
      <c r="A248" s="344">
        <v>14065</v>
      </c>
      <c r="B248" s="345" t="s">
        <v>2314</v>
      </c>
    </row>
    <row r="249" spans="1:2" ht="15.75" x14ac:dyDescent="0.25">
      <c r="A249" s="344">
        <v>14066</v>
      </c>
      <c r="B249" s="345" t="s">
        <v>2315</v>
      </c>
    </row>
    <row r="250" spans="1:2" ht="15.75" x14ac:dyDescent="0.25">
      <c r="A250" s="344">
        <v>14067</v>
      </c>
      <c r="B250" s="345" t="s">
        <v>2316</v>
      </c>
    </row>
    <row r="251" spans="1:2" ht="15.75" x14ac:dyDescent="0.25">
      <c r="A251" s="344">
        <v>14070</v>
      </c>
      <c r="B251" s="345" t="s">
        <v>2317</v>
      </c>
    </row>
    <row r="252" spans="1:2" ht="15.75" x14ac:dyDescent="0.25">
      <c r="A252" s="344">
        <v>14071</v>
      </c>
      <c r="B252" s="345" t="s">
        <v>2318</v>
      </c>
    </row>
    <row r="253" spans="1:2" ht="15.75" x14ac:dyDescent="0.25">
      <c r="A253" s="344">
        <v>14073</v>
      </c>
      <c r="B253" s="345" t="s">
        <v>2319</v>
      </c>
    </row>
    <row r="254" spans="1:2" ht="15.75" x14ac:dyDescent="0.25">
      <c r="A254" s="344">
        <v>14074</v>
      </c>
      <c r="B254" s="345" t="s">
        <v>2320</v>
      </c>
    </row>
    <row r="255" spans="1:2" ht="15.75" x14ac:dyDescent="0.25">
      <c r="A255" s="344">
        <v>14075</v>
      </c>
      <c r="B255" s="345" t="s">
        <v>2321</v>
      </c>
    </row>
    <row r="256" spans="1:2" ht="15.75" x14ac:dyDescent="0.25">
      <c r="A256" s="344">
        <v>14076</v>
      </c>
      <c r="B256" s="345" t="s">
        <v>2322</v>
      </c>
    </row>
    <row r="257" spans="1:2" ht="15.75" x14ac:dyDescent="0.25">
      <c r="A257" s="344">
        <v>14077</v>
      </c>
      <c r="B257" s="345" t="s">
        <v>2323</v>
      </c>
    </row>
    <row r="258" spans="1:2" ht="15.75" x14ac:dyDescent="0.25">
      <c r="A258" s="344">
        <v>14078</v>
      </c>
      <c r="B258" s="345" t="s">
        <v>2324</v>
      </c>
    </row>
    <row r="259" spans="1:2" ht="15.75" x14ac:dyDescent="0.25">
      <c r="A259" s="344">
        <v>14079</v>
      </c>
      <c r="B259" s="345" t="s">
        <v>2325</v>
      </c>
    </row>
    <row r="260" spans="1:2" ht="15.75" x14ac:dyDescent="0.25">
      <c r="A260" s="344">
        <v>14080</v>
      </c>
      <c r="B260" s="345" t="s">
        <v>2326</v>
      </c>
    </row>
    <row r="261" spans="1:2" ht="15.75" x14ac:dyDescent="0.25">
      <c r="A261" s="344">
        <v>14081</v>
      </c>
      <c r="B261" s="345" t="s">
        <v>2327</v>
      </c>
    </row>
    <row r="262" spans="1:2" ht="15.75" x14ac:dyDescent="0.25">
      <c r="A262" s="344">
        <v>14082</v>
      </c>
      <c r="B262" s="345" t="s">
        <v>2328</v>
      </c>
    </row>
    <row r="263" spans="1:2" ht="15.75" x14ac:dyDescent="0.25">
      <c r="A263" s="344">
        <v>14083</v>
      </c>
      <c r="B263" s="345" t="s">
        <v>2329</v>
      </c>
    </row>
    <row r="264" spans="1:2" ht="15.75" x14ac:dyDescent="0.25">
      <c r="A264" s="344">
        <v>14084</v>
      </c>
      <c r="B264" s="345" t="s">
        <v>2330</v>
      </c>
    </row>
    <row r="265" spans="1:2" ht="15.75" x14ac:dyDescent="0.25">
      <c r="A265" s="344">
        <v>14085</v>
      </c>
      <c r="B265" s="345" t="s">
        <v>2331</v>
      </c>
    </row>
    <row r="266" spans="1:2" ht="15.75" x14ac:dyDescent="0.25">
      <c r="A266" s="344">
        <v>14086</v>
      </c>
      <c r="B266" s="345" t="s">
        <v>2332</v>
      </c>
    </row>
    <row r="267" spans="1:2" ht="15.75" x14ac:dyDescent="0.25">
      <c r="A267" s="344">
        <v>14087</v>
      </c>
      <c r="B267" s="345" t="s">
        <v>2333</v>
      </c>
    </row>
    <row r="268" spans="1:2" ht="15.75" x14ac:dyDescent="0.25">
      <c r="A268" s="344">
        <v>14088</v>
      </c>
      <c r="B268" s="345" t="s">
        <v>2334</v>
      </c>
    </row>
    <row r="269" spans="1:2" ht="15.75" x14ac:dyDescent="0.25">
      <c r="A269" s="344">
        <v>14089</v>
      </c>
      <c r="B269" s="345" t="s">
        <v>2335</v>
      </c>
    </row>
    <row r="270" spans="1:2" ht="15.75" x14ac:dyDescent="0.25">
      <c r="A270" s="344">
        <v>14090</v>
      </c>
      <c r="B270" s="345" t="s">
        <v>2336</v>
      </c>
    </row>
    <row r="271" spans="1:2" ht="15.75" x14ac:dyDescent="0.25">
      <c r="A271" s="344">
        <v>14091</v>
      </c>
      <c r="B271" s="345" t="s">
        <v>2337</v>
      </c>
    </row>
    <row r="272" spans="1:2" ht="15.75" x14ac:dyDescent="0.25">
      <c r="A272" s="344">
        <v>14092</v>
      </c>
      <c r="B272" s="345" t="s">
        <v>2338</v>
      </c>
    </row>
    <row r="273" spans="1:2" ht="15.75" x14ac:dyDescent="0.25">
      <c r="A273" s="344">
        <v>14093</v>
      </c>
      <c r="B273" s="345" t="s">
        <v>2339</v>
      </c>
    </row>
    <row r="274" spans="1:2" ht="15.75" x14ac:dyDescent="0.25">
      <c r="A274" s="344">
        <v>14100</v>
      </c>
      <c r="B274" s="345" t="s">
        <v>2340</v>
      </c>
    </row>
    <row r="275" spans="1:2" ht="15.75" x14ac:dyDescent="0.25">
      <c r="A275" s="344">
        <v>14105</v>
      </c>
      <c r="B275" s="345" t="s">
        <v>2340</v>
      </c>
    </row>
    <row r="276" spans="1:2" ht="15.75" x14ac:dyDescent="0.25">
      <c r="A276" s="344">
        <v>14107</v>
      </c>
      <c r="B276" s="345" t="s">
        <v>2341</v>
      </c>
    </row>
    <row r="277" spans="1:2" ht="15.75" x14ac:dyDescent="0.25">
      <c r="A277" s="344">
        <v>14110</v>
      </c>
      <c r="B277" s="345" t="s">
        <v>2342</v>
      </c>
    </row>
    <row r="278" spans="1:2" ht="15.75" x14ac:dyDescent="0.25">
      <c r="A278" s="344">
        <v>14111</v>
      </c>
      <c r="B278" s="345" t="s">
        <v>2343</v>
      </c>
    </row>
    <row r="279" spans="1:2" ht="15.75" x14ac:dyDescent="0.25">
      <c r="A279" s="344">
        <v>14120</v>
      </c>
      <c r="B279" s="345" t="s">
        <v>2344</v>
      </c>
    </row>
    <row r="280" spans="1:2" ht="15.75" x14ac:dyDescent="0.25">
      <c r="A280" s="344">
        <v>14125</v>
      </c>
      <c r="B280" s="345" t="s">
        <v>2344</v>
      </c>
    </row>
    <row r="281" spans="1:2" ht="15.75" x14ac:dyDescent="0.25">
      <c r="A281" s="344">
        <v>14130</v>
      </c>
      <c r="B281" s="345" t="s">
        <v>2345</v>
      </c>
    </row>
    <row r="282" spans="1:2" ht="15.75" x14ac:dyDescent="0.25">
      <c r="A282" s="344">
        <v>14140</v>
      </c>
      <c r="B282" s="345" t="s">
        <v>2346</v>
      </c>
    </row>
    <row r="283" spans="1:2" ht="15.75" x14ac:dyDescent="0.25">
      <c r="A283" s="344">
        <v>14145</v>
      </c>
      <c r="B283" s="345" t="s">
        <v>2346</v>
      </c>
    </row>
    <row r="284" spans="1:2" ht="15.75" x14ac:dyDescent="0.25">
      <c r="A284" s="344">
        <v>14150</v>
      </c>
      <c r="B284" s="345" t="s">
        <v>2347</v>
      </c>
    </row>
    <row r="285" spans="1:2" ht="15.75" x14ac:dyDescent="0.25">
      <c r="A285" s="344">
        <v>14160</v>
      </c>
      <c r="B285" s="345" t="s">
        <v>2348</v>
      </c>
    </row>
    <row r="286" spans="1:2" ht="15.75" x14ac:dyDescent="0.25">
      <c r="A286" s="344">
        <v>14165</v>
      </c>
      <c r="B286" s="345" t="s">
        <v>2348</v>
      </c>
    </row>
    <row r="287" spans="1:2" ht="15.75" x14ac:dyDescent="0.25">
      <c r="A287" s="344">
        <v>14170</v>
      </c>
      <c r="B287" s="345" t="s">
        <v>2349</v>
      </c>
    </row>
    <row r="288" spans="1:2" ht="15.75" x14ac:dyDescent="0.25">
      <c r="A288" s="344">
        <v>14180</v>
      </c>
      <c r="B288" s="345" t="s">
        <v>2350</v>
      </c>
    </row>
    <row r="289" spans="1:2" ht="15.75" x14ac:dyDescent="0.25">
      <c r="A289" s="344">
        <v>14185</v>
      </c>
      <c r="B289" s="345" t="s">
        <v>2350</v>
      </c>
    </row>
    <row r="290" spans="1:2" ht="15.75" x14ac:dyDescent="0.25">
      <c r="A290" s="344">
        <v>14190</v>
      </c>
      <c r="B290" s="345" t="s">
        <v>2351</v>
      </c>
    </row>
    <row r="291" spans="1:2" ht="15.75" x14ac:dyDescent="0.25">
      <c r="A291" s="344">
        <v>14200</v>
      </c>
      <c r="B291" s="345" t="s">
        <v>2352</v>
      </c>
    </row>
    <row r="292" spans="1:2" ht="15.75" x14ac:dyDescent="0.25">
      <c r="A292" s="344">
        <v>14205</v>
      </c>
      <c r="B292" s="345" t="s">
        <v>2352</v>
      </c>
    </row>
    <row r="293" spans="1:2" ht="15.75" x14ac:dyDescent="0.25">
      <c r="A293" s="344">
        <v>14210</v>
      </c>
      <c r="B293" s="345" t="s">
        <v>2353</v>
      </c>
    </row>
    <row r="294" spans="1:2" ht="15.75" x14ac:dyDescent="0.25">
      <c r="A294" s="344">
        <v>14250</v>
      </c>
      <c r="B294" s="345" t="s">
        <v>2354</v>
      </c>
    </row>
    <row r="295" spans="1:2" ht="15.75" x14ac:dyDescent="0.25">
      <c r="A295" s="344">
        <v>14260</v>
      </c>
      <c r="B295" s="345" t="s">
        <v>2354</v>
      </c>
    </row>
    <row r="296" spans="1:2" ht="15.75" x14ac:dyDescent="0.25">
      <c r="A296" s="344">
        <v>14261</v>
      </c>
      <c r="B296" s="345" t="s">
        <v>2355</v>
      </c>
    </row>
    <row r="297" spans="1:2" ht="15.75" x14ac:dyDescent="0.25">
      <c r="A297" s="344">
        <v>14265</v>
      </c>
      <c r="B297" s="345" t="s">
        <v>2356</v>
      </c>
    </row>
    <row r="298" spans="1:2" ht="15.75" x14ac:dyDescent="0.25">
      <c r="A298" s="344">
        <v>14266</v>
      </c>
      <c r="B298" s="345" t="s">
        <v>2357</v>
      </c>
    </row>
    <row r="299" spans="1:2" ht="15.75" x14ac:dyDescent="0.25">
      <c r="A299" s="344">
        <v>14270</v>
      </c>
      <c r="B299" s="345" t="s">
        <v>2358</v>
      </c>
    </row>
    <row r="300" spans="1:2" ht="15.75" x14ac:dyDescent="0.25">
      <c r="A300" s="344">
        <v>14271</v>
      </c>
      <c r="B300" s="345" t="s">
        <v>2359</v>
      </c>
    </row>
    <row r="301" spans="1:2" ht="15.75" x14ac:dyDescent="0.25">
      <c r="A301" s="344">
        <v>14280</v>
      </c>
      <c r="B301" s="345" t="s">
        <v>2360</v>
      </c>
    </row>
    <row r="302" spans="1:2" ht="15.75" x14ac:dyDescent="0.25">
      <c r="A302" s="344">
        <v>14281</v>
      </c>
      <c r="B302" s="345" t="s">
        <v>2361</v>
      </c>
    </row>
    <row r="303" spans="1:2" ht="15.75" x14ac:dyDescent="0.25">
      <c r="A303" s="344">
        <v>14290</v>
      </c>
      <c r="B303" s="345" t="s">
        <v>2362</v>
      </c>
    </row>
    <row r="304" spans="1:2" ht="15.75" x14ac:dyDescent="0.25">
      <c r="A304" s="344">
        <v>14291</v>
      </c>
      <c r="B304" s="345" t="s">
        <v>2363</v>
      </c>
    </row>
    <row r="305" spans="1:2" ht="15.75" x14ac:dyDescent="0.25">
      <c r="A305" s="344">
        <v>14295</v>
      </c>
      <c r="B305" s="345" t="s">
        <v>2364</v>
      </c>
    </row>
    <row r="306" spans="1:2" ht="15.75" x14ac:dyDescent="0.25">
      <c r="A306" s="344">
        <v>14296</v>
      </c>
      <c r="B306" s="345" t="s">
        <v>2365</v>
      </c>
    </row>
    <row r="307" spans="1:2" ht="15.75" x14ac:dyDescent="0.25">
      <c r="A307" s="344">
        <v>14300</v>
      </c>
      <c r="B307" s="345" t="s">
        <v>2366</v>
      </c>
    </row>
    <row r="308" spans="1:2" ht="15.75" x14ac:dyDescent="0.25">
      <c r="A308" s="344">
        <v>14301</v>
      </c>
      <c r="B308" s="345" t="s">
        <v>2367</v>
      </c>
    </row>
    <row r="309" spans="1:2" ht="15.75" x14ac:dyDescent="0.25">
      <c r="A309" s="344">
        <v>14310</v>
      </c>
      <c r="B309" s="345" t="s">
        <v>2368</v>
      </c>
    </row>
    <row r="310" spans="1:2" ht="15.75" x14ac:dyDescent="0.25">
      <c r="A310" s="344">
        <v>14311</v>
      </c>
      <c r="B310" s="345" t="s">
        <v>2369</v>
      </c>
    </row>
    <row r="311" spans="1:2" ht="15.75" x14ac:dyDescent="0.25">
      <c r="A311" s="344">
        <v>14320</v>
      </c>
      <c r="B311" s="345" t="s">
        <v>2370</v>
      </c>
    </row>
    <row r="312" spans="1:2" ht="15.75" x14ac:dyDescent="0.25">
      <c r="A312" s="344">
        <v>14321</v>
      </c>
      <c r="B312" s="345" t="s">
        <v>2371</v>
      </c>
    </row>
    <row r="313" spans="1:2" ht="15.75" x14ac:dyDescent="0.25">
      <c r="A313" s="344">
        <v>14330</v>
      </c>
      <c r="B313" s="345" t="s">
        <v>2372</v>
      </c>
    </row>
    <row r="314" spans="1:2" ht="15.75" x14ac:dyDescent="0.25">
      <c r="A314" s="344">
        <v>14331</v>
      </c>
      <c r="B314" s="345" t="s">
        <v>2373</v>
      </c>
    </row>
    <row r="315" spans="1:2" ht="15.75" x14ac:dyDescent="0.25">
      <c r="A315" s="344">
        <v>14340</v>
      </c>
      <c r="B315" s="345" t="s">
        <v>2374</v>
      </c>
    </row>
    <row r="316" spans="1:2" ht="15.75" x14ac:dyDescent="0.25">
      <c r="A316" s="344">
        <v>14341</v>
      </c>
      <c r="B316" s="345" t="s">
        <v>2375</v>
      </c>
    </row>
    <row r="317" spans="1:2" ht="15.75" x14ac:dyDescent="0.25">
      <c r="A317" s="344">
        <v>14350</v>
      </c>
      <c r="B317" s="345" t="s">
        <v>2376</v>
      </c>
    </row>
    <row r="318" spans="1:2" ht="15.75" x14ac:dyDescent="0.25">
      <c r="A318" s="344">
        <v>14351</v>
      </c>
      <c r="B318" s="345" t="s">
        <v>2377</v>
      </c>
    </row>
    <row r="319" spans="1:2" ht="15.75" x14ac:dyDescent="0.25">
      <c r="A319" s="344">
        <v>14352</v>
      </c>
      <c r="B319" s="345" t="s">
        <v>2378</v>
      </c>
    </row>
    <row r="320" spans="1:2" ht="15.75" x14ac:dyDescent="0.25">
      <c r="A320" s="344">
        <v>14360</v>
      </c>
      <c r="B320" s="345" t="s">
        <v>2379</v>
      </c>
    </row>
    <row r="321" spans="1:2" ht="15.75" x14ac:dyDescent="0.25">
      <c r="A321" s="344">
        <v>14361</v>
      </c>
      <c r="B321" s="345" t="s">
        <v>2380</v>
      </c>
    </row>
    <row r="322" spans="1:2" ht="15.75" x14ac:dyDescent="0.25">
      <c r="A322" s="344">
        <v>14365</v>
      </c>
      <c r="B322" s="345" t="s">
        <v>2381</v>
      </c>
    </row>
    <row r="323" spans="1:2" ht="15.75" x14ac:dyDescent="0.25">
      <c r="A323" s="344">
        <v>14400</v>
      </c>
      <c r="B323" s="345" t="s">
        <v>2382</v>
      </c>
    </row>
    <row r="324" spans="1:2" ht="15.75" x14ac:dyDescent="0.25">
      <c r="A324" s="344">
        <v>14410</v>
      </c>
      <c r="B324" s="345" t="s">
        <v>2382</v>
      </c>
    </row>
    <row r="325" spans="1:2" ht="15.75" x14ac:dyDescent="0.25">
      <c r="A325" s="344">
        <v>14600</v>
      </c>
      <c r="B325" s="345" t="s">
        <v>2383</v>
      </c>
    </row>
    <row r="326" spans="1:2" ht="15.75" x14ac:dyDescent="0.25">
      <c r="A326" s="344">
        <v>14610</v>
      </c>
      <c r="B326" s="345" t="s">
        <v>2358</v>
      </c>
    </row>
    <row r="327" spans="1:2" ht="15.75" x14ac:dyDescent="0.25">
      <c r="A327" s="344">
        <v>14615</v>
      </c>
      <c r="B327" s="345" t="s">
        <v>2384</v>
      </c>
    </row>
    <row r="328" spans="1:2" ht="15.75" x14ac:dyDescent="0.25">
      <c r="A328" s="344">
        <v>14620</v>
      </c>
      <c r="B328" s="345" t="s">
        <v>2360</v>
      </c>
    </row>
    <row r="329" spans="1:2" ht="15.75" x14ac:dyDescent="0.25">
      <c r="A329" s="344">
        <v>14621</v>
      </c>
      <c r="B329" s="345" t="s">
        <v>2385</v>
      </c>
    </row>
    <row r="330" spans="1:2" ht="15.75" x14ac:dyDescent="0.25">
      <c r="A330" s="344">
        <v>14622</v>
      </c>
      <c r="B330" s="345" t="s">
        <v>2386</v>
      </c>
    </row>
    <row r="331" spans="1:2" ht="15.75" x14ac:dyDescent="0.25">
      <c r="A331" s="344">
        <v>14623</v>
      </c>
      <c r="B331" s="345" t="s">
        <v>2387</v>
      </c>
    </row>
    <row r="332" spans="1:2" ht="15.75" x14ac:dyDescent="0.25">
      <c r="A332" s="344">
        <v>14624</v>
      </c>
      <c r="B332" s="345" t="s">
        <v>2388</v>
      </c>
    </row>
    <row r="333" spans="1:2" ht="15.75" x14ac:dyDescent="0.25">
      <c r="A333" s="344">
        <v>14625</v>
      </c>
      <c r="B333" s="345" t="s">
        <v>2389</v>
      </c>
    </row>
    <row r="334" spans="1:2" ht="15.75" x14ac:dyDescent="0.25">
      <c r="A334" s="344">
        <v>14626</v>
      </c>
      <c r="B334" s="345" t="s">
        <v>2390</v>
      </c>
    </row>
    <row r="335" spans="1:2" ht="15.75" x14ac:dyDescent="0.25">
      <c r="A335" s="344">
        <v>14627</v>
      </c>
      <c r="B335" s="345" t="s">
        <v>2391</v>
      </c>
    </row>
    <row r="336" spans="1:2" ht="15.75" x14ac:dyDescent="0.25">
      <c r="A336" s="344">
        <v>14628</v>
      </c>
      <c r="B336" s="345" t="s">
        <v>2392</v>
      </c>
    </row>
    <row r="337" spans="1:2" ht="15.75" x14ac:dyDescent="0.25">
      <c r="A337" s="344">
        <v>14629</v>
      </c>
      <c r="B337" s="345" t="s">
        <v>2393</v>
      </c>
    </row>
    <row r="338" spans="1:2" ht="15.75" x14ac:dyDescent="0.25">
      <c r="A338" s="344">
        <v>14630</v>
      </c>
      <c r="B338" s="345" t="s">
        <v>2394</v>
      </c>
    </row>
    <row r="339" spans="1:2" ht="15.75" x14ac:dyDescent="0.25">
      <c r="A339" s="344">
        <v>14640</v>
      </c>
      <c r="B339" s="345" t="s">
        <v>2395</v>
      </c>
    </row>
    <row r="340" spans="1:2" ht="15.75" x14ac:dyDescent="0.25">
      <c r="A340" s="344">
        <v>14641</v>
      </c>
      <c r="B340" s="345" t="s">
        <v>2396</v>
      </c>
    </row>
    <row r="341" spans="1:2" ht="15.75" x14ac:dyDescent="0.25">
      <c r="A341" s="344">
        <v>14642</v>
      </c>
      <c r="B341" s="345" t="s">
        <v>2397</v>
      </c>
    </row>
    <row r="342" spans="1:2" ht="15.75" x14ac:dyDescent="0.25">
      <c r="A342" s="344">
        <v>14644</v>
      </c>
      <c r="B342" s="345" t="s">
        <v>2398</v>
      </c>
    </row>
    <row r="343" spans="1:2" ht="15.75" x14ac:dyDescent="0.25">
      <c r="A343" s="344">
        <v>14645</v>
      </c>
      <c r="B343" s="345" t="s">
        <v>2399</v>
      </c>
    </row>
    <row r="344" spans="1:2" ht="15.75" x14ac:dyDescent="0.25">
      <c r="A344" s="344">
        <v>14646</v>
      </c>
      <c r="B344" s="345" t="s">
        <v>2400</v>
      </c>
    </row>
    <row r="345" spans="1:2" ht="15.75" x14ac:dyDescent="0.25">
      <c r="A345" s="344">
        <v>14650</v>
      </c>
      <c r="B345" s="345" t="s">
        <v>2401</v>
      </c>
    </row>
    <row r="346" spans="1:2" ht="15.75" x14ac:dyDescent="0.25">
      <c r="A346" s="344">
        <v>14660</v>
      </c>
      <c r="B346" s="345" t="s">
        <v>2402</v>
      </c>
    </row>
    <row r="347" spans="1:2" ht="15.75" x14ac:dyDescent="0.25">
      <c r="A347" s="344">
        <v>14661</v>
      </c>
      <c r="B347" s="345" t="s">
        <v>2403</v>
      </c>
    </row>
    <row r="348" spans="1:2" ht="15.75" x14ac:dyDescent="0.25">
      <c r="A348" s="344">
        <v>14662</v>
      </c>
      <c r="B348" s="345" t="s">
        <v>2404</v>
      </c>
    </row>
    <row r="349" spans="1:2" ht="15.75" x14ac:dyDescent="0.25">
      <c r="A349" s="344">
        <v>14663</v>
      </c>
      <c r="B349" s="345" t="s">
        <v>2405</v>
      </c>
    </row>
    <row r="350" spans="1:2" ht="15.75" x14ac:dyDescent="0.25">
      <c r="A350" s="344">
        <v>14664</v>
      </c>
      <c r="B350" s="345" t="s">
        <v>2406</v>
      </c>
    </row>
    <row r="351" spans="1:2" ht="15.75" x14ac:dyDescent="0.25">
      <c r="A351" s="344">
        <v>14665</v>
      </c>
      <c r="B351" s="345" t="s">
        <v>2366</v>
      </c>
    </row>
    <row r="352" spans="1:2" ht="15.75" x14ac:dyDescent="0.25">
      <c r="A352" s="344">
        <v>14670</v>
      </c>
      <c r="B352" s="345" t="s">
        <v>2407</v>
      </c>
    </row>
    <row r="353" spans="1:2" ht="15.75" x14ac:dyDescent="0.25">
      <c r="A353" s="344">
        <v>14675</v>
      </c>
      <c r="B353" s="345" t="s">
        <v>2408</v>
      </c>
    </row>
    <row r="354" spans="1:2" ht="15.75" x14ac:dyDescent="0.25">
      <c r="A354" s="344">
        <v>14676</v>
      </c>
      <c r="B354" s="345" t="s">
        <v>2409</v>
      </c>
    </row>
    <row r="355" spans="1:2" ht="15.75" x14ac:dyDescent="0.25">
      <c r="A355" s="344">
        <v>14680</v>
      </c>
      <c r="B355" s="345" t="s">
        <v>2410</v>
      </c>
    </row>
    <row r="356" spans="1:2" ht="15.75" x14ac:dyDescent="0.25">
      <c r="A356" s="344">
        <v>14690</v>
      </c>
      <c r="B356" s="345" t="s">
        <v>2411</v>
      </c>
    </row>
    <row r="357" spans="1:2" ht="15.75" x14ac:dyDescent="0.25">
      <c r="A357" s="344">
        <v>14700</v>
      </c>
      <c r="B357" s="345" t="s">
        <v>2412</v>
      </c>
    </row>
    <row r="358" spans="1:2" ht="15.75" x14ac:dyDescent="0.25">
      <c r="A358" s="344">
        <v>14710</v>
      </c>
      <c r="B358" s="345" t="s">
        <v>2413</v>
      </c>
    </row>
    <row r="359" spans="1:2" ht="15.75" x14ac:dyDescent="0.25">
      <c r="A359" s="344">
        <v>14720</v>
      </c>
      <c r="B359" s="345" t="s">
        <v>2414</v>
      </c>
    </row>
    <row r="360" spans="1:2" ht="15.75" x14ac:dyDescent="0.25">
      <c r="A360" s="344">
        <v>14730</v>
      </c>
      <c r="B360" s="345" t="s">
        <v>2415</v>
      </c>
    </row>
    <row r="361" spans="1:2" ht="15.75" x14ac:dyDescent="0.25">
      <c r="A361" s="344">
        <v>14740</v>
      </c>
      <c r="B361" s="345" t="s">
        <v>2416</v>
      </c>
    </row>
    <row r="362" spans="1:2" ht="15.75" x14ac:dyDescent="0.25">
      <c r="A362" s="344">
        <v>14750</v>
      </c>
      <c r="B362" s="345" t="s">
        <v>2417</v>
      </c>
    </row>
    <row r="363" spans="1:2" ht="15.75" x14ac:dyDescent="0.25">
      <c r="A363" s="344">
        <v>14760</v>
      </c>
      <c r="B363" s="345" t="s">
        <v>2418</v>
      </c>
    </row>
    <row r="364" spans="1:2" ht="15.75" x14ac:dyDescent="0.25">
      <c r="A364" s="344">
        <v>14770</v>
      </c>
      <c r="B364" s="345" t="s">
        <v>2419</v>
      </c>
    </row>
    <row r="365" spans="1:2" ht="15.75" x14ac:dyDescent="0.25">
      <c r="A365" s="344">
        <v>14774</v>
      </c>
      <c r="B365" s="345" t="s">
        <v>2420</v>
      </c>
    </row>
    <row r="366" spans="1:2" ht="15.75" x14ac:dyDescent="0.25">
      <c r="A366" s="344">
        <v>14775</v>
      </c>
      <c r="B366" s="345" t="s">
        <v>2421</v>
      </c>
    </row>
    <row r="367" spans="1:2" ht="15.75" x14ac:dyDescent="0.25">
      <c r="A367" s="344">
        <v>14780</v>
      </c>
      <c r="B367" s="345" t="s">
        <v>2370</v>
      </c>
    </row>
    <row r="368" spans="1:2" ht="15.75" x14ac:dyDescent="0.25">
      <c r="A368" s="344">
        <v>14781</v>
      </c>
      <c r="B368" s="345" t="s">
        <v>2422</v>
      </c>
    </row>
    <row r="369" spans="1:2" ht="15.75" x14ac:dyDescent="0.25">
      <c r="A369" s="344">
        <v>14790</v>
      </c>
      <c r="B369" s="345" t="s">
        <v>2423</v>
      </c>
    </row>
    <row r="370" spans="1:2" ht="15.75" x14ac:dyDescent="0.25">
      <c r="A370" s="344">
        <v>14800</v>
      </c>
      <c r="B370" s="345" t="s">
        <v>2424</v>
      </c>
    </row>
    <row r="371" spans="1:2" ht="15.75" x14ac:dyDescent="0.25">
      <c r="A371" s="344">
        <v>14810</v>
      </c>
      <c r="B371" s="345" t="s">
        <v>2425</v>
      </c>
    </row>
    <row r="372" spans="1:2" ht="15.75" x14ac:dyDescent="0.25">
      <c r="A372" s="344">
        <v>14820</v>
      </c>
      <c r="B372" s="345" t="s">
        <v>2426</v>
      </c>
    </row>
    <row r="373" spans="1:2" ht="15.75" x14ac:dyDescent="0.25">
      <c r="A373" s="344">
        <v>14830</v>
      </c>
      <c r="B373" s="345" t="s">
        <v>2427</v>
      </c>
    </row>
    <row r="374" spans="1:2" ht="15.75" x14ac:dyDescent="0.25">
      <c r="A374" s="344">
        <v>14840</v>
      </c>
      <c r="B374" s="345" t="s">
        <v>2428</v>
      </c>
    </row>
    <row r="375" spans="1:2" ht="15.75" x14ac:dyDescent="0.25">
      <c r="A375" s="344">
        <v>14850</v>
      </c>
      <c r="B375" s="345" t="s">
        <v>2429</v>
      </c>
    </row>
    <row r="376" spans="1:2" ht="15.75" x14ac:dyDescent="0.25">
      <c r="A376" s="344">
        <v>14860</v>
      </c>
      <c r="B376" s="345" t="s">
        <v>2430</v>
      </c>
    </row>
    <row r="377" spans="1:2" ht="15.75" x14ac:dyDescent="0.25">
      <c r="A377" s="344">
        <v>14870</v>
      </c>
      <c r="B377" s="345" t="s">
        <v>2431</v>
      </c>
    </row>
    <row r="378" spans="1:2" ht="15.75" x14ac:dyDescent="0.25">
      <c r="A378" s="344">
        <v>14875</v>
      </c>
      <c r="B378" s="345" t="s">
        <v>2432</v>
      </c>
    </row>
    <row r="379" spans="1:2" ht="15.75" x14ac:dyDescent="0.25">
      <c r="A379" s="344">
        <v>14880</v>
      </c>
      <c r="B379" s="345" t="s">
        <v>2433</v>
      </c>
    </row>
    <row r="380" spans="1:2" ht="15.75" x14ac:dyDescent="0.25">
      <c r="A380" s="344">
        <v>14890</v>
      </c>
      <c r="B380" s="345" t="s">
        <v>2434</v>
      </c>
    </row>
    <row r="381" spans="1:2" ht="15.75" x14ac:dyDescent="0.25">
      <c r="A381" s="344">
        <v>14892</v>
      </c>
      <c r="B381" s="345" t="s">
        <v>2435</v>
      </c>
    </row>
    <row r="382" spans="1:2" ht="15.75" x14ac:dyDescent="0.25">
      <c r="A382" s="344">
        <v>14895</v>
      </c>
      <c r="B382" s="345" t="s">
        <v>2436</v>
      </c>
    </row>
    <row r="383" spans="1:2" ht="15.75" x14ac:dyDescent="0.25">
      <c r="A383" s="344">
        <v>14896</v>
      </c>
      <c r="B383" s="345" t="s">
        <v>2437</v>
      </c>
    </row>
    <row r="384" spans="1:2" ht="15.75" x14ac:dyDescent="0.25">
      <c r="A384" s="344">
        <v>14900</v>
      </c>
      <c r="B384" s="345" t="s">
        <v>2438</v>
      </c>
    </row>
    <row r="385" spans="1:2" ht="15.75" x14ac:dyDescent="0.25">
      <c r="A385" s="344">
        <v>14901</v>
      </c>
      <c r="B385" s="345" t="s">
        <v>2439</v>
      </c>
    </row>
    <row r="386" spans="1:2" ht="15.75" x14ac:dyDescent="0.25">
      <c r="A386" s="344">
        <v>14902</v>
      </c>
      <c r="B386" s="345" t="s">
        <v>2440</v>
      </c>
    </row>
    <row r="387" spans="1:2" ht="15.75" x14ac:dyDescent="0.25">
      <c r="A387" s="344">
        <v>14910</v>
      </c>
      <c r="B387" s="345" t="s">
        <v>2374</v>
      </c>
    </row>
    <row r="388" spans="1:2" ht="15.75" x14ac:dyDescent="0.25">
      <c r="A388" s="344">
        <v>14911</v>
      </c>
      <c r="B388" s="345" t="s">
        <v>2441</v>
      </c>
    </row>
    <row r="389" spans="1:2" ht="15.75" x14ac:dyDescent="0.25">
      <c r="A389" s="344">
        <v>14912</v>
      </c>
      <c r="B389" s="345" t="s">
        <v>2442</v>
      </c>
    </row>
    <row r="390" spans="1:2" ht="15.75" x14ac:dyDescent="0.25">
      <c r="A390" s="344">
        <v>14913</v>
      </c>
      <c r="B390" s="345" t="s">
        <v>2443</v>
      </c>
    </row>
    <row r="391" spans="1:2" ht="15.75" x14ac:dyDescent="0.25">
      <c r="A391" s="344">
        <v>14916</v>
      </c>
      <c r="B391" s="345" t="s">
        <v>2444</v>
      </c>
    </row>
    <row r="392" spans="1:2" ht="15.75" x14ac:dyDescent="0.25">
      <c r="A392" s="344">
        <v>14920</v>
      </c>
      <c r="B392" s="345" t="s">
        <v>2445</v>
      </c>
    </row>
    <row r="393" spans="1:2" ht="15.75" x14ac:dyDescent="0.25">
      <c r="A393" s="344">
        <v>14925</v>
      </c>
      <c r="B393" s="345" t="s">
        <v>2446</v>
      </c>
    </row>
    <row r="394" spans="1:2" ht="15.75" x14ac:dyDescent="0.25">
      <c r="A394" s="344">
        <v>14930</v>
      </c>
      <c r="B394" s="345" t="s">
        <v>2447</v>
      </c>
    </row>
    <row r="395" spans="1:2" ht="15.75" x14ac:dyDescent="0.25">
      <c r="A395" s="344">
        <v>14931</v>
      </c>
      <c r="B395" s="345" t="s">
        <v>2448</v>
      </c>
    </row>
    <row r="396" spans="1:2" ht="15.75" x14ac:dyDescent="0.25">
      <c r="A396" s="344">
        <v>14932</v>
      </c>
      <c r="B396" s="345" t="s">
        <v>2449</v>
      </c>
    </row>
    <row r="397" spans="1:2" ht="15.75" x14ac:dyDescent="0.25">
      <c r="A397" s="344">
        <v>14950</v>
      </c>
      <c r="B397" s="345" t="s">
        <v>2450</v>
      </c>
    </row>
    <row r="398" spans="1:2" ht="15.75" x14ac:dyDescent="0.25">
      <c r="A398" s="344">
        <v>14955</v>
      </c>
      <c r="B398" s="345" t="s">
        <v>2451</v>
      </c>
    </row>
    <row r="399" spans="1:2" ht="15.75" x14ac:dyDescent="0.25">
      <c r="A399" s="344">
        <v>14960</v>
      </c>
      <c r="B399" s="345" t="s">
        <v>2452</v>
      </c>
    </row>
    <row r="400" spans="1:2" ht="15.75" x14ac:dyDescent="0.25">
      <c r="A400" s="344">
        <v>14965</v>
      </c>
      <c r="B400" s="345" t="s">
        <v>2453</v>
      </c>
    </row>
    <row r="401" spans="1:2" ht="15.75" x14ac:dyDescent="0.25">
      <c r="A401" s="344">
        <v>15000</v>
      </c>
      <c r="B401" s="345" t="s">
        <v>2454</v>
      </c>
    </row>
    <row r="402" spans="1:2" ht="15.75" x14ac:dyDescent="0.25">
      <c r="A402" s="344">
        <v>15001</v>
      </c>
      <c r="B402" s="345" t="s">
        <v>2455</v>
      </c>
    </row>
    <row r="403" spans="1:2" ht="15.75" x14ac:dyDescent="0.25">
      <c r="A403" s="344">
        <v>15002</v>
      </c>
      <c r="B403" s="345" t="s">
        <v>2456</v>
      </c>
    </row>
    <row r="404" spans="1:2" ht="15.75" x14ac:dyDescent="0.25">
      <c r="A404" s="344">
        <v>15010</v>
      </c>
      <c r="B404" s="345" t="s">
        <v>2457</v>
      </c>
    </row>
    <row r="405" spans="1:2" ht="15.75" x14ac:dyDescent="0.25">
      <c r="A405" s="344">
        <v>15011</v>
      </c>
      <c r="B405" s="345" t="s">
        <v>2458</v>
      </c>
    </row>
    <row r="406" spans="1:2" ht="15.75" x14ac:dyDescent="0.25">
      <c r="A406" s="344">
        <v>15012</v>
      </c>
      <c r="B406" s="345" t="s">
        <v>2459</v>
      </c>
    </row>
    <row r="407" spans="1:2" ht="15.75" x14ac:dyDescent="0.25">
      <c r="A407" s="344">
        <v>15013</v>
      </c>
      <c r="B407" s="345" t="s">
        <v>2460</v>
      </c>
    </row>
    <row r="408" spans="1:2" ht="15.75" x14ac:dyDescent="0.25">
      <c r="A408" s="344">
        <v>15014</v>
      </c>
      <c r="B408" s="345" t="s">
        <v>2461</v>
      </c>
    </row>
    <row r="409" spans="1:2" ht="15.75" x14ac:dyDescent="0.25">
      <c r="A409" s="344">
        <v>15015</v>
      </c>
      <c r="B409" s="345" t="s">
        <v>2462</v>
      </c>
    </row>
    <row r="410" spans="1:2" ht="15.75" x14ac:dyDescent="0.25">
      <c r="A410" s="344">
        <v>15016</v>
      </c>
      <c r="B410" s="345" t="s">
        <v>2463</v>
      </c>
    </row>
    <row r="411" spans="1:2" ht="15.75" x14ac:dyDescent="0.25">
      <c r="A411" s="344">
        <v>15017</v>
      </c>
      <c r="B411" s="345" t="s">
        <v>2464</v>
      </c>
    </row>
    <row r="412" spans="1:2" ht="15.75" x14ac:dyDescent="0.25">
      <c r="A412" s="344">
        <v>15018</v>
      </c>
      <c r="B412" s="345" t="s">
        <v>2465</v>
      </c>
    </row>
    <row r="413" spans="1:2" ht="15.75" x14ac:dyDescent="0.25">
      <c r="A413" s="344">
        <v>15019</v>
      </c>
      <c r="B413" s="345" t="s">
        <v>2466</v>
      </c>
    </row>
    <row r="414" spans="1:2" ht="15.75" x14ac:dyDescent="0.25">
      <c r="A414" s="344">
        <v>15020</v>
      </c>
      <c r="B414" s="345" t="s">
        <v>2467</v>
      </c>
    </row>
    <row r="415" spans="1:2" ht="15.75" x14ac:dyDescent="0.25">
      <c r="A415" s="344">
        <v>15021</v>
      </c>
      <c r="B415" s="345" t="s">
        <v>2468</v>
      </c>
    </row>
    <row r="416" spans="1:2" ht="15.75" x14ac:dyDescent="0.25">
      <c r="A416" s="344">
        <v>15022</v>
      </c>
      <c r="B416" s="345" t="s">
        <v>2469</v>
      </c>
    </row>
    <row r="417" spans="1:2" ht="15.75" x14ac:dyDescent="0.25">
      <c r="A417" s="344">
        <v>15023</v>
      </c>
      <c r="B417" s="345" t="s">
        <v>2470</v>
      </c>
    </row>
    <row r="418" spans="1:2" ht="15.75" x14ac:dyDescent="0.25">
      <c r="A418" s="344">
        <v>15024</v>
      </c>
      <c r="B418" s="345" t="s">
        <v>2471</v>
      </c>
    </row>
    <row r="419" spans="1:2" ht="15.75" x14ac:dyDescent="0.25">
      <c r="A419" s="344">
        <v>15025</v>
      </c>
      <c r="B419" s="345" t="s">
        <v>2472</v>
      </c>
    </row>
    <row r="420" spans="1:2" ht="15.75" x14ac:dyDescent="0.25">
      <c r="A420" s="344">
        <v>15026</v>
      </c>
      <c r="B420" s="345" t="s">
        <v>2473</v>
      </c>
    </row>
    <row r="421" spans="1:2" ht="15.75" x14ac:dyDescent="0.25">
      <c r="A421" s="344">
        <v>15027</v>
      </c>
      <c r="B421" s="345" t="s">
        <v>2474</v>
      </c>
    </row>
    <row r="422" spans="1:2" ht="15.75" x14ac:dyDescent="0.25">
      <c r="A422" s="344">
        <v>15030</v>
      </c>
      <c r="B422" s="345" t="s">
        <v>2475</v>
      </c>
    </row>
    <row r="423" spans="1:2" ht="15.75" x14ac:dyDescent="0.25">
      <c r="A423" s="344">
        <v>15035</v>
      </c>
      <c r="B423" s="345" t="s">
        <v>2476</v>
      </c>
    </row>
    <row r="424" spans="1:2" ht="15.75" x14ac:dyDescent="0.25">
      <c r="A424" s="344">
        <v>15040</v>
      </c>
      <c r="B424" s="345" t="s">
        <v>2477</v>
      </c>
    </row>
    <row r="425" spans="1:2" ht="15.75" x14ac:dyDescent="0.25">
      <c r="A425" s="344">
        <v>15041</v>
      </c>
      <c r="B425" s="345" t="s">
        <v>2478</v>
      </c>
    </row>
    <row r="426" spans="1:2" ht="15.75" x14ac:dyDescent="0.25">
      <c r="A426" s="344">
        <v>15042</v>
      </c>
      <c r="B426" s="345" t="s">
        <v>2479</v>
      </c>
    </row>
    <row r="427" spans="1:2" ht="15.75" x14ac:dyDescent="0.25">
      <c r="A427" s="344">
        <v>15043</v>
      </c>
      <c r="B427" s="345" t="s">
        <v>2480</v>
      </c>
    </row>
    <row r="428" spans="1:2" ht="15.75" x14ac:dyDescent="0.25">
      <c r="A428" s="344">
        <v>15044</v>
      </c>
      <c r="B428" s="345" t="s">
        <v>2481</v>
      </c>
    </row>
    <row r="429" spans="1:2" ht="15.75" x14ac:dyDescent="0.25">
      <c r="A429" s="344">
        <v>15045</v>
      </c>
      <c r="B429" s="345" t="s">
        <v>2482</v>
      </c>
    </row>
    <row r="430" spans="1:2" ht="15.75" x14ac:dyDescent="0.25">
      <c r="A430" s="344">
        <v>15046</v>
      </c>
      <c r="B430" s="345" t="s">
        <v>2483</v>
      </c>
    </row>
    <row r="431" spans="1:2" ht="15.75" x14ac:dyDescent="0.25">
      <c r="A431" s="344">
        <v>15050</v>
      </c>
      <c r="B431" s="345" t="s">
        <v>2484</v>
      </c>
    </row>
    <row r="432" spans="1:2" ht="15.75" x14ac:dyDescent="0.25">
      <c r="A432" s="344">
        <v>15055</v>
      </c>
      <c r="B432" s="345" t="s">
        <v>2485</v>
      </c>
    </row>
    <row r="433" spans="1:2" ht="15.75" x14ac:dyDescent="0.25">
      <c r="A433" s="344">
        <v>15060</v>
      </c>
      <c r="B433" s="345" t="s">
        <v>2486</v>
      </c>
    </row>
    <row r="434" spans="1:2" ht="15.75" x14ac:dyDescent="0.25">
      <c r="A434" s="344">
        <v>15061</v>
      </c>
      <c r="B434" s="345" t="s">
        <v>2487</v>
      </c>
    </row>
    <row r="435" spans="1:2" ht="15.75" x14ac:dyDescent="0.25">
      <c r="A435" s="344">
        <v>15065</v>
      </c>
      <c r="B435" s="345" t="s">
        <v>2488</v>
      </c>
    </row>
    <row r="436" spans="1:2" ht="15.75" x14ac:dyDescent="0.25">
      <c r="A436" s="344">
        <v>15070</v>
      </c>
      <c r="B436" s="345" t="s">
        <v>2489</v>
      </c>
    </row>
    <row r="437" spans="1:2" ht="15.75" x14ac:dyDescent="0.25">
      <c r="A437" s="344">
        <v>15075</v>
      </c>
      <c r="B437" s="345" t="s">
        <v>2490</v>
      </c>
    </row>
    <row r="438" spans="1:2" ht="15.75" x14ac:dyDescent="0.25">
      <c r="A438" s="344">
        <v>15080</v>
      </c>
      <c r="B438" s="345" t="s">
        <v>2491</v>
      </c>
    </row>
    <row r="439" spans="1:2" ht="15.75" x14ac:dyDescent="0.25">
      <c r="A439" s="344">
        <v>15081</v>
      </c>
      <c r="B439" s="345" t="s">
        <v>2492</v>
      </c>
    </row>
    <row r="440" spans="1:2" ht="15.75" x14ac:dyDescent="0.25">
      <c r="A440" s="344">
        <v>15082</v>
      </c>
      <c r="B440" s="345" t="s">
        <v>2493</v>
      </c>
    </row>
    <row r="441" spans="1:2" ht="15.75" x14ac:dyDescent="0.25">
      <c r="A441" s="344">
        <v>15085</v>
      </c>
      <c r="B441" s="345" t="s">
        <v>2494</v>
      </c>
    </row>
    <row r="442" spans="1:2" ht="15.75" x14ac:dyDescent="0.25">
      <c r="A442" s="344">
        <v>15090</v>
      </c>
      <c r="B442" s="345" t="s">
        <v>2495</v>
      </c>
    </row>
    <row r="443" spans="1:2" ht="15.75" x14ac:dyDescent="0.25">
      <c r="A443" s="344">
        <v>15095</v>
      </c>
      <c r="B443" s="345" t="s">
        <v>2496</v>
      </c>
    </row>
    <row r="444" spans="1:2" ht="15.75" x14ac:dyDescent="0.25">
      <c r="A444" s="344">
        <v>15096</v>
      </c>
      <c r="B444" s="345" t="s">
        <v>2497</v>
      </c>
    </row>
    <row r="445" spans="1:2" ht="15.75" x14ac:dyDescent="0.25">
      <c r="A445" s="344">
        <v>15097</v>
      </c>
      <c r="B445" s="345" t="s">
        <v>2498</v>
      </c>
    </row>
    <row r="446" spans="1:2" ht="15.75" x14ac:dyDescent="0.25">
      <c r="A446" s="344">
        <v>15100</v>
      </c>
      <c r="B446" s="345" t="s">
        <v>2499</v>
      </c>
    </row>
    <row r="447" spans="1:2" ht="15.75" x14ac:dyDescent="0.25">
      <c r="A447" s="344">
        <v>15105</v>
      </c>
      <c r="B447" s="345" t="s">
        <v>2500</v>
      </c>
    </row>
    <row r="448" spans="1:2" ht="15.75" x14ac:dyDescent="0.25">
      <c r="A448" s="344">
        <v>15110</v>
      </c>
      <c r="B448" s="345" t="s">
        <v>2501</v>
      </c>
    </row>
    <row r="449" spans="1:2" ht="15.75" x14ac:dyDescent="0.25">
      <c r="A449" s="344">
        <v>15115</v>
      </c>
      <c r="B449" s="345" t="s">
        <v>2502</v>
      </c>
    </row>
    <row r="450" spans="1:2" ht="15.75" x14ac:dyDescent="0.25">
      <c r="A450" s="344">
        <v>15120</v>
      </c>
      <c r="B450" s="345" t="s">
        <v>2503</v>
      </c>
    </row>
    <row r="451" spans="1:2" ht="15.75" x14ac:dyDescent="0.25">
      <c r="A451" s="344">
        <v>15125</v>
      </c>
      <c r="B451" s="345" t="s">
        <v>2504</v>
      </c>
    </row>
    <row r="452" spans="1:2" ht="15.75" x14ac:dyDescent="0.25">
      <c r="A452" s="344">
        <v>15130</v>
      </c>
      <c r="B452" s="345" t="s">
        <v>2505</v>
      </c>
    </row>
    <row r="453" spans="1:2" ht="15.75" x14ac:dyDescent="0.25">
      <c r="A453" s="344">
        <v>15135</v>
      </c>
      <c r="B453" s="345" t="s">
        <v>2506</v>
      </c>
    </row>
    <row r="454" spans="1:2" ht="15.75" x14ac:dyDescent="0.25">
      <c r="A454" s="344">
        <v>15140</v>
      </c>
      <c r="B454" s="345" t="s">
        <v>2507</v>
      </c>
    </row>
    <row r="455" spans="1:2" ht="15.75" x14ac:dyDescent="0.25">
      <c r="A455" s="344">
        <v>15145</v>
      </c>
      <c r="B455" s="345" t="s">
        <v>2508</v>
      </c>
    </row>
    <row r="456" spans="1:2" ht="15.75" x14ac:dyDescent="0.25">
      <c r="A456" s="344">
        <v>15150</v>
      </c>
      <c r="B456" s="345" t="s">
        <v>2509</v>
      </c>
    </row>
    <row r="457" spans="1:2" ht="15.75" x14ac:dyDescent="0.25">
      <c r="A457" s="344">
        <v>15151</v>
      </c>
      <c r="B457" s="345" t="s">
        <v>2510</v>
      </c>
    </row>
    <row r="458" spans="1:2" ht="15.75" x14ac:dyDescent="0.25">
      <c r="A458" s="344">
        <v>15152</v>
      </c>
      <c r="B458" s="345" t="s">
        <v>2511</v>
      </c>
    </row>
    <row r="459" spans="1:2" ht="15.75" x14ac:dyDescent="0.25">
      <c r="A459" s="344">
        <v>15153</v>
      </c>
      <c r="B459" s="345" t="s">
        <v>2512</v>
      </c>
    </row>
    <row r="460" spans="1:2" ht="15.75" x14ac:dyDescent="0.25">
      <c r="A460" s="344">
        <v>15154</v>
      </c>
      <c r="B460" s="345" t="s">
        <v>2513</v>
      </c>
    </row>
    <row r="461" spans="1:2" ht="15.75" x14ac:dyDescent="0.25">
      <c r="A461" s="344">
        <v>15155</v>
      </c>
      <c r="B461" s="345" t="s">
        <v>2514</v>
      </c>
    </row>
    <row r="462" spans="1:2" ht="15.75" x14ac:dyDescent="0.25">
      <c r="A462" s="344">
        <v>15156</v>
      </c>
      <c r="B462" s="345" t="s">
        <v>2515</v>
      </c>
    </row>
    <row r="463" spans="1:2" ht="15.75" x14ac:dyDescent="0.25">
      <c r="A463" s="344">
        <v>15157</v>
      </c>
      <c r="B463" s="345" t="s">
        <v>2516</v>
      </c>
    </row>
    <row r="464" spans="1:2" ht="15.75" x14ac:dyDescent="0.25">
      <c r="A464" s="344">
        <v>15158</v>
      </c>
      <c r="B464" s="345" t="s">
        <v>2517</v>
      </c>
    </row>
    <row r="465" spans="1:2" ht="15.75" x14ac:dyDescent="0.25">
      <c r="A465" s="344">
        <v>15160</v>
      </c>
      <c r="B465" s="345" t="s">
        <v>2518</v>
      </c>
    </row>
    <row r="466" spans="1:2" ht="15.75" x14ac:dyDescent="0.25">
      <c r="A466" s="344">
        <v>15161</v>
      </c>
      <c r="B466" s="345" t="s">
        <v>2519</v>
      </c>
    </row>
    <row r="467" spans="1:2" ht="15.75" x14ac:dyDescent="0.25">
      <c r="A467" s="344">
        <v>15162</v>
      </c>
      <c r="B467" s="345" t="s">
        <v>2520</v>
      </c>
    </row>
    <row r="468" spans="1:2" ht="15.75" x14ac:dyDescent="0.25">
      <c r="A468" s="344">
        <v>15163</v>
      </c>
      <c r="B468" s="345" t="s">
        <v>2521</v>
      </c>
    </row>
    <row r="469" spans="1:2" ht="15.75" x14ac:dyDescent="0.25">
      <c r="A469" s="344">
        <v>15164</v>
      </c>
      <c r="B469" s="345" t="s">
        <v>2522</v>
      </c>
    </row>
    <row r="470" spans="1:2" ht="15.75" x14ac:dyDescent="0.25">
      <c r="A470" s="344">
        <v>15165</v>
      </c>
      <c r="B470" s="345" t="s">
        <v>2523</v>
      </c>
    </row>
    <row r="471" spans="1:2" ht="15.75" x14ac:dyDescent="0.25">
      <c r="A471" s="344">
        <v>15166</v>
      </c>
      <c r="B471" s="345" t="s">
        <v>2524</v>
      </c>
    </row>
    <row r="472" spans="1:2" ht="15.75" x14ac:dyDescent="0.25">
      <c r="A472" s="344">
        <v>15167</v>
      </c>
      <c r="B472" s="345" t="s">
        <v>2525</v>
      </c>
    </row>
    <row r="473" spans="1:2" ht="15.75" x14ac:dyDescent="0.25">
      <c r="A473" s="344">
        <v>15168</v>
      </c>
      <c r="B473" s="345" t="s">
        <v>2526</v>
      </c>
    </row>
    <row r="474" spans="1:2" ht="15.75" x14ac:dyDescent="0.25">
      <c r="A474" s="344">
        <v>15169</v>
      </c>
      <c r="B474" s="345" t="s">
        <v>2527</v>
      </c>
    </row>
    <row r="475" spans="1:2" ht="15.75" x14ac:dyDescent="0.25">
      <c r="A475" s="344">
        <v>15170</v>
      </c>
      <c r="B475" s="345" t="s">
        <v>2528</v>
      </c>
    </row>
    <row r="476" spans="1:2" ht="15.75" x14ac:dyDescent="0.25">
      <c r="A476" s="344">
        <v>15171</v>
      </c>
      <c r="B476" s="345" t="s">
        <v>2529</v>
      </c>
    </row>
    <row r="477" spans="1:2" ht="15.75" x14ac:dyDescent="0.25">
      <c r="A477" s="344">
        <v>15172</v>
      </c>
      <c r="B477" s="345" t="s">
        <v>2530</v>
      </c>
    </row>
    <row r="478" spans="1:2" ht="15.75" x14ac:dyDescent="0.25">
      <c r="A478" s="344">
        <v>15173</v>
      </c>
      <c r="B478" s="345" t="s">
        <v>2531</v>
      </c>
    </row>
    <row r="479" spans="1:2" ht="15.75" x14ac:dyDescent="0.25">
      <c r="A479" s="344">
        <v>15174</v>
      </c>
      <c r="B479" s="345" t="s">
        <v>2532</v>
      </c>
    </row>
    <row r="480" spans="1:2" ht="15.75" x14ac:dyDescent="0.25">
      <c r="A480" s="344">
        <v>15175</v>
      </c>
      <c r="B480" s="345" t="s">
        <v>2533</v>
      </c>
    </row>
    <row r="481" spans="1:2" ht="15.75" x14ac:dyDescent="0.25">
      <c r="A481" s="344">
        <v>15176</v>
      </c>
      <c r="B481" s="345" t="s">
        <v>2534</v>
      </c>
    </row>
    <row r="482" spans="1:2" ht="15.75" x14ac:dyDescent="0.25">
      <c r="A482" s="344">
        <v>15177</v>
      </c>
      <c r="B482" s="345" t="s">
        <v>2535</v>
      </c>
    </row>
    <row r="483" spans="1:2" ht="15.75" x14ac:dyDescent="0.25">
      <c r="A483" s="344">
        <v>15178</v>
      </c>
      <c r="B483" s="345" t="s">
        <v>2536</v>
      </c>
    </row>
    <row r="484" spans="1:2" ht="15.75" x14ac:dyDescent="0.25">
      <c r="A484" s="344">
        <v>15179</v>
      </c>
      <c r="B484" s="345" t="s">
        <v>2537</v>
      </c>
    </row>
    <row r="485" spans="1:2" ht="15.75" x14ac:dyDescent="0.25">
      <c r="A485" s="344">
        <v>15180</v>
      </c>
      <c r="B485" s="345" t="s">
        <v>2538</v>
      </c>
    </row>
    <row r="486" spans="1:2" ht="15.75" x14ac:dyDescent="0.25">
      <c r="A486" s="344">
        <v>15181</v>
      </c>
      <c r="B486" s="345" t="s">
        <v>2539</v>
      </c>
    </row>
    <row r="487" spans="1:2" ht="15.75" x14ac:dyDescent="0.25">
      <c r="A487" s="344">
        <v>15182</v>
      </c>
      <c r="B487" s="345" t="s">
        <v>2540</v>
      </c>
    </row>
    <row r="488" spans="1:2" ht="15.75" x14ac:dyDescent="0.25">
      <c r="A488" s="344">
        <v>15183</v>
      </c>
      <c r="B488" s="345" t="s">
        <v>2541</v>
      </c>
    </row>
    <row r="489" spans="1:2" ht="15.75" x14ac:dyDescent="0.25">
      <c r="A489" s="344">
        <v>15184</v>
      </c>
      <c r="B489" s="345" t="s">
        <v>2542</v>
      </c>
    </row>
    <row r="490" spans="1:2" ht="15.75" x14ac:dyDescent="0.25">
      <c r="A490" s="344">
        <v>15185</v>
      </c>
      <c r="B490" s="345" t="s">
        <v>2543</v>
      </c>
    </row>
    <row r="491" spans="1:2" ht="15.75" x14ac:dyDescent="0.25">
      <c r="A491" s="344">
        <v>15186</v>
      </c>
      <c r="B491" s="345" t="s">
        <v>2544</v>
      </c>
    </row>
    <row r="492" spans="1:2" ht="15.75" x14ac:dyDescent="0.25">
      <c r="A492" s="344">
        <v>15187</v>
      </c>
      <c r="B492" s="345" t="s">
        <v>2545</v>
      </c>
    </row>
    <row r="493" spans="1:2" ht="15.75" x14ac:dyDescent="0.25">
      <c r="A493" s="344">
        <v>15188</v>
      </c>
      <c r="B493" s="345" t="s">
        <v>2546</v>
      </c>
    </row>
    <row r="494" spans="1:2" ht="15.75" x14ac:dyDescent="0.25">
      <c r="A494" s="344">
        <v>15189</v>
      </c>
      <c r="B494" s="345" t="s">
        <v>2547</v>
      </c>
    </row>
    <row r="495" spans="1:2" ht="15.75" x14ac:dyDescent="0.25">
      <c r="A495" s="344">
        <v>15190</v>
      </c>
      <c r="B495" s="345" t="s">
        <v>2548</v>
      </c>
    </row>
    <row r="496" spans="1:2" ht="15.75" x14ac:dyDescent="0.25">
      <c r="A496" s="344">
        <v>15191</v>
      </c>
      <c r="B496" s="345" t="s">
        <v>2549</v>
      </c>
    </row>
    <row r="497" spans="1:2" ht="15.75" x14ac:dyDescent="0.25">
      <c r="A497" s="344">
        <v>15192</v>
      </c>
      <c r="B497" s="345" t="s">
        <v>2550</v>
      </c>
    </row>
    <row r="498" spans="1:2" ht="15.75" x14ac:dyDescent="0.25">
      <c r="A498" s="344">
        <v>15193</v>
      </c>
      <c r="B498" s="345" t="s">
        <v>2551</v>
      </c>
    </row>
    <row r="499" spans="1:2" ht="15.75" x14ac:dyDescent="0.25">
      <c r="A499" s="344">
        <v>15194</v>
      </c>
      <c r="B499" s="345" t="s">
        <v>2552</v>
      </c>
    </row>
    <row r="500" spans="1:2" ht="15.75" x14ac:dyDescent="0.25">
      <c r="A500" s="344">
        <v>15195</v>
      </c>
      <c r="B500" s="345" t="s">
        <v>2553</v>
      </c>
    </row>
    <row r="501" spans="1:2" ht="15.75" x14ac:dyDescent="0.25">
      <c r="A501" s="344">
        <v>15196</v>
      </c>
      <c r="B501" s="345" t="s">
        <v>2554</v>
      </c>
    </row>
    <row r="502" spans="1:2" ht="15.75" x14ac:dyDescent="0.25">
      <c r="A502" s="344">
        <v>15197</v>
      </c>
      <c r="B502" s="345" t="s">
        <v>2555</v>
      </c>
    </row>
    <row r="503" spans="1:2" ht="15.75" x14ac:dyDescent="0.25">
      <c r="A503" s="344">
        <v>15198</v>
      </c>
      <c r="B503" s="345" t="s">
        <v>2556</v>
      </c>
    </row>
    <row r="504" spans="1:2" ht="15.75" x14ac:dyDescent="0.25">
      <c r="A504" s="344">
        <v>15199</v>
      </c>
      <c r="B504" s="345" t="s">
        <v>2557</v>
      </c>
    </row>
    <row r="505" spans="1:2" ht="15.75" x14ac:dyDescent="0.25">
      <c r="A505" s="344">
        <v>15200</v>
      </c>
      <c r="B505" s="345" t="s">
        <v>2558</v>
      </c>
    </row>
    <row r="506" spans="1:2" ht="15.75" x14ac:dyDescent="0.25">
      <c r="A506" s="344">
        <v>15201</v>
      </c>
      <c r="B506" s="345" t="s">
        <v>2559</v>
      </c>
    </row>
    <row r="507" spans="1:2" ht="15.75" x14ac:dyDescent="0.25">
      <c r="A507" s="344">
        <v>15202</v>
      </c>
      <c r="B507" s="345" t="s">
        <v>2560</v>
      </c>
    </row>
    <row r="508" spans="1:2" ht="15.75" x14ac:dyDescent="0.25">
      <c r="A508" s="344">
        <v>15203</v>
      </c>
      <c r="B508" s="345" t="s">
        <v>2561</v>
      </c>
    </row>
    <row r="509" spans="1:2" ht="15.75" x14ac:dyDescent="0.25">
      <c r="A509" s="344">
        <v>15204</v>
      </c>
      <c r="B509" s="345" t="s">
        <v>2562</v>
      </c>
    </row>
    <row r="510" spans="1:2" ht="15.75" x14ac:dyDescent="0.25">
      <c r="A510" s="344">
        <v>15205</v>
      </c>
      <c r="B510" s="345" t="s">
        <v>2563</v>
      </c>
    </row>
    <row r="511" spans="1:2" ht="15.75" x14ac:dyDescent="0.25">
      <c r="A511" s="344">
        <v>15206</v>
      </c>
      <c r="B511" s="345" t="s">
        <v>2564</v>
      </c>
    </row>
    <row r="512" spans="1:2" ht="15.75" x14ac:dyDescent="0.25">
      <c r="A512" s="344">
        <v>15207</v>
      </c>
      <c r="B512" s="345" t="s">
        <v>2565</v>
      </c>
    </row>
    <row r="513" spans="1:2" ht="15.75" x14ac:dyDescent="0.25">
      <c r="A513" s="344">
        <v>15208</v>
      </c>
      <c r="B513" s="345" t="s">
        <v>2566</v>
      </c>
    </row>
    <row r="514" spans="1:2" ht="15.75" x14ac:dyDescent="0.25">
      <c r="A514" s="344">
        <v>15209</v>
      </c>
      <c r="B514" s="345" t="s">
        <v>2567</v>
      </c>
    </row>
    <row r="515" spans="1:2" ht="15.75" x14ac:dyDescent="0.25">
      <c r="A515" s="344">
        <v>15210</v>
      </c>
      <c r="B515" s="345" t="s">
        <v>2568</v>
      </c>
    </row>
    <row r="516" spans="1:2" ht="15.75" x14ac:dyDescent="0.25">
      <c r="A516" s="344">
        <v>15211</v>
      </c>
      <c r="B516" s="345" t="s">
        <v>2569</v>
      </c>
    </row>
    <row r="517" spans="1:2" ht="15.75" x14ac:dyDescent="0.25">
      <c r="A517" s="344">
        <v>15212</v>
      </c>
      <c r="B517" s="345" t="s">
        <v>2570</v>
      </c>
    </row>
    <row r="518" spans="1:2" ht="15.75" x14ac:dyDescent="0.25">
      <c r="A518" s="344">
        <v>15213</v>
      </c>
      <c r="B518" s="345" t="s">
        <v>2571</v>
      </c>
    </row>
    <row r="519" spans="1:2" ht="15.75" x14ac:dyDescent="0.25">
      <c r="A519" s="344">
        <v>15214</v>
      </c>
      <c r="B519" s="345" t="s">
        <v>2572</v>
      </c>
    </row>
    <row r="520" spans="1:2" ht="15.75" x14ac:dyDescent="0.25">
      <c r="A520" s="344">
        <v>15215</v>
      </c>
      <c r="B520" s="345" t="s">
        <v>2573</v>
      </c>
    </row>
    <row r="521" spans="1:2" ht="15.75" x14ac:dyDescent="0.25">
      <c r="A521" s="344">
        <v>15216</v>
      </c>
      <c r="B521" s="345" t="s">
        <v>2574</v>
      </c>
    </row>
    <row r="522" spans="1:2" ht="15.75" x14ac:dyDescent="0.25">
      <c r="A522" s="344">
        <v>15217</v>
      </c>
      <c r="B522" s="345" t="s">
        <v>2575</v>
      </c>
    </row>
    <row r="523" spans="1:2" ht="15.75" x14ac:dyDescent="0.25">
      <c r="A523" s="344">
        <v>15218</v>
      </c>
      <c r="B523" s="345" t="s">
        <v>2576</v>
      </c>
    </row>
    <row r="524" spans="1:2" ht="15.75" x14ac:dyDescent="0.25">
      <c r="A524" s="344">
        <v>15219</v>
      </c>
      <c r="B524" s="345" t="s">
        <v>2577</v>
      </c>
    </row>
    <row r="525" spans="1:2" ht="15.75" x14ac:dyDescent="0.25">
      <c r="A525" s="344">
        <v>15220</v>
      </c>
      <c r="B525" s="345" t="s">
        <v>2578</v>
      </c>
    </row>
    <row r="526" spans="1:2" ht="15.75" x14ac:dyDescent="0.25">
      <c r="A526" s="344">
        <v>15221</v>
      </c>
      <c r="B526" s="345" t="s">
        <v>2579</v>
      </c>
    </row>
    <row r="527" spans="1:2" ht="15.75" x14ac:dyDescent="0.25">
      <c r="A527" s="344">
        <v>15222</v>
      </c>
      <c r="B527" s="345" t="s">
        <v>2580</v>
      </c>
    </row>
    <row r="528" spans="1:2" ht="15.75" x14ac:dyDescent="0.25">
      <c r="A528" s="344">
        <v>15223</v>
      </c>
      <c r="B528" s="345" t="s">
        <v>2581</v>
      </c>
    </row>
    <row r="529" spans="1:2" ht="15.75" x14ac:dyDescent="0.25">
      <c r="A529" s="344">
        <v>15224</v>
      </c>
      <c r="B529" s="345" t="s">
        <v>2582</v>
      </c>
    </row>
    <row r="530" spans="1:2" ht="15.75" x14ac:dyDescent="0.25">
      <c r="A530" s="344">
        <v>15225</v>
      </c>
      <c r="B530" s="345" t="s">
        <v>2583</v>
      </c>
    </row>
    <row r="531" spans="1:2" ht="15.75" x14ac:dyDescent="0.25">
      <c r="A531" s="344">
        <v>15226</v>
      </c>
      <c r="B531" s="345" t="s">
        <v>2584</v>
      </c>
    </row>
    <row r="532" spans="1:2" ht="15.75" x14ac:dyDescent="0.25">
      <c r="A532" s="344">
        <v>15227</v>
      </c>
      <c r="B532" s="345" t="s">
        <v>2585</v>
      </c>
    </row>
    <row r="533" spans="1:2" ht="15.75" x14ac:dyDescent="0.25">
      <c r="A533" s="344">
        <v>15228</v>
      </c>
      <c r="B533" s="345" t="s">
        <v>2586</v>
      </c>
    </row>
    <row r="534" spans="1:2" ht="15.75" x14ac:dyDescent="0.25">
      <c r="A534" s="344">
        <v>15229</v>
      </c>
      <c r="B534" s="345" t="s">
        <v>2587</v>
      </c>
    </row>
    <row r="535" spans="1:2" ht="15.75" x14ac:dyDescent="0.25">
      <c r="A535" s="344">
        <v>15230</v>
      </c>
      <c r="B535" s="345" t="s">
        <v>2588</v>
      </c>
    </row>
    <row r="536" spans="1:2" ht="15.75" x14ac:dyDescent="0.25">
      <c r="A536" s="344">
        <v>15231</v>
      </c>
      <c r="B536" s="345" t="s">
        <v>2589</v>
      </c>
    </row>
    <row r="537" spans="1:2" ht="15.75" x14ac:dyDescent="0.25">
      <c r="A537" s="344">
        <v>15232</v>
      </c>
      <c r="B537" s="345" t="s">
        <v>2590</v>
      </c>
    </row>
    <row r="538" spans="1:2" ht="15.75" x14ac:dyDescent="0.25">
      <c r="A538" s="344">
        <v>15233</v>
      </c>
      <c r="B538" s="345" t="s">
        <v>2591</v>
      </c>
    </row>
    <row r="539" spans="1:2" ht="15.75" x14ac:dyDescent="0.25">
      <c r="A539" s="344">
        <v>15234</v>
      </c>
      <c r="B539" s="345" t="s">
        <v>2592</v>
      </c>
    </row>
    <row r="540" spans="1:2" ht="15.75" x14ac:dyDescent="0.25">
      <c r="A540" s="344">
        <v>15235</v>
      </c>
      <c r="B540" s="345" t="s">
        <v>2593</v>
      </c>
    </row>
    <row r="541" spans="1:2" ht="15.75" x14ac:dyDescent="0.25">
      <c r="A541" s="344">
        <v>15236</v>
      </c>
      <c r="B541" s="345" t="s">
        <v>2594</v>
      </c>
    </row>
    <row r="542" spans="1:2" ht="15.75" x14ac:dyDescent="0.25">
      <c r="A542" s="344">
        <v>15237</v>
      </c>
      <c r="B542" s="345" t="s">
        <v>2595</v>
      </c>
    </row>
    <row r="543" spans="1:2" ht="15.75" x14ac:dyDescent="0.25">
      <c r="A543" s="344">
        <v>15238</v>
      </c>
      <c r="B543" s="345" t="s">
        <v>2596</v>
      </c>
    </row>
    <row r="544" spans="1:2" ht="15.75" x14ac:dyDescent="0.25">
      <c r="A544" s="344">
        <v>15239</v>
      </c>
      <c r="B544" s="345" t="s">
        <v>2597</v>
      </c>
    </row>
    <row r="545" spans="1:2" ht="15.75" x14ac:dyDescent="0.25">
      <c r="A545" s="344">
        <v>15240</v>
      </c>
      <c r="B545" s="345" t="s">
        <v>2598</v>
      </c>
    </row>
    <row r="546" spans="1:2" ht="15.75" x14ac:dyDescent="0.25">
      <c r="A546" s="344">
        <v>15241</v>
      </c>
      <c r="B546" s="345" t="s">
        <v>2599</v>
      </c>
    </row>
    <row r="547" spans="1:2" ht="15.75" x14ac:dyDescent="0.25">
      <c r="A547" s="344">
        <v>15242</v>
      </c>
      <c r="B547" s="345" t="s">
        <v>2600</v>
      </c>
    </row>
    <row r="548" spans="1:2" ht="15.75" x14ac:dyDescent="0.25">
      <c r="A548" s="344">
        <v>15243</v>
      </c>
      <c r="B548" s="345" t="s">
        <v>2601</v>
      </c>
    </row>
    <row r="549" spans="1:2" ht="15.75" x14ac:dyDescent="0.25">
      <c r="A549" s="344">
        <v>15244</v>
      </c>
      <c r="B549" s="345" t="s">
        <v>2602</v>
      </c>
    </row>
    <row r="550" spans="1:2" ht="15.75" x14ac:dyDescent="0.25">
      <c r="A550" s="344">
        <v>15245</v>
      </c>
      <c r="B550" s="345" t="s">
        <v>2603</v>
      </c>
    </row>
    <row r="551" spans="1:2" ht="15.75" x14ac:dyDescent="0.25">
      <c r="A551" s="344">
        <v>15246</v>
      </c>
      <c r="B551" s="345" t="s">
        <v>2604</v>
      </c>
    </row>
    <row r="552" spans="1:2" ht="15.75" x14ac:dyDescent="0.25">
      <c r="A552" s="344">
        <v>15247</v>
      </c>
      <c r="B552" s="345" t="s">
        <v>2605</v>
      </c>
    </row>
    <row r="553" spans="1:2" ht="15.75" x14ac:dyDescent="0.25">
      <c r="A553" s="344">
        <v>15248</v>
      </c>
      <c r="B553" s="345" t="s">
        <v>2606</v>
      </c>
    </row>
    <row r="554" spans="1:2" ht="15.75" x14ac:dyDescent="0.25">
      <c r="A554" s="344">
        <v>15249</v>
      </c>
      <c r="B554" s="345" t="s">
        <v>2607</v>
      </c>
    </row>
    <row r="555" spans="1:2" ht="15.75" x14ac:dyDescent="0.25">
      <c r="A555" s="344">
        <v>15250</v>
      </c>
      <c r="B555" s="345" t="s">
        <v>2608</v>
      </c>
    </row>
    <row r="556" spans="1:2" ht="15.75" x14ac:dyDescent="0.25">
      <c r="A556" s="344">
        <v>15251</v>
      </c>
      <c r="B556" s="345" t="s">
        <v>2609</v>
      </c>
    </row>
    <row r="557" spans="1:2" ht="15.75" x14ac:dyDescent="0.25">
      <c r="A557" s="344">
        <v>15252</v>
      </c>
      <c r="B557" s="345" t="s">
        <v>2610</v>
      </c>
    </row>
    <row r="558" spans="1:2" ht="15.75" x14ac:dyDescent="0.25">
      <c r="A558" s="344">
        <v>15253</v>
      </c>
      <c r="B558" s="345" t="s">
        <v>2611</v>
      </c>
    </row>
    <row r="559" spans="1:2" ht="15.75" x14ac:dyDescent="0.25">
      <c r="A559" s="344">
        <v>15254</v>
      </c>
      <c r="B559" s="345" t="s">
        <v>2612</v>
      </c>
    </row>
    <row r="560" spans="1:2" ht="15.75" x14ac:dyDescent="0.25">
      <c r="A560" s="344">
        <v>15255</v>
      </c>
      <c r="B560" s="345" t="s">
        <v>2613</v>
      </c>
    </row>
    <row r="561" spans="1:2" ht="15.75" x14ac:dyDescent="0.25">
      <c r="A561" s="344">
        <v>15256</v>
      </c>
      <c r="B561" s="345" t="s">
        <v>2614</v>
      </c>
    </row>
    <row r="562" spans="1:2" ht="15.75" x14ac:dyDescent="0.25">
      <c r="A562" s="344">
        <v>15257</v>
      </c>
      <c r="B562" s="345" t="s">
        <v>2615</v>
      </c>
    </row>
    <row r="563" spans="1:2" ht="15.75" x14ac:dyDescent="0.25">
      <c r="A563" s="344">
        <v>15258</v>
      </c>
      <c r="B563" s="345" t="s">
        <v>2616</v>
      </c>
    </row>
    <row r="564" spans="1:2" ht="15.75" x14ac:dyDescent="0.25">
      <c r="A564" s="344">
        <v>15259</v>
      </c>
      <c r="B564" s="345" t="s">
        <v>2617</v>
      </c>
    </row>
    <row r="565" spans="1:2" ht="15.75" x14ac:dyDescent="0.25">
      <c r="A565" s="344">
        <v>15260</v>
      </c>
      <c r="B565" s="345" t="s">
        <v>2618</v>
      </c>
    </row>
    <row r="566" spans="1:2" ht="15.75" x14ac:dyDescent="0.25">
      <c r="A566" s="344">
        <v>15261</v>
      </c>
      <c r="B566" s="345" t="s">
        <v>2619</v>
      </c>
    </row>
    <row r="567" spans="1:2" ht="15.75" x14ac:dyDescent="0.25">
      <c r="A567" s="344">
        <v>15262</v>
      </c>
      <c r="B567" s="345" t="s">
        <v>2620</v>
      </c>
    </row>
    <row r="568" spans="1:2" ht="15.75" x14ac:dyDescent="0.25">
      <c r="A568" s="344">
        <v>15263</v>
      </c>
      <c r="B568" s="345" t="s">
        <v>2621</v>
      </c>
    </row>
    <row r="569" spans="1:2" ht="15.75" x14ac:dyDescent="0.25">
      <c r="A569" s="344">
        <v>15264</v>
      </c>
      <c r="B569" s="345" t="s">
        <v>2622</v>
      </c>
    </row>
    <row r="570" spans="1:2" ht="15.75" x14ac:dyDescent="0.25">
      <c r="A570" s="344">
        <v>15265</v>
      </c>
      <c r="B570" s="345" t="s">
        <v>2623</v>
      </c>
    </row>
    <row r="571" spans="1:2" ht="15.75" x14ac:dyDescent="0.25">
      <c r="A571" s="344">
        <v>15266</v>
      </c>
      <c r="B571" s="345" t="s">
        <v>2624</v>
      </c>
    </row>
    <row r="572" spans="1:2" ht="15.75" x14ac:dyDescent="0.25">
      <c r="A572" s="344">
        <v>15267</v>
      </c>
      <c r="B572" s="345" t="s">
        <v>2625</v>
      </c>
    </row>
    <row r="573" spans="1:2" ht="15.75" x14ac:dyDescent="0.25">
      <c r="A573" s="344">
        <v>15268</v>
      </c>
      <c r="B573" s="345" t="s">
        <v>2626</v>
      </c>
    </row>
    <row r="574" spans="1:2" ht="15.75" x14ac:dyDescent="0.25">
      <c r="A574" s="344">
        <v>15269</v>
      </c>
      <c r="B574" s="345" t="s">
        <v>2627</v>
      </c>
    </row>
    <row r="575" spans="1:2" ht="15.75" x14ac:dyDescent="0.25">
      <c r="A575" s="344">
        <v>15270</v>
      </c>
      <c r="B575" s="345" t="s">
        <v>2628</v>
      </c>
    </row>
    <row r="576" spans="1:2" ht="15.75" x14ac:dyDescent="0.25">
      <c r="A576" s="344">
        <v>15271</v>
      </c>
      <c r="B576" s="345" t="s">
        <v>2629</v>
      </c>
    </row>
    <row r="577" spans="1:2" ht="15.75" x14ac:dyDescent="0.25">
      <c r="A577" s="344">
        <v>15272</v>
      </c>
      <c r="B577" s="345" t="s">
        <v>2630</v>
      </c>
    </row>
    <row r="578" spans="1:2" ht="15.75" x14ac:dyDescent="0.25">
      <c r="A578" s="344">
        <v>15273</v>
      </c>
      <c r="B578" s="345" t="s">
        <v>2631</v>
      </c>
    </row>
    <row r="579" spans="1:2" ht="15.75" x14ac:dyDescent="0.25">
      <c r="A579" s="344">
        <v>15274</v>
      </c>
      <c r="B579" s="345" t="s">
        <v>2632</v>
      </c>
    </row>
    <row r="580" spans="1:2" ht="15.75" x14ac:dyDescent="0.25">
      <c r="A580" s="344">
        <v>15275</v>
      </c>
      <c r="B580" s="345" t="s">
        <v>2633</v>
      </c>
    </row>
    <row r="581" spans="1:2" ht="15.75" x14ac:dyDescent="0.25">
      <c r="A581" s="344">
        <v>15276</v>
      </c>
      <c r="B581" s="345" t="s">
        <v>2634</v>
      </c>
    </row>
    <row r="582" spans="1:2" ht="15.75" x14ac:dyDescent="0.25">
      <c r="A582" s="344">
        <v>15277</v>
      </c>
      <c r="B582" s="345" t="s">
        <v>2635</v>
      </c>
    </row>
    <row r="583" spans="1:2" ht="15.75" x14ac:dyDescent="0.25">
      <c r="A583" s="344">
        <v>15278</v>
      </c>
      <c r="B583" s="345" t="s">
        <v>2636</v>
      </c>
    </row>
    <row r="584" spans="1:2" ht="15.75" x14ac:dyDescent="0.25">
      <c r="A584" s="344">
        <v>15279</v>
      </c>
      <c r="B584" s="345" t="s">
        <v>2637</v>
      </c>
    </row>
    <row r="585" spans="1:2" ht="15.75" x14ac:dyDescent="0.25">
      <c r="A585" s="344">
        <v>15280</v>
      </c>
      <c r="B585" s="345" t="s">
        <v>2638</v>
      </c>
    </row>
    <row r="586" spans="1:2" ht="15.75" x14ac:dyDescent="0.25">
      <c r="A586" s="344">
        <v>15281</v>
      </c>
      <c r="B586" s="345" t="s">
        <v>2639</v>
      </c>
    </row>
    <row r="587" spans="1:2" ht="15.75" x14ac:dyDescent="0.25">
      <c r="A587" s="344">
        <v>15282</v>
      </c>
      <c r="B587" s="345" t="s">
        <v>2640</v>
      </c>
    </row>
    <row r="588" spans="1:2" ht="15.75" x14ac:dyDescent="0.25">
      <c r="A588" s="344">
        <v>15283</v>
      </c>
      <c r="B588" s="345" t="s">
        <v>2641</v>
      </c>
    </row>
    <row r="589" spans="1:2" ht="15.75" x14ac:dyDescent="0.25">
      <c r="A589" s="344">
        <v>15284</v>
      </c>
      <c r="B589" s="345" t="s">
        <v>2642</v>
      </c>
    </row>
    <row r="590" spans="1:2" ht="15.75" x14ac:dyDescent="0.25">
      <c r="A590" s="344">
        <v>15285</v>
      </c>
      <c r="B590" s="345" t="s">
        <v>2643</v>
      </c>
    </row>
    <row r="591" spans="1:2" ht="15.75" x14ac:dyDescent="0.25">
      <c r="A591" s="344">
        <v>15286</v>
      </c>
      <c r="B591" s="345" t="s">
        <v>2644</v>
      </c>
    </row>
    <row r="592" spans="1:2" ht="15.75" x14ac:dyDescent="0.25">
      <c r="A592" s="344">
        <v>15287</v>
      </c>
      <c r="B592" s="345" t="s">
        <v>2645</v>
      </c>
    </row>
    <row r="593" spans="1:2" ht="15.75" x14ac:dyDescent="0.25">
      <c r="A593" s="344">
        <v>15288</v>
      </c>
      <c r="B593" s="345" t="s">
        <v>2646</v>
      </c>
    </row>
    <row r="594" spans="1:2" ht="15.75" x14ac:dyDescent="0.25">
      <c r="A594" s="344">
        <v>15289</v>
      </c>
      <c r="B594" s="345" t="s">
        <v>2647</v>
      </c>
    </row>
    <row r="595" spans="1:2" ht="15.75" x14ac:dyDescent="0.25">
      <c r="A595" s="344">
        <v>15290</v>
      </c>
      <c r="B595" s="345" t="s">
        <v>2648</v>
      </c>
    </row>
    <row r="596" spans="1:2" ht="15.75" x14ac:dyDescent="0.25">
      <c r="A596" s="344">
        <v>15291</v>
      </c>
      <c r="B596" s="345" t="s">
        <v>2649</v>
      </c>
    </row>
    <row r="597" spans="1:2" ht="15.75" x14ac:dyDescent="0.25">
      <c r="A597" s="344">
        <v>15292</v>
      </c>
      <c r="B597" s="345" t="s">
        <v>2650</v>
      </c>
    </row>
    <row r="598" spans="1:2" ht="15.75" x14ac:dyDescent="0.25">
      <c r="A598" s="344">
        <v>15293</v>
      </c>
      <c r="B598" s="345" t="s">
        <v>2651</v>
      </c>
    </row>
    <row r="599" spans="1:2" ht="15.75" x14ac:dyDescent="0.25">
      <c r="A599" s="344">
        <v>15294</v>
      </c>
      <c r="B599" s="345" t="s">
        <v>2652</v>
      </c>
    </row>
    <row r="600" spans="1:2" ht="15.75" x14ac:dyDescent="0.25">
      <c r="A600" s="344">
        <v>15295</v>
      </c>
      <c r="B600" s="345" t="s">
        <v>2653</v>
      </c>
    </row>
    <row r="601" spans="1:2" ht="15.75" x14ac:dyDescent="0.25">
      <c r="A601" s="344">
        <v>15296</v>
      </c>
      <c r="B601" s="345" t="s">
        <v>2654</v>
      </c>
    </row>
    <row r="602" spans="1:2" ht="15.75" x14ac:dyDescent="0.25">
      <c r="A602" s="344">
        <v>15297</v>
      </c>
      <c r="B602" s="345" t="s">
        <v>2655</v>
      </c>
    </row>
    <row r="603" spans="1:2" ht="15.75" x14ac:dyDescent="0.25">
      <c r="A603" s="344">
        <v>15298</v>
      </c>
      <c r="B603" s="345" t="s">
        <v>2656</v>
      </c>
    </row>
    <row r="604" spans="1:2" ht="15.75" x14ac:dyDescent="0.25">
      <c r="A604" s="344">
        <v>15299</v>
      </c>
      <c r="B604" s="345" t="s">
        <v>2657</v>
      </c>
    </row>
    <row r="605" spans="1:2" ht="15.75" x14ac:dyDescent="0.25">
      <c r="A605" s="344">
        <v>15300</v>
      </c>
      <c r="B605" s="345" t="s">
        <v>2658</v>
      </c>
    </row>
    <row r="606" spans="1:2" ht="15.75" x14ac:dyDescent="0.25">
      <c r="A606" s="344">
        <v>15301</v>
      </c>
      <c r="B606" s="345" t="s">
        <v>2659</v>
      </c>
    </row>
    <row r="607" spans="1:2" ht="15.75" x14ac:dyDescent="0.25">
      <c r="A607" s="344">
        <v>15302</v>
      </c>
      <c r="B607" s="345" t="s">
        <v>2660</v>
      </c>
    </row>
    <row r="608" spans="1:2" ht="15.75" x14ac:dyDescent="0.25">
      <c r="A608" s="344">
        <v>15303</v>
      </c>
      <c r="B608" s="345" t="s">
        <v>2661</v>
      </c>
    </row>
    <row r="609" spans="1:2" ht="15.75" x14ac:dyDescent="0.25">
      <c r="A609" s="344">
        <v>15304</v>
      </c>
      <c r="B609" s="345" t="s">
        <v>2662</v>
      </c>
    </row>
    <row r="610" spans="1:2" ht="15.75" x14ac:dyDescent="0.25">
      <c r="A610" s="344">
        <v>15305</v>
      </c>
      <c r="B610" s="345" t="s">
        <v>2663</v>
      </c>
    </row>
    <row r="611" spans="1:2" ht="15.75" x14ac:dyDescent="0.25">
      <c r="A611" s="344">
        <v>15306</v>
      </c>
      <c r="B611" s="345" t="s">
        <v>2664</v>
      </c>
    </row>
    <row r="612" spans="1:2" ht="15.75" x14ac:dyDescent="0.25">
      <c r="A612" s="344">
        <v>15307</v>
      </c>
      <c r="B612" s="345" t="s">
        <v>2665</v>
      </c>
    </row>
    <row r="613" spans="1:2" ht="15.75" x14ac:dyDescent="0.25">
      <c r="A613" s="344">
        <v>15308</v>
      </c>
      <c r="B613" s="345" t="s">
        <v>2666</v>
      </c>
    </row>
    <row r="614" spans="1:2" ht="15.75" x14ac:dyDescent="0.25">
      <c r="A614" s="344">
        <v>15309</v>
      </c>
      <c r="B614" s="345" t="s">
        <v>2667</v>
      </c>
    </row>
    <row r="615" spans="1:2" ht="15.75" x14ac:dyDescent="0.25">
      <c r="A615" s="344">
        <v>15310</v>
      </c>
      <c r="B615" s="345" t="s">
        <v>2668</v>
      </c>
    </row>
    <row r="616" spans="1:2" ht="15.75" x14ac:dyDescent="0.25">
      <c r="A616" s="344">
        <v>15311</v>
      </c>
      <c r="B616" s="345" t="s">
        <v>2669</v>
      </c>
    </row>
    <row r="617" spans="1:2" ht="15.75" x14ac:dyDescent="0.25">
      <c r="A617" s="344">
        <v>15312</v>
      </c>
      <c r="B617" s="345" t="s">
        <v>2670</v>
      </c>
    </row>
    <row r="618" spans="1:2" ht="15.75" x14ac:dyDescent="0.25">
      <c r="A618" s="344">
        <v>15313</v>
      </c>
      <c r="B618" s="345" t="s">
        <v>2671</v>
      </c>
    </row>
    <row r="619" spans="1:2" ht="15.75" x14ac:dyDescent="0.25">
      <c r="A619" s="344">
        <v>15314</v>
      </c>
      <c r="B619" s="345" t="s">
        <v>2672</v>
      </c>
    </row>
    <row r="620" spans="1:2" ht="15.75" x14ac:dyDescent="0.25">
      <c r="A620" s="344">
        <v>15315</v>
      </c>
      <c r="B620" s="345" t="s">
        <v>2673</v>
      </c>
    </row>
    <row r="621" spans="1:2" ht="15.75" x14ac:dyDescent="0.25">
      <c r="A621" s="344">
        <v>15316</v>
      </c>
      <c r="B621" s="345" t="s">
        <v>2674</v>
      </c>
    </row>
    <row r="622" spans="1:2" ht="15.75" x14ac:dyDescent="0.25">
      <c r="A622" s="344">
        <v>15317</v>
      </c>
      <c r="B622" s="345" t="s">
        <v>2675</v>
      </c>
    </row>
    <row r="623" spans="1:2" ht="15.75" x14ac:dyDescent="0.25">
      <c r="A623" s="344">
        <v>15318</v>
      </c>
      <c r="B623" s="345" t="s">
        <v>2676</v>
      </c>
    </row>
    <row r="624" spans="1:2" ht="15.75" x14ac:dyDescent="0.25">
      <c r="A624" s="344">
        <v>15319</v>
      </c>
      <c r="B624" s="345" t="s">
        <v>2677</v>
      </c>
    </row>
    <row r="625" spans="1:2" ht="15.75" x14ac:dyDescent="0.25">
      <c r="A625" s="344">
        <v>15320</v>
      </c>
      <c r="B625" s="345" t="s">
        <v>2678</v>
      </c>
    </row>
    <row r="626" spans="1:2" ht="15.75" x14ac:dyDescent="0.25">
      <c r="A626" s="344">
        <v>15321</v>
      </c>
      <c r="B626" s="345" t="s">
        <v>2679</v>
      </c>
    </row>
    <row r="627" spans="1:2" ht="15.75" x14ac:dyDescent="0.25">
      <c r="A627" s="344">
        <v>15322</v>
      </c>
      <c r="B627" s="345" t="s">
        <v>2680</v>
      </c>
    </row>
    <row r="628" spans="1:2" ht="15.75" x14ac:dyDescent="0.25">
      <c r="A628" s="344">
        <v>15323</v>
      </c>
      <c r="B628" s="345" t="s">
        <v>2681</v>
      </c>
    </row>
    <row r="629" spans="1:2" ht="15.75" x14ac:dyDescent="0.25">
      <c r="A629" s="344">
        <v>15324</v>
      </c>
      <c r="B629" s="345" t="s">
        <v>2682</v>
      </c>
    </row>
    <row r="630" spans="1:2" ht="15.75" x14ac:dyDescent="0.25">
      <c r="A630" s="344">
        <v>15325</v>
      </c>
      <c r="B630" s="345" t="s">
        <v>2683</v>
      </c>
    </row>
    <row r="631" spans="1:2" ht="15.75" x14ac:dyDescent="0.25">
      <c r="A631" s="344">
        <v>15326</v>
      </c>
      <c r="B631" s="345" t="s">
        <v>2684</v>
      </c>
    </row>
    <row r="632" spans="1:2" ht="15.75" x14ac:dyDescent="0.25">
      <c r="A632" s="344">
        <v>15327</v>
      </c>
      <c r="B632" s="345" t="s">
        <v>2685</v>
      </c>
    </row>
    <row r="633" spans="1:2" ht="15.75" x14ac:dyDescent="0.25">
      <c r="A633" s="344">
        <v>15328</v>
      </c>
      <c r="B633" s="345" t="s">
        <v>2686</v>
      </c>
    </row>
    <row r="634" spans="1:2" ht="15.75" x14ac:dyDescent="0.25">
      <c r="A634" s="344">
        <v>15329</v>
      </c>
      <c r="B634" s="345" t="s">
        <v>2687</v>
      </c>
    </row>
    <row r="635" spans="1:2" ht="15.75" x14ac:dyDescent="0.25">
      <c r="A635" s="344">
        <v>15330</v>
      </c>
      <c r="B635" s="345" t="s">
        <v>2688</v>
      </c>
    </row>
    <row r="636" spans="1:2" ht="15.75" x14ac:dyDescent="0.25">
      <c r="A636" s="344">
        <v>15331</v>
      </c>
      <c r="B636" s="345" t="s">
        <v>2689</v>
      </c>
    </row>
    <row r="637" spans="1:2" ht="15.75" x14ac:dyDescent="0.25">
      <c r="A637" s="344">
        <v>15332</v>
      </c>
      <c r="B637" s="345" t="s">
        <v>2690</v>
      </c>
    </row>
    <row r="638" spans="1:2" ht="15.75" x14ac:dyDescent="0.25">
      <c r="A638" s="344">
        <v>15333</v>
      </c>
      <c r="B638" s="345" t="s">
        <v>2691</v>
      </c>
    </row>
    <row r="639" spans="1:2" ht="15.75" x14ac:dyDescent="0.25">
      <c r="A639" s="344">
        <v>15334</v>
      </c>
      <c r="B639" s="345" t="s">
        <v>2692</v>
      </c>
    </row>
    <row r="640" spans="1:2" ht="15.75" x14ac:dyDescent="0.25">
      <c r="A640" s="344">
        <v>15335</v>
      </c>
      <c r="B640" s="345" t="s">
        <v>2693</v>
      </c>
    </row>
    <row r="641" spans="1:2" ht="15.75" x14ac:dyDescent="0.25">
      <c r="A641" s="344">
        <v>15336</v>
      </c>
      <c r="B641" s="345" t="s">
        <v>2694</v>
      </c>
    </row>
    <row r="642" spans="1:2" ht="15.75" x14ac:dyDescent="0.25">
      <c r="A642" s="344">
        <v>15337</v>
      </c>
      <c r="B642" s="345" t="s">
        <v>2695</v>
      </c>
    </row>
    <row r="643" spans="1:2" ht="15.75" x14ac:dyDescent="0.25">
      <c r="A643" s="344">
        <v>15338</v>
      </c>
      <c r="B643" s="345" t="s">
        <v>2696</v>
      </c>
    </row>
    <row r="644" spans="1:2" ht="15.75" x14ac:dyDescent="0.25">
      <c r="A644" s="344">
        <v>15339</v>
      </c>
      <c r="B644" s="345" t="s">
        <v>2697</v>
      </c>
    </row>
    <row r="645" spans="1:2" ht="15.75" x14ac:dyDescent="0.25">
      <c r="A645" s="344">
        <v>15340</v>
      </c>
      <c r="B645" s="345" t="s">
        <v>2698</v>
      </c>
    </row>
    <row r="646" spans="1:2" ht="15.75" x14ac:dyDescent="0.25">
      <c r="A646" s="344">
        <v>15341</v>
      </c>
      <c r="B646" s="345" t="s">
        <v>2699</v>
      </c>
    </row>
    <row r="647" spans="1:2" ht="15.75" x14ac:dyDescent="0.25">
      <c r="A647" s="344">
        <v>15342</v>
      </c>
      <c r="B647" s="345" t="s">
        <v>2700</v>
      </c>
    </row>
    <row r="648" spans="1:2" ht="15.75" x14ac:dyDescent="0.25">
      <c r="A648" s="344">
        <v>15343</v>
      </c>
      <c r="B648" s="345" t="s">
        <v>2701</v>
      </c>
    </row>
    <row r="649" spans="1:2" ht="15.75" x14ac:dyDescent="0.25">
      <c r="A649" s="344">
        <v>15344</v>
      </c>
      <c r="B649" s="345" t="s">
        <v>2702</v>
      </c>
    </row>
    <row r="650" spans="1:2" ht="15.75" x14ac:dyDescent="0.25">
      <c r="A650" s="344">
        <v>15345</v>
      </c>
      <c r="B650" s="345" t="s">
        <v>2703</v>
      </c>
    </row>
    <row r="651" spans="1:2" ht="15.75" x14ac:dyDescent="0.25">
      <c r="A651" s="344">
        <v>15346</v>
      </c>
      <c r="B651" s="345" t="s">
        <v>2704</v>
      </c>
    </row>
    <row r="652" spans="1:2" ht="15.75" x14ac:dyDescent="0.25">
      <c r="A652" s="344">
        <v>15347</v>
      </c>
      <c r="B652" s="345" t="s">
        <v>2705</v>
      </c>
    </row>
    <row r="653" spans="1:2" ht="15.75" x14ac:dyDescent="0.25">
      <c r="A653" s="344">
        <v>15348</v>
      </c>
      <c r="B653" s="345" t="s">
        <v>2706</v>
      </c>
    </row>
    <row r="654" spans="1:2" ht="15.75" x14ac:dyDescent="0.25">
      <c r="A654" s="344">
        <v>15349</v>
      </c>
      <c r="B654" s="345" t="s">
        <v>2707</v>
      </c>
    </row>
    <row r="655" spans="1:2" ht="15.75" x14ac:dyDescent="0.25">
      <c r="A655" s="344">
        <v>15350</v>
      </c>
      <c r="B655" s="345" t="s">
        <v>2708</v>
      </c>
    </row>
    <row r="656" spans="1:2" ht="15.75" x14ac:dyDescent="0.25">
      <c r="A656" s="344">
        <v>15351</v>
      </c>
      <c r="B656" s="345" t="s">
        <v>2709</v>
      </c>
    </row>
    <row r="657" spans="1:2" ht="15.75" x14ac:dyDescent="0.25">
      <c r="A657" s="344">
        <v>15352</v>
      </c>
      <c r="B657" s="345" t="s">
        <v>2710</v>
      </c>
    </row>
    <row r="658" spans="1:2" ht="15.75" x14ac:dyDescent="0.25">
      <c r="A658" s="344">
        <v>15353</v>
      </c>
      <c r="B658" s="345" t="s">
        <v>2711</v>
      </c>
    </row>
    <row r="659" spans="1:2" ht="15.75" x14ac:dyDescent="0.25">
      <c r="A659" s="344">
        <v>15354</v>
      </c>
      <c r="B659" s="345" t="s">
        <v>2712</v>
      </c>
    </row>
    <row r="660" spans="1:2" ht="15.75" x14ac:dyDescent="0.25">
      <c r="A660" s="344">
        <v>15355</v>
      </c>
      <c r="B660" s="345" t="s">
        <v>2713</v>
      </c>
    </row>
    <row r="661" spans="1:2" ht="15.75" x14ac:dyDescent="0.25">
      <c r="A661" s="344">
        <v>15356</v>
      </c>
      <c r="B661" s="345" t="s">
        <v>2714</v>
      </c>
    </row>
    <row r="662" spans="1:2" ht="15.75" x14ac:dyDescent="0.25">
      <c r="A662" s="344">
        <v>15357</v>
      </c>
      <c r="B662" s="345" t="s">
        <v>2715</v>
      </c>
    </row>
    <row r="663" spans="1:2" ht="15.75" x14ac:dyDescent="0.25">
      <c r="A663" s="344">
        <v>15358</v>
      </c>
      <c r="B663" s="345" t="s">
        <v>2716</v>
      </c>
    </row>
    <row r="664" spans="1:2" ht="15.75" x14ac:dyDescent="0.25">
      <c r="A664" s="344">
        <v>15359</v>
      </c>
      <c r="B664" s="345" t="s">
        <v>2717</v>
      </c>
    </row>
    <row r="665" spans="1:2" ht="15.75" x14ac:dyDescent="0.25">
      <c r="A665" s="344">
        <v>15360</v>
      </c>
      <c r="B665" s="345" t="s">
        <v>2718</v>
      </c>
    </row>
    <row r="666" spans="1:2" ht="15.75" x14ac:dyDescent="0.25">
      <c r="A666" s="344">
        <v>15361</v>
      </c>
      <c r="B666" s="345" t="s">
        <v>2719</v>
      </c>
    </row>
    <row r="667" spans="1:2" ht="15.75" x14ac:dyDescent="0.25">
      <c r="A667" s="344">
        <v>15362</v>
      </c>
      <c r="B667" s="345" t="s">
        <v>2720</v>
      </c>
    </row>
    <row r="668" spans="1:2" ht="15.75" x14ac:dyDescent="0.25">
      <c r="A668" s="344">
        <v>15363</v>
      </c>
      <c r="B668" s="345" t="s">
        <v>2721</v>
      </c>
    </row>
    <row r="669" spans="1:2" ht="15.75" x14ac:dyDescent="0.25">
      <c r="A669" s="344">
        <v>15364</v>
      </c>
      <c r="B669" s="345" t="s">
        <v>2722</v>
      </c>
    </row>
    <row r="670" spans="1:2" ht="15.75" x14ac:dyDescent="0.25">
      <c r="A670" s="344">
        <v>15365</v>
      </c>
      <c r="B670" s="345" t="s">
        <v>2723</v>
      </c>
    </row>
    <row r="671" spans="1:2" ht="15.75" x14ac:dyDescent="0.25">
      <c r="A671" s="344">
        <v>15366</v>
      </c>
      <c r="B671" s="345" t="s">
        <v>2724</v>
      </c>
    </row>
    <row r="672" spans="1:2" ht="15.75" x14ac:dyDescent="0.25">
      <c r="A672" s="344">
        <v>15367</v>
      </c>
      <c r="B672" s="345" t="s">
        <v>2725</v>
      </c>
    </row>
    <row r="673" spans="1:2" ht="15.75" x14ac:dyDescent="0.25">
      <c r="A673" s="344">
        <v>15368</v>
      </c>
      <c r="B673" s="345" t="s">
        <v>2726</v>
      </c>
    </row>
    <row r="674" spans="1:2" ht="15.75" x14ac:dyDescent="0.25">
      <c r="A674" s="344">
        <v>15369</v>
      </c>
      <c r="B674" s="345" t="s">
        <v>2727</v>
      </c>
    </row>
    <row r="675" spans="1:2" ht="15.75" x14ac:dyDescent="0.25">
      <c r="A675" s="344">
        <v>15370</v>
      </c>
      <c r="B675" s="345" t="s">
        <v>2728</v>
      </c>
    </row>
    <row r="676" spans="1:2" ht="15.75" x14ac:dyDescent="0.25">
      <c r="A676" s="344">
        <v>15371</v>
      </c>
      <c r="B676" s="345" t="s">
        <v>2729</v>
      </c>
    </row>
    <row r="677" spans="1:2" ht="15.75" x14ac:dyDescent="0.25">
      <c r="A677" s="344">
        <v>15372</v>
      </c>
      <c r="B677" s="345" t="s">
        <v>2730</v>
      </c>
    </row>
    <row r="678" spans="1:2" ht="15.75" x14ac:dyDescent="0.25">
      <c r="A678" s="344">
        <v>15373</v>
      </c>
      <c r="B678" s="345" t="s">
        <v>2731</v>
      </c>
    </row>
    <row r="679" spans="1:2" ht="15.75" x14ac:dyDescent="0.25">
      <c r="A679" s="344">
        <v>15374</v>
      </c>
      <c r="B679" s="345" t="s">
        <v>2732</v>
      </c>
    </row>
    <row r="680" spans="1:2" ht="15.75" x14ac:dyDescent="0.25">
      <c r="A680" s="344">
        <v>15375</v>
      </c>
      <c r="B680" s="345" t="s">
        <v>2733</v>
      </c>
    </row>
    <row r="681" spans="1:2" ht="15.75" x14ac:dyDescent="0.25">
      <c r="A681" s="344">
        <v>15376</v>
      </c>
      <c r="B681" s="345" t="s">
        <v>2734</v>
      </c>
    </row>
    <row r="682" spans="1:2" ht="15.75" x14ac:dyDescent="0.25">
      <c r="A682" s="344">
        <v>15377</v>
      </c>
      <c r="B682" s="345" t="s">
        <v>2735</v>
      </c>
    </row>
    <row r="683" spans="1:2" ht="15.75" x14ac:dyDescent="0.25">
      <c r="A683" s="344">
        <v>15378</v>
      </c>
      <c r="B683" s="345" t="s">
        <v>2736</v>
      </c>
    </row>
    <row r="684" spans="1:2" ht="15.75" x14ac:dyDescent="0.25">
      <c r="A684" s="344">
        <v>15379</v>
      </c>
      <c r="B684" s="345" t="s">
        <v>2737</v>
      </c>
    </row>
    <row r="685" spans="1:2" ht="15.75" x14ac:dyDescent="0.25">
      <c r="A685" s="344">
        <v>15380</v>
      </c>
      <c r="B685" s="345" t="s">
        <v>2738</v>
      </c>
    </row>
    <row r="686" spans="1:2" ht="15.75" x14ac:dyDescent="0.25">
      <c r="A686" s="344">
        <v>15381</v>
      </c>
      <c r="B686" s="345" t="s">
        <v>2739</v>
      </c>
    </row>
    <row r="687" spans="1:2" ht="15.75" x14ac:dyDescent="0.25">
      <c r="A687" s="344">
        <v>15382</v>
      </c>
      <c r="B687" s="345" t="s">
        <v>2740</v>
      </c>
    </row>
    <row r="688" spans="1:2" ht="15.75" x14ac:dyDescent="0.25">
      <c r="A688" s="344">
        <v>15383</v>
      </c>
      <c r="B688" s="345" t="s">
        <v>2741</v>
      </c>
    </row>
    <row r="689" spans="1:2" ht="15.75" x14ac:dyDescent="0.25">
      <c r="A689" s="344">
        <v>15384</v>
      </c>
      <c r="B689" s="345" t="s">
        <v>2742</v>
      </c>
    </row>
    <row r="690" spans="1:2" ht="15.75" x14ac:dyDescent="0.25">
      <c r="A690" s="344">
        <v>15385</v>
      </c>
      <c r="B690" s="345" t="s">
        <v>2743</v>
      </c>
    </row>
    <row r="691" spans="1:2" ht="15.75" x14ac:dyDescent="0.25">
      <c r="A691" s="344">
        <v>15386</v>
      </c>
      <c r="B691" s="345" t="s">
        <v>2744</v>
      </c>
    </row>
    <row r="692" spans="1:2" ht="15.75" x14ac:dyDescent="0.25">
      <c r="A692" s="344">
        <v>15387</v>
      </c>
      <c r="B692" s="345" t="s">
        <v>2745</v>
      </c>
    </row>
    <row r="693" spans="1:2" ht="15.75" x14ac:dyDescent="0.25">
      <c r="A693" s="344">
        <v>15388</v>
      </c>
      <c r="B693" s="345" t="s">
        <v>2746</v>
      </c>
    </row>
    <row r="694" spans="1:2" ht="15.75" x14ac:dyDescent="0.25">
      <c r="A694" s="344">
        <v>15389</v>
      </c>
      <c r="B694" s="345" t="s">
        <v>2747</v>
      </c>
    </row>
    <row r="695" spans="1:2" ht="15.75" x14ac:dyDescent="0.25">
      <c r="A695" s="344">
        <v>15390</v>
      </c>
      <c r="B695" s="345" t="s">
        <v>2748</v>
      </c>
    </row>
    <row r="696" spans="1:2" ht="15.75" x14ac:dyDescent="0.25">
      <c r="A696" s="344">
        <v>15391</v>
      </c>
      <c r="B696" s="345" t="s">
        <v>2749</v>
      </c>
    </row>
    <row r="697" spans="1:2" ht="15.75" x14ac:dyDescent="0.25">
      <c r="A697" s="344">
        <v>15392</v>
      </c>
      <c r="B697" s="345" t="s">
        <v>2750</v>
      </c>
    </row>
    <row r="698" spans="1:2" ht="15.75" x14ac:dyDescent="0.25">
      <c r="A698" s="344">
        <v>15393</v>
      </c>
      <c r="B698" s="345" t="s">
        <v>2751</v>
      </c>
    </row>
    <row r="699" spans="1:2" ht="15.75" x14ac:dyDescent="0.25">
      <c r="A699" s="344">
        <v>15394</v>
      </c>
      <c r="B699" s="345" t="s">
        <v>2752</v>
      </c>
    </row>
    <row r="700" spans="1:2" ht="15.75" x14ac:dyDescent="0.25">
      <c r="A700" s="344">
        <v>15395</v>
      </c>
      <c r="B700" s="345" t="s">
        <v>2753</v>
      </c>
    </row>
    <row r="701" spans="1:2" ht="15.75" x14ac:dyDescent="0.25">
      <c r="A701" s="344">
        <v>15396</v>
      </c>
      <c r="B701" s="345" t="s">
        <v>2754</v>
      </c>
    </row>
    <row r="702" spans="1:2" ht="15.75" x14ac:dyDescent="0.25">
      <c r="A702" s="344">
        <v>15397</v>
      </c>
      <c r="B702" s="345" t="s">
        <v>2755</v>
      </c>
    </row>
    <row r="703" spans="1:2" ht="15.75" x14ac:dyDescent="0.25">
      <c r="A703" s="344">
        <v>15398</v>
      </c>
      <c r="B703" s="345" t="s">
        <v>2756</v>
      </c>
    </row>
    <row r="704" spans="1:2" ht="15.75" x14ac:dyDescent="0.25">
      <c r="A704" s="344">
        <v>15399</v>
      </c>
      <c r="B704" s="345" t="s">
        <v>2757</v>
      </c>
    </row>
    <row r="705" spans="1:2" ht="15.75" x14ac:dyDescent="0.25">
      <c r="A705" s="344">
        <v>15400</v>
      </c>
      <c r="B705" s="345" t="s">
        <v>2758</v>
      </c>
    </row>
    <row r="706" spans="1:2" ht="15.75" x14ac:dyDescent="0.25">
      <c r="A706" s="344">
        <v>15401</v>
      </c>
      <c r="B706" s="345" t="s">
        <v>2759</v>
      </c>
    </row>
    <row r="707" spans="1:2" ht="15.75" x14ac:dyDescent="0.25">
      <c r="A707" s="344">
        <v>15402</v>
      </c>
      <c r="B707" s="345" t="s">
        <v>2760</v>
      </c>
    </row>
    <row r="708" spans="1:2" ht="15.75" x14ac:dyDescent="0.25">
      <c r="A708" s="344">
        <v>15403</v>
      </c>
      <c r="B708" s="345" t="s">
        <v>2761</v>
      </c>
    </row>
    <row r="709" spans="1:2" ht="15.75" x14ac:dyDescent="0.25">
      <c r="A709" s="344">
        <v>15404</v>
      </c>
      <c r="B709" s="345" t="s">
        <v>2762</v>
      </c>
    </row>
    <row r="710" spans="1:2" ht="15.75" x14ac:dyDescent="0.25">
      <c r="A710" s="344">
        <v>15405</v>
      </c>
      <c r="B710" s="345" t="s">
        <v>2763</v>
      </c>
    </row>
    <row r="711" spans="1:2" ht="15.75" x14ac:dyDescent="0.25">
      <c r="A711" s="344">
        <v>15406</v>
      </c>
      <c r="B711" s="345" t="s">
        <v>2764</v>
      </c>
    </row>
    <row r="712" spans="1:2" ht="15.75" x14ac:dyDescent="0.25">
      <c r="A712" s="344">
        <v>15410</v>
      </c>
      <c r="B712" s="345" t="s">
        <v>2765</v>
      </c>
    </row>
    <row r="713" spans="1:2" ht="15.75" x14ac:dyDescent="0.25">
      <c r="A713" s="344">
        <v>15411</v>
      </c>
      <c r="B713" s="345" t="s">
        <v>2766</v>
      </c>
    </row>
    <row r="714" spans="1:2" ht="15.75" x14ac:dyDescent="0.25">
      <c r="A714" s="344">
        <v>15412</v>
      </c>
      <c r="B714" s="345" t="s">
        <v>2767</v>
      </c>
    </row>
    <row r="715" spans="1:2" ht="15.75" x14ac:dyDescent="0.25">
      <c r="A715" s="344">
        <v>15413</v>
      </c>
      <c r="B715" s="345" t="s">
        <v>2768</v>
      </c>
    </row>
    <row r="716" spans="1:2" ht="15.75" x14ac:dyDescent="0.25">
      <c r="A716" s="344">
        <v>15414</v>
      </c>
      <c r="B716" s="345" t="s">
        <v>2769</v>
      </c>
    </row>
    <row r="717" spans="1:2" ht="15.75" x14ac:dyDescent="0.25">
      <c r="A717" s="344">
        <v>15415</v>
      </c>
      <c r="B717" s="345" t="s">
        <v>2770</v>
      </c>
    </row>
    <row r="718" spans="1:2" ht="15.75" x14ac:dyDescent="0.25">
      <c r="A718" s="344">
        <v>15420</v>
      </c>
      <c r="B718" s="345" t="s">
        <v>2771</v>
      </c>
    </row>
    <row r="719" spans="1:2" ht="15.75" x14ac:dyDescent="0.25">
      <c r="A719" s="344">
        <v>15424</v>
      </c>
      <c r="B719" s="345" t="s">
        <v>2772</v>
      </c>
    </row>
    <row r="720" spans="1:2" ht="15.75" x14ac:dyDescent="0.25">
      <c r="A720" s="344">
        <v>15425</v>
      </c>
      <c r="B720" s="345" t="s">
        <v>2773</v>
      </c>
    </row>
    <row r="721" spans="1:2" ht="15.75" x14ac:dyDescent="0.25">
      <c r="A721" s="344">
        <v>15426</v>
      </c>
      <c r="B721" s="345" t="s">
        <v>2774</v>
      </c>
    </row>
    <row r="722" spans="1:2" ht="15.75" x14ac:dyDescent="0.25">
      <c r="A722" s="344">
        <v>15427</v>
      </c>
      <c r="B722" s="345" t="s">
        <v>2775</v>
      </c>
    </row>
    <row r="723" spans="1:2" ht="15.75" x14ac:dyDescent="0.25">
      <c r="A723" s="344">
        <v>15428</v>
      </c>
      <c r="B723" s="345" t="s">
        <v>2776</v>
      </c>
    </row>
    <row r="724" spans="1:2" ht="15.75" x14ac:dyDescent="0.25">
      <c r="A724" s="344">
        <v>15429</v>
      </c>
      <c r="B724" s="345" t="s">
        <v>2777</v>
      </c>
    </row>
    <row r="725" spans="1:2" ht="15.75" x14ac:dyDescent="0.25">
      <c r="A725" s="344">
        <v>15430</v>
      </c>
      <c r="B725" s="345" t="s">
        <v>2778</v>
      </c>
    </row>
    <row r="726" spans="1:2" ht="15.75" x14ac:dyDescent="0.25">
      <c r="A726" s="344">
        <v>15431</v>
      </c>
      <c r="B726" s="345" t="s">
        <v>2779</v>
      </c>
    </row>
    <row r="727" spans="1:2" ht="15.75" x14ac:dyDescent="0.25">
      <c r="A727" s="344">
        <v>15432</v>
      </c>
      <c r="B727" s="345" t="s">
        <v>2780</v>
      </c>
    </row>
    <row r="728" spans="1:2" ht="15.75" x14ac:dyDescent="0.25">
      <c r="A728" s="344">
        <v>15433</v>
      </c>
      <c r="B728" s="345" t="s">
        <v>2781</v>
      </c>
    </row>
    <row r="729" spans="1:2" ht="15.75" x14ac:dyDescent="0.25">
      <c r="A729" s="344">
        <v>15434</v>
      </c>
      <c r="B729" s="345" t="s">
        <v>2782</v>
      </c>
    </row>
    <row r="730" spans="1:2" ht="15.75" x14ac:dyDescent="0.25">
      <c r="A730" s="344">
        <v>15435</v>
      </c>
      <c r="B730" s="345" t="s">
        <v>2783</v>
      </c>
    </row>
    <row r="731" spans="1:2" ht="15.75" x14ac:dyDescent="0.25">
      <c r="A731" s="344">
        <v>15436</v>
      </c>
      <c r="B731" s="345" t="s">
        <v>2784</v>
      </c>
    </row>
    <row r="732" spans="1:2" ht="15.75" x14ac:dyDescent="0.25">
      <c r="A732" s="344">
        <v>15437</v>
      </c>
      <c r="B732" s="345" t="s">
        <v>2785</v>
      </c>
    </row>
    <row r="733" spans="1:2" ht="15.75" x14ac:dyDescent="0.25">
      <c r="A733" s="344">
        <v>15438</v>
      </c>
      <c r="B733" s="345" t="s">
        <v>2786</v>
      </c>
    </row>
    <row r="734" spans="1:2" ht="15.75" x14ac:dyDescent="0.25">
      <c r="A734" s="344">
        <v>15439</v>
      </c>
      <c r="B734" s="345" t="s">
        <v>2787</v>
      </c>
    </row>
    <row r="735" spans="1:2" ht="15.75" x14ac:dyDescent="0.25">
      <c r="A735" s="344">
        <v>15440</v>
      </c>
      <c r="B735" s="345" t="s">
        <v>2788</v>
      </c>
    </row>
    <row r="736" spans="1:2" ht="15.75" x14ac:dyDescent="0.25">
      <c r="A736" s="344">
        <v>15441</v>
      </c>
      <c r="B736" s="345" t="s">
        <v>2789</v>
      </c>
    </row>
    <row r="737" spans="1:2" ht="15.75" x14ac:dyDescent="0.25">
      <c r="A737" s="344">
        <v>15442</v>
      </c>
      <c r="B737" s="345" t="s">
        <v>2790</v>
      </c>
    </row>
    <row r="738" spans="1:2" ht="15.75" x14ac:dyDescent="0.25">
      <c r="A738" s="344">
        <v>15443</v>
      </c>
      <c r="B738" s="345" t="s">
        <v>2791</v>
      </c>
    </row>
    <row r="739" spans="1:2" ht="15.75" x14ac:dyDescent="0.25">
      <c r="A739" s="344">
        <v>15500</v>
      </c>
      <c r="B739" s="345" t="s">
        <v>2792</v>
      </c>
    </row>
    <row r="740" spans="1:2" ht="15.75" x14ac:dyDescent="0.25">
      <c r="A740" s="344">
        <v>15550</v>
      </c>
      <c r="B740" s="345" t="s">
        <v>2793</v>
      </c>
    </row>
    <row r="741" spans="1:2" ht="15.75" x14ac:dyDescent="0.25">
      <c r="A741" s="344">
        <v>15614</v>
      </c>
      <c r="B741" s="345" t="s">
        <v>2794</v>
      </c>
    </row>
    <row r="742" spans="1:2" ht="15.75" x14ac:dyDescent="0.25">
      <c r="A742" s="344">
        <v>15616</v>
      </c>
      <c r="B742" s="345" t="s">
        <v>2795</v>
      </c>
    </row>
    <row r="743" spans="1:2" ht="15.75" x14ac:dyDescent="0.25">
      <c r="A743" s="344">
        <v>15618</v>
      </c>
      <c r="B743" s="345" t="s">
        <v>2796</v>
      </c>
    </row>
    <row r="744" spans="1:2" ht="15.75" x14ac:dyDescent="0.25">
      <c r="A744" s="344">
        <v>15634</v>
      </c>
      <c r="B744" s="345" t="s">
        <v>2797</v>
      </c>
    </row>
    <row r="745" spans="1:2" ht="15.75" x14ac:dyDescent="0.25">
      <c r="A745" s="344">
        <v>15636</v>
      </c>
      <c r="B745" s="345" t="s">
        <v>2798</v>
      </c>
    </row>
    <row r="746" spans="1:2" ht="15.75" x14ac:dyDescent="0.25">
      <c r="A746" s="344">
        <v>15638</v>
      </c>
      <c r="B746" s="345" t="s">
        <v>2799</v>
      </c>
    </row>
    <row r="747" spans="1:2" ht="15.75" x14ac:dyDescent="0.25">
      <c r="A747" s="344">
        <v>15639</v>
      </c>
      <c r="B747" s="345" t="s">
        <v>2800</v>
      </c>
    </row>
    <row r="748" spans="1:2" ht="15.75" x14ac:dyDescent="0.25">
      <c r="A748" s="344">
        <v>15640</v>
      </c>
      <c r="B748" s="345" t="s">
        <v>2801</v>
      </c>
    </row>
    <row r="749" spans="1:2" ht="15.75" x14ac:dyDescent="0.25">
      <c r="A749" s="344">
        <v>15654</v>
      </c>
      <c r="B749" s="345" t="s">
        <v>2802</v>
      </c>
    </row>
    <row r="750" spans="1:2" ht="15.75" x14ac:dyDescent="0.25">
      <c r="A750" s="344">
        <v>15660</v>
      </c>
      <c r="B750" s="345" t="s">
        <v>2803</v>
      </c>
    </row>
    <row r="751" spans="1:2" ht="15.75" x14ac:dyDescent="0.25">
      <c r="A751" s="344">
        <v>15661</v>
      </c>
      <c r="B751" s="345" t="s">
        <v>2804</v>
      </c>
    </row>
    <row r="752" spans="1:2" ht="15.75" x14ac:dyDescent="0.25">
      <c r="A752" s="344">
        <v>15662</v>
      </c>
      <c r="B752" s="345" t="s">
        <v>2805</v>
      </c>
    </row>
    <row r="753" spans="1:2" ht="15.75" x14ac:dyDescent="0.25">
      <c r="A753" s="344">
        <v>15665</v>
      </c>
      <c r="B753" s="345" t="s">
        <v>2806</v>
      </c>
    </row>
    <row r="754" spans="1:2" ht="15.75" x14ac:dyDescent="0.25">
      <c r="A754" s="344">
        <v>15666</v>
      </c>
      <c r="B754" s="345" t="s">
        <v>2807</v>
      </c>
    </row>
    <row r="755" spans="1:2" ht="15.75" x14ac:dyDescent="0.25">
      <c r="A755" s="344">
        <v>15667</v>
      </c>
      <c r="B755" s="345" t="s">
        <v>2808</v>
      </c>
    </row>
    <row r="756" spans="1:2" ht="15.75" x14ac:dyDescent="0.25">
      <c r="A756" s="344">
        <v>15668</v>
      </c>
      <c r="B756" s="345" t="s">
        <v>2809</v>
      </c>
    </row>
    <row r="757" spans="1:2" ht="15.75" x14ac:dyDescent="0.25">
      <c r="A757" s="344">
        <v>15669</v>
      </c>
      <c r="B757" s="345" t="s">
        <v>2810</v>
      </c>
    </row>
    <row r="758" spans="1:2" ht="15.75" x14ac:dyDescent="0.25">
      <c r="A758" s="344">
        <v>15670</v>
      </c>
      <c r="B758" s="345" t="s">
        <v>2811</v>
      </c>
    </row>
    <row r="759" spans="1:2" ht="15.75" x14ac:dyDescent="0.25">
      <c r="A759" s="344">
        <v>15671</v>
      </c>
      <c r="B759" s="345" t="s">
        <v>2812</v>
      </c>
    </row>
    <row r="760" spans="1:2" ht="15.75" x14ac:dyDescent="0.25">
      <c r="A760" s="344">
        <v>15672</v>
      </c>
      <c r="B760" s="345" t="s">
        <v>2813</v>
      </c>
    </row>
    <row r="761" spans="1:2" ht="15.75" x14ac:dyDescent="0.25">
      <c r="A761" s="344">
        <v>15673</v>
      </c>
      <c r="B761" s="345" t="s">
        <v>2814</v>
      </c>
    </row>
    <row r="762" spans="1:2" ht="15.75" x14ac:dyDescent="0.25">
      <c r="A762" s="344">
        <v>15674</v>
      </c>
      <c r="B762" s="345" t="s">
        <v>2815</v>
      </c>
    </row>
    <row r="763" spans="1:2" ht="15.75" x14ac:dyDescent="0.25">
      <c r="A763" s="344">
        <v>15675</v>
      </c>
      <c r="B763" s="345" t="s">
        <v>2816</v>
      </c>
    </row>
    <row r="764" spans="1:2" ht="15.75" x14ac:dyDescent="0.25">
      <c r="A764" s="344">
        <v>15676</v>
      </c>
      <c r="B764" s="345" t="s">
        <v>2817</v>
      </c>
    </row>
    <row r="765" spans="1:2" ht="15.75" x14ac:dyDescent="0.25">
      <c r="A765" s="344">
        <v>15677</v>
      </c>
      <c r="B765" s="345" t="s">
        <v>2818</v>
      </c>
    </row>
    <row r="766" spans="1:2" ht="15.75" x14ac:dyDescent="0.25">
      <c r="A766" s="344">
        <v>15678</v>
      </c>
      <c r="B766" s="345" t="s">
        <v>2819</v>
      </c>
    </row>
    <row r="767" spans="1:2" ht="15.75" x14ac:dyDescent="0.25">
      <c r="A767" s="344">
        <v>15679</v>
      </c>
      <c r="B767" s="345" t="s">
        <v>2820</v>
      </c>
    </row>
    <row r="768" spans="1:2" ht="15.75" x14ac:dyDescent="0.25">
      <c r="A768" s="344">
        <v>15680</v>
      </c>
      <c r="B768" s="345" t="s">
        <v>2821</v>
      </c>
    </row>
    <row r="769" spans="1:2" ht="15.75" x14ac:dyDescent="0.25">
      <c r="A769" s="344">
        <v>15681</v>
      </c>
      <c r="B769" s="345" t="s">
        <v>2822</v>
      </c>
    </row>
    <row r="770" spans="1:2" ht="15.75" x14ac:dyDescent="0.25">
      <c r="A770" s="344">
        <v>15682</v>
      </c>
      <c r="B770" s="345" t="s">
        <v>2823</v>
      </c>
    </row>
    <row r="771" spans="1:2" ht="15.75" x14ac:dyDescent="0.25">
      <c r="A771" s="344">
        <v>15683</v>
      </c>
      <c r="B771" s="345" t="s">
        <v>2824</v>
      </c>
    </row>
    <row r="772" spans="1:2" ht="15.75" x14ac:dyDescent="0.25">
      <c r="A772" s="344">
        <v>15684</v>
      </c>
      <c r="B772" s="345" t="s">
        <v>2825</v>
      </c>
    </row>
    <row r="773" spans="1:2" ht="15.75" x14ac:dyDescent="0.25">
      <c r="A773" s="344">
        <v>15685</v>
      </c>
      <c r="B773" s="345" t="s">
        <v>2826</v>
      </c>
    </row>
    <row r="774" spans="1:2" ht="15.75" x14ac:dyDescent="0.25">
      <c r="A774" s="344">
        <v>15686</v>
      </c>
      <c r="B774" s="345" t="s">
        <v>2827</v>
      </c>
    </row>
    <row r="775" spans="1:2" ht="15.75" x14ac:dyDescent="0.25">
      <c r="A775" s="344">
        <v>15687</v>
      </c>
      <c r="B775" s="345" t="s">
        <v>2828</v>
      </c>
    </row>
    <row r="776" spans="1:2" ht="15.75" x14ac:dyDescent="0.25">
      <c r="A776" s="344">
        <v>15688</v>
      </c>
      <c r="B776" s="345" t="s">
        <v>2829</v>
      </c>
    </row>
    <row r="777" spans="1:2" ht="15.75" x14ac:dyDescent="0.25">
      <c r="A777" s="344">
        <v>15689</v>
      </c>
      <c r="B777" s="345" t="s">
        <v>2830</v>
      </c>
    </row>
    <row r="778" spans="1:2" ht="15.75" x14ac:dyDescent="0.25">
      <c r="A778" s="344">
        <v>15690</v>
      </c>
      <c r="B778" s="345" t="s">
        <v>2831</v>
      </c>
    </row>
    <row r="779" spans="1:2" ht="15.75" x14ac:dyDescent="0.25">
      <c r="A779" s="344">
        <v>15691</v>
      </c>
      <c r="B779" s="345" t="s">
        <v>2832</v>
      </c>
    </row>
    <row r="780" spans="1:2" ht="15.75" x14ac:dyDescent="0.25">
      <c r="A780" s="344">
        <v>15692</v>
      </c>
      <c r="B780" s="345" t="s">
        <v>2833</v>
      </c>
    </row>
    <row r="781" spans="1:2" ht="15.75" x14ac:dyDescent="0.25">
      <c r="A781" s="344">
        <v>15693</v>
      </c>
      <c r="B781" s="345" t="s">
        <v>2834</v>
      </c>
    </row>
    <row r="782" spans="1:2" ht="15.75" x14ac:dyDescent="0.25">
      <c r="A782" s="344">
        <v>15694</v>
      </c>
      <c r="B782" s="345" t="s">
        <v>2835</v>
      </c>
    </row>
    <row r="783" spans="1:2" ht="15.75" x14ac:dyDescent="0.25">
      <c r="A783" s="344">
        <v>15695</v>
      </c>
      <c r="B783" s="345" t="s">
        <v>2836</v>
      </c>
    </row>
    <row r="784" spans="1:2" ht="15.75" x14ac:dyDescent="0.25">
      <c r="A784" s="344">
        <v>15696</v>
      </c>
      <c r="B784" s="345" t="s">
        <v>2837</v>
      </c>
    </row>
    <row r="785" spans="1:2" ht="15.75" x14ac:dyDescent="0.25">
      <c r="A785" s="344">
        <v>15697</v>
      </c>
      <c r="B785" s="345" t="s">
        <v>2838</v>
      </c>
    </row>
    <row r="786" spans="1:2" ht="15.75" x14ac:dyDescent="0.25">
      <c r="A786" s="344">
        <v>15698</v>
      </c>
      <c r="B786" s="345" t="s">
        <v>2839</v>
      </c>
    </row>
    <row r="787" spans="1:2" ht="15.75" x14ac:dyDescent="0.25">
      <c r="A787" s="344">
        <v>15699</v>
      </c>
      <c r="B787" s="345" t="s">
        <v>2840</v>
      </c>
    </row>
    <row r="788" spans="1:2" ht="15.75" x14ac:dyDescent="0.25">
      <c r="A788" s="344">
        <v>15700</v>
      </c>
      <c r="B788" s="345" t="s">
        <v>2841</v>
      </c>
    </row>
    <row r="789" spans="1:2" ht="15.75" x14ac:dyDescent="0.25">
      <c r="A789" s="344">
        <v>15701</v>
      </c>
      <c r="B789" s="345" t="s">
        <v>2842</v>
      </c>
    </row>
    <row r="790" spans="1:2" ht="15.75" x14ac:dyDescent="0.25">
      <c r="A790" s="344">
        <v>15706</v>
      </c>
      <c r="B790" s="345" t="s">
        <v>2843</v>
      </c>
    </row>
    <row r="791" spans="1:2" ht="15.75" x14ac:dyDescent="0.25">
      <c r="A791" s="344">
        <v>15707</v>
      </c>
      <c r="B791" s="345" t="s">
        <v>2844</v>
      </c>
    </row>
    <row r="792" spans="1:2" ht="15.75" x14ac:dyDescent="0.25">
      <c r="A792" s="344">
        <v>15708</v>
      </c>
      <c r="B792" s="345" t="s">
        <v>2845</v>
      </c>
    </row>
    <row r="793" spans="1:2" ht="15.75" x14ac:dyDescent="0.25">
      <c r="A793" s="344">
        <v>15709</v>
      </c>
      <c r="B793" s="345" t="s">
        <v>2846</v>
      </c>
    </row>
    <row r="794" spans="1:2" ht="15.75" x14ac:dyDescent="0.25">
      <c r="A794" s="344">
        <v>15711</v>
      </c>
      <c r="B794" s="345" t="s">
        <v>2847</v>
      </c>
    </row>
    <row r="795" spans="1:2" ht="15.75" x14ac:dyDescent="0.25">
      <c r="A795" s="344">
        <v>15712</v>
      </c>
      <c r="B795" s="345" t="s">
        <v>2848</v>
      </c>
    </row>
    <row r="796" spans="1:2" ht="15.75" x14ac:dyDescent="0.25">
      <c r="A796" s="344">
        <v>15714</v>
      </c>
      <c r="B796" s="345" t="s">
        <v>2849</v>
      </c>
    </row>
    <row r="797" spans="1:2" ht="15.75" x14ac:dyDescent="0.25">
      <c r="A797" s="344">
        <v>15715</v>
      </c>
      <c r="B797" s="345" t="s">
        <v>2850</v>
      </c>
    </row>
    <row r="798" spans="1:2" ht="15.75" x14ac:dyDescent="0.25">
      <c r="A798" s="344">
        <v>15716</v>
      </c>
      <c r="B798" s="345" t="s">
        <v>2851</v>
      </c>
    </row>
    <row r="799" spans="1:2" ht="15.75" x14ac:dyDescent="0.25">
      <c r="A799" s="344">
        <v>15717</v>
      </c>
      <c r="B799" s="345" t="s">
        <v>2852</v>
      </c>
    </row>
    <row r="800" spans="1:2" ht="15.75" x14ac:dyDescent="0.25">
      <c r="A800" s="344">
        <v>15718</v>
      </c>
      <c r="B800" s="345" t="s">
        <v>2853</v>
      </c>
    </row>
    <row r="801" spans="1:2" ht="15.75" x14ac:dyDescent="0.25">
      <c r="A801" s="344">
        <v>15719</v>
      </c>
      <c r="B801" s="345" t="s">
        <v>2854</v>
      </c>
    </row>
    <row r="802" spans="1:2" ht="15.75" x14ac:dyDescent="0.25">
      <c r="A802" s="344">
        <v>15720</v>
      </c>
      <c r="B802" s="345" t="s">
        <v>2855</v>
      </c>
    </row>
    <row r="803" spans="1:2" ht="15.75" x14ac:dyDescent="0.25">
      <c r="A803" s="344">
        <v>15721</v>
      </c>
      <c r="B803" s="345" t="s">
        <v>2856</v>
      </c>
    </row>
    <row r="804" spans="1:2" ht="15.75" x14ac:dyDescent="0.25">
      <c r="A804" s="344">
        <v>15727</v>
      </c>
      <c r="B804" s="345" t="s">
        <v>2857</v>
      </c>
    </row>
    <row r="805" spans="1:2" ht="15.75" x14ac:dyDescent="0.25">
      <c r="A805" s="344">
        <v>15729</v>
      </c>
      <c r="B805" s="345" t="s">
        <v>2858</v>
      </c>
    </row>
    <row r="806" spans="1:2" ht="15.75" x14ac:dyDescent="0.25">
      <c r="A806" s="344">
        <v>15730</v>
      </c>
      <c r="B806" s="345" t="s">
        <v>2859</v>
      </c>
    </row>
    <row r="807" spans="1:2" ht="15.75" x14ac:dyDescent="0.25">
      <c r="A807" s="344">
        <v>15731</v>
      </c>
      <c r="B807" s="345" t="s">
        <v>2860</v>
      </c>
    </row>
    <row r="808" spans="1:2" ht="15.75" x14ac:dyDescent="0.25">
      <c r="A808" s="344">
        <v>15732</v>
      </c>
      <c r="B808" s="345" t="s">
        <v>2861</v>
      </c>
    </row>
    <row r="809" spans="1:2" ht="15.75" x14ac:dyDescent="0.25">
      <c r="A809" s="344">
        <v>15737</v>
      </c>
      <c r="B809" s="345" t="s">
        <v>2862</v>
      </c>
    </row>
    <row r="810" spans="1:2" ht="15.75" x14ac:dyDescent="0.25">
      <c r="A810" s="344">
        <v>15738</v>
      </c>
      <c r="B810" s="345" t="s">
        <v>2863</v>
      </c>
    </row>
    <row r="811" spans="1:2" ht="15.75" x14ac:dyDescent="0.25">
      <c r="A811" s="344">
        <v>15739</v>
      </c>
      <c r="B811" s="345" t="s">
        <v>2864</v>
      </c>
    </row>
    <row r="812" spans="1:2" ht="15.75" x14ac:dyDescent="0.25">
      <c r="A812" s="344">
        <v>15740</v>
      </c>
      <c r="B812" s="345" t="s">
        <v>2865</v>
      </c>
    </row>
    <row r="813" spans="1:2" ht="15.75" x14ac:dyDescent="0.25">
      <c r="A813" s="344">
        <v>15741</v>
      </c>
      <c r="B813" s="345" t="s">
        <v>2866</v>
      </c>
    </row>
    <row r="814" spans="1:2" ht="15.75" x14ac:dyDescent="0.25">
      <c r="A814" s="344">
        <v>15742</v>
      </c>
      <c r="B814" s="345" t="s">
        <v>2867</v>
      </c>
    </row>
    <row r="815" spans="1:2" ht="15.75" x14ac:dyDescent="0.25">
      <c r="A815" s="344">
        <v>15745</v>
      </c>
      <c r="B815" s="345" t="s">
        <v>2868</v>
      </c>
    </row>
    <row r="816" spans="1:2" ht="15.75" x14ac:dyDescent="0.25">
      <c r="A816" s="344">
        <v>15748</v>
      </c>
      <c r="B816" s="345" t="s">
        <v>2869</v>
      </c>
    </row>
    <row r="817" spans="1:2" ht="15.75" x14ac:dyDescent="0.25">
      <c r="A817" s="344">
        <v>15749</v>
      </c>
      <c r="B817" s="345" t="s">
        <v>2870</v>
      </c>
    </row>
    <row r="818" spans="1:2" ht="15.75" x14ac:dyDescent="0.25">
      <c r="A818" s="344">
        <v>15750</v>
      </c>
      <c r="B818" s="345" t="s">
        <v>2871</v>
      </c>
    </row>
    <row r="819" spans="1:2" ht="15.75" x14ac:dyDescent="0.25">
      <c r="A819" s="344">
        <v>15751</v>
      </c>
      <c r="B819" s="345" t="s">
        <v>2872</v>
      </c>
    </row>
    <row r="820" spans="1:2" ht="15.75" x14ac:dyDescent="0.25">
      <c r="A820" s="344">
        <v>15753</v>
      </c>
      <c r="B820" s="345" t="s">
        <v>2873</v>
      </c>
    </row>
    <row r="821" spans="1:2" ht="15.75" x14ac:dyDescent="0.25">
      <c r="A821" s="344">
        <v>15755</v>
      </c>
      <c r="B821" s="345" t="s">
        <v>2874</v>
      </c>
    </row>
    <row r="822" spans="1:2" ht="15.75" x14ac:dyDescent="0.25">
      <c r="A822" s="344">
        <v>15756</v>
      </c>
      <c r="B822" s="345" t="s">
        <v>2875</v>
      </c>
    </row>
    <row r="823" spans="1:2" ht="15.75" x14ac:dyDescent="0.25">
      <c r="A823" s="344">
        <v>15757</v>
      </c>
      <c r="B823" s="345" t="s">
        <v>2876</v>
      </c>
    </row>
    <row r="824" spans="1:2" ht="15.75" x14ac:dyDescent="0.25">
      <c r="A824" s="344">
        <v>15758</v>
      </c>
      <c r="B824" s="345" t="s">
        <v>2877</v>
      </c>
    </row>
    <row r="825" spans="1:2" ht="15.75" x14ac:dyDescent="0.25">
      <c r="A825" s="344">
        <v>15759</v>
      </c>
      <c r="B825" s="345" t="s">
        <v>2878</v>
      </c>
    </row>
    <row r="826" spans="1:2" ht="15.75" x14ac:dyDescent="0.25">
      <c r="A826" s="344">
        <v>15760</v>
      </c>
      <c r="B826" s="345" t="s">
        <v>2879</v>
      </c>
    </row>
    <row r="827" spans="1:2" ht="15.75" x14ac:dyDescent="0.25">
      <c r="A827" s="344">
        <v>15761</v>
      </c>
      <c r="B827" s="345" t="s">
        <v>2880</v>
      </c>
    </row>
    <row r="828" spans="1:2" ht="15.75" x14ac:dyDescent="0.25">
      <c r="A828" s="344">
        <v>15762</v>
      </c>
      <c r="B828" s="345" t="s">
        <v>2881</v>
      </c>
    </row>
    <row r="829" spans="1:2" ht="15.75" x14ac:dyDescent="0.25">
      <c r="A829" s="344">
        <v>15764</v>
      </c>
      <c r="B829" s="345" t="s">
        <v>2882</v>
      </c>
    </row>
    <row r="830" spans="1:2" ht="15.75" x14ac:dyDescent="0.25">
      <c r="A830" s="344">
        <v>15765</v>
      </c>
      <c r="B830" s="345" t="s">
        <v>2883</v>
      </c>
    </row>
    <row r="831" spans="1:2" ht="15.75" x14ac:dyDescent="0.25">
      <c r="A831" s="344">
        <v>15766</v>
      </c>
      <c r="B831" s="345" t="s">
        <v>2884</v>
      </c>
    </row>
    <row r="832" spans="1:2" ht="15.75" x14ac:dyDescent="0.25">
      <c r="A832" s="344">
        <v>15767</v>
      </c>
      <c r="B832" s="345" t="s">
        <v>2885</v>
      </c>
    </row>
    <row r="833" spans="1:2" ht="15.75" x14ac:dyDescent="0.25">
      <c r="A833" s="344">
        <v>15768</v>
      </c>
      <c r="B833" s="345" t="s">
        <v>2886</v>
      </c>
    </row>
    <row r="834" spans="1:2" ht="15.75" x14ac:dyDescent="0.25">
      <c r="A834" s="344">
        <v>15769</v>
      </c>
      <c r="B834" s="345" t="s">
        <v>2887</v>
      </c>
    </row>
    <row r="835" spans="1:2" ht="15.75" x14ac:dyDescent="0.25">
      <c r="A835" s="344">
        <v>15770</v>
      </c>
      <c r="B835" s="345" t="s">
        <v>2888</v>
      </c>
    </row>
    <row r="836" spans="1:2" ht="15.75" x14ac:dyDescent="0.25">
      <c r="A836" s="344">
        <v>15771</v>
      </c>
      <c r="B836" s="345" t="s">
        <v>2889</v>
      </c>
    </row>
    <row r="837" spans="1:2" ht="15.75" x14ac:dyDescent="0.25">
      <c r="A837" s="344">
        <v>15772</v>
      </c>
      <c r="B837" s="345" t="s">
        <v>2890</v>
      </c>
    </row>
    <row r="838" spans="1:2" ht="15.75" x14ac:dyDescent="0.25">
      <c r="A838" s="344">
        <v>15773</v>
      </c>
      <c r="B838" s="345" t="s">
        <v>2891</v>
      </c>
    </row>
    <row r="839" spans="1:2" ht="15.75" x14ac:dyDescent="0.25">
      <c r="A839" s="344">
        <v>15774</v>
      </c>
      <c r="B839" s="345" t="s">
        <v>2892</v>
      </c>
    </row>
    <row r="840" spans="1:2" ht="15.75" x14ac:dyDescent="0.25">
      <c r="A840" s="344">
        <v>15775</v>
      </c>
      <c r="B840" s="345" t="s">
        <v>2893</v>
      </c>
    </row>
    <row r="841" spans="1:2" ht="15.75" x14ac:dyDescent="0.25">
      <c r="A841" s="344">
        <v>15776</v>
      </c>
      <c r="B841" s="345" t="s">
        <v>2894</v>
      </c>
    </row>
    <row r="842" spans="1:2" ht="15.75" x14ac:dyDescent="0.25">
      <c r="A842" s="344">
        <v>15777</v>
      </c>
      <c r="B842" s="345" t="s">
        <v>2895</v>
      </c>
    </row>
    <row r="843" spans="1:2" ht="15.75" x14ac:dyDescent="0.25">
      <c r="A843" s="344">
        <v>15778</v>
      </c>
      <c r="B843" s="345" t="s">
        <v>2896</v>
      </c>
    </row>
    <row r="844" spans="1:2" ht="15.75" x14ac:dyDescent="0.25">
      <c r="A844" s="344">
        <v>15779</v>
      </c>
      <c r="B844" s="345" t="s">
        <v>2897</v>
      </c>
    </row>
    <row r="845" spans="1:2" ht="15.75" x14ac:dyDescent="0.25">
      <c r="A845" s="344">
        <v>15780</v>
      </c>
      <c r="B845" s="345" t="s">
        <v>2898</v>
      </c>
    </row>
    <row r="846" spans="1:2" ht="15.75" x14ac:dyDescent="0.25">
      <c r="A846" s="344">
        <v>15781</v>
      </c>
      <c r="B846" s="345" t="s">
        <v>2864</v>
      </c>
    </row>
    <row r="847" spans="1:2" ht="15.75" x14ac:dyDescent="0.25">
      <c r="A847" s="344">
        <v>15782</v>
      </c>
      <c r="B847" s="345" t="s">
        <v>2899</v>
      </c>
    </row>
    <row r="848" spans="1:2" ht="15.75" x14ac:dyDescent="0.25">
      <c r="A848" s="344">
        <v>15783</v>
      </c>
      <c r="B848" s="345" t="s">
        <v>2900</v>
      </c>
    </row>
    <row r="849" spans="1:2" ht="15.75" x14ac:dyDescent="0.25">
      <c r="A849" s="344">
        <v>15785</v>
      </c>
      <c r="B849" s="345" t="s">
        <v>2901</v>
      </c>
    </row>
    <row r="850" spans="1:2" ht="15.75" x14ac:dyDescent="0.25">
      <c r="A850" s="344">
        <v>15786</v>
      </c>
      <c r="B850" s="345" t="s">
        <v>2902</v>
      </c>
    </row>
    <row r="851" spans="1:2" ht="15.75" x14ac:dyDescent="0.25">
      <c r="A851" s="344">
        <v>15787</v>
      </c>
      <c r="B851" s="345" t="s">
        <v>2903</v>
      </c>
    </row>
    <row r="852" spans="1:2" ht="15.75" x14ac:dyDescent="0.25">
      <c r="A852" s="344">
        <v>15788</v>
      </c>
      <c r="B852" s="345" t="s">
        <v>2904</v>
      </c>
    </row>
    <row r="853" spans="1:2" ht="15.75" x14ac:dyDescent="0.25">
      <c r="A853" s="344">
        <v>15789</v>
      </c>
      <c r="B853" s="345" t="s">
        <v>2905</v>
      </c>
    </row>
    <row r="854" spans="1:2" ht="15.75" x14ac:dyDescent="0.25">
      <c r="A854" s="344">
        <v>15790</v>
      </c>
      <c r="B854" s="345" t="s">
        <v>2906</v>
      </c>
    </row>
    <row r="855" spans="1:2" ht="15.75" x14ac:dyDescent="0.25">
      <c r="A855" s="344">
        <v>15791</v>
      </c>
      <c r="B855" s="345" t="s">
        <v>2907</v>
      </c>
    </row>
    <row r="856" spans="1:2" ht="15.75" x14ac:dyDescent="0.25">
      <c r="A856" s="344">
        <v>15792</v>
      </c>
      <c r="B856" s="345" t="s">
        <v>2908</v>
      </c>
    </row>
    <row r="857" spans="1:2" ht="15.75" x14ac:dyDescent="0.25">
      <c r="A857" s="344">
        <v>15793</v>
      </c>
      <c r="B857" s="345" t="s">
        <v>2909</v>
      </c>
    </row>
    <row r="858" spans="1:2" ht="15.75" x14ac:dyDescent="0.25">
      <c r="A858" s="344">
        <v>15794</v>
      </c>
      <c r="B858" s="345" t="s">
        <v>2910</v>
      </c>
    </row>
    <row r="859" spans="1:2" ht="15.75" x14ac:dyDescent="0.25">
      <c r="A859" s="344">
        <v>15795</v>
      </c>
      <c r="B859" s="345" t="s">
        <v>2911</v>
      </c>
    </row>
    <row r="860" spans="1:2" ht="15.75" x14ac:dyDescent="0.25">
      <c r="A860" s="344">
        <v>15796</v>
      </c>
      <c r="B860" s="345" t="s">
        <v>2912</v>
      </c>
    </row>
    <row r="861" spans="1:2" ht="15.75" x14ac:dyDescent="0.25">
      <c r="A861" s="344">
        <v>15797</v>
      </c>
      <c r="B861" s="345" t="s">
        <v>2913</v>
      </c>
    </row>
    <row r="862" spans="1:2" ht="15.75" x14ac:dyDescent="0.25">
      <c r="A862" s="344">
        <v>15798</v>
      </c>
      <c r="B862" s="345" t="s">
        <v>2914</v>
      </c>
    </row>
    <row r="863" spans="1:2" ht="15.75" x14ac:dyDescent="0.25">
      <c r="A863" s="344">
        <v>15799</v>
      </c>
      <c r="B863" s="345" t="s">
        <v>2915</v>
      </c>
    </row>
    <row r="864" spans="1:2" ht="15.75" x14ac:dyDescent="0.25">
      <c r="A864" s="344">
        <v>15800</v>
      </c>
      <c r="B864" s="345" t="s">
        <v>2916</v>
      </c>
    </row>
    <row r="865" spans="1:2" ht="15.75" x14ac:dyDescent="0.25">
      <c r="A865" s="344">
        <v>15801</v>
      </c>
      <c r="B865" s="345" t="s">
        <v>2917</v>
      </c>
    </row>
    <row r="866" spans="1:2" ht="15.75" x14ac:dyDescent="0.25">
      <c r="A866" s="344">
        <v>15803</v>
      </c>
      <c r="B866" s="345" t="s">
        <v>2918</v>
      </c>
    </row>
    <row r="867" spans="1:2" ht="15.75" x14ac:dyDescent="0.25">
      <c r="A867" s="344">
        <v>15804</v>
      </c>
      <c r="B867" s="345" t="s">
        <v>2919</v>
      </c>
    </row>
    <row r="868" spans="1:2" ht="15.75" x14ac:dyDescent="0.25">
      <c r="A868" s="344">
        <v>15805</v>
      </c>
      <c r="B868" s="345" t="s">
        <v>2920</v>
      </c>
    </row>
    <row r="869" spans="1:2" ht="15.75" x14ac:dyDescent="0.25">
      <c r="A869" s="344">
        <v>15806</v>
      </c>
      <c r="B869" s="345" t="s">
        <v>2921</v>
      </c>
    </row>
    <row r="870" spans="1:2" ht="15.75" x14ac:dyDescent="0.25">
      <c r="A870" s="344">
        <v>15807</v>
      </c>
      <c r="B870" s="345" t="s">
        <v>2922</v>
      </c>
    </row>
    <row r="871" spans="1:2" ht="15.75" x14ac:dyDescent="0.25">
      <c r="A871" s="344">
        <v>15808</v>
      </c>
      <c r="B871" s="345" t="s">
        <v>2923</v>
      </c>
    </row>
    <row r="872" spans="1:2" ht="15.75" x14ac:dyDescent="0.25">
      <c r="A872" s="344">
        <v>15809</v>
      </c>
      <c r="B872" s="345" t="s">
        <v>2924</v>
      </c>
    </row>
    <row r="873" spans="1:2" ht="15.75" x14ac:dyDescent="0.25">
      <c r="A873" s="344">
        <v>15810</v>
      </c>
      <c r="B873" s="345" t="s">
        <v>2925</v>
      </c>
    </row>
    <row r="874" spans="1:2" ht="15.75" x14ac:dyDescent="0.25">
      <c r="A874" s="344">
        <v>15811</v>
      </c>
      <c r="B874" s="345" t="s">
        <v>2926</v>
      </c>
    </row>
    <row r="875" spans="1:2" ht="15.75" x14ac:dyDescent="0.25">
      <c r="A875" s="344">
        <v>15812</v>
      </c>
      <c r="B875" s="345" t="s">
        <v>2927</v>
      </c>
    </row>
    <row r="876" spans="1:2" ht="15.75" x14ac:dyDescent="0.25">
      <c r="A876" s="344">
        <v>15813</v>
      </c>
      <c r="B876" s="345" t="s">
        <v>2928</v>
      </c>
    </row>
    <row r="877" spans="1:2" ht="15.75" x14ac:dyDescent="0.25">
      <c r="A877" s="344">
        <v>15814</v>
      </c>
      <c r="B877" s="345" t="s">
        <v>2929</v>
      </c>
    </row>
    <row r="878" spans="1:2" ht="15.75" x14ac:dyDescent="0.25">
      <c r="A878" s="344">
        <v>15815</v>
      </c>
      <c r="B878" s="345" t="s">
        <v>2930</v>
      </c>
    </row>
    <row r="879" spans="1:2" ht="15.75" x14ac:dyDescent="0.25">
      <c r="A879" s="344">
        <v>15816</v>
      </c>
      <c r="B879" s="345" t="s">
        <v>2931</v>
      </c>
    </row>
    <row r="880" spans="1:2" ht="15.75" x14ac:dyDescent="0.25">
      <c r="A880" s="344">
        <v>15817</v>
      </c>
      <c r="B880" s="345" t="s">
        <v>2932</v>
      </c>
    </row>
    <row r="881" spans="1:2" ht="15.75" x14ac:dyDescent="0.25">
      <c r="A881" s="344">
        <v>15818</v>
      </c>
      <c r="B881" s="345" t="s">
        <v>2933</v>
      </c>
    </row>
    <row r="882" spans="1:2" ht="15.75" x14ac:dyDescent="0.25">
      <c r="A882" s="344">
        <v>15819</v>
      </c>
      <c r="B882" s="345" t="s">
        <v>2934</v>
      </c>
    </row>
    <row r="883" spans="1:2" ht="15.75" x14ac:dyDescent="0.25">
      <c r="A883" s="344">
        <v>15820</v>
      </c>
      <c r="B883" s="345" t="s">
        <v>2933</v>
      </c>
    </row>
    <row r="884" spans="1:2" ht="15.75" x14ac:dyDescent="0.25">
      <c r="A884" s="344">
        <v>15821</v>
      </c>
      <c r="B884" s="345" t="s">
        <v>2935</v>
      </c>
    </row>
    <row r="885" spans="1:2" ht="15.75" x14ac:dyDescent="0.25">
      <c r="A885" s="344">
        <v>15822</v>
      </c>
      <c r="B885" s="345" t="s">
        <v>2936</v>
      </c>
    </row>
    <row r="886" spans="1:2" ht="15.75" x14ac:dyDescent="0.25">
      <c r="A886" s="344">
        <v>15825</v>
      </c>
      <c r="B886" s="345" t="s">
        <v>2937</v>
      </c>
    </row>
    <row r="887" spans="1:2" ht="15.75" x14ac:dyDescent="0.25">
      <c r="A887" s="344">
        <v>15826</v>
      </c>
      <c r="B887" s="345" t="s">
        <v>2938</v>
      </c>
    </row>
    <row r="888" spans="1:2" ht="15.75" x14ac:dyDescent="0.25">
      <c r="A888" s="344">
        <v>15827</v>
      </c>
      <c r="B888" s="345" t="s">
        <v>2939</v>
      </c>
    </row>
    <row r="889" spans="1:2" ht="15.75" x14ac:dyDescent="0.25">
      <c r="A889" s="344">
        <v>15828</v>
      </c>
      <c r="B889" s="345" t="s">
        <v>2940</v>
      </c>
    </row>
    <row r="890" spans="1:2" ht="15.75" x14ac:dyDescent="0.25">
      <c r="A890" s="344">
        <v>15829</v>
      </c>
      <c r="B890" s="345" t="s">
        <v>2941</v>
      </c>
    </row>
    <row r="891" spans="1:2" ht="15.75" x14ac:dyDescent="0.25">
      <c r="A891" s="344">
        <v>15830</v>
      </c>
      <c r="B891" s="345" t="s">
        <v>2942</v>
      </c>
    </row>
    <row r="892" spans="1:2" ht="15.75" x14ac:dyDescent="0.25">
      <c r="A892" s="344">
        <v>15831</v>
      </c>
      <c r="B892" s="345" t="s">
        <v>2943</v>
      </c>
    </row>
    <row r="893" spans="1:2" ht="15.75" x14ac:dyDescent="0.25">
      <c r="A893" s="344">
        <v>15832</v>
      </c>
      <c r="B893" s="345" t="s">
        <v>2944</v>
      </c>
    </row>
    <row r="894" spans="1:2" ht="15.75" x14ac:dyDescent="0.25">
      <c r="A894" s="344">
        <v>15833</v>
      </c>
      <c r="B894" s="345" t="s">
        <v>2945</v>
      </c>
    </row>
    <row r="895" spans="1:2" ht="15.75" x14ac:dyDescent="0.25">
      <c r="A895" s="344">
        <v>15836</v>
      </c>
      <c r="B895" s="345" t="s">
        <v>2946</v>
      </c>
    </row>
    <row r="896" spans="1:2" ht="15.75" x14ac:dyDescent="0.25">
      <c r="A896" s="344">
        <v>15837</v>
      </c>
      <c r="B896" s="345" t="s">
        <v>2947</v>
      </c>
    </row>
    <row r="897" spans="1:2" ht="15.75" x14ac:dyDescent="0.25">
      <c r="A897" s="344">
        <v>15838</v>
      </c>
      <c r="B897" s="345" t="s">
        <v>2948</v>
      </c>
    </row>
    <row r="898" spans="1:2" ht="15.75" x14ac:dyDescent="0.25">
      <c r="A898" s="344">
        <v>15839</v>
      </c>
      <c r="B898" s="345" t="s">
        <v>2949</v>
      </c>
    </row>
    <row r="899" spans="1:2" ht="15.75" x14ac:dyDescent="0.25">
      <c r="A899" s="344">
        <v>15841</v>
      </c>
      <c r="B899" s="345" t="s">
        <v>2950</v>
      </c>
    </row>
    <row r="900" spans="1:2" ht="15.75" x14ac:dyDescent="0.25">
      <c r="A900" s="344">
        <v>15842</v>
      </c>
      <c r="B900" s="345" t="s">
        <v>2951</v>
      </c>
    </row>
    <row r="901" spans="1:2" ht="15.75" x14ac:dyDescent="0.25">
      <c r="A901" s="344">
        <v>15846</v>
      </c>
      <c r="B901" s="345" t="s">
        <v>2952</v>
      </c>
    </row>
    <row r="902" spans="1:2" ht="15.75" x14ac:dyDescent="0.25">
      <c r="A902" s="344">
        <v>15847</v>
      </c>
      <c r="B902" s="345" t="s">
        <v>2953</v>
      </c>
    </row>
    <row r="903" spans="1:2" ht="15.75" x14ac:dyDescent="0.25">
      <c r="A903" s="344">
        <v>15848</v>
      </c>
      <c r="B903" s="345" t="s">
        <v>2954</v>
      </c>
    </row>
    <row r="904" spans="1:2" ht="15.75" x14ac:dyDescent="0.25">
      <c r="A904" s="344">
        <v>15849</v>
      </c>
      <c r="B904" s="345" t="s">
        <v>2955</v>
      </c>
    </row>
    <row r="905" spans="1:2" ht="15.75" x14ac:dyDescent="0.25">
      <c r="A905" s="344">
        <v>15854</v>
      </c>
      <c r="B905" s="345" t="s">
        <v>2956</v>
      </c>
    </row>
    <row r="906" spans="1:2" ht="15.75" x14ac:dyDescent="0.25">
      <c r="A906" s="344">
        <v>15855</v>
      </c>
      <c r="B906" s="345" t="s">
        <v>2957</v>
      </c>
    </row>
    <row r="907" spans="1:2" ht="15.75" x14ac:dyDescent="0.25">
      <c r="A907" s="344">
        <v>15856</v>
      </c>
      <c r="B907" s="345" t="s">
        <v>2958</v>
      </c>
    </row>
    <row r="908" spans="1:2" ht="15.75" x14ac:dyDescent="0.25">
      <c r="A908" s="344">
        <v>15857</v>
      </c>
      <c r="B908" s="345" t="s">
        <v>2959</v>
      </c>
    </row>
    <row r="909" spans="1:2" ht="15.75" x14ac:dyDescent="0.25">
      <c r="A909" s="344">
        <v>15858</v>
      </c>
      <c r="B909" s="345" t="s">
        <v>2960</v>
      </c>
    </row>
    <row r="910" spans="1:2" ht="15.75" x14ac:dyDescent="0.25">
      <c r="A910" s="344">
        <v>15859</v>
      </c>
      <c r="B910" s="345" t="s">
        <v>2961</v>
      </c>
    </row>
    <row r="911" spans="1:2" ht="15.75" x14ac:dyDescent="0.25">
      <c r="A911" s="344">
        <v>15860</v>
      </c>
      <c r="B911" s="345" t="s">
        <v>2962</v>
      </c>
    </row>
    <row r="912" spans="1:2" ht="15.75" x14ac:dyDescent="0.25">
      <c r="A912" s="344">
        <v>15862</v>
      </c>
      <c r="B912" s="345" t="s">
        <v>2963</v>
      </c>
    </row>
    <row r="913" spans="1:2" ht="15.75" x14ac:dyDescent="0.25">
      <c r="A913" s="344">
        <v>15863</v>
      </c>
      <c r="B913" s="345" t="s">
        <v>2964</v>
      </c>
    </row>
    <row r="914" spans="1:2" ht="15.75" x14ac:dyDescent="0.25">
      <c r="A914" s="344">
        <v>15864</v>
      </c>
      <c r="B914" s="345" t="s">
        <v>2965</v>
      </c>
    </row>
    <row r="915" spans="1:2" ht="15.75" x14ac:dyDescent="0.25">
      <c r="A915" s="344">
        <v>15865</v>
      </c>
      <c r="B915" s="345" t="s">
        <v>2966</v>
      </c>
    </row>
    <row r="916" spans="1:2" ht="15.75" x14ac:dyDescent="0.25">
      <c r="A916" s="344">
        <v>15866</v>
      </c>
      <c r="B916" s="345" t="s">
        <v>2967</v>
      </c>
    </row>
    <row r="917" spans="1:2" ht="15.75" x14ac:dyDescent="0.25">
      <c r="A917" s="344">
        <v>15867</v>
      </c>
      <c r="B917" s="345" t="s">
        <v>2968</v>
      </c>
    </row>
    <row r="918" spans="1:2" ht="15.75" x14ac:dyDescent="0.25">
      <c r="A918" s="344">
        <v>15868</v>
      </c>
      <c r="B918" s="345" t="s">
        <v>2969</v>
      </c>
    </row>
    <row r="919" spans="1:2" ht="15.75" x14ac:dyDescent="0.25">
      <c r="A919" s="344">
        <v>15869</v>
      </c>
      <c r="B919" s="345" t="s">
        <v>2970</v>
      </c>
    </row>
    <row r="920" spans="1:2" ht="15.75" x14ac:dyDescent="0.25">
      <c r="A920" s="344">
        <v>15872</v>
      </c>
      <c r="B920" s="345" t="s">
        <v>2971</v>
      </c>
    </row>
    <row r="921" spans="1:2" ht="15.75" x14ac:dyDescent="0.25">
      <c r="A921" s="344">
        <v>15875</v>
      </c>
      <c r="B921" s="345" t="s">
        <v>2972</v>
      </c>
    </row>
    <row r="922" spans="1:2" ht="15.75" x14ac:dyDescent="0.25">
      <c r="A922" s="344">
        <v>15876</v>
      </c>
      <c r="B922" s="345" t="s">
        <v>2973</v>
      </c>
    </row>
    <row r="923" spans="1:2" ht="15.75" x14ac:dyDescent="0.25">
      <c r="A923" s="344">
        <v>15877</v>
      </c>
      <c r="B923" s="345" t="s">
        <v>2974</v>
      </c>
    </row>
    <row r="924" spans="1:2" ht="15.75" x14ac:dyDescent="0.25">
      <c r="A924" s="344">
        <v>15879</v>
      </c>
      <c r="B924" s="345" t="s">
        <v>2975</v>
      </c>
    </row>
    <row r="925" spans="1:2" ht="15.75" x14ac:dyDescent="0.25">
      <c r="A925" s="344">
        <v>15880</v>
      </c>
      <c r="B925" s="345" t="s">
        <v>2976</v>
      </c>
    </row>
    <row r="926" spans="1:2" ht="15.75" x14ac:dyDescent="0.25">
      <c r="A926" s="344">
        <v>15881</v>
      </c>
      <c r="B926" s="345" t="s">
        <v>2977</v>
      </c>
    </row>
    <row r="927" spans="1:2" ht="15.75" x14ac:dyDescent="0.25">
      <c r="A927" s="344">
        <v>15883</v>
      </c>
      <c r="B927" s="345" t="s">
        <v>2978</v>
      </c>
    </row>
    <row r="928" spans="1:2" ht="15.75" x14ac:dyDescent="0.25">
      <c r="A928" s="344">
        <v>15884</v>
      </c>
      <c r="B928" s="345" t="s">
        <v>2979</v>
      </c>
    </row>
    <row r="929" spans="1:2" ht="15.75" x14ac:dyDescent="0.25">
      <c r="A929" s="344">
        <v>15885</v>
      </c>
      <c r="B929" s="345" t="s">
        <v>2980</v>
      </c>
    </row>
    <row r="930" spans="1:2" ht="15.75" x14ac:dyDescent="0.25">
      <c r="A930" s="344">
        <v>15887</v>
      </c>
      <c r="B930" s="345" t="s">
        <v>2981</v>
      </c>
    </row>
    <row r="931" spans="1:2" ht="15.75" x14ac:dyDescent="0.25">
      <c r="A931" s="344">
        <v>15888</v>
      </c>
      <c r="B931" s="345" t="s">
        <v>2982</v>
      </c>
    </row>
    <row r="932" spans="1:2" ht="15.75" x14ac:dyDescent="0.25">
      <c r="A932" s="344">
        <v>15889</v>
      </c>
      <c r="B932" s="345" t="s">
        <v>2983</v>
      </c>
    </row>
    <row r="933" spans="1:2" ht="15.75" x14ac:dyDescent="0.25">
      <c r="A933" s="344">
        <v>15891</v>
      </c>
      <c r="B933" s="345" t="s">
        <v>2984</v>
      </c>
    </row>
    <row r="934" spans="1:2" ht="15.75" x14ac:dyDescent="0.25">
      <c r="A934" s="344">
        <v>15892</v>
      </c>
      <c r="B934" s="345" t="s">
        <v>2985</v>
      </c>
    </row>
    <row r="935" spans="1:2" ht="15.75" x14ac:dyDescent="0.25">
      <c r="A935" s="344">
        <v>15901</v>
      </c>
      <c r="B935" s="345" t="s">
        <v>2986</v>
      </c>
    </row>
    <row r="936" spans="1:2" ht="15.75" x14ac:dyDescent="0.25">
      <c r="A936" s="344">
        <v>15902</v>
      </c>
      <c r="B936" s="345" t="s">
        <v>2987</v>
      </c>
    </row>
    <row r="937" spans="1:2" ht="15.75" x14ac:dyDescent="0.25">
      <c r="A937" s="344">
        <v>15903</v>
      </c>
      <c r="B937" s="345" t="s">
        <v>2988</v>
      </c>
    </row>
    <row r="938" spans="1:2" ht="15.75" x14ac:dyDescent="0.25">
      <c r="A938" s="344">
        <v>15904</v>
      </c>
      <c r="B938" s="345" t="s">
        <v>2989</v>
      </c>
    </row>
    <row r="939" spans="1:2" ht="15.75" x14ac:dyDescent="0.25">
      <c r="A939" s="344">
        <v>15905</v>
      </c>
      <c r="B939" s="345" t="s">
        <v>2990</v>
      </c>
    </row>
    <row r="940" spans="1:2" ht="15.75" x14ac:dyDescent="0.25">
      <c r="A940" s="344">
        <v>15906</v>
      </c>
      <c r="B940" s="345" t="s">
        <v>2991</v>
      </c>
    </row>
    <row r="941" spans="1:2" ht="15.75" x14ac:dyDescent="0.25">
      <c r="A941" s="344">
        <v>15907</v>
      </c>
      <c r="B941" s="345" t="s">
        <v>2992</v>
      </c>
    </row>
    <row r="942" spans="1:2" ht="15.75" x14ac:dyDescent="0.25">
      <c r="A942" s="344">
        <v>15908</v>
      </c>
      <c r="B942" s="345" t="s">
        <v>2993</v>
      </c>
    </row>
    <row r="943" spans="1:2" ht="15.75" x14ac:dyDescent="0.25">
      <c r="A943" s="344">
        <v>15909</v>
      </c>
      <c r="B943" s="345" t="s">
        <v>2994</v>
      </c>
    </row>
    <row r="944" spans="1:2" ht="15.75" x14ac:dyDescent="0.25">
      <c r="A944" s="344">
        <v>15910</v>
      </c>
      <c r="B944" s="345" t="s">
        <v>2995</v>
      </c>
    </row>
    <row r="945" spans="1:2" ht="15.75" x14ac:dyDescent="0.25">
      <c r="A945" s="344">
        <v>15911</v>
      </c>
      <c r="B945" s="345" t="s">
        <v>2996</v>
      </c>
    </row>
    <row r="946" spans="1:2" ht="15.75" x14ac:dyDescent="0.25">
      <c r="A946" s="344">
        <v>15912</v>
      </c>
      <c r="B946" s="345" t="s">
        <v>2997</v>
      </c>
    </row>
    <row r="947" spans="1:2" ht="15.75" x14ac:dyDescent="0.25">
      <c r="A947" s="344">
        <v>15913</v>
      </c>
      <c r="B947" s="345" t="s">
        <v>2998</v>
      </c>
    </row>
    <row r="948" spans="1:2" ht="15.75" x14ac:dyDescent="0.25">
      <c r="A948" s="344">
        <v>15914</v>
      </c>
      <c r="B948" s="345" t="s">
        <v>2999</v>
      </c>
    </row>
    <row r="949" spans="1:2" ht="15.75" x14ac:dyDescent="0.25">
      <c r="A949" s="344">
        <v>15915</v>
      </c>
      <c r="B949" s="345" t="s">
        <v>3000</v>
      </c>
    </row>
    <row r="950" spans="1:2" ht="15.75" x14ac:dyDescent="0.25">
      <c r="A950" s="344">
        <v>15916</v>
      </c>
      <c r="B950" s="345" t="s">
        <v>3001</v>
      </c>
    </row>
    <row r="951" spans="1:2" ht="15.75" x14ac:dyDescent="0.25">
      <c r="A951" s="344">
        <v>15917</v>
      </c>
      <c r="B951" s="345" t="s">
        <v>3002</v>
      </c>
    </row>
    <row r="952" spans="1:2" ht="15.75" x14ac:dyDescent="0.25">
      <c r="A952" s="344">
        <v>15918</v>
      </c>
      <c r="B952" s="345" t="s">
        <v>3003</v>
      </c>
    </row>
    <row r="953" spans="1:2" ht="15.75" x14ac:dyDescent="0.25">
      <c r="A953" s="344">
        <v>15919</v>
      </c>
      <c r="B953" s="345" t="s">
        <v>3004</v>
      </c>
    </row>
    <row r="954" spans="1:2" ht="15.75" x14ac:dyDescent="0.25">
      <c r="A954" s="344">
        <v>15920</v>
      </c>
      <c r="B954" s="345" t="s">
        <v>3005</v>
      </c>
    </row>
    <row r="955" spans="1:2" ht="15.75" x14ac:dyDescent="0.25">
      <c r="A955" s="344">
        <v>15921</v>
      </c>
      <c r="B955" s="345" t="s">
        <v>3006</v>
      </c>
    </row>
    <row r="956" spans="1:2" ht="15.75" x14ac:dyDescent="0.25">
      <c r="A956" s="344">
        <v>15922</v>
      </c>
      <c r="B956" s="345" t="s">
        <v>3007</v>
      </c>
    </row>
    <row r="957" spans="1:2" ht="15.75" x14ac:dyDescent="0.25">
      <c r="A957" s="344">
        <v>15923</v>
      </c>
      <c r="B957" s="345" t="s">
        <v>3008</v>
      </c>
    </row>
    <row r="958" spans="1:2" ht="15.75" x14ac:dyDescent="0.25">
      <c r="A958" s="344">
        <v>15924</v>
      </c>
      <c r="B958" s="345" t="s">
        <v>3009</v>
      </c>
    </row>
    <row r="959" spans="1:2" ht="15.75" x14ac:dyDescent="0.25">
      <c r="A959" s="344">
        <v>15925</v>
      </c>
      <c r="B959" s="345" t="s">
        <v>3010</v>
      </c>
    </row>
    <row r="960" spans="1:2" ht="15.75" x14ac:dyDescent="0.25">
      <c r="A960" s="344">
        <v>15926</v>
      </c>
      <c r="B960" s="345" t="s">
        <v>3011</v>
      </c>
    </row>
    <row r="961" spans="1:2" ht="15.75" x14ac:dyDescent="0.25">
      <c r="A961" s="344">
        <v>15927</v>
      </c>
      <c r="B961" s="345" t="s">
        <v>3012</v>
      </c>
    </row>
    <row r="962" spans="1:2" ht="15.75" x14ac:dyDescent="0.25">
      <c r="A962" s="344">
        <v>15928</v>
      </c>
      <c r="B962" s="345" t="s">
        <v>3013</v>
      </c>
    </row>
    <row r="963" spans="1:2" ht="15.75" x14ac:dyDescent="0.25">
      <c r="A963" s="344">
        <v>15929</v>
      </c>
      <c r="B963" s="345" t="s">
        <v>3014</v>
      </c>
    </row>
    <row r="964" spans="1:2" ht="15.75" x14ac:dyDescent="0.25">
      <c r="A964" s="344">
        <v>15930</v>
      </c>
      <c r="B964" s="345" t="s">
        <v>3015</v>
      </c>
    </row>
    <row r="965" spans="1:2" ht="15.75" x14ac:dyDescent="0.25">
      <c r="A965" s="344">
        <v>15931</v>
      </c>
      <c r="B965" s="345" t="s">
        <v>3016</v>
      </c>
    </row>
    <row r="966" spans="1:2" ht="15.75" x14ac:dyDescent="0.25">
      <c r="A966" s="344">
        <v>15932</v>
      </c>
      <c r="B966" s="345" t="s">
        <v>3017</v>
      </c>
    </row>
    <row r="967" spans="1:2" ht="15.75" x14ac:dyDescent="0.25">
      <c r="A967" s="344">
        <v>15933</v>
      </c>
      <c r="B967" s="345" t="s">
        <v>3018</v>
      </c>
    </row>
    <row r="968" spans="1:2" ht="15.75" x14ac:dyDescent="0.25">
      <c r="A968" s="344">
        <v>15934</v>
      </c>
      <c r="B968" s="345" t="s">
        <v>3019</v>
      </c>
    </row>
    <row r="969" spans="1:2" ht="15.75" x14ac:dyDescent="0.25">
      <c r="A969" s="344">
        <v>15935</v>
      </c>
      <c r="B969" s="345" t="s">
        <v>3020</v>
      </c>
    </row>
    <row r="970" spans="1:2" ht="15.75" x14ac:dyDescent="0.25">
      <c r="A970" s="344">
        <v>15936</v>
      </c>
      <c r="B970" s="345" t="s">
        <v>3021</v>
      </c>
    </row>
    <row r="971" spans="1:2" ht="15.75" x14ac:dyDescent="0.25">
      <c r="A971" s="344">
        <v>15937</v>
      </c>
      <c r="B971" s="345" t="s">
        <v>3022</v>
      </c>
    </row>
    <row r="972" spans="1:2" ht="15.75" x14ac:dyDescent="0.25">
      <c r="A972" s="344">
        <v>15938</v>
      </c>
      <c r="B972" s="345" t="s">
        <v>3023</v>
      </c>
    </row>
    <row r="973" spans="1:2" ht="15.75" x14ac:dyDescent="0.25">
      <c r="A973" s="344">
        <v>15939</v>
      </c>
      <c r="B973" s="345" t="s">
        <v>3024</v>
      </c>
    </row>
    <row r="974" spans="1:2" ht="15.75" x14ac:dyDescent="0.25">
      <c r="A974" s="344">
        <v>15940</v>
      </c>
      <c r="B974" s="345" t="s">
        <v>3025</v>
      </c>
    </row>
    <row r="975" spans="1:2" ht="15.75" x14ac:dyDescent="0.25">
      <c r="A975" s="344">
        <v>15941</v>
      </c>
      <c r="B975" s="345" t="s">
        <v>3026</v>
      </c>
    </row>
    <row r="976" spans="1:2" ht="15.75" x14ac:dyDescent="0.25">
      <c r="A976" s="344">
        <v>15942</v>
      </c>
      <c r="B976" s="345" t="s">
        <v>3027</v>
      </c>
    </row>
    <row r="977" spans="1:2" ht="15.75" x14ac:dyDescent="0.25">
      <c r="A977" s="344">
        <v>15943</v>
      </c>
      <c r="B977" s="345" t="s">
        <v>3028</v>
      </c>
    </row>
    <row r="978" spans="1:2" ht="15.75" x14ac:dyDescent="0.25">
      <c r="A978" s="344">
        <v>15944</v>
      </c>
      <c r="B978" s="345" t="s">
        <v>3029</v>
      </c>
    </row>
    <row r="979" spans="1:2" ht="15.75" x14ac:dyDescent="0.25">
      <c r="A979" s="344">
        <v>15945</v>
      </c>
      <c r="B979" s="345" t="s">
        <v>3030</v>
      </c>
    </row>
    <row r="980" spans="1:2" ht="15.75" x14ac:dyDescent="0.25">
      <c r="A980" s="344">
        <v>15946</v>
      </c>
      <c r="B980" s="345" t="s">
        <v>3031</v>
      </c>
    </row>
    <row r="981" spans="1:2" ht="15.75" x14ac:dyDescent="0.25">
      <c r="A981" s="344">
        <v>15947</v>
      </c>
      <c r="B981" s="345" t="s">
        <v>3032</v>
      </c>
    </row>
    <row r="982" spans="1:2" ht="15.75" x14ac:dyDescent="0.25">
      <c r="A982" s="344">
        <v>15948</v>
      </c>
      <c r="B982" s="345" t="s">
        <v>3033</v>
      </c>
    </row>
    <row r="983" spans="1:2" ht="15.75" x14ac:dyDescent="0.25">
      <c r="A983" s="344">
        <v>15949</v>
      </c>
      <c r="B983" s="345" t="s">
        <v>3034</v>
      </c>
    </row>
    <row r="984" spans="1:2" ht="15.75" x14ac:dyDescent="0.25">
      <c r="A984" s="344">
        <v>15950</v>
      </c>
      <c r="B984" s="345" t="s">
        <v>3035</v>
      </c>
    </row>
    <row r="985" spans="1:2" ht="15.75" x14ac:dyDescent="0.25">
      <c r="A985" s="344">
        <v>15951</v>
      </c>
      <c r="B985" s="345" t="s">
        <v>3036</v>
      </c>
    </row>
    <row r="986" spans="1:2" ht="15.75" x14ac:dyDescent="0.25">
      <c r="A986" s="344">
        <v>15952</v>
      </c>
      <c r="B986" s="345" t="s">
        <v>3037</v>
      </c>
    </row>
    <row r="987" spans="1:2" ht="15.75" x14ac:dyDescent="0.25">
      <c r="A987" s="344">
        <v>15953</v>
      </c>
      <c r="B987" s="345" t="s">
        <v>3038</v>
      </c>
    </row>
    <row r="988" spans="1:2" ht="15.75" x14ac:dyDescent="0.25">
      <c r="A988" s="344">
        <v>15954</v>
      </c>
      <c r="B988" s="345" t="s">
        <v>3039</v>
      </c>
    </row>
    <row r="989" spans="1:2" ht="15.75" x14ac:dyDescent="0.25">
      <c r="A989" s="344">
        <v>15955</v>
      </c>
      <c r="B989" s="345" t="s">
        <v>3040</v>
      </c>
    </row>
    <row r="990" spans="1:2" ht="15.75" x14ac:dyDescent="0.25">
      <c r="A990" s="344">
        <v>15956</v>
      </c>
      <c r="B990" s="345" t="s">
        <v>3041</v>
      </c>
    </row>
    <row r="991" spans="1:2" ht="15.75" x14ac:dyDescent="0.25">
      <c r="A991" s="344">
        <v>15957</v>
      </c>
      <c r="B991" s="345" t="s">
        <v>3042</v>
      </c>
    </row>
    <row r="992" spans="1:2" ht="15.75" x14ac:dyDescent="0.25">
      <c r="A992" s="344">
        <v>15958</v>
      </c>
      <c r="B992" s="345" t="s">
        <v>3043</v>
      </c>
    </row>
    <row r="993" spans="1:2" ht="15.75" x14ac:dyDescent="0.25">
      <c r="A993" s="344">
        <v>15959</v>
      </c>
      <c r="B993" s="345" t="s">
        <v>3044</v>
      </c>
    </row>
    <row r="994" spans="1:2" ht="15.75" x14ac:dyDescent="0.25">
      <c r="A994" s="344">
        <v>15960</v>
      </c>
      <c r="B994" s="345" t="s">
        <v>3045</v>
      </c>
    </row>
    <row r="995" spans="1:2" ht="15.75" x14ac:dyDescent="0.25">
      <c r="A995" s="344">
        <v>15961</v>
      </c>
      <c r="B995" s="345" t="s">
        <v>3046</v>
      </c>
    </row>
    <row r="996" spans="1:2" ht="15.75" x14ac:dyDescent="0.25">
      <c r="A996" s="344">
        <v>15962</v>
      </c>
      <c r="B996" s="345" t="s">
        <v>3047</v>
      </c>
    </row>
    <row r="997" spans="1:2" ht="15.75" x14ac:dyDescent="0.25">
      <c r="A997" s="344">
        <v>15963</v>
      </c>
      <c r="B997" s="345" t="s">
        <v>3048</v>
      </c>
    </row>
    <row r="998" spans="1:2" ht="15.75" x14ac:dyDescent="0.25">
      <c r="A998" s="344">
        <v>15964</v>
      </c>
      <c r="B998" s="345" t="s">
        <v>3049</v>
      </c>
    </row>
    <row r="999" spans="1:2" ht="15.75" x14ac:dyDescent="0.25">
      <c r="A999" s="344">
        <v>15965</v>
      </c>
      <c r="B999" s="345" t="s">
        <v>3050</v>
      </c>
    </row>
    <row r="1000" spans="1:2" ht="15.75" x14ac:dyDescent="0.25">
      <c r="A1000" s="344">
        <v>15966</v>
      </c>
      <c r="B1000" s="345" t="s">
        <v>3051</v>
      </c>
    </row>
    <row r="1001" spans="1:2" ht="15.75" x14ac:dyDescent="0.25">
      <c r="A1001" s="344">
        <v>15967</v>
      </c>
      <c r="B1001" s="345" t="s">
        <v>3052</v>
      </c>
    </row>
    <row r="1002" spans="1:2" ht="15.75" x14ac:dyDescent="0.25">
      <c r="A1002" s="344">
        <v>15968</v>
      </c>
      <c r="B1002" s="345" t="s">
        <v>3053</v>
      </c>
    </row>
    <row r="1003" spans="1:2" ht="15.75" x14ac:dyDescent="0.25">
      <c r="A1003" s="344">
        <v>15969</v>
      </c>
      <c r="B1003" s="345" t="s">
        <v>3054</v>
      </c>
    </row>
    <row r="1004" spans="1:2" ht="15.75" x14ac:dyDescent="0.25">
      <c r="A1004" s="344">
        <v>15970</v>
      </c>
      <c r="B1004" s="345" t="s">
        <v>3055</v>
      </c>
    </row>
    <row r="1005" spans="1:2" ht="15.75" x14ac:dyDescent="0.25">
      <c r="A1005" s="344">
        <v>15971</v>
      </c>
      <c r="B1005" s="345" t="s">
        <v>3056</v>
      </c>
    </row>
    <row r="1006" spans="1:2" ht="15.75" x14ac:dyDescent="0.25">
      <c r="A1006" s="344">
        <v>15972</v>
      </c>
      <c r="B1006" s="345" t="s">
        <v>3057</v>
      </c>
    </row>
    <row r="1007" spans="1:2" ht="15.75" x14ac:dyDescent="0.25">
      <c r="A1007" s="344">
        <v>15973</v>
      </c>
      <c r="B1007" s="345" t="s">
        <v>3058</v>
      </c>
    </row>
    <row r="1008" spans="1:2" ht="15.75" x14ac:dyDescent="0.25">
      <c r="A1008" s="344">
        <v>15974</v>
      </c>
      <c r="B1008" s="345" t="s">
        <v>3059</v>
      </c>
    </row>
    <row r="1009" spans="1:2" ht="15.75" x14ac:dyDescent="0.25">
      <c r="A1009" s="344">
        <v>15975</v>
      </c>
      <c r="B1009" s="345" t="s">
        <v>3060</v>
      </c>
    </row>
    <row r="1010" spans="1:2" ht="15.75" x14ac:dyDescent="0.25">
      <c r="A1010" s="344">
        <v>15976</v>
      </c>
      <c r="B1010" s="345" t="s">
        <v>3061</v>
      </c>
    </row>
    <row r="1011" spans="1:2" ht="15.75" x14ac:dyDescent="0.25">
      <c r="A1011" s="344">
        <v>15977</v>
      </c>
      <c r="B1011" s="345" t="s">
        <v>3062</v>
      </c>
    </row>
    <row r="1012" spans="1:2" ht="15.75" x14ac:dyDescent="0.25">
      <c r="A1012" s="344">
        <v>15978</v>
      </c>
      <c r="B1012" s="345" t="s">
        <v>3063</v>
      </c>
    </row>
    <row r="1013" spans="1:2" ht="15.75" x14ac:dyDescent="0.25">
      <c r="A1013" s="344">
        <v>15979</v>
      </c>
      <c r="B1013" s="345" t="s">
        <v>3064</v>
      </c>
    </row>
    <row r="1014" spans="1:2" ht="15.75" x14ac:dyDescent="0.25">
      <c r="A1014" s="344">
        <v>15980</v>
      </c>
      <c r="B1014" s="345" t="s">
        <v>3065</v>
      </c>
    </row>
    <row r="1015" spans="1:2" ht="15.75" x14ac:dyDescent="0.25">
      <c r="A1015" s="344">
        <v>15981</v>
      </c>
      <c r="B1015" s="345" t="s">
        <v>3066</v>
      </c>
    </row>
    <row r="1016" spans="1:2" ht="15.75" x14ac:dyDescent="0.25">
      <c r="A1016" s="344">
        <v>15982</v>
      </c>
      <c r="B1016" s="345" t="s">
        <v>3067</v>
      </c>
    </row>
    <row r="1017" spans="1:2" ht="15.75" x14ac:dyDescent="0.25">
      <c r="A1017" s="344">
        <v>15983</v>
      </c>
      <c r="B1017" s="345" t="s">
        <v>3068</v>
      </c>
    </row>
    <row r="1018" spans="1:2" ht="15.75" x14ac:dyDescent="0.25">
      <c r="A1018" s="344">
        <v>15984</v>
      </c>
      <c r="B1018" s="345" t="s">
        <v>3069</v>
      </c>
    </row>
    <row r="1019" spans="1:2" ht="15.75" x14ac:dyDescent="0.25">
      <c r="A1019" s="344">
        <v>15985</v>
      </c>
      <c r="B1019" s="345" t="s">
        <v>3070</v>
      </c>
    </row>
    <row r="1020" spans="1:2" ht="15.75" x14ac:dyDescent="0.25">
      <c r="A1020" s="344">
        <v>15986</v>
      </c>
      <c r="B1020" s="345" t="s">
        <v>3071</v>
      </c>
    </row>
    <row r="1021" spans="1:2" ht="15.75" x14ac:dyDescent="0.25">
      <c r="A1021" s="344">
        <v>15997</v>
      </c>
      <c r="B1021" s="345" t="s">
        <v>3072</v>
      </c>
    </row>
    <row r="1022" spans="1:2" ht="15.75" x14ac:dyDescent="0.25">
      <c r="A1022" s="344">
        <v>15998</v>
      </c>
      <c r="B1022" s="345" t="s">
        <v>3073</v>
      </c>
    </row>
    <row r="1023" spans="1:2" ht="15.75" x14ac:dyDescent="0.25">
      <c r="A1023" s="344">
        <v>16000</v>
      </c>
      <c r="B1023" s="345" t="s">
        <v>3074</v>
      </c>
    </row>
    <row r="1024" spans="1:2" ht="15.75" x14ac:dyDescent="0.25">
      <c r="A1024" s="344">
        <v>16010</v>
      </c>
      <c r="B1024" s="345" t="s">
        <v>3074</v>
      </c>
    </row>
    <row r="1025" spans="1:2" ht="15.75" x14ac:dyDescent="0.25">
      <c r="A1025" s="344">
        <v>16011</v>
      </c>
      <c r="B1025" s="345" t="s">
        <v>3075</v>
      </c>
    </row>
    <row r="1026" spans="1:2" ht="15.75" x14ac:dyDescent="0.25">
      <c r="A1026" s="344">
        <v>16012</v>
      </c>
      <c r="B1026" s="345" t="s">
        <v>3076</v>
      </c>
    </row>
    <row r="1027" spans="1:2" ht="15.75" x14ac:dyDescent="0.25">
      <c r="A1027" s="344">
        <v>16013</v>
      </c>
      <c r="B1027" s="345" t="s">
        <v>3077</v>
      </c>
    </row>
    <row r="1028" spans="1:2" ht="15.75" x14ac:dyDescent="0.25">
      <c r="A1028" s="344">
        <v>16014</v>
      </c>
      <c r="B1028" s="345" t="s">
        <v>3078</v>
      </c>
    </row>
    <row r="1029" spans="1:2" ht="15.75" x14ac:dyDescent="0.25">
      <c r="A1029" s="344">
        <v>16015</v>
      </c>
      <c r="B1029" s="345" t="s">
        <v>3079</v>
      </c>
    </row>
    <row r="1030" spans="1:2" ht="15.75" x14ac:dyDescent="0.25">
      <c r="A1030" s="344">
        <v>16020</v>
      </c>
      <c r="B1030" s="345" t="s">
        <v>3080</v>
      </c>
    </row>
    <row r="1031" spans="1:2" ht="15.75" x14ac:dyDescent="0.25">
      <c r="A1031" s="344">
        <v>16021</v>
      </c>
      <c r="B1031" s="345" t="s">
        <v>3081</v>
      </c>
    </row>
    <row r="1032" spans="1:2" ht="15.75" x14ac:dyDescent="0.25">
      <c r="A1032" s="344">
        <v>16022</v>
      </c>
      <c r="B1032" s="345" t="s">
        <v>3082</v>
      </c>
    </row>
    <row r="1033" spans="1:2" ht="15.75" x14ac:dyDescent="0.25">
      <c r="A1033" s="344">
        <v>16023</v>
      </c>
      <c r="B1033" s="345" t="s">
        <v>3083</v>
      </c>
    </row>
    <row r="1034" spans="1:2" ht="15.75" x14ac:dyDescent="0.25">
      <c r="A1034" s="344">
        <v>16024</v>
      </c>
      <c r="B1034" s="345" t="s">
        <v>3084</v>
      </c>
    </row>
    <row r="1035" spans="1:2" ht="15.75" x14ac:dyDescent="0.25">
      <c r="A1035" s="344">
        <v>16030</v>
      </c>
      <c r="B1035" s="345" t="s">
        <v>2251</v>
      </c>
    </row>
    <row r="1036" spans="1:2" ht="15.75" x14ac:dyDescent="0.25">
      <c r="A1036" s="344">
        <v>17000</v>
      </c>
      <c r="B1036" s="345" t="s">
        <v>3085</v>
      </c>
    </row>
    <row r="1037" spans="1:2" ht="15.75" x14ac:dyDescent="0.25">
      <c r="A1037" s="344">
        <v>17010</v>
      </c>
      <c r="B1037" s="345" t="s">
        <v>3086</v>
      </c>
    </row>
    <row r="1038" spans="1:2" ht="15.75" x14ac:dyDescent="0.25">
      <c r="A1038" s="344">
        <v>17030</v>
      </c>
      <c r="B1038" s="345" t="s">
        <v>3087</v>
      </c>
    </row>
    <row r="1039" spans="1:2" ht="15.75" x14ac:dyDescent="0.25">
      <c r="A1039" s="344">
        <v>17040</v>
      </c>
      <c r="B1039" s="345" t="s">
        <v>3088</v>
      </c>
    </row>
    <row r="1040" spans="1:2" ht="15.75" x14ac:dyDescent="0.25">
      <c r="A1040" s="344">
        <v>17050</v>
      </c>
      <c r="B1040" s="345" t="s">
        <v>3089</v>
      </c>
    </row>
    <row r="1041" spans="1:2" ht="15.75" x14ac:dyDescent="0.25">
      <c r="A1041" s="344">
        <v>17055</v>
      </c>
      <c r="B1041" s="345" t="s">
        <v>3090</v>
      </c>
    </row>
    <row r="1042" spans="1:2" ht="15.75" x14ac:dyDescent="0.25">
      <c r="A1042" s="344">
        <v>17057</v>
      </c>
      <c r="B1042" s="345" t="s">
        <v>3091</v>
      </c>
    </row>
    <row r="1043" spans="1:2" ht="15.75" x14ac:dyDescent="0.25">
      <c r="A1043" s="344">
        <v>17058</v>
      </c>
      <c r="B1043" s="345" t="s">
        <v>3092</v>
      </c>
    </row>
    <row r="1044" spans="1:2" ht="15.75" x14ac:dyDescent="0.25">
      <c r="A1044" s="344">
        <v>17059</v>
      </c>
      <c r="B1044" s="345" t="s">
        <v>3093</v>
      </c>
    </row>
    <row r="1045" spans="1:2" ht="15.75" x14ac:dyDescent="0.25">
      <c r="A1045" s="344">
        <v>17060</v>
      </c>
      <c r="B1045" s="345" t="s">
        <v>3094</v>
      </c>
    </row>
    <row r="1046" spans="1:2" ht="15.75" x14ac:dyDescent="0.25">
      <c r="A1046" s="344">
        <v>17070</v>
      </c>
      <c r="B1046" s="345" t="s">
        <v>3095</v>
      </c>
    </row>
    <row r="1047" spans="1:2" ht="15.75" x14ac:dyDescent="0.25">
      <c r="A1047" s="344">
        <v>17080</v>
      </c>
      <c r="B1047" s="345" t="s">
        <v>3096</v>
      </c>
    </row>
    <row r="1048" spans="1:2" ht="15.75" x14ac:dyDescent="0.25">
      <c r="A1048" s="344">
        <v>17090</v>
      </c>
      <c r="B1048" s="345" t="s">
        <v>3097</v>
      </c>
    </row>
    <row r="1049" spans="1:2" ht="15.75" x14ac:dyDescent="0.25">
      <c r="A1049" s="344">
        <v>17093</v>
      </c>
      <c r="B1049" s="345" t="s">
        <v>3098</v>
      </c>
    </row>
    <row r="1050" spans="1:2" ht="15.75" x14ac:dyDescent="0.25">
      <c r="A1050" s="344">
        <v>17095</v>
      </c>
      <c r="B1050" s="345" t="s">
        <v>3099</v>
      </c>
    </row>
    <row r="1051" spans="1:2" ht="15.75" x14ac:dyDescent="0.25">
      <c r="A1051" s="344">
        <v>17096</v>
      </c>
      <c r="B1051" s="345" t="s">
        <v>3100</v>
      </c>
    </row>
    <row r="1052" spans="1:2" ht="15.75" x14ac:dyDescent="0.25">
      <c r="A1052" s="344">
        <v>17100</v>
      </c>
      <c r="B1052" s="345" t="s">
        <v>3101</v>
      </c>
    </row>
    <row r="1053" spans="1:2" ht="15.75" x14ac:dyDescent="0.25">
      <c r="A1053" s="344">
        <v>17102</v>
      </c>
      <c r="B1053" s="345" t="s">
        <v>3102</v>
      </c>
    </row>
    <row r="1054" spans="1:2" ht="15.75" x14ac:dyDescent="0.25">
      <c r="A1054" s="344">
        <v>17105</v>
      </c>
      <c r="B1054" s="345" t="s">
        <v>3103</v>
      </c>
    </row>
    <row r="1055" spans="1:2" ht="15.75" x14ac:dyDescent="0.25">
      <c r="A1055" s="344">
        <v>17110</v>
      </c>
      <c r="B1055" s="345" t="s">
        <v>3104</v>
      </c>
    </row>
    <row r="1056" spans="1:2" ht="15.75" x14ac:dyDescent="0.25">
      <c r="A1056" s="344">
        <v>17111</v>
      </c>
      <c r="B1056" s="345" t="s">
        <v>3105</v>
      </c>
    </row>
    <row r="1057" spans="1:2" ht="15.75" x14ac:dyDescent="0.25">
      <c r="A1057" s="344">
        <v>17112</v>
      </c>
      <c r="B1057" s="345" t="s">
        <v>3106</v>
      </c>
    </row>
    <row r="1058" spans="1:2" ht="15.75" x14ac:dyDescent="0.25">
      <c r="A1058" s="344">
        <v>17113</v>
      </c>
      <c r="B1058" s="345" t="s">
        <v>3107</v>
      </c>
    </row>
    <row r="1059" spans="1:2" ht="15.75" x14ac:dyDescent="0.25">
      <c r="A1059" s="344">
        <v>17120</v>
      </c>
      <c r="B1059" s="345" t="s">
        <v>3108</v>
      </c>
    </row>
    <row r="1060" spans="1:2" ht="15.75" x14ac:dyDescent="0.25">
      <c r="A1060" s="344">
        <v>17130</v>
      </c>
      <c r="B1060" s="345" t="s">
        <v>3109</v>
      </c>
    </row>
    <row r="1061" spans="1:2" ht="15.75" x14ac:dyDescent="0.25">
      <c r="A1061" s="344">
        <v>17160</v>
      </c>
      <c r="B1061" s="345" t="s">
        <v>3110</v>
      </c>
    </row>
    <row r="1062" spans="1:2" ht="15.75" x14ac:dyDescent="0.25">
      <c r="A1062" s="344">
        <v>17170</v>
      </c>
      <c r="B1062" s="345" t="s">
        <v>3111</v>
      </c>
    </row>
    <row r="1063" spans="1:2" ht="15.75" x14ac:dyDescent="0.25">
      <c r="A1063" s="344">
        <v>17180</v>
      </c>
      <c r="B1063" s="345" t="s">
        <v>3112</v>
      </c>
    </row>
    <row r="1064" spans="1:2" ht="15.75" x14ac:dyDescent="0.25">
      <c r="A1064" s="344">
        <v>17185</v>
      </c>
      <c r="B1064" s="345" t="s">
        <v>3113</v>
      </c>
    </row>
    <row r="1065" spans="1:2" ht="15.75" x14ac:dyDescent="0.25">
      <c r="A1065" s="344">
        <v>17190</v>
      </c>
      <c r="B1065" s="345" t="s">
        <v>3114</v>
      </c>
    </row>
    <row r="1066" spans="1:2" ht="15.75" x14ac:dyDescent="0.25">
      <c r="A1066" s="344">
        <v>17195</v>
      </c>
      <c r="B1066" s="345" t="s">
        <v>3115</v>
      </c>
    </row>
    <row r="1067" spans="1:2" ht="15.75" x14ac:dyDescent="0.25">
      <c r="A1067" s="344">
        <v>17200</v>
      </c>
      <c r="B1067" s="345" t="s">
        <v>3116</v>
      </c>
    </row>
    <row r="1068" spans="1:2" ht="15.75" x14ac:dyDescent="0.25">
      <c r="A1068" s="344">
        <v>17201</v>
      </c>
      <c r="B1068" s="345" t="s">
        <v>3117</v>
      </c>
    </row>
    <row r="1069" spans="1:2" ht="15.75" x14ac:dyDescent="0.25">
      <c r="A1069" s="344">
        <v>17210</v>
      </c>
      <c r="B1069" s="345" t="s">
        <v>3117</v>
      </c>
    </row>
    <row r="1070" spans="1:2" ht="15.75" x14ac:dyDescent="0.25">
      <c r="A1070" s="344">
        <v>17220</v>
      </c>
      <c r="B1070" s="345" t="s">
        <v>3118</v>
      </c>
    </row>
    <row r="1071" spans="1:2" ht="15.75" x14ac:dyDescent="0.25">
      <c r="A1071" s="344">
        <v>17230</v>
      </c>
      <c r="B1071" s="345" t="s">
        <v>3119</v>
      </c>
    </row>
    <row r="1072" spans="1:2" ht="15.75" x14ac:dyDescent="0.25">
      <c r="A1072" s="344">
        <v>17240</v>
      </c>
      <c r="B1072" s="345" t="s">
        <v>3120</v>
      </c>
    </row>
    <row r="1073" spans="1:2" ht="15.75" x14ac:dyDescent="0.25">
      <c r="A1073" s="344">
        <v>17250</v>
      </c>
      <c r="B1073" s="345" t="s">
        <v>3121</v>
      </c>
    </row>
    <row r="1074" spans="1:2" ht="15.75" x14ac:dyDescent="0.25">
      <c r="A1074" s="344">
        <v>17260</v>
      </c>
      <c r="B1074" s="345" t="s">
        <v>3122</v>
      </c>
    </row>
    <row r="1075" spans="1:2" ht="15.75" x14ac:dyDescent="0.25">
      <c r="A1075" s="344">
        <v>17270</v>
      </c>
      <c r="B1075" s="345" t="s">
        <v>3123</v>
      </c>
    </row>
    <row r="1076" spans="1:2" ht="15.75" x14ac:dyDescent="0.25">
      <c r="A1076" s="344">
        <v>17280</v>
      </c>
      <c r="B1076" s="345" t="s">
        <v>3124</v>
      </c>
    </row>
    <row r="1077" spans="1:2" ht="15.75" x14ac:dyDescent="0.25">
      <c r="A1077" s="344">
        <v>17290</v>
      </c>
      <c r="B1077" s="345" t="s">
        <v>3125</v>
      </c>
    </row>
    <row r="1078" spans="1:2" ht="15.75" x14ac:dyDescent="0.25">
      <c r="A1078" s="344">
        <v>17291</v>
      </c>
      <c r="B1078" s="345" t="s">
        <v>3126</v>
      </c>
    </row>
    <row r="1079" spans="1:2" ht="15.75" x14ac:dyDescent="0.25">
      <c r="A1079" s="344">
        <v>17292</v>
      </c>
      <c r="B1079" s="345" t="s">
        <v>3127</v>
      </c>
    </row>
    <row r="1080" spans="1:2" ht="15.75" x14ac:dyDescent="0.25">
      <c r="A1080" s="344">
        <v>17300</v>
      </c>
      <c r="B1080" s="345" t="s">
        <v>3128</v>
      </c>
    </row>
    <row r="1081" spans="1:2" ht="15.75" x14ac:dyDescent="0.25">
      <c r="A1081" s="344">
        <v>17310</v>
      </c>
      <c r="B1081" s="345" t="s">
        <v>3129</v>
      </c>
    </row>
    <row r="1082" spans="1:2" ht="15.75" x14ac:dyDescent="0.25">
      <c r="A1082" s="344">
        <v>17500</v>
      </c>
      <c r="B1082" s="345" t="s">
        <v>3130</v>
      </c>
    </row>
    <row r="1083" spans="1:2" ht="15.75" x14ac:dyDescent="0.25">
      <c r="A1083" s="344">
        <v>17510</v>
      </c>
      <c r="B1083" s="345" t="s">
        <v>3131</v>
      </c>
    </row>
    <row r="1084" spans="1:2" ht="15.75" x14ac:dyDescent="0.25">
      <c r="A1084" s="344">
        <v>18000</v>
      </c>
      <c r="B1084" s="345" t="s">
        <v>3132</v>
      </c>
    </row>
    <row r="1085" spans="1:2" ht="15.75" x14ac:dyDescent="0.25">
      <c r="A1085" s="344">
        <v>18010</v>
      </c>
      <c r="B1085" s="345" t="s">
        <v>3133</v>
      </c>
    </row>
    <row r="1086" spans="1:2" ht="15.75" x14ac:dyDescent="0.25">
      <c r="A1086" s="344">
        <v>18020</v>
      </c>
      <c r="B1086" s="345" t="s">
        <v>2141</v>
      </c>
    </row>
    <row r="1087" spans="1:2" ht="15.75" x14ac:dyDescent="0.25">
      <c r="A1087" s="344">
        <v>18030</v>
      </c>
      <c r="B1087" s="345" t="s">
        <v>3134</v>
      </c>
    </row>
    <row r="1088" spans="1:2" ht="15.75" x14ac:dyDescent="0.25">
      <c r="A1088" s="344">
        <v>18040</v>
      </c>
      <c r="B1088" s="345" t="s">
        <v>3135</v>
      </c>
    </row>
    <row r="1089" spans="1:2" ht="15.75" x14ac:dyDescent="0.25">
      <c r="A1089" s="344">
        <v>18045</v>
      </c>
      <c r="B1089" s="345" t="s">
        <v>3136</v>
      </c>
    </row>
    <row r="1090" spans="1:2" ht="15.75" x14ac:dyDescent="0.25">
      <c r="A1090" s="344">
        <v>18050</v>
      </c>
      <c r="B1090" s="345" t="s">
        <v>3137</v>
      </c>
    </row>
    <row r="1091" spans="1:2" ht="15.75" x14ac:dyDescent="0.25">
      <c r="A1091" s="344">
        <v>18055</v>
      </c>
      <c r="B1091" s="345" t="s">
        <v>3138</v>
      </c>
    </row>
    <row r="1092" spans="1:2" ht="15.75" x14ac:dyDescent="0.25">
      <c r="A1092" s="344">
        <v>18060</v>
      </c>
      <c r="B1092" s="345" t="s">
        <v>3139</v>
      </c>
    </row>
    <row r="1093" spans="1:2" ht="15.75" x14ac:dyDescent="0.25">
      <c r="A1093" s="344">
        <v>18070</v>
      </c>
      <c r="B1093" s="345" t="s">
        <v>3140</v>
      </c>
    </row>
    <row r="1094" spans="1:2" ht="15.75" x14ac:dyDescent="0.25">
      <c r="A1094" s="344">
        <v>18080</v>
      </c>
      <c r="B1094" s="345" t="s">
        <v>3141</v>
      </c>
    </row>
    <row r="1095" spans="1:2" ht="15.75" x14ac:dyDescent="0.25">
      <c r="A1095" s="344">
        <v>18085</v>
      </c>
      <c r="B1095" s="345" t="s">
        <v>2382</v>
      </c>
    </row>
    <row r="1096" spans="1:2" ht="15.75" x14ac:dyDescent="0.25">
      <c r="A1096" s="344">
        <v>18086</v>
      </c>
      <c r="B1096" s="345" t="s">
        <v>3142</v>
      </c>
    </row>
    <row r="1097" spans="1:2" ht="15.75" x14ac:dyDescent="0.25">
      <c r="A1097" s="344">
        <v>18090</v>
      </c>
      <c r="B1097" s="345" t="s">
        <v>3143</v>
      </c>
    </row>
    <row r="1098" spans="1:2" ht="15.75" x14ac:dyDescent="0.25">
      <c r="A1098" s="344">
        <v>18095</v>
      </c>
      <c r="B1098" s="345" t="s">
        <v>3132</v>
      </c>
    </row>
    <row r="1099" spans="1:2" ht="15.75" x14ac:dyDescent="0.25">
      <c r="A1099" s="344">
        <v>18096</v>
      </c>
      <c r="B1099" s="345" t="s">
        <v>3144</v>
      </c>
    </row>
    <row r="1100" spans="1:2" ht="15.75" x14ac:dyDescent="0.25">
      <c r="A1100" s="344">
        <v>18097</v>
      </c>
      <c r="B1100" s="345" t="s">
        <v>3145</v>
      </c>
    </row>
    <row r="1101" spans="1:2" ht="15.75" x14ac:dyDescent="0.25">
      <c r="A1101" s="344">
        <v>18098</v>
      </c>
      <c r="B1101" s="345" t="s">
        <v>3146</v>
      </c>
    </row>
    <row r="1102" spans="1:2" ht="15.75" x14ac:dyDescent="0.25">
      <c r="A1102" s="344">
        <v>20000</v>
      </c>
      <c r="B1102" s="345" t="s">
        <v>3147</v>
      </c>
    </row>
    <row r="1103" spans="1:2" ht="15.75" x14ac:dyDescent="0.25">
      <c r="A1103" s="344">
        <v>20001</v>
      </c>
      <c r="B1103" s="345" t="s">
        <v>3148</v>
      </c>
    </row>
    <row r="1104" spans="1:2" ht="15.75" x14ac:dyDescent="0.25">
      <c r="A1104" s="344">
        <v>20100</v>
      </c>
      <c r="B1104" s="345" t="s">
        <v>3149</v>
      </c>
    </row>
    <row r="1105" spans="1:2" ht="15.75" x14ac:dyDescent="0.25">
      <c r="A1105" s="344">
        <v>21000</v>
      </c>
      <c r="B1105" s="345" t="s">
        <v>3150</v>
      </c>
    </row>
    <row r="1106" spans="1:2" ht="15.75" x14ac:dyDescent="0.25">
      <c r="A1106" s="344">
        <v>21010</v>
      </c>
      <c r="B1106" s="345" t="s">
        <v>3151</v>
      </c>
    </row>
    <row r="1107" spans="1:2" ht="15.75" x14ac:dyDescent="0.25">
      <c r="A1107" s="344">
        <v>21011</v>
      </c>
      <c r="B1107" s="345" t="s">
        <v>3152</v>
      </c>
    </row>
    <row r="1108" spans="1:2" ht="15.75" x14ac:dyDescent="0.25">
      <c r="A1108" s="344">
        <v>21012</v>
      </c>
      <c r="B1108" s="345" t="s">
        <v>3153</v>
      </c>
    </row>
    <row r="1109" spans="1:2" ht="15.75" x14ac:dyDescent="0.25">
      <c r="A1109" s="344">
        <v>21014</v>
      </c>
      <c r="B1109" s="345" t="s">
        <v>3154</v>
      </c>
    </row>
    <row r="1110" spans="1:2" ht="15.75" x14ac:dyDescent="0.25">
      <c r="A1110" s="344">
        <v>21015</v>
      </c>
      <c r="B1110" s="345" t="s">
        <v>3155</v>
      </c>
    </row>
    <row r="1111" spans="1:2" ht="15.75" x14ac:dyDescent="0.25">
      <c r="A1111" s="344">
        <v>21016</v>
      </c>
      <c r="B1111" s="345" t="s">
        <v>3156</v>
      </c>
    </row>
    <row r="1112" spans="1:2" ht="15.75" x14ac:dyDescent="0.25">
      <c r="A1112" s="344">
        <v>21017</v>
      </c>
      <c r="B1112" s="345" t="s">
        <v>3157</v>
      </c>
    </row>
    <row r="1113" spans="1:2" ht="15.75" x14ac:dyDescent="0.25">
      <c r="A1113" s="344">
        <v>21018</v>
      </c>
      <c r="B1113" s="345" t="s">
        <v>3158</v>
      </c>
    </row>
    <row r="1114" spans="1:2" ht="15.75" x14ac:dyDescent="0.25">
      <c r="A1114" s="344">
        <v>21019</v>
      </c>
      <c r="B1114" s="345" t="s">
        <v>3159</v>
      </c>
    </row>
    <row r="1115" spans="1:2" ht="15.75" x14ac:dyDescent="0.25">
      <c r="A1115" s="344">
        <v>21020</v>
      </c>
      <c r="B1115" s="345" t="s">
        <v>3160</v>
      </c>
    </row>
    <row r="1116" spans="1:2" ht="15.75" x14ac:dyDescent="0.25">
      <c r="A1116" s="344">
        <v>21025</v>
      </c>
      <c r="B1116" s="345" t="s">
        <v>3161</v>
      </c>
    </row>
    <row r="1117" spans="1:2" ht="15.75" x14ac:dyDescent="0.25">
      <c r="A1117" s="344">
        <v>21026</v>
      </c>
      <c r="B1117" s="345" t="s">
        <v>3162</v>
      </c>
    </row>
    <row r="1118" spans="1:2" ht="15.75" x14ac:dyDescent="0.25">
      <c r="A1118" s="344">
        <v>21027</v>
      </c>
      <c r="B1118" s="345" t="s">
        <v>3163</v>
      </c>
    </row>
    <row r="1119" spans="1:2" ht="15.75" x14ac:dyDescent="0.25">
      <c r="A1119" s="344">
        <v>21028</v>
      </c>
      <c r="B1119" s="345" t="s">
        <v>3164</v>
      </c>
    </row>
    <row r="1120" spans="1:2" ht="15.75" x14ac:dyDescent="0.25">
      <c r="A1120" s="344">
        <v>21040</v>
      </c>
      <c r="B1120" s="345" t="s">
        <v>3165</v>
      </c>
    </row>
    <row r="1121" spans="1:2" ht="15.75" x14ac:dyDescent="0.25">
      <c r="A1121" s="344">
        <v>21045</v>
      </c>
      <c r="B1121" s="345" t="s">
        <v>3166</v>
      </c>
    </row>
    <row r="1122" spans="1:2" ht="15.75" x14ac:dyDescent="0.25">
      <c r="A1122" s="344">
        <v>21046</v>
      </c>
      <c r="B1122" s="345" t="s">
        <v>3167</v>
      </c>
    </row>
    <row r="1123" spans="1:2" ht="15.75" x14ac:dyDescent="0.25">
      <c r="A1123" s="344">
        <v>21047</v>
      </c>
      <c r="B1123" s="345" t="s">
        <v>3168</v>
      </c>
    </row>
    <row r="1124" spans="1:2" ht="15.75" x14ac:dyDescent="0.25">
      <c r="A1124" s="344">
        <v>21048</v>
      </c>
      <c r="B1124" s="345" t="s">
        <v>3169</v>
      </c>
    </row>
    <row r="1125" spans="1:2" ht="15.75" x14ac:dyDescent="0.25">
      <c r="A1125" s="344">
        <v>21049</v>
      </c>
      <c r="B1125" s="345" t="s">
        <v>3170</v>
      </c>
    </row>
    <row r="1126" spans="1:2" ht="15.75" x14ac:dyDescent="0.25">
      <c r="A1126" s="344">
        <v>21050</v>
      </c>
      <c r="B1126" s="345" t="s">
        <v>3171</v>
      </c>
    </row>
    <row r="1127" spans="1:2" ht="15.75" x14ac:dyDescent="0.25">
      <c r="A1127" s="344">
        <v>21052</v>
      </c>
      <c r="B1127" s="345" t="s">
        <v>3172</v>
      </c>
    </row>
    <row r="1128" spans="1:2" ht="15.75" x14ac:dyDescent="0.25">
      <c r="A1128" s="344">
        <v>21055</v>
      </c>
      <c r="B1128" s="345" t="s">
        <v>1735</v>
      </c>
    </row>
    <row r="1129" spans="1:2" ht="15.75" x14ac:dyDescent="0.25">
      <c r="A1129" s="344">
        <v>21057</v>
      </c>
      <c r="B1129" s="345" t="s">
        <v>3173</v>
      </c>
    </row>
    <row r="1130" spans="1:2" ht="15.75" x14ac:dyDescent="0.25">
      <c r="A1130" s="344">
        <v>21058</v>
      </c>
      <c r="B1130" s="345" t="s">
        <v>3174</v>
      </c>
    </row>
    <row r="1131" spans="1:2" ht="15.75" x14ac:dyDescent="0.25">
      <c r="A1131" s="344">
        <v>21059</v>
      </c>
      <c r="B1131" s="345" t="s">
        <v>3175</v>
      </c>
    </row>
    <row r="1132" spans="1:2" ht="15.75" x14ac:dyDescent="0.25">
      <c r="A1132" s="344">
        <v>21060</v>
      </c>
      <c r="B1132" s="345" t="s">
        <v>3176</v>
      </c>
    </row>
    <row r="1133" spans="1:2" ht="15.75" x14ac:dyDescent="0.25">
      <c r="A1133" s="344">
        <v>21061</v>
      </c>
      <c r="B1133" s="345" t="s">
        <v>3177</v>
      </c>
    </row>
    <row r="1134" spans="1:2" ht="15.75" x14ac:dyDescent="0.25">
      <c r="A1134" s="344">
        <v>21062</v>
      </c>
      <c r="B1134" s="345" t="s">
        <v>3178</v>
      </c>
    </row>
    <row r="1135" spans="1:2" ht="15.75" x14ac:dyDescent="0.25">
      <c r="A1135" s="344">
        <v>21063</v>
      </c>
      <c r="B1135" s="345" t="s">
        <v>3179</v>
      </c>
    </row>
    <row r="1136" spans="1:2" ht="15.75" x14ac:dyDescent="0.25">
      <c r="A1136" s="344">
        <v>21064</v>
      </c>
      <c r="B1136" s="345" t="s">
        <v>3180</v>
      </c>
    </row>
    <row r="1137" spans="1:2" ht="15.75" x14ac:dyDescent="0.25">
      <c r="A1137" s="344">
        <v>21065</v>
      </c>
      <c r="B1137" s="345" t="s">
        <v>3181</v>
      </c>
    </row>
    <row r="1138" spans="1:2" ht="15.75" x14ac:dyDescent="0.25">
      <c r="A1138" s="344">
        <v>21066</v>
      </c>
      <c r="B1138" s="345" t="s">
        <v>3182</v>
      </c>
    </row>
    <row r="1139" spans="1:2" ht="15.75" x14ac:dyDescent="0.25">
      <c r="A1139" s="344">
        <v>21067</v>
      </c>
      <c r="B1139" s="345" t="s">
        <v>3183</v>
      </c>
    </row>
    <row r="1140" spans="1:2" ht="15.75" x14ac:dyDescent="0.25">
      <c r="A1140" s="344">
        <v>21068</v>
      </c>
      <c r="B1140" s="345" t="s">
        <v>3184</v>
      </c>
    </row>
    <row r="1141" spans="1:2" ht="15.75" x14ac:dyDescent="0.25">
      <c r="A1141" s="344">
        <v>21069</v>
      </c>
      <c r="B1141" s="345" t="s">
        <v>3185</v>
      </c>
    </row>
    <row r="1142" spans="1:2" ht="15.75" x14ac:dyDescent="0.25">
      <c r="A1142" s="344">
        <v>21070</v>
      </c>
      <c r="B1142" s="345" t="s">
        <v>3186</v>
      </c>
    </row>
    <row r="1143" spans="1:2" ht="15.75" x14ac:dyDescent="0.25">
      <c r="A1143" s="344">
        <v>21071</v>
      </c>
      <c r="B1143" s="345" t="s">
        <v>3187</v>
      </c>
    </row>
    <row r="1144" spans="1:2" ht="15.75" x14ac:dyDescent="0.25">
      <c r="A1144" s="344">
        <v>21072</v>
      </c>
      <c r="B1144" s="345" t="s">
        <v>3188</v>
      </c>
    </row>
    <row r="1145" spans="1:2" ht="15.75" x14ac:dyDescent="0.25">
      <c r="A1145" s="344">
        <v>21073</v>
      </c>
      <c r="B1145" s="345" t="s">
        <v>3189</v>
      </c>
    </row>
    <row r="1146" spans="1:2" ht="15.75" x14ac:dyDescent="0.25">
      <c r="A1146" s="344">
        <v>22000</v>
      </c>
      <c r="B1146" s="345" t="s">
        <v>3190</v>
      </c>
    </row>
    <row r="1147" spans="1:2" ht="15.75" x14ac:dyDescent="0.25">
      <c r="A1147" s="344">
        <v>22005</v>
      </c>
      <c r="B1147" s="345" t="s">
        <v>3191</v>
      </c>
    </row>
    <row r="1148" spans="1:2" ht="15.75" x14ac:dyDescent="0.25">
      <c r="A1148" s="344">
        <v>22006</v>
      </c>
      <c r="B1148" s="345" t="s">
        <v>3192</v>
      </c>
    </row>
    <row r="1149" spans="1:2" ht="15.75" x14ac:dyDescent="0.25">
      <c r="A1149" s="344">
        <v>22010</v>
      </c>
      <c r="B1149" s="345" t="s">
        <v>3193</v>
      </c>
    </row>
    <row r="1150" spans="1:2" ht="15.75" x14ac:dyDescent="0.25">
      <c r="A1150" s="344">
        <v>22011</v>
      </c>
      <c r="B1150" s="345" t="s">
        <v>3194</v>
      </c>
    </row>
    <row r="1151" spans="1:2" ht="15.75" x14ac:dyDescent="0.25">
      <c r="A1151" s="344">
        <v>22012</v>
      </c>
      <c r="B1151" s="345" t="s">
        <v>3195</v>
      </c>
    </row>
    <row r="1152" spans="1:2" ht="15.75" x14ac:dyDescent="0.25">
      <c r="A1152" s="344">
        <v>22013</v>
      </c>
      <c r="B1152" s="345" t="s">
        <v>3196</v>
      </c>
    </row>
    <row r="1153" spans="1:2" ht="15.75" x14ac:dyDescent="0.25">
      <c r="A1153" s="344">
        <v>22015</v>
      </c>
      <c r="B1153" s="345" t="s">
        <v>3197</v>
      </c>
    </row>
    <row r="1154" spans="1:2" ht="15.75" x14ac:dyDescent="0.25">
      <c r="A1154" s="344">
        <v>22016</v>
      </c>
      <c r="B1154" s="345" t="s">
        <v>3198</v>
      </c>
    </row>
    <row r="1155" spans="1:2" ht="15.75" x14ac:dyDescent="0.25">
      <c r="A1155" s="344">
        <v>22017</v>
      </c>
      <c r="B1155" s="345" t="s">
        <v>3199</v>
      </c>
    </row>
    <row r="1156" spans="1:2" ht="15.75" x14ac:dyDescent="0.25">
      <c r="A1156" s="344">
        <v>22018</v>
      </c>
      <c r="B1156" s="345" t="s">
        <v>3200</v>
      </c>
    </row>
    <row r="1157" spans="1:2" ht="15.75" x14ac:dyDescent="0.25">
      <c r="A1157" s="344">
        <v>22019</v>
      </c>
      <c r="B1157" s="345" t="s">
        <v>3201</v>
      </c>
    </row>
    <row r="1158" spans="1:2" ht="15.75" x14ac:dyDescent="0.25">
      <c r="A1158" s="344">
        <v>22020</v>
      </c>
      <c r="B1158" s="345" t="s">
        <v>3202</v>
      </c>
    </row>
    <row r="1159" spans="1:2" ht="15.75" x14ac:dyDescent="0.25">
      <c r="A1159" s="344">
        <v>22021</v>
      </c>
      <c r="B1159" s="345" t="s">
        <v>3203</v>
      </c>
    </row>
    <row r="1160" spans="1:2" ht="15.75" x14ac:dyDescent="0.25">
      <c r="A1160" s="344">
        <v>22022</v>
      </c>
      <c r="B1160" s="345" t="s">
        <v>3204</v>
      </c>
    </row>
    <row r="1161" spans="1:2" ht="15.75" x14ac:dyDescent="0.25">
      <c r="A1161" s="344">
        <v>22025</v>
      </c>
      <c r="B1161" s="345" t="s">
        <v>3205</v>
      </c>
    </row>
    <row r="1162" spans="1:2" ht="15.75" x14ac:dyDescent="0.25">
      <c r="A1162" s="344">
        <v>22026</v>
      </c>
      <c r="B1162" s="345" t="s">
        <v>3206</v>
      </c>
    </row>
    <row r="1163" spans="1:2" ht="15.75" x14ac:dyDescent="0.25">
      <c r="A1163" s="344">
        <v>22028</v>
      </c>
      <c r="B1163" s="345" t="s">
        <v>3207</v>
      </c>
    </row>
    <row r="1164" spans="1:2" ht="15.75" x14ac:dyDescent="0.25">
      <c r="A1164" s="344">
        <v>22030</v>
      </c>
      <c r="B1164" s="345" t="s">
        <v>3208</v>
      </c>
    </row>
    <row r="1165" spans="1:2" ht="15.75" x14ac:dyDescent="0.25">
      <c r="A1165" s="344">
        <v>22031</v>
      </c>
      <c r="B1165" s="345" t="s">
        <v>3209</v>
      </c>
    </row>
    <row r="1166" spans="1:2" ht="15.75" x14ac:dyDescent="0.25">
      <c r="A1166" s="344">
        <v>22032</v>
      </c>
      <c r="B1166" s="345" t="s">
        <v>3210</v>
      </c>
    </row>
    <row r="1167" spans="1:2" ht="15.75" x14ac:dyDescent="0.25">
      <c r="A1167" s="344">
        <v>22033</v>
      </c>
      <c r="B1167" s="345" t="s">
        <v>3211</v>
      </c>
    </row>
    <row r="1168" spans="1:2" ht="15.75" x14ac:dyDescent="0.25">
      <c r="A1168" s="344">
        <v>22034</v>
      </c>
      <c r="B1168" s="345" t="s">
        <v>3212</v>
      </c>
    </row>
    <row r="1169" spans="1:2" ht="15.75" x14ac:dyDescent="0.25">
      <c r="A1169" s="344">
        <v>22035</v>
      </c>
      <c r="B1169" s="345" t="s">
        <v>3213</v>
      </c>
    </row>
    <row r="1170" spans="1:2" ht="15.75" x14ac:dyDescent="0.25">
      <c r="A1170" s="344">
        <v>22036</v>
      </c>
      <c r="B1170" s="345" t="s">
        <v>3214</v>
      </c>
    </row>
    <row r="1171" spans="1:2" ht="15.75" x14ac:dyDescent="0.25">
      <c r="A1171" s="344">
        <v>22040</v>
      </c>
      <c r="B1171" s="345" t="s">
        <v>3215</v>
      </c>
    </row>
    <row r="1172" spans="1:2" ht="15.75" x14ac:dyDescent="0.25">
      <c r="A1172" s="344">
        <v>22041</v>
      </c>
      <c r="B1172" s="345" t="s">
        <v>3216</v>
      </c>
    </row>
    <row r="1173" spans="1:2" ht="15.75" x14ac:dyDescent="0.25">
      <c r="A1173" s="344">
        <v>22042</v>
      </c>
      <c r="B1173" s="345" t="s">
        <v>3217</v>
      </c>
    </row>
    <row r="1174" spans="1:2" ht="15.75" x14ac:dyDescent="0.25">
      <c r="A1174" s="344">
        <v>22043</v>
      </c>
      <c r="B1174" s="345" t="s">
        <v>3218</v>
      </c>
    </row>
    <row r="1175" spans="1:2" ht="15.75" x14ac:dyDescent="0.25">
      <c r="A1175" s="344">
        <v>22044</v>
      </c>
      <c r="B1175" s="345" t="s">
        <v>3219</v>
      </c>
    </row>
    <row r="1176" spans="1:2" ht="15.75" x14ac:dyDescent="0.25">
      <c r="A1176" s="344">
        <v>22045</v>
      </c>
      <c r="B1176" s="345" t="s">
        <v>3220</v>
      </c>
    </row>
    <row r="1177" spans="1:2" ht="15.75" x14ac:dyDescent="0.25">
      <c r="A1177" s="344">
        <v>22080</v>
      </c>
      <c r="B1177" s="345" t="s">
        <v>3221</v>
      </c>
    </row>
    <row r="1178" spans="1:2" ht="15.75" x14ac:dyDescent="0.25">
      <c r="A1178" s="344">
        <v>22081</v>
      </c>
      <c r="B1178" s="345" t="s">
        <v>3222</v>
      </c>
    </row>
    <row r="1179" spans="1:2" ht="15.75" x14ac:dyDescent="0.25">
      <c r="A1179" s="344">
        <v>22082</v>
      </c>
      <c r="B1179" s="345" t="s">
        <v>3223</v>
      </c>
    </row>
    <row r="1180" spans="1:2" ht="15.75" x14ac:dyDescent="0.25">
      <c r="A1180" s="344">
        <v>22083</v>
      </c>
      <c r="B1180" s="345" t="s">
        <v>3224</v>
      </c>
    </row>
    <row r="1181" spans="1:2" ht="15.75" x14ac:dyDescent="0.25">
      <c r="A1181" s="344">
        <v>22085</v>
      </c>
      <c r="B1181" s="345" t="s">
        <v>3225</v>
      </c>
    </row>
    <row r="1182" spans="1:2" ht="15.75" x14ac:dyDescent="0.25">
      <c r="A1182" s="344">
        <v>22087</v>
      </c>
      <c r="B1182" s="345" t="s">
        <v>3226</v>
      </c>
    </row>
    <row r="1183" spans="1:2" ht="15.75" x14ac:dyDescent="0.25">
      <c r="A1183" s="344">
        <v>22090</v>
      </c>
      <c r="B1183" s="345" t="s">
        <v>3227</v>
      </c>
    </row>
    <row r="1184" spans="1:2" ht="15.75" x14ac:dyDescent="0.25">
      <c r="A1184" s="344">
        <v>22095</v>
      </c>
      <c r="B1184" s="345" t="s">
        <v>3164</v>
      </c>
    </row>
    <row r="1185" spans="1:2" ht="15.75" x14ac:dyDescent="0.25">
      <c r="A1185" s="344">
        <v>22110</v>
      </c>
      <c r="B1185" s="345" t="s">
        <v>3228</v>
      </c>
    </row>
    <row r="1186" spans="1:2" ht="15.75" x14ac:dyDescent="0.25">
      <c r="A1186" s="344">
        <v>22120</v>
      </c>
      <c r="B1186" s="345" t="s">
        <v>3229</v>
      </c>
    </row>
    <row r="1187" spans="1:2" ht="15.75" x14ac:dyDescent="0.25">
      <c r="A1187" s="344">
        <v>22122</v>
      </c>
      <c r="B1187" s="345" t="s">
        <v>3230</v>
      </c>
    </row>
    <row r="1188" spans="1:2" ht="15.75" x14ac:dyDescent="0.25">
      <c r="A1188" s="344">
        <v>22130</v>
      </c>
      <c r="B1188" s="345" t="s">
        <v>3231</v>
      </c>
    </row>
    <row r="1189" spans="1:2" ht="15.75" x14ac:dyDescent="0.25">
      <c r="A1189" s="344">
        <v>22140</v>
      </c>
      <c r="B1189" s="345" t="s">
        <v>3232</v>
      </c>
    </row>
    <row r="1190" spans="1:2" ht="15.75" x14ac:dyDescent="0.25">
      <c r="A1190" s="344">
        <v>22150</v>
      </c>
      <c r="B1190" s="345" t="s">
        <v>3168</v>
      </c>
    </row>
    <row r="1191" spans="1:2" ht="15.75" x14ac:dyDescent="0.25">
      <c r="A1191" s="344">
        <v>22152</v>
      </c>
      <c r="B1191" s="345" t="s">
        <v>3233</v>
      </c>
    </row>
    <row r="1192" spans="1:2" ht="15.75" x14ac:dyDescent="0.25">
      <c r="A1192" s="344">
        <v>22154</v>
      </c>
      <c r="B1192" s="345" t="s">
        <v>3234</v>
      </c>
    </row>
    <row r="1193" spans="1:2" ht="15.75" x14ac:dyDescent="0.25">
      <c r="A1193" s="344">
        <v>22155</v>
      </c>
      <c r="B1193" s="345" t="s">
        <v>3235</v>
      </c>
    </row>
    <row r="1194" spans="1:2" ht="15.75" x14ac:dyDescent="0.25">
      <c r="A1194" s="344">
        <v>22156</v>
      </c>
      <c r="B1194" s="345" t="s">
        <v>3236</v>
      </c>
    </row>
    <row r="1195" spans="1:2" ht="15.75" x14ac:dyDescent="0.25">
      <c r="A1195" s="344">
        <v>22157</v>
      </c>
      <c r="B1195" s="345" t="s">
        <v>3237</v>
      </c>
    </row>
    <row r="1196" spans="1:2" ht="15.75" x14ac:dyDescent="0.25">
      <c r="A1196" s="344">
        <v>22158</v>
      </c>
      <c r="B1196" s="345" t="s">
        <v>3238</v>
      </c>
    </row>
    <row r="1197" spans="1:2" ht="15.75" x14ac:dyDescent="0.25">
      <c r="A1197" s="344">
        <v>22159</v>
      </c>
      <c r="B1197" s="345" t="s">
        <v>3239</v>
      </c>
    </row>
    <row r="1198" spans="1:2" ht="15.75" x14ac:dyDescent="0.25">
      <c r="A1198" s="344">
        <v>22160</v>
      </c>
      <c r="B1198" s="345" t="s">
        <v>3240</v>
      </c>
    </row>
    <row r="1199" spans="1:2" ht="15.75" x14ac:dyDescent="0.25">
      <c r="A1199" s="344">
        <v>22161</v>
      </c>
      <c r="B1199" s="345" t="s">
        <v>3241</v>
      </c>
    </row>
    <row r="1200" spans="1:2" ht="15.75" x14ac:dyDescent="0.25">
      <c r="A1200" s="344">
        <v>22170</v>
      </c>
      <c r="B1200" s="345" t="s">
        <v>3242</v>
      </c>
    </row>
    <row r="1201" spans="1:2" ht="15.75" x14ac:dyDescent="0.25">
      <c r="A1201" s="344">
        <v>22180</v>
      </c>
      <c r="B1201" s="345" t="s">
        <v>3243</v>
      </c>
    </row>
    <row r="1202" spans="1:2" ht="15.75" x14ac:dyDescent="0.25">
      <c r="A1202" s="344">
        <v>22210</v>
      </c>
      <c r="B1202" s="345" t="s">
        <v>3244</v>
      </c>
    </row>
    <row r="1203" spans="1:2" ht="15.75" x14ac:dyDescent="0.25">
      <c r="A1203" s="344">
        <v>22215</v>
      </c>
      <c r="B1203" s="345" t="s">
        <v>3245</v>
      </c>
    </row>
    <row r="1204" spans="1:2" ht="15.75" x14ac:dyDescent="0.25">
      <c r="A1204" s="344">
        <v>22216</v>
      </c>
      <c r="B1204" s="345" t="s">
        <v>3246</v>
      </c>
    </row>
    <row r="1205" spans="1:2" ht="15.75" x14ac:dyDescent="0.25">
      <c r="A1205" s="344">
        <v>22217</v>
      </c>
      <c r="B1205" s="345" t="s">
        <v>3247</v>
      </c>
    </row>
    <row r="1206" spans="1:2" ht="15.75" x14ac:dyDescent="0.25">
      <c r="A1206" s="344">
        <v>22220</v>
      </c>
      <c r="B1206" s="345" t="s">
        <v>3248</v>
      </c>
    </row>
    <row r="1207" spans="1:2" ht="15.75" x14ac:dyDescent="0.25">
      <c r="A1207" s="344">
        <v>22225</v>
      </c>
      <c r="B1207" s="345" t="s">
        <v>3249</v>
      </c>
    </row>
    <row r="1208" spans="1:2" ht="15.75" x14ac:dyDescent="0.25">
      <c r="A1208" s="344">
        <v>22228</v>
      </c>
      <c r="B1208" s="345" t="s">
        <v>3250</v>
      </c>
    </row>
    <row r="1209" spans="1:2" ht="15.75" x14ac:dyDescent="0.25">
      <c r="A1209" s="344">
        <v>22230</v>
      </c>
      <c r="B1209" s="345" t="s">
        <v>3251</v>
      </c>
    </row>
    <row r="1210" spans="1:2" ht="15.75" x14ac:dyDescent="0.25">
      <c r="A1210" s="344">
        <v>22235</v>
      </c>
      <c r="B1210" s="345" t="s">
        <v>3252</v>
      </c>
    </row>
    <row r="1211" spans="1:2" ht="15.75" x14ac:dyDescent="0.25">
      <c r="A1211" s="344">
        <v>22236</v>
      </c>
      <c r="B1211" s="345" t="s">
        <v>3253</v>
      </c>
    </row>
    <row r="1212" spans="1:2" ht="15.75" x14ac:dyDescent="0.25">
      <c r="A1212" s="344">
        <v>22237</v>
      </c>
      <c r="B1212" s="345" t="s">
        <v>3254</v>
      </c>
    </row>
    <row r="1213" spans="1:2" ht="15.75" x14ac:dyDescent="0.25">
      <c r="A1213" s="344">
        <v>22238</v>
      </c>
      <c r="B1213" s="345" t="s">
        <v>3255</v>
      </c>
    </row>
    <row r="1214" spans="1:2" ht="15.75" x14ac:dyDescent="0.25">
      <c r="A1214" s="344">
        <v>22300</v>
      </c>
      <c r="B1214" s="345" t="s">
        <v>3256</v>
      </c>
    </row>
    <row r="1215" spans="1:2" ht="15.75" x14ac:dyDescent="0.25">
      <c r="A1215" s="344">
        <v>22400</v>
      </c>
      <c r="B1215" s="345" t="s">
        <v>3257</v>
      </c>
    </row>
    <row r="1216" spans="1:2" ht="15.75" x14ac:dyDescent="0.25">
      <c r="A1216" s="344">
        <v>22403</v>
      </c>
      <c r="B1216" s="345" t="s">
        <v>3258</v>
      </c>
    </row>
    <row r="1217" spans="1:2" ht="15.75" x14ac:dyDescent="0.25">
      <c r="A1217" s="344">
        <v>22410</v>
      </c>
      <c r="B1217" s="345" t="s">
        <v>3259</v>
      </c>
    </row>
    <row r="1218" spans="1:2" ht="15.75" x14ac:dyDescent="0.25">
      <c r="A1218" s="344">
        <v>23000</v>
      </c>
      <c r="B1218" s="345" t="s">
        <v>3260</v>
      </c>
    </row>
    <row r="1219" spans="1:2" ht="15.75" x14ac:dyDescent="0.25">
      <c r="A1219" s="344">
        <v>23010</v>
      </c>
      <c r="B1219" s="345" t="s">
        <v>2276</v>
      </c>
    </row>
    <row r="1220" spans="1:2" ht="15.75" x14ac:dyDescent="0.25">
      <c r="A1220" s="344">
        <v>23011</v>
      </c>
      <c r="B1220" s="345" t="s">
        <v>3261</v>
      </c>
    </row>
    <row r="1221" spans="1:2" ht="15.75" x14ac:dyDescent="0.25">
      <c r="A1221" s="344">
        <v>23012</v>
      </c>
      <c r="B1221" s="345" t="s">
        <v>3262</v>
      </c>
    </row>
    <row r="1222" spans="1:2" ht="15.75" x14ac:dyDescent="0.25">
      <c r="A1222" s="344">
        <v>23015</v>
      </c>
      <c r="B1222" s="345" t="s">
        <v>3263</v>
      </c>
    </row>
    <row r="1223" spans="1:2" ht="15.75" x14ac:dyDescent="0.25">
      <c r="A1223" s="344">
        <v>23020</v>
      </c>
      <c r="B1223" s="345" t="s">
        <v>3264</v>
      </c>
    </row>
    <row r="1224" spans="1:2" ht="15.75" x14ac:dyDescent="0.25">
      <c r="A1224" s="344">
        <v>23023</v>
      </c>
      <c r="B1224" s="345" t="s">
        <v>3265</v>
      </c>
    </row>
    <row r="1225" spans="1:2" ht="15.75" x14ac:dyDescent="0.25">
      <c r="A1225" s="344">
        <v>23025</v>
      </c>
      <c r="B1225" s="345" t="s">
        <v>3266</v>
      </c>
    </row>
    <row r="1226" spans="1:2" ht="15.75" x14ac:dyDescent="0.25">
      <c r="A1226" s="344">
        <v>23028</v>
      </c>
      <c r="B1226" s="345" t="s">
        <v>3267</v>
      </c>
    </row>
    <row r="1227" spans="1:2" ht="15.75" x14ac:dyDescent="0.25">
      <c r="A1227" s="344">
        <v>23030</v>
      </c>
      <c r="B1227" s="345" t="s">
        <v>3268</v>
      </c>
    </row>
    <row r="1228" spans="1:2" ht="15.75" x14ac:dyDescent="0.25">
      <c r="A1228" s="344">
        <v>23032</v>
      </c>
      <c r="B1228" s="345" t="s">
        <v>3269</v>
      </c>
    </row>
    <row r="1229" spans="1:2" ht="15.75" x14ac:dyDescent="0.25">
      <c r="A1229" s="344">
        <v>23033</v>
      </c>
      <c r="B1229" s="345" t="s">
        <v>3270</v>
      </c>
    </row>
    <row r="1230" spans="1:2" ht="15.75" x14ac:dyDescent="0.25">
      <c r="A1230" s="344">
        <v>23035</v>
      </c>
      <c r="B1230" s="345" t="s">
        <v>3271</v>
      </c>
    </row>
    <row r="1231" spans="1:2" ht="15.75" x14ac:dyDescent="0.25">
      <c r="A1231" s="344">
        <v>23040</v>
      </c>
      <c r="B1231" s="345" t="s">
        <v>3272</v>
      </c>
    </row>
    <row r="1232" spans="1:2" ht="15.75" x14ac:dyDescent="0.25">
      <c r="A1232" s="344">
        <v>23042</v>
      </c>
      <c r="B1232" s="345" t="s">
        <v>3273</v>
      </c>
    </row>
    <row r="1233" spans="1:2" ht="15.75" x14ac:dyDescent="0.25">
      <c r="A1233" s="344">
        <v>23043</v>
      </c>
      <c r="B1233" s="345" t="s">
        <v>3274</v>
      </c>
    </row>
    <row r="1234" spans="1:2" ht="15.75" x14ac:dyDescent="0.25">
      <c r="A1234" s="344">
        <v>23044</v>
      </c>
      <c r="B1234" s="345" t="s">
        <v>3275</v>
      </c>
    </row>
    <row r="1235" spans="1:2" ht="15.75" x14ac:dyDescent="0.25">
      <c r="A1235" s="344">
        <v>23045</v>
      </c>
      <c r="B1235" s="345" t="s">
        <v>3276</v>
      </c>
    </row>
    <row r="1236" spans="1:2" ht="15.75" x14ac:dyDescent="0.25">
      <c r="A1236" s="344">
        <v>23050</v>
      </c>
      <c r="B1236" s="345" t="s">
        <v>3277</v>
      </c>
    </row>
    <row r="1237" spans="1:2" ht="15.75" x14ac:dyDescent="0.25">
      <c r="A1237" s="344">
        <v>23055</v>
      </c>
      <c r="B1237" s="345" t="s">
        <v>3278</v>
      </c>
    </row>
    <row r="1238" spans="1:2" ht="15.75" x14ac:dyDescent="0.25">
      <c r="A1238" s="344">
        <v>23056</v>
      </c>
      <c r="B1238" s="345" t="s">
        <v>3279</v>
      </c>
    </row>
    <row r="1239" spans="1:2" ht="15.75" x14ac:dyDescent="0.25">
      <c r="A1239" s="344">
        <v>23057</v>
      </c>
      <c r="B1239" s="345" t="s">
        <v>3280</v>
      </c>
    </row>
    <row r="1240" spans="1:2" ht="15.75" x14ac:dyDescent="0.25">
      <c r="A1240" s="344">
        <v>23060</v>
      </c>
      <c r="B1240" s="345" t="s">
        <v>3281</v>
      </c>
    </row>
    <row r="1241" spans="1:2" ht="15.75" x14ac:dyDescent="0.25">
      <c r="A1241" s="344">
        <v>23070</v>
      </c>
      <c r="B1241" s="345" t="s">
        <v>3282</v>
      </c>
    </row>
    <row r="1242" spans="1:2" ht="15.75" x14ac:dyDescent="0.25">
      <c r="A1242" s="344">
        <v>23075</v>
      </c>
      <c r="B1242" s="345" t="s">
        <v>3283</v>
      </c>
    </row>
    <row r="1243" spans="1:2" ht="15.75" x14ac:dyDescent="0.25">
      <c r="A1243" s="344">
        <v>23080</v>
      </c>
      <c r="B1243" s="345" t="s">
        <v>3284</v>
      </c>
    </row>
    <row r="1244" spans="1:2" ht="15.75" x14ac:dyDescent="0.25">
      <c r="A1244" s="344">
        <v>23082</v>
      </c>
      <c r="B1244" s="345" t="s">
        <v>3285</v>
      </c>
    </row>
    <row r="1245" spans="1:2" ht="15.75" x14ac:dyDescent="0.25">
      <c r="A1245" s="344">
        <v>23085</v>
      </c>
      <c r="B1245" s="345" t="s">
        <v>3286</v>
      </c>
    </row>
    <row r="1246" spans="1:2" ht="15.75" x14ac:dyDescent="0.25">
      <c r="A1246" s="344">
        <v>23086</v>
      </c>
      <c r="B1246" s="345" t="s">
        <v>3287</v>
      </c>
    </row>
    <row r="1247" spans="1:2" ht="15.75" x14ac:dyDescent="0.25">
      <c r="A1247" s="344">
        <v>23090</v>
      </c>
      <c r="B1247" s="345" t="s">
        <v>3288</v>
      </c>
    </row>
    <row r="1248" spans="1:2" ht="15.75" x14ac:dyDescent="0.25">
      <c r="A1248" s="344">
        <v>23100</v>
      </c>
      <c r="B1248" s="345" t="s">
        <v>3289</v>
      </c>
    </row>
    <row r="1249" spans="1:2" ht="15.75" x14ac:dyDescent="0.25">
      <c r="A1249" s="344">
        <v>23105</v>
      </c>
      <c r="B1249" s="345" t="s">
        <v>3290</v>
      </c>
    </row>
    <row r="1250" spans="1:2" ht="15.75" x14ac:dyDescent="0.25">
      <c r="A1250" s="344">
        <v>23110</v>
      </c>
      <c r="B1250" s="345" t="s">
        <v>3170</v>
      </c>
    </row>
    <row r="1251" spans="1:2" ht="15.75" x14ac:dyDescent="0.25">
      <c r="A1251" s="344">
        <v>23115</v>
      </c>
      <c r="B1251" s="345" t="s">
        <v>3157</v>
      </c>
    </row>
    <row r="1252" spans="1:2" ht="15.75" x14ac:dyDescent="0.25">
      <c r="A1252" s="344">
        <v>23120</v>
      </c>
      <c r="B1252" s="345" t="s">
        <v>3158</v>
      </c>
    </row>
    <row r="1253" spans="1:2" ht="15.75" x14ac:dyDescent="0.25">
      <c r="A1253" s="344">
        <v>23130</v>
      </c>
      <c r="B1253" s="345" t="s">
        <v>3291</v>
      </c>
    </row>
    <row r="1254" spans="1:2" ht="15.75" x14ac:dyDescent="0.25">
      <c r="A1254" s="344">
        <v>23131</v>
      </c>
      <c r="B1254" s="345" t="s">
        <v>3292</v>
      </c>
    </row>
    <row r="1255" spans="1:2" ht="15.75" x14ac:dyDescent="0.25">
      <c r="A1255" s="344">
        <v>24000</v>
      </c>
      <c r="B1255" s="345" t="s">
        <v>3293</v>
      </c>
    </row>
    <row r="1256" spans="1:2" ht="15.75" x14ac:dyDescent="0.25">
      <c r="A1256" s="344">
        <v>24010</v>
      </c>
      <c r="B1256" s="345" t="s">
        <v>3294</v>
      </c>
    </row>
    <row r="1257" spans="1:2" ht="15.75" x14ac:dyDescent="0.25">
      <c r="A1257" s="344">
        <v>24015</v>
      </c>
      <c r="B1257" s="345" t="s">
        <v>3295</v>
      </c>
    </row>
    <row r="1258" spans="1:2" ht="15.75" x14ac:dyDescent="0.25">
      <c r="A1258" s="344">
        <v>24020</v>
      </c>
      <c r="B1258" s="345" t="s">
        <v>3296</v>
      </c>
    </row>
    <row r="1259" spans="1:2" ht="15.75" x14ac:dyDescent="0.25">
      <c r="A1259" s="344">
        <v>24025</v>
      </c>
      <c r="B1259" s="345" t="s">
        <v>3297</v>
      </c>
    </row>
    <row r="1260" spans="1:2" ht="15.75" x14ac:dyDescent="0.25">
      <c r="A1260" s="344">
        <v>24030</v>
      </c>
      <c r="B1260" s="345" t="s">
        <v>3298</v>
      </c>
    </row>
    <row r="1261" spans="1:2" ht="15.75" x14ac:dyDescent="0.25">
      <c r="A1261" s="344">
        <v>24035</v>
      </c>
      <c r="B1261" s="345" t="s">
        <v>3299</v>
      </c>
    </row>
    <row r="1262" spans="1:2" ht="15.75" x14ac:dyDescent="0.25">
      <c r="A1262" s="344">
        <v>24036</v>
      </c>
      <c r="B1262" s="345" t="s">
        <v>3300</v>
      </c>
    </row>
    <row r="1263" spans="1:2" ht="15.75" x14ac:dyDescent="0.25">
      <c r="A1263" s="344">
        <v>24037</v>
      </c>
      <c r="B1263" s="345" t="s">
        <v>3301</v>
      </c>
    </row>
    <row r="1264" spans="1:2" ht="15.75" x14ac:dyDescent="0.25">
      <c r="A1264" s="344">
        <v>24040</v>
      </c>
      <c r="B1264" s="345" t="s">
        <v>3302</v>
      </c>
    </row>
    <row r="1265" spans="1:2" ht="15.75" x14ac:dyDescent="0.25">
      <c r="A1265" s="344">
        <v>24041</v>
      </c>
      <c r="B1265" s="345" t="s">
        <v>3303</v>
      </c>
    </row>
    <row r="1266" spans="1:2" ht="15.75" x14ac:dyDescent="0.25">
      <c r="A1266" s="344">
        <v>24045</v>
      </c>
      <c r="B1266" s="345" t="s">
        <v>3304</v>
      </c>
    </row>
    <row r="1267" spans="1:2" ht="15.75" x14ac:dyDescent="0.25">
      <c r="A1267" s="344">
        <v>24046</v>
      </c>
      <c r="B1267" s="345" t="s">
        <v>3305</v>
      </c>
    </row>
    <row r="1268" spans="1:2" ht="15.75" x14ac:dyDescent="0.25">
      <c r="A1268" s="344">
        <v>24050</v>
      </c>
      <c r="B1268" s="345" t="s">
        <v>3306</v>
      </c>
    </row>
    <row r="1269" spans="1:2" ht="15.75" x14ac:dyDescent="0.25">
      <c r="A1269" s="344">
        <v>24051</v>
      </c>
      <c r="B1269" s="345" t="s">
        <v>3307</v>
      </c>
    </row>
    <row r="1270" spans="1:2" ht="15.75" x14ac:dyDescent="0.25">
      <c r="A1270" s="344">
        <v>24052</v>
      </c>
      <c r="B1270" s="345" t="s">
        <v>3308</v>
      </c>
    </row>
    <row r="1271" spans="1:2" ht="15.75" x14ac:dyDescent="0.25">
      <c r="A1271" s="344">
        <v>24055</v>
      </c>
      <c r="B1271" s="345" t="s">
        <v>3309</v>
      </c>
    </row>
    <row r="1272" spans="1:2" ht="15.75" x14ac:dyDescent="0.25">
      <c r="A1272" s="344">
        <v>24060</v>
      </c>
      <c r="B1272" s="345" t="s">
        <v>3310</v>
      </c>
    </row>
    <row r="1273" spans="1:2" ht="15.75" x14ac:dyDescent="0.25">
      <c r="A1273" s="344">
        <v>24061</v>
      </c>
      <c r="B1273" s="345" t="s">
        <v>3311</v>
      </c>
    </row>
    <row r="1274" spans="1:2" ht="15.75" x14ac:dyDescent="0.25">
      <c r="A1274" s="344">
        <v>24065</v>
      </c>
      <c r="B1274" s="345" t="s">
        <v>3312</v>
      </c>
    </row>
    <row r="1275" spans="1:2" ht="15.75" x14ac:dyDescent="0.25">
      <c r="A1275" s="344">
        <v>24070</v>
      </c>
      <c r="B1275" s="345" t="s">
        <v>3313</v>
      </c>
    </row>
    <row r="1276" spans="1:2" ht="15.75" x14ac:dyDescent="0.25">
      <c r="A1276" s="344">
        <v>24071</v>
      </c>
      <c r="B1276" s="345" t="s">
        <v>3314</v>
      </c>
    </row>
    <row r="1277" spans="1:2" ht="15.75" x14ac:dyDescent="0.25">
      <c r="A1277" s="344">
        <v>24072</v>
      </c>
      <c r="B1277" s="345" t="s">
        <v>3315</v>
      </c>
    </row>
    <row r="1278" spans="1:2" ht="15.75" x14ac:dyDescent="0.25">
      <c r="A1278" s="344">
        <v>24073</v>
      </c>
      <c r="B1278" s="345" t="s">
        <v>3316</v>
      </c>
    </row>
    <row r="1279" spans="1:2" ht="15.75" x14ac:dyDescent="0.25">
      <c r="A1279" s="344">
        <v>24075</v>
      </c>
      <c r="B1279" s="345" t="s">
        <v>3317</v>
      </c>
    </row>
    <row r="1280" spans="1:2" ht="15.75" x14ac:dyDescent="0.25">
      <c r="A1280" s="344">
        <v>24080</v>
      </c>
      <c r="B1280" s="345" t="s">
        <v>3318</v>
      </c>
    </row>
    <row r="1281" spans="1:2" ht="15.75" x14ac:dyDescent="0.25">
      <c r="A1281" s="344">
        <v>24085</v>
      </c>
      <c r="B1281" s="345" t="s">
        <v>3319</v>
      </c>
    </row>
    <row r="1282" spans="1:2" ht="15.75" x14ac:dyDescent="0.25">
      <c r="A1282" s="344">
        <v>24090</v>
      </c>
      <c r="B1282" s="345" t="s">
        <v>3320</v>
      </c>
    </row>
    <row r="1283" spans="1:2" ht="15.75" x14ac:dyDescent="0.25">
      <c r="A1283" s="344">
        <v>24095</v>
      </c>
      <c r="B1283" s="345" t="s">
        <v>3321</v>
      </c>
    </row>
    <row r="1284" spans="1:2" ht="15.75" x14ac:dyDescent="0.25">
      <c r="A1284" s="344">
        <v>24100</v>
      </c>
      <c r="B1284" s="345" t="s">
        <v>3322</v>
      </c>
    </row>
    <row r="1285" spans="1:2" ht="15.75" x14ac:dyDescent="0.25">
      <c r="A1285" s="344">
        <v>24101</v>
      </c>
      <c r="B1285" s="345" t="s">
        <v>3323</v>
      </c>
    </row>
    <row r="1286" spans="1:2" ht="15.75" x14ac:dyDescent="0.25">
      <c r="A1286" s="344">
        <v>24105</v>
      </c>
      <c r="B1286" s="345" t="s">
        <v>3324</v>
      </c>
    </row>
    <row r="1287" spans="1:2" ht="15.75" x14ac:dyDescent="0.25">
      <c r="A1287" s="344">
        <v>24110</v>
      </c>
      <c r="B1287" s="345" t="s">
        <v>3325</v>
      </c>
    </row>
    <row r="1288" spans="1:2" ht="15.75" x14ac:dyDescent="0.25">
      <c r="A1288" s="344">
        <v>24111</v>
      </c>
      <c r="B1288" s="345" t="s">
        <v>3326</v>
      </c>
    </row>
    <row r="1289" spans="1:2" ht="15.75" x14ac:dyDescent="0.25">
      <c r="A1289" s="344">
        <v>24112</v>
      </c>
      <c r="B1289" s="345" t="s">
        <v>3327</v>
      </c>
    </row>
    <row r="1290" spans="1:2" ht="15.75" x14ac:dyDescent="0.25">
      <c r="A1290" s="344">
        <v>24113</v>
      </c>
      <c r="B1290" s="345" t="s">
        <v>3328</v>
      </c>
    </row>
    <row r="1291" spans="1:2" ht="15.75" x14ac:dyDescent="0.25">
      <c r="A1291" s="344">
        <v>24114</v>
      </c>
      <c r="B1291" s="345" t="s">
        <v>3329</v>
      </c>
    </row>
    <row r="1292" spans="1:2" ht="15.75" x14ac:dyDescent="0.25">
      <c r="A1292" s="344">
        <v>24115</v>
      </c>
      <c r="B1292" s="345" t="s">
        <v>3330</v>
      </c>
    </row>
    <row r="1293" spans="1:2" ht="15.75" x14ac:dyDescent="0.25">
      <c r="A1293" s="344">
        <v>24116</v>
      </c>
      <c r="B1293" s="345" t="s">
        <v>3331</v>
      </c>
    </row>
    <row r="1294" spans="1:2" ht="15.75" x14ac:dyDescent="0.25">
      <c r="A1294" s="344">
        <v>24117</v>
      </c>
      <c r="B1294" s="345" t="s">
        <v>3332</v>
      </c>
    </row>
    <row r="1295" spans="1:2" ht="15.75" x14ac:dyDescent="0.25">
      <c r="A1295" s="344">
        <v>24118</v>
      </c>
      <c r="B1295" s="345" t="s">
        <v>3333</v>
      </c>
    </row>
    <row r="1296" spans="1:2" ht="15.75" x14ac:dyDescent="0.25">
      <c r="A1296" s="344">
        <v>24119</v>
      </c>
      <c r="B1296" s="345" t="s">
        <v>3334</v>
      </c>
    </row>
    <row r="1297" spans="1:2" ht="15.75" x14ac:dyDescent="0.25">
      <c r="A1297" s="344">
        <v>25101</v>
      </c>
      <c r="B1297" s="345" t="s">
        <v>3335</v>
      </c>
    </row>
    <row r="1298" spans="1:2" ht="15.75" x14ac:dyDescent="0.25">
      <c r="A1298" s="344">
        <v>25102</v>
      </c>
      <c r="B1298" s="345" t="s">
        <v>3336</v>
      </c>
    </row>
    <row r="1299" spans="1:2" ht="15.75" x14ac:dyDescent="0.25">
      <c r="A1299" s="344">
        <v>25103</v>
      </c>
      <c r="B1299" s="345" t="s">
        <v>3337</v>
      </c>
    </row>
    <row r="1300" spans="1:2" ht="15.75" x14ac:dyDescent="0.25">
      <c r="A1300" s="344">
        <v>25104</v>
      </c>
      <c r="B1300" s="345" t="s">
        <v>3338</v>
      </c>
    </row>
    <row r="1301" spans="1:2" ht="15.75" x14ac:dyDescent="0.25">
      <c r="A1301" s="344">
        <v>25105</v>
      </c>
      <c r="B1301" s="345" t="s">
        <v>3339</v>
      </c>
    </row>
    <row r="1302" spans="1:2" ht="15.75" x14ac:dyDescent="0.25">
      <c r="A1302" s="344">
        <v>25106</v>
      </c>
      <c r="B1302" s="345" t="s">
        <v>3340</v>
      </c>
    </row>
    <row r="1303" spans="1:2" ht="15.75" x14ac:dyDescent="0.25">
      <c r="A1303" s="344">
        <v>25108</v>
      </c>
      <c r="B1303" s="345" t="s">
        <v>3341</v>
      </c>
    </row>
    <row r="1304" spans="1:2" ht="15.75" x14ac:dyDescent="0.25">
      <c r="A1304" s="344">
        <v>25109</v>
      </c>
      <c r="B1304" s="345" t="s">
        <v>3342</v>
      </c>
    </row>
    <row r="1305" spans="1:2" ht="15.75" x14ac:dyDescent="0.25">
      <c r="A1305" s="344">
        <v>25112</v>
      </c>
      <c r="B1305" s="345" t="s">
        <v>3343</v>
      </c>
    </row>
    <row r="1306" spans="1:2" ht="15.75" x14ac:dyDescent="0.25">
      <c r="A1306" s="344">
        <v>25113</v>
      </c>
      <c r="B1306" s="345" t="s">
        <v>3344</v>
      </c>
    </row>
    <row r="1307" spans="1:2" ht="15.75" x14ac:dyDescent="0.25">
      <c r="A1307" s="344">
        <v>25114</v>
      </c>
      <c r="B1307" s="345" t="s">
        <v>3345</v>
      </c>
    </row>
    <row r="1308" spans="1:2" ht="15.75" x14ac:dyDescent="0.25">
      <c r="A1308" s="344">
        <v>30000</v>
      </c>
      <c r="B1308" s="345" t="s">
        <v>3346</v>
      </c>
    </row>
    <row r="1309" spans="1:2" ht="15.75" x14ac:dyDescent="0.25">
      <c r="A1309" s="344">
        <v>31010</v>
      </c>
      <c r="B1309" s="345" t="s">
        <v>3347</v>
      </c>
    </row>
    <row r="1310" spans="1:2" ht="15.75" x14ac:dyDescent="0.25">
      <c r="A1310" s="344">
        <v>31011</v>
      </c>
      <c r="B1310" s="345" t="s">
        <v>3348</v>
      </c>
    </row>
    <row r="1311" spans="1:2" ht="15.75" x14ac:dyDescent="0.25">
      <c r="A1311" s="344">
        <v>31012</v>
      </c>
      <c r="B1311" s="345" t="s">
        <v>3349</v>
      </c>
    </row>
    <row r="1312" spans="1:2" ht="15.75" x14ac:dyDescent="0.25">
      <c r="A1312" s="344">
        <v>31015</v>
      </c>
      <c r="B1312" s="345" t="s">
        <v>3350</v>
      </c>
    </row>
    <row r="1313" spans="1:2" ht="15.75" x14ac:dyDescent="0.25">
      <c r="A1313" s="344">
        <v>31016</v>
      </c>
      <c r="B1313" s="345" t="s">
        <v>3351</v>
      </c>
    </row>
    <row r="1314" spans="1:2" ht="15.75" x14ac:dyDescent="0.25">
      <c r="A1314" s="344">
        <v>31017</v>
      </c>
      <c r="B1314" s="345" t="s">
        <v>3352</v>
      </c>
    </row>
    <row r="1315" spans="1:2" ht="15.75" x14ac:dyDescent="0.25">
      <c r="A1315" s="344">
        <v>31020</v>
      </c>
      <c r="B1315" s="345" t="s">
        <v>3353</v>
      </c>
    </row>
    <row r="1316" spans="1:2" ht="15.75" x14ac:dyDescent="0.25">
      <c r="A1316" s="344">
        <v>31021</v>
      </c>
      <c r="B1316" s="345" t="s">
        <v>3354</v>
      </c>
    </row>
    <row r="1317" spans="1:2" ht="15.75" x14ac:dyDescent="0.25">
      <c r="A1317" s="344">
        <v>31022</v>
      </c>
      <c r="B1317" s="345" t="s">
        <v>3355</v>
      </c>
    </row>
    <row r="1318" spans="1:2" ht="15.75" x14ac:dyDescent="0.25">
      <c r="A1318" s="344">
        <v>31023</v>
      </c>
      <c r="B1318" s="345" t="s">
        <v>3356</v>
      </c>
    </row>
    <row r="1319" spans="1:2" ht="15.75" x14ac:dyDescent="0.25">
      <c r="A1319" s="344">
        <v>31024</v>
      </c>
      <c r="B1319" s="345" t="s">
        <v>3357</v>
      </c>
    </row>
    <row r="1320" spans="1:2" ht="15.75" x14ac:dyDescent="0.25">
      <c r="A1320" s="344">
        <v>31030</v>
      </c>
      <c r="B1320" s="345" t="s">
        <v>3358</v>
      </c>
    </row>
    <row r="1321" spans="1:2" ht="15.75" x14ac:dyDescent="0.25">
      <c r="A1321" s="344">
        <v>31031</v>
      </c>
      <c r="B1321" s="345" t="s">
        <v>3359</v>
      </c>
    </row>
    <row r="1322" spans="1:2" ht="15.75" x14ac:dyDescent="0.25">
      <c r="A1322" s="344">
        <v>31032</v>
      </c>
      <c r="B1322" s="345" t="s">
        <v>3360</v>
      </c>
    </row>
    <row r="1323" spans="1:2" ht="15.75" x14ac:dyDescent="0.25">
      <c r="A1323" s="344">
        <v>31035</v>
      </c>
      <c r="B1323" s="345" t="s">
        <v>3361</v>
      </c>
    </row>
    <row r="1324" spans="1:2" ht="15.75" x14ac:dyDescent="0.25">
      <c r="A1324" s="344">
        <v>31036</v>
      </c>
      <c r="B1324" s="345" t="s">
        <v>3362</v>
      </c>
    </row>
    <row r="1325" spans="1:2" ht="15.75" x14ac:dyDescent="0.25">
      <c r="A1325" s="344">
        <v>31037</v>
      </c>
      <c r="B1325" s="345" t="s">
        <v>3363</v>
      </c>
    </row>
    <row r="1326" spans="1:2" ht="15.75" x14ac:dyDescent="0.25">
      <c r="A1326" s="344">
        <v>31038</v>
      </c>
      <c r="B1326" s="345" t="s">
        <v>3364</v>
      </c>
    </row>
    <row r="1327" spans="1:2" ht="15.75" x14ac:dyDescent="0.25">
      <c r="A1327" s="344">
        <v>31039</v>
      </c>
      <c r="B1327" s="345" t="s">
        <v>3365</v>
      </c>
    </row>
    <row r="1328" spans="1:2" ht="15.75" x14ac:dyDescent="0.25">
      <c r="A1328" s="344">
        <v>31040</v>
      </c>
      <c r="B1328" s="345" t="s">
        <v>3366</v>
      </c>
    </row>
    <row r="1329" spans="1:2" ht="15.75" x14ac:dyDescent="0.25">
      <c r="A1329" s="344">
        <v>31041</v>
      </c>
      <c r="B1329" s="345" t="s">
        <v>3367</v>
      </c>
    </row>
    <row r="1330" spans="1:2" ht="15.75" x14ac:dyDescent="0.25">
      <c r="A1330" s="344">
        <v>31042</v>
      </c>
      <c r="B1330" s="345" t="s">
        <v>3368</v>
      </c>
    </row>
    <row r="1331" spans="1:2" ht="15.75" x14ac:dyDescent="0.25">
      <c r="A1331" s="344">
        <v>31043</v>
      </c>
      <c r="B1331" s="345" t="s">
        <v>3369</v>
      </c>
    </row>
    <row r="1332" spans="1:2" ht="15.75" x14ac:dyDescent="0.25">
      <c r="A1332" s="344">
        <v>31044</v>
      </c>
      <c r="B1332" s="345" t="s">
        <v>3370</v>
      </c>
    </row>
    <row r="1333" spans="1:2" ht="15.75" x14ac:dyDescent="0.25">
      <c r="A1333" s="344">
        <v>31045</v>
      </c>
      <c r="B1333" s="345" t="s">
        <v>3371</v>
      </c>
    </row>
    <row r="1334" spans="1:2" ht="15.75" x14ac:dyDescent="0.25">
      <c r="A1334" s="344">
        <v>31046</v>
      </c>
      <c r="B1334" s="345" t="s">
        <v>3372</v>
      </c>
    </row>
    <row r="1335" spans="1:2" ht="15.75" x14ac:dyDescent="0.25">
      <c r="A1335" s="344">
        <v>31047</v>
      </c>
      <c r="B1335" s="345" t="s">
        <v>3373</v>
      </c>
    </row>
    <row r="1336" spans="1:2" ht="15.75" x14ac:dyDescent="0.25">
      <c r="A1336" s="344">
        <v>31048</v>
      </c>
      <c r="B1336" s="345" t="s">
        <v>3374</v>
      </c>
    </row>
    <row r="1337" spans="1:2" ht="15.75" x14ac:dyDescent="0.25">
      <c r="A1337" s="344">
        <v>31049</v>
      </c>
      <c r="B1337" s="345" t="s">
        <v>3375</v>
      </c>
    </row>
    <row r="1338" spans="1:2" ht="15.75" x14ac:dyDescent="0.25">
      <c r="A1338" s="344">
        <v>31050</v>
      </c>
      <c r="B1338" s="345" t="s">
        <v>3376</v>
      </c>
    </row>
    <row r="1339" spans="1:2" ht="15.75" x14ac:dyDescent="0.25">
      <c r="A1339" s="344">
        <v>31051</v>
      </c>
      <c r="B1339" s="345" t="s">
        <v>3377</v>
      </c>
    </row>
    <row r="1340" spans="1:2" ht="15.75" x14ac:dyDescent="0.25">
      <c r="A1340" s="344">
        <v>31052</v>
      </c>
      <c r="B1340" s="345" t="s">
        <v>3378</v>
      </c>
    </row>
    <row r="1341" spans="1:2" ht="15.75" x14ac:dyDescent="0.25">
      <c r="A1341" s="344">
        <v>31053</v>
      </c>
      <c r="B1341" s="345" t="s">
        <v>3379</v>
      </c>
    </row>
    <row r="1342" spans="1:2" ht="15.75" x14ac:dyDescent="0.25">
      <c r="A1342" s="344">
        <v>31054</v>
      </c>
      <c r="B1342" s="345" t="s">
        <v>3380</v>
      </c>
    </row>
    <row r="1343" spans="1:2" ht="15.75" x14ac:dyDescent="0.25">
      <c r="A1343" s="344">
        <v>31056</v>
      </c>
      <c r="B1343" s="345" t="s">
        <v>3381</v>
      </c>
    </row>
    <row r="1344" spans="1:2" ht="15.75" x14ac:dyDescent="0.25">
      <c r="A1344" s="344">
        <v>31057</v>
      </c>
      <c r="B1344" s="345" t="s">
        <v>3382</v>
      </c>
    </row>
    <row r="1345" spans="1:2" ht="15.75" x14ac:dyDescent="0.25">
      <c r="A1345" s="344">
        <v>31058</v>
      </c>
      <c r="B1345" s="345" t="s">
        <v>3383</v>
      </c>
    </row>
    <row r="1346" spans="1:2" ht="15.75" x14ac:dyDescent="0.25">
      <c r="A1346" s="344">
        <v>31059</v>
      </c>
      <c r="B1346" s="345" t="s">
        <v>3384</v>
      </c>
    </row>
    <row r="1347" spans="1:2" ht="15.75" x14ac:dyDescent="0.25">
      <c r="A1347" s="344">
        <v>31060</v>
      </c>
      <c r="B1347" s="345" t="s">
        <v>3385</v>
      </c>
    </row>
    <row r="1348" spans="1:2" ht="15.75" x14ac:dyDescent="0.25">
      <c r="A1348" s="344">
        <v>31061</v>
      </c>
      <c r="B1348" s="345" t="s">
        <v>3386</v>
      </c>
    </row>
    <row r="1349" spans="1:2" ht="15.75" x14ac:dyDescent="0.25">
      <c r="A1349" s="344">
        <v>31062</v>
      </c>
      <c r="B1349" s="345" t="s">
        <v>3387</v>
      </c>
    </row>
    <row r="1350" spans="1:2" ht="15.75" x14ac:dyDescent="0.25">
      <c r="A1350" s="344">
        <v>31063</v>
      </c>
      <c r="B1350" s="345" t="s">
        <v>3388</v>
      </c>
    </row>
    <row r="1351" spans="1:2" ht="15.75" x14ac:dyDescent="0.25">
      <c r="A1351" s="344">
        <v>31064</v>
      </c>
      <c r="B1351" s="345" t="s">
        <v>3389</v>
      </c>
    </row>
    <row r="1352" spans="1:2" ht="15.75" x14ac:dyDescent="0.25">
      <c r="A1352" s="344">
        <v>31065</v>
      </c>
      <c r="B1352" s="345" t="s">
        <v>3390</v>
      </c>
    </row>
    <row r="1353" spans="1:2" ht="15.75" x14ac:dyDescent="0.25">
      <c r="A1353" s="344">
        <v>31066</v>
      </c>
      <c r="B1353" s="345" t="s">
        <v>3391</v>
      </c>
    </row>
    <row r="1354" spans="1:2" ht="15.75" x14ac:dyDescent="0.25">
      <c r="A1354" s="344">
        <v>31067</v>
      </c>
      <c r="B1354" s="345" t="s">
        <v>3392</v>
      </c>
    </row>
    <row r="1355" spans="1:2" ht="15.75" x14ac:dyDescent="0.25">
      <c r="A1355" s="344">
        <v>31068</v>
      </c>
      <c r="B1355" s="345" t="s">
        <v>3393</v>
      </c>
    </row>
    <row r="1356" spans="1:2" ht="15.75" x14ac:dyDescent="0.25">
      <c r="A1356" s="344">
        <v>31069</v>
      </c>
      <c r="B1356" s="345" t="s">
        <v>3394</v>
      </c>
    </row>
    <row r="1357" spans="1:2" ht="15.75" x14ac:dyDescent="0.25">
      <c r="A1357" s="344">
        <v>31070</v>
      </c>
      <c r="B1357" s="345" t="s">
        <v>3395</v>
      </c>
    </row>
    <row r="1358" spans="1:2" ht="15.75" x14ac:dyDescent="0.25">
      <c r="A1358" s="344">
        <v>31071</v>
      </c>
      <c r="B1358" s="345" t="s">
        <v>3396</v>
      </c>
    </row>
    <row r="1359" spans="1:2" ht="15.75" x14ac:dyDescent="0.25">
      <c r="A1359" s="344">
        <v>31072</v>
      </c>
      <c r="B1359" s="345" t="s">
        <v>3397</v>
      </c>
    </row>
    <row r="1360" spans="1:2" ht="15.75" x14ac:dyDescent="0.25">
      <c r="A1360" s="344">
        <v>31073</v>
      </c>
      <c r="B1360" s="345" t="s">
        <v>3398</v>
      </c>
    </row>
    <row r="1361" spans="1:2" ht="15.75" x14ac:dyDescent="0.25">
      <c r="A1361" s="344">
        <v>31074</v>
      </c>
      <c r="B1361" s="345" t="s">
        <v>3399</v>
      </c>
    </row>
    <row r="1362" spans="1:2" ht="15.75" x14ac:dyDescent="0.25">
      <c r="A1362" s="344">
        <v>31075</v>
      </c>
      <c r="B1362" s="345" t="s">
        <v>3400</v>
      </c>
    </row>
    <row r="1363" spans="1:2" ht="15.75" x14ac:dyDescent="0.25">
      <c r="A1363" s="344">
        <v>31076</v>
      </c>
      <c r="B1363" s="345" t="s">
        <v>3401</v>
      </c>
    </row>
    <row r="1364" spans="1:2" ht="15.75" x14ac:dyDescent="0.25">
      <c r="A1364" s="344">
        <v>31077</v>
      </c>
      <c r="B1364" s="345" t="s">
        <v>3402</v>
      </c>
    </row>
    <row r="1365" spans="1:2" ht="15.75" x14ac:dyDescent="0.25">
      <c r="A1365" s="344">
        <v>31078</v>
      </c>
      <c r="B1365" s="345" t="s">
        <v>3403</v>
      </c>
    </row>
    <row r="1366" spans="1:2" ht="15.75" x14ac:dyDescent="0.25">
      <c r="A1366" s="344">
        <v>31079</v>
      </c>
      <c r="B1366" s="345" t="s">
        <v>3404</v>
      </c>
    </row>
    <row r="1367" spans="1:2" ht="15.75" x14ac:dyDescent="0.25">
      <c r="A1367" s="344">
        <v>31080</v>
      </c>
      <c r="B1367" s="345" t="s">
        <v>3405</v>
      </c>
    </row>
    <row r="1368" spans="1:2" ht="15.75" x14ac:dyDescent="0.25">
      <c r="A1368" s="344">
        <v>31081</v>
      </c>
      <c r="B1368" s="345" t="s">
        <v>3406</v>
      </c>
    </row>
    <row r="1369" spans="1:2" ht="15.75" x14ac:dyDescent="0.25">
      <c r="A1369" s="344">
        <v>31082</v>
      </c>
      <c r="B1369" s="345" t="s">
        <v>3407</v>
      </c>
    </row>
    <row r="1370" spans="1:2" ht="15.75" x14ac:dyDescent="0.25">
      <c r="A1370" s="344">
        <v>32000</v>
      </c>
      <c r="B1370" s="345" t="s">
        <v>3408</v>
      </c>
    </row>
    <row r="1371" spans="1:2" ht="15.75" x14ac:dyDescent="0.25">
      <c r="A1371" s="344">
        <v>32010</v>
      </c>
      <c r="B1371" s="345" t="s">
        <v>3409</v>
      </c>
    </row>
    <row r="1372" spans="1:2" ht="15.75" x14ac:dyDescent="0.25">
      <c r="A1372" s="344">
        <v>32011</v>
      </c>
      <c r="B1372" s="345" t="s">
        <v>3410</v>
      </c>
    </row>
    <row r="1373" spans="1:2" ht="15.75" x14ac:dyDescent="0.25">
      <c r="A1373" s="344">
        <v>32012</v>
      </c>
      <c r="B1373" s="345" t="s">
        <v>3411</v>
      </c>
    </row>
    <row r="1374" spans="1:2" ht="15.75" x14ac:dyDescent="0.25">
      <c r="A1374" s="344">
        <v>32013</v>
      </c>
      <c r="B1374" s="345" t="s">
        <v>3412</v>
      </c>
    </row>
    <row r="1375" spans="1:2" ht="15.75" x14ac:dyDescent="0.25">
      <c r="A1375" s="344">
        <v>32015</v>
      </c>
      <c r="B1375" s="345" t="s">
        <v>3413</v>
      </c>
    </row>
    <row r="1376" spans="1:2" ht="15.75" x14ac:dyDescent="0.25">
      <c r="A1376" s="344">
        <v>32016</v>
      </c>
      <c r="B1376" s="345" t="s">
        <v>3414</v>
      </c>
    </row>
    <row r="1377" spans="1:2" ht="15.75" x14ac:dyDescent="0.25">
      <c r="A1377" s="344">
        <v>32017</v>
      </c>
      <c r="B1377" s="345" t="s">
        <v>3415</v>
      </c>
    </row>
    <row r="1378" spans="1:2" ht="15.75" x14ac:dyDescent="0.25">
      <c r="A1378" s="344">
        <v>32020</v>
      </c>
      <c r="B1378" s="345" t="s">
        <v>3416</v>
      </c>
    </row>
    <row r="1379" spans="1:2" ht="15.75" x14ac:dyDescent="0.25">
      <c r="A1379" s="344">
        <v>32025</v>
      </c>
      <c r="B1379" s="345" t="s">
        <v>3417</v>
      </c>
    </row>
    <row r="1380" spans="1:2" ht="15.75" x14ac:dyDescent="0.25">
      <c r="A1380" s="344">
        <v>32026</v>
      </c>
      <c r="B1380" s="345" t="s">
        <v>3418</v>
      </c>
    </row>
    <row r="1381" spans="1:2" ht="15.75" x14ac:dyDescent="0.25">
      <c r="A1381" s="344">
        <v>32027</v>
      </c>
      <c r="B1381" s="345" t="s">
        <v>3419</v>
      </c>
    </row>
    <row r="1382" spans="1:2" ht="15.75" x14ac:dyDescent="0.25">
      <c r="A1382" s="344">
        <v>32030</v>
      </c>
      <c r="B1382" s="345" t="s">
        <v>3420</v>
      </c>
    </row>
    <row r="1383" spans="1:2" ht="15.75" x14ac:dyDescent="0.25">
      <c r="A1383" s="344">
        <v>32040</v>
      </c>
      <c r="B1383" s="345" t="s">
        <v>3421</v>
      </c>
    </row>
    <row r="1384" spans="1:2" ht="15.75" x14ac:dyDescent="0.25">
      <c r="A1384" s="344">
        <v>32041</v>
      </c>
      <c r="B1384" s="345" t="s">
        <v>3422</v>
      </c>
    </row>
    <row r="1385" spans="1:2" ht="15.75" x14ac:dyDescent="0.25">
      <c r="A1385" s="344">
        <v>32042</v>
      </c>
      <c r="B1385" s="345" t="s">
        <v>3423</v>
      </c>
    </row>
    <row r="1386" spans="1:2" ht="15.75" x14ac:dyDescent="0.25">
      <c r="A1386" s="344">
        <v>32043</v>
      </c>
      <c r="B1386" s="345" t="s">
        <v>3424</v>
      </c>
    </row>
    <row r="1387" spans="1:2" ht="15.75" x14ac:dyDescent="0.25">
      <c r="A1387" s="344">
        <v>32044</v>
      </c>
      <c r="B1387" s="345" t="s">
        <v>3425</v>
      </c>
    </row>
    <row r="1388" spans="1:2" ht="15.75" x14ac:dyDescent="0.25">
      <c r="A1388" s="344">
        <v>32045</v>
      </c>
      <c r="B1388" s="345" t="s">
        <v>3426</v>
      </c>
    </row>
    <row r="1389" spans="1:2" ht="15.75" x14ac:dyDescent="0.25">
      <c r="A1389" s="344">
        <v>32046</v>
      </c>
      <c r="B1389" s="345" t="s">
        <v>3427</v>
      </c>
    </row>
    <row r="1390" spans="1:2" ht="15.75" x14ac:dyDescent="0.25">
      <c r="A1390" s="344">
        <v>32047</v>
      </c>
      <c r="B1390" s="345" t="s">
        <v>3428</v>
      </c>
    </row>
    <row r="1391" spans="1:2" ht="15.75" x14ac:dyDescent="0.25">
      <c r="A1391" s="344">
        <v>32048</v>
      </c>
      <c r="B1391" s="345" t="s">
        <v>3429</v>
      </c>
    </row>
    <row r="1392" spans="1:2" ht="15.75" x14ac:dyDescent="0.25">
      <c r="A1392" s="344">
        <v>32049</v>
      </c>
      <c r="B1392" s="345" t="s">
        <v>3430</v>
      </c>
    </row>
    <row r="1393" spans="1:2" ht="15.75" x14ac:dyDescent="0.25">
      <c r="A1393" s="344">
        <v>32050</v>
      </c>
      <c r="B1393" s="345" t="s">
        <v>3431</v>
      </c>
    </row>
    <row r="1394" spans="1:2" ht="15.75" x14ac:dyDescent="0.25">
      <c r="A1394" s="344">
        <v>32051</v>
      </c>
      <c r="B1394" s="345" t="s">
        <v>3432</v>
      </c>
    </row>
    <row r="1395" spans="1:2" ht="15.75" x14ac:dyDescent="0.25">
      <c r="A1395" s="344">
        <v>32052</v>
      </c>
      <c r="B1395" s="345" t="s">
        <v>3433</v>
      </c>
    </row>
    <row r="1396" spans="1:2" ht="15.75" x14ac:dyDescent="0.25">
      <c r="A1396" s="344">
        <v>32053</v>
      </c>
      <c r="B1396" s="345" t="s">
        <v>3434</v>
      </c>
    </row>
    <row r="1397" spans="1:2" ht="15.75" x14ac:dyDescent="0.25">
      <c r="A1397" s="344">
        <v>32054</v>
      </c>
      <c r="B1397" s="345" t="s">
        <v>3435</v>
      </c>
    </row>
    <row r="1398" spans="1:2" ht="15.75" x14ac:dyDescent="0.25">
      <c r="A1398" s="344">
        <v>32056</v>
      </c>
      <c r="B1398" s="345" t="s">
        <v>3436</v>
      </c>
    </row>
    <row r="1399" spans="1:2" ht="15.75" x14ac:dyDescent="0.25">
      <c r="A1399" s="344">
        <v>32057</v>
      </c>
      <c r="B1399" s="345" t="s">
        <v>3437</v>
      </c>
    </row>
    <row r="1400" spans="1:2" ht="15.75" x14ac:dyDescent="0.25">
      <c r="A1400" s="344">
        <v>32058</v>
      </c>
      <c r="B1400" s="345" t="s">
        <v>3438</v>
      </c>
    </row>
    <row r="1401" spans="1:2" ht="15.75" x14ac:dyDescent="0.25">
      <c r="A1401" s="344">
        <v>32059</v>
      </c>
      <c r="B1401" s="345" t="s">
        <v>3439</v>
      </c>
    </row>
    <row r="1402" spans="1:2" ht="15.75" x14ac:dyDescent="0.25">
      <c r="A1402" s="344">
        <v>32060</v>
      </c>
      <c r="B1402" s="345" t="s">
        <v>3440</v>
      </c>
    </row>
    <row r="1403" spans="1:2" ht="15.75" x14ac:dyDescent="0.25">
      <c r="A1403" s="344">
        <v>32061</v>
      </c>
      <c r="B1403" s="345" t="s">
        <v>3441</v>
      </c>
    </row>
    <row r="1404" spans="1:2" ht="15.75" x14ac:dyDescent="0.25">
      <c r="A1404" s="344">
        <v>32062</v>
      </c>
      <c r="B1404" s="345" t="s">
        <v>3442</v>
      </c>
    </row>
    <row r="1405" spans="1:2" ht="15.75" x14ac:dyDescent="0.25">
      <c r="A1405" s="344">
        <v>32063</v>
      </c>
      <c r="B1405" s="345" t="s">
        <v>3443</v>
      </c>
    </row>
    <row r="1406" spans="1:2" ht="15.75" x14ac:dyDescent="0.25">
      <c r="A1406" s="344">
        <v>32064</v>
      </c>
      <c r="B1406" s="345" t="s">
        <v>3444</v>
      </c>
    </row>
    <row r="1407" spans="1:2" ht="15.75" x14ac:dyDescent="0.25">
      <c r="A1407" s="344">
        <v>32065</v>
      </c>
      <c r="B1407" s="345" t="s">
        <v>3445</v>
      </c>
    </row>
    <row r="1408" spans="1:2" ht="15.75" x14ac:dyDescent="0.25">
      <c r="A1408" s="344">
        <v>32066</v>
      </c>
      <c r="B1408" s="345" t="s">
        <v>3446</v>
      </c>
    </row>
    <row r="1409" spans="1:2" ht="15.75" x14ac:dyDescent="0.25">
      <c r="A1409" s="344">
        <v>32067</v>
      </c>
      <c r="B1409" s="345" t="s">
        <v>3447</v>
      </c>
    </row>
    <row r="1410" spans="1:2" ht="15.75" x14ac:dyDescent="0.25">
      <c r="A1410" s="344">
        <v>32068</v>
      </c>
      <c r="B1410" s="345" t="s">
        <v>3448</v>
      </c>
    </row>
    <row r="1411" spans="1:2" ht="15.75" x14ac:dyDescent="0.25">
      <c r="A1411" s="344">
        <v>32069</v>
      </c>
      <c r="B1411" s="345" t="s">
        <v>3449</v>
      </c>
    </row>
    <row r="1412" spans="1:2" ht="15.75" x14ac:dyDescent="0.25">
      <c r="A1412" s="344">
        <v>32070</v>
      </c>
      <c r="B1412" s="345" t="s">
        <v>3450</v>
      </c>
    </row>
    <row r="1413" spans="1:2" ht="15.75" x14ac:dyDescent="0.25">
      <c r="A1413" s="344">
        <v>32071</v>
      </c>
      <c r="B1413" s="345" t="s">
        <v>3451</v>
      </c>
    </row>
    <row r="1414" spans="1:2" ht="15.75" x14ac:dyDescent="0.25">
      <c r="A1414" s="344">
        <v>32072</v>
      </c>
      <c r="B1414" s="345" t="s">
        <v>3452</v>
      </c>
    </row>
    <row r="1415" spans="1:2" ht="15.75" x14ac:dyDescent="0.25">
      <c r="A1415" s="344">
        <v>32073</v>
      </c>
      <c r="B1415" s="345" t="s">
        <v>3453</v>
      </c>
    </row>
    <row r="1416" spans="1:2" ht="15.75" x14ac:dyDescent="0.25">
      <c r="A1416" s="344">
        <v>32074</v>
      </c>
      <c r="B1416" s="345" t="s">
        <v>3454</v>
      </c>
    </row>
    <row r="1417" spans="1:2" ht="15.75" x14ac:dyDescent="0.25">
      <c r="A1417" s="344">
        <v>32075</v>
      </c>
      <c r="B1417" s="345" t="s">
        <v>3455</v>
      </c>
    </row>
    <row r="1418" spans="1:2" ht="15.75" x14ac:dyDescent="0.25">
      <c r="A1418" s="344">
        <v>32076</v>
      </c>
      <c r="B1418" s="345" t="s">
        <v>3456</v>
      </c>
    </row>
    <row r="1419" spans="1:2" ht="15.75" x14ac:dyDescent="0.25">
      <c r="A1419" s="344">
        <v>32077</v>
      </c>
      <c r="B1419" s="345" t="s">
        <v>3457</v>
      </c>
    </row>
    <row r="1420" spans="1:2" ht="15.75" x14ac:dyDescent="0.25">
      <c r="A1420" s="344">
        <v>32078</v>
      </c>
      <c r="B1420" s="345" t="s">
        <v>3458</v>
      </c>
    </row>
    <row r="1421" spans="1:2" ht="15.75" x14ac:dyDescent="0.25">
      <c r="A1421" s="344">
        <v>32079</v>
      </c>
      <c r="B1421" s="345" t="s">
        <v>3459</v>
      </c>
    </row>
    <row r="1422" spans="1:2" ht="15.75" x14ac:dyDescent="0.25">
      <c r="A1422" s="344">
        <v>32080</v>
      </c>
      <c r="B1422" s="345" t="s">
        <v>3460</v>
      </c>
    </row>
    <row r="1423" spans="1:2" ht="15.75" x14ac:dyDescent="0.25">
      <c r="A1423" s="344">
        <v>32081</v>
      </c>
      <c r="B1423" s="345" t="s">
        <v>3461</v>
      </c>
    </row>
    <row r="1424" spans="1:2" ht="15.75" x14ac:dyDescent="0.25">
      <c r="A1424" s="344">
        <v>32082</v>
      </c>
      <c r="B1424" s="345" t="s">
        <v>3462</v>
      </c>
    </row>
    <row r="1425" spans="1:2" ht="15.75" x14ac:dyDescent="0.25">
      <c r="A1425" s="344">
        <v>32083</v>
      </c>
      <c r="B1425" s="345" t="s">
        <v>3463</v>
      </c>
    </row>
    <row r="1426" spans="1:2" ht="15.75" x14ac:dyDescent="0.25">
      <c r="A1426" s="344">
        <v>32084</v>
      </c>
      <c r="B1426" s="345" t="s">
        <v>3464</v>
      </c>
    </row>
    <row r="1427" spans="1:2" ht="15.75" x14ac:dyDescent="0.25">
      <c r="A1427" s="344">
        <v>32085</v>
      </c>
      <c r="B1427" s="345" t="s">
        <v>3465</v>
      </c>
    </row>
    <row r="1428" spans="1:2" ht="15.75" x14ac:dyDescent="0.25">
      <c r="A1428" s="344">
        <v>32086</v>
      </c>
      <c r="B1428" s="345" t="s">
        <v>3466</v>
      </c>
    </row>
    <row r="1429" spans="1:2" ht="15.75" x14ac:dyDescent="0.25">
      <c r="A1429" s="344">
        <v>32087</v>
      </c>
      <c r="B1429" s="345" t="s">
        <v>3467</v>
      </c>
    </row>
    <row r="1430" spans="1:2" ht="15.75" x14ac:dyDescent="0.25">
      <c r="A1430" s="344">
        <v>32088</v>
      </c>
      <c r="B1430" s="345" t="s">
        <v>3468</v>
      </c>
    </row>
    <row r="1431" spans="1:2" ht="15.75" x14ac:dyDescent="0.25">
      <c r="A1431" s="344">
        <v>32089</v>
      </c>
      <c r="B1431" s="345" t="s">
        <v>3469</v>
      </c>
    </row>
    <row r="1432" spans="1:2" ht="15.75" x14ac:dyDescent="0.25">
      <c r="A1432" s="344">
        <v>32090</v>
      </c>
      <c r="B1432" s="345" t="s">
        <v>3470</v>
      </c>
    </row>
    <row r="1433" spans="1:2" ht="15.75" x14ac:dyDescent="0.25">
      <c r="A1433" s="344">
        <v>32091</v>
      </c>
      <c r="B1433" s="345" t="s">
        <v>3471</v>
      </c>
    </row>
    <row r="1434" spans="1:2" ht="15.75" x14ac:dyDescent="0.25">
      <c r="A1434" s="344">
        <v>32092</v>
      </c>
      <c r="B1434" s="345" t="s">
        <v>3472</v>
      </c>
    </row>
    <row r="1435" spans="1:2" ht="15.75" x14ac:dyDescent="0.25">
      <c r="A1435" s="344">
        <v>32093</v>
      </c>
      <c r="B1435" s="345" t="s">
        <v>3473</v>
      </c>
    </row>
    <row r="1436" spans="1:2" ht="15.75" x14ac:dyDescent="0.25">
      <c r="A1436" s="344">
        <v>32094</v>
      </c>
      <c r="B1436" s="345" t="s">
        <v>3474</v>
      </c>
    </row>
    <row r="1437" spans="1:2" ht="15.75" x14ac:dyDescent="0.25">
      <c r="A1437" s="344">
        <v>32095</v>
      </c>
      <c r="B1437" s="345" t="s">
        <v>3475</v>
      </c>
    </row>
    <row r="1438" spans="1:2" ht="15.75" x14ac:dyDescent="0.25">
      <c r="A1438" s="344">
        <v>32096</v>
      </c>
      <c r="B1438" s="345" t="s">
        <v>3476</v>
      </c>
    </row>
    <row r="1439" spans="1:2" ht="15.75" x14ac:dyDescent="0.25">
      <c r="A1439" s="344">
        <v>32097</v>
      </c>
      <c r="B1439" s="345" t="s">
        <v>3477</v>
      </c>
    </row>
    <row r="1440" spans="1:2" ht="15.75" x14ac:dyDescent="0.25">
      <c r="A1440" s="344">
        <v>32098</v>
      </c>
      <c r="B1440" s="345" t="s">
        <v>3478</v>
      </c>
    </row>
    <row r="1441" spans="1:2" ht="15.75" x14ac:dyDescent="0.25">
      <c r="A1441" s="344">
        <v>32099</v>
      </c>
      <c r="B1441" s="345" t="s">
        <v>3479</v>
      </c>
    </row>
    <row r="1442" spans="1:2" ht="15.75" x14ac:dyDescent="0.25">
      <c r="A1442" s="344">
        <v>32100</v>
      </c>
      <c r="B1442" s="345" t="s">
        <v>3480</v>
      </c>
    </row>
    <row r="1443" spans="1:2" ht="15.75" x14ac:dyDescent="0.25">
      <c r="A1443" s="344">
        <v>32101</v>
      </c>
      <c r="B1443" s="345" t="s">
        <v>3481</v>
      </c>
    </row>
    <row r="1444" spans="1:2" ht="15.75" x14ac:dyDescent="0.25">
      <c r="A1444" s="344">
        <v>32102</v>
      </c>
      <c r="B1444" s="345" t="s">
        <v>3482</v>
      </c>
    </row>
    <row r="1445" spans="1:2" ht="15.75" x14ac:dyDescent="0.25">
      <c r="A1445" s="344">
        <v>32103</v>
      </c>
      <c r="B1445" s="345" t="s">
        <v>3483</v>
      </c>
    </row>
    <row r="1446" spans="1:2" ht="15.75" x14ac:dyDescent="0.25">
      <c r="A1446" s="344">
        <v>32104</v>
      </c>
      <c r="B1446" s="345" t="s">
        <v>3484</v>
      </c>
    </row>
    <row r="1447" spans="1:2" ht="15.75" x14ac:dyDescent="0.25">
      <c r="A1447" s="344">
        <v>32105</v>
      </c>
      <c r="B1447" s="345" t="s">
        <v>3485</v>
      </c>
    </row>
    <row r="1448" spans="1:2" ht="15.75" x14ac:dyDescent="0.25">
      <c r="A1448" s="344">
        <v>32106</v>
      </c>
      <c r="B1448" s="345" t="s">
        <v>3486</v>
      </c>
    </row>
    <row r="1449" spans="1:2" ht="15.75" x14ac:dyDescent="0.25">
      <c r="A1449" s="344">
        <v>32107</v>
      </c>
      <c r="B1449" s="345" t="s">
        <v>3487</v>
      </c>
    </row>
    <row r="1450" spans="1:2" ht="15.75" x14ac:dyDescent="0.25">
      <c r="A1450" s="344">
        <v>32108</v>
      </c>
      <c r="B1450" s="345" t="s">
        <v>3488</v>
      </c>
    </row>
    <row r="1451" spans="1:2" ht="15.75" x14ac:dyDescent="0.25">
      <c r="A1451" s="344">
        <v>32109</v>
      </c>
      <c r="B1451" s="345" t="s">
        <v>3489</v>
      </c>
    </row>
    <row r="1452" spans="1:2" ht="15.75" x14ac:dyDescent="0.25">
      <c r="A1452" s="344">
        <v>32110</v>
      </c>
      <c r="B1452" s="345" t="s">
        <v>3490</v>
      </c>
    </row>
    <row r="1453" spans="1:2" ht="15.75" x14ac:dyDescent="0.25">
      <c r="A1453" s="344">
        <v>32111</v>
      </c>
      <c r="B1453" s="345" t="s">
        <v>3491</v>
      </c>
    </row>
    <row r="1454" spans="1:2" ht="15.75" x14ac:dyDescent="0.25">
      <c r="A1454" s="344">
        <v>32112</v>
      </c>
      <c r="B1454" s="345" t="s">
        <v>3492</v>
      </c>
    </row>
    <row r="1455" spans="1:2" ht="15.75" x14ac:dyDescent="0.25">
      <c r="A1455" s="344">
        <v>32113</v>
      </c>
      <c r="B1455" s="345" t="s">
        <v>3493</v>
      </c>
    </row>
    <row r="1456" spans="1:2" ht="15.75" x14ac:dyDescent="0.25">
      <c r="A1456" s="344">
        <v>32114</v>
      </c>
      <c r="B1456" s="345" t="s">
        <v>3494</v>
      </c>
    </row>
    <row r="1457" spans="1:2" ht="15.75" x14ac:dyDescent="0.25">
      <c r="A1457" s="344">
        <v>32115</v>
      </c>
      <c r="B1457" s="345" t="s">
        <v>3495</v>
      </c>
    </row>
    <row r="1458" spans="1:2" ht="15.75" x14ac:dyDescent="0.25">
      <c r="A1458" s="344">
        <v>32116</v>
      </c>
      <c r="B1458" s="345" t="s">
        <v>3496</v>
      </c>
    </row>
    <row r="1459" spans="1:2" ht="15.75" x14ac:dyDescent="0.25">
      <c r="A1459" s="344">
        <v>32117</v>
      </c>
      <c r="B1459" s="345" t="s">
        <v>3497</v>
      </c>
    </row>
    <row r="1460" spans="1:2" ht="15.75" x14ac:dyDescent="0.25">
      <c r="A1460" s="344">
        <v>32118</v>
      </c>
      <c r="B1460" s="345" t="s">
        <v>3498</v>
      </c>
    </row>
    <row r="1461" spans="1:2" ht="15.75" x14ac:dyDescent="0.25">
      <c r="A1461" s="344">
        <v>32119</v>
      </c>
      <c r="B1461" s="345" t="s">
        <v>3499</v>
      </c>
    </row>
    <row r="1462" spans="1:2" ht="15.75" x14ac:dyDescent="0.25">
      <c r="A1462" s="344">
        <v>32120</v>
      </c>
      <c r="B1462" s="345" t="s">
        <v>3500</v>
      </c>
    </row>
    <row r="1463" spans="1:2" ht="15.75" x14ac:dyDescent="0.25">
      <c r="A1463" s="344">
        <v>32121</v>
      </c>
      <c r="B1463" s="345" t="s">
        <v>3501</v>
      </c>
    </row>
    <row r="1464" spans="1:2" ht="15.75" x14ac:dyDescent="0.25">
      <c r="A1464" s="344">
        <v>32122</v>
      </c>
      <c r="B1464" s="345" t="s">
        <v>3502</v>
      </c>
    </row>
    <row r="1465" spans="1:2" ht="15.75" x14ac:dyDescent="0.25">
      <c r="A1465" s="344">
        <v>32123</v>
      </c>
      <c r="B1465" s="345" t="s">
        <v>3503</v>
      </c>
    </row>
    <row r="1466" spans="1:2" ht="15.75" x14ac:dyDescent="0.25">
      <c r="A1466" s="344">
        <v>32124</v>
      </c>
      <c r="B1466" s="345" t="s">
        <v>3504</v>
      </c>
    </row>
    <row r="1467" spans="1:2" ht="15.75" x14ac:dyDescent="0.25">
      <c r="A1467" s="344">
        <v>32125</v>
      </c>
      <c r="B1467" s="345" t="s">
        <v>3505</v>
      </c>
    </row>
    <row r="1468" spans="1:2" ht="15.75" x14ac:dyDescent="0.25">
      <c r="A1468" s="344">
        <v>32126</v>
      </c>
      <c r="B1468" s="345" t="s">
        <v>3506</v>
      </c>
    </row>
    <row r="1469" spans="1:2" ht="15.75" x14ac:dyDescent="0.25">
      <c r="A1469" s="344">
        <v>32127</v>
      </c>
      <c r="B1469" s="345" t="s">
        <v>3507</v>
      </c>
    </row>
    <row r="1470" spans="1:2" ht="15.75" x14ac:dyDescent="0.25">
      <c r="A1470" s="344">
        <v>32128</v>
      </c>
      <c r="B1470" s="345" t="s">
        <v>3508</v>
      </c>
    </row>
    <row r="1471" spans="1:2" ht="15.75" x14ac:dyDescent="0.25">
      <c r="A1471" s="344">
        <v>32129</v>
      </c>
      <c r="B1471" s="345" t="s">
        <v>3509</v>
      </c>
    </row>
    <row r="1472" spans="1:2" ht="15.75" x14ac:dyDescent="0.25">
      <c r="A1472" s="344">
        <v>32130</v>
      </c>
      <c r="B1472" s="345" t="s">
        <v>3510</v>
      </c>
    </row>
    <row r="1473" spans="1:2" ht="15.75" x14ac:dyDescent="0.25">
      <c r="A1473" s="344">
        <v>32131</v>
      </c>
      <c r="B1473" s="345" t="s">
        <v>3511</v>
      </c>
    </row>
    <row r="1474" spans="1:2" ht="15.75" x14ac:dyDescent="0.25">
      <c r="A1474" s="344">
        <v>32132</v>
      </c>
      <c r="B1474" s="345" t="s">
        <v>3512</v>
      </c>
    </row>
    <row r="1475" spans="1:2" ht="15.75" x14ac:dyDescent="0.25">
      <c r="A1475" s="344">
        <v>32133</v>
      </c>
      <c r="B1475" s="345" t="s">
        <v>3513</v>
      </c>
    </row>
    <row r="1476" spans="1:2" ht="15.75" x14ac:dyDescent="0.25">
      <c r="A1476" s="344">
        <v>32134</v>
      </c>
      <c r="B1476" s="345" t="s">
        <v>3514</v>
      </c>
    </row>
    <row r="1477" spans="1:2" ht="15.75" x14ac:dyDescent="0.25">
      <c r="A1477" s="344">
        <v>32135</v>
      </c>
      <c r="B1477" s="345" t="s">
        <v>3515</v>
      </c>
    </row>
    <row r="1478" spans="1:2" ht="15.75" x14ac:dyDescent="0.25">
      <c r="A1478" s="344">
        <v>32136</v>
      </c>
      <c r="B1478" s="345" t="s">
        <v>3516</v>
      </c>
    </row>
    <row r="1479" spans="1:2" ht="15.75" x14ac:dyDescent="0.25">
      <c r="A1479" s="344">
        <v>32137</v>
      </c>
      <c r="B1479" s="345" t="s">
        <v>3517</v>
      </c>
    </row>
    <row r="1480" spans="1:2" ht="15.75" x14ac:dyDescent="0.25">
      <c r="A1480" s="344">
        <v>32138</v>
      </c>
      <c r="B1480" s="345" t="s">
        <v>3518</v>
      </c>
    </row>
    <row r="1481" spans="1:2" ht="15.75" x14ac:dyDescent="0.25">
      <c r="A1481" s="344">
        <v>32139</v>
      </c>
      <c r="B1481" s="345" t="s">
        <v>3519</v>
      </c>
    </row>
    <row r="1482" spans="1:2" ht="15.75" x14ac:dyDescent="0.25">
      <c r="A1482" s="344">
        <v>32140</v>
      </c>
      <c r="B1482" s="345" t="s">
        <v>3520</v>
      </c>
    </row>
    <row r="1483" spans="1:2" ht="15.75" x14ac:dyDescent="0.25">
      <c r="A1483" s="344">
        <v>32141</v>
      </c>
      <c r="B1483" s="345" t="s">
        <v>3521</v>
      </c>
    </row>
    <row r="1484" spans="1:2" ht="15.75" x14ac:dyDescent="0.25">
      <c r="A1484" s="344">
        <v>32142</v>
      </c>
      <c r="B1484" s="345" t="s">
        <v>3522</v>
      </c>
    </row>
    <row r="1485" spans="1:2" ht="15.75" x14ac:dyDescent="0.25">
      <c r="A1485" s="344">
        <v>32143</v>
      </c>
      <c r="B1485" s="345" t="s">
        <v>3523</v>
      </c>
    </row>
    <row r="1486" spans="1:2" ht="15.75" x14ac:dyDescent="0.25">
      <c r="A1486" s="344">
        <v>32144</v>
      </c>
      <c r="B1486" s="345" t="s">
        <v>3524</v>
      </c>
    </row>
    <row r="1487" spans="1:2" ht="15.75" x14ac:dyDescent="0.25">
      <c r="A1487" s="344">
        <v>32145</v>
      </c>
      <c r="B1487" s="345" t="s">
        <v>3525</v>
      </c>
    </row>
    <row r="1488" spans="1:2" ht="15.75" x14ac:dyDescent="0.25">
      <c r="A1488" s="344">
        <v>32146</v>
      </c>
      <c r="B1488" s="345" t="s">
        <v>3526</v>
      </c>
    </row>
    <row r="1489" spans="1:2" ht="15.75" x14ac:dyDescent="0.25">
      <c r="A1489" s="344">
        <v>32147</v>
      </c>
      <c r="B1489" s="345" t="s">
        <v>3527</v>
      </c>
    </row>
    <row r="1490" spans="1:2" ht="15.75" x14ac:dyDescent="0.25">
      <c r="A1490" s="344">
        <v>32148</v>
      </c>
      <c r="B1490" s="345" t="s">
        <v>3528</v>
      </c>
    </row>
    <row r="1491" spans="1:2" ht="15.75" x14ac:dyDescent="0.25">
      <c r="A1491" s="344">
        <v>32149</v>
      </c>
      <c r="B1491" s="345" t="s">
        <v>3529</v>
      </c>
    </row>
    <row r="1492" spans="1:2" ht="15.75" x14ac:dyDescent="0.25">
      <c r="A1492" s="344">
        <v>32150</v>
      </c>
      <c r="B1492" s="345" t="s">
        <v>3530</v>
      </c>
    </row>
    <row r="1493" spans="1:2" ht="15.75" x14ac:dyDescent="0.25">
      <c r="A1493" s="344">
        <v>32151</v>
      </c>
      <c r="B1493" s="345" t="s">
        <v>3531</v>
      </c>
    </row>
    <row r="1494" spans="1:2" ht="15.75" x14ac:dyDescent="0.25">
      <c r="A1494" s="344">
        <v>32152</v>
      </c>
      <c r="B1494" s="345" t="s">
        <v>3532</v>
      </c>
    </row>
    <row r="1495" spans="1:2" ht="15.75" x14ac:dyDescent="0.25">
      <c r="A1495" s="344">
        <v>32153</v>
      </c>
      <c r="B1495" s="345" t="s">
        <v>3533</v>
      </c>
    </row>
    <row r="1496" spans="1:2" ht="15.75" x14ac:dyDescent="0.25">
      <c r="A1496" s="344">
        <v>32154</v>
      </c>
      <c r="B1496" s="345" t="s">
        <v>3534</v>
      </c>
    </row>
    <row r="1497" spans="1:2" ht="15.75" x14ac:dyDescent="0.25">
      <c r="A1497" s="344">
        <v>32155</v>
      </c>
      <c r="B1497" s="345" t="s">
        <v>3535</v>
      </c>
    </row>
    <row r="1498" spans="1:2" ht="15.75" x14ac:dyDescent="0.25">
      <c r="A1498" s="344">
        <v>32156</v>
      </c>
      <c r="B1498" s="345" t="s">
        <v>3536</v>
      </c>
    </row>
    <row r="1499" spans="1:2" ht="15.75" x14ac:dyDescent="0.25">
      <c r="A1499" s="344">
        <v>32157</v>
      </c>
      <c r="B1499" s="345" t="s">
        <v>3537</v>
      </c>
    </row>
    <row r="1500" spans="1:2" ht="15.75" x14ac:dyDescent="0.25">
      <c r="A1500" s="344">
        <v>32158</v>
      </c>
      <c r="B1500" s="345" t="s">
        <v>3538</v>
      </c>
    </row>
    <row r="1501" spans="1:2" ht="15.75" x14ac:dyDescent="0.25">
      <c r="A1501" s="344">
        <v>32159</v>
      </c>
      <c r="B1501" s="345" t="s">
        <v>3539</v>
      </c>
    </row>
    <row r="1502" spans="1:2" ht="15.75" x14ac:dyDescent="0.25">
      <c r="A1502" s="344">
        <v>32160</v>
      </c>
      <c r="B1502" s="345" t="s">
        <v>3540</v>
      </c>
    </row>
    <row r="1503" spans="1:2" ht="15.75" x14ac:dyDescent="0.25">
      <c r="A1503" s="344">
        <v>32161</v>
      </c>
      <c r="B1503" s="345" t="s">
        <v>3541</v>
      </c>
    </row>
    <row r="1504" spans="1:2" ht="15.75" x14ac:dyDescent="0.25">
      <c r="A1504" s="344">
        <v>32162</v>
      </c>
      <c r="B1504" s="345" t="s">
        <v>3542</v>
      </c>
    </row>
    <row r="1505" spans="1:2" ht="15.75" x14ac:dyDescent="0.25">
      <c r="A1505" s="344">
        <v>32163</v>
      </c>
      <c r="B1505" s="345" t="s">
        <v>3543</v>
      </c>
    </row>
    <row r="1506" spans="1:2" ht="15.75" x14ac:dyDescent="0.25">
      <c r="A1506" s="344">
        <v>32164</v>
      </c>
      <c r="B1506" s="345" t="s">
        <v>3544</v>
      </c>
    </row>
    <row r="1507" spans="1:2" ht="15.75" x14ac:dyDescent="0.25">
      <c r="A1507" s="344">
        <v>32165</v>
      </c>
      <c r="B1507" s="345" t="s">
        <v>3545</v>
      </c>
    </row>
    <row r="1508" spans="1:2" ht="15.75" x14ac:dyDescent="0.25">
      <c r="A1508" s="344">
        <v>32166</v>
      </c>
      <c r="B1508" s="345" t="s">
        <v>3546</v>
      </c>
    </row>
    <row r="1509" spans="1:2" ht="15.75" x14ac:dyDescent="0.25">
      <c r="A1509" s="344">
        <v>32167</v>
      </c>
      <c r="B1509" s="345" t="s">
        <v>3547</v>
      </c>
    </row>
    <row r="1510" spans="1:2" ht="15.75" x14ac:dyDescent="0.25">
      <c r="A1510" s="344">
        <v>32168</v>
      </c>
      <c r="B1510" s="345" t="s">
        <v>3548</v>
      </c>
    </row>
    <row r="1511" spans="1:2" ht="15.75" x14ac:dyDescent="0.25">
      <c r="A1511" s="344">
        <v>32169</v>
      </c>
      <c r="B1511" s="345" t="s">
        <v>3549</v>
      </c>
    </row>
    <row r="1512" spans="1:2" ht="15.75" x14ac:dyDescent="0.25">
      <c r="A1512" s="344">
        <v>32170</v>
      </c>
      <c r="B1512" s="345" t="s">
        <v>3550</v>
      </c>
    </row>
    <row r="1513" spans="1:2" ht="15.75" x14ac:dyDescent="0.25">
      <c r="A1513" s="344">
        <v>32171</v>
      </c>
      <c r="B1513" s="345" t="s">
        <v>3551</v>
      </c>
    </row>
    <row r="1514" spans="1:2" ht="15.75" x14ac:dyDescent="0.25">
      <c r="A1514" s="344">
        <v>32172</v>
      </c>
      <c r="B1514" s="345" t="s">
        <v>3552</v>
      </c>
    </row>
    <row r="1515" spans="1:2" ht="15.75" x14ac:dyDescent="0.25">
      <c r="A1515" s="344">
        <v>32173</v>
      </c>
      <c r="B1515" s="345" t="s">
        <v>3553</v>
      </c>
    </row>
    <row r="1516" spans="1:2" ht="15.75" x14ac:dyDescent="0.25">
      <c r="A1516" s="344">
        <v>32174</v>
      </c>
      <c r="B1516" s="345" t="s">
        <v>3554</v>
      </c>
    </row>
    <row r="1517" spans="1:2" ht="15.75" x14ac:dyDescent="0.25">
      <c r="A1517" s="344">
        <v>32175</v>
      </c>
      <c r="B1517" s="345" t="s">
        <v>3555</v>
      </c>
    </row>
    <row r="1518" spans="1:2" ht="15.75" x14ac:dyDescent="0.25">
      <c r="A1518" s="344">
        <v>32176</v>
      </c>
      <c r="B1518" s="345" t="s">
        <v>3556</v>
      </c>
    </row>
    <row r="1519" spans="1:2" ht="15.75" x14ac:dyDescent="0.25">
      <c r="A1519" s="344">
        <v>32177</v>
      </c>
      <c r="B1519" s="345" t="s">
        <v>3557</v>
      </c>
    </row>
    <row r="1520" spans="1:2" ht="15.75" x14ac:dyDescent="0.25">
      <c r="A1520" s="344">
        <v>32178</v>
      </c>
      <c r="B1520" s="345" t="s">
        <v>3558</v>
      </c>
    </row>
    <row r="1521" spans="1:2" ht="15.75" x14ac:dyDescent="0.25">
      <c r="A1521" s="344">
        <v>32179</v>
      </c>
      <c r="B1521" s="345" t="s">
        <v>3559</v>
      </c>
    </row>
    <row r="1522" spans="1:2" ht="15.75" x14ac:dyDescent="0.25">
      <c r="A1522" s="344">
        <v>32180</v>
      </c>
      <c r="B1522" s="345" t="s">
        <v>3560</v>
      </c>
    </row>
    <row r="1523" spans="1:2" ht="15.75" x14ac:dyDescent="0.25">
      <c r="A1523" s="344">
        <v>32181</v>
      </c>
      <c r="B1523" s="345" t="s">
        <v>3561</v>
      </c>
    </row>
    <row r="1524" spans="1:2" ht="15.75" x14ac:dyDescent="0.25">
      <c r="A1524" s="344">
        <v>32182</v>
      </c>
      <c r="B1524" s="345" t="s">
        <v>3562</v>
      </c>
    </row>
    <row r="1525" spans="1:2" ht="15.75" x14ac:dyDescent="0.25">
      <c r="A1525" s="344">
        <v>32183</v>
      </c>
      <c r="B1525" s="345" t="s">
        <v>3563</v>
      </c>
    </row>
    <row r="1526" spans="1:2" ht="15.75" x14ac:dyDescent="0.25">
      <c r="A1526" s="344">
        <v>32184</v>
      </c>
      <c r="B1526" s="345" t="s">
        <v>3564</v>
      </c>
    </row>
    <row r="1527" spans="1:2" ht="15.75" x14ac:dyDescent="0.25">
      <c r="A1527" s="344">
        <v>32185</v>
      </c>
      <c r="B1527" s="345" t="s">
        <v>3565</v>
      </c>
    </row>
    <row r="1528" spans="1:2" ht="15.75" x14ac:dyDescent="0.25">
      <c r="A1528" s="344">
        <v>32186</v>
      </c>
      <c r="B1528" s="345" t="s">
        <v>3566</v>
      </c>
    </row>
    <row r="1529" spans="1:2" ht="15.75" x14ac:dyDescent="0.25">
      <c r="A1529" s="344">
        <v>32187</v>
      </c>
      <c r="B1529" s="345" t="s">
        <v>3567</v>
      </c>
    </row>
    <row r="1530" spans="1:2" ht="15.75" x14ac:dyDescent="0.25">
      <c r="A1530" s="344">
        <v>32188</v>
      </c>
      <c r="B1530" s="345" t="s">
        <v>3568</v>
      </c>
    </row>
    <row r="1531" spans="1:2" ht="15.75" x14ac:dyDescent="0.25">
      <c r="A1531" s="344">
        <v>32189</v>
      </c>
      <c r="B1531" s="345" t="s">
        <v>3569</v>
      </c>
    </row>
    <row r="1532" spans="1:2" ht="15.75" x14ac:dyDescent="0.25">
      <c r="A1532" s="344">
        <v>32190</v>
      </c>
      <c r="B1532" s="345" t="s">
        <v>3570</v>
      </c>
    </row>
    <row r="1533" spans="1:2" ht="15.75" x14ac:dyDescent="0.25">
      <c r="A1533" s="344">
        <v>32191</v>
      </c>
      <c r="B1533" s="345" t="s">
        <v>3571</v>
      </c>
    </row>
    <row r="1534" spans="1:2" ht="15.75" x14ac:dyDescent="0.25">
      <c r="A1534" s="344">
        <v>32192</v>
      </c>
      <c r="B1534" s="345" t="s">
        <v>3572</v>
      </c>
    </row>
    <row r="1535" spans="1:2" ht="15.75" x14ac:dyDescent="0.25">
      <c r="A1535" s="344">
        <v>32193</v>
      </c>
      <c r="B1535" s="345" t="s">
        <v>3573</v>
      </c>
    </row>
    <row r="1536" spans="1:2" ht="15.75" x14ac:dyDescent="0.25">
      <c r="A1536" s="344">
        <v>32194</v>
      </c>
      <c r="B1536" s="345" t="s">
        <v>3574</v>
      </c>
    </row>
    <row r="1537" spans="1:2" ht="15.75" x14ac:dyDescent="0.25">
      <c r="A1537" s="344">
        <v>32195</v>
      </c>
      <c r="B1537" s="345" t="s">
        <v>3575</v>
      </c>
    </row>
    <row r="1538" spans="1:2" ht="15.75" x14ac:dyDescent="0.25">
      <c r="A1538" s="344">
        <v>32196</v>
      </c>
      <c r="B1538" s="345" t="s">
        <v>3576</v>
      </c>
    </row>
    <row r="1539" spans="1:2" ht="15.75" x14ac:dyDescent="0.25">
      <c r="A1539" s="344">
        <v>32197</v>
      </c>
      <c r="B1539" s="345" t="s">
        <v>3577</v>
      </c>
    </row>
    <row r="1540" spans="1:2" ht="15.75" x14ac:dyDescent="0.25">
      <c r="A1540" s="344">
        <v>32198</v>
      </c>
      <c r="B1540" s="345" t="s">
        <v>3578</v>
      </c>
    </row>
    <row r="1541" spans="1:2" ht="15.75" x14ac:dyDescent="0.25">
      <c r="A1541" s="344">
        <v>32199</v>
      </c>
      <c r="B1541" s="345" t="s">
        <v>3579</v>
      </c>
    </row>
    <row r="1542" spans="1:2" ht="15.75" x14ac:dyDescent="0.25">
      <c r="A1542" s="344">
        <v>32205</v>
      </c>
      <c r="B1542" s="345" t="s">
        <v>3580</v>
      </c>
    </row>
    <row r="1543" spans="1:2" ht="15.75" x14ac:dyDescent="0.25">
      <c r="A1543" s="344">
        <v>32210</v>
      </c>
      <c r="B1543" s="345" t="s">
        <v>3581</v>
      </c>
    </row>
    <row r="1544" spans="1:2" ht="15.75" x14ac:dyDescent="0.25">
      <c r="A1544" s="344">
        <v>32215</v>
      </c>
      <c r="B1544" s="345" t="s">
        <v>3582</v>
      </c>
    </row>
    <row r="1545" spans="1:2" ht="15.75" x14ac:dyDescent="0.25">
      <c r="A1545" s="344">
        <v>32900</v>
      </c>
      <c r="B1545" s="345" t="s">
        <v>3583</v>
      </c>
    </row>
    <row r="1546" spans="1:2" ht="15.75" x14ac:dyDescent="0.25">
      <c r="A1546" s="344">
        <v>33000</v>
      </c>
      <c r="B1546" s="345" t="s">
        <v>2010</v>
      </c>
    </row>
    <row r="1547" spans="1:2" ht="15.75" x14ac:dyDescent="0.25">
      <c r="A1547" s="344">
        <v>33001</v>
      </c>
      <c r="B1547" s="345" t="s">
        <v>3584</v>
      </c>
    </row>
    <row r="1548" spans="1:2" ht="15.75" x14ac:dyDescent="0.25">
      <c r="A1548" s="344">
        <v>33002</v>
      </c>
      <c r="B1548" s="345" t="s">
        <v>3585</v>
      </c>
    </row>
    <row r="1549" spans="1:2" ht="15.75" x14ac:dyDescent="0.25">
      <c r="A1549" s="344">
        <v>33003</v>
      </c>
      <c r="B1549" s="345" t="s">
        <v>3586</v>
      </c>
    </row>
    <row r="1550" spans="1:2" ht="15.75" x14ac:dyDescent="0.25">
      <c r="A1550" s="344">
        <v>33005</v>
      </c>
      <c r="B1550" s="345" t="s">
        <v>3587</v>
      </c>
    </row>
    <row r="1551" spans="1:2" ht="15.75" x14ac:dyDescent="0.25">
      <c r="A1551" s="344">
        <v>33006</v>
      </c>
      <c r="B1551" s="345" t="s">
        <v>3588</v>
      </c>
    </row>
    <row r="1552" spans="1:2" ht="15.75" x14ac:dyDescent="0.25">
      <c r="A1552" s="344">
        <v>33007</v>
      </c>
      <c r="B1552" s="345" t="s">
        <v>3589</v>
      </c>
    </row>
    <row r="1553" spans="1:2" ht="15.75" x14ac:dyDescent="0.25">
      <c r="A1553" s="344">
        <v>33008</v>
      </c>
      <c r="B1553" s="345" t="s">
        <v>3590</v>
      </c>
    </row>
    <row r="1554" spans="1:2" ht="15.75" x14ac:dyDescent="0.25">
      <c r="A1554" s="344">
        <v>33010</v>
      </c>
      <c r="B1554" s="345" t="s">
        <v>3591</v>
      </c>
    </row>
    <row r="1555" spans="1:2" ht="15.75" x14ac:dyDescent="0.25">
      <c r="A1555" s="344">
        <v>33011</v>
      </c>
      <c r="B1555" s="345" t="s">
        <v>3592</v>
      </c>
    </row>
    <row r="1556" spans="1:2" ht="15.75" x14ac:dyDescent="0.25">
      <c r="A1556" s="344">
        <v>33012</v>
      </c>
      <c r="B1556" s="345" t="s">
        <v>3593</v>
      </c>
    </row>
    <row r="1557" spans="1:2" ht="15.75" x14ac:dyDescent="0.25">
      <c r="A1557" s="344">
        <v>33015</v>
      </c>
      <c r="B1557" s="345" t="s">
        <v>3594</v>
      </c>
    </row>
    <row r="1558" spans="1:2" ht="15.75" x14ac:dyDescent="0.25">
      <c r="A1558" s="344">
        <v>33016</v>
      </c>
      <c r="B1558" s="345" t="s">
        <v>3595</v>
      </c>
    </row>
    <row r="1559" spans="1:2" ht="15.75" x14ac:dyDescent="0.25">
      <c r="A1559" s="344">
        <v>33017</v>
      </c>
      <c r="B1559" s="345" t="s">
        <v>3596</v>
      </c>
    </row>
    <row r="1560" spans="1:2" ht="15.75" x14ac:dyDescent="0.25">
      <c r="A1560" s="344">
        <v>33018</v>
      </c>
      <c r="B1560" s="345" t="s">
        <v>3597</v>
      </c>
    </row>
    <row r="1561" spans="1:2" ht="15.75" x14ac:dyDescent="0.25">
      <c r="A1561" s="344">
        <v>33019</v>
      </c>
      <c r="B1561" s="345" t="s">
        <v>3598</v>
      </c>
    </row>
    <row r="1562" spans="1:2" ht="15.75" x14ac:dyDescent="0.25">
      <c r="A1562" s="344">
        <v>33020</v>
      </c>
      <c r="B1562" s="345" t="s">
        <v>3599</v>
      </c>
    </row>
    <row r="1563" spans="1:2" ht="15.75" x14ac:dyDescent="0.25">
      <c r="A1563" s="344">
        <v>33021</v>
      </c>
      <c r="B1563" s="345" t="s">
        <v>3600</v>
      </c>
    </row>
    <row r="1564" spans="1:2" ht="15.75" x14ac:dyDescent="0.25">
      <c r="A1564" s="344">
        <v>33022</v>
      </c>
      <c r="B1564" s="345" t="s">
        <v>3601</v>
      </c>
    </row>
    <row r="1565" spans="1:2" ht="15.75" x14ac:dyDescent="0.25">
      <c r="A1565" s="344">
        <v>33023</v>
      </c>
      <c r="B1565" s="345" t="s">
        <v>3602</v>
      </c>
    </row>
    <row r="1566" spans="1:2" ht="15.75" x14ac:dyDescent="0.25">
      <c r="A1566" s="344">
        <v>33024</v>
      </c>
      <c r="B1566" s="345" t="s">
        <v>3603</v>
      </c>
    </row>
    <row r="1567" spans="1:2" ht="15.75" x14ac:dyDescent="0.25">
      <c r="A1567" s="344">
        <v>33025</v>
      </c>
      <c r="B1567" s="345" t="s">
        <v>3604</v>
      </c>
    </row>
    <row r="1568" spans="1:2" ht="15.75" x14ac:dyDescent="0.25">
      <c r="A1568" s="344">
        <v>33026</v>
      </c>
      <c r="B1568" s="345" t="s">
        <v>3605</v>
      </c>
    </row>
    <row r="1569" spans="1:2" ht="15.75" x14ac:dyDescent="0.25">
      <c r="A1569" s="344">
        <v>33027</v>
      </c>
      <c r="B1569" s="345" t="s">
        <v>3606</v>
      </c>
    </row>
    <row r="1570" spans="1:2" ht="15.75" x14ac:dyDescent="0.25">
      <c r="A1570" s="344">
        <v>33028</v>
      </c>
      <c r="B1570" s="345" t="s">
        <v>3607</v>
      </c>
    </row>
    <row r="1571" spans="1:2" ht="15.75" x14ac:dyDescent="0.25">
      <c r="A1571" s="344">
        <v>33029</v>
      </c>
      <c r="B1571" s="345" t="s">
        <v>3608</v>
      </c>
    </row>
    <row r="1572" spans="1:2" ht="15.75" x14ac:dyDescent="0.25">
      <c r="A1572" s="344">
        <v>33030</v>
      </c>
      <c r="B1572" s="345" t="s">
        <v>3609</v>
      </c>
    </row>
    <row r="1573" spans="1:2" ht="15.75" x14ac:dyDescent="0.25">
      <c r="A1573" s="344">
        <v>33031</v>
      </c>
      <c r="B1573" s="345" t="s">
        <v>3610</v>
      </c>
    </row>
    <row r="1574" spans="1:2" ht="15.75" x14ac:dyDescent="0.25">
      <c r="A1574" s="344">
        <v>33032</v>
      </c>
      <c r="B1574" s="345" t="s">
        <v>3611</v>
      </c>
    </row>
    <row r="1575" spans="1:2" ht="15.75" x14ac:dyDescent="0.25">
      <c r="A1575" s="344">
        <v>33033</v>
      </c>
      <c r="B1575" s="345" t="s">
        <v>3612</v>
      </c>
    </row>
    <row r="1576" spans="1:2" ht="15.75" x14ac:dyDescent="0.25">
      <c r="A1576" s="344">
        <v>33034</v>
      </c>
      <c r="B1576" s="345" t="s">
        <v>3613</v>
      </c>
    </row>
    <row r="1577" spans="1:2" ht="15.75" x14ac:dyDescent="0.25">
      <c r="A1577" s="344">
        <v>33035</v>
      </c>
      <c r="B1577" s="345" t="s">
        <v>3614</v>
      </c>
    </row>
    <row r="1578" spans="1:2" ht="15.75" x14ac:dyDescent="0.25">
      <c r="A1578" s="344">
        <v>33036</v>
      </c>
      <c r="B1578" s="345" t="s">
        <v>3615</v>
      </c>
    </row>
    <row r="1579" spans="1:2" ht="15.75" x14ac:dyDescent="0.25">
      <c r="A1579" s="344">
        <v>33037</v>
      </c>
      <c r="B1579" s="345" t="s">
        <v>3616</v>
      </c>
    </row>
    <row r="1580" spans="1:2" ht="15.75" x14ac:dyDescent="0.25">
      <c r="A1580" s="344">
        <v>33038</v>
      </c>
      <c r="B1580" s="345" t="s">
        <v>3617</v>
      </c>
    </row>
    <row r="1581" spans="1:2" ht="15.75" x14ac:dyDescent="0.25">
      <c r="A1581" s="344">
        <v>33039</v>
      </c>
      <c r="B1581" s="345" t="s">
        <v>3618</v>
      </c>
    </row>
    <row r="1582" spans="1:2" ht="15.75" x14ac:dyDescent="0.25">
      <c r="A1582" s="344">
        <v>33040</v>
      </c>
      <c r="B1582" s="345" t="s">
        <v>3619</v>
      </c>
    </row>
    <row r="1583" spans="1:2" ht="15.75" x14ac:dyDescent="0.25">
      <c r="A1583" s="344">
        <v>33041</v>
      </c>
      <c r="B1583" s="345" t="s">
        <v>3620</v>
      </c>
    </row>
    <row r="1584" spans="1:2" ht="15.75" x14ac:dyDescent="0.25">
      <c r="A1584" s="344">
        <v>33042</v>
      </c>
      <c r="B1584" s="345" t="s">
        <v>3621</v>
      </c>
    </row>
    <row r="1585" spans="1:2" ht="15.75" x14ac:dyDescent="0.25">
      <c r="A1585" s="344">
        <v>33043</v>
      </c>
      <c r="B1585" s="345" t="s">
        <v>3622</v>
      </c>
    </row>
    <row r="1586" spans="1:2" ht="15.75" x14ac:dyDescent="0.25">
      <c r="A1586" s="344">
        <v>33044</v>
      </c>
      <c r="B1586" s="345" t="s">
        <v>3623</v>
      </c>
    </row>
    <row r="1587" spans="1:2" ht="15.75" x14ac:dyDescent="0.25">
      <c r="A1587" s="344">
        <v>33045</v>
      </c>
      <c r="B1587" s="345" t="s">
        <v>3624</v>
      </c>
    </row>
    <row r="1588" spans="1:2" ht="15.75" x14ac:dyDescent="0.25">
      <c r="A1588" s="344">
        <v>33046</v>
      </c>
      <c r="B1588" s="345" t="s">
        <v>3625</v>
      </c>
    </row>
    <row r="1589" spans="1:2" ht="15.75" x14ac:dyDescent="0.25">
      <c r="A1589" s="344">
        <v>33047</v>
      </c>
      <c r="B1589" s="345" t="s">
        <v>3626</v>
      </c>
    </row>
    <row r="1590" spans="1:2" ht="15.75" x14ac:dyDescent="0.25">
      <c r="A1590" s="344">
        <v>33048</v>
      </c>
      <c r="B1590" s="345" t="s">
        <v>3627</v>
      </c>
    </row>
    <row r="1591" spans="1:2" ht="15.75" x14ac:dyDescent="0.25">
      <c r="A1591" s="344">
        <v>33049</v>
      </c>
      <c r="B1591" s="345" t="s">
        <v>3628</v>
      </c>
    </row>
    <row r="1592" spans="1:2" ht="15.75" x14ac:dyDescent="0.25">
      <c r="A1592" s="344">
        <v>33050</v>
      </c>
      <c r="B1592" s="345" t="s">
        <v>3629</v>
      </c>
    </row>
    <row r="1593" spans="1:2" ht="15.75" x14ac:dyDescent="0.25">
      <c r="A1593" s="344">
        <v>33051</v>
      </c>
      <c r="B1593" s="345" t="s">
        <v>3630</v>
      </c>
    </row>
    <row r="1594" spans="1:2" ht="15.75" x14ac:dyDescent="0.25">
      <c r="A1594" s="344">
        <v>33052</v>
      </c>
      <c r="B1594" s="345" t="s">
        <v>3631</v>
      </c>
    </row>
    <row r="1595" spans="1:2" ht="15.75" x14ac:dyDescent="0.25">
      <c r="A1595" s="344">
        <v>33053</v>
      </c>
      <c r="B1595" s="345" t="s">
        <v>3632</v>
      </c>
    </row>
    <row r="1596" spans="1:2" ht="15.75" x14ac:dyDescent="0.25">
      <c r="A1596" s="344">
        <v>33054</v>
      </c>
      <c r="B1596" s="345" t="s">
        <v>3633</v>
      </c>
    </row>
    <row r="1597" spans="1:2" ht="15.75" x14ac:dyDescent="0.25">
      <c r="A1597" s="344">
        <v>33055</v>
      </c>
      <c r="B1597" s="345" t="s">
        <v>3634</v>
      </c>
    </row>
    <row r="1598" spans="1:2" ht="15.75" x14ac:dyDescent="0.25">
      <c r="A1598" s="344">
        <v>33056</v>
      </c>
      <c r="B1598" s="345" t="s">
        <v>3635</v>
      </c>
    </row>
    <row r="1599" spans="1:2" ht="15.75" x14ac:dyDescent="0.25">
      <c r="A1599" s="344">
        <v>33057</v>
      </c>
      <c r="B1599" s="345" t="s">
        <v>3636</v>
      </c>
    </row>
    <row r="1600" spans="1:2" ht="15.75" x14ac:dyDescent="0.25">
      <c r="A1600" s="344">
        <v>33058</v>
      </c>
      <c r="B1600" s="345" t="s">
        <v>3637</v>
      </c>
    </row>
    <row r="1601" spans="1:2" ht="15.75" x14ac:dyDescent="0.25">
      <c r="A1601" s="344">
        <v>33059</v>
      </c>
      <c r="B1601" s="345" t="s">
        <v>3638</v>
      </c>
    </row>
    <row r="1602" spans="1:2" ht="15.75" x14ac:dyDescent="0.25">
      <c r="A1602" s="344">
        <v>33060</v>
      </c>
      <c r="B1602" s="345" t="s">
        <v>3639</v>
      </c>
    </row>
    <row r="1603" spans="1:2" ht="15.75" x14ac:dyDescent="0.25">
      <c r="A1603" s="344">
        <v>33061</v>
      </c>
      <c r="B1603" s="345" t="s">
        <v>3640</v>
      </c>
    </row>
    <row r="1604" spans="1:2" ht="15.75" x14ac:dyDescent="0.25">
      <c r="A1604" s="344">
        <v>33062</v>
      </c>
      <c r="B1604" s="345" t="s">
        <v>3641</v>
      </c>
    </row>
    <row r="1605" spans="1:2" ht="15.75" x14ac:dyDescent="0.25">
      <c r="A1605" s="344">
        <v>33063</v>
      </c>
      <c r="B1605" s="345" t="s">
        <v>3642</v>
      </c>
    </row>
    <row r="1606" spans="1:2" ht="15.75" x14ac:dyDescent="0.25">
      <c r="A1606" s="344">
        <v>33064</v>
      </c>
      <c r="B1606" s="345" t="s">
        <v>3643</v>
      </c>
    </row>
    <row r="1607" spans="1:2" ht="15.75" x14ac:dyDescent="0.25">
      <c r="A1607" s="344">
        <v>33065</v>
      </c>
      <c r="B1607" s="345" t="s">
        <v>3644</v>
      </c>
    </row>
    <row r="1608" spans="1:2" ht="15.75" x14ac:dyDescent="0.25">
      <c r="A1608" s="344">
        <v>33067</v>
      </c>
      <c r="B1608" s="345" t="s">
        <v>3645</v>
      </c>
    </row>
    <row r="1609" spans="1:2" ht="15.75" x14ac:dyDescent="0.25">
      <c r="A1609" s="344">
        <v>33068</v>
      </c>
      <c r="B1609" s="345" t="s">
        <v>3646</v>
      </c>
    </row>
    <row r="1610" spans="1:2" ht="15.75" x14ac:dyDescent="0.25">
      <c r="A1610" s="344">
        <v>33069</v>
      </c>
      <c r="B1610" s="345" t="s">
        <v>3647</v>
      </c>
    </row>
    <row r="1611" spans="1:2" ht="15.75" x14ac:dyDescent="0.25">
      <c r="A1611" s="344">
        <v>33070</v>
      </c>
      <c r="B1611" s="345" t="s">
        <v>3648</v>
      </c>
    </row>
    <row r="1612" spans="1:2" ht="15.75" x14ac:dyDescent="0.25">
      <c r="A1612" s="344">
        <v>33071</v>
      </c>
      <c r="B1612" s="345" t="s">
        <v>3649</v>
      </c>
    </row>
    <row r="1613" spans="1:2" ht="15.75" x14ac:dyDescent="0.25">
      <c r="A1613" s="344">
        <v>33072</v>
      </c>
      <c r="B1613" s="345" t="s">
        <v>3650</v>
      </c>
    </row>
    <row r="1614" spans="1:2" ht="15.75" x14ac:dyDescent="0.25">
      <c r="A1614" s="344">
        <v>33073</v>
      </c>
      <c r="B1614" s="345" t="s">
        <v>3651</v>
      </c>
    </row>
    <row r="1615" spans="1:2" ht="15.75" x14ac:dyDescent="0.25">
      <c r="A1615" s="344">
        <v>33074</v>
      </c>
      <c r="B1615" s="345" t="s">
        <v>3652</v>
      </c>
    </row>
    <row r="1616" spans="1:2" ht="15.75" x14ac:dyDescent="0.25">
      <c r="A1616" s="344">
        <v>33075</v>
      </c>
      <c r="B1616" s="345" t="s">
        <v>3653</v>
      </c>
    </row>
    <row r="1617" spans="1:2" ht="15.75" x14ac:dyDescent="0.25">
      <c r="A1617" s="344">
        <v>33076</v>
      </c>
      <c r="B1617" s="345" t="s">
        <v>3654</v>
      </c>
    </row>
    <row r="1618" spans="1:2" ht="15.75" x14ac:dyDescent="0.25">
      <c r="A1618" s="344">
        <v>33077</v>
      </c>
      <c r="B1618" s="345" t="s">
        <v>3655</v>
      </c>
    </row>
    <row r="1619" spans="1:2" ht="15.75" x14ac:dyDescent="0.25">
      <c r="A1619" s="344">
        <v>33078</v>
      </c>
      <c r="B1619" s="345" t="s">
        <v>3656</v>
      </c>
    </row>
    <row r="1620" spans="1:2" ht="15.75" x14ac:dyDescent="0.25">
      <c r="A1620" s="344">
        <v>33079</v>
      </c>
      <c r="B1620" s="345" t="s">
        <v>3657</v>
      </c>
    </row>
    <row r="1621" spans="1:2" ht="15.75" x14ac:dyDescent="0.25">
      <c r="A1621" s="344">
        <v>33080</v>
      </c>
      <c r="B1621" s="345" t="s">
        <v>3658</v>
      </c>
    </row>
    <row r="1622" spans="1:2" ht="15.75" x14ac:dyDescent="0.25">
      <c r="A1622" s="344">
        <v>33081</v>
      </c>
      <c r="B1622" s="345" t="s">
        <v>3659</v>
      </c>
    </row>
    <row r="1623" spans="1:2" ht="15.75" x14ac:dyDescent="0.25">
      <c r="A1623" s="344">
        <v>33082</v>
      </c>
      <c r="B1623" s="345" t="s">
        <v>3660</v>
      </c>
    </row>
    <row r="1624" spans="1:2" ht="15.75" x14ac:dyDescent="0.25">
      <c r="A1624" s="344">
        <v>33083</v>
      </c>
      <c r="B1624" s="345" t="s">
        <v>3661</v>
      </c>
    </row>
    <row r="1625" spans="1:2" ht="15.75" x14ac:dyDescent="0.25">
      <c r="A1625" s="344">
        <v>33084</v>
      </c>
      <c r="B1625" s="345" t="s">
        <v>3662</v>
      </c>
    </row>
    <row r="1626" spans="1:2" ht="15.75" x14ac:dyDescent="0.25">
      <c r="A1626" s="344">
        <v>33085</v>
      </c>
      <c r="B1626" s="345" t="s">
        <v>3663</v>
      </c>
    </row>
    <row r="1627" spans="1:2" ht="15.75" x14ac:dyDescent="0.25">
      <c r="A1627" s="344">
        <v>33086</v>
      </c>
      <c r="B1627" s="345" t="s">
        <v>3664</v>
      </c>
    </row>
    <row r="1628" spans="1:2" ht="15.75" x14ac:dyDescent="0.25">
      <c r="A1628" s="344">
        <v>33087</v>
      </c>
      <c r="B1628" s="345" t="s">
        <v>3665</v>
      </c>
    </row>
    <row r="1629" spans="1:2" ht="15.75" x14ac:dyDescent="0.25">
      <c r="A1629" s="344">
        <v>33088</v>
      </c>
      <c r="B1629" s="345" t="s">
        <v>3666</v>
      </c>
    </row>
    <row r="1630" spans="1:2" ht="15.75" x14ac:dyDescent="0.25">
      <c r="A1630" s="344">
        <v>33089</v>
      </c>
      <c r="B1630" s="345" t="s">
        <v>3667</v>
      </c>
    </row>
    <row r="1631" spans="1:2" ht="15.75" x14ac:dyDescent="0.25">
      <c r="A1631" s="344">
        <v>33090</v>
      </c>
      <c r="B1631" s="345" t="s">
        <v>3668</v>
      </c>
    </row>
    <row r="1632" spans="1:2" ht="15.75" x14ac:dyDescent="0.25">
      <c r="A1632" s="344">
        <v>33091</v>
      </c>
      <c r="B1632" s="345" t="s">
        <v>3669</v>
      </c>
    </row>
    <row r="1633" spans="1:2" ht="15.75" x14ac:dyDescent="0.25">
      <c r="A1633" s="344">
        <v>33092</v>
      </c>
      <c r="B1633" s="345" t="s">
        <v>3670</v>
      </c>
    </row>
    <row r="1634" spans="1:2" ht="15.75" x14ac:dyDescent="0.25">
      <c r="A1634" s="344">
        <v>33093</v>
      </c>
      <c r="B1634" s="345" t="s">
        <v>3671</v>
      </c>
    </row>
    <row r="1635" spans="1:2" ht="15.75" x14ac:dyDescent="0.25">
      <c r="A1635" s="344">
        <v>33094</v>
      </c>
      <c r="B1635" s="345" t="s">
        <v>3672</v>
      </c>
    </row>
    <row r="1636" spans="1:2" ht="15.75" x14ac:dyDescent="0.25">
      <c r="A1636" s="344">
        <v>33095</v>
      </c>
      <c r="B1636" s="345" t="s">
        <v>3673</v>
      </c>
    </row>
    <row r="1637" spans="1:2" ht="15.75" x14ac:dyDescent="0.25">
      <c r="A1637" s="344">
        <v>33096</v>
      </c>
      <c r="B1637" s="345" t="s">
        <v>3674</v>
      </c>
    </row>
    <row r="1638" spans="1:2" ht="15.75" x14ac:dyDescent="0.25">
      <c r="A1638" s="344">
        <v>33097</v>
      </c>
      <c r="B1638" s="345" t="s">
        <v>3675</v>
      </c>
    </row>
    <row r="1639" spans="1:2" ht="15.75" x14ac:dyDescent="0.25">
      <c r="A1639" s="344">
        <v>33098</v>
      </c>
      <c r="B1639" s="345" t="s">
        <v>3676</v>
      </c>
    </row>
    <row r="1640" spans="1:2" ht="15.75" x14ac:dyDescent="0.25">
      <c r="A1640" s="344">
        <v>33099</v>
      </c>
      <c r="B1640" s="345" t="s">
        <v>3677</v>
      </c>
    </row>
    <row r="1641" spans="1:2" ht="15.75" x14ac:dyDescent="0.25">
      <c r="A1641" s="344">
        <v>33100</v>
      </c>
      <c r="B1641" s="345" t="s">
        <v>3678</v>
      </c>
    </row>
    <row r="1642" spans="1:2" ht="15.75" x14ac:dyDescent="0.25">
      <c r="A1642" s="344">
        <v>33101</v>
      </c>
      <c r="B1642" s="345" t="s">
        <v>3679</v>
      </c>
    </row>
    <row r="1643" spans="1:2" ht="15.75" x14ac:dyDescent="0.25">
      <c r="A1643" s="344">
        <v>33102</v>
      </c>
      <c r="B1643" s="345" t="s">
        <v>3680</v>
      </c>
    </row>
    <row r="1644" spans="1:2" ht="15.75" x14ac:dyDescent="0.25">
      <c r="A1644" s="344">
        <v>33103</v>
      </c>
      <c r="B1644" s="345" t="s">
        <v>3681</v>
      </c>
    </row>
    <row r="1645" spans="1:2" ht="15.75" x14ac:dyDescent="0.25">
      <c r="A1645" s="344">
        <v>33104</v>
      </c>
      <c r="B1645" s="345" t="s">
        <v>3682</v>
      </c>
    </row>
    <row r="1646" spans="1:2" ht="15.75" x14ac:dyDescent="0.25">
      <c r="A1646" s="344">
        <v>33105</v>
      </c>
      <c r="B1646" s="345" t="s">
        <v>3683</v>
      </c>
    </row>
    <row r="1647" spans="1:2" ht="15.75" x14ac:dyDescent="0.25">
      <c r="A1647" s="344">
        <v>33106</v>
      </c>
      <c r="B1647" s="345" t="s">
        <v>3684</v>
      </c>
    </row>
    <row r="1648" spans="1:2" ht="15.75" x14ac:dyDescent="0.25">
      <c r="A1648" s="344">
        <v>33107</v>
      </c>
      <c r="B1648" s="345" t="s">
        <v>3685</v>
      </c>
    </row>
    <row r="1649" spans="1:2" ht="15.75" x14ac:dyDescent="0.25">
      <c r="A1649" s="344">
        <v>33108</v>
      </c>
      <c r="B1649" s="345" t="s">
        <v>3686</v>
      </c>
    </row>
    <row r="1650" spans="1:2" ht="15.75" x14ac:dyDescent="0.25">
      <c r="A1650" s="344">
        <v>33109</v>
      </c>
      <c r="B1650" s="345" t="s">
        <v>3687</v>
      </c>
    </row>
    <row r="1651" spans="1:2" ht="15.75" x14ac:dyDescent="0.25">
      <c r="A1651" s="344">
        <v>33110</v>
      </c>
      <c r="B1651" s="345" t="s">
        <v>3688</v>
      </c>
    </row>
    <row r="1652" spans="1:2" ht="15.75" x14ac:dyDescent="0.25">
      <c r="A1652" s="344">
        <v>33111</v>
      </c>
      <c r="B1652" s="345" t="s">
        <v>3689</v>
      </c>
    </row>
    <row r="1653" spans="1:2" ht="15.75" x14ac:dyDescent="0.25">
      <c r="A1653" s="344">
        <v>33112</v>
      </c>
      <c r="B1653" s="345" t="s">
        <v>3690</v>
      </c>
    </row>
    <row r="1654" spans="1:2" ht="15.75" x14ac:dyDescent="0.25">
      <c r="A1654" s="344">
        <v>33113</v>
      </c>
      <c r="B1654" s="345" t="s">
        <v>3691</v>
      </c>
    </row>
    <row r="1655" spans="1:2" ht="15.75" x14ac:dyDescent="0.25">
      <c r="A1655" s="344">
        <v>33114</v>
      </c>
      <c r="B1655" s="345" t="s">
        <v>3692</v>
      </c>
    </row>
    <row r="1656" spans="1:2" ht="15.75" x14ac:dyDescent="0.25">
      <c r="A1656" s="344">
        <v>33115</v>
      </c>
      <c r="B1656" s="345" t="s">
        <v>3693</v>
      </c>
    </row>
    <row r="1657" spans="1:2" ht="15.75" x14ac:dyDescent="0.25">
      <c r="A1657" s="344">
        <v>33116</v>
      </c>
      <c r="B1657" s="345" t="s">
        <v>3694</v>
      </c>
    </row>
    <row r="1658" spans="1:2" ht="15.75" x14ac:dyDescent="0.25">
      <c r="A1658" s="344">
        <v>33117</v>
      </c>
      <c r="B1658" s="345" t="s">
        <v>3695</v>
      </c>
    </row>
    <row r="1659" spans="1:2" ht="15.75" x14ac:dyDescent="0.25">
      <c r="A1659" s="344">
        <v>33118</v>
      </c>
      <c r="B1659" s="345" t="s">
        <v>3696</v>
      </c>
    </row>
    <row r="1660" spans="1:2" ht="15.75" x14ac:dyDescent="0.25">
      <c r="A1660" s="344">
        <v>33119</v>
      </c>
      <c r="B1660" s="345" t="s">
        <v>3697</v>
      </c>
    </row>
    <row r="1661" spans="1:2" ht="15.75" x14ac:dyDescent="0.25">
      <c r="A1661" s="344">
        <v>33120</v>
      </c>
      <c r="B1661" s="345" t="s">
        <v>3698</v>
      </c>
    </row>
    <row r="1662" spans="1:2" ht="15.75" x14ac:dyDescent="0.25">
      <c r="A1662" s="344">
        <v>33121</v>
      </c>
      <c r="B1662" s="345" t="s">
        <v>3699</v>
      </c>
    </row>
    <row r="1663" spans="1:2" ht="15.75" x14ac:dyDescent="0.25">
      <c r="A1663" s="344">
        <v>33122</v>
      </c>
      <c r="B1663" s="345" t="s">
        <v>3700</v>
      </c>
    </row>
    <row r="1664" spans="1:2" ht="15.75" x14ac:dyDescent="0.25">
      <c r="A1664" s="344">
        <v>33123</v>
      </c>
      <c r="B1664" s="345" t="s">
        <v>3701</v>
      </c>
    </row>
    <row r="1665" spans="1:2" ht="15.75" x14ac:dyDescent="0.25">
      <c r="A1665" s="344">
        <v>33124</v>
      </c>
      <c r="B1665" s="345" t="s">
        <v>3702</v>
      </c>
    </row>
    <row r="1666" spans="1:2" ht="15.75" x14ac:dyDescent="0.25">
      <c r="A1666" s="344">
        <v>33125</v>
      </c>
      <c r="B1666" s="345" t="s">
        <v>3703</v>
      </c>
    </row>
    <row r="1667" spans="1:2" ht="15.75" x14ac:dyDescent="0.25">
      <c r="A1667" s="344">
        <v>33126</v>
      </c>
      <c r="B1667" s="345" t="s">
        <v>3704</v>
      </c>
    </row>
    <row r="1668" spans="1:2" ht="15.75" x14ac:dyDescent="0.25">
      <c r="A1668" s="344">
        <v>33127</v>
      </c>
      <c r="B1668" s="345" t="s">
        <v>3705</v>
      </c>
    </row>
    <row r="1669" spans="1:2" ht="15.75" x14ac:dyDescent="0.25">
      <c r="A1669" s="344">
        <v>33128</v>
      </c>
      <c r="B1669" s="345" t="s">
        <v>3706</v>
      </c>
    </row>
    <row r="1670" spans="1:2" ht="15.75" x14ac:dyDescent="0.25">
      <c r="A1670" s="344">
        <v>33129</v>
      </c>
      <c r="B1670" s="345" t="s">
        <v>3707</v>
      </c>
    </row>
    <row r="1671" spans="1:2" ht="15.75" x14ac:dyDescent="0.25">
      <c r="A1671" s="344">
        <v>33130</v>
      </c>
      <c r="B1671" s="345" t="s">
        <v>3708</v>
      </c>
    </row>
    <row r="1672" spans="1:2" ht="15.75" x14ac:dyDescent="0.25">
      <c r="A1672" s="344">
        <v>33131</v>
      </c>
      <c r="B1672" s="345" t="s">
        <v>3709</v>
      </c>
    </row>
    <row r="1673" spans="1:2" ht="15.75" x14ac:dyDescent="0.25">
      <c r="A1673" s="344">
        <v>33132</v>
      </c>
      <c r="B1673" s="345" t="s">
        <v>3710</v>
      </c>
    </row>
    <row r="1674" spans="1:2" ht="15.75" x14ac:dyDescent="0.25">
      <c r="A1674" s="344">
        <v>33133</v>
      </c>
      <c r="B1674" s="345" t="s">
        <v>3711</v>
      </c>
    </row>
    <row r="1675" spans="1:2" ht="15.75" x14ac:dyDescent="0.25">
      <c r="A1675" s="344">
        <v>33134</v>
      </c>
      <c r="B1675" s="345" t="s">
        <v>3712</v>
      </c>
    </row>
    <row r="1676" spans="1:2" ht="15.75" x14ac:dyDescent="0.25">
      <c r="A1676" s="344">
        <v>33135</v>
      </c>
      <c r="B1676" s="345" t="s">
        <v>3713</v>
      </c>
    </row>
    <row r="1677" spans="1:2" ht="15.75" x14ac:dyDescent="0.25">
      <c r="A1677" s="344">
        <v>33136</v>
      </c>
      <c r="B1677" s="345" t="s">
        <v>3714</v>
      </c>
    </row>
    <row r="1678" spans="1:2" ht="15.75" x14ac:dyDescent="0.25">
      <c r="A1678" s="344">
        <v>33137</v>
      </c>
      <c r="B1678" s="345" t="s">
        <v>3715</v>
      </c>
    </row>
    <row r="1679" spans="1:2" ht="15.75" x14ac:dyDescent="0.25">
      <c r="A1679" s="344">
        <v>33138</v>
      </c>
      <c r="B1679" s="345" t="s">
        <v>3716</v>
      </c>
    </row>
    <row r="1680" spans="1:2" ht="15.75" x14ac:dyDescent="0.25">
      <c r="A1680" s="344">
        <v>33139</v>
      </c>
      <c r="B1680" s="345" t="s">
        <v>3717</v>
      </c>
    </row>
    <row r="1681" spans="1:2" ht="15.75" x14ac:dyDescent="0.25">
      <c r="A1681" s="344">
        <v>33140</v>
      </c>
      <c r="B1681" s="345" t="s">
        <v>3718</v>
      </c>
    </row>
    <row r="1682" spans="1:2" ht="15.75" x14ac:dyDescent="0.25">
      <c r="A1682" s="344">
        <v>33141</v>
      </c>
      <c r="B1682" s="345" t="s">
        <v>3719</v>
      </c>
    </row>
    <row r="1683" spans="1:2" ht="15.75" x14ac:dyDescent="0.25">
      <c r="A1683" s="344">
        <v>33142</v>
      </c>
      <c r="B1683" s="345" t="s">
        <v>3720</v>
      </c>
    </row>
    <row r="1684" spans="1:2" ht="15.75" x14ac:dyDescent="0.25">
      <c r="A1684" s="344">
        <v>33143</v>
      </c>
      <c r="B1684" s="345" t="s">
        <v>3721</v>
      </c>
    </row>
    <row r="1685" spans="1:2" ht="15.75" x14ac:dyDescent="0.25">
      <c r="A1685" s="344">
        <v>33144</v>
      </c>
      <c r="B1685" s="345" t="s">
        <v>3722</v>
      </c>
    </row>
    <row r="1686" spans="1:2" ht="15.75" x14ac:dyDescent="0.25">
      <c r="A1686" s="344">
        <v>33145</v>
      </c>
      <c r="B1686" s="345" t="s">
        <v>3723</v>
      </c>
    </row>
    <row r="1687" spans="1:2" ht="15.75" x14ac:dyDescent="0.25">
      <c r="A1687" s="344">
        <v>33146</v>
      </c>
      <c r="B1687" s="345" t="s">
        <v>3724</v>
      </c>
    </row>
    <row r="1688" spans="1:2" ht="15.75" x14ac:dyDescent="0.25">
      <c r="A1688" s="344">
        <v>33147</v>
      </c>
      <c r="B1688" s="345" t="s">
        <v>3725</v>
      </c>
    </row>
    <row r="1689" spans="1:2" ht="15.75" x14ac:dyDescent="0.25">
      <c r="A1689" s="344">
        <v>33148</v>
      </c>
      <c r="B1689" s="345" t="s">
        <v>3726</v>
      </c>
    </row>
    <row r="1690" spans="1:2" ht="15.75" x14ac:dyDescent="0.25">
      <c r="A1690" s="344">
        <v>33149</v>
      </c>
      <c r="B1690" s="345" t="s">
        <v>3727</v>
      </c>
    </row>
    <row r="1691" spans="1:2" ht="15.75" x14ac:dyDescent="0.25">
      <c r="A1691" s="344">
        <v>33150</v>
      </c>
      <c r="B1691" s="345" t="s">
        <v>3728</v>
      </c>
    </row>
    <row r="1692" spans="1:2" ht="15.75" x14ac:dyDescent="0.25">
      <c r="A1692" s="344">
        <v>33151</v>
      </c>
      <c r="B1692" s="345" t="s">
        <v>3729</v>
      </c>
    </row>
    <row r="1693" spans="1:2" ht="15.75" x14ac:dyDescent="0.25">
      <c r="A1693" s="344">
        <v>33152</v>
      </c>
      <c r="B1693" s="345" t="s">
        <v>3730</v>
      </c>
    </row>
    <row r="1694" spans="1:2" ht="15.75" x14ac:dyDescent="0.25">
      <c r="A1694" s="344">
        <v>33153</v>
      </c>
      <c r="B1694" s="345" t="s">
        <v>3731</v>
      </c>
    </row>
    <row r="1695" spans="1:2" ht="15.75" x14ac:dyDescent="0.25">
      <c r="A1695" s="344">
        <v>33154</v>
      </c>
      <c r="B1695" s="345" t="s">
        <v>3732</v>
      </c>
    </row>
    <row r="1696" spans="1:2" ht="15.75" x14ac:dyDescent="0.25">
      <c r="A1696" s="344">
        <v>33155</v>
      </c>
      <c r="B1696" s="345" t="s">
        <v>3733</v>
      </c>
    </row>
    <row r="1697" spans="1:2" ht="15.75" x14ac:dyDescent="0.25">
      <c r="A1697" s="344">
        <v>33156</v>
      </c>
      <c r="B1697" s="345" t="s">
        <v>3734</v>
      </c>
    </row>
    <row r="1698" spans="1:2" ht="15.75" x14ac:dyDescent="0.25">
      <c r="A1698" s="344">
        <v>33157</v>
      </c>
      <c r="B1698" s="345" t="s">
        <v>3735</v>
      </c>
    </row>
    <row r="1699" spans="1:2" ht="15.75" x14ac:dyDescent="0.25">
      <c r="A1699" s="344">
        <v>33158</v>
      </c>
      <c r="B1699" s="345" t="s">
        <v>3736</v>
      </c>
    </row>
    <row r="1700" spans="1:2" ht="15.75" x14ac:dyDescent="0.25">
      <c r="A1700" s="344">
        <v>33159</v>
      </c>
      <c r="B1700" s="345" t="s">
        <v>3737</v>
      </c>
    </row>
    <row r="1701" spans="1:2" ht="15.75" x14ac:dyDescent="0.25">
      <c r="A1701" s="344">
        <v>33160</v>
      </c>
      <c r="B1701" s="345" t="s">
        <v>3738</v>
      </c>
    </row>
    <row r="1702" spans="1:2" ht="15.75" x14ac:dyDescent="0.25">
      <c r="A1702" s="344">
        <v>33161</v>
      </c>
      <c r="B1702" s="345" t="s">
        <v>3739</v>
      </c>
    </row>
    <row r="1703" spans="1:2" ht="15.75" x14ac:dyDescent="0.25">
      <c r="A1703" s="344">
        <v>33162</v>
      </c>
      <c r="B1703" s="345" t="s">
        <v>3740</v>
      </c>
    </row>
    <row r="1704" spans="1:2" ht="15.75" x14ac:dyDescent="0.25">
      <c r="A1704" s="344">
        <v>33163</v>
      </c>
      <c r="B1704" s="345" t="s">
        <v>3741</v>
      </c>
    </row>
    <row r="1705" spans="1:2" ht="15.75" x14ac:dyDescent="0.25">
      <c r="A1705" s="344">
        <v>33164</v>
      </c>
      <c r="B1705" s="345" t="s">
        <v>3742</v>
      </c>
    </row>
    <row r="1706" spans="1:2" ht="15.75" x14ac:dyDescent="0.25">
      <c r="A1706" s="344">
        <v>33165</v>
      </c>
      <c r="B1706" s="345" t="s">
        <v>3743</v>
      </c>
    </row>
    <row r="1707" spans="1:2" ht="15.75" x14ac:dyDescent="0.25">
      <c r="A1707" s="344">
        <v>33166</v>
      </c>
      <c r="B1707" s="345" t="s">
        <v>3744</v>
      </c>
    </row>
    <row r="1708" spans="1:2" ht="15.75" x14ac:dyDescent="0.25">
      <c r="A1708" s="344">
        <v>33167</v>
      </c>
      <c r="B1708" s="345" t="s">
        <v>3745</v>
      </c>
    </row>
    <row r="1709" spans="1:2" ht="15.75" x14ac:dyDescent="0.25">
      <c r="A1709" s="344">
        <v>33168</v>
      </c>
      <c r="B1709" s="345" t="s">
        <v>3746</v>
      </c>
    </row>
    <row r="1710" spans="1:2" ht="15.75" x14ac:dyDescent="0.25">
      <c r="A1710" s="344">
        <v>33169</v>
      </c>
      <c r="B1710" s="345" t="s">
        <v>3747</v>
      </c>
    </row>
    <row r="1711" spans="1:2" ht="15.75" x14ac:dyDescent="0.25">
      <c r="A1711" s="344">
        <v>33170</v>
      </c>
      <c r="B1711" s="345" t="s">
        <v>3748</v>
      </c>
    </row>
    <row r="1712" spans="1:2" ht="15.75" x14ac:dyDescent="0.25">
      <c r="A1712" s="344">
        <v>33171</v>
      </c>
      <c r="B1712" s="345" t="s">
        <v>3749</v>
      </c>
    </row>
    <row r="1713" spans="1:2" ht="15.75" x14ac:dyDescent="0.25">
      <c r="A1713" s="344">
        <v>33172</v>
      </c>
      <c r="B1713" s="345" t="s">
        <v>3750</v>
      </c>
    </row>
    <row r="1714" spans="1:2" ht="15.75" x14ac:dyDescent="0.25">
      <c r="A1714" s="344">
        <v>33173</v>
      </c>
      <c r="B1714" s="345" t="s">
        <v>3751</v>
      </c>
    </row>
    <row r="1715" spans="1:2" ht="15.75" x14ac:dyDescent="0.25">
      <c r="A1715" s="344">
        <v>33174</v>
      </c>
      <c r="B1715" s="345" t="s">
        <v>3752</v>
      </c>
    </row>
    <row r="1716" spans="1:2" ht="15.75" x14ac:dyDescent="0.25">
      <c r="A1716" s="344">
        <v>33175</v>
      </c>
      <c r="B1716" s="345" t="s">
        <v>3753</v>
      </c>
    </row>
    <row r="1717" spans="1:2" ht="15.75" x14ac:dyDescent="0.25">
      <c r="A1717" s="344">
        <v>33176</v>
      </c>
      <c r="B1717" s="345" t="s">
        <v>3754</v>
      </c>
    </row>
    <row r="1718" spans="1:2" ht="15.75" x14ac:dyDescent="0.25">
      <c r="A1718" s="344">
        <v>33177</v>
      </c>
      <c r="B1718" s="345" t="s">
        <v>3755</v>
      </c>
    </row>
    <row r="1719" spans="1:2" ht="15.75" x14ac:dyDescent="0.25">
      <c r="A1719" s="344">
        <v>33178</v>
      </c>
      <c r="B1719" s="345" t="s">
        <v>3756</v>
      </c>
    </row>
    <row r="1720" spans="1:2" ht="15.75" x14ac:dyDescent="0.25">
      <c r="A1720" s="344">
        <v>33179</v>
      </c>
      <c r="B1720" s="345" t="s">
        <v>3757</v>
      </c>
    </row>
    <row r="1721" spans="1:2" ht="15.75" x14ac:dyDescent="0.25">
      <c r="A1721" s="344">
        <v>33180</v>
      </c>
      <c r="B1721" s="345" t="s">
        <v>3758</v>
      </c>
    </row>
    <row r="1722" spans="1:2" ht="15.75" x14ac:dyDescent="0.25">
      <c r="A1722" s="344">
        <v>33181</v>
      </c>
      <c r="B1722" s="345" t="s">
        <v>3759</v>
      </c>
    </row>
    <row r="1723" spans="1:2" ht="15.75" x14ac:dyDescent="0.25">
      <c r="A1723" s="344">
        <v>33182</v>
      </c>
      <c r="B1723" s="345" t="s">
        <v>3760</v>
      </c>
    </row>
    <row r="1724" spans="1:2" ht="15.75" x14ac:dyDescent="0.25">
      <c r="A1724" s="344">
        <v>33183</v>
      </c>
      <c r="B1724" s="345" t="s">
        <v>3761</v>
      </c>
    </row>
    <row r="1725" spans="1:2" ht="15.75" x14ac:dyDescent="0.25">
      <c r="A1725" s="344">
        <v>33184</v>
      </c>
      <c r="B1725" s="345" t="s">
        <v>3762</v>
      </c>
    </row>
    <row r="1726" spans="1:2" ht="15.75" x14ac:dyDescent="0.25">
      <c r="A1726" s="344">
        <v>33185</v>
      </c>
      <c r="B1726" s="345" t="s">
        <v>3763</v>
      </c>
    </row>
    <row r="1727" spans="1:2" ht="15.75" x14ac:dyDescent="0.25">
      <c r="A1727" s="344">
        <v>33186</v>
      </c>
      <c r="B1727" s="345" t="s">
        <v>3764</v>
      </c>
    </row>
    <row r="1728" spans="1:2" ht="15.75" x14ac:dyDescent="0.25">
      <c r="A1728" s="344">
        <v>33187</v>
      </c>
      <c r="B1728" s="345" t="s">
        <v>3765</v>
      </c>
    </row>
    <row r="1729" spans="1:2" ht="15.75" x14ac:dyDescent="0.25">
      <c r="A1729" s="344">
        <v>33188</v>
      </c>
      <c r="B1729" s="345" t="s">
        <v>3766</v>
      </c>
    </row>
    <row r="1730" spans="1:2" ht="15.75" x14ac:dyDescent="0.25">
      <c r="A1730" s="344">
        <v>33189</v>
      </c>
      <c r="B1730" s="345" t="s">
        <v>3767</v>
      </c>
    </row>
    <row r="1731" spans="1:2" ht="15.75" x14ac:dyDescent="0.25">
      <c r="A1731" s="344">
        <v>33190</v>
      </c>
      <c r="B1731" s="345" t="s">
        <v>3768</v>
      </c>
    </row>
    <row r="1732" spans="1:2" ht="15.75" x14ac:dyDescent="0.25">
      <c r="A1732" s="344">
        <v>33191</v>
      </c>
      <c r="B1732" s="345" t="s">
        <v>3769</v>
      </c>
    </row>
    <row r="1733" spans="1:2" ht="15.75" x14ac:dyDescent="0.25">
      <c r="A1733" s="344">
        <v>33192</v>
      </c>
      <c r="B1733" s="345" t="s">
        <v>3770</v>
      </c>
    </row>
    <row r="1734" spans="1:2" ht="15.75" x14ac:dyDescent="0.25">
      <c r="A1734" s="344">
        <v>33193</v>
      </c>
      <c r="B1734" s="345" t="s">
        <v>3771</v>
      </c>
    </row>
    <row r="1735" spans="1:2" ht="15.75" x14ac:dyDescent="0.25">
      <c r="A1735" s="344">
        <v>33194</v>
      </c>
      <c r="B1735" s="345" t="s">
        <v>3772</v>
      </c>
    </row>
    <row r="1736" spans="1:2" ht="15.75" x14ac:dyDescent="0.25">
      <c r="A1736" s="344">
        <v>33195</v>
      </c>
      <c r="B1736" s="345" t="s">
        <v>3773</v>
      </c>
    </row>
    <row r="1737" spans="1:2" ht="15.75" x14ac:dyDescent="0.25">
      <c r="A1737" s="344">
        <v>33196</v>
      </c>
      <c r="B1737" s="345" t="s">
        <v>3774</v>
      </c>
    </row>
    <row r="1738" spans="1:2" ht="15.75" x14ac:dyDescent="0.25">
      <c r="A1738" s="344">
        <v>33197</v>
      </c>
      <c r="B1738" s="345" t="s">
        <v>3775</v>
      </c>
    </row>
    <row r="1739" spans="1:2" ht="15.75" x14ac:dyDescent="0.25">
      <c r="A1739" s="344">
        <v>33198</v>
      </c>
      <c r="B1739" s="345" t="s">
        <v>3776</v>
      </c>
    </row>
    <row r="1740" spans="1:2" ht="15.75" x14ac:dyDescent="0.25">
      <c r="A1740" s="344">
        <v>33199</v>
      </c>
      <c r="B1740" s="345" t="s">
        <v>3777</v>
      </c>
    </row>
    <row r="1741" spans="1:2" ht="15.75" x14ac:dyDescent="0.25">
      <c r="A1741" s="344">
        <v>33200</v>
      </c>
      <c r="B1741" s="345" t="s">
        <v>3778</v>
      </c>
    </row>
    <row r="1742" spans="1:2" ht="15.75" x14ac:dyDescent="0.25">
      <c r="A1742" s="344">
        <v>33201</v>
      </c>
      <c r="B1742" s="345" t="s">
        <v>3779</v>
      </c>
    </row>
    <row r="1743" spans="1:2" ht="15.75" x14ac:dyDescent="0.25">
      <c r="A1743" s="344">
        <v>33202</v>
      </c>
      <c r="B1743" s="345" t="s">
        <v>3780</v>
      </c>
    </row>
    <row r="1744" spans="1:2" ht="15.75" x14ac:dyDescent="0.25">
      <c r="A1744" s="344">
        <v>33203</v>
      </c>
      <c r="B1744" s="345" t="s">
        <v>3781</v>
      </c>
    </row>
    <row r="1745" spans="1:2" ht="15.75" x14ac:dyDescent="0.25">
      <c r="A1745" s="344">
        <v>33204</v>
      </c>
      <c r="B1745" s="345" t="s">
        <v>3782</v>
      </c>
    </row>
    <row r="1746" spans="1:2" ht="15.75" x14ac:dyDescent="0.25">
      <c r="A1746" s="344">
        <v>33205</v>
      </c>
      <c r="B1746" s="345" t="s">
        <v>3783</v>
      </c>
    </row>
    <row r="1747" spans="1:2" ht="15.75" x14ac:dyDescent="0.25">
      <c r="A1747" s="344">
        <v>33206</v>
      </c>
      <c r="B1747" s="345" t="s">
        <v>3784</v>
      </c>
    </row>
    <row r="1748" spans="1:2" ht="15.75" x14ac:dyDescent="0.25">
      <c r="A1748" s="344">
        <v>33207</v>
      </c>
      <c r="B1748" s="345" t="s">
        <v>3785</v>
      </c>
    </row>
    <row r="1749" spans="1:2" ht="15.75" x14ac:dyDescent="0.25">
      <c r="A1749" s="344">
        <v>33208</v>
      </c>
      <c r="B1749" s="345" t="s">
        <v>3786</v>
      </c>
    </row>
    <row r="1750" spans="1:2" ht="15.75" x14ac:dyDescent="0.25">
      <c r="A1750" s="344">
        <v>33209</v>
      </c>
      <c r="B1750" s="345" t="s">
        <v>3787</v>
      </c>
    </row>
    <row r="1751" spans="1:2" ht="15.75" x14ac:dyDescent="0.25">
      <c r="A1751" s="344">
        <v>33210</v>
      </c>
      <c r="B1751" s="345" t="s">
        <v>3788</v>
      </c>
    </row>
    <row r="1752" spans="1:2" ht="15.75" x14ac:dyDescent="0.25">
      <c r="A1752" s="344">
        <v>33211</v>
      </c>
      <c r="B1752" s="345" t="s">
        <v>3789</v>
      </c>
    </row>
    <row r="1753" spans="1:2" ht="15.75" x14ac:dyDescent="0.25">
      <c r="A1753" s="344">
        <v>33212</v>
      </c>
      <c r="B1753" s="345" t="s">
        <v>3790</v>
      </c>
    </row>
    <row r="1754" spans="1:2" ht="15.75" x14ac:dyDescent="0.25">
      <c r="A1754" s="344">
        <v>33213</v>
      </c>
      <c r="B1754" s="345" t="s">
        <v>3791</v>
      </c>
    </row>
    <row r="1755" spans="1:2" ht="15.75" x14ac:dyDescent="0.25">
      <c r="A1755" s="344">
        <v>33500</v>
      </c>
      <c r="B1755" s="345" t="s">
        <v>3792</v>
      </c>
    </row>
    <row r="1756" spans="1:2" ht="15.75" x14ac:dyDescent="0.25">
      <c r="A1756" s="344">
        <v>33505</v>
      </c>
      <c r="B1756" s="345" t="s">
        <v>3793</v>
      </c>
    </row>
    <row r="1757" spans="1:2" ht="15.75" x14ac:dyDescent="0.25">
      <c r="A1757" s="344">
        <v>33600</v>
      </c>
      <c r="B1757" s="345" t="s">
        <v>3794</v>
      </c>
    </row>
    <row r="1758" spans="1:2" ht="15.75" x14ac:dyDescent="0.25">
      <c r="A1758" s="344">
        <v>34000</v>
      </c>
      <c r="B1758" s="345" t="s">
        <v>3795</v>
      </c>
    </row>
    <row r="1759" spans="1:2" ht="15.75" x14ac:dyDescent="0.25">
      <c r="A1759" s="344">
        <v>34010</v>
      </c>
      <c r="B1759" s="345" t="s">
        <v>3796</v>
      </c>
    </row>
    <row r="1760" spans="1:2" ht="15.75" x14ac:dyDescent="0.25">
      <c r="A1760" s="344">
        <v>35000</v>
      </c>
      <c r="B1760" s="345" t="s">
        <v>3797</v>
      </c>
    </row>
    <row r="1761" spans="1:2" ht="15.75" x14ac:dyDescent="0.25">
      <c r="A1761" s="344">
        <v>35010</v>
      </c>
      <c r="B1761" s="345" t="s">
        <v>3798</v>
      </c>
    </row>
    <row r="1762" spans="1:2" ht="15.75" x14ac:dyDescent="0.25">
      <c r="A1762" s="344">
        <v>36000</v>
      </c>
      <c r="B1762" s="345" t="s">
        <v>3799</v>
      </c>
    </row>
    <row r="1763" spans="1:2" ht="15.75" x14ac:dyDescent="0.25">
      <c r="A1763" s="344">
        <v>36005</v>
      </c>
      <c r="B1763" s="345" t="s">
        <v>3800</v>
      </c>
    </row>
    <row r="1764" spans="1:2" ht="15.75" x14ac:dyDescent="0.25">
      <c r="A1764" s="344">
        <v>37000</v>
      </c>
      <c r="B1764" s="345" t="s">
        <v>3801</v>
      </c>
    </row>
    <row r="1765" spans="1:2" ht="15.75" x14ac:dyDescent="0.25">
      <c r="A1765" s="344">
        <v>38000</v>
      </c>
      <c r="B1765" s="345" t="s">
        <v>3802</v>
      </c>
    </row>
    <row r="1766" spans="1:2" ht="15.75" x14ac:dyDescent="0.25">
      <c r="A1766" s="344">
        <v>38010</v>
      </c>
      <c r="B1766" s="345" t="s">
        <v>3803</v>
      </c>
    </row>
    <row r="1767" spans="1:2" ht="15.75" x14ac:dyDescent="0.25">
      <c r="A1767" s="344">
        <v>39000</v>
      </c>
      <c r="B1767" s="345" t="s">
        <v>3804</v>
      </c>
    </row>
    <row r="1768" spans="1:2" ht="15.75" x14ac:dyDescent="0.25">
      <c r="A1768" s="344">
        <v>40000</v>
      </c>
      <c r="B1768" s="345" t="s">
        <v>3805</v>
      </c>
    </row>
    <row r="1769" spans="1:2" ht="15.75" x14ac:dyDescent="0.25">
      <c r="A1769" s="344">
        <v>40001</v>
      </c>
      <c r="B1769" s="345" t="s">
        <v>3806</v>
      </c>
    </row>
    <row r="1770" spans="1:2" ht="15.75" x14ac:dyDescent="0.25">
      <c r="A1770" s="344">
        <v>41000</v>
      </c>
      <c r="B1770" s="345" t="s">
        <v>3807</v>
      </c>
    </row>
    <row r="1771" spans="1:2" ht="15.75" x14ac:dyDescent="0.25">
      <c r="A1771" s="344">
        <v>41001</v>
      </c>
      <c r="B1771" s="345" t="s">
        <v>3808</v>
      </c>
    </row>
    <row r="1772" spans="1:2" ht="15.75" x14ac:dyDescent="0.25">
      <c r="A1772" s="344">
        <v>41002</v>
      </c>
      <c r="B1772" s="345" t="s">
        <v>3809</v>
      </c>
    </row>
    <row r="1773" spans="1:2" ht="15.75" x14ac:dyDescent="0.25">
      <c r="A1773" s="344">
        <v>41003</v>
      </c>
      <c r="B1773" s="345" t="s">
        <v>3810</v>
      </c>
    </row>
    <row r="1774" spans="1:2" ht="15.75" x14ac:dyDescent="0.25">
      <c r="A1774" s="344">
        <v>41004</v>
      </c>
      <c r="B1774" s="345" t="s">
        <v>3811</v>
      </c>
    </row>
    <row r="1775" spans="1:2" ht="15.75" x14ac:dyDescent="0.25">
      <c r="A1775" s="344">
        <v>41005</v>
      </c>
      <c r="B1775" s="345" t="s">
        <v>3812</v>
      </c>
    </row>
    <row r="1776" spans="1:2" ht="15.75" x14ac:dyDescent="0.25">
      <c r="A1776" s="344">
        <v>41006</v>
      </c>
      <c r="B1776" s="345" t="s">
        <v>3813</v>
      </c>
    </row>
    <row r="1777" spans="1:2" ht="15.75" x14ac:dyDescent="0.25">
      <c r="A1777" s="344">
        <v>41007</v>
      </c>
      <c r="B1777" s="345" t="s">
        <v>3814</v>
      </c>
    </row>
    <row r="1778" spans="1:2" ht="15.75" x14ac:dyDescent="0.25">
      <c r="A1778" s="344">
        <v>41008</v>
      </c>
      <c r="B1778" s="345" t="s">
        <v>3815</v>
      </c>
    </row>
    <row r="1779" spans="1:2" ht="15.75" x14ac:dyDescent="0.25">
      <c r="A1779" s="344">
        <v>41009</v>
      </c>
      <c r="B1779" s="345" t="s">
        <v>3816</v>
      </c>
    </row>
    <row r="1780" spans="1:2" ht="15.75" x14ac:dyDescent="0.25">
      <c r="A1780" s="344">
        <v>41010</v>
      </c>
      <c r="B1780" s="345" t="s">
        <v>3817</v>
      </c>
    </row>
    <row r="1781" spans="1:2" ht="15.75" x14ac:dyDescent="0.25">
      <c r="A1781" s="344">
        <v>41015</v>
      </c>
      <c r="B1781" s="345" t="s">
        <v>3818</v>
      </c>
    </row>
    <row r="1782" spans="1:2" ht="15.75" x14ac:dyDescent="0.25">
      <c r="A1782" s="344">
        <v>41020</v>
      </c>
      <c r="B1782" s="345" t="s">
        <v>3819</v>
      </c>
    </row>
    <row r="1783" spans="1:2" ht="15.75" x14ac:dyDescent="0.25">
      <c r="A1783" s="344">
        <v>41021</v>
      </c>
      <c r="B1783" s="345" t="s">
        <v>3820</v>
      </c>
    </row>
    <row r="1784" spans="1:2" ht="15.75" x14ac:dyDescent="0.25">
      <c r="A1784" s="344">
        <v>41023</v>
      </c>
      <c r="B1784" s="345" t="s">
        <v>3821</v>
      </c>
    </row>
    <row r="1785" spans="1:2" ht="15.75" x14ac:dyDescent="0.25">
      <c r="A1785" s="344">
        <v>41024</v>
      </c>
      <c r="B1785" s="345" t="s">
        <v>3822</v>
      </c>
    </row>
    <row r="1786" spans="1:2" ht="15.75" x14ac:dyDescent="0.25">
      <c r="A1786" s="344">
        <v>41025</v>
      </c>
      <c r="B1786" s="345" t="s">
        <v>3823</v>
      </c>
    </row>
    <row r="1787" spans="1:2" ht="15.75" x14ac:dyDescent="0.25">
      <c r="A1787" s="344">
        <v>41026</v>
      </c>
      <c r="B1787" s="345" t="s">
        <v>3824</v>
      </c>
    </row>
    <row r="1788" spans="1:2" ht="15.75" x14ac:dyDescent="0.25">
      <c r="A1788" s="344">
        <v>41027</v>
      </c>
      <c r="B1788" s="345" t="s">
        <v>3825</v>
      </c>
    </row>
    <row r="1789" spans="1:2" ht="15.75" x14ac:dyDescent="0.25">
      <c r="A1789" s="344">
        <v>41028</v>
      </c>
      <c r="B1789" s="345" t="s">
        <v>3826</v>
      </c>
    </row>
    <row r="1790" spans="1:2" ht="15.75" x14ac:dyDescent="0.25">
      <c r="A1790" s="344">
        <v>41029</v>
      </c>
      <c r="B1790" s="345" t="s">
        <v>3827</v>
      </c>
    </row>
    <row r="1791" spans="1:2" ht="15.75" x14ac:dyDescent="0.25">
      <c r="A1791" s="344">
        <v>41030</v>
      </c>
      <c r="B1791" s="345" t="s">
        <v>3828</v>
      </c>
    </row>
    <row r="1792" spans="1:2" ht="15.75" x14ac:dyDescent="0.25">
      <c r="A1792" s="344">
        <v>41090</v>
      </c>
      <c r="B1792" s="345" t="s">
        <v>3829</v>
      </c>
    </row>
    <row r="1793" spans="1:2" ht="15.75" x14ac:dyDescent="0.25">
      <c r="A1793" s="344">
        <v>41091</v>
      </c>
      <c r="B1793" s="345" t="s">
        <v>3830</v>
      </c>
    </row>
    <row r="1794" spans="1:2" ht="15.75" x14ac:dyDescent="0.25">
      <c r="A1794" s="344">
        <v>41092</v>
      </c>
      <c r="B1794" s="345" t="s">
        <v>3831</v>
      </c>
    </row>
    <row r="1795" spans="1:2" ht="15.75" x14ac:dyDescent="0.25">
      <c r="A1795" s="344">
        <v>41093</v>
      </c>
      <c r="B1795" s="345" t="s">
        <v>3832</v>
      </c>
    </row>
    <row r="1796" spans="1:2" ht="15.75" x14ac:dyDescent="0.25">
      <c r="A1796" s="344">
        <v>41094</v>
      </c>
      <c r="B1796" s="345" t="s">
        <v>3833</v>
      </c>
    </row>
    <row r="1797" spans="1:2" ht="15.75" x14ac:dyDescent="0.25">
      <c r="A1797" s="344">
        <v>41095</v>
      </c>
      <c r="B1797" s="345" t="s">
        <v>3834</v>
      </c>
    </row>
    <row r="1798" spans="1:2" ht="15.75" x14ac:dyDescent="0.25">
      <c r="A1798" s="344">
        <v>41096</v>
      </c>
      <c r="B1798" s="345" t="s">
        <v>3835</v>
      </c>
    </row>
    <row r="1799" spans="1:2" ht="15.75" x14ac:dyDescent="0.25">
      <c r="A1799" s="344">
        <v>41097</v>
      </c>
      <c r="B1799" s="345" t="s">
        <v>3836</v>
      </c>
    </row>
    <row r="1800" spans="1:2" ht="15.75" x14ac:dyDescent="0.25">
      <c r="A1800" s="344">
        <v>41098</v>
      </c>
      <c r="B1800" s="345" t="s">
        <v>3837</v>
      </c>
    </row>
    <row r="1801" spans="1:2" ht="15.75" x14ac:dyDescent="0.25">
      <c r="A1801" s="344">
        <v>41100</v>
      </c>
      <c r="B1801" s="345" t="s">
        <v>3838</v>
      </c>
    </row>
    <row r="1802" spans="1:2" ht="15.75" x14ac:dyDescent="0.25">
      <c r="A1802" s="344">
        <v>41101</v>
      </c>
      <c r="B1802" s="345" t="s">
        <v>3839</v>
      </c>
    </row>
    <row r="1803" spans="1:2" ht="15.75" x14ac:dyDescent="0.25">
      <c r="A1803" s="344">
        <v>41102</v>
      </c>
      <c r="B1803" s="345" t="s">
        <v>3840</v>
      </c>
    </row>
    <row r="1804" spans="1:2" ht="15.75" x14ac:dyDescent="0.25">
      <c r="A1804" s="344">
        <v>41103</v>
      </c>
      <c r="B1804" s="345" t="s">
        <v>3841</v>
      </c>
    </row>
    <row r="1805" spans="1:2" ht="15.75" x14ac:dyDescent="0.25">
      <c r="A1805" s="344">
        <v>41110</v>
      </c>
      <c r="B1805" s="345" t="s">
        <v>3842</v>
      </c>
    </row>
    <row r="1806" spans="1:2" ht="15.75" x14ac:dyDescent="0.25">
      <c r="A1806" s="344">
        <v>41115</v>
      </c>
      <c r="B1806" s="345" t="s">
        <v>3843</v>
      </c>
    </row>
    <row r="1807" spans="1:2" ht="15.75" x14ac:dyDescent="0.25">
      <c r="A1807" s="344">
        <v>41120</v>
      </c>
      <c r="B1807" s="345" t="s">
        <v>3844</v>
      </c>
    </row>
    <row r="1808" spans="1:2" ht="15.75" x14ac:dyDescent="0.25">
      <c r="A1808" s="344">
        <v>41121</v>
      </c>
      <c r="B1808" s="345" t="s">
        <v>3845</v>
      </c>
    </row>
    <row r="1809" spans="1:2" ht="15.75" x14ac:dyDescent="0.25">
      <c r="A1809" s="344">
        <v>41125</v>
      </c>
      <c r="B1809" s="345" t="s">
        <v>3846</v>
      </c>
    </row>
    <row r="1810" spans="1:2" ht="15.75" x14ac:dyDescent="0.25">
      <c r="A1810" s="344">
        <v>41127</v>
      </c>
      <c r="B1810" s="345" t="s">
        <v>3847</v>
      </c>
    </row>
    <row r="1811" spans="1:2" ht="15.75" x14ac:dyDescent="0.25">
      <c r="A1811" s="344">
        <v>41130</v>
      </c>
      <c r="B1811" s="345" t="s">
        <v>3848</v>
      </c>
    </row>
    <row r="1812" spans="1:2" ht="15.75" x14ac:dyDescent="0.25">
      <c r="A1812" s="344">
        <v>41140</v>
      </c>
      <c r="B1812" s="345" t="s">
        <v>2276</v>
      </c>
    </row>
    <row r="1813" spans="1:2" ht="15.75" x14ac:dyDescent="0.25">
      <c r="A1813" s="344">
        <v>41141</v>
      </c>
      <c r="B1813" s="345" t="s">
        <v>3849</v>
      </c>
    </row>
    <row r="1814" spans="1:2" ht="15.75" x14ac:dyDescent="0.25">
      <c r="A1814" s="344">
        <v>41142</v>
      </c>
      <c r="B1814" s="345" t="s">
        <v>3850</v>
      </c>
    </row>
    <row r="1815" spans="1:2" ht="15.75" x14ac:dyDescent="0.25">
      <c r="A1815" s="344">
        <v>41148</v>
      </c>
      <c r="B1815" s="345" t="s">
        <v>3798</v>
      </c>
    </row>
    <row r="1816" spans="1:2" ht="15.75" x14ac:dyDescent="0.25">
      <c r="A1816" s="344">
        <v>41150</v>
      </c>
      <c r="B1816" s="345" t="s">
        <v>3851</v>
      </c>
    </row>
    <row r="1817" spans="1:2" ht="15.75" x14ac:dyDescent="0.25">
      <c r="A1817" s="344">
        <v>41151</v>
      </c>
      <c r="B1817" s="345" t="s">
        <v>3852</v>
      </c>
    </row>
    <row r="1818" spans="1:2" ht="15.75" x14ac:dyDescent="0.25">
      <c r="A1818" s="344">
        <v>41152</v>
      </c>
      <c r="B1818" s="345" t="s">
        <v>3853</v>
      </c>
    </row>
    <row r="1819" spans="1:2" ht="15.75" x14ac:dyDescent="0.25">
      <c r="A1819" s="344">
        <v>41153</v>
      </c>
      <c r="B1819" s="345" t="s">
        <v>3854</v>
      </c>
    </row>
    <row r="1820" spans="1:2" ht="15.75" x14ac:dyDescent="0.25">
      <c r="A1820" s="344">
        <v>41155</v>
      </c>
      <c r="B1820" s="345" t="s">
        <v>3855</v>
      </c>
    </row>
    <row r="1821" spans="1:2" ht="15.75" x14ac:dyDescent="0.25">
      <c r="A1821" s="344">
        <v>41157</v>
      </c>
      <c r="B1821" s="345" t="s">
        <v>3856</v>
      </c>
    </row>
    <row r="1822" spans="1:2" ht="15.75" x14ac:dyDescent="0.25">
      <c r="A1822" s="344">
        <v>41159</v>
      </c>
      <c r="B1822" s="345" t="s">
        <v>3857</v>
      </c>
    </row>
    <row r="1823" spans="1:2" ht="15.75" x14ac:dyDescent="0.25">
      <c r="A1823" s="344">
        <v>41160</v>
      </c>
      <c r="B1823" s="345" t="s">
        <v>3858</v>
      </c>
    </row>
    <row r="1824" spans="1:2" ht="15.75" x14ac:dyDescent="0.25">
      <c r="A1824" s="344">
        <v>42000</v>
      </c>
      <c r="B1824" s="345" t="s">
        <v>3859</v>
      </c>
    </row>
    <row r="1825" spans="1:2" ht="15.75" x14ac:dyDescent="0.25">
      <c r="A1825" s="344">
        <v>42010</v>
      </c>
      <c r="B1825" s="345" t="s">
        <v>3860</v>
      </c>
    </row>
    <row r="1826" spans="1:2" ht="15.75" x14ac:dyDescent="0.25">
      <c r="A1826" s="344">
        <v>42020</v>
      </c>
      <c r="B1826" s="345" t="s">
        <v>3861</v>
      </c>
    </row>
    <row r="1827" spans="1:2" ht="15.75" x14ac:dyDescent="0.25">
      <c r="A1827" s="344">
        <v>42030</v>
      </c>
      <c r="B1827" s="345" t="s">
        <v>3862</v>
      </c>
    </row>
    <row r="1828" spans="1:2" ht="15.75" x14ac:dyDescent="0.25">
      <c r="A1828" s="344">
        <v>42040</v>
      </c>
      <c r="B1828" s="345" t="s">
        <v>3863</v>
      </c>
    </row>
    <row r="1829" spans="1:2" ht="15.75" x14ac:dyDescent="0.25">
      <c r="A1829" s="344">
        <v>42050</v>
      </c>
      <c r="B1829" s="345" t="s">
        <v>3864</v>
      </c>
    </row>
    <row r="1830" spans="1:2" ht="15.75" x14ac:dyDescent="0.25">
      <c r="A1830" s="344">
        <v>42060</v>
      </c>
      <c r="B1830" s="345" t="s">
        <v>3865</v>
      </c>
    </row>
    <row r="1831" spans="1:2" ht="15.75" x14ac:dyDescent="0.25">
      <c r="A1831" s="344">
        <v>42070</v>
      </c>
      <c r="B1831" s="345" t="s">
        <v>3866</v>
      </c>
    </row>
    <row r="1832" spans="1:2" ht="15.75" x14ac:dyDescent="0.25">
      <c r="A1832" s="344">
        <v>42075</v>
      </c>
      <c r="B1832" s="345" t="s">
        <v>3867</v>
      </c>
    </row>
    <row r="1833" spans="1:2" ht="15.75" x14ac:dyDescent="0.25">
      <c r="A1833" s="344">
        <v>42080</v>
      </c>
      <c r="B1833" s="345" t="s">
        <v>3868</v>
      </c>
    </row>
    <row r="1834" spans="1:2" ht="15.75" x14ac:dyDescent="0.25">
      <c r="A1834" s="344">
        <v>42085</v>
      </c>
      <c r="B1834" s="345" t="s">
        <v>3869</v>
      </c>
    </row>
    <row r="1835" spans="1:2" ht="15.75" x14ac:dyDescent="0.25">
      <c r="A1835" s="344">
        <v>42090</v>
      </c>
      <c r="B1835" s="345" t="s">
        <v>3870</v>
      </c>
    </row>
    <row r="1836" spans="1:2" ht="15.75" x14ac:dyDescent="0.25">
      <c r="A1836" s="344">
        <v>42100</v>
      </c>
      <c r="B1836" s="345" t="s">
        <v>3871</v>
      </c>
    </row>
    <row r="1837" spans="1:2" ht="15.75" x14ac:dyDescent="0.25">
      <c r="A1837" s="344">
        <v>42200</v>
      </c>
      <c r="B1837" s="345" t="s">
        <v>3872</v>
      </c>
    </row>
    <row r="1838" spans="1:2" ht="15.75" x14ac:dyDescent="0.25">
      <c r="A1838" s="344">
        <v>42201</v>
      </c>
      <c r="B1838" s="345" t="s">
        <v>3873</v>
      </c>
    </row>
    <row r="1839" spans="1:2" ht="15.75" x14ac:dyDescent="0.25">
      <c r="A1839" s="344">
        <v>42202</v>
      </c>
      <c r="B1839" s="345" t="s">
        <v>3874</v>
      </c>
    </row>
    <row r="1840" spans="1:2" ht="15.75" x14ac:dyDescent="0.25">
      <c r="A1840" s="344">
        <v>42203</v>
      </c>
      <c r="B1840" s="345" t="s">
        <v>3875</v>
      </c>
    </row>
    <row r="1841" spans="1:2" ht="15.75" x14ac:dyDescent="0.25">
      <c r="A1841" s="344">
        <v>42204</v>
      </c>
      <c r="B1841" s="345" t="s">
        <v>3876</v>
      </c>
    </row>
    <row r="1842" spans="1:2" ht="15.75" x14ac:dyDescent="0.25">
      <c r="A1842" s="344">
        <v>42205</v>
      </c>
      <c r="B1842" s="345" t="s">
        <v>3877</v>
      </c>
    </row>
    <row r="1843" spans="1:2" ht="15.75" x14ac:dyDescent="0.25">
      <c r="A1843" s="344">
        <v>42206</v>
      </c>
      <c r="B1843" s="345" t="s">
        <v>3878</v>
      </c>
    </row>
    <row r="1844" spans="1:2" ht="15.75" x14ac:dyDescent="0.25">
      <c r="A1844" s="344">
        <v>42207</v>
      </c>
      <c r="B1844" s="345" t="s">
        <v>3879</v>
      </c>
    </row>
    <row r="1845" spans="1:2" ht="15.75" x14ac:dyDescent="0.25">
      <c r="A1845" s="344">
        <v>42300</v>
      </c>
      <c r="B1845" s="345" t="s">
        <v>3880</v>
      </c>
    </row>
    <row r="1846" spans="1:2" ht="15.75" x14ac:dyDescent="0.25">
      <c r="A1846" s="344">
        <v>42305</v>
      </c>
      <c r="B1846" s="345" t="s">
        <v>3881</v>
      </c>
    </row>
    <row r="1847" spans="1:2" ht="15.75" x14ac:dyDescent="0.25">
      <c r="A1847" s="344">
        <v>42310</v>
      </c>
      <c r="B1847" s="345" t="s">
        <v>3882</v>
      </c>
    </row>
    <row r="1848" spans="1:2" ht="15.75" x14ac:dyDescent="0.25">
      <c r="A1848" s="344">
        <v>42320</v>
      </c>
      <c r="B1848" s="345" t="s">
        <v>3883</v>
      </c>
    </row>
    <row r="1849" spans="1:2" ht="15.75" x14ac:dyDescent="0.25">
      <c r="A1849" s="344">
        <v>42325</v>
      </c>
      <c r="B1849" s="345" t="s">
        <v>3884</v>
      </c>
    </row>
    <row r="1850" spans="1:2" ht="15.75" x14ac:dyDescent="0.25">
      <c r="A1850" s="344">
        <v>42330</v>
      </c>
      <c r="B1850" s="345" t="s">
        <v>3885</v>
      </c>
    </row>
    <row r="1851" spans="1:2" ht="15.75" x14ac:dyDescent="0.25">
      <c r="A1851" s="344">
        <v>42335</v>
      </c>
      <c r="B1851" s="345" t="s">
        <v>3886</v>
      </c>
    </row>
    <row r="1852" spans="1:2" ht="15.75" x14ac:dyDescent="0.25">
      <c r="A1852" s="344">
        <v>42340</v>
      </c>
      <c r="B1852" s="345" t="s">
        <v>3887</v>
      </c>
    </row>
    <row r="1853" spans="1:2" ht="15.75" x14ac:dyDescent="0.25">
      <c r="A1853" s="344">
        <v>42343</v>
      </c>
      <c r="B1853" s="345" t="s">
        <v>3888</v>
      </c>
    </row>
    <row r="1854" spans="1:2" ht="15.75" x14ac:dyDescent="0.25">
      <c r="A1854" s="344">
        <v>42345</v>
      </c>
      <c r="B1854" s="345" t="s">
        <v>3889</v>
      </c>
    </row>
    <row r="1855" spans="1:2" ht="15.75" x14ac:dyDescent="0.25">
      <c r="A1855" s="344">
        <v>42346</v>
      </c>
      <c r="B1855" s="345" t="s">
        <v>3890</v>
      </c>
    </row>
    <row r="1856" spans="1:2" ht="15.75" x14ac:dyDescent="0.25">
      <c r="A1856" s="344">
        <v>42347</v>
      </c>
      <c r="B1856" s="345" t="s">
        <v>3891</v>
      </c>
    </row>
    <row r="1857" spans="1:2" ht="15.75" x14ac:dyDescent="0.25">
      <c r="A1857" s="344">
        <v>42350</v>
      </c>
      <c r="B1857" s="345" t="s">
        <v>3892</v>
      </c>
    </row>
    <row r="1858" spans="1:2" ht="15.75" x14ac:dyDescent="0.25">
      <c r="A1858" s="344">
        <v>42390</v>
      </c>
      <c r="B1858" s="345" t="s">
        <v>3893</v>
      </c>
    </row>
    <row r="1859" spans="1:2" ht="15.75" x14ac:dyDescent="0.25">
      <c r="A1859" s="344">
        <v>42395</v>
      </c>
      <c r="B1859" s="345" t="s">
        <v>3894</v>
      </c>
    </row>
    <row r="1860" spans="1:2" ht="15.75" x14ac:dyDescent="0.25">
      <c r="A1860" s="344">
        <v>42396</v>
      </c>
      <c r="B1860" s="345" t="s">
        <v>3895</v>
      </c>
    </row>
    <row r="1861" spans="1:2" ht="15.75" x14ac:dyDescent="0.25">
      <c r="A1861" s="344">
        <v>42397</v>
      </c>
      <c r="B1861" s="345" t="s">
        <v>3896</v>
      </c>
    </row>
    <row r="1862" spans="1:2" ht="15.75" x14ac:dyDescent="0.25">
      <c r="A1862" s="344">
        <v>43000</v>
      </c>
      <c r="B1862" s="345" t="s">
        <v>3897</v>
      </c>
    </row>
    <row r="1863" spans="1:2" ht="15.75" x14ac:dyDescent="0.25">
      <c r="A1863" s="344">
        <v>43005</v>
      </c>
      <c r="B1863" s="345" t="s">
        <v>3898</v>
      </c>
    </row>
    <row r="1864" spans="1:2" ht="15.75" x14ac:dyDescent="0.25">
      <c r="A1864" s="344">
        <v>43008</v>
      </c>
      <c r="B1864" s="345" t="s">
        <v>3899</v>
      </c>
    </row>
    <row r="1865" spans="1:2" ht="15.75" x14ac:dyDescent="0.25">
      <c r="A1865" s="344">
        <v>43010</v>
      </c>
      <c r="B1865" s="345" t="s">
        <v>3900</v>
      </c>
    </row>
    <row r="1866" spans="1:2" ht="15.75" x14ac:dyDescent="0.25">
      <c r="A1866" s="344">
        <v>43015</v>
      </c>
      <c r="B1866" s="345" t="s">
        <v>3901</v>
      </c>
    </row>
    <row r="1867" spans="1:2" ht="15.75" x14ac:dyDescent="0.25">
      <c r="A1867" s="344">
        <v>43020</v>
      </c>
      <c r="B1867" s="345" t="s">
        <v>3902</v>
      </c>
    </row>
    <row r="1868" spans="1:2" ht="15.75" x14ac:dyDescent="0.25">
      <c r="A1868" s="344">
        <v>43021</v>
      </c>
      <c r="B1868" s="345" t="s">
        <v>3903</v>
      </c>
    </row>
    <row r="1869" spans="1:2" ht="15.75" x14ac:dyDescent="0.25">
      <c r="A1869" s="344">
        <v>43025</v>
      </c>
      <c r="B1869" s="345" t="s">
        <v>3904</v>
      </c>
    </row>
    <row r="1870" spans="1:2" ht="15.75" x14ac:dyDescent="0.25">
      <c r="A1870" s="344">
        <v>43030</v>
      </c>
      <c r="B1870" s="345" t="s">
        <v>3905</v>
      </c>
    </row>
    <row r="1871" spans="1:2" ht="15.75" x14ac:dyDescent="0.25">
      <c r="A1871" s="344">
        <v>43035</v>
      </c>
      <c r="B1871" s="345" t="s">
        <v>3906</v>
      </c>
    </row>
    <row r="1872" spans="1:2" ht="15.75" x14ac:dyDescent="0.25">
      <c r="A1872" s="344">
        <v>43036</v>
      </c>
      <c r="B1872" s="345" t="s">
        <v>3907</v>
      </c>
    </row>
    <row r="1873" spans="1:2" ht="15.75" x14ac:dyDescent="0.25">
      <c r="A1873" s="344">
        <v>43037</v>
      </c>
      <c r="B1873" s="345" t="s">
        <v>3908</v>
      </c>
    </row>
    <row r="1874" spans="1:2" ht="15.75" x14ac:dyDescent="0.25">
      <c r="A1874" s="344">
        <v>43040</v>
      </c>
      <c r="B1874" s="345" t="s">
        <v>3909</v>
      </c>
    </row>
    <row r="1875" spans="1:2" ht="15.75" x14ac:dyDescent="0.25">
      <c r="A1875" s="344">
        <v>43041</v>
      </c>
      <c r="B1875" s="345" t="s">
        <v>3910</v>
      </c>
    </row>
    <row r="1876" spans="1:2" ht="15.75" x14ac:dyDescent="0.25">
      <c r="A1876" s="344">
        <v>43043</v>
      </c>
      <c r="B1876" s="345" t="s">
        <v>3911</v>
      </c>
    </row>
    <row r="1877" spans="1:2" ht="15.75" x14ac:dyDescent="0.25">
      <c r="A1877" s="344">
        <v>43044</v>
      </c>
      <c r="B1877" s="345" t="s">
        <v>3912</v>
      </c>
    </row>
    <row r="1878" spans="1:2" ht="15.75" x14ac:dyDescent="0.25">
      <c r="A1878" s="344">
        <v>43045</v>
      </c>
      <c r="B1878" s="345" t="s">
        <v>3913</v>
      </c>
    </row>
    <row r="1879" spans="1:2" ht="15.75" x14ac:dyDescent="0.25">
      <c r="A1879" s="344">
        <v>43055</v>
      </c>
      <c r="B1879" s="345" t="s">
        <v>3914</v>
      </c>
    </row>
    <row r="1880" spans="1:2" ht="15.75" x14ac:dyDescent="0.25">
      <c r="A1880" s="344">
        <v>43056</v>
      </c>
      <c r="B1880" s="345" t="s">
        <v>3915</v>
      </c>
    </row>
    <row r="1881" spans="1:2" ht="15.75" x14ac:dyDescent="0.25">
      <c r="A1881" s="344">
        <v>43057</v>
      </c>
      <c r="B1881" s="345" t="s">
        <v>3916</v>
      </c>
    </row>
    <row r="1882" spans="1:2" ht="15.75" x14ac:dyDescent="0.25">
      <c r="A1882" s="344">
        <v>43058</v>
      </c>
      <c r="B1882" s="345" t="s">
        <v>3917</v>
      </c>
    </row>
    <row r="1883" spans="1:2" ht="15.75" x14ac:dyDescent="0.25">
      <c r="A1883" s="344">
        <v>43060</v>
      </c>
      <c r="B1883" s="345" t="s">
        <v>3918</v>
      </c>
    </row>
    <row r="1884" spans="1:2" ht="15.75" x14ac:dyDescent="0.25">
      <c r="A1884" s="344">
        <v>43063</v>
      </c>
      <c r="B1884" s="345" t="s">
        <v>3919</v>
      </c>
    </row>
    <row r="1885" spans="1:2" ht="15.75" x14ac:dyDescent="0.25">
      <c r="A1885" s="344">
        <v>43065</v>
      </c>
      <c r="B1885" s="345" t="s">
        <v>3920</v>
      </c>
    </row>
    <row r="1886" spans="1:2" ht="15.75" x14ac:dyDescent="0.25">
      <c r="A1886" s="344">
        <v>43070</v>
      </c>
      <c r="B1886" s="345" t="s">
        <v>3921</v>
      </c>
    </row>
    <row r="1887" spans="1:2" ht="15.75" x14ac:dyDescent="0.25">
      <c r="A1887" s="344">
        <v>43071</v>
      </c>
      <c r="B1887" s="345" t="s">
        <v>3922</v>
      </c>
    </row>
    <row r="1888" spans="1:2" ht="15.75" x14ac:dyDescent="0.25">
      <c r="A1888" s="344">
        <v>43075</v>
      </c>
      <c r="B1888" s="345" t="s">
        <v>3923</v>
      </c>
    </row>
    <row r="1889" spans="1:2" ht="15.75" x14ac:dyDescent="0.25">
      <c r="A1889" s="344">
        <v>43077</v>
      </c>
      <c r="B1889" s="345" t="s">
        <v>3924</v>
      </c>
    </row>
    <row r="1890" spans="1:2" ht="15.75" x14ac:dyDescent="0.25">
      <c r="A1890" s="344">
        <v>43080</v>
      </c>
      <c r="B1890" s="345" t="s">
        <v>3925</v>
      </c>
    </row>
    <row r="1891" spans="1:2" ht="15.75" x14ac:dyDescent="0.25">
      <c r="A1891" s="344">
        <v>43083</v>
      </c>
      <c r="B1891" s="345" t="s">
        <v>3926</v>
      </c>
    </row>
    <row r="1892" spans="1:2" ht="15.75" x14ac:dyDescent="0.25">
      <c r="A1892" s="344">
        <v>43090</v>
      </c>
      <c r="B1892" s="345" t="s">
        <v>3927</v>
      </c>
    </row>
    <row r="1893" spans="1:2" ht="15.75" x14ac:dyDescent="0.25">
      <c r="A1893" s="344">
        <v>43092</v>
      </c>
      <c r="B1893" s="345" t="s">
        <v>3928</v>
      </c>
    </row>
    <row r="1894" spans="1:2" ht="15.75" x14ac:dyDescent="0.25">
      <c r="A1894" s="344">
        <v>43093</v>
      </c>
      <c r="B1894" s="345" t="s">
        <v>3929</v>
      </c>
    </row>
    <row r="1895" spans="1:2" ht="15.75" x14ac:dyDescent="0.25">
      <c r="A1895" s="344">
        <v>43095</v>
      </c>
      <c r="B1895" s="345" t="s">
        <v>3930</v>
      </c>
    </row>
    <row r="1896" spans="1:2" ht="15.75" x14ac:dyDescent="0.25">
      <c r="A1896" s="344">
        <v>43097</v>
      </c>
      <c r="B1896" s="345" t="s">
        <v>3931</v>
      </c>
    </row>
    <row r="1897" spans="1:2" ht="15.75" x14ac:dyDescent="0.25">
      <c r="A1897" s="344">
        <v>43098</v>
      </c>
      <c r="B1897" s="345" t="s">
        <v>3932</v>
      </c>
    </row>
    <row r="1898" spans="1:2" ht="15.75" x14ac:dyDescent="0.25">
      <c r="A1898" s="344">
        <v>43099</v>
      </c>
      <c r="B1898" s="345" t="s">
        <v>3933</v>
      </c>
    </row>
    <row r="1899" spans="1:2" ht="15.75" x14ac:dyDescent="0.25">
      <c r="A1899" s="344">
        <v>43100</v>
      </c>
      <c r="B1899" s="345" t="s">
        <v>3934</v>
      </c>
    </row>
    <row r="1900" spans="1:2" ht="15.75" x14ac:dyDescent="0.25">
      <c r="A1900" s="344">
        <v>43105</v>
      </c>
      <c r="B1900" s="345" t="s">
        <v>3935</v>
      </c>
    </row>
    <row r="1901" spans="1:2" ht="15.75" x14ac:dyDescent="0.25">
      <c r="A1901" s="344">
        <v>43106</v>
      </c>
      <c r="B1901" s="345" t="s">
        <v>3936</v>
      </c>
    </row>
    <row r="1902" spans="1:2" ht="15.75" x14ac:dyDescent="0.25">
      <c r="A1902" s="344">
        <v>43108</v>
      </c>
      <c r="B1902" s="345" t="s">
        <v>3937</v>
      </c>
    </row>
    <row r="1903" spans="1:2" ht="15.75" x14ac:dyDescent="0.25">
      <c r="A1903" s="344">
        <v>43110</v>
      </c>
      <c r="B1903" s="345" t="s">
        <v>3938</v>
      </c>
    </row>
    <row r="1904" spans="1:2" ht="15.75" x14ac:dyDescent="0.25">
      <c r="A1904" s="344">
        <v>43112</v>
      </c>
      <c r="B1904" s="345" t="s">
        <v>3939</v>
      </c>
    </row>
    <row r="1905" spans="1:2" ht="15.75" x14ac:dyDescent="0.25">
      <c r="A1905" s="344">
        <v>43113</v>
      </c>
      <c r="B1905" s="345" t="s">
        <v>3940</v>
      </c>
    </row>
    <row r="1906" spans="1:2" ht="15.75" x14ac:dyDescent="0.25">
      <c r="A1906" s="344">
        <v>43114</v>
      </c>
      <c r="B1906" s="345" t="s">
        <v>3941</v>
      </c>
    </row>
    <row r="1907" spans="1:2" ht="15.75" x14ac:dyDescent="0.25">
      <c r="A1907" s="344">
        <v>43115</v>
      </c>
      <c r="B1907" s="345" t="s">
        <v>3942</v>
      </c>
    </row>
    <row r="1908" spans="1:2" ht="15.75" x14ac:dyDescent="0.25">
      <c r="A1908" s="344">
        <v>43116</v>
      </c>
      <c r="B1908" s="345" t="s">
        <v>3943</v>
      </c>
    </row>
    <row r="1909" spans="1:2" ht="15.75" x14ac:dyDescent="0.25">
      <c r="A1909" s="344">
        <v>43117</v>
      </c>
      <c r="B1909" s="345" t="s">
        <v>3944</v>
      </c>
    </row>
    <row r="1910" spans="1:2" ht="15.75" x14ac:dyDescent="0.25">
      <c r="A1910" s="344">
        <v>43118</v>
      </c>
      <c r="B1910" s="345" t="s">
        <v>3945</v>
      </c>
    </row>
    <row r="1911" spans="1:2" ht="15.75" x14ac:dyDescent="0.25">
      <c r="A1911" s="344">
        <v>43120</v>
      </c>
      <c r="B1911" s="345" t="s">
        <v>3946</v>
      </c>
    </row>
    <row r="1912" spans="1:2" ht="15.75" x14ac:dyDescent="0.25">
      <c r="A1912" s="344">
        <v>43125</v>
      </c>
      <c r="B1912" s="345" t="s">
        <v>3947</v>
      </c>
    </row>
    <row r="1913" spans="1:2" ht="15.75" x14ac:dyDescent="0.25">
      <c r="A1913" s="344">
        <v>43127</v>
      </c>
      <c r="B1913" s="345" t="s">
        <v>3948</v>
      </c>
    </row>
    <row r="1914" spans="1:2" ht="15.75" x14ac:dyDescent="0.25">
      <c r="A1914" s="344">
        <v>43128</v>
      </c>
      <c r="B1914" s="345" t="s">
        <v>3949</v>
      </c>
    </row>
    <row r="1915" spans="1:2" ht="15.75" x14ac:dyDescent="0.25">
      <c r="A1915" s="344">
        <v>43130</v>
      </c>
      <c r="B1915" s="345" t="s">
        <v>3950</v>
      </c>
    </row>
    <row r="1916" spans="1:2" ht="15.75" x14ac:dyDescent="0.25">
      <c r="A1916" s="344">
        <v>43135</v>
      </c>
      <c r="B1916" s="345" t="s">
        <v>3951</v>
      </c>
    </row>
    <row r="1917" spans="1:2" ht="15.75" x14ac:dyDescent="0.25">
      <c r="A1917" s="344">
        <v>43136</v>
      </c>
      <c r="B1917" s="345" t="s">
        <v>3952</v>
      </c>
    </row>
    <row r="1918" spans="1:2" ht="15.75" x14ac:dyDescent="0.25">
      <c r="A1918" s="344">
        <v>43137</v>
      </c>
      <c r="B1918" s="345" t="s">
        <v>3953</v>
      </c>
    </row>
    <row r="1919" spans="1:2" ht="15.75" x14ac:dyDescent="0.25">
      <c r="A1919" s="344">
        <v>43140</v>
      </c>
      <c r="B1919" s="345" t="s">
        <v>3954</v>
      </c>
    </row>
    <row r="1920" spans="1:2" ht="15.75" x14ac:dyDescent="0.25">
      <c r="A1920" s="344">
        <v>43145</v>
      </c>
      <c r="B1920" s="345" t="s">
        <v>3955</v>
      </c>
    </row>
    <row r="1921" spans="1:2" ht="15.75" x14ac:dyDescent="0.25">
      <c r="A1921" s="344">
        <v>43147</v>
      </c>
      <c r="B1921" s="345" t="s">
        <v>3956</v>
      </c>
    </row>
    <row r="1922" spans="1:2" ht="15.75" x14ac:dyDescent="0.25">
      <c r="A1922" s="344">
        <v>43150</v>
      </c>
      <c r="B1922" s="345" t="s">
        <v>3957</v>
      </c>
    </row>
    <row r="1923" spans="1:2" ht="15.75" x14ac:dyDescent="0.25">
      <c r="A1923" s="344">
        <v>43155</v>
      </c>
      <c r="B1923" s="345" t="s">
        <v>3958</v>
      </c>
    </row>
    <row r="1924" spans="1:2" ht="15.75" x14ac:dyDescent="0.25">
      <c r="A1924" s="344">
        <v>43157</v>
      </c>
      <c r="B1924" s="345" t="s">
        <v>3959</v>
      </c>
    </row>
    <row r="1925" spans="1:2" ht="15.75" x14ac:dyDescent="0.25">
      <c r="A1925" s="344">
        <v>43159</v>
      </c>
      <c r="B1925" s="345" t="s">
        <v>3960</v>
      </c>
    </row>
    <row r="1926" spans="1:2" ht="15.75" x14ac:dyDescent="0.25">
      <c r="A1926" s="344">
        <v>43160</v>
      </c>
      <c r="B1926" s="345" t="s">
        <v>3961</v>
      </c>
    </row>
    <row r="1927" spans="1:2" ht="15.75" x14ac:dyDescent="0.25">
      <c r="A1927" s="344">
        <v>43161</v>
      </c>
      <c r="B1927" s="345" t="s">
        <v>3962</v>
      </c>
    </row>
    <row r="1928" spans="1:2" ht="15.75" x14ac:dyDescent="0.25">
      <c r="A1928" s="344">
        <v>43164</v>
      </c>
      <c r="B1928" s="345" t="s">
        <v>3963</v>
      </c>
    </row>
    <row r="1929" spans="1:2" ht="15.75" x14ac:dyDescent="0.25">
      <c r="A1929" s="344">
        <v>43165</v>
      </c>
      <c r="B1929" s="345" t="s">
        <v>3964</v>
      </c>
    </row>
    <row r="1930" spans="1:2" ht="15.75" x14ac:dyDescent="0.25">
      <c r="A1930" s="344">
        <v>43166</v>
      </c>
      <c r="B1930" s="345" t="s">
        <v>3965</v>
      </c>
    </row>
    <row r="1931" spans="1:2" ht="15.75" x14ac:dyDescent="0.25">
      <c r="A1931" s="344">
        <v>43167</v>
      </c>
      <c r="B1931" s="345" t="s">
        <v>3966</v>
      </c>
    </row>
    <row r="1932" spans="1:2" ht="15.75" x14ac:dyDescent="0.25">
      <c r="A1932" s="344">
        <v>43168</v>
      </c>
      <c r="B1932" s="345" t="s">
        <v>3967</v>
      </c>
    </row>
    <row r="1933" spans="1:2" ht="15.75" x14ac:dyDescent="0.25">
      <c r="A1933" s="344">
        <v>43170</v>
      </c>
      <c r="B1933" s="345" t="s">
        <v>3968</v>
      </c>
    </row>
    <row r="1934" spans="1:2" ht="15.75" x14ac:dyDescent="0.25">
      <c r="A1934" s="344">
        <v>43180</v>
      </c>
      <c r="B1934" s="345" t="s">
        <v>3969</v>
      </c>
    </row>
    <row r="1935" spans="1:2" ht="15.75" x14ac:dyDescent="0.25">
      <c r="A1935" s="344">
        <v>43185</v>
      </c>
      <c r="B1935" s="345" t="s">
        <v>3970</v>
      </c>
    </row>
    <row r="1936" spans="1:2" ht="15.75" x14ac:dyDescent="0.25">
      <c r="A1936" s="344">
        <v>43189</v>
      </c>
      <c r="B1936" s="345" t="s">
        <v>3971</v>
      </c>
    </row>
    <row r="1937" spans="1:2" ht="15.75" x14ac:dyDescent="0.25">
      <c r="A1937" s="344">
        <v>43190</v>
      </c>
      <c r="B1937" s="345" t="s">
        <v>3972</v>
      </c>
    </row>
    <row r="1938" spans="1:2" ht="15.75" x14ac:dyDescent="0.25">
      <c r="A1938" s="344">
        <v>43194</v>
      </c>
      <c r="B1938" s="345" t="s">
        <v>3973</v>
      </c>
    </row>
    <row r="1939" spans="1:2" ht="15.75" x14ac:dyDescent="0.25">
      <c r="A1939" s="344">
        <v>43195</v>
      </c>
      <c r="B1939" s="345" t="s">
        <v>3974</v>
      </c>
    </row>
    <row r="1940" spans="1:2" ht="15.75" x14ac:dyDescent="0.25">
      <c r="A1940" s="344">
        <v>43196</v>
      </c>
      <c r="B1940" s="345" t="s">
        <v>3975</v>
      </c>
    </row>
    <row r="1941" spans="1:2" ht="15.75" x14ac:dyDescent="0.25">
      <c r="A1941" s="344">
        <v>43198</v>
      </c>
      <c r="B1941" s="345" t="s">
        <v>3976</v>
      </c>
    </row>
    <row r="1942" spans="1:2" ht="15.75" x14ac:dyDescent="0.25">
      <c r="A1942" s="344">
        <v>43200</v>
      </c>
      <c r="B1942" s="345" t="s">
        <v>3977</v>
      </c>
    </row>
    <row r="1943" spans="1:2" ht="15.75" x14ac:dyDescent="0.25">
      <c r="A1943" s="344">
        <v>43201</v>
      </c>
      <c r="B1943" s="345" t="s">
        <v>3978</v>
      </c>
    </row>
    <row r="1944" spans="1:2" ht="15.75" x14ac:dyDescent="0.25">
      <c r="A1944" s="344">
        <v>43205</v>
      </c>
      <c r="B1944" s="345" t="s">
        <v>3979</v>
      </c>
    </row>
    <row r="1945" spans="1:2" ht="15.75" x14ac:dyDescent="0.25">
      <c r="A1945" s="344">
        <v>43210</v>
      </c>
      <c r="B1945" s="345" t="s">
        <v>3980</v>
      </c>
    </row>
    <row r="1946" spans="1:2" ht="15.75" x14ac:dyDescent="0.25">
      <c r="A1946" s="344">
        <v>43211</v>
      </c>
      <c r="B1946" s="345" t="s">
        <v>3981</v>
      </c>
    </row>
    <row r="1947" spans="1:2" ht="15.75" x14ac:dyDescent="0.25">
      <c r="A1947" s="344">
        <v>43213</v>
      </c>
      <c r="B1947" s="345" t="s">
        <v>3982</v>
      </c>
    </row>
    <row r="1948" spans="1:2" ht="15.75" x14ac:dyDescent="0.25">
      <c r="A1948" s="344">
        <v>43215</v>
      </c>
      <c r="B1948" s="345" t="s">
        <v>3983</v>
      </c>
    </row>
    <row r="1949" spans="1:2" ht="15.75" x14ac:dyDescent="0.25">
      <c r="A1949" s="344">
        <v>43225</v>
      </c>
      <c r="B1949" s="345" t="s">
        <v>3984</v>
      </c>
    </row>
    <row r="1950" spans="1:2" ht="15.75" x14ac:dyDescent="0.25">
      <c r="A1950" s="344">
        <v>43226</v>
      </c>
      <c r="B1950" s="345" t="s">
        <v>3985</v>
      </c>
    </row>
    <row r="1951" spans="1:2" ht="15.75" x14ac:dyDescent="0.25">
      <c r="A1951" s="344">
        <v>43227</v>
      </c>
      <c r="B1951" s="345" t="s">
        <v>3986</v>
      </c>
    </row>
    <row r="1952" spans="1:2" ht="15.75" x14ac:dyDescent="0.25">
      <c r="A1952" s="344">
        <v>43230</v>
      </c>
      <c r="B1952" s="345" t="s">
        <v>3987</v>
      </c>
    </row>
    <row r="1953" spans="1:2" ht="15.75" x14ac:dyDescent="0.25">
      <c r="A1953" s="344">
        <v>43231</v>
      </c>
      <c r="B1953" s="345" t="s">
        <v>3988</v>
      </c>
    </row>
    <row r="1954" spans="1:2" ht="15.75" x14ac:dyDescent="0.25">
      <c r="A1954" s="344">
        <v>43232</v>
      </c>
      <c r="B1954" s="345" t="s">
        <v>3989</v>
      </c>
    </row>
    <row r="1955" spans="1:2" ht="15.75" x14ac:dyDescent="0.25">
      <c r="A1955" s="344">
        <v>43235</v>
      </c>
      <c r="B1955" s="345" t="s">
        <v>3990</v>
      </c>
    </row>
    <row r="1956" spans="1:2" ht="15.75" x14ac:dyDescent="0.25">
      <c r="A1956" s="344">
        <v>43236</v>
      </c>
      <c r="B1956" s="345" t="s">
        <v>3991</v>
      </c>
    </row>
    <row r="1957" spans="1:2" ht="15.75" x14ac:dyDescent="0.25">
      <c r="A1957" s="344">
        <v>43237</v>
      </c>
      <c r="B1957" s="345" t="s">
        <v>3992</v>
      </c>
    </row>
    <row r="1958" spans="1:2" ht="15.75" x14ac:dyDescent="0.25">
      <c r="A1958" s="344">
        <v>43240</v>
      </c>
      <c r="B1958" s="345" t="s">
        <v>3993</v>
      </c>
    </row>
    <row r="1959" spans="1:2" ht="15.75" x14ac:dyDescent="0.25">
      <c r="A1959" s="344">
        <v>43241</v>
      </c>
      <c r="B1959" s="345" t="s">
        <v>3994</v>
      </c>
    </row>
    <row r="1960" spans="1:2" ht="15.75" x14ac:dyDescent="0.25">
      <c r="A1960" s="344">
        <v>43243</v>
      </c>
      <c r="B1960" s="345" t="s">
        <v>3995</v>
      </c>
    </row>
    <row r="1961" spans="1:2" ht="15.75" x14ac:dyDescent="0.25">
      <c r="A1961" s="344">
        <v>43245</v>
      </c>
      <c r="B1961" s="345" t="s">
        <v>3996</v>
      </c>
    </row>
    <row r="1962" spans="1:2" ht="15.75" x14ac:dyDescent="0.25">
      <c r="A1962" s="344">
        <v>43250</v>
      </c>
      <c r="B1962" s="345" t="s">
        <v>3997</v>
      </c>
    </row>
    <row r="1963" spans="1:2" ht="15.75" x14ac:dyDescent="0.25">
      <c r="A1963" s="344">
        <v>43255</v>
      </c>
      <c r="B1963" s="345" t="s">
        <v>3998</v>
      </c>
    </row>
    <row r="1964" spans="1:2" ht="15.75" x14ac:dyDescent="0.25">
      <c r="A1964" s="344">
        <v>43256</v>
      </c>
      <c r="B1964" s="345" t="s">
        <v>3999</v>
      </c>
    </row>
    <row r="1965" spans="1:2" ht="15.75" x14ac:dyDescent="0.25">
      <c r="A1965" s="344">
        <v>43257</v>
      </c>
      <c r="B1965" s="345" t="s">
        <v>4000</v>
      </c>
    </row>
    <row r="1966" spans="1:2" ht="15.75" x14ac:dyDescent="0.25">
      <c r="A1966" s="344">
        <v>43258</v>
      </c>
      <c r="B1966" s="345" t="s">
        <v>4001</v>
      </c>
    </row>
    <row r="1967" spans="1:2" ht="15.75" x14ac:dyDescent="0.25">
      <c r="A1967" s="344">
        <v>43259</v>
      </c>
      <c r="B1967" s="345" t="s">
        <v>4002</v>
      </c>
    </row>
    <row r="1968" spans="1:2" ht="15.75" x14ac:dyDescent="0.25">
      <c r="A1968" s="344">
        <v>43260</v>
      </c>
      <c r="B1968" s="345" t="s">
        <v>4003</v>
      </c>
    </row>
    <row r="1969" spans="1:2" ht="15.75" x14ac:dyDescent="0.25">
      <c r="A1969" s="344">
        <v>43261</v>
      </c>
      <c r="B1969" s="345" t="s">
        <v>4004</v>
      </c>
    </row>
    <row r="1970" spans="1:2" ht="15.75" x14ac:dyDescent="0.25">
      <c r="A1970" s="344">
        <v>43262</v>
      </c>
      <c r="B1970" s="345" t="s">
        <v>4005</v>
      </c>
    </row>
    <row r="1971" spans="1:2" ht="15.75" x14ac:dyDescent="0.25">
      <c r="A1971" s="344">
        <v>43263</v>
      </c>
      <c r="B1971" s="345" t="s">
        <v>4006</v>
      </c>
    </row>
    <row r="1972" spans="1:2" ht="15.75" x14ac:dyDescent="0.25">
      <c r="A1972" s="344">
        <v>43265</v>
      </c>
      <c r="B1972" s="345" t="s">
        <v>4007</v>
      </c>
    </row>
    <row r="1973" spans="1:2" ht="15.75" x14ac:dyDescent="0.25">
      <c r="A1973" s="344">
        <v>43266</v>
      </c>
      <c r="B1973" s="345" t="s">
        <v>4008</v>
      </c>
    </row>
    <row r="1974" spans="1:2" ht="15.75" x14ac:dyDescent="0.25">
      <c r="A1974" s="344">
        <v>43267</v>
      </c>
      <c r="B1974" s="345" t="s">
        <v>4009</v>
      </c>
    </row>
    <row r="1975" spans="1:2" ht="15.75" x14ac:dyDescent="0.25">
      <c r="A1975" s="344">
        <v>43270</v>
      </c>
      <c r="B1975" s="345" t="s">
        <v>4010</v>
      </c>
    </row>
    <row r="1976" spans="1:2" ht="15.75" x14ac:dyDescent="0.25">
      <c r="A1976" s="344">
        <v>43271</v>
      </c>
      <c r="B1976" s="345" t="s">
        <v>4011</v>
      </c>
    </row>
    <row r="1977" spans="1:2" ht="15.75" x14ac:dyDescent="0.25">
      <c r="A1977" s="344">
        <v>43277</v>
      </c>
      <c r="B1977" s="345" t="s">
        <v>4012</v>
      </c>
    </row>
    <row r="1978" spans="1:2" ht="15.75" x14ac:dyDescent="0.25">
      <c r="A1978" s="344">
        <v>43280</v>
      </c>
      <c r="B1978" s="345" t="s">
        <v>4013</v>
      </c>
    </row>
    <row r="1979" spans="1:2" ht="15.75" x14ac:dyDescent="0.25">
      <c r="A1979" s="344">
        <v>43285</v>
      </c>
      <c r="B1979" s="345" t="s">
        <v>4014</v>
      </c>
    </row>
    <row r="1980" spans="1:2" ht="15.75" x14ac:dyDescent="0.25">
      <c r="A1980" s="344">
        <v>43287</v>
      </c>
      <c r="B1980" s="345" t="s">
        <v>4015</v>
      </c>
    </row>
    <row r="1981" spans="1:2" ht="15.75" x14ac:dyDescent="0.25">
      <c r="A1981" s="344">
        <v>43290</v>
      </c>
      <c r="B1981" s="345" t="s">
        <v>4016</v>
      </c>
    </row>
    <row r="1982" spans="1:2" ht="15.75" x14ac:dyDescent="0.25">
      <c r="A1982" s="344">
        <v>43291</v>
      </c>
      <c r="B1982" s="345" t="s">
        <v>4017</v>
      </c>
    </row>
    <row r="1983" spans="1:2" ht="15.75" x14ac:dyDescent="0.25">
      <c r="A1983" s="344">
        <v>43292</v>
      </c>
      <c r="B1983" s="345" t="s">
        <v>4018</v>
      </c>
    </row>
    <row r="1984" spans="1:2" ht="15.75" x14ac:dyDescent="0.25">
      <c r="A1984" s="344">
        <v>43293</v>
      </c>
      <c r="B1984" s="345" t="s">
        <v>4019</v>
      </c>
    </row>
    <row r="1985" spans="1:2" ht="15.75" x14ac:dyDescent="0.25">
      <c r="A1985" s="344">
        <v>43294</v>
      </c>
      <c r="B1985" s="345" t="s">
        <v>4020</v>
      </c>
    </row>
    <row r="1986" spans="1:2" ht="15.75" x14ac:dyDescent="0.25">
      <c r="A1986" s="344">
        <v>43295</v>
      </c>
      <c r="B1986" s="345" t="s">
        <v>4021</v>
      </c>
    </row>
    <row r="1987" spans="1:2" ht="15.75" x14ac:dyDescent="0.25">
      <c r="A1987" s="344">
        <v>43296</v>
      </c>
      <c r="B1987" s="345" t="s">
        <v>4022</v>
      </c>
    </row>
    <row r="1988" spans="1:2" ht="15.75" x14ac:dyDescent="0.25">
      <c r="A1988" s="344">
        <v>43297</v>
      </c>
      <c r="B1988" s="345" t="s">
        <v>4023</v>
      </c>
    </row>
    <row r="1989" spans="1:2" ht="15.75" x14ac:dyDescent="0.25">
      <c r="A1989" s="344">
        <v>43600</v>
      </c>
      <c r="B1989" s="345" t="s">
        <v>4024</v>
      </c>
    </row>
    <row r="1990" spans="1:2" ht="15.75" x14ac:dyDescent="0.25">
      <c r="A1990" s="344">
        <v>43610</v>
      </c>
      <c r="B1990" s="345" t="s">
        <v>4025</v>
      </c>
    </row>
    <row r="1991" spans="1:2" ht="15.75" x14ac:dyDescent="0.25">
      <c r="A1991" s="344">
        <v>43611</v>
      </c>
      <c r="B1991" s="345" t="s">
        <v>4026</v>
      </c>
    </row>
    <row r="1992" spans="1:2" ht="15.75" x14ac:dyDescent="0.25">
      <c r="A1992" s="344">
        <v>43612</v>
      </c>
      <c r="B1992" s="345" t="s">
        <v>4027</v>
      </c>
    </row>
    <row r="1993" spans="1:2" ht="15.75" x14ac:dyDescent="0.25">
      <c r="A1993" s="344">
        <v>43613</v>
      </c>
      <c r="B1993" s="345" t="s">
        <v>4028</v>
      </c>
    </row>
    <row r="1994" spans="1:2" ht="15.75" x14ac:dyDescent="0.25">
      <c r="A1994" s="344">
        <v>43615</v>
      </c>
      <c r="B1994" s="345" t="s">
        <v>4029</v>
      </c>
    </row>
    <row r="1995" spans="1:2" ht="15.75" x14ac:dyDescent="0.25">
      <c r="A1995" s="344">
        <v>43620</v>
      </c>
      <c r="B1995" s="345" t="s">
        <v>4030</v>
      </c>
    </row>
    <row r="1996" spans="1:2" ht="15.75" x14ac:dyDescent="0.25">
      <c r="A1996" s="344">
        <v>43625</v>
      </c>
      <c r="B1996" s="345" t="s">
        <v>4031</v>
      </c>
    </row>
    <row r="1997" spans="1:2" ht="15.75" x14ac:dyDescent="0.25">
      <c r="A1997" s="344">
        <v>43626</v>
      </c>
      <c r="B1997" s="345" t="s">
        <v>3269</v>
      </c>
    </row>
    <row r="1998" spans="1:2" ht="15.75" x14ac:dyDescent="0.25">
      <c r="A1998" s="344">
        <v>43630</v>
      </c>
      <c r="B1998" s="345" t="s">
        <v>4032</v>
      </c>
    </row>
    <row r="1999" spans="1:2" ht="15.75" x14ac:dyDescent="0.25">
      <c r="A1999" s="344">
        <v>43635</v>
      </c>
      <c r="B1999" s="345" t="s">
        <v>4033</v>
      </c>
    </row>
    <row r="2000" spans="1:2" ht="15.75" x14ac:dyDescent="0.25">
      <c r="A2000" s="344">
        <v>43640</v>
      </c>
      <c r="B2000" s="345" t="s">
        <v>4034</v>
      </c>
    </row>
    <row r="2001" spans="1:2" ht="15.75" x14ac:dyDescent="0.25">
      <c r="A2001" s="344">
        <v>43650</v>
      </c>
      <c r="B2001" s="345" t="s">
        <v>4035</v>
      </c>
    </row>
    <row r="2002" spans="1:2" ht="15.75" x14ac:dyDescent="0.25">
      <c r="A2002" s="344">
        <v>43660</v>
      </c>
      <c r="B2002" s="345" t="s">
        <v>4036</v>
      </c>
    </row>
    <row r="2003" spans="1:2" ht="15.75" x14ac:dyDescent="0.25">
      <c r="A2003" s="344">
        <v>43670</v>
      </c>
      <c r="B2003" s="345" t="s">
        <v>4037</v>
      </c>
    </row>
    <row r="2004" spans="1:2" ht="15.75" x14ac:dyDescent="0.25">
      <c r="A2004" s="344">
        <v>43680</v>
      </c>
      <c r="B2004" s="345" t="s">
        <v>4038</v>
      </c>
    </row>
    <row r="2005" spans="1:2" ht="15.75" x14ac:dyDescent="0.25">
      <c r="A2005" s="344">
        <v>43690</v>
      </c>
      <c r="B2005" s="345" t="s">
        <v>4039</v>
      </c>
    </row>
    <row r="2006" spans="1:2" ht="15.75" x14ac:dyDescent="0.25">
      <c r="A2006" s="344">
        <v>43695</v>
      </c>
      <c r="B2006" s="345" t="s">
        <v>4040</v>
      </c>
    </row>
    <row r="2007" spans="1:2" ht="15.75" x14ac:dyDescent="0.25">
      <c r="A2007" s="344">
        <v>43700</v>
      </c>
      <c r="B2007" s="345" t="s">
        <v>4041</v>
      </c>
    </row>
    <row r="2008" spans="1:2" ht="15.75" x14ac:dyDescent="0.25">
      <c r="A2008" s="344">
        <v>43710</v>
      </c>
      <c r="B2008" s="345" t="s">
        <v>4042</v>
      </c>
    </row>
    <row r="2009" spans="1:2" ht="15.75" x14ac:dyDescent="0.25">
      <c r="A2009" s="344">
        <v>43720</v>
      </c>
      <c r="B2009" s="345" t="s">
        <v>4043</v>
      </c>
    </row>
    <row r="2010" spans="1:2" ht="15.75" x14ac:dyDescent="0.25">
      <c r="A2010" s="344">
        <v>43730</v>
      </c>
      <c r="B2010" s="345" t="s">
        <v>4044</v>
      </c>
    </row>
    <row r="2011" spans="1:2" ht="15.75" x14ac:dyDescent="0.25">
      <c r="A2011" s="344">
        <v>43740</v>
      </c>
      <c r="B2011" s="345" t="s">
        <v>4045</v>
      </c>
    </row>
    <row r="2012" spans="1:2" ht="15.75" x14ac:dyDescent="0.25">
      <c r="A2012" s="344">
        <v>43790</v>
      </c>
      <c r="B2012" s="345" t="s">
        <v>4046</v>
      </c>
    </row>
    <row r="2013" spans="1:2" ht="15.75" x14ac:dyDescent="0.25">
      <c r="A2013" s="344">
        <v>50000</v>
      </c>
      <c r="B2013" s="345" t="s">
        <v>4047</v>
      </c>
    </row>
    <row r="2014" spans="1:2" ht="15.75" x14ac:dyDescent="0.25">
      <c r="A2014" s="344">
        <v>50001</v>
      </c>
      <c r="B2014" s="345" t="s">
        <v>4048</v>
      </c>
    </row>
    <row r="2015" spans="1:2" ht="15.75" x14ac:dyDescent="0.25">
      <c r="A2015" s="344">
        <v>51005</v>
      </c>
      <c r="B2015" s="345" t="s">
        <v>4049</v>
      </c>
    </row>
    <row r="2016" spans="1:2" ht="15.75" x14ac:dyDescent="0.25">
      <c r="A2016" s="344">
        <v>51010</v>
      </c>
      <c r="B2016" s="345" t="s">
        <v>4050</v>
      </c>
    </row>
    <row r="2017" spans="1:2" ht="15.75" x14ac:dyDescent="0.25">
      <c r="A2017" s="344">
        <v>51015</v>
      </c>
      <c r="B2017" s="345" t="s">
        <v>4051</v>
      </c>
    </row>
    <row r="2018" spans="1:2" ht="15.75" x14ac:dyDescent="0.25">
      <c r="A2018" s="344">
        <v>51017</v>
      </c>
      <c r="B2018" s="345" t="s">
        <v>4052</v>
      </c>
    </row>
    <row r="2019" spans="1:2" ht="15.75" x14ac:dyDescent="0.25">
      <c r="A2019" s="344">
        <v>51018</v>
      </c>
      <c r="B2019" s="345" t="s">
        <v>4053</v>
      </c>
    </row>
    <row r="2020" spans="1:2" ht="15.75" x14ac:dyDescent="0.25">
      <c r="A2020" s="344">
        <v>51019</v>
      </c>
      <c r="B2020" s="345" t="s">
        <v>4054</v>
      </c>
    </row>
    <row r="2021" spans="1:2" ht="15.75" x14ac:dyDescent="0.25">
      <c r="A2021" s="344">
        <v>51020</v>
      </c>
      <c r="B2021" s="345" t="s">
        <v>4055</v>
      </c>
    </row>
    <row r="2022" spans="1:2" ht="15.75" x14ac:dyDescent="0.25">
      <c r="A2022" s="344">
        <v>51024</v>
      </c>
      <c r="B2022" s="345" t="s">
        <v>4056</v>
      </c>
    </row>
    <row r="2023" spans="1:2" ht="15.75" x14ac:dyDescent="0.25">
      <c r="A2023" s="344">
        <v>51025</v>
      </c>
      <c r="B2023" s="345" t="s">
        <v>4057</v>
      </c>
    </row>
    <row r="2024" spans="1:2" ht="15.75" x14ac:dyDescent="0.25">
      <c r="A2024" s="344">
        <v>51026</v>
      </c>
      <c r="B2024" s="345" t="s">
        <v>4058</v>
      </c>
    </row>
    <row r="2025" spans="1:2" ht="15.75" x14ac:dyDescent="0.25">
      <c r="A2025" s="344">
        <v>51030</v>
      </c>
      <c r="B2025" s="345" t="s">
        <v>1732</v>
      </c>
    </row>
    <row r="2026" spans="1:2" ht="15.75" x14ac:dyDescent="0.25">
      <c r="A2026" s="344">
        <v>51040</v>
      </c>
      <c r="B2026" s="345" t="s">
        <v>4059</v>
      </c>
    </row>
    <row r="2027" spans="1:2" ht="15.75" x14ac:dyDescent="0.25">
      <c r="A2027" s="344">
        <v>51045</v>
      </c>
      <c r="B2027" s="345" t="s">
        <v>4060</v>
      </c>
    </row>
    <row r="2028" spans="1:2" ht="15.75" x14ac:dyDescent="0.25">
      <c r="A2028" s="344">
        <v>51050</v>
      </c>
      <c r="B2028" s="345" t="s">
        <v>4061</v>
      </c>
    </row>
    <row r="2029" spans="1:2" ht="15.75" x14ac:dyDescent="0.25">
      <c r="A2029" s="344">
        <v>51055</v>
      </c>
      <c r="B2029" s="345" t="s">
        <v>4062</v>
      </c>
    </row>
    <row r="2030" spans="1:2" ht="15.75" x14ac:dyDescent="0.25">
      <c r="A2030" s="344">
        <v>51060</v>
      </c>
      <c r="B2030" s="345" t="s">
        <v>4063</v>
      </c>
    </row>
    <row r="2031" spans="1:2" ht="15.75" x14ac:dyDescent="0.25">
      <c r="A2031" s="344">
        <v>51063</v>
      </c>
      <c r="B2031" s="345" t="s">
        <v>4064</v>
      </c>
    </row>
    <row r="2032" spans="1:2" ht="15.75" x14ac:dyDescent="0.25">
      <c r="A2032" s="344">
        <v>51065</v>
      </c>
      <c r="B2032" s="345" t="s">
        <v>4065</v>
      </c>
    </row>
    <row r="2033" spans="1:2" ht="15.75" x14ac:dyDescent="0.25">
      <c r="A2033" s="344">
        <v>51067</v>
      </c>
      <c r="B2033" s="345" t="s">
        <v>4066</v>
      </c>
    </row>
    <row r="2034" spans="1:2" ht="15.75" x14ac:dyDescent="0.25">
      <c r="A2034" s="344">
        <v>51070</v>
      </c>
      <c r="B2034" s="345" t="s">
        <v>4067</v>
      </c>
    </row>
    <row r="2035" spans="1:2" ht="15.75" x14ac:dyDescent="0.25">
      <c r="A2035" s="344">
        <v>51090</v>
      </c>
      <c r="B2035" s="345" t="s">
        <v>4068</v>
      </c>
    </row>
    <row r="2036" spans="1:2" ht="15.75" x14ac:dyDescent="0.25">
      <c r="A2036" s="344">
        <v>51100</v>
      </c>
      <c r="B2036" s="345" t="s">
        <v>4069</v>
      </c>
    </row>
    <row r="2037" spans="1:2" ht="15.75" x14ac:dyDescent="0.25">
      <c r="A2037" s="344">
        <v>51110</v>
      </c>
      <c r="B2037" s="345" t="s">
        <v>4070</v>
      </c>
    </row>
    <row r="2038" spans="1:2" ht="15.75" x14ac:dyDescent="0.25">
      <c r="A2038" s="344">
        <v>51115</v>
      </c>
      <c r="B2038" s="345" t="s">
        <v>4071</v>
      </c>
    </row>
    <row r="2039" spans="1:2" ht="15.75" x14ac:dyDescent="0.25">
      <c r="A2039" s="344">
        <v>51120</v>
      </c>
      <c r="B2039" s="345" t="s">
        <v>4072</v>
      </c>
    </row>
    <row r="2040" spans="1:2" ht="15.75" x14ac:dyDescent="0.25">
      <c r="A2040" s="344">
        <v>51121</v>
      </c>
      <c r="B2040" s="345" t="s">
        <v>4073</v>
      </c>
    </row>
    <row r="2041" spans="1:2" ht="15.75" x14ac:dyDescent="0.25">
      <c r="A2041" s="344">
        <v>51122</v>
      </c>
      <c r="B2041" s="345" t="s">
        <v>4074</v>
      </c>
    </row>
    <row r="2042" spans="1:2" ht="15.75" x14ac:dyDescent="0.25">
      <c r="A2042" s="344">
        <v>51123</v>
      </c>
      <c r="B2042" s="345" t="s">
        <v>4075</v>
      </c>
    </row>
    <row r="2043" spans="1:2" ht="15.75" x14ac:dyDescent="0.25">
      <c r="A2043" s="344">
        <v>51124</v>
      </c>
      <c r="B2043" s="345" t="s">
        <v>4076</v>
      </c>
    </row>
    <row r="2044" spans="1:2" ht="15.75" x14ac:dyDescent="0.25">
      <c r="A2044" s="344">
        <v>51125</v>
      </c>
      <c r="B2044" s="345" t="s">
        <v>4077</v>
      </c>
    </row>
    <row r="2045" spans="1:2" ht="15.75" x14ac:dyDescent="0.25">
      <c r="A2045" s="344">
        <v>51126</v>
      </c>
      <c r="B2045" s="345" t="s">
        <v>4078</v>
      </c>
    </row>
    <row r="2046" spans="1:2" ht="15.75" x14ac:dyDescent="0.25">
      <c r="A2046" s="344">
        <v>51127</v>
      </c>
      <c r="B2046" s="345" t="s">
        <v>4079</v>
      </c>
    </row>
    <row r="2047" spans="1:2" ht="15.75" x14ac:dyDescent="0.25">
      <c r="A2047" s="344">
        <v>51140</v>
      </c>
      <c r="B2047" s="345" t="s">
        <v>4080</v>
      </c>
    </row>
    <row r="2048" spans="1:2" ht="15.75" x14ac:dyDescent="0.25">
      <c r="A2048" s="344">
        <v>51150</v>
      </c>
      <c r="B2048" s="345" t="s">
        <v>4081</v>
      </c>
    </row>
    <row r="2049" spans="1:2" ht="15.75" x14ac:dyDescent="0.25">
      <c r="A2049" s="344">
        <v>51160</v>
      </c>
      <c r="B2049" s="345" t="s">
        <v>4082</v>
      </c>
    </row>
    <row r="2050" spans="1:2" ht="15.75" x14ac:dyDescent="0.25">
      <c r="A2050" s="344">
        <v>51163</v>
      </c>
      <c r="B2050" s="345" t="s">
        <v>4083</v>
      </c>
    </row>
    <row r="2051" spans="1:2" ht="15.75" x14ac:dyDescent="0.25">
      <c r="A2051" s="344">
        <v>51165</v>
      </c>
      <c r="B2051" s="345" t="s">
        <v>4084</v>
      </c>
    </row>
    <row r="2052" spans="1:2" ht="15.75" x14ac:dyDescent="0.25">
      <c r="A2052" s="344">
        <v>51170</v>
      </c>
      <c r="B2052" s="345" t="s">
        <v>4085</v>
      </c>
    </row>
    <row r="2053" spans="1:2" ht="15.75" x14ac:dyDescent="0.25">
      <c r="A2053" s="344">
        <v>52000</v>
      </c>
      <c r="B2053" s="345" t="s">
        <v>4086</v>
      </c>
    </row>
    <row r="2054" spans="1:2" ht="15.75" x14ac:dyDescent="0.25">
      <c r="A2054" s="344">
        <v>52001</v>
      </c>
      <c r="B2054" s="345" t="s">
        <v>4087</v>
      </c>
    </row>
    <row r="2055" spans="1:2" ht="15.75" x14ac:dyDescent="0.25">
      <c r="A2055" s="344">
        <v>52010</v>
      </c>
      <c r="B2055" s="345" t="s">
        <v>4088</v>
      </c>
    </row>
    <row r="2056" spans="1:2" ht="15.75" x14ac:dyDescent="0.25">
      <c r="A2056" s="344">
        <v>52015</v>
      </c>
      <c r="B2056" s="345" t="s">
        <v>4089</v>
      </c>
    </row>
    <row r="2057" spans="1:2" ht="15.75" x14ac:dyDescent="0.25">
      <c r="A2057" s="344">
        <v>52020</v>
      </c>
      <c r="B2057" s="345" t="s">
        <v>4090</v>
      </c>
    </row>
    <row r="2058" spans="1:2" ht="15.75" x14ac:dyDescent="0.25">
      <c r="A2058" s="344">
        <v>52025</v>
      </c>
      <c r="B2058" s="345" t="s">
        <v>4091</v>
      </c>
    </row>
    <row r="2059" spans="1:2" ht="15.75" x14ac:dyDescent="0.25">
      <c r="A2059" s="344">
        <v>52030</v>
      </c>
      <c r="B2059" s="345" t="s">
        <v>4092</v>
      </c>
    </row>
    <row r="2060" spans="1:2" ht="15.75" x14ac:dyDescent="0.25">
      <c r="A2060" s="344">
        <v>52040</v>
      </c>
      <c r="B2060" s="345" t="s">
        <v>2394</v>
      </c>
    </row>
    <row r="2061" spans="1:2" ht="15.75" x14ac:dyDescent="0.25">
      <c r="A2061" s="344">
        <v>52050</v>
      </c>
      <c r="B2061" s="345" t="s">
        <v>2395</v>
      </c>
    </row>
    <row r="2062" spans="1:2" ht="15.75" x14ac:dyDescent="0.25">
      <c r="A2062" s="344">
        <v>52051</v>
      </c>
      <c r="B2062" s="345" t="s">
        <v>4093</v>
      </c>
    </row>
    <row r="2063" spans="1:2" ht="15.75" x14ac:dyDescent="0.25">
      <c r="A2063" s="344">
        <v>52055</v>
      </c>
      <c r="B2063" s="345" t="s">
        <v>4094</v>
      </c>
    </row>
    <row r="2064" spans="1:2" ht="15.75" x14ac:dyDescent="0.25">
      <c r="A2064" s="344">
        <v>52057</v>
      </c>
      <c r="B2064" s="345" t="s">
        <v>4095</v>
      </c>
    </row>
    <row r="2065" spans="1:2" ht="15.75" x14ac:dyDescent="0.25">
      <c r="A2065" s="344">
        <v>52060</v>
      </c>
      <c r="B2065" s="345" t="s">
        <v>4096</v>
      </c>
    </row>
    <row r="2066" spans="1:2" ht="15.75" x14ac:dyDescent="0.25">
      <c r="A2066" s="344">
        <v>52061</v>
      </c>
      <c r="B2066" s="345" t="s">
        <v>4097</v>
      </c>
    </row>
    <row r="2067" spans="1:2" ht="15.75" x14ac:dyDescent="0.25">
      <c r="A2067" s="344">
        <v>52063</v>
      </c>
      <c r="B2067" s="345" t="s">
        <v>4098</v>
      </c>
    </row>
    <row r="2068" spans="1:2" ht="15.75" x14ac:dyDescent="0.25">
      <c r="A2068" s="344">
        <v>52065</v>
      </c>
      <c r="B2068" s="345" t="s">
        <v>4099</v>
      </c>
    </row>
    <row r="2069" spans="1:2" ht="15.75" x14ac:dyDescent="0.25">
      <c r="A2069" s="344">
        <v>52070</v>
      </c>
      <c r="B2069" s="345" t="s">
        <v>4100</v>
      </c>
    </row>
    <row r="2070" spans="1:2" ht="15.75" x14ac:dyDescent="0.25">
      <c r="A2070" s="344">
        <v>52080</v>
      </c>
      <c r="B2070" s="345" t="s">
        <v>4101</v>
      </c>
    </row>
    <row r="2071" spans="1:2" ht="15.75" x14ac:dyDescent="0.25">
      <c r="A2071" s="344">
        <v>52081</v>
      </c>
      <c r="B2071" s="345" t="s">
        <v>4102</v>
      </c>
    </row>
    <row r="2072" spans="1:2" ht="15.75" x14ac:dyDescent="0.25">
      <c r="A2072" s="344">
        <v>52082</v>
      </c>
      <c r="B2072" s="345" t="s">
        <v>4103</v>
      </c>
    </row>
    <row r="2073" spans="1:2" ht="15.75" x14ac:dyDescent="0.25">
      <c r="A2073" s="344">
        <v>52083</v>
      </c>
      <c r="B2073" s="345" t="s">
        <v>4104</v>
      </c>
    </row>
    <row r="2074" spans="1:2" ht="15.75" x14ac:dyDescent="0.25">
      <c r="A2074" s="344">
        <v>52084</v>
      </c>
      <c r="B2074" s="345" t="s">
        <v>4105</v>
      </c>
    </row>
    <row r="2075" spans="1:2" ht="15.75" x14ac:dyDescent="0.25">
      <c r="A2075" s="344">
        <v>52086</v>
      </c>
      <c r="B2075" s="345" t="s">
        <v>4106</v>
      </c>
    </row>
    <row r="2076" spans="1:2" ht="15.75" x14ac:dyDescent="0.25">
      <c r="A2076" s="344">
        <v>52087</v>
      </c>
      <c r="B2076" s="345" t="s">
        <v>4107</v>
      </c>
    </row>
    <row r="2077" spans="1:2" ht="15.75" x14ac:dyDescent="0.25">
      <c r="A2077" s="344">
        <v>52088</v>
      </c>
      <c r="B2077" s="345" t="s">
        <v>4108</v>
      </c>
    </row>
    <row r="2078" spans="1:2" ht="15.75" x14ac:dyDescent="0.25">
      <c r="A2078" s="344">
        <v>52090</v>
      </c>
      <c r="B2078" s="345" t="s">
        <v>4109</v>
      </c>
    </row>
    <row r="2079" spans="1:2" ht="15.75" x14ac:dyDescent="0.25">
      <c r="A2079" s="344">
        <v>52095</v>
      </c>
      <c r="B2079" s="345" t="s">
        <v>4110</v>
      </c>
    </row>
    <row r="2080" spans="1:2" ht="15.75" x14ac:dyDescent="0.25">
      <c r="A2080" s="344">
        <v>52100</v>
      </c>
      <c r="B2080" s="345" t="s">
        <v>1726</v>
      </c>
    </row>
    <row r="2081" spans="1:2" ht="15.75" x14ac:dyDescent="0.25">
      <c r="A2081" s="344">
        <v>52101</v>
      </c>
      <c r="B2081" s="345" t="s">
        <v>4111</v>
      </c>
    </row>
    <row r="2082" spans="1:2" ht="15.75" x14ac:dyDescent="0.25">
      <c r="A2082" s="344">
        <v>52105</v>
      </c>
      <c r="B2082" s="345" t="s">
        <v>4112</v>
      </c>
    </row>
    <row r="2083" spans="1:2" ht="15.75" x14ac:dyDescent="0.25">
      <c r="A2083" s="344">
        <v>52110</v>
      </c>
      <c r="B2083" s="345" t="s">
        <v>4113</v>
      </c>
    </row>
    <row r="2084" spans="1:2" ht="15.75" x14ac:dyDescent="0.25">
      <c r="A2084" s="344">
        <v>52112</v>
      </c>
      <c r="B2084" s="345" t="s">
        <v>4114</v>
      </c>
    </row>
    <row r="2085" spans="1:2" ht="15.75" x14ac:dyDescent="0.25">
      <c r="A2085" s="344">
        <v>52115</v>
      </c>
      <c r="B2085" s="345" t="s">
        <v>4115</v>
      </c>
    </row>
    <row r="2086" spans="1:2" ht="15.75" x14ac:dyDescent="0.25">
      <c r="A2086" s="344">
        <v>52120</v>
      </c>
      <c r="B2086" s="345" t="s">
        <v>4116</v>
      </c>
    </row>
    <row r="2087" spans="1:2" ht="15.75" x14ac:dyDescent="0.25">
      <c r="A2087" s="344">
        <v>52125</v>
      </c>
      <c r="B2087" s="345" t="s">
        <v>4117</v>
      </c>
    </row>
    <row r="2088" spans="1:2" ht="15.75" x14ac:dyDescent="0.25">
      <c r="A2088" s="344">
        <v>52130</v>
      </c>
      <c r="B2088" s="345" t="s">
        <v>4118</v>
      </c>
    </row>
    <row r="2089" spans="1:2" ht="15.75" x14ac:dyDescent="0.25">
      <c r="A2089" s="344">
        <v>52140</v>
      </c>
      <c r="B2089" s="345" t="s">
        <v>4119</v>
      </c>
    </row>
    <row r="2090" spans="1:2" ht="15.75" x14ac:dyDescent="0.25">
      <c r="A2090" s="344">
        <v>52150</v>
      </c>
      <c r="B2090" s="345" t="s">
        <v>1697</v>
      </c>
    </row>
    <row r="2091" spans="1:2" ht="15.75" x14ac:dyDescent="0.25">
      <c r="A2091" s="344">
        <v>52151</v>
      </c>
      <c r="B2091" s="345" t="s">
        <v>4120</v>
      </c>
    </row>
    <row r="2092" spans="1:2" ht="15.75" x14ac:dyDescent="0.25">
      <c r="A2092" s="344">
        <v>52155</v>
      </c>
      <c r="B2092" s="345" t="s">
        <v>4121</v>
      </c>
    </row>
    <row r="2093" spans="1:2" ht="15.75" x14ac:dyDescent="0.25">
      <c r="A2093" s="344">
        <v>52180</v>
      </c>
      <c r="B2093" s="345" t="s">
        <v>4122</v>
      </c>
    </row>
    <row r="2094" spans="1:2" ht="15.75" x14ac:dyDescent="0.25">
      <c r="A2094" s="344">
        <v>52190</v>
      </c>
      <c r="B2094" s="345" t="s">
        <v>4123</v>
      </c>
    </row>
    <row r="2095" spans="1:2" ht="15.75" x14ac:dyDescent="0.25">
      <c r="A2095" s="344">
        <v>52195</v>
      </c>
      <c r="B2095" s="345" t="s">
        <v>4124</v>
      </c>
    </row>
    <row r="2096" spans="1:2" ht="15.75" x14ac:dyDescent="0.25">
      <c r="A2096" s="344">
        <v>52196</v>
      </c>
      <c r="B2096" s="345" t="s">
        <v>4125</v>
      </c>
    </row>
    <row r="2097" spans="1:2" ht="15.75" x14ac:dyDescent="0.25">
      <c r="A2097" s="344">
        <v>52197</v>
      </c>
      <c r="B2097" s="345" t="s">
        <v>4126</v>
      </c>
    </row>
    <row r="2098" spans="1:2" ht="15.75" x14ac:dyDescent="0.25">
      <c r="A2098" s="344">
        <v>52198</v>
      </c>
      <c r="B2098" s="345" t="s">
        <v>4127</v>
      </c>
    </row>
    <row r="2099" spans="1:2" ht="15.75" x14ac:dyDescent="0.25">
      <c r="A2099" s="344">
        <v>52199</v>
      </c>
      <c r="B2099" s="345" t="s">
        <v>4128</v>
      </c>
    </row>
    <row r="2100" spans="1:2" ht="15.75" x14ac:dyDescent="0.25">
      <c r="A2100" s="344">
        <v>52200</v>
      </c>
      <c r="B2100" s="345" t="s">
        <v>4129</v>
      </c>
    </row>
    <row r="2101" spans="1:2" ht="15.75" x14ac:dyDescent="0.25">
      <c r="A2101" s="344">
        <v>52201</v>
      </c>
      <c r="B2101" s="345" t="s">
        <v>4130</v>
      </c>
    </row>
    <row r="2102" spans="1:2" ht="15.75" x14ac:dyDescent="0.25">
      <c r="A2102" s="344">
        <v>52205</v>
      </c>
      <c r="B2102" s="345" t="s">
        <v>4131</v>
      </c>
    </row>
    <row r="2103" spans="1:2" ht="15.75" x14ac:dyDescent="0.25">
      <c r="A2103" s="344">
        <v>52206</v>
      </c>
      <c r="B2103" s="345" t="s">
        <v>4132</v>
      </c>
    </row>
    <row r="2104" spans="1:2" ht="15.75" x14ac:dyDescent="0.25">
      <c r="A2104" s="344">
        <v>52207</v>
      </c>
      <c r="B2104" s="345" t="s">
        <v>4133</v>
      </c>
    </row>
    <row r="2105" spans="1:2" ht="15.75" x14ac:dyDescent="0.25">
      <c r="A2105" s="344">
        <v>52210</v>
      </c>
      <c r="B2105" s="345" t="s">
        <v>4134</v>
      </c>
    </row>
    <row r="2106" spans="1:2" ht="15.75" x14ac:dyDescent="0.25">
      <c r="A2106" s="344">
        <v>52211</v>
      </c>
      <c r="B2106" s="345" t="s">
        <v>4135</v>
      </c>
    </row>
    <row r="2107" spans="1:2" ht="15.75" x14ac:dyDescent="0.25">
      <c r="A2107" s="344">
        <v>52215</v>
      </c>
      <c r="B2107" s="345" t="s">
        <v>4136</v>
      </c>
    </row>
    <row r="2108" spans="1:2" ht="15.75" x14ac:dyDescent="0.25">
      <c r="A2108" s="344">
        <v>52220</v>
      </c>
      <c r="B2108" s="345" t="s">
        <v>4137</v>
      </c>
    </row>
    <row r="2109" spans="1:2" ht="15.75" x14ac:dyDescent="0.25">
      <c r="A2109" s="344">
        <v>52230</v>
      </c>
      <c r="B2109" s="345" t="s">
        <v>4138</v>
      </c>
    </row>
    <row r="2110" spans="1:2" ht="15.75" x14ac:dyDescent="0.25">
      <c r="A2110" s="344">
        <v>52231</v>
      </c>
      <c r="B2110" s="345" t="s">
        <v>4139</v>
      </c>
    </row>
    <row r="2111" spans="1:2" ht="15.75" x14ac:dyDescent="0.25">
      <c r="A2111" s="344">
        <v>52240</v>
      </c>
      <c r="B2111" s="345" t="s">
        <v>4140</v>
      </c>
    </row>
    <row r="2112" spans="1:2" ht="15.75" x14ac:dyDescent="0.25">
      <c r="A2112" s="344">
        <v>52241</v>
      </c>
      <c r="B2112" s="345" t="s">
        <v>4141</v>
      </c>
    </row>
    <row r="2113" spans="1:2" ht="15.75" x14ac:dyDescent="0.25">
      <c r="A2113" s="344">
        <v>52242</v>
      </c>
      <c r="B2113" s="345" t="s">
        <v>4142</v>
      </c>
    </row>
    <row r="2114" spans="1:2" ht="15.75" x14ac:dyDescent="0.25">
      <c r="A2114" s="344">
        <v>52245</v>
      </c>
      <c r="B2114" s="345" t="s">
        <v>4143</v>
      </c>
    </row>
    <row r="2115" spans="1:2" ht="15.75" x14ac:dyDescent="0.25">
      <c r="A2115" s="344">
        <v>52247</v>
      </c>
      <c r="B2115" s="345" t="s">
        <v>4144</v>
      </c>
    </row>
    <row r="2116" spans="1:2" ht="15.75" x14ac:dyDescent="0.25">
      <c r="A2116" s="344">
        <v>52250</v>
      </c>
      <c r="B2116" s="345" t="s">
        <v>4145</v>
      </c>
    </row>
    <row r="2117" spans="1:2" ht="15.75" x14ac:dyDescent="0.25">
      <c r="A2117" s="344">
        <v>52260</v>
      </c>
      <c r="B2117" s="345" t="s">
        <v>4146</v>
      </c>
    </row>
    <row r="2118" spans="1:2" ht="15.75" x14ac:dyDescent="0.25">
      <c r="A2118" s="344">
        <v>52265</v>
      </c>
      <c r="B2118" s="345" t="s">
        <v>4147</v>
      </c>
    </row>
    <row r="2119" spans="1:2" ht="15.75" x14ac:dyDescent="0.25">
      <c r="A2119" s="344">
        <v>52300</v>
      </c>
      <c r="B2119" s="345" t="s">
        <v>4148</v>
      </c>
    </row>
    <row r="2120" spans="1:2" ht="15.75" x14ac:dyDescent="0.25">
      <c r="A2120" s="344">
        <v>52310</v>
      </c>
      <c r="B2120" s="345" t="s">
        <v>4149</v>
      </c>
    </row>
    <row r="2121" spans="1:2" ht="15.75" x14ac:dyDescent="0.25">
      <c r="A2121" s="344">
        <v>52320</v>
      </c>
      <c r="B2121" s="345" t="s">
        <v>4150</v>
      </c>
    </row>
    <row r="2122" spans="1:2" ht="15.75" x14ac:dyDescent="0.25">
      <c r="A2122" s="344">
        <v>52321</v>
      </c>
      <c r="B2122" s="345" t="s">
        <v>4151</v>
      </c>
    </row>
    <row r="2123" spans="1:2" ht="15.75" x14ac:dyDescent="0.25">
      <c r="A2123" s="344">
        <v>52322</v>
      </c>
      <c r="B2123" s="345" t="s">
        <v>4152</v>
      </c>
    </row>
    <row r="2124" spans="1:2" ht="15.75" x14ac:dyDescent="0.25">
      <c r="A2124" s="344">
        <v>52323</v>
      </c>
      <c r="B2124" s="345" t="s">
        <v>4153</v>
      </c>
    </row>
    <row r="2125" spans="1:2" ht="15.75" x14ac:dyDescent="0.25">
      <c r="A2125" s="344">
        <v>52324</v>
      </c>
      <c r="B2125" s="345" t="s">
        <v>4154</v>
      </c>
    </row>
    <row r="2126" spans="1:2" ht="15.75" x14ac:dyDescent="0.25">
      <c r="A2126" s="344">
        <v>52325</v>
      </c>
      <c r="B2126" s="345" t="s">
        <v>4155</v>
      </c>
    </row>
    <row r="2127" spans="1:2" ht="15.75" x14ac:dyDescent="0.25">
      <c r="A2127" s="344">
        <v>52326</v>
      </c>
      <c r="B2127" s="345" t="s">
        <v>4156</v>
      </c>
    </row>
    <row r="2128" spans="1:2" ht="15.75" x14ac:dyDescent="0.25">
      <c r="A2128" s="344">
        <v>52330</v>
      </c>
      <c r="B2128" s="345" t="s">
        <v>4157</v>
      </c>
    </row>
    <row r="2129" spans="1:2" ht="15.75" x14ac:dyDescent="0.25">
      <c r="A2129" s="344">
        <v>52332</v>
      </c>
      <c r="B2129" s="345" t="s">
        <v>4158</v>
      </c>
    </row>
    <row r="2130" spans="1:2" ht="15.75" x14ac:dyDescent="0.25">
      <c r="A2130" s="344">
        <v>52335</v>
      </c>
      <c r="B2130" s="345" t="s">
        <v>4159</v>
      </c>
    </row>
    <row r="2131" spans="1:2" ht="15.75" x14ac:dyDescent="0.25">
      <c r="A2131" s="344">
        <v>52340</v>
      </c>
      <c r="B2131" s="345" t="s">
        <v>4160</v>
      </c>
    </row>
    <row r="2132" spans="1:2" ht="15.75" x14ac:dyDescent="0.25">
      <c r="A2132" s="344">
        <v>52345</v>
      </c>
      <c r="B2132" s="345" t="s">
        <v>4161</v>
      </c>
    </row>
    <row r="2133" spans="1:2" ht="15.75" x14ac:dyDescent="0.25">
      <c r="A2133" s="344">
        <v>52355</v>
      </c>
      <c r="B2133" s="345" t="s">
        <v>4162</v>
      </c>
    </row>
    <row r="2134" spans="1:2" ht="15.75" x14ac:dyDescent="0.25">
      <c r="A2134" s="344">
        <v>52360</v>
      </c>
      <c r="B2134" s="345" t="s">
        <v>4163</v>
      </c>
    </row>
    <row r="2135" spans="1:2" ht="15.75" x14ac:dyDescent="0.25">
      <c r="A2135" s="344">
        <v>52365</v>
      </c>
      <c r="B2135" s="345" t="s">
        <v>4164</v>
      </c>
    </row>
    <row r="2136" spans="1:2" ht="15.75" x14ac:dyDescent="0.25">
      <c r="A2136" s="344">
        <v>52370</v>
      </c>
      <c r="B2136" s="345" t="s">
        <v>4165</v>
      </c>
    </row>
    <row r="2137" spans="1:2" ht="15.75" x14ac:dyDescent="0.25">
      <c r="A2137" s="344">
        <v>52375</v>
      </c>
      <c r="B2137" s="345" t="s">
        <v>4166</v>
      </c>
    </row>
    <row r="2138" spans="1:2" ht="15.75" x14ac:dyDescent="0.25">
      <c r="A2138" s="344">
        <v>52380</v>
      </c>
      <c r="B2138" s="345" t="s">
        <v>4167</v>
      </c>
    </row>
    <row r="2139" spans="1:2" ht="15.75" x14ac:dyDescent="0.25">
      <c r="A2139" s="344">
        <v>52385</v>
      </c>
      <c r="B2139" s="345" t="s">
        <v>4168</v>
      </c>
    </row>
    <row r="2140" spans="1:2" ht="15.75" x14ac:dyDescent="0.25">
      <c r="A2140" s="344">
        <v>52390</v>
      </c>
      <c r="B2140" s="345" t="s">
        <v>4169</v>
      </c>
    </row>
    <row r="2141" spans="1:2" ht="15.75" x14ac:dyDescent="0.25">
      <c r="A2141" s="344">
        <v>52400</v>
      </c>
      <c r="B2141" s="345" t="s">
        <v>4170</v>
      </c>
    </row>
    <row r="2142" spans="1:2" ht="15.75" x14ac:dyDescent="0.25">
      <c r="A2142" s="344">
        <v>52405</v>
      </c>
      <c r="B2142" s="345" t="s">
        <v>4171</v>
      </c>
    </row>
    <row r="2143" spans="1:2" ht="15.75" x14ac:dyDescent="0.25">
      <c r="A2143" s="344">
        <v>52410</v>
      </c>
      <c r="B2143" s="345" t="s">
        <v>4172</v>
      </c>
    </row>
    <row r="2144" spans="1:2" ht="15.75" x14ac:dyDescent="0.25">
      <c r="A2144" s="344">
        <v>52415</v>
      </c>
      <c r="B2144" s="345" t="s">
        <v>4173</v>
      </c>
    </row>
    <row r="2145" spans="1:2" ht="15.75" x14ac:dyDescent="0.25">
      <c r="A2145" s="344">
        <v>52420</v>
      </c>
      <c r="B2145" s="345" t="s">
        <v>4174</v>
      </c>
    </row>
    <row r="2146" spans="1:2" ht="15.75" x14ac:dyDescent="0.25">
      <c r="A2146" s="344">
        <v>52425</v>
      </c>
      <c r="B2146" s="345" t="s">
        <v>4175</v>
      </c>
    </row>
    <row r="2147" spans="1:2" ht="15.75" x14ac:dyDescent="0.25">
      <c r="A2147" s="344">
        <v>52430</v>
      </c>
      <c r="B2147" s="345" t="s">
        <v>4176</v>
      </c>
    </row>
    <row r="2148" spans="1:2" ht="15.75" x14ac:dyDescent="0.25">
      <c r="A2148" s="344">
        <v>52435</v>
      </c>
      <c r="B2148" s="345" t="s">
        <v>4177</v>
      </c>
    </row>
    <row r="2149" spans="1:2" ht="15.75" x14ac:dyDescent="0.25">
      <c r="A2149" s="344">
        <v>52440</v>
      </c>
      <c r="B2149" s="345" t="s">
        <v>4178</v>
      </c>
    </row>
    <row r="2150" spans="1:2" ht="15.75" x14ac:dyDescent="0.25">
      <c r="A2150" s="344">
        <v>52445</v>
      </c>
      <c r="B2150" s="345" t="s">
        <v>4179</v>
      </c>
    </row>
    <row r="2151" spans="1:2" ht="15.75" x14ac:dyDescent="0.25">
      <c r="A2151" s="344">
        <v>52450</v>
      </c>
      <c r="B2151" s="345" t="s">
        <v>4180</v>
      </c>
    </row>
    <row r="2152" spans="1:2" ht="15.75" x14ac:dyDescent="0.25">
      <c r="A2152" s="344">
        <v>52455</v>
      </c>
      <c r="B2152" s="345" t="s">
        <v>4181</v>
      </c>
    </row>
    <row r="2153" spans="1:2" ht="15.75" x14ac:dyDescent="0.25">
      <c r="A2153" s="344">
        <v>52460</v>
      </c>
      <c r="B2153" s="345" t="s">
        <v>4182</v>
      </c>
    </row>
    <row r="2154" spans="1:2" ht="15.75" x14ac:dyDescent="0.25">
      <c r="A2154" s="344">
        <v>52465</v>
      </c>
      <c r="B2154" s="345" t="s">
        <v>4183</v>
      </c>
    </row>
    <row r="2155" spans="1:2" ht="15.75" x14ac:dyDescent="0.25">
      <c r="A2155" s="344">
        <v>52470</v>
      </c>
      <c r="B2155" s="345" t="s">
        <v>4184</v>
      </c>
    </row>
    <row r="2156" spans="1:2" ht="15.75" x14ac:dyDescent="0.25">
      <c r="A2156" s="344">
        <v>52475</v>
      </c>
      <c r="B2156" s="345" t="s">
        <v>4185</v>
      </c>
    </row>
    <row r="2157" spans="1:2" ht="15.75" x14ac:dyDescent="0.25">
      <c r="A2157" s="344">
        <v>52478</v>
      </c>
      <c r="B2157" s="345" t="s">
        <v>4186</v>
      </c>
    </row>
    <row r="2158" spans="1:2" ht="15.75" x14ac:dyDescent="0.25">
      <c r="A2158" s="344">
        <v>52480</v>
      </c>
      <c r="B2158" s="345" t="s">
        <v>4187</v>
      </c>
    </row>
    <row r="2159" spans="1:2" ht="15.75" x14ac:dyDescent="0.25">
      <c r="A2159" s="344">
        <v>52490</v>
      </c>
      <c r="B2159" s="345" t="s">
        <v>4188</v>
      </c>
    </row>
    <row r="2160" spans="1:2" ht="15.75" x14ac:dyDescent="0.25">
      <c r="A2160" s="344">
        <v>52600</v>
      </c>
      <c r="B2160" s="345" t="s">
        <v>4189</v>
      </c>
    </row>
    <row r="2161" spans="1:2" ht="15.75" x14ac:dyDescent="0.25">
      <c r="A2161" s="344">
        <v>52601</v>
      </c>
      <c r="B2161" s="345" t="s">
        <v>4190</v>
      </c>
    </row>
    <row r="2162" spans="1:2" ht="15.75" x14ac:dyDescent="0.25">
      <c r="A2162" s="344">
        <v>52602</v>
      </c>
      <c r="B2162" s="345" t="s">
        <v>4191</v>
      </c>
    </row>
    <row r="2163" spans="1:2" ht="15.75" x14ac:dyDescent="0.25">
      <c r="A2163" s="344">
        <v>52603</v>
      </c>
      <c r="B2163" s="345" t="s">
        <v>4192</v>
      </c>
    </row>
    <row r="2164" spans="1:2" ht="15.75" x14ac:dyDescent="0.25">
      <c r="A2164" s="344">
        <v>52604</v>
      </c>
      <c r="B2164" s="345" t="s">
        <v>4193</v>
      </c>
    </row>
    <row r="2165" spans="1:2" ht="15.75" x14ac:dyDescent="0.25">
      <c r="A2165" s="344">
        <v>52605</v>
      </c>
      <c r="B2165" s="345" t="s">
        <v>4194</v>
      </c>
    </row>
    <row r="2166" spans="1:2" ht="15.75" x14ac:dyDescent="0.25">
      <c r="A2166" s="344">
        <v>52608</v>
      </c>
      <c r="B2166" s="345" t="s">
        <v>4195</v>
      </c>
    </row>
    <row r="2167" spans="1:2" ht="15.75" x14ac:dyDescent="0.25">
      <c r="A2167" s="344">
        <v>52610</v>
      </c>
      <c r="B2167" s="345" t="s">
        <v>4196</v>
      </c>
    </row>
    <row r="2168" spans="1:2" ht="15.75" x14ac:dyDescent="0.25">
      <c r="A2168" s="344">
        <v>52620</v>
      </c>
      <c r="B2168" s="345" t="s">
        <v>1730</v>
      </c>
    </row>
    <row r="2169" spans="1:2" ht="15.75" x14ac:dyDescent="0.25">
      <c r="A2169" s="344">
        <v>52621</v>
      </c>
      <c r="B2169" s="345" t="s">
        <v>4197</v>
      </c>
    </row>
    <row r="2170" spans="1:2" ht="15.75" x14ac:dyDescent="0.25">
      <c r="A2170" s="344">
        <v>52630</v>
      </c>
      <c r="B2170" s="345" t="s">
        <v>4198</v>
      </c>
    </row>
    <row r="2171" spans="1:2" ht="15.75" x14ac:dyDescent="0.25">
      <c r="A2171" s="344">
        <v>52640</v>
      </c>
      <c r="B2171" s="345" t="s">
        <v>4199</v>
      </c>
    </row>
    <row r="2172" spans="1:2" ht="15.75" x14ac:dyDescent="0.25">
      <c r="A2172" s="344">
        <v>52643</v>
      </c>
      <c r="B2172" s="345" t="s">
        <v>4200</v>
      </c>
    </row>
    <row r="2173" spans="1:2" ht="15.75" x14ac:dyDescent="0.25">
      <c r="A2173" s="344">
        <v>52644</v>
      </c>
      <c r="B2173" s="345" t="s">
        <v>4201</v>
      </c>
    </row>
    <row r="2174" spans="1:2" ht="15.75" x14ac:dyDescent="0.25">
      <c r="A2174" s="344">
        <v>52645</v>
      </c>
      <c r="B2174" s="345" t="s">
        <v>4202</v>
      </c>
    </row>
    <row r="2175" spans="1:2" ht="15.75" x14ac:dyDescent="0.25">
      <c r="A2175" s="344">
        <v>52647</v>
      </c>
      <c r="B2175" s="345" t="s">
        <v>4203</v>
      </c>
    </row>
    <row r="2176" spans="1:2" ht="15.75" x14ac:dyDescent="0.25">
      <c r="A2176" s="344">
        <v>52650</v>
      </c>
      <c r="B2176" s="345" t="s">
        <v>1688</v>
      </c>
    </row>
    <row r="2177" spans="1:2" ht="15.75" x14ac:dyDescent="0.25">
      <c r="A2177" s="344">
        <v>52660</v>
      </c>
      <c r="B2177" s="345" t="s">
        <v>1728</v>
      </c>
    </row>
    <row r="2178" spans="1:2" ht="15.75" x14ac:dyDescent="0.25">
      <c r="A2178" s="344">
        <v>52670</v>
      </c>
      <c r="B2178" s="345" t="s">
        <v>4121</v>
      </c>
    </row>
    <row r="2179" spans="1:2" ht="15.75" x14ac:dyDescent="0.25">
      <c r="A2179" s="344">
        <v>52675</v>
      </c>
      <c r="B2179" s="345" t="s">
        <v>4204</v>
      </c>
    </row>
    <row r="2180" spans="1:2" ht="15.75" x14ac:dyDescent="0.25">
      <c r="A2180" s="344">
        <v>52680</v>
      </c>
      <c r="B2180" s="345" t="s">
        <v>4205</v>
      </c>
    </row>
    <row r="2181" spans="1:2" ht="15.75" x14ac:dyDescent="0.25">
      <c r="A2181" s="344">
        <v>52685</v>
      </c>
      <c r="B2181" s="345" t="s">
        <v>4206</v>
      </c>
    </row>
    <row r="2182" spans="1:2" ht="15.75" x14ac:dyDescent="0.25">
      <c r="A2182" s="344">
        <v>52690</v>
      </c>
      <c r="B2182" s="345" t="s">
        <v>4207</v>
      </c>
    </row>
    <row r="2183" spans="1:2" ht="15.75" x14ac:dyDescent="0.25">
      <c r="A2183" s="344">
        <v>52700</v>
      </c>
      <c r="B2183" s="345" t="s">
        <v>4208</v>
      </c>
    </row>
    <row r="2184" spans="1:2" ht="15.75" x14ac:dyDescent="0.25">
      <c r="A2184" s="344">
        <v>52800</v>
      </c>
      <c r="B2184" s="345" t="s">
        <v>4209</v>
      </c>
    </row>
    <row r="2185" spans="1:2" ht="15.75" x14ac:dyDescent="0.25">
      <c r="A2185" s="344">
        <v>52810</v>
      </c>
      <c r="B2185" s="345" t="s">
        <v>4210</v>
      </c>
    </row>
    <row r="2186" spans="1:2" ht="15.75" x14ac:dyDescent="0.25">
      <c r="A2186" s="344">
        <v>52815</v>
      </c>
      <c r="B2186" s="345" t="s">
        <v>4211</v>
      </c>
    </row>
    <row r="2187" spans="1:2" ht="15.75" x14ac:dyDescent="0.25">
      <c r="A2187" s="344">
        <v>52820</v>
      </c>
      <c r="B2187" s="345" t="s">
        <v>4212</v>
      </c>
    </row>
    <row r="2188" spans="1:2" ht="15.75" x14ac:dyDescent="0.25">
      <c r="A2188" s="344">
        <v>52830</v>
      </c>
      <c r="B2188" s="345" t="s">
        <v>4213</v>
      </c>
    </row>
    <row r="2189" spans="1:2" ht="15.75" x14ac:dyDescent="0.25">
      <c r="A2189" s="344">
        <v>52840</v>
      </c>
      <c r="B2189" s="345" t="s">
        <v>4214</v>
      </c>
    </row>
    <row r="2190" spans="1:2" ht="15.75" x14ac:dyDescent="0.25">
      <c r="A2190" s="344">
        <v>52850</v>
      </c>
      <c r="B2190" s="345" t="s">
        <v>4215</v>
      </c>
    </row>
    <row r="2191" spans="1:2" ht="15.75" x14ac:dyDescent="0.25">
      <c r="A2191" s="344">
        <v>52851</v>
      </c>
      <c r="B2191" s="345" t="s">
        <v>4216</v>
      </c>
    </row>
    <row r="2192" spans="1:2" ht="15.75" x14ac:dyDescent="0.25">
      <c r="A2192" s="344">
        <v>52852</v>
      </c>
      <c r="B2192" s="345" t="s">
        <v>4217</v>
      </c>
    </row>
    <row r="2193" spans="1:2" ht="15.75" x14ac:dyDescent="0.25">
      <c r="A2193" s="344">
        <v>52855</v>
      </c>
      <c r="B2193" s="345" t="s">
        <v>4218</v>
      </c>
    </row>
    <row r="2194" spans="1:2" ht="15.75" x14ac:dyDescent="0.25">
      <c r="A2194" s="344">
        <v>52860</v>
      </c>
      <c r="B2194" s="345" t="s">
        <v>4219</v>
      </c>
    </row>
    <row r="2195" spans="1:2" ht="15.75" x14ac:dyDescent="0.25">
      <c r="A2195" s="344">
        <v>52870</v>
      </c>
      <c r="B2195" s="345" t="s">
        <v>4220</v>
      </c>
    </row>
    <row r="2196" spans="1:2" ht="15.75" x14ac:dyDescent="0.25">
      <c r="A2196" s="344">
        <v>52880</v>
      </c>
      <c r="B2196" s="345" t="s">
        <v>4221</v>
      </c>
    </row>
    <row r="2197" spans="1:2" ht="15.75" x14ac:dyDescent="0.25">
      <c r="A2197" s="344">
        <v>53000</v>
      </c>
      <c r="B2197" s="345" t="s">
        <v>4222</v>
      </c>
    </row>
    <row r="2198" spans="1:2" ht="15.75" x14ac:dyDescent="0.25">
      <c r="A2198" s="344">
        <v>53005</v>
      </c>
      <c r="B2198" s="345" t="s">
        <v>4223</v>
      </c>
    </row>
    <row r="2199" spans="1:2" ht="15.75" x14ac:dyDescent="0.25">
      <c r="A2199" s="344">
        <v>53010</v>
      </c>
      <c r="B2199" s="345" t="s">
        <v>4224</v>
      </c>
    </row>
    <row r="2200" spans="1:2" ht="15.75" x14ac:dyDescent="0.25">
      <c r="A2200" s="344">
        <v>53012</v>
      </c>
      <c r="B2200" s="345" t="s">
        <v>4225</v>
      </c>
    </row>
    <row r="2201" spans="1:2" ht="15.75" x14ac:dyDescent="0.25">
      <c r="A2201" s="344">
        <v>53015</v>
      </c>
      <c r="B2201" s="345" t="s">
        <v>4226</v>
      </c>
    </row>
    <row r="2202" spans="1:2" ht="15.75" x14ac:dyDescent="0.25">
      <c r="A2202" s="344">
        <v>53020</v>
      </c>
      <c r="B2202" s="345" t="s">
        <v>4227</v>
      </c>
    </row>
    <row r="2203" spans="1:2" ht="15.75" x14ac:dyDescent="0.25">
      <c r="A2203" s="344">
        <v>53025</v>
      </c>
      <c r="B2203" s="345" t="s">
        <v>4228</v>
      </c>
    </row>
    <row r="2204" spans="1:2" ht="15.75" x14ac:dyDescent="0.25">
      <c r="A2204" s="344">
        <v>53030</v>
      </c>
      <c r="B2204" s="345" t="s">
        <v>1713</v>
      </c>
    </row>
    <row r="2205" spans="1:2" ht="15.75" x14ac:dyDescent="0.25">
      <c r="A2205" s="344">
        <v>53031</v>
      </c>
      <c r="B2205" s="345" t="s">
        <v>4000</v>
      </c>
    </row>
    <row r="2206" spans="1:2" ht="15.75" x14ac:dyDescent="0.25">
      <c r="A2206" s="344">
        <v>53035</v>
      </c>
      <c r="B2206" s="345" t="s">
        <v>4229</v>
      </c>
    </row>
    <row r="2207" spans="1:2" ht="15.75" x14ac:dyDescent="0.25">
      <c r="A2207" s="344">
        <v>53040</v>
      </c>
      <c r="B2207" s="345" t="s">
        <v>4230</v>
      </c>
    </row>
    <row r="2208" spans="1:2" ht="15.75" x14ac:dyDescent="0.25">
      <c r="A2208" s="344">
        <v>53041</v>
      </c>
      <c r="B2208" s="345" t="s">
        <v>4231</v>
      </c>
    </row>
    <row r="2209" spans="1:2" ht="15.75" x14ac:dyDescent="0.25">
      <c r="A2209" s="344">
        <v>53050</v>
      </c>
      <c r="B2209" s="345" t="s">
        <v>4232</v>
      </c>
    </row>
    <row r="2210" spans="1:2" ht="15.75" x14ac:dyDescent="0.25">
      <c r="A2210" s="344">
        <v>53055</v>
      </c>
      <c r="B2210" s="345" t="s">
        <v>4233</v>
      </c>
    </row>
    <row r="2211" spans="1:2" ht="15.75" x14ac:dyDescent="0.25">
      <c r="A2211" s="344">
        <v>53060</v>
      </c>
      <c r="B2211" s="345" t="s">
        <v>4234</v>
      </c>
    </row>
    <row r="2212" spans="1:2" ht="15.75" x14ac:dyDescent="0.25">
      <c r="A2212" s="344">
        <v>53070</v>
      </c>
      <c r="B2212" s="345" t="s">
        <v>4235</v>
      </c>
    </row>
    <row r="2213" spans="1:2" ht="15.75" x14ac:dyDescent="0.25">
      <c r="A2213" s="344">
        <v>53073</v>
      </c>
      <c r="B2213" s="345" t="s">
        <v>4236</v>
      </c>
    </row>
    <row r="2214" spans="1:2" ht="15.75" x14ac:dyDescent="0.25">
      <c r="A2214" s="344">
        <v>53075</v>
      </c>
      <c r="B2214" s="345" t="s">
        <v>4237</v>
      </c>
    </row>
    <row r="2215" spans="1:2" ht="15.75" x14ac:dyDescent="0.25">
      <c r="A2215" s="344">
        <v>53080</v>
      </c>
      <c r="B2215" s="345" t="s">
        <v>4238</v>
      </c>
    </row>
    <row r="2216" spans="1:2" ht="15.75" x14ac:dyDescent="0.25">
      <c r="A2216" s="344">
        <v>53081</v>
      </c>
      <c r="B2216" s="345" t="s">
        <v>4239</v>
      </c>
    </row>
    <row r="2217" spans="1:2" ht="15.75" x14ac:dyDescent="0.25">
      <c r="A2217" s="344">
        <v>53085</v>
      </c>
      <c r="B2217" s="345" t="s">
        <v>4240</v>
      </c>
    </row>
    <row r="2218" spans="1:2" ht="15.75" x14ac:dyDescent="0.25">
      <c r="A2218" s="344">
        <v>53090</v>
      </c>
      <c r="B2218" s="345" t="s">
        <v>4241</v>
      </c>
    </row>
    <row r="2219" spans="1:2" ht="15.75" x14ac:dyDescent="0.25">
      <c r="A2219" s="344">
        <v>53095</v>
      </c>
      <c r="B2219" s="345" t="s">
        <v>4242</v>
      </c>
    </row>
    <row r="2220" spans="1:2" ht="15.75" x14ac:dyDescent="0.25">
      <c r="A2220" s="344">
        <v>53100</v>
      </c>
      <c r="B2220" s="345" t="s">
        <v>4243</v>
      </c>
    </row>
    <row r="2221" spans="1:2" ht="15.75" x14ac:dyDescent="0.25">
      <c r="A2221" s="344">
        <v>53105</v>
      </c>
      <c r="B2221" s="345" t="s">
        <v>4244</v>
      </c>
    </row>
    <row r="2222" spans="1:2" ht="15.75" x14ac:dyDescent="0.25">
      <c r="A2222" s="344">
        <v>53110</v>
      </c>
      <c r="B2222" s="345" t="s">
        <v>4245</v>
      </c>
    </row>
    <row r="2223" spans="1:2" ht="15.75" x14ac:dyDescent="0.25">
      <c r="A2223" s="344">
        <v>53113</v>
      </c>
      <c r="B2223" s="345" t="s">
        <v>4246</v>
      </c>
    </row>
    <row r="2224" spans="1:2" ht="15.75" x14ac:dyDescent="0.25">
      <c r="A2224" s="344">
        <v>53115</v>
      </c>
      <c r="B2224" s="345" t="s">
        <v>4247</v>
      </c>
    </row>
    <row r="2225" spans="1:2" ht="15.75" x14ac:dyDescent="0.25">
      <c r="A2225" s="344">
        <v>53116</v>
      </c>
      <c r="B2225" s="345" t="s">
        <v>4248</v>
      </c>
    </row>
    <row r="2226" spans="1:2" ht="15.75" x14ac:dyDescent="0.25">
      <c r="A2226" s="344">
        <v>53117</v>
      </c>
      <c r="B2226" s="345" t="s">
        <v>4249</v>
      </c>
    </row>
    <row r="2227" spans="1:2" ht="15.75" x14ac:dyDescent="0.25">
      <c r="A2227" s="344">
        <v>53118</v>
      </c>
      <c r="B2227" s="345" t="s">
        <v>4250</v>
      </c>
    </row>
    <row r="2228" spans="1:2" ht="15.75" x14ac:dyDescent="0.25">
      <c r="A2228" s="344">
        <v>53119</v>
      </c>
      <c r="B2228" s="345" t="s">
        <v>4251</v>
      </c>
    </row>
    <row r="2229" spans="1:2" ht="15.75" x14ac:dyDescent="0.25">
      <c r="A2229" s="344">
        <v>53120</v>
      </c>
      <c r="B2229" s="345" t="s">
        <v>4252</v>
      </c>
    </row>
    <row r="2230" spans="1:2" ht="15.75" x14ac:dyDescent="0.25">
      <c r="A2230" s="344">
        <v>53130</v>
      </c>
      <c r="B2230" s="345" t="s">
        <v>4253</v>
      </c>
    </row>
    <row r="2231" spans="1:2" ht="15.75" x14ac:dyDescent="0.25">
      <c r="A2231" s="344">
        <v>53140</v>
      </c>
      <c r="B2231" s="345" t="s">
        <v>1699</v>
      </c>
    </row>
    <row r="2232" spans="1:2" ht="15.75" x14ac:dyDescent="0.25">
      <c r="A2232" s="344">
        <v>53144</v>
      </c>
      <c r="B2232" s="345" t="s">
        <v>4254</v>
      </c>
    </row>
    <row r="2233" spans="1:2" ht="15.75" x14ac:dyDescent="0.25">
      <c r="A2233" s="344">
        <v>53145</v>
      </c>
      <c r="B2233" s="345" t="s">
        <v>4004</v>
      </c>
    </row>
    <row r="2234" spans="1:2" ht="15.75" x14ac:dyDescent="0.25">
      <c r="A2234" s="344">
        <v>53147</v>
      </c>
      <c r="B2234" s="345" t="s">
        <v>4255</v>
      </c>
    </row>
    <row r="2235" spans="1:2" ht="15.75" x14ac:dyDescent="0.25">
      <c r="A2235" s="344">
        <v>53148</v>
      </c>
      <c r="B2235" s="345" t="s">
        <v>4256</v>
      </c>
    </row>
    <row r="2236" spans="1:2" ht="15.75" x14ac:dyDescent="0.25">
      <c r="A2236" s="344">
        <v>53150</v>
      </c>
      <c r="B2236" s="345" t="s">
        <v>4257</v>
      </c>
    </row>
    <row r="2237" spans="1:2" ht="15.75" x14ac:dyDescent="0.25">
      <c r="A2237" s="344">
        <v>53153</v>
      </c>
      <c r="B2237" s="345" t="s">
        <v>4258</v>
      </c>
    </row>
    <row r="2238" spans="1:2" ht="15.75" x14ac:dyDescent="0.25">
      <c r="A2238" s="344">
        <v>53155</v>
      </c>
      <c r="B2238" s="345" t="s">
        <v>4259</v>
      </c>
    </row>
    <row r="2239" spans="1:2" ht="15.75" x14ac:dyDescent="0.25">
      <c r="A2239" s="344">
        <v>53160</v>
      </c>
      <c r="B2239" s="345" t="s">
        <v>4260</v>
      </c>
    </row>
    <row r="2240" spans="1:2" ht="15.75" x14ac:dyDescent="0.25">
      <c r="A2240" s="344">
        <v>53161</v>
      </c>
      <c r="B2240" s="345" t="s">
        <v>4261</v>
      </c>
    </row>
    <row r="2241" spans="1:2" ht="15.75" x14ac:dyDescent="0.25">
      <c r="A2241" s="344">
        <v>53162</v>
      </c>
      <c r="B2241" s="345" t="s">
        <v>4262</v>
      </c>
    </row>
    <row r="2242" spans="1:2" ht="15.75" x14ac:dyDescent="0.25">
      <c r="A2242" s="344">
        <v>53165</v>
      </c>
      <c r="B2242" s="345" t="s">
        <v>4263</v>
      </c>
    </row>
    <row r="2243" spans="1:2" ht="15.75" x14ac:dyDescent="0.25">
      <c r="A2243" s="344">
        <v>53166</v>
      </c>
      <c r="B2243" s="345" t="s">
        <v>4264</v>
      </c>
    </row>
    <row r="2244" spans="1:2" ht="15.75" x14ac:dyDescent="0.25">
      <c r="A2244" s="344">
        <v>53167</v>
      </c>
      <c r="B2244" s="345" t="s">
        <v>4265</v>
      </c>
    </row>
    <row r="2245" spans="1:2" ht="15.75" x14ac:dyDescent="0.25">
      <c r="A2245" s="344">
        <v>53169</v>
      </c>
      <c r="B2245" s="345" t="s">
        <v>4266</v>
      </c>
    </row>
    <row r="2246" spans="1:2" ht="15.75" x14ac:dyDescent="0.25">
      <c r="A2246" s="344">
        <v>53170</v>
      </c>
      <c r="B2246" s="345" t="s">
        <v>4267</v>
      </c>
    </row>
    <row r="2247" spans="1:2" ht="15.75" x14ac:dyDescent="0.25">
      <c r="A2247" s="344">
        <v>53171</v>
      </c>
      <c r="B2247" s="345" t="s">
        <v>4268</v>
      </c>
    </row>
    <row r="2248" spans="1:2" ht="15.75" x14ac:dyDescent="0.25">
      <c r="A2248" s="344">
        <v>53172</v>
      </c>
      <c r="B2248" s="345" t="s">
        <v>4269</v>
      </c>
    </row>
    <row r="2249" spans="1:2" ht="15.75" x14ac:dyDescent="0.25">
      <c r="A2249" s="344">
        <v>53173</v>
      </c>
      <c r="B2249" s="345" t="s">
        <v>4270</v>
      </c>
    </row>
    <row r="2250" spans="1:2" ht="15.75" x14ac:dyDescent="0.25">
      <c r="A2250" s="344">
        <v>53174</v>
      </c>
      <c r="B2250" s="345" t="s">
        <v>4271</v>
      </c>
    </row>
    <row r="2251" spans="1:2" ht="15.75" x14ac:dyDescent="0.25">
      <c r="A2251" s="344">
        <v>53175</v>
      </c>
      <c r="B2251" s="345" t="s">
        <v>4272</v>
      </c>
    </row>
    <row r="2252" spans="1:2" ht="15.75" x14ac:dyDescent="0.25">
      <c r="A2252" s="344">
        <v>53176</v>
      </c>
      <c r="B2252" s="345" t="s">
        <v>4273</v>
      </c>
    </row>
    <row r="2253" spans="1:2" ht="15.75" x14ac:dyDescent="0.25">
      <c r="A2253" s="344">
        <v>53177</v>
      </c>
      <c r="B2253" s="345" t="s">
        <v>4274</v>
      </c>
    </row>
    <row r="2254" spans="1:2" ht="15.75" x14ac:dyDescent="0.25">
      <c r="A2254" s="344">
        <v>53178</v>
      </c>
      <c r="B2254" s="345" t="s">
        <v>4275</v>
      </c>
    </row>
    <row r="2255" spans="1:2" ht="15.75" x14ac:dyDescent="0.25">
      <c r="A2255" s="344">
        <v>53179</v>
      </c>
      <c r="B2255" s="345" t="s">
        <v>4276</v>
      </c>
    </row>
    <row r="2256" spans="1:2" ht="15.75" x14ac:dyDescent="0.25">
      <c r="A2256" s="344">
        <v>53180</v>
      </c>
      <c r="B2256" s="345" t="s">
        <v>1691</v>
      </c>
    </row>
    <row r="2257" spans="1:2" ht="15.75" x14ac:dyDescent="0.25">
      <c r="A2257" s="344">
        <v>53181</v>
      </c>
      <c r="B2257" s="345" t="s">
        <v>4277</v>
      </c>
    </row>
    <row r="2258" spans="1:2" ht="15.75" x14ac:dyDescent="0.25">
      <c r="A2258" s="344">
        <v>53182</v>
      </c>
      <c r="B2258" s="345" t="s">
        <v>4278</v>
      </c>
    </row>
    <row r="2259" spans="1:2" ht="15.75" x14ac:dyDescent="0.25">
      <c r="A2259" s="344">
        <v>53183</v>
      </c>
      <c r="B2259" s="345" t="s">
        <v>4279</v>
      </c>
    </row>
    <row r="2260" spans="1:2" ht="15.75" x14ac:dyDescent="0.25">
      <c r="A2260" s="344">
        <v>53184</v>
      </c>
      <c r="B2260" s="345" t="s">
        <v>4280</v>
      </c>
    </row>
    <row r="2261" spans="1:2" ht="15.75" x14ac:dyDescent="0.25">
      <c r="A2261" s="344">
        <v>53185</v>
      </c>
      <c r="B2261" s="345" t="s">
        <v>4281</v>
      </c>
    </row>
    <row r="2262" spans="1:2" ht="15.75" x14ac:dyDescent="0.25">
      <c r="A2262" s="344">
        <v>53186</v>
      </c>
      <c r="B2262" s="345" t="s">
        <v>4282</v>
      </c>
    </row>
    <row r="2263" spans="1:2" ht="15.75" x14ac:dyDescent="0.25">
      <c r="A2263" s="344">
        <v>53187</v>
      </c>
      <c r="B2263" s="345" t="s">
        <v>4283</v>
      </c>
    </row>
    <row r="2264" spans="1:2" ht="15.75" x14ac:dyDescent="0.25">
      <c r="A2264" s="344">
        <v>53188</v>
      </c>
      <c r="B2264" s="345" t="s">
        <v>4284</v>
      </c>
    </row>
    <row r="2265" spans="1:2" ht="15.75" x14ac:dyDescent="0.25">
      <c r="A2265" s="344">
        <v>53189</v>
      </c>
      <c r="B2265" s="345" t="s">
        <v>4285</v>
      </c>
    </row>
    <row r="2266" spans="1:2" ht="15.75" x14ac:dyDescent="0.25">
      <c r="A2266" s="344">
        <v>53190</v>
      </c>
      <c r="B2266" s="345" t="s">
        <v>4286</v>
      </c>
    </row>
    <row r="2267" spans="1:2" ht="15.75" x14ac:dyDescent="0.25">
      <c r="A2267" s="344">
        <v>53210</v>
      </c>
      <c r="B2267" s="345" t="s">
        <v>4287</v>
      </c>
    </row>
    <row r="2268" spans="1:2" ht="15.75" x14ac:dyDescent="0.25">
      <c r="A2268" s="344">
        <v>53220</v>
      </c>
      <c r="B2268" s="345" t="s">
        <v>1695</v>
      </c>
    </row>
    <row r="2269" spans="1:2" ht="15.75" x14ac:dyDescent="0.25">
      <c r="A2269" s="344">
        <v>53222</v>
      </c>
      <c r="B2269" s="345" t="s">
        <v>4288</v>
      </c>
    </row>
    <row r="2270" spans="1:2" ht="15.75" x14ac:dyDescent="0.25">
      <c r="A2270" s="344">
        <v>53223</v>
      </c>
      <c r="B2270" s="345" t="s">
        <v>4289</v>
      </c>
    </row>
    <row r="2271" spans="1:2" ht="15.75" x14ac:dyDescent="0.25">
      <c r="A2271" s="344">
        <v>53224</v>
      </c>
      <c r="B2271" s="345" t="s">
        <v>4290</v>
      </c>
    </row>
    <row r="2272" spans="1:2" ht="15.75" x14ac:dyDescent="0.25">
      <c r="A2272" s="344">
        <v>53225</v>
      </c>
      <c r="B2272" s="345" t="s">
        <v>4291</v>
      </c>
    </row>
    <row r="2273" spans="1:2" ht="15.75" x14ac:dyDescent="0.25">
      <c r="A2273" s="344">
        <v>53226</v>
      </c>
      <c r="B2273" s="345" t="s">
        <v>4292</v>
      </c>
    </row>
    <row r="2274" spans="1:2" ht="15.75" x14ac:dyDescent="0.25">
      <c r="A2274" s="344">
        <v>53227</v>
      </c>
      <c r="B2274" s="345" t="s">
        <v>4293</v>
      </c>
    </row>
    <row r="2275" spans="1:2" ht="15.75" x14ac:dyDescent="0.25">
      <c r="A2275" s="344">
        <v>53228</v>
      </c>
      <c r="B2275" s="345" t="s">
        <v>4294</v>
      </c>
    </row>
    <row r="2276" spans="1:2" ht="15.75" x14ac:dyDescent="0.25">
      <c r="A2276" s="344">
        <v>53229</v>
      </c>
      <c r="B2276" s="345" t="s">
        <v>4295</v>
      </c>
    </row>
    <row r="2277" spans="1:2" ht="15.75" x14ac:dyDescent="0.25">
      <c r="A2277" s="344">
        <v>53230</v>
      </c>
      <c r="B2277" s="345" t="s">
        <v>4296</v>
      </c>
    </row>
    <row r="2278" spans="1:2" ht="15.75" x14ac:dyDescent="0.25">
      <c r="A2278" s="344">
        <v>53300</v>
      </c>
      <c r="B2278" s="345" t="s">
        <v>4297</v>
      </c>
    </row>
    <row r="2279" spans="1:2" ht="15.75" x14ac:dyDescent="0.25">
      <c r="A2279" s="344">
        <v>53305</v>
      </c>
      <c r="B2279" s="345" t="s">
        <v>4298</v>
      </c>
    </row>
    <row r="2280" spans="1:2" ht="15.75" x14ac:dyDescent="0.25">
      <c r="A2280" s="344">
        <v>53310</v>
      </c>
      <c r="B2280" s="345" t="s">
        <v>4299</v>
      </c>
    </row>
    <row r="2281" spans="1:2" ht="15.75" x14ac:dyDescent="0.25">
      <c r="A2281" s="344">
        <v>53315</v>
      </c>
      <c r="B2281" s="345" t="s">
        <v>4300</v>
      </c>
    </row>
    <row r="2282" spans="1:2" ht="15.75" x14ac:dyDescent="0.25">
      <c r="A2282" s="344">
        <v>53320</v>
      </c>
      <c r="B2282" s="345" t="s">
        <v>4301</v>
      </c>
    </row>
    <row r="2283" spans="1:2" ht="15.75" x14ac:dyDescent="0.25">
      <c r="A2283" s="344">
        <v>53325</v>
      </c>
      <c r="B2283" s="345" t="s">
        <v>4302</v>
      </c>
    </row>
    <row r="2284" spans="1:2" ht="15.75" x14ac:dyDescent="0.25">
      <c r="A2284" s="344">
        <v>53330</v>
      </c>
      <c r="B2284" s="345" t="s">
        <v>4303</v>
      </c>
    </row>
    <row r="2285" spans="1:2" ht="15.75" x14ac:dyDescent="0.25">
      <c r="A2285" s="344">
        <v>53335</v>
      </c>
      <c r="B2285" s="345" t="s">
        <v>4304</v>
      </c>
    </row>
    <row r="2286" spans="1:2" ht="15.75" x14ac:dyDescent="0.25">
      <c r="A2286" s="344">
        <v>53340</v>
      </c>
      <c r="B2286" s="345" t="s">
        <v>4305</v>
      </c>
    </row>
    <row r="2287" spans="1:2" ht="15.75" x14ac:dyDescent="0.25">
      <c r="A2287" s="344">
        <v>53345</v>
      </c>
      <c r="B2287" s="345" t="s">
        <v>4306</v>
      </c>
    </row>
    <row r="2288" spans="1:2" ht="15.75" x14ac:dyDescent="0.25">
      <c r="A2288" s="344">
        <v>53350</v>
      </c>
      <c r="B2288" s="345" t="s">
        <v>4307</v>
      </c>
    </row>
    <row r="2289" spans="1:2" ht="15.75" x14ac:dyDescent="0.25">
      <c r="A2289" s="344">
        <v>53355</v>
      </c>
      <c r="B2289" s="345" t="s">
        <v>4308</v>
      </c>
    </row>
    <row r="2290" spans="1:2" ht="15.75" x14ac:dyDescent="0.25">
      <c r="A2290" s="344">
        <v>53360</v>
      </c>
      <c r="B2290" s="345" t="s">
        <v>4309</v>
      </c>
    </row>
    <row r="2291" spans="1:2" ht="15.75" x14ac:dyDescent="0.25">
      <c r="A2291" s="344">
        <v>53365</v>
      </c>
      <c r="B2291" s="345" t="s">
        <v>4310</v>
      </c>
    </row>
    <row r="2292" spans="1:2" ht="15.75" x14ac:dyDescent="0.25">
      <c r="A2292" s="344">
        <v>53400</v>
      </c>
      <c r="B2292" s="345" t="s">
        <v>4311</v>
      </c>
    </row>
    <row r="2293" spans="1:2" ht="15.75" x14ac:dyDescent="0.25">
      <c r="A2293" s="344">
        <v>53405</v>
      </c>
      <c r="B2293" s="345" t="s">
        <v>4312</v>
      </c>
    </row>
    <row r="2294" spans="1:2" ht="15.75" x14ac:dyDescent="0.25">
      <c r="A2294" s="344">
        <v>53410</v>
      </c>
      <c r="B2294" s="345" t="s">
        <v>4313</v>
      </c>
    </row>
    <row r="2295" spans="1:2" ht="15.75" x14ac:dyDescent="0.25">
      <c r="A2295" s="344">
        <v>53415</v>
      </c>
      <c r="B2295" s="345" t="s">
        <v>4314</v>
      </c>
    </row>
    <row r="2296" spans="1:2" ht="15.75" x14ac:dyDescent="0.25">
      <c r="A2296" s="344">
        <v>53420</v>
      </c>
      <c r="B2296" s="345" t="s">
        <v>4315</v>
      </c>
    </row>
    <row r="2297" spans="1:2" ht="15.75" x14ac:dyDescent="0.25">
      <c r="A2297" s="344">
        <v>53425</v>
      </c>
      <c r="B2297" s="345" t="s">
        <v>4316</v>
      </c>
    </row>
    <row r="2298" spans="1:2" ht="15.75" x14ac:dyDescent="0.25">
      <c r="A2298" s="344">
        <v>53500</v>
      </c>
      <c r="B2298" s="345" t="s">
        <v>4317</v>
      </c>
    </row>
    <row r="2299" spans="1:2" ht="15.75" x14ac:dyDescent="0.25">
      <c r="A2299" s="344">
        <v>53505</v>
      </c>
      <c r="B2299" s="345" t="s">
        <v>4318</v>
      </c>
    </row>
    <row r="2300" spans="1:2" ht="15.75" x14ac:dyDescent="0.25">
      <c r="A2300" s="344">
        <v>53512</v>
      </c>
      <c r="B2300" s="345" t="s">
        <v>4319</v>
      </c>
    </row>
    <row r="2301" spans="1:2" ht="15.75" x14ac:dyDescent="0.25">
      <c r="A2301" s="344">
        <v>53514</v>
      </c>
      <c r="B2301" s="345" t="s">
        <v>4320</v>
      </c>
    </row>
    <row r="2302" spans="1:2" ht="15.75" x14ac:dyDescent="0.25">
      <c r="A2302" s="344">
        <v>53516</v>
      </c>
      <c r="B2302" s="345" t="s">
        <v>4321</v>
      </c>
    </row>
    <row r="2303" spans="1:2" ht="15.75" x14ac:dyDescent="0.25">
      <c r="A2303" s="344">
        <v>53518</v>
      </c>
      <c r="B2303" s="345" t="s">
        <v>4322</v>
      </c>
    </row>
    <row r="2304" spans="1:2" ht="15.75" x14ac:dyDescent="0.25">
      <c r="A2304" s="344">
        <v>53522</v>
      </c>
      <c r="B2304" s="345" t="s">
        <v>4323</v>
      </c>
    </row>
    <row r="2305" spans="1:2" ht="15.75" x14ac:dyDescent="0.25">
      <c r="A2305" s="344">
        <v>53524</v>
      </c>
      <c r="B2305" s="345" t="s">
        <v>4324</v>
      </c>
    </row>
    <row r="2306" spans="1:2" ht="15.75" x14ac:dyDescent="0.25">
      <c r="A2306" s="344">
        <v>53526</v>
      </c>
      <c r="B2306" s="345" t="s">
        <v>4325</v>
      </c>
    </row>
    <row r="2307" spans="1:2" ht="15.75" x14ac:dyDescent="0.25">
      <c r="A2307" s="344">
        <v>53530</v>
      </c>
      <c r="B2307" s="345" t="s">
        <v>4326</v>
      </c>
    </row>
    <row r="2308" spans="1:2" ht="15.75" x14ac:dyDescent="0.25">
      <c r="A2308" s="344">
        <v>53532</v>
      </c>
      <c r="B2308" s="345" t="s">
        <v>4327</v>
      </c>
    </row>
    <row r="2309" spans="1:2" ht="15.75" x14ac:dyDescent="0.25">
      <c r="A2309" s="344">
        <v>53534</v>
      </c>
      <c r="B2309" s="345" t="s">
        <v>4328</v>
      </c>
    </row>
    <row r="2310" spans="1:2" ht="15.75" x14ac:dyDescent="0.25">
      <c r="A2310" s="344">
        <v>53536</v>
      </c>
      <c r="B2310" s="345" t="s">
        <v>4329</v>
      </c>
    </row>
    <row r="2311" spans="1:2" ht="15.75" x14ac:dyDescent="0.25">
      <c r="A2311" s="344">
        <v>53538</v>
      </c>
      <c r="B2311" s="345" t="s">
        <v>4330</v>
      </c>
    </row>
    <row r="2312" spans="1:2" ht="15.75" x14ac:dyDescent="0.25">
      <c r="A2312" s="344">
        <v>53540</v>
      </c>
      <c r="B2312" s="345" t="s">
        <v>4331</v>
      </c>
    </row>
    <row r="2313" spans="1:2" ht="15.75" x14ac:dyDescent="0.25">
      <c r="A2313" s="344">
        <v>53542</v>
      </c>
      <c r="B2313" s="345" t="s">
        <v>4332</v>
      </c>
    </row>
    <row r="2314" spans="1:2" ht="15.75" x14ac:dyDescent="0.25">
      <c r="A2314" s="344">
        <v>53544</v>
      </c>
      <c r="B2314" s="345" t="s">
        <v>4333</v>
      </c>
    </row>
    <row r="2315" spans="1:2" ht="15.75" x14ac:dyDescent="0.25">
      <c r="A2315" s="344">
        <v>53550</v>
      </c>
      <c r="B2315" s="345" t="s">
        <v>4334</v>
      </c>
    </row>
    <row r="2316" spans="1:2" ht="15.75" x14ac:dyDescent="0.25">
      <c r="A2316" s="344">
        <v>53555</v>
      </c>
      <c r="B2316" s="345" t="s">
        <v>4335</v>
      </c>
    </row>
    <row r="2317" spans="1:2" ht="15.75" x14ac:dyDescent="0.25">
      <c r="A2317" s="344">
        <v>53560</v>
      </c>
      <c r="B2317" s="345" t="s">
        <v>4336</v>
      </c>
    </row>
    <row r="2318" spans="1:2" ht="15.75" x14ac:dyDescent="0.25">
      <c r="A2318" s="344">
        <v>53562</v>
      </c>
      <c r="B2318" s="345" t="s">
        <v>4337</v>
      </c>
    </row>
    <row r="2319" spans="1:2" ht="15.75" x14ac:dyDescent="0.25">
      <c r="A2319" s="344">
        <v>53564</v>
      </c>
      <c r="B2319" s="345" t="s">
        <v>4338</v>
      </c>
    </row>
    <row r="2320" spans="1:2" ht="15.75" x14ac:dyDescent="0.25">
      <c r="A2320" s="344">
        <v>53566</v>
      </c>
      <c r="B2320" s="345" t="s">
        <v>4339</v>
      </c>
    </row>
    <row r="2321" spans="1:2" ht="15.75" x14ac:dyDescent="0.25">
      <c r="A2321" s="344">
        <v>53568</v>
      </c>
      <c r="B2321" s="345" t="s">
        <v>4340</v>
      </c>
    </row>
    <row r="2322" spans="1:2" ht="15.75" x14ac:dyDescent="0.25">
      <c r="A2322" s="344">
        <v>53570</v>
      </c>
      <c r="B2322" s="345" t="s">
        <v>4341</v>
      </c>
    </row>
    <row r="2323" spans="1:2" ht="15.75" x14ac:dyDescent="0.25">
      <c r="A2323" s="344">
        <v>53572</v>
      </c>
      <c r="B2323" s="345" t="s">
        <v>4342</v>
      </c>
    </row>
    <row r="2324" spans="1:2" ht="15.75" x14ac:dyDescent="0.25">
      <c r="A2324" s="344">
        <v>53574</v>
      </c>
      <c r="B2324" s="345" t="s">
        <v>4343</v>
      </c>
    </row>
    <row r="2325" spans="1:2" ht="15.75" x14ac:dyDescent="0.25">
      <c r="A2325" s="344">
        <v>53576</v>
      </c>
      <c r="B2325" s="345" t="s">
        <v>4344</v>
      </c>
    </row>
    <row r="2326" spans="1:2" ht="15.75" x14ac:dyDescent="0.25">
      <c r="A2326" s="344">
        <v>53600</v>
      </c>
      <c r="B2326" s="345" t="s">
        <v>4345</v>
      </c>
    </row>
    <row r="2327" spans="1:2" ht="15.75" x14ac:dyDescent="0.25">
      <c r="A2327" s="344">
        <v>53608</v>
      </c>
      <c r="B2327" s="345" t="s">
        <v>4346</v>
      </c>
    </row>
    <row r="2328" spans="1:2" ht="15.75" x14ac:dyDescent="0.25">
      <c r="A2328" s="344">
        <v>53610</v>
      </c>
      <c r="B2328" s="345" t="s">
        <v>4347</v>
      </c>
    </row>
    <row r="2329" spans="1:2" ht="15.75" x14ac:dyDescent="0.25">
      <c r="A2329" s="344">
        <v>53612</v>
      </c>
      <c r="B2329" s="345" t="s">
        <v>4348</v>
      </c>
    </row>
    <row r="2330" spans="1:2" ht="15.75" x14ac:dyDescent="0.25">
      <c r="A2330" s="344">
        <v>53614</v>
      </c>
      <c r="B2330" s="345" t="s">
        <v>4349</v>
      </c>
    </row>
    <row r="2331" spans="1:2" ht="15.75" x14ac:dyDescent="0.25">
      <c r="A2331" s="344">
        <v>53616</v>
      </c>
      <c r="B2331" s="345" t="s">
        <v>4350</v>
      </c>
    </row>
    <row r="2332" spans="1:2" ht="15.75" x14ac:dyDescent="0.25">
      <c r="A2332" s="344">
        <v>53618</v>
      </c>
      <c r="B2332" s="345" t="s">
        <v>4351</v>
      </c>
    </row>
    <row r="2333" spans="1:2" ht="15.75" x14ac:dyDescent="0.25">
      <c r="A2333" s="344">
        <v>53620</v>
      </c>
      <c r="B2333" s="345" t="s">
        <v>4352</v>
      </c>
    </row>
    <row r="2334" spans="1:2" ht="15.75" x14ac:dyDescent="0.25">
      <c r="A2334" s="344">
        <v>53622</v>
      </c>
      <c r="B2334" s="345" t="s">
        <v>4353</v>
      </c>
    </row>
    <row r="2335" spans="1:2" ht="15.75" x14ac:dyDescent="0.25">
      <c r="A2335" s="344">
        <v>53624</v>
      </c>
      <c r="B2335" s="345" t="s">
        <v>4354</v>
      </c>
    </row>
    <row r="2336" spans="1:2" ht="15.75" x14ac:dyDescent="0.25">
      <c r="A2336" s="344">
        <v>53628</v>
      </c>
      <c r="B2336" s="345" t="s">
        <v>4355</v>
      </c>
    </row>
    <row r="2337" spans="1:2" ht="15.75" x14ac:dyDescent="0.25">
      <c r="A2337" s="344">
        <v>53630</v>
      </c>
      <c r="B2337" s="345" t="s">
        <v>4356</v>
      </c>
    </row>
    <row r="2338" spans="1:2" ht="15.75" x14ac:dyDescent="0.25">
      <c r="A2338" s="344">
        <v>53632</v>
      </c>
      <c r="B2338" s="345" t="s">
        <v>4357</v>
      </c>
    </row>
    <row r="2339" spans="1:2" ht="15.75" x14ac:dyDescent="0.25">
      <c r="A2339" s="344">
        <v>53634</v>
      </c>
      <c r="B2339" s="345" t="s">
        <v>4358</v>
      </c>
    </row>
    <row r="2340" spans="1:2" ht="15.75" x14ac:dyDescent="0.25">
      <c r="A2340" s="344">
        <v>54000</v>
      </c>
      <c r="B2340" s="345" t="s">
        <v>4359</v>
      </c>
    </row>
    <row r="2341" spans="1:2" ht="15.75" x14ac:dyDescent="0.25">
      <c r="A2341" s="344">
        <v>54002</v>
      </c>
      <c r="B2341" s="345" t="s">
        <v>3096</v>
      </c>
    </row>
    <row r="2342" spans="1:2" ht="15.75" x14ac:dyDescent="0.25">
      <c r="A2342" s="344">
        <v>54003</v>
      </c>
      <c r="B2342" s="345" t="s">
        <v>4360</v>
      </c>
    </row>
    <row r="2343" spans="1:2" ht="15.75" x14ac:dyDescent="0.25">
      <c r="A2343" s="344">
        <v>54005</v>
      </c>
      <c r="B2343" s="345" t="s">
        <v>4361</v>
      </c>
    </row>
    <row r="2344" spans="1:2" ht="15.75" x14ac:dyDescent="0.25">
      <c r="A2344" s="344">
        <v>54007</v>
      </c>
      <c r="B2344" s="345" t="s">
        <v>4362</v>
      </c>
    </row>
    <row r="2345" spans="1:2" ht="15.75" x14ac:dyDescent="0.25">
      <c r="A2345" s="344">
        <v>54008</v>
      </c>
      <c r="B2345" s="345" t="s">
        <v>4363</v>
      </c>
    </row>
    <row r="2346" spans="1:2" ht="15.75" x14ac:dyDescent="0.25">
      <c r="A2346" s="344">
        <v>54010</v>
      </c>
      <c r="B2346" s="345" t="s">
        <v>1693</v>
      </c>
    </row>
    <row r="2347" spans="1:2" ht="15.75" x14ac:dyDescent="0.25">
      <c r="A2347" s="344">
        <v>54011</v>
      </c>
      <c r="B2347" s="345" t="s">
        <v>4364</v>
      </c>
    </row>
    <row r="2348" spans="1:2" ht="15.75" x14ac:dyDescent="0.25">
      <c r="A2348" s="344">
        <v>54012</v>
      </c>
      <c r="B2348" s="345" t="s">
        <v>1715</v>
      </c>
    </row>
    <row r="2349" spans="1:2" ht="15.75" x14ac:dyDescent="0.25">
      <c r="A2349" s="344">
        <v>54013</v>
      </c>
      <c r="B2349" s="345" t="s">
        <v>4365</v>
      </c>
    </row>
    <row r="2350" spans="1:2" ht="15.75" x14ac:dyDescent="0.25">
      <c r="A2350" s="344">
        <v>54020</v>
      </c>
      <c r="B2350" s="345" t="s">
        <v>4366</v>
      </c>
    </row>
    <row r="2351" spans="1:2" ht="15.75" x14ac:dyDescent="0.25">
      <c r="A2351" s="344">
        <v>54025</v>
      </c>
      <c r="B2351" s="345" t="s">
        <v>4367</v>
      </c>
    </row>
    <row r="2352" spans="1:2" ht="15.75" x14ac:dyDescent="0.25">
      <c r="A2352" s="344">
        <v>54028</v>
      </c>
      <c r="B2352" s="345" t="s">
        <v>4368</v>
      </c>
    </row>
    <row r="2353" spans="1:2" ht="15.75" x14ac:dyDescent="0.25">
      <c r="A2353" s="344">
        <v>54030</v>
      </c>
      <c r="B2353" s="345" t="s">
        <v>4369</v>
      </c>
    </row>
    <row r="2354" spans="1:2" ht="15.75" x14ac:dyDescent="0.25">
      <c r="A2354" s="344">
        <v>54032</v>
      </c>
      <c r="B2354" s="345" t="s">
        <v>4370</v>
      </c>
    </row>
    <row r="2355" spans="1:2" ht="15.75" x14ac:dyDescent="0.25">
      <c r="A2355" s="344">
        <v>54035</v>
      </c>
      <c r="B2355" s="345" t="s">
        <v>4371</v>
      </c>
    </row>
    <row r="2356" spans="1:2" ht="15.75" x14ac:dyDescent="0.25">
      <c r="A2356" s="344">
        <v>54037</v>
      </c>
      <c r="B2356" s="345" t="s">
        <v>4372</v>
      </c>
    </row>
    <row r="2357" spans="1:2" ht="15.75" x14ac:dyDescent="0.25">
      <c r="A2357" s="344">
        <v>54038</v>
      </c>
      <c r="B2357" s="345" t="s">
        <v>4373</v>
      </c>
    </row>
    <row r="2358" spans="1:2" ht="15.75" x14ac:dyDescent="0.25">
      <c r="A2358" s="344">
        <v>54040</v>
      </c>
      <c r="B2358" s="345" t="s">
        <v>4374</v>
      </c>
    </row>
    <row r="2359" spans="1:2" ht="15.75" x14ac:dyDescent="0.25">
      <c r="A2359" s="344">
        <v>54041</v>
      </c>
      <c r="B2359" s="345" t="s">
        <v>4375</v>
      </c>
    </row>
    <row r="2360" spans="1:2" ht="15.75" x14ac:dyDescent="0.25">
      <c r="A2360" s="344">
        <v>54042</v>
      </c>
      <c r="B2360" s="345" t="s">
        <v>4376</v>
      </c>
    </row>
    <row r="2361" spans="1:2" ht="15.75" x14ac:dyDescent="0.25">
      <c r="A2361" s="344">
        <v>54044</v>
      </c>
      <c r="B2361" s="345" t="s">
        <v>4377</v>
      </c>
    </row>
    <row r="2362" spans="1:2" ht="15.75" x14ac:dyDescent="0.25">
      <c r="A2362" s="344">
        <v>54045</v>
      </c>
      <c r="B2362" s="345" t="s">
        <v>4378</v>
      </c>
    </row>
    <row r="2363" spans="1:2" ht="15.75" x14ac:dyDescent="0.25">
      <c r="A2363" s="344">
        <v>54046</v>
      </c>
      <c r="B2363" s="345" t="s">
        <v>4379</v>
      </c>
    </row>
    <row r="2364" spans="1:2" ht="15.75" x14ac:dyDescent="0.25">
      <c r="A2364" s="344">
        <v>54048</v>
      </c>
      <c r="B2364" s="345" t="s">
        <v>4380</v>
      </c>
    </row>
    <row r="2365" spans="1:2" ht="15.75" x14ac:dyDescent="0.25">
      <c r="A2365" s="344">
        <v>54049</v>
      </c>
      <c r="B2365" s="345" t="s">
        <v>4381</v>
      </c>
    </row>
    <row r="2366" spans="1:2" ht="15.75" x14ac:dyDescent="0.25">
      <c r="A2366" s="344">
        <v>54050</v>
      </c>
      <c r="B2366" s="345" t="s">
        <v>4382</v>
      </c>
    </row>
    <row r="2367" spans="1:2" ht="15.75" x14ac:dyDescent="0.25">
      <c r="A2367" s="344">
        <v>54055</v>
      </c>
      <c r="B2367" s="345" t="s">
        <v>4383</v>
      </c>
    </row>
    <row r="2368" spans="1:2" ht="15.75" x14ac:dyDescent="0.25">
      <c r="A2368" s="344">
        <v>54060</v>
      </c>
      <c r="B2368" s="345" t="s">
        <v>4384</v>
      </c>
    </row>
    <row r="2369" spans="1:2" ht="15.75" x14ac:dyDescent="0.25">
      <c r="A2369" s="344">
        <v>54065</v>
      </c>
      <c r="B2369" s="345" t="s">
        <v>4385</v>
      </c>
    </row>
    <row r="2370" spans="1:2" ht="15.75" x14ac:dyDescent="0.25">
      <c r="A2370" s="344">
        <v>54066</v>
      </c>
      <c r="B2370" s="345" t="s">
        <v>4386</v>
      </c>
    </row>
    <row r="2371" spans="1:2" ht="15.75" x14ac:dyDescent="0.25">
      <c r="A2371" s="344">
        <v>54070</v>
      </c>
      <c r="B2371" s="345" t="s">
        <v>4387</v>
      </c>
    </row>
    <row r="2372" spans="1:2" ht="15.75" x14ac:dyDescent="0.25">
      <c r="A2372" s="344">
        <v>54071</v>
      </c>
      <c r="B2372" s="345" t="s">
        <v>4388</v>
      </c>
    </row>
    <row r="2373" spans="1:2" ht="15.75" x14ac:dyDescent="0.25">
      <c r="A2373" s="344">
        <v>54072</v>
      </c>
      <c r="B2373" s="345" t="s">
        <v>4389</v>
      </c>
    </row>
    <row r="2374" spans="1:2" ht="15.75" x14ac:dyDescent="0.25">
      <c r="A2374" s="344">
        <v>54073</v>
      </c>
      <c r="B2374" s="345" t="s">
        <v>4390</v>
      </c>
    </row>
    <row r="2375" spans="1:2" ht="15.75" x14ac:dyDescent="0.25">
      <c r="A2375" s="344">
        <v>54074</v>
      </c>
      <c r="B2375" s="345" t="s">
        <v>4391</v>
      </c>
    </row>
    <row r="2376" spans="1:2" ht="15.75" x14ac:dyDescent="0.25">
      <c r="A2376" s="344">
        <v>54075</v>
      </c>
      <c r="B2376" s="345" t="s">
        <v>4392</v>
      </c>
    </row>
    <row r="2377" spans="1:2" ht="15.75" x14ac:dyDescent="0.25">
      <c r="A2377" s="344">
        <v>54076</v>
      </c>
      <c r="B2377" s="345" t="s">
        <v>4393</v>
      </c>
    </row>
    <row r="2378" spans="1:2" ht="15.75" x14ac:dyDescent="0.25">
      <c r="A2378" s="344">
        <v>54077</v>
      </c>
      <c r="B2378" s="345" t="s">
        <v>4394</v>
      </c>
    </row>
    <row r="2379" spans="1:2" ht="15.75" x14ac:dyDescent="0.25">
      <c r="A2379" s="344">
        <v>54078</v>
      </c>
      <c r="B2379" s="345" t="s">
        <v>4395</v>
      </c>
    </row>
    <row r="2380" spans="1:2" ht="15.75" x14ac:dyDescent="0.25">
      <c r="A2380" s="344">
        <v>54080</v>
      </c>
      <c r="B2380" s="345" t="s">
        <v>4396</v>
      </c>
    </row>
    <row r="2381" spans="1:2" ht="15.75" x14ac:dyDescent="0.25">
      <c r="A2381" s="344">
        <v>54083</v>
      </c>
      <c r="B2381" s="345" t="s">
        <v>4397</v>
      </c>
    </row>
    <row r="2382" spans="1:2" ht="15.75" x14ac:dyDescent="0.25">
      <c r="A2382" s="344">
        <v>54085</v>
      </c>
      <c r="B2382" s="345" t="s">
        <v>4398</v>
      </c>
    </row>
    <row r="2383" spans="1:2" ht="15.75" x14ac:dyDescent="0.25">
      <c r="A2383" s="344">
        <v>54086</v>
      </c>
      <c r="B2383" s="345" t="s">
        <v>4399</v>
      </c>
    </row>
    <row r="2384" spans="1:2" ht="15.75" x14ac:dyDescent="0.25">
      <c r="A2384" s="344">
        <v>54088</v>
      </c>
      <c r="B2384" s="345" t="s">
        <v>4400</v>
      </c>
    </row>
    <row r="2385" spans="1:2" ht="15.75" x14ac:dyDescent="0.25">
      <c r="A2385" s="344">
        <v>54090</v>
      </c>
      <c r="B2385" s="345" t="s">
        <v>4401</v>
      </c>
    </row>
    <row r="2386" spans="1:2" ht="15.75" x14ac:dyDescent="0.25">
      <c r="A2386" s="344">
        <v>54091</v>
      </c>
      <c r="B2386" s="345" t="s">
        <v>4402</v>
      </c>
    </row>
    <row r="2387" spans="1:2" ht="15.75" x14ac:dyDescent="0.25">
      <c r="A2387" s="344">
        <v>54092</v>
      </c>
      <c r="B2387" s="345" t="s">
        <v>4403</v>
      </c>
    </row>
    <row r="2388" spans="1:2" ht="15.75" x14ac:dyDescent="0.25">
      <c r="A2388" s="344">
        <v>54093</v>
      </c>
      <c r="B2388" s="345" t="s">
        <v>4404</v>
      </c>
    </row>
    <row r="2389" spans="1:2" ht="15.75" x14ac:dyDescent="0.25">
      <c r="A2389" s="344">
        <v>54095</v>
      </c>
      <c r="B2389" s="345" t="s">
        <v>4405</v>
      </c>
    </row>
    <row r="2390" spans="1:2" ht="15.75" x14ac:dyDescent="0.25">
      <c r="A2390" s="344">
        <v>54097</v>
      </c>
      <c r="B2390" s="345" t="s">
        <v>4406</v>
      </c>
    </row>
    <row r="2391" spans="1:2" ht="15.75" x14ac:dyDescent="0.25">
      <c r="A2391" s="344">
        <v>54098</v>
      </c>
      <c r="B2391" s="345" t="s">
        <v>4407</v>
      </c>
    </row>
    <row r="2392" spans="1:2" ht="15.75" x14ac:dyDescent="0.25">
      <c r="A2392" s="344">
        <v>54100</v>
      </c>
      <c r="B2392" s="345" t="s">
        <v>4408</v>
      </c>
    </row>
    <row r="2393" spans="1:2" ht="15.75" x14ac:dyDescent="0.25">
      <c r="A2393" s="344">
        <v>54101</v>
      </c>
      <c r="B2393" s="345" t="s">
        <v>4409</v>
      </c>
    </row>
    <row r="2394" spans="1:2" ht="15.75" x14ac:dyDescent="0.25">
      <c r="A2394" s="344">
        <v>54102</v>
      </c>
      <c r="B2394" s="345" t="s">
        <v>4410</v>
      </c>
    </row>
    <row r="2395" spans="1:2" ht="15.75" x14ac:dyDescent="0.25">
      <c r="A2395" s="344">
        <v>54105</v>
      </c>
      <c r="B2395" s="345" t="s">
        <v>4411</v>
      </c>
    </row>
    <row r="2396" spans="1:2" ht="15.75" x14ac:dyDescent="0.25">
      <c r="A2396" s="344">
        <v>54108</v>
      </c>
      <c r="B2396" s="345" t="s">
        <v>4412</v>
      </c>
    </row>
    <row r="2397" spans="1:2" ht="15.75" x14ac:dyDescent="0.25">
      <c r="A2397" s="344">
        <v>54109</v>
      </c>
      <c r="B2397" s="345" t="s">
        <v>4413</v>
      </c>
    </row>
    <row r="2398" spans="1:2" ht="15.75" x14ac:dyDescent="0.25">
      <c r="A2398" s="344">
        <v>54110</v>
      </c>
      <c r="B2398" s="345" t="s">
        <v>1724</v>
      </c>
    </row>
    <row r="2399" spans="1:2" ht="15.75" x14ac:dyDescent="0.25">
      <c r="A2399" s="344">
        <v>54111</v>
      </c>
      <c r="B2399" s="345" t="s">
        <v>4414</v>
      </c>
    </row>
    <row r="2400" spans="1:2" ht="15.75" x14ac:dyDescent="0.25">
      <c r="A2400" s="344">
        <v>54112</v>
      </c>
      <c r="B2400" s="345" t="s">
        <v>4415</v>
      </c>
    </row>
    <row r="2401" spans="1:2" ht="15.75" x14ac:dyDescent="0.25">
      <c r="A2401" s="344">
        <v>54120</v>
      </c>
      <c r="B2401" s="345" t="s">
        <v>4416</v>
      </c>
    </row>
    <row r="2402" spans="1:2" ht="15.75" x14ac:dyDescent="0.25">
      <c r="A2402" s="344">
        <v>54122</v>
      </c>
      <c r="B2402" s="345" t="s">
        <v>4417</v>
      </c>
    </row>
    <row r="2403" spans="1:2" ht="15.75" x14ac:dyDescent="0.25">
      <c r="A2403" s="344">
        <v>54123</v>
      </c>
      <c r="B2403" s="345" t="s">
        <v>4418</v>
      </c>
    </row>
    <row r="2404" spans="1:2" ht="15.75" x14ac:dyDescent="0.25">
      <c r="A2404" s="344">
        <v>54125</v>
      </c>
      <c r="B2404" s="345" t="s">
        <v>4419</v>
      </c>
    </row>
    <row r="2405" spans="1:2" ht="15.75" x14ac:dyDescent="0.25">
      <c r="A2405" s="344">
        <v>54126</v>
      </c>
      <c r="B2405" s="345" t="s">
        <v>4420</v>
      </c>
    </row>
    <row r="2406" spans="1:2" ht="15.75" x14ac:dyDescent="0.25">
      <c r="A2406" s="344">
        <v>54127</v>
      </c>
      <c r="B2406" s="345" t="s">
        <v>4421</v>
      </c>
    </row>
    <row r="2407" spans="1:2" ht="15.75" x14ac:dyDescent="0.25">
      <c r="A2407" s="344">
        <v>54130</v>
      </c>
      <c r="B2407" s="345" t="s">
        <v>4422</v>
      </c>
    </row>
    <row r="2408" spans="1:2" ht="15.75" x14ac:dyDescent="0.25">
      <c r="A2408" s="344">
        <v>58000</v>
      </c>
      <c r="B2408" s="345" t="s">
        <v>4423</v>
      </c>
    </row>
    <row r="2409" spans="1:2" ht="15.75" x14ac:dyDescent="0.25">
      <c r="A2409" s="344">
        <v>58001</v>
      </c>
      <c r="B2409" s="345" t="s">
        <v>4424</v>
      </c>
    </row>
    <row r="2410" spans="1:2" ht="15.75" x14ac:dyDescent="0.25">
      <c r="A2410" s="344">
        <v>58020</v>
      </c>
      <c r="B2410" s="345" t="s">
        <v>1703</v>
      </c>
    </row>
    <row r="2411" spans="1:2" ht="15.75" x14ac:dyDescent="0.25">
      <c r="A2411" s="344">
        <v>58025</v>
      </c>
      <c r="B2411" s="345" t="s">
        <v>4425</v>
      </c>
    </row>
    <row r="2412" spans="1:2" ht="15.75" x14ac:dyDescent="0.25">
      <c r="A2412" s="344">
        <v>58026</v>
      </c>
      <c r="B2412" s="345" t="s">
        <v>4426</v>
      </c>
    </row>
    <row r="2413" spans="1:2" ht="15.75" x14ac:dyDescent="0.25">
      <c r="A2413" s="344">
        <v>58028</v>
      </c>
      <c r="B2413" s="345" t="s">
        <v>4427</v>
      </c>
    </row>
    <row r="2414" spans="1:2" ht="15.75" x14ac:dyDescent="0.25">
      <c r="A2414" s="344">
        <v>58030</v>
      </c>
      <c r="B2414" s="345" t="s">
        <v>4428</v>
      </c>
    </row>
    <row r="2415" spans="1:2" ht="15.75" x14ac:dyDescent="0.25">
      <c r="A2415" s="344">
        <v>58035</v>
      </c>
      <c r="B2415" s="345" t="s">
        <v>4429</v>
      </c>
    </row>
    <row r="2416" spans="1:2" ht="15.75" x14ac:dyDescent="0.25">
      <c r="A2416" s="344">
        <v>58050</v>
      </c>
      <c r="B2416" s="345" t="s">
        <v>4430</v>
      </c>
    </row>
    <row r="2417" spans="1:2" ht="15.75" x14ac:dyDescent="0.25">
      <c r="A2417" s="344">
        <v>58060</v>
      </c>
      <c r="B2417" s="345" t="s">
        <v>3933</v>
      </c>
    </row>
    <row r="2418" spans="1:2" ht="15.75" x14ac:dyDescent="0.25">
      <c r="A2418" s="344">
        <v>58065</v>
      </c>
      <c r="B2418" s="345" t="s">
        <v>3934</v>
      </c>
    </row>
    <row r="2419" spans="1:2" ht="15.75" x14ac:dyDescent="0.25">
      <c r="A2419" s="344">
        <v>58070</v>
      </c>
      <c r="B2419" s="345" t="s">
        <v>4431</v>
      </c>
    </row>
    <row r="2420" spans="1:2" ht="15.75" x14ac:dyDescent="0.25">
      <c r="A2420" s="344">
        <v>58071</v>
      </c>
      <c r="B2420" s="345" t="s">
        <v>4432</v>
      </c>
    </row>
    <row r="2421" spans="1:2" ht="15.75" x14ac:dyDescent="0.25">
      <c r="A2421" s="344">
        <v>58080</v>
      </c>
      <c r="B2421" s="345" t="s">
        <v>4433</v>
      </c>
    </row>
    <row r="2422" spans="1:2" ht="15.75" x14ac:dyDescent="0.25">
      <c r="A2422" s="344">
        <v>58090</v>
      </c>
      <c r="B2422" s="345" t="s">
        <v>4434</v>
      </c>
    </row>
    <row r="2423" spans="1:2" ht="15.75" x14ac:dyDescent="0.25">
      <c r="A2423" s="344">
        <v>58100</v>
      </c>
      <c r="B2423" s="345" t="s">
        <v>4435</v>
      </c>
    </row>
    <row r="2424" spans="1:2" ht="15.75" x14ac:dyDescent="0.25">
      <c r="A2424" s="344">
        <v>58105</v>
      </c>
      <c r="B2424" s="345" t="s">
        <v>1701</v>
      </c>
    </row>
    <row r="2425" spans="1:2" ht="15.75" x14ac:dyDescent="0.25">
      <c r="A2425" s="344">
        <v>58107</v>
      </c>
      <c r="B2425" s="345" t="s">
        <v>1717</v>
      </c>
    </row>
    <row r="2426" spans="1:2" ht="15.75" x14ac:dyDescent="0.25">
      <c r="A2426" s="344">
        <v>58108</v>
      </c>
      <c r="B2426" s="345" t="s">
        <v>4436</v>
      </c>
    </row>
    <row r="2427" spans="1:2" ht="15.75" x14ac:dyDescent="0.25">
      <c r="A2427" s="344">
        <v>58109</v>
      </c>
      <c r="B2427" s="345" t="s">
        <v>4437</v>
      </c>
    </row>
    <row r="2428" spans="1:2" ht="15.75" x14ac:dyDescent="0.25">
      <c r="A2428" s="344">
        <v>58110</v>
      </c>
      <c r="B2428" s="345" t="s">
        <v>4438</v>
      </c>
    </row>
    <row r="2429" spans="1:2" ht="15.75" x14ac:dyDescent="0.25">
      <c r="A2429" s="344">
        <v>58112</v>
      </c>
      <c r="B2429" s="345" t="s">
        <v>4439</v>
      </c>
    </row>
    <row r="2430" spans="1:2" ht="15.75" x14ac:dyDescent="0.25">
      <c r="A2430" s="344">
        <v>58115</v>
      </c>
      <c r="B2430" s="345" t="s">
        <v>4440</v>
      </c>
    </row>
    <row r="2431" spans="1:2" ht="15.75" x14ac:dyDescent="0.25">
      <c r="A2431" s="344">
        <v>58116</v>
      </c>
      <c r="B2431" s="345" t="s">
        <v>4441</v>
      </c>
    </row>
    <row r="2432" spans="1:2" ht="15.75" x14ac:dyDescent="0.25">
      <c r="A2432" s="344">
        <v>58117</v>
      </c>
      <c r="B2432" s="345" t="s">
        <v>4442</v>
      </c>
    </row>
    <row r="2433" spans="1:2" ht="15.75" x14ac:dyDescent="0.25">
      <c r="A2433" s="344">
        <v>58120</v>
      </c>
      <c r="B2433" s="345" t="s">
        <v>4443</v>
      </c>
    </row>
    <row r="2434" spans="1:2" ht="15.75" x14ac:dyDescent="0.25">
      <c r="A2434" s="344">
        <v>58200</v>
      </c>
      <c r="B2434" s="345" t="s">
        <v>4444</v>
      </c>
    </row>
    <row r="2435" spans="1:2" ht="15.75" x14ac:dyDescent="0.25">
      <c r="A2435" s="344">
        <v>58205</v>
      </c>
      <c r="B2435" s="345" t="s">
        <v>4445</v>
      </c>
    </row>
    <row r="2436" spans="1:2" ht="15.75" x14ac:dyDescent="0.25">
      <c r="A2436" s="344">
        <v>58207</v>
      </c>
      <c r="B2436" s="345" t="s">
        <v>4446</v>
      </c>
    </row>
    <row r="2437" spans="1:2" ht="15.75" x14ac:dyDescent="0.25">
      <c r="A2437" s="344">
        <v>58210</v>
      </c>
      <c r="B2437" s="345" t="s">
        <v>4447</v>
      </c>
    </row>
    <row r="2438" spans="1:2" ht="15.75" x14ac:dyDescent="0.25">
      <c r="A2438" s="344">
        <v>58211</v>
      </c>
      <c r="B2438" s="345" t="s">
        <v>4448</v>
      </c>
    </row>
    <row r="2439" spans="1:2" ht="15.75" x14ac:dyDescent="0.25">
      <c r="A2439" s="344">
        <v>58212</v>
      </c>
      <c r="B2439" s="345" t="s">
        <v>4449</v>
      </c>
    </row>
    <row r="2440" spans="1:2" ht="15.75" x14ac:dyDescent="0.25">
      <c r="A2440" s="344">
        <v>58213</v>
      </c>
      <c r="B2440" s="345" t="s">
        <v>4450</v>
      </c>
    </row>
    <row r="2441" spans="1:2" ht="15.75" x14ac:dyDescent="0.25">
      <c r="A2441" s="344">
        <v>58215</v>
      </c>
      <c r="B2441" s="345" t="s">
        <v>4451</v>
      </c>
    </row>
    <row r="2442" spans="1:2" ht="15.75" x14ac:dyDescent="0.25">
      <c r="A2442" s="344">
        <v>58225</v>
      </c>
      <c r="B2442" s="345" t="s">
        <v>4452</v>
      </c>
    </row>
    <row r="2443" spans="1:2" ht="15.75" x14ac:dyDescent="0.25">
      <c r="A2443" s="344">
        <v>58230</v>
      </c>
      <c r="B2443" s="345" t="s">
        <v>4453</v>
      </c>
    </row>
    <row r="2444" spans="1:2" ht="15.75" x14ac:dyDescent="0.25">
      <c r="A2444" s="344">
        <v>58231</v>
      </c>
      <c r="B2444" s="345" t="s">
        <v>4454</v>
      </c>
    </row>
    <row r="2445" spans="1:2" ht="15.75" x14ac:dyDescent="0.25">
      <c r="A2445" s="344">
        <v>58232</v>
      </c>
      <c r="B2445" s="345" t="s">
        <v>4455</v>
      </c>
    </row>
    <row r="2446" spans="1:2" ht="15.75" x14ac:dyDescent="0.25">
      <c r="A2446" s="344">
        <v>58233</v>
      </c>
      <c r="B2446" s="345" t="s">
        <v>4456</v>
      </c>
    </row>
    <row r="2447" spans="1:2" ht="15.75" x14ac:dyDescent="0.25">
      <c r="A2447" s="344">
        <v>58234</v>
      </c>
      <c r="B2447" s="345" t="s">
        <v>4457</v>
      </c>
    </row>
    <row r="2448" spans="1:2" ht="15.75" x14ac:dyDescent="0.25">
      <c r="A2448" s="344">
        <v>58235</v>
      </c>
      <c r="B2448" s="345" t="s">
        <v>4458</v>
      </c>
    </row>
    <row r="2449" spans="1:2" ht="15.75" x14ac:dyDescent="0.25">
      <c r="A2449" s="344">
        <v>58236</v>
      </c>
      <c r="B2449" s="345" t="s">
        <v>4459</v>
      </c>
    </row>
    <row r="2450" spans="1:2" ht="15.75" x14ac:dyDescent="0.25">
      <c r="A2450" s="344">
        <v>58237</v>
      </c>
      <c r="B2450" s="345" t="s">
        <v>4460</v>
      </c>
    </row>
    <row r="2451" spans="1:2" ht="15.75" x14ac:dyDescent="0.25">
      <c r="A2451" s="344">
        <v>58238</v>
      </c>
      <c r="B2451" s="345" t="s">
        <v>4461</v>
      </c>
    </row>
    <row r="2452" spans="1:2" ht="15.75" x14ac:dyDescent="0.25">
      <c r="A2452" s="344">
        <v>58240</v>
      </c>
      <c r="B2452" s="345" t="s">
        <v>4462</v>
      </c>
    </row>
    <row r="2453" spans="1:2" ht="15.75" x14ac:dyDescent="0.25">
      <c r="A2453" s="344">
        <v>58242</v>
      </c>
      <c r="B2453" s="345" t="s">
        <v>4463</v>
      </c>
    </row>
    <row r="2454" spans="1:2" ht="15.75" x14ac:dyDescent="0.25">
      <c r="A2454" s="344">
        <v>58243</v>
      </c>
      <c r="B2454" s="345" t="s">
        <v>4464</v>
      </c>
    </row>
    <row r="2455" spans="1:2" ht="15.75" x14ac:dyDescent="0.25">
      <c r="A2455" s="344">
        <v>58244</v>
      </c>
      <c r="B2455" s="345" t="s">
        <v>4465</v>
      </c>
    </row>
    <row r="2456" spans="1:2" ht="15.75" x14ac:dyDescent="0.25">
      <c r="A2456" s="344">
        <v>58245</v>
      </c>
      <c r="B2456" s="345" t="s">
        <v>4466</v>
      </c>
    </row>
    <row r="2457" spans="1:2" ht="15.75" x14ac:dyDescent="0.25">
      <c r="A2457" s="344">
        <v>58246</v>
      </c>
      <c r="B2457" s="345" t="s">
        <v>4467</v>
      </c>
    </row>
    <row r="2458" spans="1:2" ht="15.75" x14ac:dyDescent="0.25">
      <c r="A2458" s="344">
        <v>58247</v>
      </c>
      <c r="B2458" s="345" t="s">
        <v>1722</v>
      </c>
    </row>
    <row r="2459" spans="1:2" ht="15.75" x14ac:dyDescent="0.25">
      <c r="A2459" s="344">
        <v>58250</v>
      </c>
      <c r="B2459" s="345" t="s">
        <v>4468</v>
      </c>
    </row>
    <row r="2460" spans="1:2" ht="15.75" x14ac:dyDescent="0.25">
      <c r="A2460" s="344">
        <v>58253</v>
      </c>
      <c r="B2460" s="345" t="s">
        <v>4469</v>
      </c>
    </row>
    <row r="2461" spans="1:2" ht="15.75" x14ac:dyDescent="0.25">
      <c r="A2461" s="344">
        <v>58255</v>
      </c>
      <c r="B2461" s="345" t="s">
        <v>4470</v>
      </c>
    </row>
    <row r="2462" spans="1:2" ht="15.75" x14ac:dyDescent="0.25">
      <c r="A2462" s="344">
        <v>58260</v>
      </c>
      <c r="B2462" s="345" t="s">
        <v>3931</v>
      </c>
    </row>
    <row r="2463" spans="1:2" ht="15.75" x14ac:dyDescent="0.25">
      <c r="A2463" s="344">
        <v>58265</v>
      </c>
      <c r="B2463" s="345" t="s">
        <v>4471</v>
      </c>
    </row>
    <row r="2464" spans="1:2" ht="15.75" x14ac:dyDescent="0.25">
      <c r="A2464" s="344">
        <v>58266</v>
      </c>
      <c r="B2464" s="345" t="s">
        <v>4472</v>
      </c>
    </row>
    <row r="2465" spans="1:2" ht="15.75" x14ac:dyDescent="0.25">
      <c r="A2465" s="344">
        <v>58267</v>
      </c>
      <c r="B2465" s="345" t="s">
        <v>4473</v>
      </c>
    </row>
    <row r="2466" spans="1:2" ht="15.75" x14ac:dyDescent="0.25">
      <c r="A2466" s="344">
        <v>58268</v>
      </c>
      <c r="B2466" s="345" t="s">
        <v>4474</v>
      </c>
    </row>
    <row r="2467" spans="1:2" ht="15.75" x14ac:dyDescent="0.25">
      <c r="A2467" s="344">
        <v>58269</v>
      </c>
      <c r="B2467" s="345" t="s">
        <v>4475</v>
      </c>
    </row>
    <row r="2468" spans="1:2" ht="15.75" x14ac:dyDescent="0.25">
      <c r="A2468" s="344">
        <v>58270</v>
      </c>
      <c r="B2468" s="345" t="s">
        <v>4476</v>
      </c>
    </row>
    <row r="2469" spans="1:2" ht="15.75" x14ac:dyDescent="0.25">
      <c r="A2469" s="344">
        <v>58271</v>
      </c>
      <c r="B2469" s="345" t="s">
        <v>4477</v>
      </c>
    </row>
    <row r="2470" spans="1:2" ht="15.75" x14ac:dyDescent="0.25">
      <c r="A2470" s="344">
        <v>58272</v>
      </c>
      <c r="B2470" s="345" t="s">
        <v>4478</v>
      </c>
    </row>
    <row r="2471" spans="1:2" ht="15.75" x14ac:dyDescent="0.25">
      <c r="A2471" s="344">
        <v>58275</v>
      </c>
      <c r="B2471" s="345" t="s">
        <v>3957</v>
      </c>
    </row>
    <row r="2472" spans="1:2" ht="15.75" x14ac:dyDescent="0.25">
      <c r="A2472" s="344">
        <v>58276</v>
      </c>
      <c r="B2472" s="345" t="s">
        <v>4479</v>
      </c>
    </row>
    <row r="2473" spans="1:2" ht="15.75" x14ac:dyDescent="0.25">
      <c r="A2473" s="344">
        <v>58278</v>
      </c>
      <c r="B2473" s="345" t="s">
        <v>4480</v>
      </c>
    </row>
    <row r="2474" spans="1:2" ht="15.75" x14ac:dyDescent="0.25">
      <c r="A2474" s="344">
        <v>58280</v>
      </c>
      <c r="B2474" s="345" t="s">
        <v>4481</v>
      </c>
    </row>
    <row r="2475" spans="1:2" ht="15.75" x14ac:dyDescent="0.25">
      <c r="A2475" s="344">
        <v>58281</v>
      </c>
      <c r="B2475" s="345" t="s">
        <v>4482</v>
      </c>
    </row>
    <row r="2476" spans="1:2" ht="15.75" x14ac:dyDescent="0.25">
      <c r="A2476" s="344">
        <v>58282</v>
      </c>
      <c r="B2476" s="345" t="s">
        <v>4483</v>
      </c>
    </row>
    <row r="2477" spans="1:2" ht="15.75" x14ac:dyDescent="0.25">
      <c r="A2477" s="344">
        <v>58283</v>
      </c>
      <c r="B2477" s="345" t="s">
        <v>4484</v>
      </c>
    </row>
    <row r="2478" spans="1:2" ht="15.75" x14ac:dyDescent="0.25">
      <c r="A2478" s="344">
        <v>58284</v>
      </c>
      <c r="B2478" s="345" t="s">
        <v>1720</v>
      </c>
    </row>
    <row r="2479" spans="1:2" ht="15.75" x14ac:dyDescent="0.25">
      <c r="A2479" s="344">
        <v>58285</v>
      </c>
      <c r="B2479" s="345" t="s">
        <v>4485</v>
      </c>
    </row>
    <row r="2480" spans="1:2" ht="15.75" x14ac:dyDescent="0.25">
      <c r="A2480" s="344">
        <v>58287</v>
      </c>
      <c r="B2480" s="345" t="s">
        <v>4486</v>
      </c>
    </row>
    <row r="2481" spans="1:2" ht="15.75" x14ac:dyDescent="0.25">
      <c r="A2481" s="344">
        <v>58289</v>
      </c>
      <c r="B2481" s="345" t="s">
        <v>4487</v>
      </c>
    </row>
    <row r="2482" spans="1:2" ht="15.75" x14ac:dyDescent="0.25">
      <c r="A2482" s="344">
        <v>58290</v>
      </c>
      <c r="B2482" s="345" t="s">
        <v>4488</v>
      </c>
    </row>
    <row r="2483" spans="1:2" ht="15.75" x14ac:dyDescent="0.25">
      <c r="A2483" s="344">
        <v>58295</v>
      </c>
      <c r="B2483" s="345" t="s">
        <v>4489</v>
      </c>
    </row>
    <row r="2484" spans="1:2" ht="15.75" x14ac:dyDescent="0.25">
      <c r="A2484" s="344">
        <v>58300</v>
      </c>
      <c r="B2484" s="345" t="s">
        <v>4490</v>
      </c>
    </row>
    <row r="2485" spans="1:2" ht="15.75" x14ac:dyDescent="0.25">
      <c r="A2485" s="344">
        <v>58301</v>
      </c>
      <c r="B2485" s="345" t="s">
        <v>4491</v>
      </c>
    </row>
    <row r="2486" spans="1:2" ht="15.75" x14ac:dyDescent="0.25">
      <c r="A2486" s="344">
        <v>58302</v>
      </c>
      <c r="B2486" s="345" t="s">
        <v>4492</v>
      </c>
    </row>
    <row r="2487" spans="1:2" ht="15.75" x14ac:dyDescent="0.25">
      <c r="A2487" s="344">
        <v>58305</v>
      </c>
      <c r="B2487" s="345" t="s">
        <v>4493</v>
      </c>
    </row>
    <row r="2488" spans="1:2" ht="15.75" x14ac:dyDescent="0.25">
      <c r="A2488" s="344">
        <v>58320</v>
      </c>
      <c r="B2488" s="345" t="s">
        <v>4494</v>
      </c>
    </row>
    <row r="2489" spans="1:2" ht="15.75" x14ac:dyDescent="0.25">
      <c r="A2489" s="344">
        <v>58330</v>
      </c>
      <c r="B2489" s="345" t="s">
        <v>4495</v>
      </c>
    </row>
    <row r="2490" spans="1:2" ht="15.75" x14ac:dyDescent="0.25">
      <c r="A2490" s="344">
        <v>59000</v>
      </c>
      <c r="B2490" s="345" t="s">
        <v>4496</v>
      </c>
    </row>
    <row r="2491" spans="1:2" ht="15.75" x14ac:dyDescent="0.25">
      <c r="A2491" s="344">
        <v>59010</v>
      </c>
      <c r="B2491" s="345" t="s">
        <v>4497</v>
      </c>
    </row>
    <row r="2492" spans="1:2" ht="15.75" x14ac:dyDescent="0.25">
      <c r="A2492" s="344">
        <v>59020</v>
      </c>
      <c r="B2492" s="345" t="s">
        <v>1705</v>
      </c>
    </row>
    <row r="2493" spans="1:2" ht="15.75" x14ac:dyDescent="0.25">
      <c r="A2493" s="344">
        <v>59030</v>
      </c>
      <c r="B2493" s="345" t="s">
        <v>4498</v>
      </c>
    </row>
    <row r="2494" spans="1:2" ht="15.75" x14ac:dyDescent="0.25">
      <c r="A2494" s="344">
        <v>59035</v>
      </c>
      <c r="B2494" s="345" t="s">
        <v>4499</v>
      </c>
    </row>
    <row r="2495" spans="1:2" ht="15.75" x14ac:dyDescent="0.25">
      <c r="A2495" s="344">
        <v>59037</v>
      </c>
      <c r="B2495" s="345" t="s">
        <v>4500</v>
      </c>
    </row>
    <row r="2496" spans="1:2" ht="15.75" x14ac:dyDescent="0.25">
      <c r="A2496" s="344">
        <v>59040</v>
      </c>
      <c r="B2496" s="345" t="s">
        <v>4501</v>
      </c>
    </row>
    <row r="2497" spans="1:2" ht="15.75" x14ac:dyDescent="0.25">
      <c r="A2497" s="344">
        <v>59045</v>
      </c>
      <c r="B2497" s="345" t="s">
        <v>4502</v>
      </c>
    </row>
    <row r="2498" spans="1:2" ht="15.75" x14ac:dyDescent="0.25">
      <c r="A2498" s="344">
        <v>59048</v>
      </c>
      <c r="B2498" s="345" t="s">
        <v>4503</v>
      </c>
    </row>
    <row r="2499" spans="1:2" ht="15.75" x14ac:dyDescent="0.25">
      <c r="A2499" s="344">
        <v>59050</v>
      </c>
      <c r="B2499" s="345" t="s">
        <v>4001</v>
      </c>
    </row>
    <row r="2500" spans="1:2" ht="15.75" x14ac:dyDescent="0.25">
      <c r="A2500" s="344">
        <v>59060</v>
      </c>
      <c r="B2500" s="345" t="s">
        <v>4504</v>
      </c>
    </row>
    <row r="2501" spans="1:2" ht="15.75" x14ac:dyDescent="0.25">
      <c r="A2501" s="344">
        <v>59070</v>
      </c>
      <c r="B2501" s="345" t="s">
        <v>1707</v>
      </c>
    </row>
    <row r="2502" spans="1:2" ht="15.75" x14ac:dyDescent="0.25">
      <c r="A2502" s="344">
        <v>59073</v>
      </c>
      <c r="B2502" s="345" t="s">
        <v>4505</v>
      </c>
    </row>
    <row r="2503" spans="1:2" ht="15.75" x14ac:dyDescent="0.25">
      <c r="A2503" s="344">
        <v>59075</v>
      </c>
      <c r="B2503" s="345" t="s">
        <v>4506</v>
      </c>
    </row>
    <row r="2504" spans="1:2" ht="15.75" x14ac:dyDescent="0.25">
      <c r="A2504" s="344">
        <v>59078</v>
      </c>
      <c r="B2504" s="345" t="s">
        <v>4507</v>
      </c>
    </row>
    <row r="2505" spans="1:2" ht="15.75" x14ac:dyDescent="0.25">
      <c r="A2505" s="344">
        <v>59079</v>
      </c>
      <c r="B2505" s="345" t="s">
        <v>4508</v>
      </c>
    </row>
    <row r="2506" spans="1:2" ht="15.75" x14ac:dyDescent="0.25">
      <c r="A2506" s="344">
        <v>59080</v>
      </c>
      <c r="B2506" s="345" t="s">
        <v>4509</v>
      </c>
    </row>
    <row r="2507" spans="1:2" ht="15.75" x14ac:dyDescent="0.25">
      <c r="A2507" s="344">
        <v>59085</v>
      </c>
      <c r="B2507" s="345" t="s">
        <v>4002</v>
      </c>
    </row>
    <row r="2508" spans="1:2" ht="15.75" x14ac:dyDescent="0.25">
      <c r="A2508" s="344">
        <v>59087</v>
      </c>
      <c r="B2508" s="345" t="s">
        <v>4510</v>
      </c>
    </row>
    <row r="2509" spans="1:2" ht="15.75" x14ac:dyDescent="0.25">
      <c r="A2509" s="344">
        <v>59090</v>
      </c>
      <c r="B2509" s="345" t="s">
        <v>4511</v>
      </c>
    </row>
    <row r="2510" spans="1:2" ht="15.75" x14ac:dyDescent="0.25">
      <c r="A2510" s="344">
        <v>59093</v>
      </c>
      <c r="B2510" s="345" t="s">
        <v>4512</v>
      </c>
    </row>
    <row r="2511" spans="1:2" ht="15.75" x14ac:dyDescent="0.25">
      <c r="A2511" s="344">
        <v>59095</v>
      </c>
      <c r="B2511" s="345" t="s">
        <v>4513</v>
      </c>
    </row>
    <row r="2512" spans="1:2" ht="15.75" x14ac:dyDescent="0.25">
      <c r="A2512" s="344">
        <v>59100</v>
      </c>
      <c r="B2512" s="345" t="s">
        <v>1709</v>
      </c>
    </row>
    <row r="2513" spans="1:2" ht="15.75" x14ac:dyDescent="0.25">
      <c r="A2513" s="344">
        <v>59105</v>
      </c>
      <c r="B2513" s="345" t="s">
        <v>4514</v>
      </c>
    </row>
    <row r="2514" spans="1:2" ht="15.75" x14ac:dyDescent="0.25">
      <c r="A2514" s="344">
        <v>59106</v>
      </c>
      <c r="B2514" s="345" t="s">
        <v>4515</v>
      </c>
    </row>
    <row r="2515" spans="1:2" ht="15.75" x14ac:dyDescent="0.25">
      <c r="A2515" s="344">
        <v>59110</v>
      </c>
      <c r="B2515" s="345" t="s">
        <v>1711</v>
      </c>
    </row>
    <row r="2516" spans="1:2" ht="15.75" x14ac:dyDescent="0.25">
      <c r="A2516" s="344">
        <v>59112</v>
      </c>
      <c r="B2516" s="345" t="s">
        <v>4516</v>
      </c>
    </row>
    <row r="2517" spans="1:2" ht="15.75" x14ac:dyDescent="0.25">
      <c r="A2517" s="344">
        <v>59114</v>
      </c>
      <c r="B2517" s="345" t="s">
        <v>4517</v>
      </c>
    </row>
    <row r="2518" spans="1:2" ht="15.75" x14ac:dyDescent="0.25">
      <c r="A2518" s="344">
        <v>59115</v>
      </c>
      <c r="B2518" s="345" t="s">
        <v>4518</v>
      </c>
    </row>
    <row r="2519" spans="1:2" ht="15.75" x14ac:dyDescent="0.25">
      <c r="A2519" s="344">
        <v>59116</v>
      </c>
      <c r="B2519" s="345" t="s">
        <v>4519</v>
      </c>
    </row>
    <row r="2520" spans="1:2" ht="15.75" x14ac:dyDescent="0.25">
      <c r="A2520" s="344">
        <v>59120</v>
      </c>
      <c r="B2520" s="345" t="s">
        <v>4520</v>
      </c>
    </row>
    <row r="2521" spans="1:2" ht="15.75" x14ac:dyDescent="0.25">
      <c r="A2521" s="344">
        <v>59122</v>
      </c>
      <c r="B2521" s="345" t="s">
        <v>4521</v>
      </c>
    </row>
    <row r="2522" spans="1:2" ht="15.75" x14ac:dyDescent="0.25">
      <c r="A2522" s="344">
        <v>59123</v>
      </c>
      <c r="B2522" s="345" t="s">
        <v>4522</v>
      </c>
    </row>
    <row r="2523" spans="1:2" ht="15.75" x14ac:dyDescent="0.25">
      <c r="A2523" s="344">
        <v>59124</v>
      </c>
      <c r="B2523" s="345" t="s">
        <v>4523</v>
      </c>
    </row>
    <row r="2524" spans="1:2" ht="15.75" x14ac:dyDescent="0.25">
      <c r="A2524" s="344">
        <v>59130</v>
      </c>
      <c r="B2524" s="345" t="s">
        <v>4524</v>
      </c>
    </row>
    <row r="2525" spans="1:2" ht="15.75" x14ac:dyDescent="0.25">
      <c r="A2525" s="344">
        <v>59135</v>
      </c>
      <c r="B2525" s="345" t="s">
        <v>4525</v>
      </c>
    </row>
    <row r="2526" spans="1:2" ht="15.75" x14ac:dyDescent="0.25">
      <c r="A2526" s="344">
        <v>60000</v>
      </c>
      <c r="B2526" s="345" t="s">
        <v>4526</v>
      </c>
    </row>
    <row r="2527" spans="1:2" ht="15.75" x14ac:dyDescent="0.25">
      <c r="A2527" s="344">
        <v>61010</v>
      </c>
      <c r="B2527" s="345" t="s">
        <v>4527</v>
      </c>
    </row>
    <row r="2528" spans="1:2" ht="15.75" x14ac:dyDescent="0.25">
      <c r="A2528" s="344">
        <v>61011</v>
      </c>
      <c r="B2528" s="345" t="s">
        <v>4528</v>
      </c>
    </row>
    <row r="2529" spans="1:2" ht="15.75" x14ac:dyDescent="0.25">
      <c r="A2529" s="344">
        <v>61015</v>
      </c>
      <c r="B2529" s="345" t="s">
        <v>4529</v>
      </c>
    </row>
    <row r="2530" spans="1:2" ht="15.75" x14ac:dyDescent="0.25">
      <c r="A2530" s="344">
        <v>61020</v>
      </c>
      <c r="B2530" s="345" t="s">
        <v>4530</v>
      </c>
    </row>
    <row r="2531" spans="1:2" ht="15.75" x14ac:dyDescent="0.25">
      <c r="A2531" s="344">
        <v>61025</v>
      </c>
      <c r="B2531" s="345" t="s">
        <v>4531</v>
      </c>
    </row>
    <row r="2532" spans="1:2" ht="15.75" x14ac:dyDescent="0.25">
      <c r="A2532" s="344">
        <v>61030</v>
      </c>
      <c r="B2532" s="345" t="s">
        <v>4526</v>
      </c>
    </row>
    <row r="2533" spans="1:2" ht="15.75" x14ac:dyDescent="0.25">
      <c r="A2533" s="344">
        <v>61033</v>
      </c>
      <c r="B2533" s="345" t="s">
        <v>4532</v>
      </c>
    </row>
    <row r="2534" spans="1:2" ht="15.75" x14ac:dyDescent="0.25">
      <c r="A2534" s="344">
        <v>61035</v>
      </c>
      <c r="B2534" s="345" t="s">
        <v>4533</v>
      </c>
    </row>
    <row r="2535" spans="1:2" ht="15.75" x14ac:dyDescent="0.25">
      <c r="A2535" s="344">
        <v>61040</v>
      </c>
      <c r="B2535" s="345" t="s">
        <v>4534</v>
      </c>
    </row>
    <row r="2536" spans="1:2" ht="15.75" x14ac:dyDescent="0.25">
      <c r="A2536" s="344">
        <v>61045</v>
      </c>
      <c r="B2536" s="345" t="s">
        <v>4535</v>
      </c>
    </row>
    <row r="2537" spans="1:2" ht="15.75" x14ac:dyDescent="0.25">
      <c r="A2537" s="344">
        <v>62000</v>
      </c>
      <c r="B2537" s="345" t="s">
        <v>2025</v>
      </c>
    </row>
    <row r="2538" spans="1:2" ht="15.75" x14ac:dyDescent="0.25">
      <c r="A2538" s="344">
        <v>62010</v>
      </c>
      <c r="B2538" s="345" t="s">
        <v>148</v>
      </c>
    </row>
    <row r="2539" spans="1:2" ht="15.75" x14ac:dyDescent="0.25">
      <c r="A2539" s="344">
        <v>62015</v>
      </c>
      <c r="B2539" s="345" t="s">
        <v>4536</v>
      </c>
    </row>
    <row r="2540" spans="1:2" ht="15.75" x14ac:dyDescent="0.25">
      <c r="A2540" s="344">
        <v>62020</v>
      </c>
      <c r="B2540" s="345" t="s">
        <v>4537</v>
      </c>
    </row>
    <row r="2541" spans="1:2" ht="15.75" x14ac:dyDescent="0.25">
      <c r="A2541" s="344">
        <v>62022</v>
      </c>
      <c r="B2541" s="345" t="s">
        <v>4538</v>
      </c>
    </row>
    <row r="2542" spans="1:2" ht="15.75" x14ac:dyDescent="0.25">
      <c r="A2542" s="344">
        <v>62025</v>
      </c>
      <c r="B2542" s="345" t="s">
        <v>4539</v>
      </c>
    </row>
    <row r="2543" spans="1:2" ht="15.75" x14ac:dyDescent="0.25">
      <c r="A2543" s="344">
        <v>62028</v>
      </c>
      <c r="B2543" s="345" t="s">
        <v>4540</v>
      </c>
    </row>
    <row r="2544" spans="1:2" ht="15.75" x14ac:dyDescent="0.25">
      <c r="A2544" s="344">
        <v>62029</v>
      </c>
      <c r="B2544" s="345" t="s">
        <v>4541</v>
      </c>
    </row>
    <row r="2545" spans="1:2" ht="15.75" x14ac:dyDescent="0.25">
      <c r="A2545" s="344">
        <v>62030</v>
      </c>
      <c r="B2545" s="345" t="s">
        <v>4542</v>
      </c>
    </row>
    <row r="2546" spans="1:2" ht="15.75" x14ac:dyDescent="0.25">
      <c r="A2546" s="344">
        <v>62035</v>
      </c>
      <c r="B2546" s="345" t="s">
        <v>4543</v>
      </c>
    </row>
    <row r="2547" spans="1:2" ht="15.75" x14ac:dyDescent="0.25">
      <c r="A2547" s="344">
        <v>62040</v>
      </c>
      <c r="B2547" s="345" t="s">
        <v>4544</v>
      </c>
    </row>
    <row r="2548" spans="1:2" ht="15.75" x14ac:dyDescent="0.25">
      <c r="A2548" s="344">
        <v>62060</v>
      </c>
      <c r="B2548" s="345" t="s">
        <v>4545</v>
      </c>
    </row>
    <row r="2549" spans="1:2" ht="15.75" x14ac:dyDescent="0.25">
      <c r="A2549" s="344">
        <v>62080</v>
      </c>
      <c r="B2549" s="345" t="s">
        <v>4546</v>
      </c>
    </row>
    <row r="2550" spans="1:2" ht="15.75" x14ac:dyDescent="0.25">
      <c r="A2550" s="344">
        <v>63000</v>
      </c>
      <c r="B2550" s="345" t="s">
        <v>2026</v>
      </c>
    </row>
    <row r="2551" spans="1:2" ht="15.75" x14ac:dyDescent="0.25">
      <c r="A2551" s="344">
        <v>63010</v>
      </c>
      <c r="B2551" s="345" t="s">
        <v>4547</v>
      </c>
    </row>
    <row r="2552" spans="1:2" ht="15.75" x14ac:dyDescent="0.25">
      <c r="A2552" s="344">
        <v>63015</v>
      </c>
      <c r="B2552" s="345" t="s">
        <v>4548</v>
      </c>
    </row>
    <row r="2553" spans="1:2" ht="15.75" x14ac:dyDescent="0.25">
      <c r="A2553" s="344">
        <v>63020</v>
      </c>
      <c r="B2553" s="345" t="s">
        <v>4549</v>
      </c>
    </row>
    <row r="2554" spans="1:2" ht="15.75" x14ac:dyDescent="0.25">
      <c r="A2554" s="344">
        <v>63030</v>
      </c>
      <c r="B2554" s="345" t="s">
        <v>4550</v>
      </c>
    </row>
    <row r="2555" spans="1:2" ht="15.75" x14ac:dyDescent="0.25">
      <c r="A2555" s="344">
        <v>63035</v>
      </c>
      <c r="B2555" s="345" t="s">
        <v>4551</v>
      </c>
    </row>
    <row r="2556" spans="1:2" ht="15.75" x14ac:dyDescent="0.25">
      <c r="A2556" s="344">
        <v>63040</v>
      </c>
      <c r="B2556" s="345" t="s">
        <v>4552</v>
      </c>
    </row>
    <row r="2557" spans="1:2" ht="15.75" x14ac:dyDescent="0.25">
      <c r="A2557" s="344">
        <v>63050</v>
      </c>
      <c r="B2557" s="345" t="s">
        <v>4553</v>
      </c>
    </row>
    <row r="2558" spans="1:2" ht="15.75" x14ac:dyDescent="0.25">
      <c r="A2558" s="344">
        <v>63055</v>
      </c>
      <c r="B2558" s="345" t="s">
        <v>4554</v>
      </c>
    </row>
    <row r="2559" spans="1:2" ht="15.75" x14ac:dyDescent="0.25">
      <c r="A2559" s="344">
        <v>63060</v>
      </c>
      <c r="B2559" s="345" t="s">
        <v>4555</v>
      </c>
    </row>
    <row r="2560" spans="1:2" ht="15.75" x14ac:dyDescent="0.25">
      <c r="A2560" s="344">
        <v>63070</v>
      </c>
      <c r="B2560" s="345" t="s">
        <v>4556</v>
      </c>
    </row>
    <row r="2561" spans="1:2" ht="15.75" x14ac:dyDescent="0.25">
      <c r="A2561" s="344">
        <v>63075</v>
      </c>
      <c r="B2561" s="345" t="s">
        <v>4557</v>
      </c>
    </row>
    <row r="2562" spans="1:2" ht="15.75" x14ac:dyDescent="0.25">
      <c r="A2562" s="344">
        <v>63080</v>
      </c>
      <c r="B2562" s="345" t="s">
        <v>4558</v>
      </c>
    </row>
    <row r="2563" spans="1:2" ht="15.75" x14ac:dyDescent="0.25">
      <c r="A2563" s="344">
        <v>63085</v>
      </c>
      <c r="B2563" s="345" t="s">
        <v>4559</v>
      </c>
    </row>
    <row r="2564" spans="1:2" ht="15.75" x14ac:dyDescent="0.25">
      <c r="A2564" s="344">
        <v>63087</v>
      </c>
      <c r="B2564" s="345" t="s">
        <v>4560</v>
      </c>
    </row>
    <row r="2565" spans="1:2" ht="15.75" x14ac:dyDescent="0.25">
      <c r="A2565" s="344">
        <v>63090</v>
      </c>
      <c r="B2565" s="345" t="s">
        <v>4561</v>
      </c>
    </row>
    <row r="2566" spans="1:2" ht="15.75" x14ac:dyDescent="0.25">
      <c r="A2566" s="344">
        <v>67000</v>
      </c>
      <c r="B2566" s="345" t="s">
        <v>4562</v>
      </c>
    </row>
    <row r="2567" spans="1:2" ht="15.75" x14ac:dyDescent="0.25">
      <c r="A2567" s="344">
        <v>67001</v>
      </c>
      <c r="B2567" s="345" t="s">
        <v>4563</v>
      </c>
    </row>
    <row r="2568" spans="1:2" ht="15.75" x14ac:dyDescent="0.25">
      <c r="A2568" s="344">
        <v>67002</v>
      </c>
      <c r="B2568" s="345" t="s">
        <v>4564</v>
      </c>
    </row>
    <row r="2569" spans="1:2" ht="15.75" x14ac:dyDescent="0.25">
      <c r="A2569" s="344">
        <v>67003</v>
      </c>
      <c r="B2569" s="345" t="s">
        <v>4565</v>
      </c>
    </row>
    <row r="2570" spans="1:2" ht="15.75" x14ac:dyDescent="0.25">
      <c r="A2570" s="344">
        <v>67004</v>
      </c>
      <c r="B2570" s="345" t="s">
        <v>4566</v>
      </c>
    </row>
    <row r="2571" spans="1:2" ht="15.75" x14ac:dyDescent="0.25">
      <c r="A2571" s="344">
        <v>67005</v>
      </c>
      <c r="B2571" s="345" t="s">
        <v>4567</v>
      </c>
    </row>
    <row r="2572" spans="1:2" ht="15.75" x14ac:dyDescent="0.25">
      <c r="A2572" s="344">
        <v>67006</v>
      </c>
      <c r="B2572" s="345" t="s">
        <v>4568</v>
      </c>
    </row>
    <row r="2573" spans="1:2" ht="15.75" x14ac:dyDescent="0.25">
      <c r="A2573" s="344">
        <v>67012</v>
      </c>
      <c r="B2573" s="345" t="s">
        <v>4569</v>
      </c>
    </row>
    <row r="2574" spans="1:2" ht="15.75" x14ac:dyDescent="0.25">
      <c r="A2574" s="344">
        <v>67013</v>
      </c>
      <c r="B2574" s="345" t="s">
        <v>4570</v>
      </c>
    </row>
    <row r="2575" spans="1:2" ht="15.75" x14ac:dyDescent="0.25">
      <c r="A2575" s="344">
        <v>67014</v>
      </c>
      <c r="B2575" s="345" t="s">
        <v>4571</v>
      </c>
    </row>
    <row r="2576" spans="1:2" ht="15.75" x14ac:dyDescent="0.25">
      <c r="A2576" s="344">
        <v>67015</v>
      </c>
      <c r="B2576" s="345" t="s">
        <v>4572</v>
      </c>
    </row>
    <row r="2577" spans="1:2" ht="15.75" x14ac:dyDescent="0.25">
      <c r="A2577" s="344">
        <v>67016</v>
      </c>
      <c r="B2577" s="345" t="s">
        <v>4573</v>
      </c>
    </row>
    <row r="2578" spans="1:2" ht="15.75" x14ac:dyDescent="0.25">
      <c r="A2578" s="344">
        <v>67020</v>
      </c>
      <c r="B2578" s="345" t="s">
        <v>4574</v>
      </c>
    </row>
    <row r="2579" spans="1:2" ht="15.75" x14ac:dyDescent="0.25">
      <c r="A2579" s="344">
        <v>67025</v>
      </c>
      <c r="B2579" s="345" t="s">
        <v>4575</v>
      </c>
    </row>
    <row r="2580" spans="1:2" ht="15.75" x14ac:dyDescent="0.25">
      <c r="A2580" s="344">
        <v>67030</v>
      </c>
      <c r="B2580" s="345" t="s">
        <v>4576</v>
      </c>
    </row>
    <row r="2581" spans="1:2" ht="15.75" x14ac:dyDescent="0.25">
      <c r="A2581" s="344">
        <v>67035</v>
      </c>
      <c r="B2581" s="345" t="s">
        <v>4577</v>
      </c>
    </row>
    <row r="2582" spans="1:2" ht="15.75" x14ac:dyDescent="0.25">
      <c r="A2582" s="344">
        <v>67040</v>
      </c>
      <c r="B2582" s="345" t="s">
        <v>4578</v>
      </c>
    </row>
    <row r="2583" spans="1:2" ht="15.75" x14ac:dyDescent="0.25">
      <c r="A2583" s="344">
        <v>67043</v>
      </c>
      <c r="B2583" s="345" t="s">
        <v>4579</v>
      </c>
    </row>
    <row r="2584" spans="1:2" ht="15.75" x14ac:dyDescent="0.25">
      <c r="A2584" s="344">
        <v>67045</v>
      </c>
      <c r="B2584" s="345" t="s">
        <v>4580</v>
      </c>
    </row>
    <row r="2585" spans="1:2" ht="15.75" x14ac:dyDescent="0.25">
      <c r="A2585" s="344">
        <v>67050</v>
      </c>
      <c r="B2585" s="345" t="s">
        <v>4581</v>
      </c>
    </row>
    <row r="2586" spans="1:2" ht="15.75" x14ac:dyDescent="0.25">
      <c r="A2586" s="344">
        <v>67060</v>
      </c>
      <c r="B2586" s="345" t="s">
        <v>4582</v>
      </c>
    </row>
    <row r="2587" spans="1:2" ht="15.75" x14ac:dyDescent="0.25">
      <c r="A2587" s="344">
        <v>67065</v>
      </c>
      <c r="B2587" s="345" t="s">
        <v>4583</v>
      </c>
    </row>
    <row r="2588" spans="1:2" ht="15.75" x14ac:dyDescent="0.25">
      <c r="A2588" s="344">
        <v>67070</v>
      </c>
      <c r="B2588" s="345" t="s">
        <v>4584</v>
      </c>
    </row>
    <row r="2589" spans="1:2" ht="15.75" x14ac:dyDescent="0.25">
      <c r="A2589" s="344">
        <v>67101</v>
      </c>
      <c r="B2589" s="345" t="s">
        <v>4585</v>
      </c>
    </row>
    <row r="2590" spans="1:2" ht="15.75" x14ac:dyDescent="0.25">
      <c r="A2590" s="344">
        <v>67102</v>
      </c>
      <c r="B2590" s="345" t="s">
        <v>4586</v>
      </c>
    </row>
    <row r="2591" spans="1:2" ht="15.75" x14ac:dyDescent="0.25">
      <c r="A2591" s="344">
        <v>67103</v>
      </c>
      <c r="B2591" s="345" t="s">
        <v>4587</v>
      </c>
    </row>
    <row r="2592" spans="1:2" ht="15.75" x14ac:dyDescent="0.25">
      <c r="A2592" s="344">
        <v>67104</v>
      </c>
      <c r="B2592" s="345" t="s">
        <v>4588</v>
      </c>
    </row>
    <row r="2593" spans="1:2" ht="15.75" x14ac:dyDescent="0.25">
      <c r="A2593" s="344">
        <v>67105</v>
      </c>
      <c r="B2593" s="345" t="s">
        <v>4589</v>
      </c>
    </row>
    <row r="2594" spans="1:2" ht="15.75" x14ac:dyDescent="0.25">
      <c r="A2594" s="344">
        <v>67106</v>
      </c>
      <c r="B2594" s="345" t="s">
        <v>4590</v>
      </c>
    </row>
    <row r="2595" spans="1:2" ht="15.75" x14ac:dyDescent="0.25">
      <c r="A2595" s="344">
        <v>67107</v>
      </c>
      <c r="B2595" s="345" t="s">
        <v>4591</v>
      </c>
    </row>
    <row r="2596" spans="1:2" ht="15.75" x14ac:dyDescent="0.25">
      <c r="A2596" s="344">
        <v>67108</v>
      </c>
      <c r="B2596" s="345" t="s">
        <v>4592</v>
      </c>
    </row>
    <row r="2597" spans="1:2" ht="15.75" x14ac:dyDescent="0.25">
      <c r="A2597" s="344">
        <v>67115</v>
      </c>
      <c r="B2597" s="345" t="s">
        <v>4593</v>
      </c>
    </row>
    <row r="2598" spans="1:2" ht="15.75" x14ac:dyDescent="0.25">
      <c r="A2598" s="344">
        <v>67120</v>
      </c>
      <c r="B2598" s="345" t="s">
        <v>4594</v>
      </c>
    </row>
    <row r="2599" spans="1:2" ht="15.75" x14ac:dyDescent="0.25">
      <c r="A2599" s="344">
        <v>67130</v>
      </c>
      <c r="B2599" s="345" t="s">
        <v>4595</v>
      </c>
    </row>
    <row r="2600" spans="1:2" ht="15.75" x14ac:dyDescent="0.25">
      <c r="A2600" s="344">
        <v>67140</v>
      </c>
      <c r="B2600" s="345" t="s">
        <v>4596</v>
      </c>
    </row>
    <row r="2601" spans="1:2" ht="15.75" x14ac:dyDescent="0.25">
      <c r="A2601" s="344">
        <v>67145</v>
      </c>
      <c r="B2601" s="345" t="s">
        <v>4597</v>
      </c>
    </row>
    <row r="2602" spans="1:2" ht="15.75" x14ac:dyDescent="0.25">
      <c r="A2602" s="344">
        <v>67150</v>
      </c>
      <c r="B2602" s="345" t="s">
        <v>4598</v>
      </c>
    </row>
    <row r="2603" spans="1:2" ht="15.75" x14ac:dyDescent="0.25">
      <c r="A2603" s="344">
        <v>67155</v>
      </c>
      <c r="B2603" s="345" t="s">
        <v>4599</v>
      </c>
    </row>
    <row r="2604" spans="1:2" ht="15.75" x14ac:dyDescent="0.25">
      <c r="A2604" s="344">
        <v>67160</v>
      </c>
      <c r="B2604" s="345" t="s">
        <v>4600</v>
      </c>
    </row>
    <row r="2605" spans="1:2" ht="15.75" x14ac:dyDescent="0.25">
      <c r="A2605" s="344">
        <v>67165</v>
      </c>
      <c r="B2605" s="345" t="s">
        <v>4601</v>
      </c>
    </row>
    <row r="2606" spans="1:2" ht="15.75" x14ac:dyDescent="0.25">
      <c r="A2606" s="344">
        <v>67170</v>
      </c>
      <c r="B2606" s="345" t="s">
        <v>4602</v>
      </c>
    </row>
    <row r="2607" spans="1:2" ht="15.75" x14ac:dyDescent="0.25">
      <c r="A2607" s="344">
        <v>67175</v>
      </c>
      <c r="B2607" s="345" t="s">
        <v>4603</v>
      </c>
    </row>
    <row r="2608" spans="1:2" ht="15.75" x14ac:dyDescent="0.25">
      <c r="A2608" s="344">
        <v>67180</v>
      </c>
      <c r="B2608" s="345" t="s">
        <v>4604</v>
      </c>
    </row>
    <row r="2609" spans="1:2" ht="15.75" x14ac:dyDescent="0.25">
      <c r="A2609" s="344">
        <v>67185</v>
      </c>
      <c r="B2609" s="345" t="s">
        <v>4605</v>
      </c>
    </row>
    <row r="2610" spans="1:2" ht="15.75" x14ac:dyDescent="0.25">
      <c r="A2610" s="344">
        <v>67190</v>
      </c>
      <c r="B2610" s="345" t="s">
        <v>4606</v>
      </c>
    </row>
    <row r="2611" spans="1:2" ht="15.75" x14ac:dyDescent="0.25">
      <c r="A2611" s="344">
        <v>67195</v>
      </c>
      <c r="B2611" s="345" t="s">
        <v>4607</v>
      </c>
    </row>
    <row r="2612" spans="1:2" ht="15.75" x14ac:dyDescent="0.25">
      <c r="A2612" s="344">
        <v>67201</v>
      </c>
      <c r="B2612" s="345" t="s">
        <v>4608</v>
      </c>
    </row>
    <row r="2613" spans="1:2" ht="15.75" x14ac:dyDescent="0.25">
      <c r="A2613" s="344">
        <v>67205</v>
      </c>
      <c r="B2613" s="345" t="s">
        <v>4609</v>
      </c>
    </row>
    <row r="2614" spans="1:2" ht="15.75" x14ac:dyDescent="0.25">
      <c r="A2614" s="344">
        <v>67210</v>
      </c>
      <c r="B2614" s="345" t="s">
        <v>4610</v>
      </c>
    </row>
    <row r="2615" spans="1:2" ht="15.75" x14ac:dyDescent="0.25">
      <c r="A2615" s="344">
        <v>67215</v>
      </c>
      <c r="B2615" s="345" t="s">
        <v>4611</v>
      </c>
    </row>
    <row r="2616" spans="1:2" ht="15.75" x14ac:dyDescent="0.25">
      <c r="A2616" s="344">
        <v>67220</v>
      </c>
      <c r="B2616" s="345" t="s">
        <v>4612</v>
      </c>
    </row>
    <row r="2617" spans="1:2" ht="15.75" x14ac:dyDescent="0.25">
      <c r="A2617" s="344">
        <v>67225</v>
      </c>
      <c r="B2617" s="345" t="s">
        <v>4613</v>
      </c>
    </row>
    <row r="2618" spans="1:2" ht="15.75" x14ac:dyDescent="0.25">
      <c r="A2618" s="344">
        <v>67230</v>
      </c>
      <c r="B2618" s="345" t="s">
        <v>4614</v>
      </c>
    </row>
    <row r="2619" spans="1:2" ht="15.75" x14ac:dyDescent="0.25">
      <c r="A2619" s="344">
        <v>67235</v>
      </c>
      <c r="B2619" s="345" t="s">
        <v>4615</v>
      </c>
    </row>
    <row r="2620" spans="1:2" ht="15.75" x14ac:dyDescent="0.25">
      <c r="A2620" s="344">
        <v>67240</v>
      </c>
      <c r="B2620" s="345" t="s">
        <v>4616</v>
      </c>
    </row>
    <row r="2621" spans="1:2" ht="15.75" x14ac:dyDescent="0.25">
      <c r="A2621" s="344">
        <v>67301</v>
      </c>
      <c r="B2621" s="345" t="s">
        <v>4617</v>
      </c>
    </row>
    <row r="2622" spans="1:2" ht="15.75" x14ac:dyDescent="0.25">
      <c r="A2622" s="344">
        <v>67302</v>
      </c>
      <c r="B2622" s="345" t="s">
        <v>4618</v>
      </c>
    </row>
    <row r="2623" spans="1:2" ht="15.75" x14ac:dyDescent="0.25">
      <c r="A2623" s="344">
        <v>67303</v>
      </c>
      <c r="B2623" s="345" t="s">
        <v>4619</v>
      </c>
    </row>
    <row r="2624" spans="1:2" ht="15.75" x14ac:dyDescent="0.25">
      <c r="A2624" s="344">
        <v>67310</v>
      </c>
      <c r="B2624" s="345" t="s">
        <v>4620</v>
      </c>
    </row>
    <row r="2625" spans="1:2" ht="15.75" x14ac:dyDescent="0.25">
      <c r="A2625" s="344">
        <v>67315</v>
      </c>
      <c r="B2625" s="345" t="s">
        <v>4621</v>
      </c>
    </row>
    <row r="2626" spans="1:2" ht="15.75" x14ac:dyDescent="0.25">
      <c r="A2626" s="344">
        <v>67320</v>
      </c>
      <c r="B2626" s="345" t="s">
        <v>4622</v>
      </c>
    </row>
    <row r="2627" spans="1:2" ht="15.75" x14ac:dyDescent="0.25">
      <c r="A2627" s="344">
        <v>67330</v>
      </c>
      <c r="B2627" s="345" t="s">
        <v>4623</v>
      </c>
    </row>
    <row r="2628" spans="1:2" ht="15.75" x14ac:dyDescent="0.25">
      <c r="A2628" s="344">
        <v>67340</v>
      </c>
      <c r="B2628" s="345" t="s">
        <v>4624</v>
      </c>
    </row>
    <row r="2629" spans="1:2" ht="15.75" x14ac:dyDescent="0.25">
      <c r="A2629" s="344">
        <v>67350</v>
      </c>
      <c r="B2629" s="345" t="s">
        <v>4625</v>
      </c>
    </row>
    <row r="2630" spans="1:2" ht="15.75" x14ac:dyDescent="0.25">
      <c r="A2630" s="344">
        <v>67355</v>
      </c>
      <c r="B2630" s="345" t="s">
        <v>4626</v>
      </c>
    </row>
    <row r="2631" spans="1:2" ht="15.75" x14ac:dyDescent="0.25">
      <c r="A2631" s="344">
        <v>67360</v>
      </c>
      <c r="B2631" s="345" t="s">
        <v>4627</v>
      </c>
    </row>
    <row r="2632" spans="1:2" ht="15.75" x14ac:dyDescent="0.25">
      <c r="A2632" s="344">
        <v>67370</v>
      </c>
      <c r="B2632" s="345" t="s">
        <v>4628</v>
      </c>
    </row>
    <row r="2633" spans="1:2" ht="15.75" x14ac:dyDescent="0.25">
      <c r="A2633" s="344">
        <v>67380</v>
      </c>
      <c r="B2633" s="345" t="s">
        <v>4629</v>
      </c>
    </row>
    <row r="2634" spans="1:2" ht="15.75" x14ac:dyDescent="0.25">
      <c r="A2634" s="344">
        <v>67390</v>
      </c>
      <c r="B2634" s="345" t="s">
        <v>4630</v>
      </c>
    </row>
    <row r="2635" spans="1:2" ht="15.75" x14ac:dyDescent="0.25">
      <c r="A2635" s="344">
        <v>67401</v>
      </c>
      <c r="B2635" s="345" t="s">
        <v>4631</v>
      </c>
    </row>
    <row r="2636" spans="1:2" ht="15.75" x14ac:dyDescent="0.25">
      <c r="A2636" s="344">
        <v>67402</v>
      </c>
      <c r="B2636" s="345" t="s">
        <v>4632</v>
      </c>
    </row>
    <row r="2637" spans="1:2" ht="15.75" x14ac:dyDescent="0.25">
      <c r="A2637" s="344">
        <v>67403</v>
      </c>
      <c r="B2637" s="345" t="s">
        <v>4633</v>
      </c>
    </row>
    <row r="2638" spans="1:2" ht="15.75" x14ac:dyDescent="0.25">
      <c r="A2638" s="344">
        <v>67410</v>
      </c>
      <c r="B2638" s="345" t="s">
        <v>4634</v>
      </c>
    </row>
    <row r="2639" spans="1:2" ht="15.75" x14ac:dyDescent="0.25">
      <c r="A2639" s="344">
        <v>67411</v>
      </c>
      <c r="B2639" s="345" t="s">
        <v>4635</v>
      </c>
    </row>
    <row r="2640" spans="1:2" ht="15.75" x14ac:dyDescent="0.25">
      <c r="A2640" s="344">
        <v>67412</v>
      </c>
      <c r="B2640" s="345" t="s">
        <v>4636</v>
      </c>
    </row>
    <row r="2641" spans="1:2" ht="15.75" x14ac:dyDescent="0.25">
      <c r="A2641" s="344">
        <v>67413</v>
      </c>
      <c r="B2641" s="345" t="s">
        <v>4637</v>
      </c>
    </row>
    <row r="2642" spans="1:2" ht="15.75" x14ac:dyDescent="0.25">
      <c r="A2642" s="344">
        <v>67414</v>
      </c>
      <c r="B2642" s="345" t="s">
        <v>4638</v>
      </c>
    </row>
    <row r="2643" spans="1:2" ht="15.75" x14ac:dyDescent="0.25">
      <c r="A2643" s="344">
        <v>67415</v>
      </c>
      <c r="B2643" s="345" t="s">
        <v>4639</v>
      </c>
    </row>
    <row r="2644" spans="1:2" ht="15.75" x14ac:dyDescent="0.25">
      <c r="A2644" s="344">
        <v>67416</v>
      </c>
      <c r="B2644" s="345" t="s">
        <v>4640</v>
      </c>
    </row>
    <row r="2645" spans="1:2" ht="15.75" x14ac:dyDescent="0.25">
      <c r="A2645" s="344">
        <v>67417</v>
      </c>
      <c r="B2645" s="345" t="s">
        <v>4641</v>
      </c>
    </row>
    <row r="2646" spans="1:2" ht="15.75" x14ac:dyDescent="0.25">
      <c r="A2646" s="344">
        <v>67420</v>
      </c>
      <c r="B2646" s="345" t="s">
        <v>4642</v>
      </c>
    </row>
    <row r="2647" spans="1:2" ht="15.75" x14ac:dyDescent="0.25">
      <c r="A2647" s="344">
        <v>67421</v>
      </c>
      <c r="B2647" s="345" t="s">
        <v>4643</v>
      </c>
    </row>
    <row r="2648" spans="1:2" ht="15.75" x14ac:dyDescent="0.25">
      <c r="A2648" s="344">
        <v>67425</v>
      </c>
      <c r="B2648" s="345" t="s">
        <v>4644</v>
      </c>
    </row>
    <row r="2649" spans="1:2" ht="15.75" x14ac:dyDescent="0.25">
      <c r="A2649" s="344">
        <v>67427</v>
      </c>
      <c r="B2649" s="345" t="s">
        <v>4645</v>
      </c>
    </row>
    <row r="2650" spans="1:2" ht="15.75" x14ac:dyDescent="0.25">
      <c r="A2650" s="344">
        <v>67430</v>
      </c>
      <c r="B2650" s="345" t="s">
        <v>4646</v>
      </c>
    </row>
    <row r="2651" spans="1:2" ht="15.75" x14ac:dyDescent="0.25">
      <c r="A2651" s="344">
        <v>67440</v>
      </c>
      <c r="B2651" s="345" t="s">
        <v>4647</v>
      </c>
    </row>
    <row r="2652" spans="1:2" ht="15.75" x14ac:dyDescent="0.25">
      <c r="A2652" s="344">
        <v>67442</v>
      </c>
      <c r="B2652" s="345" t="s">
        <v>4648</v>
      </c>
    </row>
    <row r="2653" spans="1:2" ht="15.75" x14ac:dyDescent="0.25">
      <c r="A2653" s="344">
        <v>67444</v>
      </c>
      <c r="B2653" s="345" t="s">
        <v>4649</v>
      </c>
    </row>
    <row r="2654" spans="1:2" ht="15.75" x14ac:dyDescent="0.25">
      <c r="A2654" s="344">
        <v>67445</v>
      </c>
      <c r="B2654" s="345" t="s">
        <v>4650</v>
      </c>
    </row>
    <row r="2655" spans="1:2" ht="15.75" x14ac:dyDescent="0.25">
      <c r="A2655" s="344">
        <v>67450</v>
      </c>
      <c r="B2655" s="345" t="s">
        <v>4651</v>
      </c>
    </row>
    <row r="2656" spans="1:2" ht="15.75" x14ac:dyDescent="0.25">
      <c r="A2656" s="344">
        <v>67455</v>
      </c>
      <c r="B2656" s="345" t="s">
        <v>4652</v>
      </c>
    </row>
    <row r="2657" spans="1:2" ht="15.75" x14ac:dyDescent="0.25">
      <c r="A2657" s="344">
        <v>67460</v>
      </c>
      <c r="B2657" s="345" t="s">
        <v>4653</v>
      </c>
    </row>
    <row r="2658" spans="1:2" ht="15.75" x14ac:dyDescent="0.25">
      <c r="A2658" s="344">
        <v>67465</v>
      </c>
      <c r="B2658" s="345" t="s">
        <v>4654</v>
      </c>
    </row>
    <row r="2659" spans="1:2" ht="15.75" x14ac:dyDescent="0.25">
      <c r="A2659" s="344">
        <v>67470</v>
      </c>
      <c r="B2659" s="345" t="s">
        <v>4655</v>
      </c>
    </row>
    <row r="2660" spans="1:2" ht="15.75" x14ac:dyDescent="0.25">
      <c r="A2660" s="344">
        <v>67471</v>
      </c>
      <c r="B2660" s="345" t="s">
        <v>4656</v>
      </c>
    </row>
    <row r="2661" spans="1:2" ht="15.75" x14ac:dyDescent="0.25">
      <c r="A2661" s="344">
        <v>67475</v>
      </c>
      <c r="B2661" s="345" t="s">
        <v>4657</v>
      </c>
    </row>
    <row r="2662" spans="1:2" ht="15.75" x14ac:dyDescent="0.25">
      <c r="A2662" s="344">
        <v>67476</v>
      </c>
      <c r="B2662" s="345" t="s">
        <v>4658</v>
      </c>
    </row>
    <row r="2663" spans="1:2" ht="15.75" x14ac:dyDescent="0.25">
      <c r="A2663" s="344">
        <v>67480</v>
      </c>
      <c r="B2663" s="345" t="s">
        <v>4659</v>
      </c>
    </row>
    <row r="2664" spans="1:2" ht="15.75" x14ac:dyDescent="0.25">
      <c r="A2664" s="344">
        <v>67481</v>
      </c>
      <c r="B2664" s="345" t="s">
        <v>4660</v>
      </c>
    </row>
    <row r="2665" spans="1:2" ht="15.75" x14ac:dyDescent="0.25">
      <c r="A2665" s="344">
        <v>67482</v>
      </c>
      <c r="B2665" s="345" t="s">
        <v>4661</v>
      </c>
    </row>
    <row r="2666" spans="1:2" ht="15.75" x14ac:dyDescent="0.25">
      <c r="A2666" s="344">
        <v>67483</v>
      </c>
      <c r="B2666" s="345" t="s">
        <v>4662</v>
      </c>
    </row>
    <row r="2667" spans="1:2" ht="15.75" x14ac:dyDescent="0.25">
      <c r="A2667" s="344">
        <v>67484</v>
      </c>
      <c r="B2667" s="345" t="s">
        <v>4663</v>
      </c>
    </row>
    <row r="2668" spans="1:2" ht="15.75" x14ac:dyDescent="0.25">
      <c r="A2668" s="344">
        <v>67490</v>
      </c>
      <c r="B2668" s="345" t="s">
        <v>4664</v>
      </c>
    </row>
    <row r="2669" spans="1:2" ht="15.75" x14ac:dyDescent="0.25">
      <c r="A2669" s="344">
        <v>67491</v>
      </c>
      <c r="B2669" s="345" t="s">
        <v>4665</v>
      </c>
    </row>
    <row r="2670" spans="1:2" ht="15.75" x14ac:dyDescent="0.25">
      <c r="A2670" s="344">
        <v>67493</v>
      </c>
      <c r="B2670" s="345" t="s">
        <v>4666</v>
      </c>
    </row>
    <row r="2671" spans="1:2" ht="15.75" x14ac:dyDescent="0.25">
      <c r="A2671" s="344">
        <v>67495</v>
      </c>
      <c r="B2671" s="345" t="s">
        <v>4667</v>
      </c>
    </row>
    <row r="2672" spans="1:2" ht="15.75" x14ac:dyDescent="0.25">
      <c r="A2672" s="344">
        <v>67496</v>
      </c>
      <c r="B2672" s="345" t="s">
        <v>4668</v>
      </c>
    </row>
    <row r="2673" spans="1:2" ht="15.75" x14ac:dyDescent="0.25">
      <c r="A2673" s="344">
        <v>67497</v>
      </c>
      <c r="B2673" s="345" t="s">
        <v>4669</v>
      </c>
    </row>
    <row r="2674" spans="1:2" ht="15.75" x14ac:dyDescent="0.25">
      <c r="A2674" s="344">
        <v>67501</v>
      </c>
      <c r="B2674" s="345" t="s">
        <v>4670</v>
      </c>
    </row>
    <row r="2675" spans="1:2" ht="15.75" x14ac:dyDescent="0.25">
      <c r="A2675" s="344">
        <v>67502</v>
      </c>
      <c r="B2675" s="345" t="s">
        <v>4671</v>
      </c>
    </row>
    <row r="2676" spans="1:2" ht="15.75" x14ac:dyDescent="0.25">
      <c r="A2676" s="344">
        <v>67503</v>
      </c>
      <c r="B2676" s="345" t="s">
        <v>4672</v>
      </c>
    </row>
    <row r="2677" spans="1:2" ht="15.75" x14ac:dyDescent="0.25">
      <c r="A2677" s="344">
        <v>67504</v>
      </c>
      <c r="B2677" s="345" t="s">
        <v>4673</v>
      </c>
    </row>
    <row r="2678" spans="1:2" ht="15.75" x14ac:dyDescent="0.25">
      <c r="A2678" s="344">
        <v>67510</v>
      </c>
      <c r="B2678" s="345" t="s">
        <v>4674</v>
      </c>
    </row>
    <row r="2679" spans="1:2" ht="15.75" x14ac:dyDescent="0.25">
      <c r="A2679" s="344">
        <v>67511</v>
      </c>
      <c r="B2679" s="345" t="s">
        <v>4675</v>
      </c>
    </row>
    <row r="2680" spans="1:2" ht="15.75" x14ac:dyDescent="0.25">
      <c r="A2680" s="344">
        <v>67512</v>
      </c>
      <c r="B2680" s="345" t="s">
        <v>4676</v>
      </c>
    </row>
    <row r="2681" spans="1:2" ht="15.75" x14ac:dyDescent="0.25">
      <c r="A2681" s="344">
        <v>67520</v>
      </c>
      <c r="B2681" s="345" t="s">
        <v>4677</v>
      </c>
    </row>
    <row r="2682" spans="1:2" ht="15.75" x14ac:dyDescent="0.25">
      <c r="A2682" s="344">
        <v>67521</v>
      </c>
      <c r="B2682" s="345" t="s">
        <v>4678</v>
      </c>
    </row>
    <row r="2683" spans="1:2" ht="15.75" x14ac:dyDescent="0.25">
      <c r="A2683" s="344">
        <v>67522</v>
      </c>
      <c r="B2683" s="345" t="s">
        <v>4679</v>
      </c>
    </row>
    <row r="2684" spans="1:2" ht="15.75" x14ac:dyDescent="0.25">
      <c r="A2684" s="344">
        <v>67530</v>
      </c>
      <c r="B2684" s="345" t="s">
        <v>4680</v>
      </c>
    </row>
    <row r="2685" spans="1:2" ht="15.75" x14ac:dyDescent="0.25">
      <c r="A2685" s="344">
        <v>67531</v>
      </c>
      <c r="B2685" s="345" t="s">
        <v>4681</v>
      </c>
    </row>
    <row r="2686" spans="1:2" ht="15.75" x14ac:dyDescent="0.25">
      <c r="A2686" s="344">
        <v>67532</v>
      </c>
      <c r="B2686" s="345" t="s">
        <v>4682</v>
      </c>
    </row>
    <row r="2687" spans="1:2" ht="15.75" x14ac:dyDescent="0.25">
      <c r="A2687" s="344">
        <v>67540</v>
      </c>
      <c r="B2687" s="345" t="s">
        <v>4683</v>
      </c>
    </row>
    <row r="2688" spans="1:2" ht="15.75" x14ac:dyDescent="0.25">
      <c r="A2688" s="344">
        <v>67550</v>
      </c>
      <c r="B2688" s="345" t="s">
        <v>4684</v>
      </c>
    </row>
    <row r="2689" spans="1:2" ht="15.75" x14ac:dyDescent="0.25">
      <c r="A2689" s="344">
        <v>67560</v>
      </c>
      <c r="B2689" s="345" t="s">
        <v>4685</v>
      </c>
    </row>
    <row r="2690" spans="1:2" ht="15.75" x14ac:dyDescent="0.25">
      <c r="A2690" s="344">
        <v>67601</v>
      </c>
      <c r="B2690" s="345" t="s">
        <v>4686</v>
      </c>
    </row>
    <row r="2691" spans="1:2" ht="15.75" x14ac:dyDescent="0.25">
      <c r="A2691" s="344">
        <v>67610</v>
      </c>
      <c r="B2691" s="345" t="s">
        <v>4687</v>
      </c>
    </row>
    <row r="2692" spans="1:2" ht="15.75" x14ac:dyDescent="0.25">
      <c r="A2692" s="344">
        <v>67620</v>
      </c>
      <c r="B2692" s="345" t="s">
        <v>4688</v>
      </c>
    </row>
    <row r="2693" spans="1:2" ht="15.75" x14ac:dyDescent="0.25">
      <c r="A2693" s="344">
        <v>67630</v>
      </c>
      <c r="B2693" s="345" t="s">
        <v>4689</v>
      </c>
    </row>
    <row r="2694" spans="1:2" ht="15.75" x14ac:dyDescent="0.25">
      <c r="A2694" s="344">
        <v>67640</v>
      </c>
      <c r="B2694" s="345" t="s">
        <v>4690</v>
      </c>
    </row>
    <row r="2695" spans="1:2" ht="15.75" x14ac:dyDescent="0.25">
      <c r="A2695" s="344">
        <v>67650</v>
      </c>
      <c r="B2695" s="345" t="s">
        <v>4691</v>
      </c>
    </row>
    <row r="2696" spans="1:2" ht="15.75" x14ac:dyDescent="0.25">
      <c r="A2696" s="344">
        <v>67701</v>
      </c>
      <c r="B2696" s="345" t="s">
        <v>4692</v>
      </c>
    </row>
    <row r="2697" spans="1:2" ht="15.75" x14ac:dyDescent="0.25">
      <c r="A2697" s="344">
        <v>67702</v>
      </c>
      <c r="B2697" s="345" t="s">
        <v>4693</v>
      </c>
    </row>
    <row r="2698" spans="1:2" ht="15.75" x14ac:dyDescent="0.25">
      <c r="A2698" s="344">
        <v>67703</v>
      </c>
      <c r="B2698" s="345" t="s">
        <v>4694</v>
      </c>
    </row>
    <row r="2699" spans="1:2" ht="15.75" x14ac:dyDescent="0.25">
      <c r="A2699" s="344">
        <v>67720</v>
      </c>
      <c r="B2699" s="345" t="s">
        <v>4695</v>
      </c>
    </row>
    <row r="2700" spans="1:2" ht="15.75" x14ac:dyDescent="0.25">
      <c r="A2700" s="344">
        <v>67721</v>
      </c>
      <c r="B2700" s="345" t="s">
        <v>4696</v>
      </c>
    </row>
    <row r="2701" spans="1:2" ht="15.75" x14ac:dyDescent="0.25">
      <c r="A2701" s="344">
        <v>67722</v>
      </c>
      <c r="B2701" s="345" t="s">
        <v>4697</v>
      </c>
    </row>
    <row r="2702" spans="1:2" ht="15.75" x14ac:dyDescent="0.25">
      <c r="A2702" s="344">
        <v>67730</v>
      </c>
      <c r="B2702" s="345" t="s">
        <v>4698</v>
      </c>
    </row>
    <row r="2703" spans="1:2" ht="15.75" x14ac:dyDescent="0.25">
      <c r="A2703" s="344">
        <v>67731</v>
      </c>
      <c r="B2703" s="345" t="s">
        <v>4699</v>
      </c>
    </row>
    <row r="2704" spans="1:2" ht="15.75" x14ac:dyDescent="0.25">
      <c r="A2704" s="344">
        <v>67732</v>
      </c>
      <c r="B2704" s="345" t="s">
        <v>4700</v>
      </c>
    </row>
    <row r="2705" spans="1:2" ht="15.75" x14ac:dyDescent="0.25">
      <c r="A2705" s="344">
        <v>67733</v>
      </c>
      <c r="B2705" s="345" t="s">
        <v>4701</v>
      </c>
    </row>
    <row r="2706" spans="1:2" ht="15.75" x14ac:dyDescent="0.25">
      <c r="A2706" s="344">
        <v>67734</v>
      </c>
      <c r="B2706" s="345" t="s">
        <v>4702</v>
      </c>
    </row>
    <row r="2707" spans="1:2" ht="15.75" x14ac:dyDescent="0.25">
      <c r="A2707" s="344">
        <v>67740</v>
      </c>
      <c r="B2707" s="345" t="s">
        <v>4703</v>
      </c>
    </row>
    <row r="2708" spans="1:2" ht="15.75" x14ac:dyDescent="0.25">
      <c r="A2708" s="344">
        <v>67745</v>
      </c>
      <c r="B2708" s="345" t="s">
        <v>4704</v>
      </c>
    </row>
    <row r="2709" spans="1:2" ht="15.75" x14ac:dyDescent="0.25">
      <c r="A2709" s="344">
        <v>67750</v>
      </c>
      <c r="B2709" s="345" t="s">
        <v>4705</v>
      </c>
    </row>
    <row r="2710" spans="1:2" ht="15.75" x14ac:dyDescent="0.25">
      <c r="A2710" s="344">
        <v>67751</v>
      </c>
      <c r="B2710" s="345" t="s">
        <v>4706</v>
      </c>
    </row>
    <row r="2711" spans="1:2" ht="15.75" x14ac:dyDescent="0.25">
      <c r="A2711" s="344">
        <v>67752</v>
      </c>
      <c r="B2711" s="345" t="s">
        <v>4707</v>
      </c>
    </row>
    <row r="2712" spans="1:2" ht="15.75" x14ac:dyDescent="0.25">
      <c r="A2712" s="344">
        <v>67753</v>
      </c>
      <c r="B2712" s="345" t="s">
        <v>4708</v>
      </c>
    </row>
    <row r="2713" spans="1:2" ht="15.75" x14ac:dyDescent="0.25">
      <c r="A2713" s="344">
        <v>67754</v>
      </c>
      <c r="B2713" s="345" t="s">
        <v>4709</v>
      </c>
    </row>
    <row r="2714" spans="1:2" ht="15.75" x14ac:dyDescent="0.25">
      <c r="A2714" s="344">
        <v>67755</v>
      </c>
      <c r="B2714" s="345" t="s">
        <v>4710</v>
      </c>
    </row>
    <row r="2715" spans="1:2" ht="15.75" x14ac:dyDescent="0.25">
      <c r="A2715" s="344">
        <v>67756</v>
      </c>
      <c r="B2715" s="345" t="s">
        <v>4711</v>
      </c>
    </row>
    <row r="2716" spans="1:2" ht="15.75" x14ac:dyDescent="0.25">
      <c r="A2716" s="344">
        <v>67760</v>
      </c>
      <c r="B2716" s="345" t="s">
        <v>4712</v>
      </c>
    </row>
    <row r="2717" spans="1:2" ht="15.75" x14ac:dyDescent="0.25">
      <c r="A2717" s="344">
        <v>67765</v>
      </c>
      <c r="B2717" s="345" t="s">
        <v>4713</v>
      </c>
    </row>
    <row r="2718" spans="1:2" ht="15.75" x14ac:dyDescent="0.25">
      <c r="A2718" s="344">
        <v>67770</v>
      </c>
      <c r="B2718" s="345" t="s">
        <v>4714</v>
      </c>
    </row>
    <row r="2719" spans="1:2" ht="15.75" x14ac:dyDescent="0.25">
      <c r="A2719" s="344">
        <v>67780</v>
      </c>
      <c r="B2719" s="345" t="s">
        <v>4715</v>
      </c>
    </row>
    <row r="2720" spans="1:2" ht="15.75" x14ac:dyDescent="0.25">
      <c r="A2720" s="344">
        <v>67781</v>
      </c>
      <c r="B2720" s="345" t="s">
        <v>4716</v>
      </c>
    </row>
    <row r="2721" spans="1:2" ht="15.75" x14ac:dyDescent="0.25">
      <c r="A2721" s="344">
        <v>67782</v>
      </c>
      <c r="B2721" s="345" t="s">
        <v>4717</v>
      </c>
    </row>
    <row r="2722" spans="1:2" ht="15.75" x14ac:dyDescent="0.25">
      <c r="A2722" s="344">
        <v>67790</v>
      </c>
      <c r="B2722" s="345" t="s">
        <v>4718</v>
      </c>
    </row>
    <row r="2723" spans="1:2" ht="15.75" x14ac:dyDescent="0.25">
      <c r="A2723" s="344">
        <v>67794</v>
      </c>
      <c r="B2723" s="345" t="s">
        <v>4719</v>
      </c>
    </row>
    <row r="2724" spans="1:2" ht="15.75" x14ac:dyDescent="0.25">
      <c r="A2724" s="344">
        <v>67795</v>
      </c>
      <c r="B2724" s="345" t="s">
        <v>4720</v>
      </c>
    </row>
    <row r="2725" spans="1:2" ht="15.75" x14ac:dyDescent="0.25">
      <c r="A2725" s="344">
        <v>67796</v>
      </c>
      <c r="B2725" s="345" t="s">
        <v>4721</v>
      </c>
    </row>
    <row r="2726" spans="1:2" ht="15.75" x14ac:dyDescent="0.25">
      <c r="A2726" s="344">
        <v>67801</v>
      </c>
      <c r="B2726" s="345" t="s">
        <v>4722</v>
      </c>
    </row>
    <row r="2727" spans="1:2" ht="15.75" x14ac:dyDescent="0.25">
      <c r="A2727" s="344">
        <v>67810</v>
      </c>
      <c r="B2727" s="345" t="s">
        <v>4723</v>
      </c>
    </row>
    <row r="2728" spans="1:2" ht="15.75" x14ac:dyDescent="0.25">
      <c r="A2728" s="344">
        <v>67820</v>
      </c>
      <c r="B2728" s="345" t="s">
        <v>4724</v>
      </c>
    </row>
    <row r="2729" spans="1:2" ht="15.75" x14ac:dyDescent="0.25">
      <c r="A2729" s="344">
        <v>67901</v>
      </c>
      <c r="B2729" s="345" t="s">
        <v>4725</v>
      </c>
    </row>
    <row r="2730" spans="1:2" ht="15.75" x14ac:dyDescent="0.25">
      <c r="A2730" s="344">
        <v>67955</v>
      </c>
      <c r="B2730" s="345" t="s">
        <v>4726</v>
      </c>
    </row>
    <row r="2731" spans="1:2" ht="15.75" x14ac:dyDescent="0.25">
      <c r="A2731" s="344">
        <v>67960</v>
      </c>
      <c r="B2731" s="345" t="s">
        <v>4727</v>
      </c>
    </row>
    <row r="2732" spans="1:2" ht="15.75" x14ac:dyDescent="0.25">
      <c r="A2732" s="344">
        <v>67965</v>
      </c>
      <c r="B2732" s="345" t="s">
        <v>4728</v>
      </c>
    </row>
    <row r="2733" spans="1:2" ht="15.75" x14ac:dyDescent="0.25">
      <c r="A2733" s="344">
        <v>67970</v>
      </c>
      <c r="B2733" s="345" t="s">
        <v>4729</v>
      </c>
    </row>
    <row r="2734" spans="1:2" ht="15.75" x14ac:dyDescent="0.25">
      <c r="A2734" s="344">
        <v>70000</v>
      </c>
      <c r="B2734" s="345" t="s">
        <v>4730</v>
      </c>
    </row>
    <row r="2735" spans="1:2" ht="15.75" x14ac:dyDescent="0.25">
      <c r="A2735" s="344">
        <v>71010</v>
      </c>
      <c r="B2735" s="345" t="s">
        <v>2360</v>
      </c>
    </row>
    <row r="2736" spans="1:2" ht="15.75" x14ac:dyDescent="0.25">
      <c r="A2736" s="344">
        <v>71011</v>
      </c>
      <c r="B2736" s="345" t="s">
        <v>2387</v>
      </c>
    </row>
    <row r="2737" spans="1:2" ht="15.75" x14ac:dyDescent="0.25">
      <c r="A2737" s="344">
        <v>71012</v>
      </c>
      <c r="B2737" s="345" t="s">
        <v>4731</v>
      </c>
    </row>
    <row r="2738" spans="1:2" ht="15.75" x14ac:dyDescent="0.25">
      <c r="A2738" s="344">
        <v>71013</v>
      </c>
      <c r="B2738" s="345" t="s">
        <v>2385</v>
      </c>
    </row>
    <row r="2739" spans="1:2" ht="15.75" x14ac:dyDescent="0.25">
      <c r="A2739" s="344">
        <v>71014</v>
      </c>
      <c r="B2739" s="345" t="s">
        <v>4732</v>
      </c>
    </row>
    <row r="2740" spans="1:2" ht="15.75" x14ac:dyDescent="0.25">
      <c r="A2740" s="344">
        <v>71015</v>
      </c>
      <c r="B2740" s="345" t="s">
        <v>2389</v>
      </c>
    </row>
    <row r="2741" spans="1:2" ht="15.75" x14ac:dyDescent="0.25">
      <c r="A2741" s="344">
        <v>71016</v>
      </c>
      <c r="B2741" s="345" t="s">
        <v>2388</v>
      </c>
    </row>
    <row r="2742" spans="1:2" ht="15.75" x14ac:dyDescent="0.25">
      <c r="A2742" s="344">
        <v>71020</v>
      </c>
      <c r="B2742" s="345" t="s">
        <v>2362</v>
      </c>
    </row>
    <row r="2743" spans="1:2" ht="15.75" x14ac:dyDescent="0.25">
      <c r="A2743" s="344">
        <v>71025</v>
      </c>
      <c r="B2743" s="345" t="s">
        <v>4198</v>
      </c>
    </row>
    <row r="2744" spans="1:2" ht="15.75" x14ac:dyDescent="0.25">
      <c r="A2744" s="344">
        <v>71030</v>
      </c>
      <c r="B2744" s="345" t="s">
        <v>4733</v>
      </c>
    </row>
    <row r="2745" spans="1:2" ht="15.75" x14ac:dyDescent="0.25">
      <c r="A2745" s="344">
        <v>71035</v>
      </c>
      <c r="B2745" s="345" t="s">
        <v>2412</v>
      </c>
    </row>
    <row r="2746" spans="1:2" ht="15.75" x14ac:dyDescent="0.25">
      <c r="A2746" s="344">
        <v>71037</v>
      </c>
      <c r="B2746" s="345" t="s">
        <v>4734</v>
      </c>
    </row>
    <row r="2747" spans="1:2" ht="15.75" x14ac:dyDescent="0.25">
      <c r="A2747" s="344">
        <v>71038</v>
      </c>
      <c r="B2747" s="345" t="s">
        <v>4735</v>
      </c>
    </row>
    <row r="2748" spans="1:2" ht="15.75" x14ac:dyDescent="0.25">
      <c r="A2748" s="344">
        <v>71040</v>
      </c>
      <c r="B2748" s="345" t="s">
        <v>4736</v>
      </c>
    </row>
    <row r="2749" spans="1:2" ht="15.75" x14ac:dyDescent="0.25">
      <c r="A2749" s="344">
        <v>71045</v>
      </c>
      <c r="B2749" s="345" t="s">
        <v>2415</v>
      </c>
    </row>
    <row r="2750" spans="1:2" ht="15.75" x14ac:dyDescent="0.25">
      <c r="A2750" s="344">
        <v>71050</v>
      </c>
      <c r="B2750" s="345" t="s">
        <v>4737</v>
      </c>
    </row>
    <row r="2751" spans="1:2" ht="15.75" x14ac:dyDescent="0.25">
      <c r="A2751" s="344">
        <v>71053</v>
      </c>
      <c r="B2751" s="345" t="s">
        <v>4738</v>
      </c>
    </row>
    <row r="2752" spans="1:2" ht="15.75" x14ac:dyDescent="0.25">
      <c r="A2752" s="344">
        <v>71055</v>
      </c>
      <c r="B2752" s="345" t="s">
        <v>4739</v>
      </c>
    </row>
    <row r="2753" spans="1:2" ht="15.75" x14ac:dyDescent="0.25">
      <c r="A2753" s="344">
        <v>71060</v>
      </c>
      <c r="B2753" s="345" t="s">
        <v>4740</v>
      </c>
    </row>
    <row r="2754" spans="1:2" ht="15.75" x14ac:dyDescent="0.25">
      <c r="A2754" s="344">
        <v>71065</v>
      </c>
      <c r="B2754" s="345" t="s">
        <v>4741</v>
      </c>
    </row>
    <row r="2755" spans="1:2" ht="15.75" x14ac:dyDescent="0.25">
      <c r="A2755" s="344">
        <v>71070</v>
      </c>
      <c r="B2755" s="345" t="s">
        <v>4742</v>
      </c>
    </row>
    <row r="2756" spans="1:2" ht="15.75" x14ac:dyDescent="0.25">
      <c r="A2756" s="344">
        <v>71080</v>
      </c>
      <c r="B2756" s="345" t="s">
        <v>4743</v>
      </c>
    </row>
    <row r="2757" spans="1:2" ht="15.75" x14ac:dyDescent="0.25">
      <c r="A2757" s="344">
        <v>71085</v>
      </c>
      <c r="B2757" s="345" t="s">
        <v>4744</v>
      </c>
    </row>
    <row r="2758" spans="1:2" ht="15.75" x14ac:dyDescent="0.25">
      <c r="A2758" s="344">
        <v>71090</v>
      </c>
      <c r="B2758" s="345" t="s">
        <v>2418</v>
      </c>
    </row>
    <row r="2759" spans="1:2" ht="15.75" x14ac:dyDescent="0.25">
      <c r="A2759" s="344">
        <v>71095</v>
      </c>
      <c r="B2759" s="345" t="s">
        <v>4745</v>
      </c>
    </row>
    <row r="2760" spans="1:2" ht="15.75" x14ac:dyDescent="0.25">
      <c r="A2760" s="344">
        <v>71100</v>
      </c>
      <c r="B2760" s="345" t="s">
        <v>4746</v>
      </c>
    </row>
    <row r="2761" spans="1:2" ht="15.75" x14ac:dyDescent="0.25">
      <c r="A2761" s="344">
        <v>71103</v>
      </c>
      <c r="B2761" s="345" t="s">
        <v>4747</v>
      </c>
    </row>
    <row r="2762" spans="1:2" ht="15.75" x14ac:dyDescent="0.25">
      <c r="A2762" s="344">
        <v>71105</v>
      </c>
      <c r="B2762" s="345" t="s">
        <v>4748</v>
      </c>
    </row>
    <row r="2763" spans="1:2" ht="15.75" x14ac:dyDescent="0.25">
      <c r="A2763" s="344">
        <v>71107</v>
      </c>
      <c r="B2763" s="345" t="s">
        <v>4749</v>
      </c>
    </row>
    <row r="2764" spans="1:2" ht="15.75" x14ac:dyDescent="0.25">
      <c r="A2764" s="344">
        <v>71110</v>
      </c>
      <c r="B2764" s="345" t="s">
        <v>4750</v>
      </c>
    </row>
    <row r="2765" spans="1:2" ht="15.75" x14ac:dyDescent="0.25">
      <c r="A2765" s="344">
        <v>71115</v>
      </c>
      <c r="B2765" s="345" t="s">
        <v>4751</v>
      </c>
    </row>
    <row r="2766" spans="1:2" ht="15.75" x14ac:dyDescent="0.25">
      <c r="A2766" s="344">
        <v>71120</v>
      </c>
      <c r="B2766" s="345" t="s">
        <v>4752</v>
      </c>
    </row>
    <row r="2767" spans="1:2" ht="15.75" x14ac:dyDescent="0.25">
      <c r="A2767" s="344">
        <v>71125</v>
      </c>
      <c r="B2767" s="345" t="s">
        <v>4753</v>
      </c>
    </row>
    <row r="2768" spans="1:2" ht="15.75" x14ac:dyDescent="0.25">
      <c r="A2768" s="344">
        <v>71126</v>
      </c>
      <c r="B2768" s="345" t="s">
        <v>4754</v>
      </c>
    </row>
    <row r="2769" spans="1:2" ht="15.75" x14ac:dyDescent="0.25">
      <c r="A2769" s="344">
        <v>71127</v>
      </c>
      <c r="B2769" s="345" t="s">
        <v>4755</v>
      </c>
    </row>
    <row r="2770" spans="1:2" ht="15.75" x14ac:dyDescent="0.25">
      <c r="A2770" s="344">
        <v>71130</v>
      </c>
      <c r="B2770" s="345" t="s">
        <v>4756</v>
      </c>
    </row>
    <row r="2771" spans="1:2" ht="15.75" x14ac:dyDescent="0.25">
      <c r="A2771" s="344">
        <v>71135</v>
      </c>
      <c r="B2771" s="345" t="s">
        <v>4757</v>
      </c>
    </row>
    <row r="2772" spans="1:2" ht="15.75" x14ac:dyDescent="0.25">
      <c r="A2772" s="344">
        <v>71145</v>
      </c>
      <c r="B2772" s="345" t="s">
        <v>4758</v>
      </c>
    </row>
    <row r="2773" spans="1:2" ht="15.75" x14ac:dyDescent="0.25">
      <c r="A2773" s="344">
        <v>71150</v>
      </c>
      <c r="B2773" s="345" t="s">
        <v>4759</v>
      </c>
    </row>
    <row r="2774" spans="1:2" ht="15.75" x14ac:dyDescent="0.25">
      <c r="A2774" s="344">
        <v>71155</v>
      </c>
      <c r="B2774" s="345" t="s">
        <v>4760</v>
      </c>
    </row>
    <row r="2775" spans="1:2" ht="15.75" x14ac:dyDescent="0.25">
      <c r="A2775" s="344">
        <v>71160</v>
      </c>
      <c r="B2775" s="345" t="s">
        <v>4761</v>
      </c>
    </row>
    <row r="2776" spans="1:2" ht="15.75" x14ac:dyDescent="0.25">
      <c r="A2776" s="344">
        <v>71165</v>
      </c>
      <c r="B2776" s="345" t="s">
        <v>4762</v>
      </c>
    </row>
    <row r="2777" spans="1:2" ht="15.75" x14ac:dyDescent="0.25">
      <c r="A2777" s="344">
        <v>71170</v>
      </c>
      <c r="B2777" s="345" t="s">
        <v>2374</v>
      </c>
    </row>
    <row r="2778" spans="1:2" ht="15.75" x14ac:dyDescent="0.25">
      <c r="A2778" s="344">
        <v>71173</v>
      </c>
      <c r="B2778" s="345" t="s">
        <v>4763</v>
      </c>
    </row>
    <row r="2779" spans="1:2" ht="15.75" x14ac:dyDescent="0.25">
      <c r="A2779" s="344">
        <v>71175</v>
      </c>
      <c r="B2779" s="345" t="s">
        <v>4764</v>
      </c>
    </row>
    <row r="2780" spans="1:2" ht="15.75" x14ac:dyDescent="0.25">
      <c r="A2780" s="344">
        <v>71178</v>
      </c>
      <c r="B2780" s="345" t="s">
        <v>4765</v>
      </c>
    </row>
    <row r="2781" spans="1:2" ht="15.75" x14ac:dyDescent="0.25">
      <c r="A2781" s="344">
        <v>71180</v>
      </c>
      <c r="B2781" s="345" t="s">
        <v>4766</v>
      </c>
    </row>
    <row r="2782" spans="1:2" ht="15.75" x14ac:dyDescent="0.25">
      <c r="A2782" s="344">
        <v>71185</v>
      </c>
      <c r="B2782" s="345" t="s">
        <v>4767</v>
      </c>
    </row>
    <row r="2783" spans="1:2" ht="15.75" x14ac:dyDescent="0.25">
      <c r="A2783" s="344">
        <v>71390</v>
      </c>
      <c r="B2783" s="345" t="s">
        <v>4768</v>
      </c>
    </row>
    <row r="2784" spans="1:2" ht="15.75" x14ac:dyDescent="0.25">
      <c r="A2784" s="344">
        <v>71400</v>
      </c>
      <c r="B2784" s="345" t="s">
        <v>4769</v>
      </c>
    </row>
    <row r="2785" spans="1:2" ht="15.75" x14ac:dyDescent="0.25">
      <c r="A2785" s="344">
        <v>71500</v>
      </c>
      <c r="B2785" s="345" t="s">
        <v>4770</v>
      </c>
    </row>
    <row r="2786" spans="1:2" ht="15.75" x14ac:dyDescent="0.25">
      <c r="A2786" s="344">
        <v>71510</v>
      </c>
      <c r="B2786" s="345" t="s">
        <v>2358</v>
      </c>
    </row>
    <row r="2787" spans="1:2" ht="15.75" x14ac:dyDescent="0.25">
      <c r="A2787" s="344">
        <v>71520</v>
      </c>
      <c r="B2787" s="345" t="s">
        <v>2360</v>
      </c>
    </row>
    <row r="2788" spans="1:2" ht="15.75" x14ac:dyDescent="0.25">
      <c r="A2788" s="344">
        <v>71521</v>
      </c>
      <c r="B2788" s="345" t="s">
        <v>2387</v>
      </c>
    </row>
    <row r="2789" spans="1:2" ht="15.75" x14ac:dyDescent="0.25">
      <c r="A2789" s="344">
        <v>71522</v>
      </c>
      <c r="B2789" s="345" t="s">
        <v>4731</v>
      </c>
    </row>
    <row r="2790" spans="1:2" ht="15.75" x14ac:dyDescent="0.25">
      <c r="A2790" s="344">
        <v>71523</v>
      </c>
      <c r="B2790" s="345" t="s">
        <v>2385</v>
      </c>
    </row>
    <row r="2791" spans="1:2" ht="15.75" x14ac:dyDescent="0.25">
      <c r="A2791" s="344">
        <v>71524</v>
      </c>
      <c r="B2791" s="345" t="s">
        <v>2386</v>
      </c>
    </row>
    <row r="2792" spans="1:2" ht="15.75" x14ac:dyDescent="0.25">
      <c r="A2792" s="344">
        <v>71525</v>
      </c>
      <c r="B2792" s="345" t="s">
        <v>2389</v>
      </c>
    </row>
    <row r="2793" spans="1:2" ht="15.75" x14ac:dyDescent="0.25">
      <c r="A2793" s="344">
        <v>71526</v>
      </c>
      <c r="B2793" s="345" t="s">
        <v>2388</v>
      </c>
    </row>
    <row r="2794" spans="1:2" ht="15.75" x14ac:dyDescent="0.25">
      <c r="A2794" s="344">
        <v>71527</v>
      </c>
      <c r="B2794" s="345" t="s">
        <v>2393</v>
      </c>
    </row>
    <row r="2795" spans="1:2" ht="15.75" x14ac:dyDescent="0.25">
      <c r="A2795" s="344">
        <v>71528</v>
      </c>
      <c r="B2795" s="345" t="s">
        <v>4771</v>
      </c>
    </row>
    <row r="2796" spans="1:2" ht="15.75" x14ac:dyDescent="0.25">
      <c r="A2796" s="344">
        <v>71529</v>
      </c>
      <c r="B2796" s="345" t="s">
        <v>4772</v>
      </c>
    </row>
    <row r="2797" spans="1:2" ht="15.75" x14ac:dyDescent="0.25">
      <c r="A2797" s="344">
        <v>71530</v>
      </c>
      <c r="B2797" s="345" t="s">
        <v>4773</v>
      </c>
    </row>
    <row r="2798" spans="1:2" ht="15.75" x14ac:dyDescent="0.25">
      <c r="A2798" s="344">
        <v>71535</v>
      </c>
      <c r="B2798" s="345" t="s">
        <v>4774</v>
      </c>
    </row>
    <row r="2799" spans="1:2" ht="15.75" x14ac:dyDescent="0.25">
      <c r="A2799" s="344">
        <v>71536</v>
      </c>
      <c r="B2799" s="345" t="s">
        <v>4775</v>
      </c>
    </row>
    <row r="2800" spans="1:2" ht="15.75" x14ac:dyDescent="0.25">
      <c r="A2800" s="344">
        <v>71537</v>
      </c>
      <c r="B2800" s="345" t="s">
        <v>4776</v>
      </c>
    </row>
    <row r="2801" spans="1:2" ht="15.75" x14ac:dyDescent="0.25">
      <c r="A2801" s="344">
        <v>71540</v>
      </c>
      <c r="B2801" s="345" t="s">
        <v>2394</v>
      </c>
    </row>
    <row r="2802" spans="1:2" ht="15.75" x14ac:dyDescent="0.25">
      <c r="A2802" s="344">
        <v>71545</v>
      </c>
      <c r="B2802" s="345" t="s">
        <v>2395</v>
      </c>
    </row>
    <row r="2803" spans="1:2" ht="15.75" x14ac:dyDescent="0.25">
      <c r="A2803" s="344">
        <v>71547</v>
      </c>
      <c r="B2803" s="345" t="s">
        <v>2400</v>
      </c>
    </row>
    <row r="2804" spans="1:2" ht="15.75" x14ac:dyDescent="0.25">
      <c r="A2804" s="344">
        <v>71555</v>
      </c>
      <c r="B2804" s="345" t="s">
        <v>2401</v>
      </c>
    </row>
    <row r="2805" spans="1:2" ht="15.75" x14ac:dyDescent="0.25">
      <c r="A2805" s="344">
        <v>71560</v>
      </c>
      <c r="B2805" s="345" t="s">
        <v>4777</v>
      </c>
    </row>
    <row r="2806" spans="1:2" ht="15.75" x14ac:dyDescent="0.25">
      <c r="A2806" s="344">
        <v>71562</v>
      </c>
      <c r="B2806" s="345" t="s">
        <v>4778</v>
      </c>
    </row>
    <row r="2807" spans="1:2" ht="15.75" x14ac:dyDescent="0.25">
      <c r="A2807" s="344">
        <v>71565</v>
      </c>
      <c r="B2807" s="345" t="s">
        <v>2407</v>
      </c>
    </row>
    <row r="2808" spans="1:2" ht="15.75" x14ac:dyDescent="0.25">
      <c r="A2808" s="344">
        <v>71567</v>
      </c>
      <c r="B2808" s="345" t="s">
        <v>4198</v>
      </c>
    </row>
    <row r="2809" spans="1:2" ht="15.75" x14ac:dyDescent="0.25">
      <c r="A2809" s="344">
        <v>71570</v>
      </c>
      <c r="B2809" s="345" t="s">
        <v>2410</v>
      </c>
    </row>
    <row r="2810" spans="1:2" ht="15.75" x14ac:dyDescent="0.25">
      <c r="A2810" s="344">
        <v>71572</v>
      </c>
      <c r="B2810" s="345" t="s">
        <v>4779</v>
      </c>
    </row>
    <row r="2811" spans="1:2" ht="15.75" x14ac:dyDescent="0.25">
      <c r="A2811" s="344">
        <v>71575</v>
      </c>
      <c r="B2811" s="345" t="s">
        <v>4780</v>
      </c>
    </row>
    <row r="2812" spans="1:2" ht="15.75" x14ac:dyDescent="0.25">
      <c r="A2812" s="344">
        <v>71580</v>
      </c>
      <c r="B2812" s="345" t="s">
        <v>2403</v>
      </c>
    </row>
    <row r="2813" spans="1:2" ht="15.75" x14ac:dyDescent="0.25">
      <c r="A2813" s="344">
        <v>71585</v>
      </c>
      <c r="B2813" s="345" t="s">
        <v>2352</v>
      </c>
    </row>
    <row r="2814" spans="1:2" ht="15.75" x14ac:dyDescent="0.25">
      <c r="A2814" s="344">
        <v>71590</v>
      </c>
      <c r="B2814" s="345" t="s">
        <v>2350</v>
      </c>
    </row>
    <row r="2815" spans="1:2" ht="15.75" x14ac:dyDescent="0.25">
      <c r="A2815" s="344">
        <v>71591</v>
      </c>
      <c r="B2815" s="345" t="s">
        <v>4781</v>
      </c>
    </row>
    <row r="2816" spans="1:2" ht="15.75" x14ac:dyDescent="0.25">
      <c r="A2816" s="344">
        <v>71595</v>
      </c>
      <c r="B2816" s="345" t="s">
        <v>4782</v>
      </c>
    </row>
    <row r="2817" spans="1:2" ht="15.75" x14ac:dyDescent="0.25">
      <c r="A2817" s="344">
        <v>71600</v>
      </c>
      <c r="B2817" s="345" t="s">
        <v>2413</v>
      </c>
    </row>
    <row r="2818" spans="1:2" ht="15.75" x14ac:dyDescent="0.25">
      <c r="A2818" s="344">
        <v>71610</v>
      </c>
      <c r="B2818" s="345" t="s">
        <v>2412</v>
      </c>
    </row>
    <row r="2819" spans="1:2" ht="15.75" x14ac:dyDescent="0.25">
      <c r="A2819" s="344">
        <v>71615</v>
      </c>
      <c r="B2819" s="345" t="s">
        <v>4734</v>
      </c>
    </row>
    <row r="2820" spans="1:2" ht="15.75" x14ac:dyDescent="0.25">
      <c r="A2820" s="344">
        <v>71616</v>
      </c>
      <c r="B2820" s="345" t="s">
        <v>4783</v>
      </c>
    </row>
    <row r="2821" spans="1:2" ht="15.75" x14ac:dyDescent="0.25">
      <c r="A2821" s="344">
        <v>71620</v>
      </c>
      <c r="B2821" s="345" t="s">
        <v>2414</v>
      </c>
    </row>
    <row r="2822" spans="1:2" ht="15.75" x14ac:dyDescent="0.25">
      <c r="A2822" s="344">
        <v>71630</v>
      </c>
      <c r="B2822" s="345" t="s">
        <v>2415</v>
      </c>
    </row>
    <row r="2823" spans="1:2" ht="15.75" x14ac:dyDescent="0.25">
      <c r="A2823" s="344">
        <v>71635</v>
      </c>
      <c r="B2823" s="345" t="s">
        <v>2322</v>
      </c>
    </row>
    <row r="2824" spans="1:2" ht="15.75" x14ac:dyDescent="0.25">
      <c r="A2824" s="344">
        <v>71636</v>
      </c>
      <c r="B2824" s="345" t="s">
        <v>2390</v>
      </c>
    </row>
    <row r="2825" spans="1:2" ht="15.75" x14ac:dyDescent="0.25">
      <c r="A2825" s="344">
        <v>71637</v>
      </c>
      <c r="B2825" s="345" t="s">
        <v>4784</v>
      </c>
    </row>
    <row r="2826" spans="1:2" ht="15.75" x14ac:dyDescent="0.25">
      <c r="A2826" s="344">
        <v>71640</v>
      </c>
      <c r="B2826" s="345" t="s">
        <v>2417</v>
      </c>
    </row>
    <row r="2827" spans="1:2" ht="15.75" x14ac:dyDescent="0.25">
      <c r="A2827" s="344">
        <v>71645</v>
      </c>
      <c r="B2827" s="345" t="s">
        <v>4785</v>
      </c>
    </row>
    <row r="2828" spans="1:2" ht="15.75" x14ac:dyDescent="0.25">
      <c r="A2828" s="344">
        <v>71650</v>
      </c>
      <c r="B2828" s="345" t="s">
        <v>4741</v>
      </c>
    </row>
    <row r="2829" spans="1:2" ht="15.75" x14ac:dyDescent="0.25">
      <c r="A2829" s="344">
        <v>71655</v>
      </c>
      <c r="B2829" s="345" t="s">
        <v>4786</v>
      </c>
    </row>
    <row r="2830" spans="1:2" ht="15.75" x14ac:dyDescent="0.25">
      <c r="A2830" s="344">
        <v>71665</v>
      </c>
      <c r="B2830" s="345" t="s">
        <v>2416</v>
      </c>
    </row>
    <row r="2831" spans="1:2" ht="15.75" x14ac:dyDescent="0.25">
      <c r="A2831" s="344">
        <v>71667</v>
      </c>
      <c r="B2831" s="345" t="s">
        <v>4787</v>
      </c>
    </row>
    <row r="2832" spans="1:2" ht="15.75" x14ac:dyDescent="0.25">
      <c r="A2832" s="344">
        <v>71668</v>
      </c>
      <c r="B2832" s="345" t="s">
        <v>4788</v>
      </c>
    </row>
    <row r="2833" spans="1:2" ht="15.75" x14ac:dyDescent="0.25">
      <c r="A2833" s="344">
        <v>71670</v>
      </c>
      <c r="B2833" s="345" t="s">
        <v>4789</v>
      </c>
    </row>
    <row r="2834" spans="1:2" ht="15.75" x14ac:dyDescent="0.25">
      <c r="A2834" s="344">
        <v>71675</v>
      </c>
      <c r="B2834" s="345" t="s">
        <v>4112</v>
      </c>
    </row>
    <row r="2835" spans="1:2" ht="15.75" x14ac:dyDescent="0.25">
      <c r="A2835" s="344">
        <v>71676</v>
      </c>
      <c r="B2835" s="345" t="s">
        <v>4790</v>
      </c>
    </row>
    <row r="2836" spans="1:2" ht="15.75" x14ac:dyDescent="0.25">
      <c r="A2836" s="344">
        <v>71680</v>
      </c>
      <c r="B2836" s="345" t="s">
        <v>2418</v>
      </c>
    </row>
    <row r="2837" spans="1:2" ht="15.75" x14ac:dyDescent="0.25">
      <c r="A2837" s="344">
        <v>71681</v>
      </c>
      <c r="B2837" s="345" t="s">
        <v>4791</v>
      </c>
    </row>
    <row r="2838" spans="1:2" ht="15.75" x14ac:dyDescent="0.25">
      <c r="A2838" s="344">
        <v>71684</v>
      </c>
      <c r="B2838" s="345" t="s">
        <v>4792</v>
      </c>
    </row>
    <row r="2839" spans="1:2" ht="15.75" x14ac:dyDescent="0.25">
      <c r="A2839" s="344">
        <v>71685</v>
      </c>
      <c r="B2839" s="345" t="s">
        <v>2419</v>
      </c>
    </row>
    <row r="2840" spans="1:2" ht="15.75" x14ac:dyDescent="0.25">
      <c r="A2840" s="344">
        <v>71687</v>
      </c>
      <c r="B2840" s="345" t="s">
        <v>4793</v>
      </c>
    </row>
    <row r="2841" spans="1:2" ht="15.75" x14ac:dyDescent="0.25">
      <c r="A2841" s="344">
        <v>71688</v>
      </c>
      <c r="B2841" s="345" t="s">
        <v>4794</v>
      </c>
    </row>
    <row r="2842" spans="1:2" ht="15.75" x14ac:dyDescent="0.25">
      <c r="A2842" s="344">
        <v>71690</v>
      </c>
      <c r="B2842" s="345" t="s">
        <v>4750</v>
      </c>
    </row>
    <row r="2843" spans="1:2" ht="15.75" x14ac:dyDescent="0.25">
      <c r="A2843" s="344">
        <v>71710</v>
      </c>
      <c r="B2843" s="345" t="s">
        <v>2424</v>
      </c>
    </row>
    <row r="2844" spans="1:2" ht="15.75" x14ac:dyDescent="0.25">
      <c r="A2844" s="344">
        <v>71715</v>
      </c>
      <c r="B2844" s="345" t="s">
        <v>4795</v>
      </c>
    </row>
    <row r="2845" spans="1:2" ht="15.75" x14ac:dyDescent="0.25">
      <c r="A2845" s="344">
        <v>71720</v>
      </c>
      <c r="B2845" s="345" t="s">
        <v>2425</v>
      </c>
    </row>
    <row r="2846" spans="1:2" ht="15.75" x14ac:dyDescent="0.25">
      <c r="A2846" s="344">
        <v>71730</v>
      </c>
      <c r="B2846" s="345" t="s">
        <v>2426</v>
      </c>
    </row>
    <row r="2847" spans="1:2" ht="15.75" x14ac:dyDescent="0.25">
      <c r="A2847" s="344">
        <v>71740</v>
      </c>
      <c r="B2847" s="345" t="s">
        <v>2427</v>
      </c>
    </row>
    <row r="2848" spans="1:2" ht="15.75" x14ac:dyDescent="0.25">
      <c r="A2848" s="344">
        <v>71750</v>
      </c>
      <c r="B2848" s="345" t="s">
        <v>2428</v>
      </c>
    </row>
    <row r="2849" spans="1:2" ht="15.75" x14ac:dyDescent="0.25">
      <c r="A2849" s="344">
        <v>71760</v>
      </c>
      <c r="B2849" s="345" t="s">
        <v>4796</v>
      </c>
    </row>
    <row r="2850" spans="1:2" ht="15.75" x14ac:dyDescent="0.25">
      <c r="A2850" s="344">
        <v>71765</v>
      </c>
      <c r="B2850" s="345" t="s">
        <v>4797</v>
      </c>
    </row>
    <row r="2851" spans="1:2" ht="15.75" x14ac:dyDescent="0.25">
      <c r="A2851" s="344">
        <v>71770</v>
      </c>
      <c r="B2851" s="345" t="s">
        <v>2433</v>
      </c>
    </row>
    <row r="2852" spans="1:2" ht="15.75" x14ac:dyDescent="0.25">
      <c r="A2852" s="344">
        <v>71780</v>
      </c>
      <c r="B2852" s="345" t="s">
        <v>2434</v>
      </c>
    </row>
    <row r="2853" spans="1:2" ht="15.75" x14ac:dyDescent="0.25">
      <c r="A2853" s="344">
        <v>71790</v>
      </c>
      <c r="B2853" s="345" t="s">
        <v>4798</v>
      </c>
    </row>
    <row r="2854" spans="1:2" ht="15.75" x14ac:dyDescent="0.25">
      <c r="A2854" s="344">
        <v>71795</v>
      </c>
      <c r="B2854" s="345" t="s">
        <v>2440</v>
      </c>
    </row>
    <row r="2855" spans="1:2" ht="15.75" x14ac:dyDescent="0.25">
      <c r="A2855" s="344">
        <v>71800</v>
      </c>
      <c r="B2855" s="345" t="s">
        <v>2374</v>
      </c>
    </row>
    <row r="2856" spans="1:2" ht="15.75" x14ac:dyDescent="0.25">
      <c r="A2856" s="344">
        <v>71805</v>
      </c>
      <c r="B2856" s="345" t="s">
        <v>4799</v>
      </c>
    </row>
    <row r="2857" spans="1:2" ht="15.75" x14ac:dyDescent="0.25">
      <c r="A2857" s="344">
        <v>71810</v>
      </c>
      <c r="B2857" s="345" t="s">
        <v>4800</v>
      </c>
    </row>
    <row r="2858" spans="1:2" ht="15.75" x14ac:dyDescent="0.25">
      <c r="A2858" s="344">
        <v>71820</v>
      </c>
      <c r="B2858" s="345" t="s">
        <v>2447</v>
      </c>
    </row>
    <row r="2859" spans="1:2" ht="15.75" x14ac:dyDescent="0.25">
      <c r="A2859" s="344">
        <v>71825</v>
      </c>
      <c r="B2859" s="345" t="s">
        <v>4801</v>
      </c>
    </row>
    <row r="2860" spans="1:2" ht="15.75" x14ac:dyDescent="0.25">
      <c r="A2860" s="344">
        <v>71830</v>
      </c>
      <c r="B2860" s="345" t="s">
        <v>4764</v>
      </c>
    </row>
    <row r="2861" spans="1:2" ht="15.75" x14ac:dyDescent="0.25">
      <c r="A2861" s="344">
        <v>71840</v>
      </c>
      <c r="B2861" s="345" t="s">
        <v>4802</v>
      </c>
    </row>
    <row r="2862" spans="1:2" ht="15.75" x14ac:dyDescent="0.25">
      <c r="A2862" s="344">
        <v>71850</v>
      </c>
      <c r="B2862" s="345" t="s">
        <v>4803</v>
      </c>
    </row>
    <row r="2863" spans="1:2" ht="15.75" x14ac:dyDescent="0.25">
      <c r="A2863" s="344">
        <v>71851</v>
      </c>
      <c r="B2863" s="345" t="s">
        <v>4804</v>
      </c>
    </row>
    <row r="2864" spans="1:2" ht="15.75" x14ac:dyDescent="0.25">
      <c r="A2864" s="344">
        <v>71852</v>
      </c>
      <c r="B2864" s="345" t="s">
        <v>4805</v>
      </c>
    </row>
    <row r="2865" spans="1:2" ht="15.75" x14ac:dyDescent="0.25">
      <c r="A2865" s="344">
        <v>71853</v>
      </c>
      <c r="B2865" s="345" t="s">
        <v>2404</v>
      </c>
    </row>
    <row r="2866" spans="1:2" ht="15.75" x14ac:dyDescent="0.25">
      <c r="A2866" s="344">
        <v>71854</v>
      </c>
      <c r="B2866" s="345" t="s">
        <v>4806</v>
      </c>
    </row>
    <row r="2867" spans="1:2" ht="15.75" x14ac:dyDescent="0.25">
      <c r="A2867" s="344">
        <v>71855</v>
      </c>
      <c r="B2867" s="345" t="s">
        <v>4758</v>
      </c>
    </row>
    <row r="2868" spans="1:2" ht="15.75" x14ac:dyDescent="0.25">
      <c r="A2868" s="344">
        <v>71856</v>
      </c>
      <c r="B2868" s="345" t="s">
        <v>4807</v>
      </c>
    </row>
    <row r="2869" spans="1:2" ht="15.75" x14ac:dyDescent="0.25">
      <c r="A2869" s="344">
        <v>71857</v>
      </c>
      <c r="B2869" s="345" t="s">
        <v>2421</v>
      </c>
    </row>
    <row r="2870" spans="1:2" ht="15.75" x14ac:dyDescent="0.25">
      <c r="A2870" s="344">
        <v>71858</v>
      </c>
      <c r="B2870" s="345" t="s">
        <v>4808</v>
      </c>
    </row>
    <row r="2871" spans="1:2" ht="15.75" x14ac:dyDescent="0.25">
      <c r="A2871" s="344">
        <v>71859</v>
      </c>
      <c r="B2871" s="345" t="s">
        <v>4809</v>
      </c>
    </row>
    <row r="2872" spans="1:2" ht="15.75" x14ac:dyDescent="0.25">
      <c r="A2872" s="344">
        <v>71860</v>
      </c>
      <c r="B2872" s="345" t="s">
        <v>3200</v>
      </c>
    </row>
    <row r="2873" spans="1:2" ht="15.75" x14ac:dyDescent="0.25">
      <c r="A2873" s="344">
        <v>71865</v>
      </c>
      <c r="B2873" s="345" t="s">
        <v>4810</v>
      </c>
    </row>
    <row r="2874" spans="1:2" ht="15.75" x14ac:dyDescent="0.25">
      <c r="A2874" s="344">
        <v>72601</v>
      </c>
      <c r="B2874" s="345" t="s">
        <v>4811</v>
      </c>
    </row>
    <row r="2875" spans="1:2" ht="15.75" x14ac:dyDescent="0.25">
      <c r="A2875" s="344">
        <v>72602</v>
      </c>
      <c r="B2875" s="345" t="s">
        <v>4812</v>
      </c>
    </row>
    <row r="2876" spans="1:2" ht="15.75" x14ac:dyDescent="0.25">
      <c r="A2876" s="344">
        <v>72603</v>
      </c>
      <c r="B2876" s="345" t="s">
        <v>4813</v>
      </c>
    </row>
    <row r="2877" spans="1:2" ht="15.75" x14ac:dyDescent="0.25">
      <c r="A2877" s="344">
        <v>72604</v>
      </c>
      <c r="B2877" s="345" t="s">
        <v>4814</v>
      </c>
    </row>
    <row r="2878" spans="1:2" ht="15.75" x14ac:dyDescent="0.25">
      <c r="A2878" s="344">
        <v>72605</v>
      </c>
      <c r="B2878" s="345" t="s">
        <v>4815</v>
      </c>
    </row>
    <row r="2879" spans="1:2" ht="15.75" x14ac:dyDescent="0.25">
      <c r="A2879" s="344">
        <v>72606</v>
      </c>
      <c r="B2879" s="345" t="s">
        <v>4816</v>
      </c>
    </row>
    <row r="2880" spans="1:2" ht="15.75" x14ac:dyDescent="0.25">
      <c r="A2880" s="344">
        <v>72610</v>
      </c>
      <c r="B2880" s="345" t="s">
        <v>4817</v>
      </c>
    </row>
    <row r="2881" spans="1:2" ht="15.75" x14ac:dyDescent="0.25">
      <c r="A2881" s="344">
        <v>72611</v>
      </c>
      <c r="B2881" s="345" t="s">
        <v>4818</v>
      </c>
    </row>
    <row r="2882" spans="1:2" ht="15.75" x14ac:dyDescent="0.25">
      <c r="A2882" s="344">
        <v>72612</v>
      </c>
      <c r="B2882" s="345" t="s">
        <v>4819</v>
      </c>
    </row>
    <row r="2883" spans="1:2" ht="15.75" x14ac:dyDescent="0.25">
      <c r="A2883" s="344">
        <v>72613</v>
      </c>
      <c r="B2883" s="345" t="s">
        <v>4820</v>
      </c>
    </row>
    <row r="2884" spans="1:2" ht="15.75" x14ac:dyDescent="0.25">
      <c r="A2884" s="344">
        <v>72614</v>
      </c>
      <c r="B2884" s="345" t="s">
        <v>4821</v>
      </c>
    </row>
    <row r="2885" spans="1:2" ht="15.75" x14ac:dyDescent="0.25">
      <c r="A2885" s="344">
        <v>72615</v>
      </c>
      <c r="B2885" s="345" t="s">
        <v>4822</v>
      </c>
    </row>
    <row r="2886" spans="1:2" ht="15.75" x14ac:dyDescent="0.25">
      <c r="A2886" s="344">
        <v>72616</v>
      </c>
      <c r="B2886" s="345" t="s">
        <v>4823</v>
      </c>
    </row>
    <row r="2887" spans="1:2" ht="15.75" x14ac:dyDescent="0.25">
      <c r="A2887" s="344">
        <v>72617</v>
      </c>
      <c r="B2887" s="345" t="s">
        <v>4824</v>
      </c>
    </row>
    <row r="2888" spans="1:2" ht="15.75" x14ac:dyDescent="0.25">
      <c r="A2888" s="344">
        <v>72618</v>
      </c>
      <c r="B2888" s="345" t="s">
        <v>4825</v>
      </c>
    </row>
    <row r="2889" spans="1:2" ht="15.75" x14ac:dyDescent="0.25">
      <c r="A2889" s="344">
        <v>72620</v>
      </c>
      <c r="B2889" s="345" t="s">
        <v>4826</v>
      </c>
    </row>
    <row r="2890" spans="1:2" ht="15.75" x14ac:dyDescent="0.25">
      <c r="A2890" s="344">
        <v>72621</v>
      </c>
      <c r="B2890" s="345" t="s">
        <v>4827</v>
      </c>
    </row>
    <row r="2891" spans="1:2" ht="15.75" x14ac:dyDescent="0.25">
      <c r="A2891" s="344">
        <v>72622</v>
      </c>
      <c r="B2891" s="345" t="s">
        <v>4828</v>
      </c>
    </row>
    <row r="2892" spans="1:2" ht="15.75" x14ac:dyDescent="0.25">
      <c r="A2892" s="344">
        <v>72623</v>
      </c>
      <c r="B2892" s="345" t="s">
        <v>4829</v>
      </c>
    </row>
    <row r="2893" spans="1:2" ht="15.75" x14ac:dyDescent="0.25">
      <c r="A2893" s="344">
        <v>72624</v>
      </c>
      <c r="B2893" s="345" t="s">
        <v>4830</v>
      </c>
    </row>
    <row r="2894" spans="1:2" ht="15.75" x14ac:dyDescent="0.25">
      <c r="A2894" s="344">
        <v>72640</v>
      </c>
      <c r="B2894" s="345" t="s">
        <v>4831</v>
      </c>
    </row>
    <row r="2895" spans="1:2" ht="15.75" x14ac:dyDescent="0.25">
      <c r="A2895" s="344">
        <v>72650</v>
      </c>
      <c r="B2895" s="345" t="s">
        <v>4832</v>
      </c>
    </row>
    <row r="2896" spans="1:2" ht="15.75" x14ac:dyDescent="0.25">
      <c r="A2896" s="344">
        <v>72660</v>
      </c>
      <c r="B2896" s="345" t="s">
        <v>4833</v>
      </c>
    </row>
    <row r="2897" spans="1:2" ht="15.75" x14ac:dyDescent="0.25">
      <c r="A2897" s="344">
        <v>72670</v>
      </c>
      <c r="B2897" s="345" t="s">
        <v>4834</v>
      </c>
    </row>
    <row r="2898" spans="1:2" ht="15.75" x14ac:dyDescent="0.25">
      <c r="A2898" s="344">
        <v>72680</v>
      </c>
      <c r="B2898" s="345" t="s">
        <v>4835</v>
      </c>
    </row>
    <row r="2899" spans="1:2" ht="15.75" x14ac:dyDescent="0.25">
      <c r="A2899" s="344">
        <v>72684</v>
      </c>
      <c r="B2899" s="345" t="s">
        <v>4836</v>
      </c>
    </row>
    <row r="2900" spans="1:2" ht="15.75" x14ac:dyDescent="0.25">
      <c r="A2900" s="344">
        <v>72685</v>
      </c>
      <c r="B2900" s="345" t="s">
        <v>4837</v>
      </c>
    </row>
    <row r="2901" spans="1:2" ht="15.75" x14ac:dyDescent="0.25">
      <c r="A2901" s="344">
        <v>72686</v>
      </c>
      <c r="B2901" s="345" t="s">
        <v>4838</v>
      </c>
    </row>
    <row r="2902" spans="1:2" ht="15.75" x14ac:dyDescent="0.25">
      <c r="A2902" s="344">
        <v>72687</v>
      </c>
      <c r="B2902" s="345" t="s">
        <v>4839</v>
      </c>
    </row>
    <row r="2903" spans="1:2" ht="15.75" x14ac:dyDescent="0.25">
      <c r="A2903" s="344">
        <v>72688</v>
      </c>
      <c r="B2903" s="345" t="s">
        <v>4840</v>
      </c>
    </row>
    <row r="2904" spans="1:2" ht="15.75" x14ac:dyDescent="0.25">
      <c r="A2904" s="344">
        <v>80000</v>
      </c>
      <c r="B2904" s="345" t="s">
        <v>4841</v>
      </c>
    </row>
    <row r="2905" spans="1:2" ht="15.75" x14ac:dyDescent="0.25">
      <c r="A2905" s="344">
        <v>80100</v>
      </c>
      <c r="B2905" s="345" t="s">
        <v>4842</v>
      </c>
    </row>
    <row r="2906" spans="1:2" ht="15.75" x14ac:dyDescent="0.25">
      <c r="A2906" s="344">
        <v>80110</v>
      </c>
      <c r="B2906" s="345" t="s">
        <v>4843</v>
      </c>
    </row>
    <row r="2907" spans="1:2" ht="15.75" x14ac:dyDescent="0.25">
      <c r="A2907" s="344">
        <v>80120</v>
      </c>
      <c r="B2907" s="345" t="s">
        <v>4844</v>
      </c>
    </row>
    <row r="2908" spans="1:2" ht="15.75" x14ac:dyDescent="0.25">
      <c r="A2908" s="344">
        <v>80125</v>
      </c>
      <c r="B2908" s="345" t="s">
        <v>4845</v>
      </c>
    </row>
    <row r="2909" spans="1:2" ht="15.75" x14ac:dyDescent="0.25">
      <c r="A2909" s="344">
        <v>80130</v>
      </c>
      <c r="B2909" s="345" t="s">
        <v>4846</v>
      </c>
    </row>
    <row r="2910" spans="1:2" ht="15.75" x14ac:dyDescent="0.25">
      <c r="A2910" s="344">
        <v>80140</v>
      </c>
      <c r="B2910" s="345" t="s">
        <v>4847</v>
      </c>
    </row>
    <row r="2911" spans="1:2" ht="15.75" x14ac:dyDescent="0.25">
      <c r="A2911" s="344">
        <v>80150</v>
      </c>
      <c r="B2911" s="345" t="s">
        <v>4848</v>
      </c>
    </row>
    <row r="2912" spans="1:2" ht="15.75" x14ac:dyDescent="0.25">
      <c r="A2912" s="344">
        <v>80160</v>
      </c>
      <c r="B2912" s="345" t="s">
        <v>4849</v>
      </c>
    </row>
    <row r="2913" spans="1:2" ht="15.75" x14ac:dyDescent="0.25">
      <c r="A2913" s="344">
        <v>80163</v>
      </c>
      <c r="B2913" s="345" t="s">
        <v>4850</v>
      </c>
    </row>
    <row r="2914" spans="1:2" ht="15.75" x14ac:dyDescent="0.25">
      <c r="A2914" s="344">
        <v>80165</v>
      </c>
      <c r="B2914" s="345" t="s">
        <v>4851</v>
      </c>
    </row>
    <row r="2915" spans="1:2" ht="15.75" x14ac:dyDescent="0.25">
      <c r="A2915" s="344">
        <v>80170</v>
      </c>
      <c r="B2915" s="345" t="s">
        <v>4852</v>
      </c>
    </row>
    <row r="2916" spans="1:2" ht="15.75" x14ac:dyDescent="0.25">
      <c r="A2916" s="344">
        <v>80172</v>
      </c>
      <c r="B2916" s="345" t="s">
        <v>4853</v>
      </c>
    </row>
    <row r="2917" spans="1:2" ht="15.75" x14ac:dyDescent="0.25">
      <c r="A2917" s="344">
        <v>80173</v>
      </c>
      <c r="B2917" s="345" t="s">
        <v>4854</v>
      </c>
    </row>
    <row r="2918" spans="1:2" ht="15.75" x14ac:dyDescent="0.25">
      <c r="A2918" s="344">
        <v>80174</v>
      </c>
      <c r="B2918" s="345" t="s">
        <v>4855</v>
      </c>
    </row>
    <row r="2919" spans="1:2" ht="15.75" x14ac:dyDescent="0.25">
      <c r="A2919" s="344">
        <v>80175</v>
      </c>
      <c r="B2919" s="345" t="s">
        <v>4856</v>
      </c>
    </row>
    <row r="2920" spans="1:2" ht="15.75" x14ac:dyDescent="0.25">
      <c r="A2920" s="344">
        <v>80180</v>
      </c>
      <c r="B2920" s="345" t="s">
        <v>4857</v>
      </c>
    </row>
    <row r="2921" spans="1:2" ht="15.75" x14ac:dyDescent="0.25">
      <c r="A2921" s="344">
        <v>80181</v>
      </c>
      <c r="B2921" s="345" t="s">
        <v>4858</v>
      </c>
    </row>
    <row r="2922" spans="1:2" ht="15.75" x14ac:dyDescent="0.25">
      <c r="A2922" s="344">
        <v>80182</v>
      </c>
      <c r="B2922" s="345" t="s">
        <v>4859</v>
      </c>
    </row>
    <row r="2923" spans="1:2" ht="15.75" x14ac:dyDescent="0.25">
      <c r="A2923" s="344">
        <v>80183</v>
      </c>
      <c r="B2923" s="345" t="s">
        <v>4860</v>
      </c>
    </row>
    <row r="2924" spans="1:2" ht="15.75" x14ac:dyDescent="0.25">
      <c r="A2924" s="344">
        <v>80184</v>
      </c>
      <c r="B2924" s="345" t="s">
        <v>4861</v>
      </c>
    </row>
    <row r="2925" spans="1:2" ht="15.75" x14ac:dyDescent="0.25">
      <c r="A2925" s="344">
        <v>80185</v>
      </c>
      <c r="B2925" s="345" t="s">
        <v>4862</v>
      </c>
    </row>
    <row r="2926" spans="1:2" ht="15.75" x14ac:dyDescent="0.25">
      <c r="A2926" s="344">
        <v>80186</v>
      </c>
      <c r="B2926" s="345" t="s">
        <v>4863</v>
      </c>
    </row>
    <row r="2927" spans="1:2" ht="15.75" x14ac:dyDescent="0.25">
      <c r="A2927" s="344">
        <v>80187</v>
      </c>
      <c r="B2927" s="345" t="s">
        <v>4864</v>
      </c>
    </row>
    <row r="2928" spans="1:2" ht="15.75" x14ac:dyDescent="0.25">
      <c r="A2928" s="344">
        <v>80200</v>
      </c>
      <c r="B2928" s="345" t="s">
        <v>4865</v>
      </c>
    </row>
    <row r="2929" spans="1:2" ht="15.75" x14ac:dyDescent="0.25">
      <c r="A2929" s="344">
        <v>80210</v>
      </c>
      <c r="B2929" s="345" t="s">
        <v>4866</v>
      </c>
    </row>
    <row r="2930" spans="1:2" ht="15.75" x14ac:dyDescent="0.25">
      <c r="A2930" s="344">
        <v>80215</v>
      </c>
      <c r="B2930" s="345" t="s">
        <v>4867</v>
      </c>
    </row>
    <row r="2931" spans="1:2" ht="15.75" x14ac:dyDescent="0.25">
      <c r="A2931" s="344">
        <v>80220</v>
      </c>
      <c r="B2931" s="345" t="s">
        <v>4868</v>
      </c>
    </row>
    <row r="2932" spans="1:2" ht="15.75" x14ac:dyDescent="0.25">
      <c r="A2932" s="344">
        <v>80225</v>
      </c>
      <c r="B2932" s="345" t="s">
        <v>4869</v>
      </c>
    </row>
    <row r="2933" spans="1:2" ht="15.75" x14ac:dyDescent="0.25">
      <c r="A2933" s="344">
        <v>80230</v>
      </c>
      <c r="B2933" s="345" t="s">
        <v>4870</v>
      </c>
    </row>
    <row r="2934" spans="1:2" ht="15.75" x14ac:dyDescent="0.25">
      <c r="A2934" s="344">
        <v>80235</v>
      </c>
      <c r="B2934" s="345" t="s">
        <v>4871</v>
      </c>
    </row>
    <row r="2935" spans="1:2" ht="15.75" x14ac:dyDescent="0.25">
      <c r="A2935" s="344">
        <v>80240</v>
      </c>
      <c r="B2935" s="345" t="s">
        <v>4872</v>
      </c>
    </row>
    <row r="2936" spans="1:2" ht="15.75" x14ac:dyDescent="0.25">
      <c r="A2936" s="344">
        <v>80245</v>
      </c>
      <c r="B2936" s="345" t="s">
        <v>4873</v>
      </c>
    </row>
    <row r="2937" spans="1:2" ht="15.75" x14ac:dyDescent="0.25">
      <c r="A2937" s="344">
        <v>80250</v>
      </c>
      <c r="B2937" s="345" t="s">
        <v>4874</v>
      </c>
    </row>
    <row r="2938" spans="1:2" ht="15.75" x14ac:dyDescent="0.25">
      <c r="A2938" s="344">
        <v>80255</v>
      </c>
      <c r="B2938" s="345" t="s">
        <v>4875</v>
      </c>
    </row>
    <row r="2939" spans="1:2" ht="15.75" x14ac:dyDescent="0.25">
      <c r="A2939" s="344">
        <v>80400</v>
      </c>
      <c r="B2939" s="345" t="s">
        <v>4876</v>
      </c>
    </row>
    <row r="2940" spans="1:2" ht="15.75" x14ac:dyDescent="0.25">
      <c r="A2940" s="344">
        <v>80410</v>
      </c>
      <c r="B2940" s="345" t="s">
        <v>4877</v>
      </c>
    </row>
    <row r="2941" spans="1:2" ht="15.75" x14ac:dyDescent="0.25">
      <c r="A2941" s="344">
        <v>80411</v>
      </c>
      <c r="B2941" s="345" t="s">
        <v>4878</v>
      </c>
    </row>
    <row r="2942" spans="1:2" ht="15.75" x14ac:dyDescent="0.25">
      <c r="A2942" s="344">
        <v>80420</v>
      </c>
      <c r="B2942" s="345" t="s">
        <v>4879</v>
      </c>
    </row>
    <row r="2943" spans="1:2" ht="15.75" x14ac:dyDescent="0.25">
      <c r="A2943" s="344">
        <v>80430</v>
      </c>
      <c r="B2943" s="345" t="s">
        <v>4880</v>
      </c>
    </row>
    <row r="2944" spans="1:2" ht="15.75" x14ac:dyDescent="0.25">
      <c r="A2944" s="344">
        <v>80440</v>
      </c>
      <c r="B2944" s="345" t="s">
        <v>4881</v>
      </c>
    </row>
    <row r="2945" spans="1:2" ht="15.75" x14ac:dyDescent="0.25">
      <c r="A2945" s="344">
        <v>80450</v>
      </c>
      <c r="B2945" s="345" t="s">
        <v>4882</v>
      </c>
    </row>
    <row r="2946" spans="1:2" ht="15.75" x14ac:dyDescent="0.25">
      <c r="A2946" s="344">
        <v>80455</v>
      </c>
      <c r="B2946" s="345" t="s">
        <v>4883</v>
      </c>
    </row>
    <row r="2947" spans="1:2" ht="15.75" x14ac:dyDescent="0.25">
      <c r="A2947" s="344">
        <v>80460</v>
      </c>
      <c r="B2947" s="345" t="s">
        <v>4884</v>
      </c>
    </row>
    <row r="2948" spans="1:2" ht="15.75" x14ac:dyDescent="0.25">
      <c r="A2948" s="344">
        <v>80470</v>
      </c>
      <c r="B2948" s="345" t="s">
        <v>4885</v>
      </c>
    </row>
    <row r="2949" spans="1:2" ht="15.75" x14ac:dyDescent="0.25">
      <c r="A2949" s="344">
        <v>80480</v>
      </c>
      <c r="B2949" s="345" t="s">
        <v>4886</v>
      </c>
    </row>
    <row r="2950" spans="1:2" ht="15.75" x14ac:dyDescent="0.25">
      <c r="A2950" s="344">
        <v>80490</v>
      </c>
      <c r="B2950" s="345" t="s">
        <v>4887</v>
      </c>
    </row>
    <row r="2951" spans="1:2" ht="15.75" x14ac:dyDescent="0.25">
      <c r="A2951" s="344">
        <v>81000</v>
      </c>
      <c r="B2951" s="345" t="s">
        <v>4888</v>
      </c>
    </row>
    <row r="2952" spans="1:2" ht="15.75" x14ac:dyDescent="0.25">
      <c r="A2952" s="344">
        <v>81010</v>
      </c>
      <c r="B2952" s="345" t="s">
        <v>4889</v>
      </c>
    </row>
    <row r="2953" spans="1:2" ht="15.75" x14ac:dyDescent="0.25">
      <c r="A2953" s="344">
        <v>81011</v>
      </c>
      <c r="B2953" s="345" t="s">
        <v>2346</v>
      </c>
    </row>
    <row r="2954" spans="1:2" ht="15.75" x14ac:dyDescent="0.25">
      <c r="A2954" s="344">
        <v>81012</v>
      </c>
      <c r="B2954" s="345" t="s">
        <v>2340</v>
      </c>
    </row>
    <row r="2955" spans="1:2" ht="15.75" x14ac:dyDescent="0.25">
      <c r="A2955" s="344">
        <v>81019</v>
      </c>
      <c r="B2955" s="345" t="s">
        <v>4464</v>
      </c>
    </row>
    <row r="2956" spans="1:2" ht="15.75" x14ac:dyDescent="0.25">
      <c r="A2956" s="344">
        <v>81020</v>
      </c>
      <c r="B2956" s="345" t="s">
        <v>4890</v>
      </c>
    </row>
    <row r="2957" spans="1:2" ht="15.75" x14ac:dyDescent="0.25">
      <c r="A2957" s="344">
        <v>81021</v>
      </c>
      <c r="B2957" s="345" t="s">
        <v>4768</v>
      </c>
    </row>
    <row r="2958" spans="1:2" ht="15.75" x14ac:dyDescent="0.25">
      <c r="A2958" s="344">
        <v>81025</v>
      </c>
      <c r="B2958" s="345" t="s">
        <v>4891</v>
      </c>
    </row>
    <row r="2959" spans="1:2" ht="15.75" x14ac:dyDescent="0.25">
      <c r="A2959" s="344">
        <v>81028</v>
      </c>
      <c r="B2959" s="345" t="s">
        <v>4892</v>
      </c>
    </row>
    <row r="2960" spans="1:2" ht="15.75" x14ac:dyDescent="0.25">
      <c r="A2960" s="344">
        <v>81030</v>
      </c>
      <c r="B2960" s="345" t="s">
        <v>4893</v>
      </c>
    </row>
    <row r="2961" spans="1:2" ht="15.75" x14ac:dyDescent="0.25">
      <c r="A2961" s="344">
        <v>81035</v>
      </c>
      <c r="B2961" s="345" t="s">
        <v>4527</v>
      </c>
    </row>
    <row r="2962" spans="1:2" ht="15.75" x14ac:dyDescent="0.25">
      <c r="A2962" s="344">
        <v>81036</v>
      </c>
      <c r="B2962" s="345" t="s">
        <v>4827</v>
      </c>
    </row>
    <row r="2963" spans="1:2" ht="15.75" x14ac:dyDescent="0.25">
      <c r="A2963" s="344">
        <v>81037</v>
      </c>
      <c r="B2963" s="345" t="s">
        <v>2319</v>
      </c>
    </row>
    <row r="2964" spans="1:2" ht="15.75" x14ac:dyDescent="0.25">
      <c r="A2964" s="344">
        <v>81039</v>
      </c>
      <c r="B2964" s="345" t="s">
        <v>4894</v>
      </c>
    </row>
    <row r="2965" spans="1:2" ht="15.75" x14ac:dyDescent="0.25">
      <c r="A2965" s="344">
        <v>81040</v>
      </c>
      <c r="B2965" s="345" t="s">
        <v>4895</v>
      </c>
    </row>
    <row r="2966" spans="1:2" ht="15.75" x14ac:dyDescent="0.25">
      <c r="A2966" s="344">
        <v>81045</v>
      </c>
      <c r="B2966" s="345" t="s">
        <v>4896</v>
      </c>
    </row>
    <row r="2967" spans="1:2" ht="15.75" x14ac:dyDescent="0.25">
      <c r="A2967" s="344">
        <v>81050</v>
      </c>
      <c r="B2967" s="345" t="s">
        <v>4897</v>
      </c>
    </row>
    <row r="2968" spans="1:2" ht="15.75" x14ac:dyDescent="0.25">
      <c r="A2968" s="344">
        <v>81055</v>
      </c>
      <c r="B2968" s="345" t="s">
        <v>4898</v>
      </c>
    </row>
    <row r="2969" spans="1:2" ht="15.75" x14ac:dyDescent="0.25">
      <c r="A2969" s="344">
        <v>81058</v>
      </c>
      <c r="B2969" s="345" t="s">
        <v>4899</v>
      </c>
    </row>
    <row r="2970" spans="1:2" ht="15.75" x14ac:dyDescent="0.25">
      <c r="A2970" s="344">
        <v>81060</v>
      </c>
      <c r="B2970" s="345" t="s">
        <v>4900</v>
      </c>
    </row>
    <row r="2971" spans="1:2" ht="15.75" x14ac:dyDescent="0.25">
      <c r="A2971" s="344">
        <v>81061</v>
      </c>
      <c r="B2971" s="345" t="s">
        <v>4901</v>
      </c>
    </row>
    <row r="2972" spans="1:2" ht="15.75" x14ac:dyDescent="0.25">
      <c r="A2972" s="344">
        <v>81062</v>
      </c>
      <c r="B2972" s="345" t="s">
        <v>4902</v>
      </c>
    </row>
    <row r="2973" spans="1:2" ht="15.75" x14ac:dyDescent="0.25">
      <c r="A2973" s="344">
        <v>81063</v>
      </c>
      <c r="B2973" s="345" t="s">
        <v>4903</v>
      </c>
    </row>
    <row r="2974" spans="1:2" ht="15.75" x14ac:dyDescent="0.25">
      <c r="A2974" s="344">
        <v>81064</v>
      </c>
      <c r="B2974" s="345" t="s">
        <v>4904</v>
      </c>
    </row>
    <row r="2975" spans="1:2" ht="15.75" x14ac:dyDescent="0.25">
      <c r="A2975" s="344">
        <v>81065</v>
      </c>
      <c r="B2975" s="345" t="s">
        <v>4905</v>
      </c>
    </row>
    <row r="2976" spans="1:2" ht="15.75" x14ac:dyDescent="0.25">
      <c r="A2976" s="344">
        <v>81066</v>
      </c>
      <c r="B2976" s="345" t="s">
        <v>4906</v>
      </c>
    </row>
    <row r="2977" spans="1:2" ht="15.75" x14ac:dyDescent="0.25">
      <c r="A2977" s="344">
        <v>81067</v>
      </c>
      <c r="B2977" s="345" t="s">
        <v>4907</v>
      </c>
    </row>
    <row r="2978" spans="1:2" ht="15.75" x14ac:dyDescent="0.25">
      <c r="A2978" s="344">
        <v>81068</v>
      </c>
      <c r="B2978" s="345" t="s">
        <v>4908</v>
      </c>
    </row>
    <row r="2979" spans="1:2" ht="15.75" x14ac:dyDescent="0.25">
      <c r="A2979" s="344">
        <v>81069</v>
      </c>
      <c r="B2979" s="345" t="s">
        <v>3088</v>
      </c>
    </row>
    <row r="2980" spans="1:2" ht="15.75" x14ac:dyDescent="0.25">
      <c r="A2980" s="344">
        <v>81070</v>
      </c>
      <c r="B2980" s="345" t="s">
        <v>4909</v>
      </c>
    </row>
    <row r="2981" spans="1:2" ht="15.75" x14ac:dyDescent="0.25">
      <c r="A2981" s="344">
        <v>81075</v>
      </c>
      <c r="B2981" s="345" t="s">
        <v>4910</v>
      </c>
    </row>
    <row r="2982" spans="1:2" ht="15.75" x14ac:dyDescent="0.25">
      <c r="A2982" s="344">
        <v>81080</v>
      </c>
      <c r="B2982" s="345" t="s">
        <v>4911</v>
      </c>
    </row>
    <row r="2983" spans="1:2" ht="15.75" x14ac:dyDescent="0.25">
      <c r="A2983" s="344">
        <v>81081</v>
      </c>
      <c r="B2983" s="345" t="s">
        <v>4912</v>
      </c>
    </row>
    <row r="2984" spans="1:2" ht="15.75" x14ac:dyDescent="0.25">
      <c r="A2984" s="344">
        <v>81082</v>
      </c>
      <c r="B2984" s="345" t="s">
        <v>4913</v>
      </c>
    </row>
    <row r="2985" spans="1:2" ht="15.75" x14ac:dyDescent="0.25">
      <c r="A2985" s="344">
        <v>81083</v>
      </c>
      <c r="B2985" s="345" t="s">
        <v>4914</v>
      </c>
    </row>
    <row r="2986" spans="1:2" ht="15.75" x14ac:dyDescent="0.25">
      <c r="A2986" s="344">
        <v>81084</v>
      </c>
      <c r="B2986" s="345" t="s">
        <v>4915</v>
      </c>
    </row>
    <row r="2987" spans="1:2" ht="15.75" x14ac:dyDescent="0.25">
      <c r="A2987" s="344">
        <v>81085</v>
      </c>
      <c r="B2987" s="345" t="s">
        <v>4916</v>
      </c>
    </row>
    <row r="2988" spans="1:2" ht="15.75" x14ac:dyDescent="0.25">
      <c r="A2988" s="344">
        <v>81086</v>
      </c>
      <c r="B2988" s="345" t="s">
        <v>4917</v>
      </c>
    </row>
    <row r="2989" spans="1:2" ht="15.75" x14ac:dyDescent="0.25">
      <c r="A2989" s="344">
        <v>81090</v>
      </c>
      <c r="B2989" s="345" t="s">
        <v>4918</v>
      </c>
    </row>
    <row r="2990" spans="1:2" ht="15.75" x14ac:dyDescent="0.25">
      <c r="A2990" s="344">
        <v>81093</v>
      </c>
      <c r="B2990" s="345" t="s">
        <v>4919</v>
      </c>
    </row>
    <row r="2991" spans="1:2" ht="15.75" x14ac:dyDescent="0.25">
      <c r="A2991" s="344">
        <v>81095</v>
      </c>
      <c r="B2991" s="345" t="s">
        <v>4920</v>
      </c>
    </row>
    <row r="2992" spans="1:2" ht="15.75" x14ac:dyDescent="0.25">
      <c r="A2992" s="344">
        <v>81100</v>
      </c>
      <c r="B2992" s="345" t="s">
        <v>4921</v>
      </c>
    </row>
    <row r="2993" spans="1:2" ht="15.75" x14ac:dyDescent="0.25">
      <c r="A2993" s="344">
        <v>81102</v>
      </c>
      <c r="B2993" s="345" t="s">
        <v>4922</v>
      </c>
    </row>
    <row r="2994" spans="1:2" ht="15.75" x14ac:dyDescent="0.25">
      <c r="A2994" s="344">
        <v>81104</v>
      </c>
      <c r="B2994" s="345" t="s">
        <v>4923</v>
      </c>
    </row>
    <row r="2995" spans="1:2" ht="15.75" x14ac:dyDescent="0.25">
      <c r="A2995" s="344">
        <v>81105</v>
      </c>
      <c r="B2995" s="345" t="s">
        <v>4924</v>
      </c>
    </row>
    <row r="2996" spans="1:2" ht="15.75" x14ac:dyDescent="0.25">
      <c r="A2996" s="344">
        <v>81106</v>
      </c>
      <c r="B2996" s="345" t="s">
        <v>4529</v>
      </c>
    </row>
    <row r="2997" spans="1:2" ht="15.75" x14ac:dyDescent="0.25">
      <c r="A2997" s="344">
        <v>81110</v>
      </c>
      <c r="B2997" s="345" t="s">
        <v>4925</v>
      </c>
    </row>
    <row r="2998" spans="1:2" ht="15.75" x14ac:dyDescent="0.25">
      <c r="A2998" s="344">
        <v>81111</v>
      </c>
      <c r="B2998" s="345" t="s">
        <v>4926</v>
      </c>
    </row>
    <row r="2999" spans="1:2" ht="15.75" x14ac:dyDescent="0.25">
      <c r="A2999" s="344">
        <v>81115</v>
      </c>
      <c r="B2999" s="345" t="s">
        <v>4496</v>
      </c>
    </row>
    <row r="3000" spans="1:2" ht="15.75" x14ac:dyDescent="0.25">
      <c r="A3000" s="344">
        <v>81116</v>
      </c>
      <c r="B3000" s="345" t="s">
        <v>4927</v>
      </c>
    </row>
    <row r="3001" spans="1:2" ht="15.75" x14ac:dyDescent="0.25">
      <c r="A3001" s="344">
        <v>81117</v>
      </c>
      <c r="B3001" s="345" t="s">
        <v>4928</v>
      </c>
    </row>
    <row r="3002" spans="1:2" ht="15.75" x14ac:dyDescent="0.25">
      <c r="A3002" s="344">
        <v>81119</v>
      </c>
      <c r="B3002" s="345" t="s">
        <v>4426</v>
      </c>
    </row>
    <row r="3003" spans="1:2" ht="15.75" x14ac:dyDescent="0.25">
      <c r="A3003" s="344">
        <v>81120</v>
      </c>
      <c r="B3003" s="345" t="s">
        <v>4929</v>
      </c>
    </row>
    <row r="3004" spans="1:2" ht="15.75" x14ac:dyDescent="0.25">
      <c r="A3004" s="344">
        <v>81121</v>
      </c>
      <c r="B3004" s="345" t="s">
        <v>4930</v>
      </c>
    </row>
    <row r="3005" spans="1:2" ht="15.75" x14ac:dyDescent="0.25">
      <c r="A3005" s="344">
        <v>81122</v>
      </c>
      <c r="B3005" s="345" t="s">
        <v>4931</v>
      </c>
    </row>
    <row r="3006" spans="1:2" ht="15.75" x14ac:dyDescent="0.25">
      <c r="A3006" s="344">
        <v>81125</v>
      </c>
      <c r="B3006" s="345" t="s">
        <v>4932</v>
      </c>
    </row>
    <row r="3007" spans="1:2" ht="15.75" x14ac:dyDescent="0.25">
      <c r="A3007" s="344">
        <v>81126</v>
      </c>
      <c r="B3007" s="345" t="s">
        <v>4933</v>
      </c>
    </row>
    <row r="3008" spans="1:2" ht="15.75" x14ac:dyDescent="0.25">
      <c r="A3008" s="344">
        <v>81127</v>
      </c>
      <c r="B3008" s="345" t="s">
        <v>4934</v>
      </c>
    </row>
    <row r="3009" spans="1:2" ht="15.75" x14ac:dyDescent="0.25">
      <c r="A3009" s="344">
        <v>81128</v>
      </c>
      <c r="B3009" s="345" t="s">
        <v>4935</v>
      </c>
    </row>
    <row r="3010" spans="1:2" ht="15.75" x14ac:dyDescent="0.25">
      <c r="A3010" s="344">
        <v>81129</v>
      </c>
      <c r="B3010" s="345" t="s">
        <v>4936</v>
      </c>
    </row>
    <row r="3011" spans="1:2" ht="15.75" x14ac:dyDescent="0.25">
      <c r="A3011" s="344">
        <v>81130</v>
      </c>
      <c r="B3011" s="345" t="s">
        <v>4937</v>
      </c>
    </row>
    <row r="3012" spans="1:2" ht="15.75" x14ac:dyDescent="0.25">
      <c r="A3012" s="344">
        <v>81135</v>
      </c>
      <c r="B3012" s="345" t="s">
        <v>4938</v>
      </c>
    </row>
    <row r="3013" spans="1:2" ht="15.75" x14ac:dyDescent="0.25">
      <c r="A3013" s="344">
        <v>81141</v>
      </c>
      <c r="B3013" s="345" t="s">
        <v>4939</v>
      </c>
    </row>
    <row r="3014" spans="1:2" ht="15.75" x14ac:dyDescent="0.25">
      <c r="A3014" s="344">
        <v>81150</v>
      </c>
      <c r="B3014" s="345" t="s">
        <v>4940</v>
      </c>
    </row>
    <row r="3015" spans="1:2" ht="15.75" x14ac:dyDescent="0.25">
      <c r="A3015" s="344">
        <v>81160</v>
      </c>
      <c r="B3015" s="345" t="s">
        <v>4941</v>
      </c>
    </row>
    <row r="3016" spans="1:2" ht="15.75" x14ac:dyDescent="0.25">
      <c r="A3016" s="344">
        <v>81170</v>
      </c>
      <c r="B3016" s="345" t="s">
        <v>4942</v>
      </c>
    </row>
    <row r="3017" spans="1:2" ht="15.75" x14ac:dyDescent="0.25">
      <c r="A3017" s="344">
        <v>81200</v>
      </c>
      <c r="B3017" s="345" t="s">
        <v>4452</v>
      </c>
    </row>
    <row r="3018" spans="1:2" ht="15.75" x14ac:dyDescent="0.25">
      <c r="A3018" s="344">
        <v>81201</v>
      </c>
      <c r="B3018" s="345" t="s">
        <v>4943</v>
      </c>
    </row>
    <row r="3019" spans="1:2" ht="15.75" x14ac:dyDescent="0.25">
      <c r="A3019" s="344">
        <v>81202</v>
      </c>
      <c r="B3019" s="345" t="s">
        <v>4829</v>
      </c>
    </row>
    <row r="3020" spans="1:2" ht="15.75" x14ac:dyDescent="0.25">
      <c r="A3020" s="344">
        <v>81203</v>
      </c>
      <c r="B3020" s="345" t="s">
        <v>4944</v>
      </c>
    </row>
    <row r="3021" spans="1:2" ht="15.75" x14ac:dyDescent="0.25">
      <c r="A3021" s="344">
        <v>81204</v>
      </c>
      <c r="B3021" s="345" t="s">
        <v>4945</v>
      </c>
    </row>
    <row r="3022" spans="1:2" ht="15.75" x14ac:dyDescent="0.25">
      <c r="A3022" s="344">
        <v>81205</v>
      </c>
      <c r="B3022" s="345" t="s">
        <v>4561</v>
      </c>
    </row>
    <row r="3023" spans="1:2" ht="15.75" x14ac:dyDescent="0.25">
      <c r="A3023" s="344">
        <v>81206</v>
      </c>
      <c r="B3023" s="345" t="s">
        <v>4946</v>
      </c>
    </row>
    <row r="3024" spans="1:2" ht="15.75" x14ac:dyDescent="0.25">
      <c r="A3024" s="344">
        <v>81207</v>
      </c>
      <c r="B3024" s="345" t="s">
        <v>4947</v>
      </c>
    </row>
    <row r="3025" spans="1:2" ht="15.75" x14ac:dyDescent="0.25">
      <c r="A3025" s="344">
        <v>81208</v>
      </c>
      <c r="B3025" s="345" t="s">
        <v>4948</v>
      </c>
    </row>
    <row r="3026" spans="1:2" ht="15.75" x14ac:dyDescent="0.25">
      <c r="A3026" s="344">
        <v>81210</v>
      </c>
      <c r="B3026" s="345" t="s">
        <v>4949</v>
      </c>
    </row>
    <row r="3027" spans="1:2" ht="15.75" x14ac:dyDescent="0.25">
      <c r="A3027" s="344">
        <v>81211</v>
      </c>
      <c r="B3027" s="345" t="s">
        <v>4950</v>
      </c>
    </row>
    <row r="3028" spans="1:2" ht="15.75" x14ac:dyDescent="0.25">
      <c r="A3028" s="344">
        <v>81212</v>
      </c>
      <c r="B3028" s="345" t="s">
        <v>4951</v>
      </c>
    </row>
    <row r="3029" spans="1:2" ht="15.75" x14ac:dyDescent="0.25">
      <c r="A3029" s="344">
        <v>81213</v>
      </c>
      <c r="B3029" s="345" t="s">
        <v>3947</v>
      </c>
    </row>
    <row r="3030" spans="1:2" ht="15.75" x14ac:dyDescent="0.25">
      <c r="A3030" s="344">
        <v>81500</v>
      </c>
      <c r="B3030" s="345" t="s">
        <v>3088</v>
      </c>
    </row>
    <row r="3031" spans="1:2" ht="15.75" x14ac:dyDescent="0.25">
      <c r="A3031" s="344">
        <v>81510</v>
      </c>
      <c r="B3031" s="345" t="s">
        <v>4952</v>
      </c>
    </row>
    <row r="3032" spans="1:2" ht="15.75" x14ac:dyDescent="0.25">
      <c r="A3032" s="344">
        <v>81520</v>
      </c>
      <c r="B3032" s="345" t="s">
        <v>4953</v>
      </c>
    </row>
    <row r="3033" spans="1:2" ht="15.75" x14ac:dyDescent="0.25">
      <c r="A3033" s="344">
        <v>81530</v>
      </c>
      <c r="B3033" s="345" t="s">
        <v>4926</v>
      </c>
    </row>
    <row r="3034" spans="1:2" ht="15.75" x14ac:dyDescent="0.25">
      <c r="A3034" s="344">
        <v>81540</v>
      </c>
      <c r="B3034" s="345" t="s">
        <v>4954</v>
      </c>
    </row>
    <row r="3035" spans="1:2" ht="15.75" x14ac:dyDescent="0.25">
      <c r="A3035" s="344">
        <v>81550</v>
      </c>
      <c r="B3035" s="345" t="s">
        <v>4955</v>
      </c>
    </row>
    <row r="3036" spans="1:2" ht="15.75" x14ac:dyDescent="0.25">
      <c r="A3036" s="344">
        <v>81560</v>
      </c>
      <c r="B3036" s="345" t="s">
        <v>4956</v>
      </c>
    </row>
    <row r="3037" spans="1:2" ht="15.75" x14ac:dyDescent="0.25">
      <c r="A3037" s="344">
        <v>81570</v>
      </c>
      <c r="B3037" s="345" t="s">
        <v>4957</v>
      </c>
    </row>
    <row r="3038" spans="1:2" ht="15.75" x14ac:dyDescent="0.25">
      <c r="A3038" s="344">
        <v>81580</v>
      </c>
      <c r="B3038" s="345" t="s">
        <v>4958</v>
      </c>
    </row>
    <row r="3039" spans="1:2" ht="15.75" x14ac:dyDescent="0.25">
      <c r="A3039" s="344">
        <v>81590</v>
      </c>
      <c r="B3039" s="345" t="s">
        <v>4959</v>
      </c>
    </row>
    <row r="3040" spans="1:2" ht="15.75" x14ac:dyDescent="0.25">
      <c r="A3040" s="344">
        <v>81610</v>
      </c>
      <c r="B3040" s="345" t="s">
        <v>4960</v>
      </c>
    </row>
    <row r="3041" spans="1:2" ht="15.75" x14ac:dyDescent="0.25">
      <c r="A3041" s="344">
        <v>81620</v>
      </c>
      <c r="B3041" s="345" t="s">
        <v>4961</v>
      </c>
    </row>
    <row r="3042" spans="1:2" ht="15.75" x14ac:dyDescent="0.25">
      <c r="A3042" s="344">
        <v>81630</v>
      </c>
      <c r="B3042" s="345" t="s">
        <v>4962</v>
      </c>
    </row>
    <row r="3043" spans="1:2" ht="15.75" x14ac:dyDescent="0.25">
      <c r="A3043" s="344">
        <v>81640</v>
      </c>
      <c r="B3043" s="345" t="s">
        <v>4963</v>
      </c>
    </row>
    <row r="3044" spans="1:2" ht="15.75" x14ac:dyDescent="0.25">
      <c r="A3044" s="344">
        <v>81650</v>
      </c>
      <c r="B3044" s="345" t="s">
        <v>4964</v>
      </c>
    </row>
    <row r="3045" spans="1:2" ht="15.75" x14ac:dyDescent="0.25">
      <c r="A3045" s="344">
        <v>82000</v>
      </c>
      <c r="B3045" s="345" t="s">
        <v>4965</v>
      </c>
    </row>
    <row r="3046" spans="1:2" ht="15.75" x14ac:dyDescent="0.25">
      <c r="A3046" s="344">
        <v>82010</v>
      </c>
      <c r="B3046" s="345" t="s">
        <v>4966</v>
      </c>
    </row>
    <row r="3047" spans="1:2" ht="15.75" x14ac:dyDescent="0.25">
      <c r="A3047" s="344">
        <v>82020</v>
      </c>
      <c r="B3047" s="345" t="s">
        <v>4967</v>
      </c>
    </row>
    <row r="3048" spans="1:2" ht="15.75" x14ac:dyDescent="0.25">
      <c r="A3048" s="344">
        <v>82030</v>
      </c>
      <c r="B3048" s="345" t="s">
        <v>4968</v>
      </c>
    </row>
    <row r="3049" spans="1:2" ht="15.75" x14ac:dyDescent="0.25">
      <c r="A3049" s="344">
        <v>82035</v>
      </c>
      <c r="B3049" s="345" t="s">
        <v>4969</v>
      </c>
    </row>
    <row r="3050" spans="1:2" ht="15.75" x14ac:dyDescent="0.25">
      <c r="A3050" s="344">
        <v>82040</v>
      </c>
      <c r="B3050" s="345" t="s">
        <v>4970</v>
      </c>
    </row>
    <row r="3051" spans="1:2" ht="15.75" x14ac:dyDescent="0.25">
      <c r="A3051" s="344">
        <v>82050</v>
      </c>
      <c r="B3051" s="345" t="s">
        <v>4971</v>
      </c>
    </row>
    <row r="3052" spans="1:2" ht="15.75" x14ac:dyDescent="0.25">
      <c r="A3052" s="344">
        <v>82060</v>
      </c>
      <c r="B3052" s="345" t="s">
        <v>4972</v>
      </c>
    </row>
    <row r="3053" spans="1:2" ht="15.75" x14ac:dyDescent="0.25">
      <c r="A3053" s="344">
        <v>82062</v>
      </c>
      <c r="B3053" s="345" t="s">
        <v>4973</v>
      </c>
    </row>
    <row r="3054" spans="1:2" ht="15.75" x14ac:dyDescent="0.25">
      <c r="A3054" s="344">
        <v>82063</v>
      </c>
      <c r="B3054" s="345" t="s">
        <v>4974</v>
      </c>
    </row>
    <row r="3055" spans="1:2" ht="15.75" x14ac:dyDescent="0.25">
      <c r="A3055" s="344">
        <v>82064</v>
      </c>
      <c r="B3055" s="345" t="s">
        <v>4975</v>
      </c>
    </row>
    <row r="3056" spans="1:2" ht="15.75" x14ac:dyDescent="0.25">
      <c r="A3056" s="344">
        <v>82065</v>
      </c>
      <c r="B3056" s="345" t="s">
        <v>4477</v>
      </c>
    </row>
    <row r="3057" spans="1:2" ht="15.75" x14ac:dyDescent="0.25">
      <c r="A3057" s="344">
        <v>82067</v>
      </c>
      <c r="B3057" s="345" t="s">
        <v>4976</v>
      </c>
    </row>
    <row r="3058" spans="1:2" ht="15.75" x14ac:dyDescent="0.25">
      <c r="A3058" s="344">
        <v>82068</v>
      </c>
      <c r="B3058" s="345" t="s">
        <v>4977</v>
      </c>
    </row>
    <row r="3059" spans="1:2" ht="15.75" x14ac:dyDescent="0.25">
      <c r="A3059" s="344">
        <v>82069</v>
      </c>
      <c r="B3059" s="345" t="s">
        <v>4978</v>
      </c>
    </row>
    <row r="3060" spans="1:2" ht="15.75" x14ac:dyDescent="0.25">
      <c r="A3060" s="344">
        <v>82070</v>
      </c>
      <c r="B3060" s="345" t="s">
        <v>4979</v>
      </c>
    </row>
    <row r="3061" spans="1:2" ht="15.75" x14ac:dyDescent="0.25">
      <c r="A3061" s="344">
        <v>82080</v>
      </c>
      <c r="B3061" s="345" t="s">
        <v>4980</v>
      </c>
    </row>
    <row r="3062" spans="1:2" ht="15.75" x14ac:dyDescent="0.25">
      <c r="A3062" s="344">
        <v>82082</v>
      </c>
      <c r="B3062" s="345" t="s">
        <v>4981</v>
      </c>
    </row>
    <row r="3063" spans="1:2" ht="15.75" x14ac:dyDescent="0.25">
      <c r="A3063" s="344">
        <v>82083</v>
      </c>
      <c r="B3063" s="345" t="s">
        <v>4982</v>
      </c>
    </row>
    <row r="3064" spans="1:2" ht="15.75" x14ac:dyDescent="0.25">
      <c r="A3064" s="344">
        <v>82085</v>
      </c>
      <c r="B3064" s="345" t="s">
        <v>4983</v>
      </c>
    </row>
    <row r="3065" spans="1:2" ht="15.75" x14ac:dyDescent="0.25">
      <c r="A3065" s="344">
        <v>82086</v>
      </c>
      <c r="B3065" s="345" t="s">
        <v>4984</v>
      </c>
    </row>
    <row r="3066" spans="1:2" ht="15.75" x14ac:dyDescent="0.25">
      <c r="A3066" s="344">
        <v>82087</v>
      </c>
      <c r="B3066" s="345" t="s">
        <v>4985</v>
      </c>
    </row>
    <row r="3067" spans="1:2" ht="15.75" x14ac:dyDescent="0.25">
      <c r="A3067" s="344">
        <v>82090</v>
      </c>
      <c r="B3067" s="345" t="s">
        <v>3295</v>
      </c>
    </row>
    <row r="3068" spans="1:2" ht="15.75" x14ac:dyDescent="0.25">
      <c r="A3068" s="344">
        <v>82100</v>
      </c>
      <c r="B3068" s="345" t="s">
        <v>3297</v>
      </c>
    </row>
    <row r="3069" spans="1:2" ht="15.75" x14ac:dyDescent="0.25">
      <c r="A3069" s="344">
        <v>82110</v>
      </c>
      <c r="B3069" s="345" t="s">
        <v>3299</v>
      </c>
    </row>
    <row r="3070" spans="1:2" ht="15.75" x14ac:dyDescent="0.25">
      <c r="A3070" s="344">
        <v>82120</v>
      </c>
      <c r="B3070" s="345" t="s">
        <v>4986</v>
      </c>
    </row>
    <row r="3071" spans="1:2" ht="15.75" x14ac:dyDescent="0.25">
      <c r="A3071" s="344">
        <v>82130</v>
      </c>
      <c r="B3071" s="345" t="s">
        <v>4987</v>
      </c>
    </row>
    <row r="3072" spans="1:2" ht="15.75" x14ac:dyDescent="0.25">
      <c r="A3072" s="344">
        <v>82140</v>
      </c>
      <c r="B3072" s="345" t="s">
        <v>4988</v>
      </c>
    </row>
    <row r="3073" spans="1:2" ht="15.75" x14ac:dyDescent="0.25">
      <c r="A3073" s="344">
        <v>82150</v>
      </c>
      <c r="B3073" s="345" t="s">
        <v>4989</v>
      </c>
    </row>
    <row r="3074" spans="1:2" ht="15.75" x14ac:dyDescent="0.25">
      <c r="A3074" s="344">
        <v>82155</v>
      </c>
      <c r="B3074" s="345" t="s">
        <v>2144</v>
      </c>
    </row>
    <row r="3075" spans="1:2" ht="15.75" x14ac:dyDescent="0.25">
      <c r="A3075" s="344">
        <v>82160</v>
      </c>
      <c r="B3075" s="345" t="s">
        <v>2146</v>
      </c>
    </row>
    <row r="3076" spans="1:2" ht="15.75" x14ac:dyDescent="0.25">
      <c r="A3076" s="344">
        <v>82170</v>
      </c>
      <c r="B3076" s="345" t="s">
        <v>4990</v>
      </c>
    </row>
    <row r="3077" spans="1:2" ht="15.75" x14ac:dyDescent="0.25">
      <c r="A3077" s="344">
        <v>82175</v>
      </c>
      <c r="B3077" s="345" t="s">
        <v>4991</v>
      </c>
    </row>
    <row r="3078" spans="1:2" ht="15.75" x14ac:dyDescent="0.25">
      <c r="A3078" s="344">
        <v>82180</v>
      </c>
      <c r="B3078" s="345" t="s">
        <v>4992</v>
      </c>
    </row>
    <row r="3079" spans="1:2" ht="15.75" x14ac:dyDescent="0.25">
      <c r="A3079" s="344">
        <v>82186</v>
      </c>
      <c r="B3079" s="345" t="s">
        <v>4993</v>
      </c>
    </row>
    <row r="3080" spans="1:2" ht="15.75" x14ac:dyDescent="0.25">
      <c r="A3080" s="344">
        <v>82190</v>
      </c>
      <c r="B3080" s="345" t="s">
        <v>4994</v>
      </c>
    </row>
    <row r="3081" spans="1:2" ht="15.75" x14ac:dyDescent="0.25">
      <c r="A3081" s="344">
        <v>82200</v>
      </c>
      <c r="B3081" s="345" t="s">
        <v>4995</v>
      </c>
    </row>
    <row r="3082" spans="1:2" ht="15.75" x14ac:dyDescent="0.25">
      <c r="A3082" s="344">
        <v>82210</v>
      </c>
      <c r="B3082" s="345" t="s">
        <v>4996</v>
      </c>
    </row>
    <row r="3083" spans="1:2" ht="15.75" x14ac:dyDescent="0.25">
      <c r="A3083" s="344">
        <v>82220</v>
      </c>
      <c r="B3083" s="345" t="s">
        <v>4997</v>
      </c>
    </row>
    <row r="3084" spans="1:2" ht="15.75" x14ac:dyDescent="0.25">
      <c r="A3084" s="344">
        <v>82221</v>
      </c>
      <c r="B3084" s="345" t="s">
        <v>4998</v>
      </c>
    </row>
    <row r="3085" spans="1:2" ht="15.75" x14ac:dyDescent="0.25">
      <c r="A3085" s="344">
        <v>82222</v>
      </c>
      <c r="B3085" s="345" t="s">
        <v>4999</v>
      </c>
    </row>
    <row r="3086" spans="1:2" ht="15.75" x14ac:dyDescent="0.25">
      <c r="A3086" s="344">
        <v>82223</v>
      </c>
      <c r="B3086" s="345" t="s">
        <v>5000</v>
      </c>
    </row>
    <row r="3087" spans="1:2" ht="15.75" x14ac:dyDescent="0.25">
      <c r="A3087" s="344">
        <v>82225</v>
      </c>
      <c r="B3087" s="345" t="s">
        <v>5001</v>
      </c>
    </row>
    <row r="3088" spans="1:2" ht="15.75" x14ac:dyDescent="0.25">
      <c r="A3088" s="344">
        <v>82230</v>
      </c>
      <c r="B3088" s="345" t="s">
        <v>4829</v>
      </c>
    </row>
    <row r="3089" spans="1:2" ht="15.75" x14ac:dyDescent="0.25">
      <c r="A3089" s="344">
        <v>82250</v>
      </c>
      <c r="B3089" s="345" t="s">
        <v>5002</v>
      </c>
    </row>
    <row r="3090" spans="1:2" ht="15.75" x14ac:dyDescent="0.25">
      <c r="A3090" s="344">
        <v>83000</v>
      </c>
      <c r="B3090" s="345" t="s">
        <v>5003</v>
      </c>
    </row>
    <row r="3091" spans="1:2" ht="15.75" x14ac:dyDescent="0.25">
      <c r="A3091" s="344">
        <v>83010</v>
      </c>
      <c r="B3091" s="345" t="s">
        <v>5004</v>
      </c>
    </row>
    <row r="3092" spans="1:2" ht="15.75" x14ac:dyDescent="0.25">
      <c r="A3092" s="344">
        <v>83015</v>
      </c>
      <c r="B3092" s="345" t="s">
        <v>5005</v>
      </c>
    </row>
    <row r="3093" spans="1:2" ht="15.75" x14ac:dyDescent="0.25">
      <c r="A3093" s="344">
        <v>83020</v>
      </c>
      <c r="B3093" s="345" t="s">
        <v>5006</v>
      </c>
    </row>
    <row r="3094" spans="1:2" ht="15.75" x14ac:dyDescent="0.25">
      <c r="A3094" s="344">
        <v>83030</v>
      </c>
      <c r="B3094" s="345" t="s">
        <v>5007</v>
      </c>
    </row>
    <row r="3095" spans="1:2" ht="15.75" x14ac:dyDescent="0.25">
      <c r="A3095" s="344">
        <v>84000</v>
      </c>
      <c r="B3095" s="345" t="s">
        <v>5008</v>
      </c>
    </row>
    <row r="3096" spans="1:2" ht="15.75" x14ac:dyDescent="0.25">
      <c r="A3096" s="344">
        <v>84010</v>
      </c>
      <c r="B3096" s="345" t="s">
        <v>5009</v>
      </c>
    </row>
    <row r="3097" spans="1:2" ht="15.75" x14ac:dyDescent="0.25">
      <c r="A3097" s="344">
        <v>85000</v>
      </c>
      <c r="B3097" s="345" t="s">
        <v>5010</v>
      </c>
    </row>
    <row r="3098" spans="1:2" ht="15.75" x14ac:dyDescent="0.25">
      <c r="A3098" s="344">
        <v>85010</v>
      </c>
      <c r="B3098" s="345" t="s">
        <v>5011</v>
      </c>
    </row>
    <row r="3099" spans="1:2" ht="15.75" x14ac:dyDescent="0.25">
      <c r="A3099" s="344">
        <v>85011</v>
      </c>
      <c r="B3099" s="345" t="s">
        <v>5012</v>
      </c>
    </row>
    <row r="3100" spans="1:2" ht="15.75" x14ac:dyDescent="0.25">
      <c r="A3100" s="344">
        <v>85012</v>
      </c>
      <c r="B3100" s="345" t="s">
        <v>5013</v>
      </c>
    </row>
    <row r="3101" spans="1:2" ht="15.75" x14ac:dyDescent="0.25">
      <c r="A3101" s="344">
        <v>85013</v>
      </c>
      <c r="B3101" s="345" t="s">
        <v>5014</v>
      </c>
    </row>
    <row r="3102" spans="1:2" ht="15.75" x14ac:dyDescent="0.25">
      <c r="A3102" s="344">
        <v>85015</v>
      </c>
      <c r="B3102" s="345" t="s">
        <v>5015</v>
      </c>
    </row>
    <row r="3103" spans="1:2" ht="15.75" x14ac:dyDescent="0.25">
      <c r="A3103" s="344">
        <v>85016</v>
      </c>
      <c r="B3103" s="345" t="s">
        <v>5016</v>
      </c>
    </row>
    <row r="3104" spans="1:2" ht="15.75" x14ac:dyDescent="0.25">
      <c r="A3104" s="344">
        <v>85018</v>
      </c>
      <c r="B3104" s="345" t="s">
        <v>5017</v>
      </c>
    </row>
    <row r="3105" spans="1:2" ht="15.75" x14ac:dyDescent="0.25">
      <c r="A3105" s="344">
        <v>85019</v>
      </c>
      <c r="B3105" s="345" t="s">
        <v>5018</v>
      </c>
    </row>
    <row r="3106" spans="1:2" ht="15.75" x14ac:dyDescent="0.25">
      <c r="A3106" s="344">
        <v>87000</v>
      </c>
      <c r="B3106" s="345" t="s">
        <v>5019</v>
      </c>
    </row>
    <row r="3107" spans="1:2" ht="15.75" x14ac:dyDescent="0.25">
      <c r="A3107" s="344">
        <v>87010</v>
      </c>
      <c r="B3107" s="345" t="s">
        <v>5020</v>
      </c>
    </row>
    <row r="3108" spans="1:2" ht="15.75" x14ac:dyDescent="0.25">
      <c r="A3108" s="344">
        <v>87020</v>
      </c>
      <c r="B3108" s="345" t="s">
        <v>5021</v>
      </c>
    </row>
    <row r="3109" spans="1:2" ht="15.75" x14ac:dyDescent="0.25">
      <c r="A3109" s="344">
        <v>87030</v>
      </c>
      <c r="B3109" s="345" t="s">
        <v>4937</v>
      </c>
    </row>
    <row r="3110" spans="1:2" ht="15.75" x14ac:dyDescent="0.25">
      <c r="A3110" s="344" t="s">
        <v>5022</v>
      </c>
      <c r="B3110" s="345" t="s">
        <v>2041</v>
      </c>
    </row>
    <row r="3111" spans="1:2" ht="15.75" x14ac:dyDescent="0.25">
      <c r="A3111" s="344" t="s">
        <v>5023</v>
      </c>
      <c r="B3111" s="345" t="s">
        <v>2082</v>
      </c>
    </row>
    <row r="3112" spans="1:2" ht="15.75" x14ac:dyDescent="0.25">
      <c r="A3112" s="344" t="s">
        <v>5024</v>
      </c>
      <c r="B3112" s="345" t="s">
        <v>2083</v>
      </c>
    </row>
    <row r="3113" spans="1:2" ht="15.75" x14ac:dyDescent="0.25">
      <c r="A3113" s="344" t="s">
        <v>5025</v>
      </c>
      <c r="B3113" s="345" t="s">
        <v>2084</v>
      </c>
    </row>
    <row r="3114" spans="1:2" ht="15.75" x14ac:dyDescent="0.25">
      <c r="A3114" s="344" t="s">
        <v>5026</v>
      </c>
      <c r="B3114" s="345" t="s">
        <v>2085</v>
      </c>
    </row>
    <row r="3115" spans="1:2" ht="15.75" x14ac:dyDescent="0.25">
      <c r="A3115" s="344" t="s">
        <v>5027</v>
      </c>
      <c r="B3115" s="345" t="s">
        <v>2086</v>
      </c>
    </row>
    <row r="3116" spans="1:2" ht="15.75" x14ac:dyDescent="0.25">
      <c r="A3116" s="344" t="s">
        <v>5028</v>
      </c>
      <c r="B3116" s="345" t="s">
        <v>2087</v>
      </c>
    </row>
    <row r="3117" spans="1:2" ht="15.75" x14ac:dyDescent="0.25">
      <c r="A3117" s="344" t="s">
        <v>5029</v>
      </c>
      <c r="B3117" s="345" t="s">
        <v>2088</v>
      </c>
    </row>
    <row r="3118" spans="1:2" ht="15.75" x14ac:dyDescent="0.25">
      <c r="A3118" s="344" t="s">
        <v>5030</v>
      </c>
      <c r="B3118" s="345" t="s">
        <v>2089</v>
      </c>
    </row>
    <row r="3119" spans="1:2" ht="15.75" x14ac:dyDescent="0.25">
      <c r="A3119" s="344" t="s">
        <v>5031</v>
      </c>
      <c r="B3119" s="345" t="s">
        <v>2090</v>
      </c>
    </row>
    <row r="3120" spans="1:2" ht="15.75" x14ac:dyDescent="0.25">
      <c r="A3120" s="344" t="s">
        <v>5032</v>
      </c>
      <c r="B3120" s="345" t="s">
        <v>2091</v>
      </c>
    </row>
    <row r="3121" spans="1:2" ht="15.75" x14ac:dyDescent="0.25">
      <c r="A3121" s="344" t="s">
        <v>5033</v>
      </c>
      <c r="B3121" s="345" t="s">
        <v>2092</v>
      </c>
    </row>
    <row r="3122" spans="1:2" ht="15.75" x14ac:dyDescent="0.25">
      <c r="A3122" s="344" t="s">
        <v>5034</v>
      </c>
      <c r="B3122" s="345" t="s">
        <v>2093</v>
      </c>
    </row>
    <row r="3123" spans="1:2" ht="15.75" x14ac:dyDescent="0.25">
      <c r="A3123" s="344" t="s">
        <v>5035</v>
      </c>
      <c r="B3123" s="345" t="s">
        <v>2094</v>
      </c>
    </row>
    <row r="3124" spans="1:2" ht="15.75" x14ac:dyDescent="0.25">
      <c r="A3124" s="344" t="s">
        <v>5036</v>
      </c>
      <c r="B3124" s="345" t="s">
        <v>2095</v>
      </c>
    </row>
    <row r="3125" spans="1:2" ht="15.75" x14ac:dyDescent="0.25">
      <c r="A3125" s="344" t="s">
        <v>5037</v>
      </c>
      <c r="B3125" s="345" t="s">
        <v>2096</v>
      </c>
    </row>
    <row r="3126" spans="1:2" ht="15.75" x14ac:dyDescent="0.25">
      <c r="A3126" s="344" t="s">
        <v>5038</v>
      </c>
      <c r="B3126" s="345" t="s">
        <v>2097</v>
      </c>
    </row>
    <row r="3127" spans="1:2" ht="15.75" x14ac:dyDescent="0.25">
      <c r="A3127" s="344" t="s">
        <v>5039</v>
      </c>
      <c r="B3127" s="345" t="s">
        <v>2098</v>
      </c>
    </row>
    <row r="3128" spans="1:2" ht="15.75" x14ac:dyDescent="0.25">
      <c r="A3128" s="344" t="s">
        <v>5040</v>
      </c>
      <c r="B3128" s="345" t="s">
        <v>2099</v>
      </c>
    </row>
    <row r="3129" spans="1:2" ht="15.75" x14ac:dyDescent="0.25">
      <c r="A3129" s="344" t="s">
        <v>5041</v>
      </c>
      <c r="B3129" s="345" t="s">
        <v>2100</v>
      </c>
    </row>
    <row r="3130" spans="1:2" ht="15.75" x14ac:dyDescent="0.25">
      <c r="A3130" s="344" t="s">
        <v>5042</v>
      </c>
      <c r="B3130" s="345" t="s">
        <v>2101</v>
      </c>
    </row>
    <row r="3131" spans="1:2" ht="15.75" x14ac:dyDescent="0.25">
      <c r="A3131" s="344" t="s">
        <v>5043</v>
      </c>
      <c r="B3131" s="345" t="s">
        <v>2102</v>
      </c>
    </row>
    <row r="3132" spans="1:2" ht="15.75" x14ac:dyDescent="0.25">
      <c r="A3132" s="344" t="s">
        <v>5044</v>
      </c>
      <c r="B3132" s="345" t="s">
        <v>2103</v>
      </c>
    </row>
    <row r="3133" spans="1:2" ht="15.75" x14ac:dyDescent="0.25">
      <c r="A3133" s="344" t="s">
        <v>5045</v>
      </c>
      <c r="B3133" s="345" t="s">
        <v>2104</v>
      </c>
    </row>
    <row r="3134" spans="1:2" ht="15.75" x14ac:dyDescent="0.25">
      <c r="A3134" s="344" t="s">
        <v>5046</v>
      </c>
      <c r="B3134" s="345" t="s">
        <v>2105</v>
      </c>
    </row>
    <row r="3135" spans="1:2" ht="15.75" x14ac:dyDescent="0.25">
      <c r="A3135" s="344" t="s">
        <v>5047</v>
      </c>
      <c r="B3135" s="345" t="s">
        <v>2106</v>
      </c>
    </row>
    <row r="3136" spans="1:2" ht="15.75" x14ac:dyDescent="0.25">
      <c r="A3136" s="344" t="s">
        <v>5048</v>
      </c>
      <c r="B3136" s="345" t="s">
        <v>2107</v>
      </c>
    </row>
    <row r="3137" spans="1:2" ht="15.75" x14ac:dyDescent="0.25">
      <c r="A3137" s="344" t="s">
        <v>5049</v>
      </c>
      <c r="B3137" s="345" t="s">
        <v>2108</v>
      </c>
    </row>
    <row r="3138" spans="1:2" ht="15.75" x14ac:dyDescent="0.25">
      <c r="A3138" s="344" t="s">
        <v>5050</v>
      </c>
      <c r="B3138" s="345" t="s">
        <v>2109</v>
      </c>
    </row>
    <row r="3139" spans="1:2" ht="15.75" x14ac:dyDescent="0.25">
      <c r="A3139" s="344" t="s">
        <v>5051</v>
      </c>
      <c r="B3139" s="345" t="s">
        <v>2110</v>
      </c>
    </row>
    <row r="3140" spans="1:2" ht="15.75" x14ac:dyDescent="0.25">
      <c r="A3140" s="344" t="s">
        <v>5052</v>
      </c>
      <c r="B3140" s="345" t="s">
        <v>2111</v>
      </c>
    </row>
    <row r="3141" spans="1:2" ht="15.75" x14ac:dyDescent="0.25">
      <c r="A3141" s="344" t="s">
        <v>5053</v>
      </c>
      <c r="B3141" s="345" t="s">
        <v>2112</v>
      </c>
    </row>
    <row r="3142" spans="1:2" ht="15.75" x14ac:dyDescent="0.25">
      <c r="A3142" s="344" t="s">
        <v>5054</v>
      </c>
      <c r="B3142" s="345" t="s">
        <v>2113</v>
      </c>
    </row>
    <row r="3143" spans="1:2" ht="15.75" x14ac:dyDescent="0.25">
      <c r="A3143" s="344" t="s">
        <v>5055</v>
      </c>
      <c r="B3143" s="345" t="s">
        <v>2114</v>
      </c>
    </row>
    <row r="3144" spans="1:2" ht="15.75" x14ac:dyDescent="0.25">
      <c r="A3144" s="344" t="s">
        <v>5056</v>
      </c>
      <c r="B3144" s="345" t="s">
        <v>2115</v>
      </c>
    </row>
    <row r="3145" spans="1:2" ht="15.75" x14ac:dyDescent="0.25">
      <c r="A3145" s="344" t="s">
        <v>5057</v>
      </c>
      <c r="B3145" s="345" t="s">
        <v>2116</v>
      </c>
    </row>
    <row r="3146" spans="1:2" ht="15.75" x14ac:dyDescent="0.25">
      <c r="A3146" s="344" t="s">
        <v>5058</v>
      </c>
      <c r="B3146" s="345" t="s">
        <v>2110</v>
      </c>
    </row>
    <row r="3147" spans="1:2" ht="15.75" x14ac:dyDescent="0.25">
      <c r="A3147" s="344" t="s">
        <v>5059</v>
      </c>
      <c r="B3147" s="345" t="s">
        <v>2117</v>
      </c>
    </row>
    <row r="3148" spans="1:2" ht="15.75" x14ac:dyDescent="0.25">
      <c r="A3148" s="344" t="s">
        <v>5060</v>
      </c>
      <c r="B3148" s="345" t="s">
        <v>2118</v>
      </c>
    </row>
    <row r="3149" spans="1:2" ht="15.75" x14ac:dyDescent="0.25">
      <c r="A3149" s="344" t="s">
        <v>5061</v>
      </c>
      <c r="B3149" s="345" t="s">
        <v>2119</v>
      </c>
    </row>
    <row r="3150" spans="1:2" ht="15.75" x14ac:dyDescent="0.25">
      <c r="A3150" s="344" t="s">
        <v>5062</v>
      </c>
      <c r="B3150" s="345" t="s">
        <v>2120</v>
      </c>
    </row>
    <row r="3151" spans="1:2" ht="15.75" x14ac:dyDescent="0.25">
      <c r="A3151" s="344" t="s">
        <v>5063</v>
      </c>
      <c r="B3151" s="345" t="s">
        <v>2121</v>
      </c>
    </row>
    <row r="3152" spans="1:2" ht="15.75" x14ac:dyDescent="0.25">
      <c r="A3152" s="344" t="s">
        <v>5064</v>
      </c>
      <c r="B3152" s="345" t="s">
        <v>2122</v>
      </c>
    </row>
    <row r="3153" spans="1:2" ht="15.75" x14ac:dyDescent="0.25">
      <c r="A3153" s="344" t="s">
        <v>5065</v>
      </c>
      <c r="B3153" s="345" t="s">
        <v>2123</v>
      </c>
    </row>
    <row r="3154" spans="1:2" ht="15.75" x14ac:dyDescent="0.25">
      <c r="A3154" s="344" t="s">
        <v>5066</v>
      </c>
      <c r="B3154" s="345" t="s">
        <v>2124</v>
      </c>
    </row>
    <row r="3155" spans="1:2" ht="15.75" x14ac:dyDescent="0.25">
      <c r="A3155" s="344" t="s">
        <v>5067</v>
      </c>
      <c r="B3155" s="345" t="s">
        <v>2125</v>
      </c>
    </row>
    <row r="3156" spans="1:2" ht="15.75" x14ac:dyDescent="0.25">
      <c r="A3156" s="344" t="s">
        <v>5068</v>
      </c>
      <c r="B3156" s="345" t="s">
        <v>2126</v>
      </c>
    </row>
    <row r="3157" spans="1:2" ht="15.75" x14ac:dyDescent="0.25">
      <c r="A3157" s="344" t="s">
        <v>5069</v>
      </c>
      <c r="B3157" s="345" t="s">
        <v>2127</v>
      </c>
    </row>
    <row r="3158" spans="1:2" ht="15.75" x14ac:dyDescent="0.25">
      <c r="A3158" s="344" t="s">
        <v>5070</v>
      </c>
      <c r="B3158" s="345" t="s">
        <v>2128</v>
      </c>
    </row>
    <row r="3159" spans="1:2" ht="15.75" x14ac:dyDescent="0.25">
      <c r="A3159" s="344" t="s">
        <v>5071</v>
      </c>
      <c r="B3159" s="345" t="s">
        <v>2129</v>
      </c>
    </row>
    <row r="3160" spans="1:2" ht="15.75" x14ac:dyDescent="0.25">
      <c r="A3160" s="344" t="s">
        <v>5072</v>
      </c>
      <c r="B3160" s="345" t="s">
        <v>2130</v>
      </c>
    </row>
    <row r="3161" spans="1:2" ht="15.75" x14ac:dyDescent="0.25">
      <c r="A3161" s="344" t="s">
        <v>22</v>
      </c>
      <c r="B3161" s="345" t="s">
        <v>26</v>
      </c>
    </row>
    <row r="3162" spans="1:2" ht="15.75" x14ac:dyDescent="0.25">
      <c r="A3162" s="344" t="s">
        <v>5073</v>
      </c>
      <c r="B3162" s="345" t="s">
        <v>2131</v>
      </c>
    </row>
    <row r="3163" spans="1:2" ht="15.75" x14ac:dyDescent="0.25">
      <c r="A3163" s="344" t="s">
        <v>5074</v>
      </c>
      <c r="B3163" s="345" t="s">
        <v>2132</v>
      </c>
    </row>
    <row r="3164" spans="1:2" ht="15.75" x14ac:dyDescent="0.25">
      <c r="A3164" s="344" t="s">
        <v>5075</v>
      </c>
      <c r="B3164" s="345" t="s">
        <v>2133</v>
      </c>
    </row>
    <row r="3165" spans="1:2" ht="15.75" x14ac:dyDescent="0.25">
      <c r="A3165" s="344" t="s">
        <v>5076</v>
      </c>
      <c r="B3165" s="345" t="s">
        <v>2134</v>
      </c>
    </row>
    <row r="3166" spans="1:2" ht="15.75" x14ac:dyDescent="0.25">
      <c r="A3166" s="344" t="s">
        <v>5077</v>
      </c>
      <c r="B3166" s="345" t="s">
        <v>5078</v>
      </c>
    </row>
    <row r="3167" spans="1:2" ht="15.75" x14ac:dyDescent="0.25">
      <c r="A3167" s="344" t="s">
        <v>5079</v>
      </c>
      <c r="B3167" s="345" t="s">
        <v>5080</v>
      </c>
    </row>
    <row r="3168" spans="1:2" ht="15.75" x14ac:dyDescent="0.25">
      <c r="A3168" s="344" t="s">
        <v>5081</v>
      </c>
      <c r="B3168" s="345" t="s">
        <v>5082</v>
      </c>
    </row>
    <row r="3169" spans="1:2" ht="15.75" x14ac:dyDescent="0.25">
      <c r="A3169" s="344" t="s">
        <v>5083</v>
      </c>
      <c r="B3169" s="345" t="s">
        <v>5084</v>
      </c>
    </row>
    <row r="3170" spans="1:2" ht="15.75" x14ac:dyDescent="0.25">
      <c r="A3170" s="344" t="s">
        <v>5085</v>
      </c>
      <c r="B3170" s="345" t="s">
        <v>2135</v>
      </c>
    </row>
    <row r="3171" spans="1:2" ht="15.75" x14ac:dyDescent="0.25">
      <c r="A3171" s="344" t="s">
        <v>5086</v>
      </c>
      <c r="B3171" s="345" t="s">
        <v>2135</v>
      </c>
    </row>
    <row r="3172" spans="1:2" ht="15.75" x14ac:dyDescent="0.25">
      <c r="A3172" s="344" t="s">
        <v>5087</v>
      </c>
      <c r="B3172" s="345" t="s">
        <v>2136</v>
      </c>
    </row>
    <row r="3173" spans="1:2" ht="15.75" x14ac:dyDescent="0.25">
      <c r="A3173" s="344" t="s">
        <v>5088</v>
      </c>
      <c r="B3173" s="345" t="s">
        <v>2137</v>
      </c>
    </row>
    <row r="3174" spans="1:2" ht="15.75" x14ac:dyDescent="0.25">
      <c r="A3174" s="344" t="s">
        <v>5089</v>
      </c>
      <c r="B3174" s="345" t="s">
        <v>2138</v>
      </c>
    </row>
    <row r="3175" spans="1:2" ht="15.75" x14ac:dyDescent="0.25">
      <c r="A3175" s="344" t="s">
        <v>5090</v>
      </c>
      <c r="B3175" s="345" t="s">
        <v>2139</v>
      </c>
    </row>
    <row r="3176" spans="1:2" ht="15.75" x14ac:dyDescent="0.25">
      <c r="A3176" s="344" t="s">
        <v>5091</v>
      </c>
      <c r="B3176" s="345" t="s">
        <v>2140</v>
      </c>
    </row>
    <row r="3177" spans="1:2" ht="15.75" x14ac:dyDescent="0.25">
      <c r="A3177" s="344" t="s">
        <v>5092</v>
      </c>
      <c r="B3177" s="345" t="s">
        <v>2141</v>
      </c>
    </row>
    <row r="3178" spans="1:2" ht="15.75" x14ac:dyDescent="0.25">
      <c r="A3178" s="344" t="s">
        <v>5093</v>
      </c>
      <c r="B3178" s="345" t="s">
        <v>5094</v>
      </c>
    </row>
    <row r="3179" spans="1:2" ht="15.75" x14ac:dyDescent="0.25">
      <c r="A3179" s="344" t="s">
        <v>5095</v>
      </c>
      <c r="B3179" s="345" t="s">
        <v>2142</v>
      </c>
    </row>
    <row r="3180" spans="1:2" ht="15.75" x14ac:dyDescent="0.25">
      <c r="A3180" s="344" t="s">
        <v>5096</v>
      </c>
      <c r="B3180" s="345" t="s">
        <v>2142</v>
      </c>
    </row>
    <row r="3181" spans="1:2" ht="15.75" x14ac:dyDescent="0.25">
      <c r="A3181" s="344" t="s">
        <v>5097</v>
      </c>
      <c r="B3181" s="345" t="s">
        <v>2143</v>
      </c>
    </row>
    <row r="3182" spans="1:2" ht="15.75" x14ac:dyDescent="0.25">
      <c r="A3182" s="344" t="s">
        <v>5098</v>
      </c>
      <c r="B3182" s="345" t="s">
        <v>2144</v>
      </c>
    </row>
    <row r="3183" spans="1:2" ht="15.75" x14ac:dyDescent="0.25">
      <c r="A3183" s="344" t="s">
        <v>5099</v>
      </c>
      <c r="B3183" s="345" t="s">
        <v>5100</v>
      </c>
    </row>
    <row r="3184" spans="1:2" ht="15.75" x14ac:dyDescent="0.25">
      <c r="A3184" s="344" t="s">
        <v>5101</v>
      </c>
      <c r="B3184" s="345" t="s">
        <v>2145</v>
      </c>
    </row>
    <row r="3185" spans="1:2" ht="15.75" x14ac:dyDescent="0.25">
      <c r="A3185" s="344" t="s">
        <v>5102</v>
      </c>
      <c r="B3185" s="345" t="s">
        <v>2146</v>
      </c>
    </row>
    <row r="3186" spans="1:2" ht="15.75" x14ac:dyDescent="0.25">
      <c r="A3186" s="344" t="s">
        <v>5103</v>
      </c>
      <c r="B3186" s="345" t="s">
        <v>5104</v>
      </c>
    </row>
    <row r="3187" spans="1:2" ht="15.75" x14ac:dyDescent="0.25">
      <c r="A3187" s="344" t="s">
        <v>5105</v>
      </c>
      <c r="B3187" s="345" t="s">
        <v>2147</v>
      </c>
    </row>
    <row r="3188" spans="1:2" ht="15.75" x14ac:dyDescent="0.25">
      <c r="A3188" s="344" t="s">
        <v>5106</v>
      </c>
      <c r="B3188" s="345" t="s">
        <v>2148</v>
      </c>
    </row>
    <row r="3189" spans="1:2" ht="15.75" x14ac:dyDescent="0.25">
      <c r="A3189" s="344" t="s">
        <v>5107</v>
      </c>
      <c r="B3189" s="345" t="s">
        <v>2149</v>
      </c>
    </row>
    <row r="3190" spans="1:2" ht="15.75" x14ac:dyDescent="0.25">
      <c r="A3190" s="344" t="s">
        <v>5108</v>
      </c>
      <c r="B3190" s="345" t="s">
        <v>2150</v>
      </c>
    </row>
    <row r="3191" spans="1:2" ht="15.75" x14ac:dyDescent="0.25">
      <c r="A3191" s="344" t="s">
        <v>5109</v>
      </c>
      <c r="B3191" s="345" t="s">
        <v>2151</v>
      </c>
    </row>
    <row r="3192" spans="1:2" ht="15.75" x14ac:dyDescent="0.25">
      <c r="A3192" s="344" t="s">
        <v>5110</v>
      </c>
      <c r="B3192" s="345" t="s">
        <v>2152</v>
      </c>
    </row>
    <row r="3193" spans="1:2" ht="15.75" x14ac:dyDescent="0.25">
      <c r="A3193" s="344" t="s">
        <v>5111</v>
      </c>
      <c r="B3193" s="345" t="s">
        <v>2153</v>
      </c>
    </row>
    <row r="3194" spans="1:2" ht="15.75" x14ac:dyDescent="0.25">
      <c r="A3194" s="344" t="s">
        <v>5112</v>
      </c>
      <c r="B3194" s="345" t="s">
        <v>2154</v>
      </c>
    </row>
    <row r="3195" spans="1:2" ht="15.75" x14ac:dyDescent="0.25">
      <c r="A3195" s="344" t="s">
        <v>5113</v>
      </c>
      <c r="B3195" s="345" t="s">
        <v>2155</v>
      </c>
    </row>
    <row r="3196" spans="1:2" ht="15.75" x14ac:dyDescent="0.25">
      <c r="A3196" s="344" t="s">
        <v>5114</v>
      </c>
      <c r="B3196" s="345" t="s">
        <v>2156</v>
      </c>
    </row>
    <row r="3197" spans="1:2" ht="15.75" x14ac:dyDescent="0.25">
      <c r="A3197" s="344" t="s">
        <v>5115</v>
      </c>
      <c r="B3197" s="345" t="s">
        <v>2157</v>
      </c>
    </row>
    <row r="3198" spans="1:2" ht="15.75" x14ac:dyDescent="0.25">
      <c r="A3198" s="344" t="s">
        <v>5116</v>
      </c>
      <c r="B3198" s="345" t="s">
        <v>2158</v>
      </c>
    </row>
    <row r="3199" spans="1:2" ht="15.75" x14ac:dyDescent="0.25">
      <c r="A3199" s="344" t="s">
        <v>5117</v>
      </c>
      <c r="B3199" s="345" t="s">
        <v>2159</v>
      </c>
    </row>
    <row r="3200" spans="1:2" ht="15.75" x14ac:dyDescent="0.25">
      <c r="A3200" s="344" t="s">
        <v>5118</v>
      </c>
      <c r="B3200" s="345" t="s">
        <v>2160</v>
      </c>
    </row>
    <row r="3201" spans="1:2" ht="15.75" x14ac:dyDescent="0.25">
      <c r="A3201" s="344" t="s">
        <v>5119</v>
      </c>
      <c r="B3201" s="345" t="s">
        <v>2161</v>
      </c>
    </row>
    <row r="3202" spans="1:2" ht="15.75" x14ac:dyDescent="0.25">
      <c r="A3202" s="344" t="s">
        <v>5120</v>
      </c>
      <c r="B3202" s="345" t="s">
        <v>2162</v>
      </c>
    </row>
    <row r="3203" spans="1:2" ht="15.75" x14ac:dyDescent="0.25">
      <c r="A3203" s="344" t="s">
        <v>5121</v>
      </c>
      <c r="B3203" s="345" t="s">
        <v>2163</v>
      </c>
    </row>
    <row r="3204" spans="1:2" ht="15.75" x14ac:dyDescent="0.25">
      <c r="A3204" s="344" t="s">
        <v>5122</v>
      </c>
      <c r="B3204" s="345" t="s">
        <v>2164</v>
      </c>
    </row>
    <row r="3205" spans="1:2" ht="15.75" x14ac:dyDescent="0.25">
      <c r="A3205" s="344" t="s">
        <v>5123</v>
      </c>
      <c r="B3205" s="345" t="s">
        <v>2165</v>
      </c>
    </row>
    <row r="3206" spans="1:2" ht="15.75" x14ac:dyDescent="0.25">
      <c r="A3206" s="344" t="s">
        <v>5124</v>
      </c>
      <c r="B3206" s="345" t="s">
        <v>2166</v>
      </c>
    </row>
    <row r="3207" spans="1:2" ht="15.75" x14ac:dyDescent="0.25">
      <c r="A3207" s="344" t="s">
        <v>5125</v>
      </c>
      <c r="B3207" s="345" t="s">
        <v>2167</v>
      </c>
    </row>
    <row r="3208" spans="1:2" ht="15.75" x14ac:dyDescent="0.25">
      <c r="A3208" s="344" t="s">
        <v>5126</v>
      </c>
      <c r="B3208" s="345" t="s">
        <v>2168</v>
      </c>
    </row>
    <row r="3209" spans="1:2" ht="15.75" x14ac:dyDescent="0.25">
      <c r="A3209" s="344" t="s">
        <v>5127</v>
      </c>
      <c r="B3209" s="345" t="s">
        <v>2169</v>
      </c>
    </row>
    <row r="3210" spans="1:2" ht="15.75" x14ac:dyDescent="0.25">
      <c r="A3210" s="344" t="s">
        <v>5128</v>
      </c>
      <c r="B3210" s="345" t="s">
        <v>2170</v>
      </c>
    </row>
    <row r="3211" spans="1:2" ht="15.75" x14ac:dyDescent="0.25">
      <c r="A3211" s="344" t="s">
        <v>5129</v>
      </c>
      <c r="B3211" s="345" t="s">
        <v>2171</v>
      </c>
    </row>
    <row r="3212" spans="1:2" ht="15.75" x14ac:dyDescent="0.25">
      <c r="A3212" s="344" t="s">
        <v>5130</v>
      </c>
      <c r="B3212" s="345" t="s">
        <v>2172</v>
      </c>
    </row>
    <row r="3213" spans="1:2" ht="15.75" x14ac:dyDescent="0.25">
      <c r="A3213" s="344" t="s">
        <v>5131</v>
      </c>
      <c r="B3213" s="345" t="s">
        <v>5132</v>
      </c>
    </row>
    <row r="3214" spans="1:2" ht="15.75" x14ac:dyDescent="0.25">
      <c r="A3214" s="344" t="s">
        <v>5133</v>
      </c>
      <c r="B3214" s="345" t="s">
        <v>2173</v>
      </c>
    </row>
    <row r="3215" spans="1:2" ht="15.75" x14ac:dyDescent="0.25">
      <c r="A3215" s="344" t="s">
        <v>5134</v>
      </c>
      <c r="B3215" s="345" t="s">
        <v>2174</v>
      </c>
    </row>
    <row r="3216" spans="1:2" ht="15.75" x14ac:dyDescent="0.25">
      <c r="A3216" s="344" t="s">
        <v>5135</v>
      </c>
      <c r="B3216" s="345" t="s">
        <v>2175</v>
      </c>
    </row>
    <row r="3217" spans="1:2" ht="15.75" x14ac:dyDescent="0.25">
      <c r="A3217" s="344" t="s">
        <v>5136</v>
      </c>
      <c r="B3217" s="345" t="s">
        <v>2176</v>
      </c>
    </row>
    <row r="3218" spans="1:2" ht="15.75" x14ac:dyDescent="0.25">
      <c r="A3218" s="344" t="s">
        <v>5137</v>
      </c>
      <c r="B3218" s="345" t="s">
        <v>2177</v>
      </c>
    </row>
    <row r="3219" spans="1:2" ht="15.75" x14ac:dyDescent="0.25">
      <c r="A3219" s="344" t="s">
        <v>5138</v>
      </c>
      <c r="B3219" s="345" t="s">
        <v>2178</v>
      </c>
    </row>
    <row r="3220" spans="1:2" ht="15.75" x14ac:dyDescent="0.25">
      <c r="A3220" s="344" t="s">
        <v>5139</v>
      </c>
      <c r="B3220" s="345" t="s">
        <v>2173</v>
      </c>
    </row>
    <row r="3221" spans="1:2" ht="15.75" x14ac:dyDescent="0.25">
      <c r="A3221" s="344" t="s">
        <v>5140</v>
      </c>
      <c r="B3221" s="345" t="s">
        <v>2179</v>
      </c>
    </row>
    <row r="3222" spans="1:2" ht="15.75" x14ac:dyDescent="0.25">
      <c r="A3222" s="344" t="s">
        <v>5141</v>
      </c>
      <c r="B3222" s="345" t="s">
        <v>2180</v>
      </c>
    </row>
    <row r="3223" spans="1:2" ht="15.75" x14ac:dyDescent="0.25">
      <c r="A3223" s="344" t="s">
        <v>5142</v>
      </c>
      <c r="B3223" s="345" t="s">
        <v>2181</v>
      </c>
    </row>
    <row r="3224" spans="1:2" ht="15.75" x14ac:dyDescent="0.25">
      <c r="A3224" s="344" t="s">
        <v>5143</v>
      </c>
      <c r="B3224" s="345" t="s">
        <v>2182</v>
      </c>
    </row>
    <row r="3225" spans="1:2" ht="15.75" x14ac:dyDescent="0.25">
      <c r="A3225" s="344" t="s">
        <v>5144</v>
      </c>
      <c r="B3225" s="345" t="s">
        <v>2183</v>
      </c>
    </row>
    <row r="3226" spans="1:2" ht="15.75" x14ac:dyDescent="0.25">
      <c r="A3226" s="344" t="s">
        <v>5145</v>
      </c>
      <c r="B3226" s="345" t="s">
        <v>2184</v>
      </c>
    </row>
    <row r="3227" spans="1:2" ht="15.75" x14ac:dyDescent="0.25">
      <c r="A3227" s="344" t="s">
        <v>5146</v>
      </c>
      <c r="B3227" s="345" t="s">
        <v>5147</v>
      </c>
    </row>
    <row r="3228" spans="1:2" ht="15.75" x14ac:dyDescent="0.25">
      <c r="A3228" s="344" t="s">
        <v>5148</v>
      </c>
      <c r="B3228" s="345" t="s">
        <v>2185</v>
      </c>
    </row>
    <row r="3229" spans="1:2" ht="15.75" x14ac:dyDescent="0.25">
      <c r="A3229" s="344" t="s">
        <v>5149</v>
      </c>
      <c r="B3229" s="345" t="s">
        <v>2186</v>
      </c>
    </row>
    <row r="3230" spans="1:2" ht="15.75" x14ac:dyDescent="0.25">
      <c r="A3230" s="344" t="s">
        <v>5150</v>
      </c>
      <c r="B3230" s="345" t="s">
        <v>2187</v>
      </c>
    </row>
    <row r="3231" spans="1:2" ht="15.75" x14ac:dyDescent="0.25">
      <c r="A3231" s="344" t="s">
        <v>5151</v>
      </c>
      <c r="B3231" s="345" t="s">
        <v>2188</v>
      </c>
    </row>
    <row r="3232" spans="1:2" ht="15.75" x14ac:dyDescent="0.25">
      <c r="A3232" s="344" t="s">
        <v>5152</v>
      </c>
      <c r="B3232" s="345" t="s">
        <v>2189</v>
      </c>
    </row>
    <row r="3233" spans="1:2" ht="15.75" x14ac:dyDescent="0.25">
      <c r="A3233" s="344" t="s">
        <v>5153</v>
      </c>
      <c r="B3233" s="345" t="s">
        <v>2190</v>
      </c>
    </row>
    <row r="3234" spans="1:2" ht="15.75" x14ac:dyDescent="0.25">
      <c r="A3234" s="344" t="s">
        <v>5154</v>
      </c>
      <c r="B3234" s="345" t="s">
        <v>2191</v>
      </c>
    </row>
    <row r="3235" spans="1:2" ht="15.75" x14ac:dyDescent="0.25">
      <c r="A3235" s="344" t="s">
        <v>5155</v>
      </c>
      <c r="B3235" s="345" t="s">
        <v>2192</v>
      </c>
    </row>
    <row r="3236" spans="1:2" ht="15.75" x14ac:dyDescent="0.25">
      <c r="A3236" s="344" t="s">
        <v>5156</v>
      </c>
      <c r="B3236" s="345" t="s">
        <v>2193</v>
      </c>
    </row>
    <row r="3237" spans="1:2" ht="15.75" x14ac:dyDescent="0.25">
      <c r="A3237" s="344" t="s">
        <v>5157</v>
      </c>
      <c r="B3237" s="345" t="s">
        <v>2194</v>
      </c>
    </row>
    <row r="3238" spans="1:2" ht="15.75" x14ac:dyDescent="0.25">
      <c r="A3238" s="344" t="s">
        <v>5158</v>
      </c>
      <c r="B3238" s="345" t="s">
        <v>2195</v>
      </c>
    </row>
    <row r="3239" spans="1:2" ht="15.75" x14ac:dyDescent="0.25">
      <c r="A3239" s="344" t="s">
        <v>5159</v>
      </c>
      <c r="B3239" s="345" t="s">
        <v>2196</v>
      </c>
    </row>
    <row r="3240" spans="1:2" ht="15.75" x14ac:dyDescent="0.25">
      <c r="A3240" s="344" t="s">
        <v>5160</v>
      </c>
      <c r="B3240" s="345" t="s">
        <v>2197</v>
      </c>
    </row>
    <row r="3241" spans="1:2" ht="15.75" x14ac:dyDescent="0.25">
      <c r="A3241" s="344" t="s">
        <v>5161</v>
      </c>
      <c r="B3241" s="345" t="s">
        <v>2198</v>
      </c>
    </row>
    <row r="3242" spans="1:2" ht="15.75" x14ac:dyDescent="0.25">
      <c r="A3242" s="344" t="s">
        <v>5162</v>
      </c>
      <c r="B3242" s="345" t="s">
        <v>2199</v>
      </c>
    </row>
    <row r="3243" spans="1:2" ht="15.75" x14ac:dyDescent="0.25">
      <c r="A3243" s="344" t="s">
        <v>5163</v>
      </c>
      <c r="B3243" s="345" t="s">
        <v>2200</v>
      </c>
    </row>
    <row r="3244" spans="1:2" ht="15.75" x14ac:dyDescent="0.25">
      <c r="A3244" s="344" t="s">
        <v>5164</v>
      </c>
      <c r="B3244" s="345" t="s">
        <v>2201</v>
      </c>
    </row>
    <row r="3245" spans="1:2" ht="15.75" x14ac:dyDescent="0.25">
      <c r="A3245" s="344" t="s">
        <v>5165</v>
      </c>
      <c r="B3245" s="345" t="s">
        <v>5166</v>
      </c>
    </row>
    <row r="3246" spans="1:2" ht="15.75" x14ac:dyDescent="0.25">
      <c r="A3246" s="344" t="s">
        <v>5167</v>
      </c>
      <c r="B3246" s="345" t="s">
        <v>2202</v>
      </c>
    </row>
    <row r="3247" spans="1:2" ht="15.75" x14ac:dyDescent="0.25">
      <c r="A3247" s="344" t="s">
        <v>5168</v>
      </c>
      <c r="B3247" s="345" t="s">
        <v>2202</v>
      </c>
    </row>
    <row r="3248" spans="1:2" ht="15.75" x14ac:dyDescent="0.25">
      <c r="A3248" s="344" t="s">
        <v>5169</v>
      </c>
      <c r="B3248" s="345" t="s">
        <v>5170</v>
      </c>
    </row>
    <row r="3249" spans="1:2" ht="15.75" x14ac:dyDescent="0.25">
      <c r="A3249" s="344" t="s">
        <v>5171</v>
      </c>
      <c r="B3249" s="345" t="s">
        <v>5172</v>
      </c>
    </row>
    <row r="3250" spans="1:2" ht="15.75" x14ac:dyDescent="0.25">
      <c r="A3250" s="344" t="s">
        <v>5173</v>
      </c>
      <c r="B3250" s="345" t="s">
        <v>2203</v>
      </c>
    </row>
    <row r="3251" spans="1:2" ht="15.75" x14ac:dyDescent="0.25">
      <c r="A3251" s="344" t="s">
        <v>5174</v>
      </c>
      <c r="B3251" s="345" t="s">
        <v>5175</v>
      </c>
    </row>
    <row r="3252" spans="1:2" ht="15.75" x14ac:dyDescent="0.25">
      <c r="A3252" s="344" t="s">
        <v>5176</v>
      </c>
      <c r="B3252" s="345" t="s">
        <v>5177</v>
      </c>
    </row>
    <row r="3253" spans="1:2" ht="15.75" x14ac:dyDescent="0.25">
      <c r="A3253" s="344" t="s">
        <v>5178</v>
      </c>
      <c r="B3253" s="345" t="s">
        <v>5179</v>
      </c>
    </row>
    <row r="3254" spans="1:2" ht="15.75" x14ac:dyDescent="0.25">
      <c r="A3254" s="344" t="s">
        <v>5180</v>
      </c>
      <c r="B3254" s="345" t="s">
        <v>5181</v>
      </c>
    </row>
    <row r="3255" spans="1:2" ht="15.75" x14ac:dyDescent="0.25">
      <c r="A3255" s="344" t="s">
        <v>5182</v>
      </c>
      <c r="B3255" s="345" t="s">
        <v>2204</v>
      </c>
    </row>
    <row r="3256" spans="1:2" ht="15.75" x14ac:dyDescent="0.25">
      <c r="A3256" s="344" t="s">
        <v>30</v>
      </c>
      <c r="B3256" s="345" t="s">
        <v>2205</v>
      </c>
    </row>
    <row r="3257" spans="1:2" ht="15.75" x14ac:dyDescent="0.25">
      <c r="A3257" s="344" t="s">
        <v>5183</v>
      </c>
      <c r="B3257" s="345" t="s">
        <v>2206</v>
      </c>
    </row>
    <row r="3258" spans="1:2" ht="15.75" x14ac:dyDescent="0.25">
      <c r="A3258" s="344" t="s">
        <v>5184</v>
      </c>
      <c r="B3258" s="345" t="s">
        <v>2207</v>
      </c>
    </row>
    <row r="3259" spans="1:2" ht="15.75" x14ac:dyDescent="0.25">
      <c r="A3259" s="344" t="s">
        <v>5185</v>
      </c>
      <c r="B3259" s="345" t="s">
        <v>2208</v>
      </c>
    </row>
    <row r="3260" spans="1:2" ht="15.75" x14ac:dyDescent="0.25">
      <c r="A3260" s="344" t="s">
        <v>5186</v>
      </c>
      <c r="B3260" s="345" t="s">
        <v>2209</v>
      </c>
    </row>
    <row r="3261" spans="1:2" ht="15.75" x14ac:dyDescent="0.25">
      <c r="A3261" s="344" t="s">
        <v>5187</v>
      </c>
      <c r="B3261" s="345" t="s">
        <v>2210</v>
      </c>
    </row>
    <row r="3262" spans="1:2" ht="15.75" x14ac:dyDescent="0.25">
      <c r="A3262" s="344" t="s">
        <v>5188</v>
      </c>
      <c r="B3262" s="345" t="s">
        <v>2211</v>
      </c>
    </row>
    <row r="3263" spans="1:2" ht="15.75" x14ac:dyDescent="0.25">
      <c r="A3263" s="344" t="s">
        <v>5189</v>
      </c>
      <c r="B3263" s="345" t="s">
        <v>2212</v>
      </c>
    </row>
    <row r="3264" spans="1:2" ht="15.75" x14ac:dyDescent="0.25">
      <c r="A3264" s="344" t="s">
        <v>5190</v>
      </c>
      <c r="B3264" s="345" t="s">
        <v>2213</v>
      </c>
    </row>
    <row r="3265" spans="1:2" ht="15.75" x14ac:dyDescent="0.25">
      <c r="A3265" s="344" t="s">
        <v>5191</v>
      </c>
      <c r="B3265" s="345" t="s">
        <v>2214</v>
      </c>
    </row>
    <row r="3266" spans="1:2" ht="15.75" x14ac:dyDescent="0.25">
      <c r="A3266" s="344" t="s">
        <v>33</v>
      </c>
      <c r="B3266" s="345" t="s">
        <v>34</v>
      </c>
    </row>
    <row r="3267" spans="1:2" ht="15.75" x14ac:dyDescent="0.25">
      <c r="A3267" s="344" t="s">
        <v>5192</v>
      </c>
      <c r="B3267" s="345" t="s">
        <v>2215</v>
      </c>
    </row>
    <row r="3268" spans="1:2" ht="15.75" x14ac:dyDescent="0.25">
      <c r="A3268" s="344" t="s">
        <v>5193</v>
      </c>
      <c r="B3268" s="345" t="s">
        <v>2216</v>
      </c>
    </row>
    <row r="3269" spans="1:2" ht="15.75" x14ac:dyDescent="0.25">
      <c r="A3269" s="344" t="s">
        <v>5194</v>
      </c>
      <c r="B3269" s="345" t="s">
        <v>2217</v>
      </c>
    </row>
    <row r="3270" spans="1:2" ht="15.75" x14ac:dyDescent="0.25">
      <c r="A3270" s="344" t="s">
        <v>5195</v>
      </c>
      <c r="B3270" s="345" t="s">
        <v>2218</v>
      </c>
    </row>
    <row r="3271" spans="1:2" ht="15.75" x14ac:dyDescent="0.25">
      <c r="A3271" s="344" t="s">
        <v>5196</v>
      </c>
      <c r="B3271" s="345" t="s">
        <v>2219</v>
      </c>
    </row>
    <row r="3272" spans="1:2" ht="15.75" x14ac:dyDescent="0.25">
      <c r="A3272" s="344" t="s">
        <v>5197</v>
      </c>
      <c r="B3272" s="345" t="s">
        <v>2220</v>
      </c>
    </row>
    <row r="3273" spans="1:2" ht="15.75" x14ac:dyDescent="0.25">
      <c r="A3273" s="344" t="s">
        <v>5198</v>
      </c>
      <c r="B3273" s="345" t="s">
        <v>2221</v>
      </c>
    </row>
    <row r="3274" spans="1:2" ht="15.75" x14ac:dyDescent="0.25">
      <c r="A3274" s="344" t="s">
        <v>5199</v>
      </c>
      <c r="B3274" s="345" t="s">
        <v>2222</v>
      </c>
    </row>
    <row r="3275" spans="1:2" ht="15.75" x14ac:dyDescent="0.25">
      <c r="A3275" s="344" t="s">
        <v>5200</v>
      </c>
      <c r="B3275" s="345" t="s">
        <v>2223</v>
      </c>
    </row>
    <row r="3276" spans="1:2" ht="15.75" x14ac:dyDescent="0.25">
      <c r="A3276" s="344" t="s">
        <v>5201</v>
      </c>
      <c r="B3276" s="345" t="s">
        <v>2224</v>
      </c>
    </row>
    <row r="3277" spans="1:2" ht="15.75" x14ac:dyDescent="0.25">
      <c r="A3277" s="344" t="s">
        <v>5202</v>
      </c>
      <c r="B3277" s="345" t="s">
        <v>2225</v>
      </c>
    </row>
    <row r="3278" spans="1:2" ht="15.75" x14ac:dyDescent="0.25">
      <c r="A3278" s="344" t="s">
        <v>5203</v>
      </c>
      <c r="B3278" s="345" t="s">
        <v>2226</v>
      </c>
    </row>
    <row r="3279" spans="1:2" ht="15.75" x14ac:dyDescent="0.25">
      <c r="A3279" s="344" t="s">
        <v>5204</v>
      </c>
      <c r="B3279" s="345" t="s">
        <v>2227</v>
      </c>
    </row>
    <row r="3280" spans="1:2" ht="15.75" x14ac:dyDescent="0.25">
      <c r="A3280" s="344" t="s">
        <v>5205</v>
      </c>
      <c r="B3280" s="345" t="s">
        <v>2228</v>
      </c>
    </row>
    <row r="3281" spans="1:2" ht="15.75" x14ac:dyDescent="0.25">
      <c r="A3281" s="344" t="s">
        <v>5206</v>
      </c>
      <c r="B3281" s="345" t="s">
        <v>2229</v>
      </c>
    </row>
    <row r="3282" spans="1:2" ht="15.75" x14ac:dyDescent="0.25">
      <c r="A3282" s="344" t="s">
        <v>5207</v>
      </c>
      <c r="B3282" s="345" t="s">
        <v>2230</v>
      </c>
    </row>
    <row r="3283" spans="1:2" ht="15.75" x14ac:dyDescent="0.25">
      <c r="A3283" s="344" t="s">
        <v>36</v>
      </c>
      <c r="B3283" s="345" t="s">
        <v>2231</v>
      </c>
    </row>
    <row r="3284" spans="1:2" ht="15.75" x14ac:dyDescent="0.25">
      <c r="A3284" s="344" t="s">
        <v>5208</v>
      </c>
      <c r="B3284" s="345" t="s">
        <v>2232</v>
      </c>
    </row>
    <row r="3285" spans="1:2" ht="15.75" x14ac:dyDescent="0.25">
      <c r="A3285" s="344" t="s">
        <v>5209</v>
      </c>
      <c r="B3285" s="345" t="s">
        <v>5210</v>
      </c>
    </row>
    <row r="3286" spans="1:2" ht="15.75" x14ac:dyDescent="0.25">
      <c r="A3286" s="344" t="s">
        <v>5211</v>
      </c>
      <c r="B3286" s="345" t="s">
        <v>5212</v>
      </c>
    </row>
    <row r="3287" spans="1:2" ht="15.75" x14ac:dyDescent="0.25">
      <c r="A3287" s="344" t="s">
        <v>5213</v>
      </c>
      <c r="B3287" s="345" t="s">
        <v>5214</v>
      </c>
    </row>
    <row r="3288" spans="1:2" ht="15.75" x14ac:dyDescent="0.25">
      <c r="A3288" s="344" t="s">
        <v>5215</v>
      </c>
      <c r="B3288" s="345" t="s">
        <v>5216</v>
      </c>
    </row>
    <row r="3289" spans="1:2" ht="15.75" x14ac:dyDescent="0.25">
      <c r="A3289" s="344" t="s">
        <v>5217</v>
      </c>
      <c r="B3289" s="345" t="s">
        <v>5218</v>
      </c>
    </row>
    <row r="3290" spans="1:2" ht="15.75" x14ac:dyDescent="0.25">
      <c r="A3290" s="344" t="s">
        <v>5219</v>
      </c>
      <c r="B3290" s="345" t="s">
        <v>2233</v>
      </c>
    </row>
    <row r="3291" spans="1:2" ht="15.75" x14ac:dyDescent="0.25">
      <c r="A3291" s="344" t="s">
        <v>5220</v>
      </c>
      <c r="B3291" s="345" t="s">
        <v>2234</v>
      </c>
    </row>
    <row r="3292" spans="1:2" ht="15.75" x14ac:dyDescent="0.25">
      <c r="A3292" s="344" t="s">
        <v>5221</v>
      </c>
      <c r="B3292" s="345" t="s">
        <v>2235</v>
      </c>
    </row>
    <row r="3293" spans="1:2" ht="15.75" x14ac:dyDescent="0.25">
      <c r="A3293" s="344" t="s">
        <v>5222</v>
      </c>
      <c r="B3293" s="345" t="s">
        <v>2236</v>
      </c>
    </row>
    <row r="3294" spans="1:2" ht="15.75" x14ac:dyDescent="0.25">
      <c r="A3294" s="344" t="s">
        <v>5223</v>
      </c>
      <c r="B3294" s="345" t="s">
        <v>5224</v>
      </c>
    </row>
    <row r="3295" spans="1:2" ht="15.75" x14ac:dyDescent="0.25">
      <c r="A3295" s="344" t="s">
        <v>5225</v>
      </c>
      <c r="B3295" s="345" t="s">
        <v>5226</v>
      </c>
    </row>
    <row r="3296" spans="1:2" ht="15.75" x14ac:dyDescent="0.25">
      <c r="A3296" s="344" t="s">
        <v>5227</v>
      </c>
      <c r="B3296" s="345" t="s">
        <v>5228</v>
      </c>
    </row>
    <row r="3297" spans="1:2" ht="15.75" x14ac:dyDescent="0.25">
      <c r="A3297" s="344" t="s">
        <v>5229</v>
      </c>
      <c r="B3297" s="345" t="s">
        <v>5230</v>
      </c>
    </row>
    <row r="3298" spans="1:2" ht="15.75" x14ac:dyDescent="0.25">
      <c r="A3298" s="344" t="s">
        <v>5231</v>
      </c>
      <c r="B3298" s="345" t="s">
        <v>5232</v>
      </c>
    </row>
    <row r="3299" spans="1:2" ht="15.75" x14ac:dyDescent="0.25">
      <c r="A3299" s="344" t="s">
        <v>5233</v>
      </c>
      <c r="B3299" s="345" t="s">
        <v>5234</v>
      </c>
    </row>
    <row r="3300" spans="1:2" ht="15.75" x14ac:dyDescent="0.25">
      <c r="A3300" s="344" t="s">
        <v>5235</v>
      </c>
      <c r="B3300" s="345" t="s">
        <v>5236</v>
      </c>
    </row>
    <row r="3301" spans="1:2" ht="15.75" x14ac:dyDescent="0.25">
      <c r="A3301" s="344" t="s">
        <v>5237</v>
      </c>
      <c r="B3301" s="345" t="s">
        <v>5238</v>
      </c>
    </row>
    <row r="3302" spans="1:2" ht="15.75" x14ac:dyDescent="0.25">
      <c r="A3302" s="344" t="s">
        <v>5239</v>
      </c>
      <c r="B3302" s="345" t="s">
        <v>5240</v>
      </c>
    </row>
    <row r="3303" spans="1:2" ht="15.75" x14ac:dyDescent="0.25">
      <c r="A3303" s="344" t="s">
        <v>5241</v>
      </c>
      <c r="B3303" s="345" t="s">
        <v>5242</v>
      </c>
    </row>
    <row r="3304" spans="1:2" ht="15.75" x14ac:dyDescent="0.25">
      <c r="A3304" s="344" t="s">
        <v>5243</v>
      </c>
      <c r="B3304" s="345" t="s">
        <v>5244</v>
      </c>
    </row>
    <row r="3305" spans="1:2" ht="15.75" x14ac:dyDescent="0.25">
      <c r="A3305" s="344" t="s">
        <v>5245</v>
      </c>
      <c r="B3305" s="345" t="s">
        <v>5246</v>
      </c>
    </row>
    <row r="3306" spans="1:2" ht="15.75" x14ac:dyDescent="0.25">
      <c r="A3306" s="344" t="s">
        <v>5247</v>
      </c>
      <c r="B3306" s="345" t="s">
        <v>5248</v>
      </c>
    </row>
    <row r="3307" spans="1:2" ht="15.75" x14ac:dyDescent="0.25">
      <c r="A3307" s="344" t="s">
        <v>5249</v>
      </c>
      <c r="B3307" s="345" t="s">
        <v>5250</v>
      </c>
    </row>
    <row r="3308" spans="1:2" ht="15.75" x14ac:dyDescent="0.25">
      <c r="A3308" s="344" t="s">
        <v>5251</v>
      </c>
      <c r="B3308" s="345" t="s">
        <v>5252</v>
      </c>
    </row>
    <row r="3309" spans="1:2" ht="15.75" x14ac:dyDescent="0.25">
      <c r="A3309" s="344" t="s">
        <v>5253</v>
      </c>
      <c r="B3309" s="345" t="s">
        <v>5254</v>
      </c>
    </row>
    <row r="3310" spans="1:2" ht="15.75" x14ac:dyDescent="0.25">
      <c r="A3310" s="344" t="s">
        <v>5255</v>
      </c>
      <c r="B3310" s="345" t="s">
        <v>5256</v>
      </c>
    </row>
    <row r="3311" spans="1:2" ht="15.75" x14ac:dyDescent="0.25">
      <c r="A3311" s="344" t="s">
        <v>5257</v>
      </c>
      <c r="B3311" s="345" t="s">
        <v>5258</v>
      </c>
    </row>
    <row r="3312" spans="1:2" ht="15.75" x14ac:dyDescent="0.25">
      <c r="A3312" s="344" t="s">
        <v>5259</v>
      </c>
      <c r="B3312" s="345" t="s">
        <v>5260</v>
      </c>
    </row>
    <row r="3313" spans="1:2" ht="15.75" x14ac:dyDescent="0.25">
      <c r="A3313" s="344" t="s">
        <v>5261</v>
      </c>
      <c r="B3313" s="345" t="s">
        <v>5262</v>
      </c>
    </row>
    <row r="3314" spans="1:2" ht="15.75" x14ac:dyDescent="0.25">
      <c r="A3314" s="344" t="s">
        <v>5263</v>
      </c>
      <c r="B3314" s="345" t="s">
        <v>5264</v>
      </c>
    </row>
    <row r="3315" spans="1:2" ht="15.75" x14ac:dyDescent="0.25">
      <c r="A3315" s="344" t="s">
        <v>5265</v>
      </c>
      <c r="B3315" s="345" t="s">
        <v>5266</v>
      </c>
    </row>
    <row r="3316" spans="1:2" ht="15.75" x14ac:dyDescent="0.25">
      <c r="A3316" s="344" t="s">
        <v>5267</v>
      </c>
      <c r="B3316" s="345" t="s">
        <v>5268</v>
      </c>
    </row>
    <row r="3317" spans="1:2" ht="15.75" x14ac:dyDescent="0.25">
      <c r="A3317" s="344" t="s">
        <v>5269</v>
      </c>
      <c r="B3317" s="345" t="s">
        <v>5270</v>
      </c>
    </row>
    <row r="3318" spans="1:2" ht="15.75" x14ac:dyDescent="0.25">
      <c r="A3318" s="344" t="s">
        <v>5271</v>
      </c>
      <c r="B3318" s="345" t="s">
        <v>5272</v>
      </c>
    </row>
    <row r="3319" spans="1:2" ht="15.75" x14ac:dyDescent="0.25">
      <c r="A3319" s="344" t="s">
        <v>5273</v>
      </c>
      <c r="B3319" s="345" t="s">
        <v>5274</v>
      </c>
    </row>
    <row r="3320" spans="1:2" ht="15.75" x14ac:dyDescent="0.25">
      <c r="A3320" s="344" t="s">
        <v>5275</v>
      </c>
      <c r="B3320" s="345" t="s">
        <v>5276</v>
      </c>
    </row>
    <row r="3321" spans="1:2" ht="15.75" x14ac:dyDescent="0.25">
      <c r="A3321" s="344" t="s">
        <v>5277</v>
      </c>
      <c r="B3321" s="345" t="s">
        <v>5278</v>
      </c>
    </row>
    <row r="3322" spans="1:2" ht="15.75" x14ac:dyDescent="0.25">
      <c r="A3322" s="344" t="s">
        <v>5279</v>
      </c>
      <c r="B3322" s="345" t="s">
        <v>5280</v>
      </c>
    </row>
    <row r="3323" spans="1:2" ht="15.75" x14ac:dyDescent="0.25">
      <c r="A3323" s="344" t="s">
        <v>5281</v>
      </c>
      <c r="B3323" s="345" t="s">
        <v>5282</v>
      </c>
    </row>
    <row r="3324" spans="1:2" ht="15.75" x14ac:dyDescent="0.25">
      <c r="A3324" s="344" t="s">
        <v>5283</v>
      </c>
      <c r="B3324" s="345" t="s">
        <v>5284</v>
      </c>
    </row>
    <row r="3325" spans="1:2" ht="15.75" x14ac:dyDescent="0.25">
      <c r="A3325" s="344" t="s">
        <v>5285</v>
      </c>
      <c r="B3325" s="345" t="s">
        <v>5286</v>
      </c>
    </row>
    <row r="3326" spans="1:2" ht="15.75" x14ac:dyDescent="0.25">
      <c r="A3326" s="344" t="s">
        <v>5287</v>
      </c>
      <c r="B3326" s="345" t="s">
        <v>5288</v>
      </c>
    </row>
    <row r="3327" spans="1:2" ht="15.75" x14ac:dyDescent="0.25">
      <c r="A3327" s="344" t="s">
        <v>5289</v>
      </c>
      <c r="B3327" s="345" t="s">
        <v>5290</v>
      </c>
    </row>
    <row r="3328" spans="1:2" ht="15.75" x14ac:dyDescent="0.25">
      <c r="A3328" s="344" t="s">
        <v>5291</v>
      </c>
      <c r="B3328" s="345" t="s">
        <v>5292</v>
      </c>
    </row>
    <row r="3329" spans="1:2" ht="15.75" x14ac:dyDescent="0.25">
      <c r="A3329" s="344" t="s">
        <v>5293</v>
      </c>
      <c r="B3329" s="345" t="s">
        <v>5294</v>
      </c>
    </row>
    <row r="3330" spans="1:2" ht="15.75" x14ac:dyDescent="0.25">
      <c r="A3330" s="344" t="s">
        <v>5295</v>
      </c>
      <c r="B3330" s="345" t="s">
        <v>5296</v>
      </c>
    </row>
    <row r="3331" spans="1:2" ht="15.75" x14ac:dyDescent="0.25">
      <c r="A3331" s="344" t="s">
        <v>5297</v>
      </c>
      <c r="B3331" s="345" t="s">
        <v>5298</v>
      </c>
    </row>
    <row r="3332" spans="1:2" ht="15.75" x14ac:dyDescent="0.25">
      <c r="A3332" s="344" t="s">
        <v>5299</v>
      </c>
      <c r="B3332" s="345" t="s">
        <v>5300</v>
      </c>
    </row>
    <row r="3333" spans="1:2" ht="15.75" x14ac:dyDescent="0.25">
      <c r="A3333" s="344" t="s">
        <v>5301</v>
      </c>
      <c r="B3333" s="345" t="s">
        <v>5302</v>
      </c>
    </row>
    <row r="3334" spans="1:2" ht="15.75" x14ac:dyDescent="0.25">
      <c r="A3334" s="344" t="s">
        <v>5303</v>
      </c>
      <c r="B3334" s="345" t="s">
        <v>5304</v>
      </c>
    </row>
    <row r="3335" spans="1:2" ht="15.75" x14ac:dyDescent="0.25">
      <c r="A3335" s="344" t="s">
        <v>5305</v>
      </c>
      <c r="B3335" s="345" t="s">
        <v>5306</v>
      </c>
    </row>
    <row r="3336" spans="1:2" ht="15.75" x14ac:dyDescent="0.25">
      <c r="A3336" s="344" t="s">
        <v>5307</v>
      </c>
      <c r="B3336" s="345" t="s">
        <v>5308</v>
      </c>
    </row>
    <row r="3337" spans="1:2" ht="15.75" x14ac:dyDescent="0.25">
      <c r="A3337" s="344" t="s">
        <v>5309</v>
      </c>
      <c r="B3337" s="345" t="s">
        <v>5310</v>
      </c>
    </row>
    <row r="3338" spans="1:2" ht="15.75" x14ac:dyDescent="0.25">
      <c r="A3338" s="344" t="s">
        <v>5311</v>
      </c>
      <c r="B3338" s="345" t="s">
        <v>5312</v>
      </c>
    </row>
    <row r="3339" spans="1:2" ht="15.75" x14ac:dyDescent="0.25">
      <c r="A3339" s="344" t="s">
        <v>5313</v>
      </c>
      <c r="B3339" s="345" t="s">
        <v>5314</v>
      </c>
    </row>
    <row r="3340" spans="1:2" ht="15.75" x14ac:dyDescent="0.25">
      <c r="A3340" s="344" t="s">
        <v>5315</v>
      </c>
      <c r="B3340" s="345" t="s">
        <v>5316</v>
      </c>
    </row>
    <row r="3341" spans="1:2" ht="15.75" x14ac:dyDescent="0.25">
      <c r="A3341" s="344" t="s">
        <v>5317</v>
      </c>
      <c r="B3341" s="345" t="s">
        <v>5318</v>
      </c>
    </row>
    <row r="3342" spans="1:2" ht="15.75" x14ac:dyDescent="0.25">
      <c r="A3342" s="344" t="s">
        <v>5319</v>
      </c>
      <c r="B3342" s="345" t="s">
        <v>5320</v>
      </c>
    </row>
    <row r="3343" spans="1:2" ht="15.75" x14ac:dyDescent="0.25">
      <c r="A3343" s="344" t="s">
        <v>5321</v>
      </c>
      <c r="B3343" s="345" t="s">
        <v>5322</v>
      </c>
    </row>
    <row r="3344" spans="1:2" ht="15.75" x14ac:dyDescent="0.25">
      <c r="A3344" s="344" t="s">
        <v>5323</v>
      </c>
      <c r="B3344" s="345" t="s">
        <v>5324</v>
      </c>
    </row>
    <row r="3345" spans="1:2" ht="15.75" x14ac:dyDescent="0.25">
      <c r="A3345" s="344" t="s">
        <v>5325</v>
      </c>
      <c r="B3345" s="345" t="s">
        <v>5326</v>
      </c>
    </row>
    <row r="3346" spans="1:2" ht="15.75" x14ac:dyDescent="0.25">
      <c r="A3346" s="344" t="s">
        <v>5327</v>
      </c>
      <c r="B3346" s="345" t="s">
        <v>5328</v>
      </c>
    </row>
    <row r="3347" spans="1:2" ht="15.75" x14ac:dyDescent="0.25">
      <c r="A3347" s="344" t="s">
        <v>5329</v>
      </c>
      <c r="B3347" s="345" t="s">
        <v>5330</v>
      </c>
    </row>
    <row r="3348" spans="1:2" ht="15.75" x14ac:dyDescent="0.25">
      <c r="A3348" s="344" t="s">
        <v>5331</v>
      </c>
      <c r="B3348" s="345" t="s">
        <v>5332</v>
      </c>
    </row>
    <row r="3349" spans="1:2" ht="15.75" x14ac:dyDescent="0.25">
      <c r="A3349" s="344" t="s">
        <v>5333</v>
      </c>
      <c r="B3349" s="345" t="s">
        <v>5334</v>
      </c>
    </row>
    <row r="3350" spans="1:2" ht="15.75" x14ac:dyDescent="0.25">
      <c r="A3350" s="344" t="s">
        <v>5335</v>
      </c>
      <c r="B3350" s="345" t="s">
        <v>5336</v>
      </c>
    </row>
    <row r="3351" spans="1:2" ht="15.75" x14ac:dyDescent="0.25">
      <c r="A3351" s="344" t="s">
        <v>5337</v>
      </c>
      <c r="B3351" s="345" t="s">
        <v>5338</v>
      </c>
    </row>
    <row r="3352" spans="1:2" ht="15.75" x14ac:dyDescent="0.25">
      <c r="A3352" s="344" t="s">
        <v>5339</v>
      </c>
      <c r="B3352" s="345" t="s">
        <v>5340</v>
      </c>
    </row>
    <row r="3353" spans="1:2" ht="15.75" x14ac:dyDescent="0.25">
      <c r="A3353" s="344" t="s">
        <v>5341</v>
      </c>
      <c r="B3353" s="345" t="s">
        <v>5342</v>
      </c>
    </row>
    <row r="3354" spans="1:2" ht="15.75" x14ac:dyDescent="0.25">
      <c r="A3354" s="344" t="s">
        <v>5343</v>
      </c>
      <c r="B3354" s="345" t="s">
        <v>5344</v>
      </c>
    </row>
    <row r="3355" spans="1:2" ht="15.75" x14ac:dyDescent="0.25">
      <c r="A3355" s="344" t="s">
        <v>5345</v>
      </c>
      <c r="B3355" s="345" t="s">
        <v>2237</v>
      </c>
    </row>
    <row r="3356" spans="1:2" ht="15.75" x14ac:dyDescent="0.25">
      <c r="A3356" s="344" t="s">
        <v>5346</v>
      </c>
      <c r="B3356" s="345" t="s">
        <v>5347</v>
      </c>
    </row>
    <row r="3357" spans="1:2" ht="15.75" x14ac:dyDescent="0.25">
      <c r="A3357" s="344" t="s">
        <v>5348</v>
      </c>
      <c r="B3357" s="345" t="s">
        <v>5349</v>
      </c>
    </row>
    <row r="3358" spans="1:2" ht="15.75" x14ac:dyDescent="0.25">
      <c r="A3358" s="344" t="s">
        <v>5350</v>
      </c>
      <c r="B3358" s="345" t="s">
        <v>5351</v>
      </c>
    </row>
    <row r="3359" spans="1:2" ht="15.75" x14ac:dyDescent="0.25">
      <c r="A3359" s="344" t="s">
        <v>5352</v>
      </c>
      <c r="B3359" s="345" t="s">
        <v>5353</v>
      </c>
    </row>
    <row r="3360" spans="1:2" ht="15.75" x14ac:dyDescent="0.25">
      <c r="A3360" s="344" t="s">
        <v>5354</v>
      </c>
      <c r="B3360" s="345" t="s">
        <v>5355</v>
      </c>
    </row>
    <row r="3361" spans="1:2" ht="15.75" x14ac:dyDescent="0.25">
      <c r="A3361" s="344" t="s">
        <v>5356</v>
      </c>
      <c r="B3361" s="345" t="s">
        <v>5357</v>
      </c>
    </row>
    <row r="3362" spans="1:2" ht="15.75" x14ac:dyDescent="0.25">
      <c r="A3362" s="344" t="s">
        <v>5358</v>
      </c>
      <c r="B3362" s="345" t="s">
        <v>5359</v>
      </c>
    </row>
    <row r="3363" spans="1:2" ht="15.75" x14ac:dyDescent="0.25">
      <c r="A3363" s="344" t="s">
        <v>5360</v>
      </c>
      <c r="B3363" s="345" t="s">
        <v>5361</v>
      </c>
    </row>
    <row r="3364" spans="1:2" ht="15.75" x14ac:dyDescent="0.25">
      <c r="A3364" s="344" t="s">
        <v>5362</v>
      </c>
      <c r="B3364" s="345" t="s">
        <v>5363</v>
      </c>
    </row>
    <row r="3365" spans="1:2" ht="15.75" x14ac:dyDescent="0.25">
      <c r="A3365" s="344" t="s">
        <v>5364</v>
      </c>
      <c r="B3365" s="345" t="s">
        <v>5365</v>
      </c>
    </row>
    <row r="3366" spans="1:2" ht="15.75" x14ac:dyDescent="0.25">
      <c r="A3366" s="344" t="s">
        <v>5366</v>
      </c>
      <c r="B3366" s="345" t="s">
        <v>5367</v>
      </c>
    </row>
    <row r="3367" spans="1:2" ht="15.75" x14ac:dyDescent="0.25">
      <c r="A3367" s="344" t="s">
        <v>5368</v>
      </c>
      <c r="B3367" s="345" t="s">
        <v>5369</v>
      </c>
    </row>
    <row r="3368" spans="1:2" ht="15.75" x14ac:dyDescent="0.25">
      <c r="A3368" s="344" t="s">
        <v>5370</v>
      </c>
      <c r="B3368" s="345" t="s">
        <v>5371</v>
      </c>
    </row>
    <row r="3369" spans="1:2" ht="15.75" x14ac:dyDescent="0.25">
      <c r="A3369" s="344" t="s">
        <v>5372</v>
      </c>
      <c r="B3369" s="345" t="s">
        <v>5373</v>
      </c>
    </row>
    <row r="3370" spans="1:2" ht="15.75" x14ac:dyDescent="0.25">
      <c r="A3370" s="344" t="s">
        <v>5374</v>
      </c>
      <c r="B3370" s="345" t="s">
        <v>5375</v>
      </c>
    </row>
    <row r="3371" spans="1:2" ht="15.75" x14ac:dyDescent="0.25">
      <c r="A3371" s="344" t="s">
        <v>5376</v>
      </c>
      <c r="B3371" s="345" t="s">
        <v>5377</v>
      </c>
    </row>
    <row r="3372" spans="1:2" ht="15.75" x14ac:dyDescent="0.25">
      <c r="A3372" s="344" t="s">
        <v>5378</v>
      </c>
      <c r="B3372" s="345" t="s">
        <v>5379</v>
      </c>
    </row>
    <row r="3373" spans="1:2" ht="15.75" x14ac:dyDescent="0.25">
      <c r="A3373" s="344" t="s">
        <v>5380</v>
      </c>
      <c r="B3373" s="345" t="s">
        <v>5381</v>
      </c>
    </row>
    <row r="3374" spans="1:2" ht="15.75" x14ac:dyDescent="0.25">
      <c r="A3374" s="344" t="s">
        <v>5382</v>
      </c>
      <c r="B3374" s="345" t="s">
        <v>5383</v>
      </c>
    </row>
    <row r="3375" spans="1:2" ht="15.75" x14ac:dyDescent="0.25">
      <c r="A3375" s="344" t="s">
        <v>5384</v>
      </c>
      <c r="B3375" s="345" t="s">
        <v>5385</v>
      </c>
    </row>
    <row r="3376" spans="1:2" ht="15.75" x14ac:dyDescent="0.25">
      <c r="A3376" s="344" t="s">
        <v>5386</v>
      </c>
      <c r="B3376" s="345" t="s">
        <v>5387</v>
      </c>
    </row>
    <row r="3377" spans="1:2" ht="15.75" x14ac:dyDescent="0.25">
      <c r="A3377" s="344" t="s">
        <v>5388</v>
      </c>
      <c r="B3377" s="345" t="s">
        <v>5389</v>
      </c>
    </row>
    <row r="3378" spans="1:2" ht="15.75" x14ac:dyDescent="0.25">
      <c r="A3378" s="344" t="s">
        <v>5390</v>
      </c>
      <c r="B3378" s="345" t="s">
        <v>5391</v>
      </c>
    </row>
    <row r="3379" spans="1:2" ht="15.75" x14ac:dyDescent="0.25">
      <c r="A3379" s="344" t="s">
        <v>5392</v>
      </c>
      <c r="B3379" s="345" t="s">
        <v>5393</v>
      </c>
    </row>
    <row r="3380" spans="1:2" ht="15.75" x14ac:dyDescent="0.25">
      <c r="A3380" s="344" t="s">
        <v>5394</v>
      </c>
      <c r="B3380" s="345" t="s">
        <v>5395</v>
      </c>
    </row>
    <row r="3381" spans="1:2" ht="15.75" x14ac:dyDescent="0.25">
      <c r="A3381" s="344" t="s">
        <v>5396</v>
      </c>
      <c r="B3381" s="345" t="s">
        <v>5397</v>
      </c>
    </row>
    <row r="3382" spans="1:2" ht="15.75" x14ac:dyDescent="0.25">
      <c r="A3382" s="344" t="s">
        <v>5398</v>
      </c>
      <c r="B3382" s="345" t="s">
        <v>5399</v>
      </c>
    </row>
    <row r="3383" spans="1:2" ht="15.75" x14ac:dyDescent="0.25">
      <c r="A3383" s="344" t="s">
        <v>5400</v>
      </c>
      <c r="B3383" s="345" t="s">
        <v>5401</v>
      </c>
    </row>
    <row r="3384" spans="1:2" ht="15.75" x14ac:dyDescent="0.25">
      <c r="A3384" s="344" t="s">
        <v>5402</v>
      </c>
      <c r="B3384" s="345" t="s">
        <v>5359</v>
      </c>
    </row>
    <row r="3385" spans="1:2" ht="15.75" x14ac:dyDescent="0.25">
      <c r="A3385" s="344" t="s">
        <v>5403</v>
      </c>
      <c r="B3385" s="345" t="s">
        <v>5404</v>
      </c>
    </row>
    <row r="3386" spans="1:2" ht="15.75" x14ac:dyDescent="0.25">
      <c r="A3386" s="344" t="s">
        <v>5405</v>
      </c>
      <c r="B3386" s="345" t="s">
        <v>5406</v>
      </c>
    </row>
    <row r="3387" spans="1:2" ht="15.75" x14ac:dyDescent="0.25">
      <c r="A3387" s="344" t="s">
        <v>5407</v>
      </c>
      <c r="B3387" s="345" t="s">
        <v>5408</v>
      </c>
    </row>
    <row r="3388" spans="1:2" ht="15.75" x14ac:dyDescent="0.25">
      <c r="A3388" s="344" t="s">
        <v>5409</v>
      </c>
      <c r="B3388" s="345" t="s">
        <v>5410</v>
      </c>
    </row>
    <row r="3389" spans="1:2" ht="15.75" x14ac:dyDescent="0.25">
      <c r="A3389" s="344" t="s">
        <v>5411</v>
      </c>
      <c r="B3389" s="345" t="s">
        <v>5412</v>
      </c>
    </row>
    <row r="3390" spans="1:2" ht="15.75" x14ac:dyDescent="0.25">
      <c r="A3390" s="344" t="s">
        <v>5413</v>
      </c>
      <c r="B3390" s="345" t="s">
        <v>5414</v>
      </c>
    </row>
    <row r="3391" spans="1:2" ht="15.75" x14ac:dyDescent="0.25">
      <c r="A3391" s="344" t="s">
        <v>5415</v>
      </c>
      <c r="B3391" s="345" t="s">
        <v>5416</v>
      </c>
    </row>
    <row r="3392" spans="1:2" ht="15.75" x14ac:dyDescent="0.25">
      <c r="A3392" s="344" t="s">
        <v>5417</v>
      </c>
      <c r="B3392" s="345" t="s">
        <v>5418</v>
      </c>
    </row>
    <row r="3393" spans="1:2" ht="15.75" x14ac:dyDescent="0.25">
      <c r="A3393" s="344" t="s">
        <v>5419</v>
      </c>
      <c r="B3393" s="345" t="s">
        <v>5420</v>
      </c>
    </row>
    <row r="3394" spans="1:2" ht="15.75" x14ac:dyDescent="0.25">
      <c r="A3394" s="344" t="s">
        <v>5421</v>
      </c>
      <c r="B3394" s="345" t="s">
        <v>2238</v>
      </c>
    </row>
    <row r="3395" spans="1:2" ht="15.75" x14ac:dyDescent="0.25">
      <c r="A3395" s="344" t="s">
        <v>5422</v>
      </c>
      <c r="B3395" s="345" t="s">
        <v>5423</v>
      </c>
    </row>
    <row r="3396" spans="1:2" ht="15.75" x14ac:dyDescent="0.25">
      <c r="A3396" s="344" t="s">
        <v>5424</v>
      </c>
      <c r="B3396" s="345" t="s">
        <v>5425</v>
      </c>
    </row>
    <row r="3397" spans="1:2" ht="15.75" x14ac:dyDescent="0.25">
      <c r="A3397" s="344" t="s">
        <v>5426</v>
      </c>
      <c r="B3397" s="345" t="s">
        <v>5427</v>
      </c>
    </row>
    <row r="3398" spans="1:2" ht="15.75" x14ac:dyDescent="0.25">
      <c r="A3398" s="344" t="s">
        <v>5428</v>
      </c>
      <c r="B3398" s="345" t="s">
        <v>5429</v>
      </c>
    </row>
    <row r="3399" spans="1:2" ht="15.75" x14ac:dyDescent="0.25">
      <c r="A3399" s="344" t="s">
        <v>5430</v>
      </c>
      <c r="B3399" s="345" t="s">
        <v>5431</v>
      </c>
    </row>
    <row r="3400" spans="1:2" ht="15.75" x14ac:dyDescent="0.25">
      <c r="A3400" s="344" t="s">
        <v>5432</v>
      </c>
      <c r="B3400" s="345" t="s">
        <v>5433</v>
      </c>
    </row>
    <row r="3401" spans="1:2" ht="15.75" x14ac:dyDescent="0.25">
      <c r="A3401" s="344" t="s">
        <v>5434</v>
      </c>
      <c r="B3401" s="345" t="s">
        <v>5435</v>
      </c>
    </row>
    <row r="3402" spans="1:2" ht="15.75" x14ac:dyDescent="0.25">
      <c r="A3402" s="344" t="s">
        <v>5436</v>
      </c>
      <c r="B3402" s="345" t="s">
        <v>2239</v>
      </c>
    </row>
    <row r="3403" spans="1:2" ht="15.75" x14ac:dyDescent="0.25">
      <c r="A3403" s="344" t="s">
        <v>5437</v>
      </c>
      <c r="B3403" s="345" t="s">
        <v>5438</v>
      </c>
    </row>
    <row r="3404" spans="1:2" ht="15.75" x14ac:dyDescent="0.25">
      <c r="A3404" s="344" t="s">
        <v>5439</v>
      </c>
      <c r="B3404" s="345" t="s">
        <v>5440</v>
      </c>
    </row>
    <row r="3405" spans="1:2" ht="15.75" x14ac:dyDescent="0.25">
      <c r="A3405" s="344" t="s">
        <v>5441</v>
      </c>
      <c r="B3405" s="345" t="s">
        <v>5442</v>
      </c>
    </row>
    <row r="3406" spans="1:2" ht="15.75" x14ac:dyDescent="0.25">
      <c r="A3406" s="344" t="s">
        <v>5443</v>
      </c>
      <c r="B3406" s="345" t="s">
        <v>5444</v>
      </c>
    </row>
    <row r="3407" spans="1:2" ht="15.75" x14ac:dyDescent="0.25">
      <c r="A3407" s="344" t="s">
        <v>5445</v>
      </c>
      <c r="B3407" s="345" t="s">
        <v>5446</v>
      </c>
    </row>
    <row r="3408" spans="1:2" ht="15.75" x14ac:dyDescent="0.25">
      <c r="A3408" s="344" t="s">
        <v>5447</v>
      </c>
      <c r="B3408" s="345" t="s">
        <v>2240</v>
      </c>
    </row>
    <row r="3409" spans="1:2" ht="15.75" x14ac:dyDescent="0.25">
      <c r="A3409" s="344" t="s">
        <v>5448</v>
      </c>
      <c r="B3409" s="345" t="s">
        <v>2241</v>
      </c>
    </row>
    <row r="3410" spans="1:2" ht="15.75" x14ac:dyDescent="0.25">
      <c r="A3410" s="344" t="s">
        <v>5449</v>
      </c>
      <c r="B3410" s="345" t="s">
        <v>5450</v>
      </c>
    </row>
    <row r="3411" spans="1:2" ht="15.75" x14ac:dyDescent="0.25">
      <c r="A3411" s="344" t="s">
        <v>5451</v>
      </c>
      <c r="B3411" s="345" t="s">
        <v>5452</v>
      </c>
    </row>
    <row r="3412" spans="1:2" ht="15.75" x14ac:dyDescent="0.25">
      <c r="A3412" s="344" t="s">
        <v>5453</v>
      </c>
      <c r="B3412" s="345" t="s">
        <v>5454</v>
      </c>
    </row>
    <row r="3413" spans="1:2" ht="15.75" x14ac:dyDescent="0.25">
      <c r="A3413" s="344" t="s">
        <v>5455</v>
      </c>
      <c r="B3413" s="345" t="s">
        <v>5456</v>
      </c>
    </row>
    <row r="3414" spans="1:2" ht="15.75" x14ac:dyDescent="0.25">
      <c r="A3414" s="344" t="s">
        <v>5457</v>
      </c>
      <c r="B3414" s="345" t="s">
        <v>5458</v>
      </c>
    </row>
    <row r="3415" spans="1:2" ht="15.75" x14ac:dyDescent="0.25">
      <c r="A3415" s="344" t="s">
        <v>5459</v>
      </c>
      <c r="B3415" s="345" t="s">
        <v>5460</v>
      </c>
    </row>
    <row r="3416" spans="1:2" ht="15.75" x14ac:dyDescent="0.25">
      <c r="A3416" s="344" t="s">
        <v>5461</v>
      </c>
      <c r="B3416" s="345" t="s">
        <v>5462</v>
      </c>
    </row>
    <row r="3417" spans="1:2" ht="15.75" x14ac:dyDescent="0.25">
      <c r="A3417" s="344" t="s">
        <v>5463</v>
      </c>
      <c r="B3417" s="345" t="s">
        <v>5464</v>
      </c>
    </row>
    <row r="3418" spans="1:2" ht="15.75" x14ac:dyDescent="0.25">
      <c r="A3418" s="344" t="s">
        <v>5465</v>
      </c>
      <c r="B3418" s="345" t="s">
        <v>5466</v>
      </c>
    </row>
    <row r="3419" spans="1:2" ht="15.75" x14ac:dyDescent="0.25">
      <c r="A3419" s="344" t="s">
        <v>5467</v>
      </c>
      <c r="B3419" s="345" t="s">
        <v>5468</v>
      </c>
    </row>
    <row r="3420" spans="1:2" ht="15.75" x14ac:dyDescent="0.25">
      <c r="A3420" s="344" t="s">
        <v>5469</v>
      </c>
      <c r="B3420" s="345" t="s">
        <v>5470</v>
      </c>
    </row>
    <row r="3421" spans="1:2" ht="15.75" x14ac:dyDescent="0.25">
      <c r="A3421" s="344" t="s">
        <v>5471</v>
      </c>
      <c r="B3421" s="345" t="s">
        <v>5472</v>
      </c>
    </row>
    <row r="3422" spans="1:2" ht="15.75" x14ac:dyDescent="0.25">
      <c r="A3422" s="344" t="s">
        <v>5473</v>
      </c>
      <c r="B3422" s="345" t="s">
        <v>5474</v>
      </c>
    </row>
    <row r="3423" spans="1:2" ht="15.75" x14ac:dyDescent="0.25">
      <c r="A3423" s="344" t="s">
        <v>5475</v>
      </c>
      <c r="B3423" s="345" t="s">
        <v>5476</v>
      </c>
    </row>
    <row r="3424" spans="1:2" ht="15.75" x14ac:dyDescent="0.25">
      <c r="A3424" s="344" t="s">
        <v>5477</v>
      </c>
      <c r="B3424" s="345" t="s">
        <v>5478</v>
      </c>
    </row>
    <row r="3425" spans="1:2" ht="15.75" x14ac:dyDescent="0.25">
      <c r="A3425" s="344" t="s">
        <v>5479</v>
      </c>
      <c r="B3425" s="345" t="s">
        <v>5480</v>
      </c>
    </row>
    <row r="3426" spans="1:2" ht="15.75" x14ac:dyDescent="0.25">
      <c r="A3426" s="344" t="s">
        <v>5481</v>
      </c>
      <c r="B3426" s="345" t="s">
        <v>5482</v>
      </c>
    </row>
    <row r="3427" spans="1:2" ht="15.75" x14ac:dyDescent="0.25">
      <c r="A3427" s="344" t="s">
        <v>5483</v>
      </c>
      <c r="B3427" s="345" t="s">
        <v>5484</v>
      </c>
    </row>
    <row r="3428" spans="1:2" ht="15.75" x14ac:dyDescent="0.25">
      <c r="A3428" s="344" t="s">
        <v>5485</v>
      </c>
      <c r="B3428" s="345" t="s">
        <v>5486</v>
      </c>
    </row>
    <row r="3429" spans="1:2" ht="15.75" x14ac:dyDescent="0.25">
      <c r="A3429" s="344" t="s">
        <v>5487</v>
      </c>
      <c r="B3429" s="345" t="s">
        <v>5488</v>
      </c>
    </row>
    <row r="3430" spans="1:2" ht="15.75" x14ac:dyDescent="0.25">
      <c r="A3430" s="344" t="s">
        <v>5489</v>
      </c>
      <c r="B3430" s="345" t="s">
        <v>5490</v>
      </c>
    </row>
    <row r="3431" spans="1:2" ht="15.75" x14ac:dyDescent="0.25">
      <c r="A3431" s="344" t="s">
        <v>5491</v>
      </c>
      <c r="B3431" s="345" t="s">
        <v>5492</v>
      </c>
    </row>
    <row r="3432" spans="1:2" ht="15.75" x14ac:dyDescent="0.25">
      <c r="A3432" s="344" t="s">
        <v>5493</v>
      </c>
      <c r="B3432" s="345" t="s">
        <v>5494</v>
      </c>
    </row>
    <row r="3433" spans="1:2" ht="15.75" x14ac:dyDescent="0.25">
      <c r="A3433" s="344" t="s">
        <v>5495</v>
      </c>
      <c r="B3433" s="345" t="s">
        <v>5496</v>
      </c>
    </row>
    <row r="3434" spans="1:2" ht="15.75" x14ac:dyDescent="0.25">
      <c r="A3434" s="344" t="s">
        <v>5497</v>
      </c>
      <c r="B3434" s="345" t="s">
        <v>5498</v>
      </c>
    </row>
    <row r="3435" spans="1:2" ht="15.75" x14ac:dyDescent="0.25">
      <c r="A3435" s="344" t="s">
        <v>5499</v>
      </c>
      <c r="B3435" s="345" t="s">
        <v>5500</v>
      </c>
    </row>
    <row r="3436" spans="1:2" ht="15.75" x14ac:dyDescent="0.25">
      <c r="A3436" s="344" t="s">
        <v>5501</v>
      </c>
      <c r="B3436" s="345" t="s">
        <v>5502</v>
      </c>
    </row>
    <row r="3437" spans="1:2" ht="15.75" x14ac:dyDescent="0.25">
      <c r="A3437" s="344" t="s">
        <v>5503</v>
      </c>
      <c r="B3437" s="345" t="s">
        <v>5504</v>
      </c>
    </row>
    <row r="3438" spans="1:2" ht="15.75" x14ac:dyDescent="0.25">
      <c r="A3438" s="344" t="s">
        <v>5505</v>
      </c>
      <c r="B3438" s="345" t="s">
        <v>5506</v>
      </c>
    </row>
    <row r="3439" spans="1:2" ht="15.75" x14ac:dyDescent="0.25">
      <c r="A3439" s="344" t="s">
        <v>5507</v>
      </c>
      <c r="B3439" s="345" t="s">
        <v>5508</v>
      </c>
    </row>
    <row r="3440" spans="1:2" ht="15.75" x14ac:dyDescent="0.25">
      <c r="A3440" s="344" t="s">
        <v>5509</v>
      </c>
      <c r="B3440" s="345" t="s">
        <v>5510</v>
      </c>
    </row>
    <row r="3441" spans="1:2" ht="15.75" x14ac:dyDescent="0.25">
      <c r="A3441" s="344" t="s">
        <v>5511</v>
      </c>
      <c r="B3441" s="345" t="s">
        <v>5512</v>
      </c>
    </row>
    <row r="3442" spans="1:2" ht="15.75" x14ac:dyDescent="0.25">
      <c r="A3442" s="344" t="s">
        <v>5513</v>
      </c>
      <c r="B3442" s="345" t="s">
        <v>5514</v>
      </c>
    </row>
    <row r="3443" spans="1:2" ht="15.75" x14ac:dyDescent="0.25">
      <c r="A3443" s="344" t="s">
        <v>5515</v>
      </c>
      <c r="B3443" s="345" t="s">
        <v>5516</v>
      </c>
    </row>
    <row r="3444" spans="1:2" ht="15.75" x14ac:dyDescent="0.25">
      <c r="A3444" s="344" t="s">
        <v>5517</v>
      </c>
      <c r="B3444" s="345" t="s">
        <v>5518</v>
      </c>
    </row>
    <row r="3445" spans="1:2" ht="15.75" x14ac:dyDescent="0.25">
      <c r="A3445" s="344" t="s">
        <v>5519</v>
      </c>
      <c r="B3445" s="345" t="s">
        <v>5520</v>
      </c>
    </row>
    <row r="3446" spans="1:2" ht="15.75" x14ac:dyDescent="0.25">
      <c r="A3446" s="344" t="s">
        <v>5521</v>
      </c>
      <c r="B3446" s="345" t="s">
        <v>5522</v>
      </c>
    </row>
    <row r="3447" spans="1:2" ht="15.75" x14ac:dyDescent="0.25">
      <c r="A3447" s="344" t="s">
        <v>5523</v>
      </c>
      <c r="B3447" s="345" t="s">
        <v>5524</v>
      </c>
    </row>
    <row r="3448" spans="1:2" ht="15.75" x14ac:dyDescent="0.25">
      <c r="A3448" s="344" t="s">
        <v>5525</v>
      </c>
      <c r="B3448" s="345" t="s">
        <v>5526</v>
      </c>
    </row>
    <row r="3449" spans="1:2" ht="15.75" x14ac:dyDescent="0.25">
      <c r="A3449" s="344" t="s">
        <v>5527</v>
      </c>
      <c r="B3449" s="345" t="s">
        <v>5528</v>
      </c>
    </row>
    <row r="3450" spans="1:2" ht="15.75" x14ac:dyDescent="0.25">
      <c r="A3450" s="344" t="s">
        <v>5529</v>
      </c>
      <c r="B3450" s="345" t="s">
        <v>5530</v>
      </c>
    </row>
    <row r="3451" spans="1:2" ht="15.75" x14ac:dyDescent="0.25">
      <c r="A3451" s="344" t="s">
        <v>5531</v>
      </c>
      <c r="B3451" s="345" t="s">
        <v>2242</v>
      </c>
    </row>
    <row r="3452" spans="1:2" ht="15.75" x14ac:dyDescent="0.25">
      <c r="A3452" s="344" t="s">
        <v>5532</v>
      </c>
      <c r="B3452" s="345" t="s">
        <v>5533</v>
      </c>
    </row>
    <row r="3453" spans="1:2" ht="15.75" x14ac:dyDescent="0.25">
      <c r="A3453" s="344" t="s">
        <v>5534</v>
      </c>
      <c r="B3453" s="345" t="s">
        <v>5535</v>
      </c>
    </row>
    <row r="3454" spans="1:2" ht="15.75" x14ac:dyDescent="0.25">
      <c r="A3454" s="344" t="s">
        <v>5536</v>
      </c>
      <c r="B3454" s="345" t="s">
        <v>5537</v>
      </c>
    </row>
    <row r="3455" spans="1:2" ht="15.75" x14ac:dyDescent="0.25">
      <c r="A3455" s="344" t="s">
        <v>5538</v>
      </c>
      <c r="B3455" s="345" t="s">
        <v>5539</v>
      </c>
    </row>
    <row r="3456" spans="1:2" ht="15.75" x14ac:dyDescent="0.25">
      <c r="A3456" s="344" t="s">
        <v>5540</v>
      </c>
      <c r="B3456" s="345" t="s">
        <v>5541</v>
      </c>
    </row>
    <row r="3457" spans="1:2" ht="15.75" x14ac:dyDescent="0.25">
      <c r="A3457" s="344" t="s">
        <v>5542</v>
      </c>
      <c r="B3457" s="345" t="s">
        <v>5543</v>
      </c>
    </row>
    <row r="3458" spans="1:2" ht="15.75" x14ac:dyDescent="0.25">
      <c r="A3458" s="344" t="s">
        <v>5544</v>
      </c>
      <c r="B3458" s="345" t="s">
        <v>5545</v>
      </c>
    </row>
    <row r="3459" spans="1:2" ht="15.75" x14ac:dyDescent="0.25">
      <c r="A3459" s="344" t="s">
        <v>5546</v>
      </c>
      <c r="B3459" s="345" t="s">
        <v>5547</v>
      </c>
    </row>
    <row r="3460" spans="1:2" ht="15.75" x14ac:dyDescent="0.25">
      <c r="A3460" s="344" t="s">
        <v>5548</v>
      </c>
      <c r="B3460" s="345" t="s">
        <v>5549</v>
      </c>
    </row>
    <row r="3461" spans="1:2" ht="15.75" x14ac:dyDescent="0.25">
      <c r="A3461" s="344" t="s">
        <v>5550</v>
      </c>
      <c r="B3461" s="345" t="s">
        <v>5551</v>
      </c>
    </row>
    <row r="3462" spans="1:2" ht="15.75" x14ac:dyDescent="0.25">
      <c r="A3462" s="344" t="s">
        <v>5552</v>
      </c>
      <c r="B3462" s="345" t="s">
        <v>5520</v>
      </c>
    </row>
    <row r="3463" spans="1:2" ht="15.75" x14ac:dyDescent="0.25">
      <c r="A3463" s="344" t="s">
        <v>5553</v>
      </c>
      <c r="B3463" s="345" t="s">
        <v>5522</v>
      </c>
    </row>
    <row r="3464" spans="1:2" ht="15.75" x14ac:dyDescent="0.25">
      <c r="A3464" s="344" t="s">
        <v>5554</v>
      </c>
      <c r="B3464" s="345" t="s">
        <v>5524</v>
      </c>
    </row>
    <row r="3465" spans="1:2" ht="15.75" x14ac:dyDescent="0.25">
      <c r="A3465" s="344" t="s">
        <v>5555</v>
      </c>
      <c r="B3465" s="345" t="s">
        <v>5556</v>
      </c>
    </row>
    <row r="3466" spans="1:2" ht="15.75" x14ac:dyDescent="0.25">
      <c r="A3466" s="344" t="s">
        <v>5557</v>
      </c>
      <c r="B3466" s="345" t="s">
        <v>2243</v>
      </c>
    </row>
    <row r="3467" spans="1:2" ht="15.75" x14ac:dyDescent="0.25">
      <c r="A3467" s="344" t="s">
        <v>5558</v>
      </c>
      <c r="B3467" s="345" t="s">
        <v>2244</v>
      </c>
    </row>
    <row r="3468" spans="1:2" ht="15.75" x14ac:dyDescent="0.25">
      <c r="A3468" s="344" t="s">
        <v>5559</v>
      </c>
      <c r="B3468" s="345" t="s">
        <v>2245</v>
      </c>
    </row>
    <row r="3469" spans="1:2" ht="15.75" x14ac:dyDescent="0.25">
      <c r="A3469" s="344" t="s">
        <v>5560</v>
      </c>
      <c r="B3469" s="345" t="s">
        <v>1735</v>
      </c>
    </row>
    <row r="3470" spans="1:2" ht="15.75" x14ac:dyDescent="0.25">
      <c r="A3470" s="344" t="s">
        <v>5561</v>
      </c>
      <c r="B3470" s="345" t="s">
        <v>2246</v>
      </c>
    </row>
    <row r="3471" spans="1:2" ht="15.75" x14ac:dyDescent="0.25">
      <c r="A3471" s="344" t="s">
        <v>5562</v>
      </c>
      <c r="B3471" s="345" t="s">
        <v>5563</v>
      </c>
    </row>
    <row r="3472" spans="1:2" ht="15.75" x14ac:dyDescent="0.25">
      <c r="A3472" s="344" t="s">
        <v>5564</v>
      </c>
      <c r="B3472" s="345" t="s">
        <v>2247</v>
      </c>
    </row>
    <row r="3473" spans="1:2" ht="15.75" x14ac:dyDescent="0.25">
      <c r="A3473" s="344" t="s">
        <v>5565</v>
      </c>
      <c r="B3473" s="345" t="s">
        <v>2248</v>
      </c>
    </row>
    <row r="3474" spans="1:2" ht="15.75" x14ac:dyDescent="0.25">
      <c r="A3474" s="344" t="s">
        <v>5566</v>
      </c>
      <c r="B3474" s="345" t="s">
        <v>2249</v>
      </c>
    </row>
    <row r="3475" spans="1:2" ht="15.75" x14ac:dyDescent="0.25">
      <c r="A3475" s="344" t="s">
        <v>5567</v>
      </c>
      <c r="B3475" s="345" t="s">
        <v>2250</v>
      </c>
    </row>
    <row r="3476" spans="1:2" ht="15.75" x14ac:dyDescent="0.25">
      <c r="A3476" s="344" t="s">
        <v>38</v>
      </c>
      <c r="B3476" s="345" t="s">
        <v>2251</v>
      </c>
    </row>
    <row r="3477" spans="1:2" ht="15.75" x14ac:dyDescent="0.25">
      <c r="A3477" s="344" t="s">
        <v>5568</v>
      </c>
      <c r="B3477" s="345" t="s">
        <v>5569</v>
      </c>
    </row>
    <row r="3478" spans="1:2" ht="15.75" x14ac:dyDescent="0.25">
      <c r="A3478" s="344" t="s">
        <v>5570</v>
      </c>
      <c r="B3478" s="345" t="s">
        <v>2252</v>
      </c>
    </row>
    <row r="3479" spans="1:2" ht="15.75" x14ac:dyDescent="0.25">
      <c r="A3479" s="344" t="s">
        <v>5571</v>
      </c>
      <c r="B3479" s="345" t="s">
        <v>2253</v>
      </c>
    </row>
    <row r="3480" spans="1:2" ht="15.75" x14ac:dyDescent="0.25">
      <c r="A3480" s="344" t="s">
        <v>5572</v>
      </c>
      <c r="B3480" s="345" t="s">
        <v>2254</v>
      </c>
    </row>
    <row r="3481" spans="1:2" ht="15.75" x14ac:dyDescent="0.25">
      <c r="A3481" s="344" t="s">
        <v>5573</v>
      </c>
      <c r="B3481" s="345" t="s">
        <v>5574</v>
      </c>
    </row>
    <row r="3482" spans="1:2" ht="15.75" x14ac:dyDescent="0.25">
      <c r="A3482" s="344" t="s">
        <v>5575</v>
      </c>
      <c r="B3482" s="345" t="s">
        <v>2255</v>
      </c>
    </row>
    <row r="3483" spans="1:2" ht="15.75" x14ac:dyDescent="0.25">
      <c r="A3483" s="344" t="s">
        <v>5576</v>
      </c>
      <c r="B3483" s="345" t="s">
        <v>2256</v>
      </c>
    </row>
    <row r="3484" spans="1:2" ht="15.75" x14ac:dyDescent="0.25">
      <c r="A3484" s="344" t="s">
        <v>5577</v>
      </c>
      <c r="B3484" s="345" t="s">
        <v>2257</v>
      </c>
    </row>
    <row r="3485" spans="1:2" ht="15.75" x14ac:dyDescent="0.25">
      <c r="A3485" s="344" t="s">
        <v>5578</v>
      </c>
      <c r="B3485" s="345" t="s">
        <v>2258</v>
      </c>
    </row>
    <row r="3486" spans="1:2" ht="15.75" x14ac:dyDescent="0.25">
      <c r="A3486" s="344" t="s">
        <v>5579</v>
      </c>
      <c r="B3486" s="345" t="s">
        <v>2259</v>
      </c>
    </row>
    <row r="3487" spans="1:2" ht="15.75" x14ac:dyDescent="0.25">
      <c r="A3487" s="344" t="s">
        <v>5580</v>
      </c>
      <c r="B3487" s="345" t="s">
        <v>2260</v>
      </c>
    </row>
    <row r="3488" spans="1:2" ht="15.75" x14ac:dyDescent="0.25">
      <c r="A3488" s="344" t="s">
        <v>5581</v>
      </c>
      <c r="B3488" s="345" t="s">
        <v>2261</v>
      </c>
    </row>
    <row r="3489" spans="1:2" ht="15.75" x14ac:dyDescent="0.25">
      <c r="A3489" s="344" t="s">
        <v>5582</v>
      </c>
      <c r="B3489" s="345" t="s">
        <v>2262</v>
      </c>
    </row>
    <row r="3490" spans="1:2" ht="15.75" x14ac:dyDescent="0.25">
      <c r="A3490" s="344" t="s">
        <v>5583</v>
      </c>
      <c r="B3490" s="345" t="s">
        <v>2263</v>
      </c>
    </row>
    <row r="3491" spans="1:2" ht="15.75" x14ac:dyDescent="0.25">
      <c r="A3491" s="344" t="s">
        <v>5584</v>
      </c>
      <c r="B3491" s="345" t="s">
        <v>2264</v>
      </c>
    </row>
    <row r="3492" spans="1:2" ht="15.75" x14ac:dyDescent="0.25">
      <c r="A3492" s="344" t="s">
        <v>5585</v>
      </c>
      <c r="B3492" s="345" t="s">
        <v>2265</v>
      </c>
    </row>
    <row r="3493" spans="1:2" ht="15.75" x14ac:dyDescent="0.25">
      <c r="A3493" s="344" t="s">
        <v>5586</v>
      </c>
      <c r="B3493" s="345" t="s">
        <v>2266</v>
      </c>
    </row>
    <row r="3494" spans="1:2" ht="15.75" x14ac:dyDescent="0.25">
      <c r="A3494" s="344" t="s">
        <v>5587</v>
      </c>
      <c r="B3494" s="345" t="s">
        <v>2267</v>
      </c>
    </row>
    <row r="3495" spans="1:2" ht="15.75" x14ac:dyDescent="0.25">
      <c r="A3495" s="344" t="s">
        <v>5588</v>
      </c>
      <c r="B3495" s="345" t="s">
        <v>2268</v>
      </c>
    </row>
    <row r="3496" spans="1:2" ht="15.75" x14ac:dyDescent="0.25">
      <c r="A3496" s="344" t="s">
        <v>5589</v>
      </c>
      <c r="B3496" s="345" t="s">
        <v>2269</v>
      </c>
    </row>
    <row r="3497" spans="1:2" ht="15.75" x14ac:dyDescent="0.25">
      <c r="A3497" s="344" t="s">
        <v>5590</v>
      </c>
      <c r="B3497" s="345" t="s">
        <v>2270</v>
      </c>
    </row>
    <row r="3498" spans="1:2" ht="15.75" x14ac:dyDescent="0.25">
      <c r="A3498" s="344" t="s">
        <v>5591</v>
      </c>
      <c r="B3498" s="345" t="s">
        <v>2271</v>
      </c>
    </row>
    <row r="3499" spans="1:2" ht="15.75" x14ac:dyDescent="0.25">
      <c r="A3499" s="344" t="s">
        <v>5592</v>
      </c>
      <c r="B3499" s="345" t="s">
        <v>2272</v>
      </c>
    </row>
    <row r="3500" spans="1:2" ht="15.75" x14ac:dyDescent="0.25">
      <c r="A3500" s="344" t="s">
        <v>5593</v>
      </c>
      <c r="B3500" s="345" t="s">
        <v>2273</v>
      </c>
    </row>
    <row r="3501" spans="1:2" ht="15.75" x14ac:dyDescent="0.25">
      <c r="A3501" s="344" t="s">
        <v>238</v>
      </c>
      <c r="B3501" s="345" t="s">
        <v>2274</v>
      </c>
    </row>
    <row r="3502" spans="1:2" ht="15.75" x14ac:dyDescent="0.25">
      <c r="A3502" s="344" t="s">
        <v>5594</v>
      </c>
      <c r="B3502" s="345" t="s">
        <v>2275</v>
      </c>
    </row>
    <row r="3503" spans="1:2" ht="15.75" x14ac:dyDescent="0.25">
      <c r="A3503" s="344" t="s">
        <v>5595</v>
      </c>
      <c r="B3503" s="345" t="s">
        <v>2276</v>
      </c>
    </row>
    <row r="3504" spans="1:2" ht="15.75" x14ac:dyDescent="0.25">
      <c r="A3504" s="344" t="s">
        <v>134</v>
      </c>
      <c r="B3504" s="345" t="s">
        <v>2277</v>
      </c>
    </row>
    <row r="3505" spans="1:2" ht="15.75" x14ac:dyDescent="0.25">
      <c r="A3505" s="344" t="s">
        <v>5596</v>
      </c>
      <c r="B3505" s="345" t="s">
        <v>2278</v>
      </c>
    </row>
    <row r="3506" spans="1:2" ht="15.75" x14ac:dyDescent="0.25">
      <c r="A3506" s="344" t="s">
        <v>5597</v>
      </c>
      <c r="B3506" s="345" t="s">
        <v>2279</v>
      </c>
    </row>
    <row r="3507" spans="1:2" ht="15.75" x14ac:dyDescent="0.25">
      <c r="A3507" s="344" t="s">
        <v>5598</v>
      </c>
      <c r="B3507" s="345" t="s">
        <v>2280</v>
      </c>
    </row>
    <row r="3508" spans="1:2" ht="15.75" x14ac:dyDescent="0.25">
      <c r="A3508" s="344" t="s">
        <v>83</v>
      </c>
      <c r="B3508" s="345" t="s">
        <v>1880</v>
      </c>
    </row>
    <row r="3509" spans="1:2" ht="15.75" x14ac:dyDescent="0.25">
      <c r="A3509" s="344" t="s">
        <v>5599</v>
      </c>
      <c r="B3509" s="345" t="s">
        <v>5600</v>
      </c>
    </row>
    <row r="3510" spans="1:2" ht="15.75" x14ac:dyDescent="0.25">
      <c r="A3510" s="344" t="s">
        <v>5601</v>
      </c>
      <c r="B3510" s="345" t="s">
        <v>2281</v>
      </c>
    </row>
    <row r="3511" spans="1:2" ht="15.75" x14ac:dyDescent="0.25">
      <c r="A3511" s="344" t="s">
        <v>5602</v>
      </c>
      <c r="B3511" s="345" t="s">
        <v>2282</v>
      </c>
    </row>
    <row r="3512" spans="1:2" ht="15.75" x14ac:dyDescent="0.25">
      <c r="A3512" s="344" t="s">
        <v>5603</v>
      </c>
      <c r="B3512" s="345" t="s">
        <v>2283</v>
      </c>
    </row>
    <row r="3513" spans="1:2" ht="15.75" x14ac:dyDescent="0.25">
      <c r="A3513" s="344" t="s">
        <v>5604</v>
      </c>
      <c r="B3513" s="345" t="s">
        <v>5605</v>
      </c>
    </row>
    <row r="3514" spans="1:2" ht="15.75" x14ac:dyDescent="0.25">
      <c r="A3514" s="344" t="s">
        <v>5606</v>
      </c>
      <c r="B3514" s="345" t="s">
        <v>5607</v>
      </c>
    </row>
    <row r="3515" spans="1:2" ht="15.75" x14ac:dyDescent="0.25">
      <c r="A3515" s="344" t="s">
        <v>5608</v>
      </c>
      <c r="B3515" s="345" t="s">
        <v>5609</v>
      </c>
    </row>
    <row r="3516" spans="1:2" ht="15.75" x14ac:dyDescent="0.25">
      <c r="A3516" s="344" t="s">
        <v>5610</v>
      </c>
      <c r="B3516" s="345" t="s">
        <v>2284</v>
      </c>
    </row>
    <row r="3517" spans="1:2" ht="15.75" x14ac:dyDescent="0.25">
      <c r="A3517" s="344" t="s">
        <v>5611</v>
      </c>
      <c r="B3517" s="345" t="s">
        <v>2285</v>
      </c>
    </row>
    <row r="3518" spans="1:2" ht="15.75" x14ac:dyDescent="0.25">
      <c r="A3518" s="344" t="s">
        <v>5612</v>
      </c>
      <c r="B3518" s="345" t="s">
        <v>5613</v>
      </c>
    </row>
    <row r="3519" spans="1:2" ht="15.75" x14ac:dyDescent="0.25">
      <c r="A3519" s="344" t="s">
        <v>5614</v>
      </c>
      <c r="B3519" s="345" t="s">
        <v>2286</v>
      </c>
    </row>
    <row r="3520" spans="1:2" ht="15.75" x14ac:dyDescent="0.25">
      <c r="A3520" s="344" t="s">
        <v>5615</v>
      </c>
      <c r="B3520" s="345" t="s">
        <v>2287</v>
      </c>
    </row>
    <row r="3521" spans="1:2" ht="15.75" x14ac:dyDescent="0.25">
      <c r="A3521" s="344" t="s">
        <v>5616</v>
      </c>
      <c r="B3521" s="345" t="s">
        <v>2288</v>
      </c>
    </row>
    <row r="3522" spans="1:2" ht="15.75" x14ac:dyDescent="0.25">
      <c r="A3522" s="344" t="s">
        <v>5617</v>
      </c>
      <c r="B3522" s="345" t="s">
        <v>5618</v>
      </c>
    </row>
    <row r="3523" spans="1:2" ht="15.75" x14ac:dyDescent="0.25">
      <c r="A3523" s="344" t="s">
        <v>5619</v>
      </c>
      <c r="B3523" s="345" t="s">
        <v>5620</v>
      </c>
    </row>
    <row r="3524" spans="1:2" ht="15.75" x14ac:dyDescent="0.25">
      <c r="A3524" s="344" t="s">
        <v>5621</v>
      </c>
      <c r="B3524" s="345" t="s">
        <v>2289</v>
      </c>
    </row>
    <row r="3525" spans="1:2" ht="15.75" x14ac:dyDescent="0.25">
      <c r="A3525" s="344" t="s">
        <v>5622</v>
      </c>
      <c r="B3525" s="345" t="s">
        <v>2290</v>
      </c>
    </row>
    <row r="3526" spans="1:2" ht="15.75" x14ac:dyDescent="0.25">
      <c r="A3526" s="344" t="s">
        <v>5623</v>
      </c>
      <c r="B3526" s="345" t="s">
        <v>2290</v>
      </c>
    </row>
    <row r="3527" spans="1:2" ht="15.75" x14ac:dyDescent="0.25">
      <c r="A3527" s="344" t="s">
        <v>5624</v>
      </c>
      <c r="B3527" s="345" t="s">
        <v>2291</v>
      </c>
    </row>
    <row r="3528" spans="1:2" ht="15.75" x14ac:dyDescent="0.25">
      <c r="A3528" s="344" t="s">
        <v>5625</v>
      </c>
      <c r="B3528" s="345" t="s">
        <v>2292</v>
      </c>
    </row>
    <row r="3529" spans="1:2" ht="15.75" x14ac:dyDescent="0.25">
      <c r="A3529" s="344" t="s">
        <v>5626</v>
      </c>
      <c r="B3529" s="345" t="s">
        <v>5627</v>
      </c>
    </row>
    <row r="3530" spans="1:2" ht="15.75" x14ac:dyDescent="0.25">
      <c r="A3530" s="344" t="s">
        <v>1823</v>
      </c>
      <c r="B3530" s="345" t="s">
        <v>2293</v>
      </c>
    </row>
    <row r="3531" spans="1:2" ht="15.75" x14ac:dyDescent="0.25">
      <c r="A3531" s="344" t="s">
        <v>5628</v>
      </c>
      <c r="B3531" s="345" t="s">
        <v>5629</v>
      </c>
    </row>
    <row r="3532" spans="1:2" ht="15.75" x14ac:dyDescent="0.25">
      <c r="A3532" s="344" t="s">
        <v>5630</v>
      </c>
      <c r="B3532" s="345" t="s">
        <v>5631</v>
      </c>
    </row>
    <row r="3533" spans="1:2" ht="15.75" x14ac:dyDescent="0.25">
      <c r="A3533" s="344" t="s">
        <v>5632</v>
      </c>
      <c r="B3533" s="345" t="s">
        <v>2294</v>
      </c>
    </row>
    <row r="3534" spans="1:2" ht="15.75" x14ac:dyDescent="0.25">
      <c r="A3534" s="344" t="s">
        <v>5633</v>
      </c>
      <c r="B3534" s="345" t="s">
        <v>5634</v>
      </c>
    </row>
    <row r="3535" spans="1:2" ht="15.75" x14ac:dyDescent="0.25">
      <c r="A3535" s="344" t="s">
        <v>5635</v>
      </c>
      <c r="B3535" s="345" t="s">
        <v>5636</v>
      </c>
    </row>
    <row r="3536" spans="1:2" ht="15.75" x14ac:dyDescent="0.25">
      <c r="A3536" s="344" t="s">
        <v>5637</v>
      </c>
      <c r="B3536" s="345" t="s">
        <v>2295</v>
      </c>
    </row>
    <row r="3537" spans="1:2" ht="15.75" x14ac:dyDescent="0.25">
      <c r="A3537" s="344" t="s">
        <v>5638</v>
      </c>
      <c r="B3537" s="345" t="s">
        <v>5639</v>
      </c>
    </row>
    <row r="3538" spans="1:2" ht="15.75" x14ac:dyDescent="0.25">
      <c r="A3538" s="344" t="s">
        <v>5640</v>
      </c>
      <c r="B3538" s="345" t="s">
        <v>5641</v>
      </c>
    </row>
    <row r="3539" spans="1:2" ht="15.75" x14ac:dyDescent="0.25">
      <c r="A3539" s="344" t="s">
        <v>5642</v>
      </c>
      <c r="B3539" s="345" t="s">
        <v>5643</v>
      </c>
    </row>
    <row r="3540" spans="1:2" ht="15.75" x14ac:dyDescent="0.25">
      <c r="A3540" s="344" t="s">
        <v>5644</v>
      </c>
      <c r="B3540" s="345" t="s">
        <v>2296</v>
      </c>
    </row>
    <row r="3541" spans="1:2" ht="15.75" x14ac:dyDescent="0.25">
      <c r="A3541" s="344" t="s">
        <v>5645</v>
      </c>
      <c r="B3541" s="345" t="s">
        <v>5646</v>
      </c>
    </row>
    <row r="3542" spans="1:2" ht="15.75" x14ac:dyDescent="0.25">
      <c r="A3542" s="344" t="s">
        <v>5647</v>
      </c>
      <c r="B3542" s="345" t="s">
        <v>5648</v>
      </c>
    </row>
    <row r="3543" spans="1:2" ht="15.75" x14ac:dyDescent="0.25">
      <c r="A3543" s="344" t="s">
        <v>5649</v>
      </c>
      <c r="B3543" s="345" t="s">
        <v>5650</v>
      </c>
    </row>
    <row r="3544" spans="1:2" ht="15.75" x14ac:dyDescent="0.25">
      <c r="A3544" s="344" t="s">
        <v>5651</v>
      </c>
      <c r="B3544" s="345" t="s">
        <v>5652</v>
      </c>
    </row>
    <row r="3545" spans="1:2" ht="15.75" x14ac:dyDescent="0.25">
      <c r="A3545" s="344" t="s">
        <v>5653</v>
      </c>
      <c r="B3545" s="345" t="s">
        <v>5654</v>
      </c>
    </row>
    <row r="3546" spans="1:2" ht="15.75" x14ac:dyDescent="0.25">
      <c r="A3546" s="344" t="s">
        <v>5655</v>
      </c>
      <c r="B3546" s="345" t="s">
        <v>5656</v>
      </c>
    </row>
    <row r="3547" spans="1:2" ht="15.75" x14ac:dyDescent="0.25">
      <c r="A3547" s="344" t="s">
        <v>5657</v>
      </c>
      <c r="B3547" s="345" t="s">
        <v>5658</v>
      </c>
    </row>
    <row r="3548" spans="1:2" ht="15.75" x14ac:dyDescent="0.25">
      <c r="A3548" s="344" t="s">
        <v>5659</v>
      </c>
      <c r="B3548" s="345" t="s">
        <v>5660</v>
      </c>
    </row>
    <row r="3549" spans="1:2" ht="15.75" x14ac:dyDescent="0.25">
      <c r="A3549" s="344" t="s">
        <v>5661</v>
      </c>
      <c r="B3549" s="345" t="s">
        <v>5662</v>
      </c>
    </row>
    <row r="3550" spans="1:2" ht="15.75" x14ac:dyDescent="0.25">
      <c r="A3550" s="344" t="s">
        <v>5663</v>
      </c>
      <c r="B3550" s="345" t="s">
        <v>5664</v>
      </c>
    </row>
    <row r="3551" spans="1:2" ht="15.75" x14ac:dyDescent="0.25">
      <c r="A3551" s="344" t="s">
        <v>5665</v>
      </c>
      <c r="B3551" s="345" t="s">
        <v>5666</v>
      </c>
    </row>
    <row r="3552" spans="1:2" ht="15.75" x14ac:dyDescent="0.25">
      <c r="A3552" s="344" t="s">
        <v>5667</v>
      </c>
      <c r="B3552" s="345" t="s">
        <v>5668</v>
      </c>
    </row>
    <row r="3553" spans="1:2" ht="15.75" x14ac:dyDescent="0.25">
      <c r="A3553" s="344" t="s">
        <v>5669</v>
      </c>
      <c r="B3553" s="345" t="s">
        <v>5670</v>
      </c>
    </row>
    <row r="3554" spans="1:2" ht="15.75" x14ac:dyDescent="0.25">
      <c r="A3554" s="344" t="s">
        <v>5671</v>
      </c>
      <c r="B3554" s="345" t="s">
        <v>5672</v>
      </c>
    </row>
    <row r="3555" spans="1:2" ht="15.75" x14ac:dyDescent="0.25">
      <c r="A3555" s="344" t="s">
        <v>5673</v>
      </c>
      <c r="B3555" s="345" t="s">
        <v>5674</v>
      </c>
    </row>
    <row r="3556" spans="1:2" ht="15.75" x14ac:dyDescent="0.25">
      <c r="A3556" s="344" t="s">
        <v>5675</v>
      </c>
      <c r="B3556" s="345" t="s">
        <v>5676</v>
      </c>
    </row>
    <row r="3557" spans="1:2" ht="15.75" x14ac:dyDescent="0.25">
      <c r="A3557" s="344" t="s">
        <v>5677</v>
      </c>
      <c r="B3557" s="345" t="s">
        <v>5678</v>
      </c>
    </row>
    <row r="3558" spans="1:2" ht="15.75" x14ac:dyDescent="0.25">
      <c r="A3558" s="344" t="s">
        <v>5679</v>
      </c>
      <c r="B3558" s="345" t="s">
        <v>5680</v>
      </c>
    </row>
    <row r="3559" spans="1:2" ht="15.75" x14ac:dyDescent="0.25">
      <c r="A3559" s="344" t="s">
        <v>5681</v>
      </c>
      <c r="B3559" s="345" t="s">
        <v>5682</v>
      </c>
    </row>
    <row r="3560" spans="1:2" ht="15.75" x14ac:dyDescent="0.25">
      <c r="A3560" s="344" t="s">
        <v>5683</v>
      </c>
      <c r="B3560" s="345" t="s">
        <v>5684</v>
      </c>
    </row>
    <row r="3561" spans="1:2" ht="15.75" x14ac:dyDescent="0.25">
      <c r="A3561" s="344" t="s">
        <v>5685</v>
      </c>
      <c r="B3561" s="345" t="s">
        <v>5686</v>
      </c>
    </row>
    <row r="3562" spans="1:2" ht="15.75" x14ac:dyDescent="0.25">
      <c r="A3562" s="344" t="s">
        <v>5687</v>
      </c>
      <c r="B3562" s="345" t="s">
        <v>5688</v>
      </c>
    </row>
    <row r="3563" spans="1:2" ht="15.75" x14ac:dyDescent="0.25">
      <c r="A3563" s="344" t="s">
        <v>5689</v>
      </c>
      <c r="B3563" s="345" t="s">
        <v>5690</v>
      </c>
    </row>
    <row r="3564" spans="1:2" ht="15.75" x14ac:dyDescent="0.25">
      <c r="A3564" s="344" t="s">
        <v>5691</v>
      </c>
      <c r="B3564" s="345" t="s">
        <v>5692</v>
      </c>
    </row>
    <row r="3565" spans="1:2" ht="15.75" x14ac:dyDescent="0.25">
      <c r="A3565" s="344" t="s">
        <v>5693</v>
      </c>
      <c r="B3565" s="345" t="s">
        <v>5694</v>
      </c>
    </row>
    <row r="3566" spans="1:2" ht="15.75" x14ac:dyDescent="0.25">
      <c r="A3566" s="344" t="s">
        <v>5695</v>
      </c>
      <c r="B3566" s="345" t="s">
        <v>5696</v>
      </c>
    </row>
    <row r="3567" spans="1:2" ht="15.75" x14ac:dyDescent="0.25">
      <c r="A3567" s="344" t="s">
        <v>5697</v>
      </c>
      <c r="B3567" s="345" t="s">
        <v>5698</v>
      </c>
    </row>
    <row r="3568" spans="1:2" ht="15.75" x14ac:dyDescent="0.25">
      <c r="A3568" s="344" t="s">
        <v>5699</v>
      </c>
      <c r="B3568" s="345" t="s">
        <v>5700</v>
      </c>
    </row>
    <row r="3569" spans="1:2" ht="15.75" x14ac:dyDescent="0.25">
      <c r="A3569" s="344" t="s">
        <v>5701</v>
      </c>
      <c r="B3569" s="345" t="s">
        <v>5702</v>
      </c>
    </row>
    <row r="3570" spans="1:2" ht="15.75" x14ac:dyDescent="0.25">
      <c r="A3570" s="344" t="s">
        <v>5703</v>
      </c>
      <c r="B3570" s="345" t="s">
        <v>5704</v>
      </c>
    </row>
    <row r="3571" spans="1:2" ht="15.75" x14ac:dyDescent="0.25">
      <c r="A3571" s="344" t="s">
        <v>5705</v>
      </c>
      <c r="B3571" s="345" t="s">
        <v>5706</v>
      </c>
    </row>
    <row r="3572" spans="1:2" ht="15.75" x14ac:dyDescent="0.25">
      <c r="A3572" s="344" t="s">
        <v>5707</v>
      </c>
      <c r="B3572" s="345" t="s">
        <v>5708</v>
      </c>
    </row>
    <row r="3573" spans="1:2" ht="15.75" x14ac:dyDescent="0.25">
      <c r="A3573" s="344" t="s">
        <v>5709</v>
      </c>
      <c r="B3573" s="345" t="s">
        <v>5710</v>
      </c>
    </row>
    <row r="3574" spans="1:2" ht="15.75" x14ac:dyDescent="0.25">
      <c r="A3574" s="344" t="s">
        <v>5711</v>
      </c>
      <c r="B3574" s="345" t="s">
        <v>5712</v>
      </c>
    </row>
    <row r="3575" spans="1:2" ht="15.75" x14ac:dyDescent="0.25">
      <c r="A3575" s="344" t="s">
        <v>5713</v>
      </c>
      <c r="B3575" s="345" t="s">
        <v>5714</v>
      </c>
    </row>
    <row r="3576" spans="1:2" ht="15.75" x14ac:dyDescent="0.25">
      <c r="A3576" s="344" t="s">
        <v>5715</v>
      </c>
      <c r="B3576" s="345" t="s">
        <v>5716</v>
      </c>
    </row>
    <row r="3577" spans="1:2" ht="15.75" x14ac:dyDescent="0.25">
      <c r="A3577" s="344" t="s">
        <v>5717</v>
      </c>
      <c r="B3577" s="345" t="s">
        <v>5718</v>
      </c>
    </row>
    <row r="3578" spans="1:2" ht="15.75" x14ac:dyDescent="0.25">
      <c r="A3578" s="344" t="s">
        <v>5719</v>
      </c>
      <c r="B3578" s="345" t="s">
        <v>5720</v>
      </c>
    </row>
    <row r="3579" spans="1:2" ht="15.75" x14ac:dyDescent="0.25">
      <c r="A3579" s="344" t="s">
        <v>5721</v>
      </c>
      <c r="B3579" s="345" t="s">
        <v>5722</v>
      </c>
    </row>
    <row r="3580" spans="1:2" ht="15.75" x14ac:dyDescent="0.25">
      <c r="A3580" s="344" t="s">
        <v>5723</v>
      </c>
      <c r="B3580" s="345" t="s">
        <v>5724</v>
      </c>
    </row>
    <row r="3581" spans="1:2" ht="15.75" x14ac:dyDescent="0.25">
      <c r="A3581" s="344" t="s">
        <v>5725</v>
      </c>
      <c r="B3581" s="345" t="s">
        <v>5726</v>
      </c>
    </row>
    <row r="3582" spans="1:2" ht="15.75" x14ac:dyDescent="0.25">
      <c r="A3582" s="344" t="s">
        <v>5727</v>
      </c>
      <c r="B3582" s="345" t="s">
        <v>5728</v>
      </c>
    </row>
    <row r="3583" spans="1:2" ht="15.75" x14ac:dyDescent="0.25">
      <c r="A3583" s="344" t="s">
        <v>5729</v>
      </c>
      <c r="B3583" s="345" t="s">
        <v>5730</v>
      </c>
    </row>
    <row r="3584" spans="1:2" ht="15.75" x14ac:dyDescent="0.25">
      <c r="A3584" s="344" t="s">
        <v>5731</v>
      </c>
      <c r="B3584" s="345" t="s">
        <v>5732</v>
      </c>
    </row>
    <row r="3585" spans="1:2" ht="15.75" x14ac:dyDescent="0.25">
      <c r="A3585" s="344" t="s">
        <v>5733</v>
      </c>
      <c r="B3585" s="345" t="s">
        <v>5734</v>
      </c>
    </row>
    <row r="3586" spans="1:2" ht="15.75" x14ac:dyDescent="0.25">
      <c r="A3586" s="344" t="s">
        <v>5735</v>
      </c>
      <c r="B3586" s="345" t="s">
        <v>5736</v>
      </c>
    </row>
    <row r="3587" spans="1:2" ht="15.75" x14ac:dyDescent="0.25">
      <c r="A3587" s="344" t="s">
        <v>5737</v>
      </c>
      <c r="B3587" s="345" t="s">
        <v>5738</v>
      </c>
    </row>
    <row r="3588" spans="1:2" ht="15.75" x14ac:dyDescent="0.25">
      <c r="A3588" s="344" t="s">
        <v>5739</v>
      </c>
      <c r="B3588" s="345" t="s">
        <v>5740</v>
      </c>
    </row>
    <row r="3589" spans="1:2" ht="15.75" x14ac:dyDescent="0.25">
      <c r="A3589" s="344" t="s">
        <v>5741</v>
      </c>
      <c r="B3589" s="345" t="s">
        <v>5742</v>
      </c>
    </row>
    <row r="3590" spans="1:2" ht="15.75" x14ac:dyDescent="0.25">
      <c r="A3590" s="344" t="s">
        <v>5743</v>
      </c>
      <c r="B3590" s="345" t="s">
        <v>5744</v>
      </c>
    </row>
    <row r="3591" spans="1:2" ht="15.75" x14ac:dyDescent="0.25">
      <c r="A3591" s="344" t="s">
        <v>5745</v>
      </c>
      <c r="B3591" s="345" t="s">
        <v>5746</v>
      </c>
    </row>
    <row r="3592" spans="1:2" ht="15.75" x14ac:dyDescent="0.25">
      <c r="A3592" s="344" t="s">
        <v>5747</v>
      </c>
      <c r="B3592" s="345" t="s">
        <v>5748</v>
      </c>
    </row>
    <row r="3593" spans="1:2" ht="15.75" x14ac:dyDescent="0.25">
      <c r="A3593" s="344" t="s">
        <v>5749</v>
      </c>
      <c r="B3593" s="345" t="s">
        <v>5750</v>
      </c>
    </row>
    <row r="3594" spans="1:2" ht="15.75" x14ac:dyDescent="0.25">
      <c r="A3594" s="344" t="s">
        <v>5751</v>
      </c>
      <c r="B3594" s="345" t="s">
        <v>5752</v>
      </c>
    </row>
    <row r="3595" spans="1:2" ht="15.75" x14ac:dyDescent="0.25">
      <c r="A3595" s="344" t="s">
        <v>5753</v>
      </c>
      <c r="B3595" s="345" t="s">
        <v>5754</v>
      </c>
    </row>
    <row r="3596" spans="1:2" ht="15.75" x14ac:dyDescent="0.25">
      <c r="A3596" s="344" t="s">
        <v>5755</v>
      </c>
      <c r="B3596" s="345" t="s">
        <v>5756</v>
      </c>
    </row>
    <row r="3597" spans="1:2" ht="15.75" x14ac:dyDescent="0.25">
      <c r="A3597" s="344" t="s">
        <v>5757</v>
      </c>
      <c r="B3597" s="345" t="s">
        <v>5758</v>
      </c>
    </row>
    <row r="3598" spans="1:2" ht="15.75" x14ac:dyDescent="0.25">
      <c r="A3598" s="344" t="s">
        <v>5759</v>
      </c>
      <c r="B3598" s="345" t="s">
        <v>5760</v>
      </c>
    </row>
    <row r="3599" spans="1:2" ht="15.75" x14ac:dyDescent="0.25">
      <c r="A3599" s="344" t="s">
        <v>5761</v>
      </c>
      <c r="B3599" s="345" t="s">
        <v>2297</v>
      </c>
    </row>
    <row r="3600" spans="1:2" ht="15.75" x14ac:dyDescent="0.25">
      <c r="A3600" s="344" t="s">
        <v>5762</v>
      </c>
      <c r="B3600" s="345" t="s">
        <v>5763</v>
      </c>
    </row>
    <row r="3601" spans="1:2" ht="15.75" x14ac:dyDescent="0.25">
      <c r="A3601" s="344" t="s">
        <v>5764</v>
      </c>
      <c r="B3601" s="345" t="s">
        <v>5765</v>
      </c>
    </row>
    <row r="3602" spans="1:2" ht="15.75" x14ac:dyDescent="0.25">
      <c r="A3602" s="344" t="s">
        <v>5766</v>
      </c>
      <c r="B3602" s="345" t="s">
        <v>2298</v>
      </c>
    </row>
    <row r="3603" spans="1:2" ht="15.75" x14ac:dyDescent="0.25">
      <c r="A3603" s="344" t="s">
        <v>5767</v>
      </c>
      <c r="B3603" s="345" t="s">
        <v>5768</v>
      </c>
    </row>
    <row r="3604" spans="1:2" ht="15.75" x14ac:dyDescent="0.25">
      <c r="A3604" s="344" t="s">
        <v>5769</v>
      </c>
      <c r="B3604" s="345" t="s">
        <v>5770</v>
      </c>
    </row>
    <row r="3605" spans="1:2" ht="15.75" x14ac:dyDescent="0.25">
      <c r="A3605" s="344" t="s">
        <v>5771</v>
      </c>
      <c r="B3605" s="345" t="s">
        <v>5772</v>
      </c>
    </row>
    <row r="3606" spans="1:2" ht="15.75" x14ac:dyDescent="0.25">
      <c r="A3606" s="344" t="s">
        <v>5773</v>
      </c>
      <c r="B3606" s="345" t="s">
        <v>2299</v>
      </c>
    </row>
    <row r="3607" spans="1:2" ht="15.75" x14ac:dyDescent="0.25">
      <c r="A3607" s="344" t="s">
        <v>5774</v>
      </c>
      <c r="B3607" s="345" t="s">
        <v>5775</v>
      </c>
    </row>
    <row r="3608" spans="1:2" ht="15.75" x14ac:dyDescent="0.25">
      <c r="A3608" s="344" t="s">
        <v>5776</v>
      </c>
      <c r="B3608" s="345" t="s">
        <v>2300</v>
      </c>
    </row>
    <row r="3609" spans="1:2" ht="15.75" x14ac:dyDescent="0.25">
      <c r="A3609" s="344" t="s">
        <v>5777</v>
      </c>
      <c r="B3609" s="345" t="s">
        <v>5778</v>
      </c>
    </row>
    <row r="3610" spans="1:2" ht="15.75" x14ac:dyDescent="0.25">
      <c r="A3610" s="344" t="s">
        <v>5779</v>
      </c>
      <c r="B3610" s="345" t="s">
        <v>2301</v>
      </c>
    </row>
    <row r="3611" spans="1:2" ht="15.75" x14ac:dyDescent="0.25">
      <c r="A3611" s="344" t="s">
        <v>5780</v>
      </c>
      <c r="B3611" s="345" t="s">
        <v>5781</v>
      </c>
    </row>
    <row r="3612" spans="1:2" ht="15.75" x14ac:dyDescent="0.25">
      <c r="A3612" s="344" t="s">
        <v>5782</v>
      </c>
      <c r="B3612" s="345" t="s">
        <v>5783</v>
      </c>
    </row>
    <row r="3613" spans="1:2" ht="15.75" x14ac:dyDescent="0.25">
      <c r="A3613" s="344" t="s">
        <v>5784</v>
      </c>
      <c r="B3613" s="345" t="s">
        <v>2302</v>
      </c>
    </row>
    <row r="3614" spans="1:2" ht="15.75" x14ac:dyDescent="0.25">
      <c r="A3614" s="344" t="s">
        <v>5785</v>
      </c>
      <c r="B3614" s="345" t="s">
        <v>5786</v>
      </c>
    </row>
    <row r="3615" spans="1:2" ht="15.75" x14ac:dyDescent="0.25">
      <c r="A3615" s="344" t="s">
        <v>5787</v>
      </c>
      <c r="B3615" s="345" t="s">
        <v>5788</v>
      </c>
    </row>
    <row r="3616" spans="1:2" ht="15.75" x14ac:dyDescent="0.25">
      <c r="A3616" s="344" t="s">
        <v>5789</v>
      </c>
      <c r="B3616" s="345" t="s">
        <v>5790</v>
      </c>
    </row>
    <row r="3617" spans="1:2" ht="15.75" x14ac:dyDescent="0.25">
      <c r="A3617" s="344" t="s">
        <v>5791</v>
      </c>
      <c r="B3617" s="345" t="s">
        <v>2303</v>
      </c>
    </row>
    <row r="3618" spans="1:2" ht="15.75" x14ac:dyDescent="0.25">
      <c r="A3618" s="344" t="s">
        <v>5792</v>
      </c>
      <c r="B3618" s="345" t="s">
        <v>5793</v>
      </c>
    </row>
    <row r="3619" spans="1:2" ht="15.75" x14ac:dyDescent="0.25">
      <c r="A3619" s="344" t="s">
        <v>5794</v>
      </c>
      <c r="B3619" s="345" t="s">
        <v>5795</v>
      </c>
    </row>
    <row r="3620" spans="1:2" ht="15.75" x14ac:dyDescent="0.25">
      <c r="A3620" s="344" t="s">
        <v>5796</v>
      </c>
      <c r="B3620" s="345" t="s">
        <v>5797</v>
      </c>
    </row>
    <row r="3621" spans="1:2" ht="15.75" x14ac:dyDescent="0.25">
      <c r="A3621" s="344" t="s">
        <v>5798</v>
      </c>
      <c r="B3621" s="345" t="s">
        <v>5799</v>
      </c>
    </row>
    <row r="3622" spans="1:2" ht="15.75" x14ac:dyDescent="0.25">
      <c r="A3622" s="344" t="s">
        <v>5800</v>
      </c>
      <c r="B3622" s="345" t="s">
        <v>5801</v>
      </c>
    </row>
    <row r="3623" spans="1:2" ht="15.75" x14ac:dyDescent="0.25">
      <c r="A3623" s="344" t="s">
        <v>5802</v>
      </c>
      <c r="B3623" s="345" t="s">
        <v>5803</v>
      </c>
    </row>
    <row r="3624" spans="1:2" ht="15.75" x14ac:dyDescent="0.25">
      <c r="A3624" s="344" t="s">
        <v>5804</v>
      </c>
      <c r="B3624" s="345" t="s">
        <v>5805</v>
      </c>
    </row>
    <row r="3625" spans="1:2" ht="15.75" x14ac:dyDescent="0.25">
      <c r="A3625" s="344" t="s">
        <v>5806</v>
      </c>
      <c r="B3625" s="345" t="s">
        <v>5807</v>
      </c>
    </row>
    <row r="3626" spans="1:2" ht="15.75" x14ac:dyDescent="0.25">
      <c r="A3626" s="344" t="s">
        <v>5808</v>
      </c>
      <c r="B3626" s="345" t="s">
        <v>5809</v>
      </c>
    </row>
    <row r="3627" spans="1:2" ht="15.75" x14ac:dyDescent="0.25">
      <c r="A3627" s="344" t="s">
        <v>5810</v>
      </c>
      <c r="B3627" s="345" t="s">
        <v>2303</v>
      </c>
    </row>
    <row r="3628" spans="1:2" ht="15.75" x14ac:dyDescent="0.25">
      <c r="A3628" s="344" t="s">
        <v>5811</v>
      </c>
      <c r="B3628" s="345" t="s">
        <v>5812</v>
      </c>
    </row>
    <row r="3629" spans="1:2" ht="15.75" x14ac:dyDescent="0.25">
      <c r="A3629" s="344" t="s">
        <v>5813</v>
      </c>
      <c r="B3629" s="345" t="s">
        <v>5814</v>
      </c>
    </row>
    <row r="3630" spans="1:2" ht="15.75" x14ac:dyDescent="0.25">
      <c r="A3630" s="344" t="s">
        <v>5815</v>
      </c>
      <c r="B3630" s="345" t="s">
        <v>2304</v>
      </c>
    </row>
    <row r="3631" spans="1:2" ht="15.75" x14ac:dyDescent="0.25">
      <c r="A3631" s="344" t="s">
        <v>5816</v>
      </c>
      <c r="B3631" s="345" t="s">
        <v>5817</v>
      </c>
    </row>
    <row r="3632" spans="1:2" ht="15.75" x14ac:dyDescent="0.25">
      <c r="A3632" s="344" t="s">
        <v>5818</v>
      </c>
      <c r="B3632" s="345" t="s">
        <v>5819</v>
      </c>
    </row>
    <row r="3633" spans="1:2" ht="15.75" x14ac:dyDescent="0.25">
      <c r="A3633" s="344" t="s">
        <v>5820</v>
      </c>
      <c r="B3633" s="345" t="s">
        <v>2305</v>
      </c>
    </row>
    <row r="3634" spans="1:2" ht="15.75" x14ac:dyDescent="0.25">
      <c r="A3634" s="344" t="s">
        <v>5821</v>
      </c>
      <c r="B3634" s="345" t="s">
        <v>5822</v>
      </c>
    </row>
    <row r="3635" spans="1:2" ht="15.75" x14ac:dyDescent="0.25">
      <c r="A3635" s="344" t="s">
        <v>5823</v>
      </c>
      <c r="B3635" s="345" t="s">
        <v>5824</v>
      </c>
    </row>
    <row r="3636" spans="1:2" ht="15.75" x14ac:dyDescent="0.25">
      <c r="A3636" s="344" t="s">
        <v>5825</v>
      </c>
      <c r="B3636" s="345" t="s">
        <v>2306</v>
      </c>
    </row>
    <row r="3637" spans="1:2" ht="15.75" x14ac:dyDescent="0.25">
      <c r="A3637" s="344" t="s">
        <v>5826</v>
      </c>
      <c r="B3637" s="345" t="s">
        <v>5827</v>
      </c>
    </row>
    <row r="3638" spans="1:2" ht="15.75" x14ac:dyDescent="0.25">
      <c r="A3638" s="344" t="s">
        <v>5828</v>
      </c>
      <c r="B3638" s="345" t="s">
        <v>5829</v>
      </c>
    </row>
    <row r="3639" spans="1:2" ht="15.75" x14ac:dyDescent="0.25">
      <c r="A3639" s="344" t="s">
        <v>5830</v>
      </c>
      <c r="B3639" s="345" t="s">
        <v>2307</v>
      </c>
    </row>
    <row r="3640" spans="1:2" ht="15.75" x14ac:dyDescent="0.25">
      <c r="A3640" s="344" t="s">
        <v>5831</v>
      </c>
      <c r="B3640" s="345" t="s">
        <v>5832</v>
      </c>
    </row>
    <row r="3641" spans="1:2" ht="15.75" x14ac:dyDescent="0.25">
      <c r="A3641" s="344" t="s">
        <v>5833</v>
      </c>
      <c r="B3641" s="345" t="s">
        <v>5834</v>
      </c>
    </row>
    <row r="3642" spans="1:2" ht="15.75" x14ac:dyDescent="0.25">
      <c r="A3642" s="344" t="s">
        <v>5835</v>
      </c>
      <c r="B3642" s="345" t="s">
        <v>2308</v>
      </c>
    </row>
    <row r="3643" spans="1:2" ht="15.75" x14ac:dyDescent="0.25">
      <c r="A3643" s="344" t="s">
        <v>5836</v>
      </c>
      <c r="B3643" s="345" t="s">
        <v>5837</v>
      </c>
    </row>
    <row r="3644" spans="1:2" ht="15.75" x14ac:dyDescent="0.25">
      <c r="A3644" s="344" t="s">
        <v>5838</v>
      </c>
      <c r="B3644" s="345" t="s">
        <v>2309</v>
      </c>
    </row>
    <row r="3645" spans="1:2" ht="15.75" x14ac:dyDescent="0.25">
      <c r="A3645" s="344" t="s">
        <v>5839</v>
      </c>
      <c r="B3645" s="345" t="s">
        <v>5840</v>
      </c>
    </row>
    <row r="3646" spans="1:2" ht="15.75" x14ac:dyDescent="0.25">
      <c r="A3646" s="344" t="s">
        <v>5841</v>
      </c>
      <c r="B3646" s="345" t="s">
        <v>2310</v>
      </c>
    </row>
    <row r="3647" spans="1:2" ht="15.75" x14ac:dyDescent="0.25">
      <c r="A3647" s="344" t="s">
        <v>5842</v>
      </c>
      <c r="B3647" s="345" t="s">
        <v>5843</v>
      </c>
    </row>
    <row r="3648" spans="1:2" ht="15.75" x14ac:dyDescent="0.25">
      <c r="A3648" s="344" t="s">
        <v>5844</v>
      </c>
      <c r="B3648" s="345" t="s">
        <v>2311</v>
      </c>
    </row>
    <row r="3649" spans="1:2" ht="15.75" x14ac:dyDescent="0.25">
      <c r="A3649" s="344" t="s">
        <v>5845</v>
      </c>
      <c r="B3649" s="345" t="s">
        <v>5846</v>
      </c>
    </row>
    <row r="3650" spans="1:2" ht="15.75" x14ac:dyDescent="0.25">
      <c r="A3650" s="344" t="s">
        <v>5847</v>
      </c>
      <c r="B3650" s="345" t="s">
        <v>2312</v>
      </c>
    </row>
    <row r="3651" spans="1:2" ht="15.75" x14ac:dyDescent="0.25">
      <c r="A3651" s="344" t="s">
        <v>5848</v>
      </c>
      <c r="B3651" s="345" t="s">
        <v>5849</v>
      </c>
    </row>
    <row r="3652" spans="1:2" ht="15.75" x14ac:dyDescent="0.25">
      <c r="A3652" s="344" t="s">
        <v>5850</v>
      </c>
      <c r="B3652" s="345" t="s">
        <v>5851</v>
      </c>
    </row>
    <row r="3653" spans="1:2" ht="15.75" x14ac:dyDescent="0.25">
      <c r="A3653" s="344" t="s">
        <v>5852</v>
      </c>
      <c r="B3653" s="345" t="s">
        <v>5853</v>
      </c>
    </row>
    <row r="3654" spans="1:2" ht="15.75" x14ac:dyDescent="0.25">
      <c r="A3654" s="344" t="s">
        <v>5854</v>
      </c>
      <c r="B3654" s="345" t="s">
        <v>5855</v>
      </c>
    </row>
    <row r="3655" spans="1:2" ht="15.75" x14ac:dyDescent="0.25">
      <c r="A3655" s="344" t="s">
        <v>5856</v>
      </c>
      <c r="B3655" s="345" t="s">
        <v>5857</v>
      </c>
    </row>
    <row r="3656" spans="1:2" ht="15.75" x14ac:dyDescent="0.25">
      <c r="A3656" s="344" t="s">
        <v>5858</v>
      </c>
      <c r="B3656" s="345" t="s">
        <v>5859</v>
      </c>
    </row>
    <row r="3657" spans="1:2" ht="15.75" x14ac:dyDescent="0.25">
      <c r="A3657" s="344" t="s">
        <v>5860</v>
      </c>
      <c r="B3657" s="345" t="s">
        <v>5861</v>
      </c>
    </row>
    <row r="3658" spans="1:2" ht="15.75" x14ac:dyDescent="0.25">
      <c r="A3658" s="344" t="s">
        <v>5862</v>
      </c>
      <c r="B3658" s="345" t="s">
        <v>5863</v>
      </c>
    </row>
    <row r="3659" spans="1:2" ht="15.75" x14ac:dyDescent="0.25">
      <c r="A3659" s="344" t="s">
        <v>5864</v>
      </c>
      <c r="B3659" s="345" t="s">
        <v>2313</v>
      </c>
    </row>
    <row r="3660" spans="1:2" ht="15.75" x14ac:dyDescent="0.25">
      <c r="A3660" s="344" t="s">
        <v>5865</v>
      </c>
      <c r="B3660" s="345" t="s">
        <v>5866</v>
      </c>
    </row>
    <row r="3661" spans="1:2" ht="15.75" x14ac:dyDescent="0.25">
      <c r="A3661" s="344" t="s">
        <v>5867</v>
      </c>
      <c r="B3661" s="345" t="s">
        <v>5868</v>
      </c>
    </row>
    <row r="3662" spans="1:2" ht="15.75" x14ac:dyDescent="0.25">
      <c r="A3662" s="344" t="s">
        <v>5869</v>
      </c>
      <c r="B3662" s="345" t="s">
        <v>5870</v>
      </c>
    </row>
    <row r="3663" spans="1:2" ht="15.75" x14ac:dyDescent="0.25">
      <c r="A3663" s="344" t="s">
        <v>5871</v>
      </c>
      <c r="B3663" s="345" t="s">
        <v>2314</v>
      </c>
    </row>
    <row r="3664" spans="1:2" ht="15.75" x14ac:dyDescent="0.25">
      <c r="A3664" s="344" t="s">
        <v>5872</v>
      </c>
      <c r="B3664" s="345" t="s">
        <v>5873</v>
      </c>
    </row>
    <row r="3665" spans="1:2" ht="15.75" x14ac:dyDescent="0.25">
      <c r="A3665" s="344" t="s">
        <v>5874</v>
      </c>
      <c r="B3665" s="345" t="s">
        <v>5875</v>
      </c>
    </row>
    <row r="3666" spans="1:2" ht="15.75" x14ac:dyDescent="0.25">
      <c r="A3666" s="344" t="s">
        <v>5876</v>
      </c>
      <c r="B3666" s="345" t="s">
        <v>5877</v>
      </c>
    </row>
    <row r="3667" spans="1:2" ht="15.75" x14ac:dyDescent="0.25">
      <c r="A3667" s="344" t="s">
        <v>5878</v>
      </c>
      <c r="B3667" s="345" t="s">
        <v>5879</v>
      </c>
    </row>
    <row r="3668" spans="1:2" ht="15.75" x14ac:dyDescent="0.25">
      <c r="A3668" s="344" t="s">
        <v>5880</v>
      </c>
      <c r="B3668" s="345" t="s">
        <v>5881</v>
      </c>
    </row>
    <row r="3669" spans="1:2" ht="15.75" x14ac:dyDescent="0.25">
      <c r="A3669" s="344" t="s">
        <v>5882</v>
      </c>
      <c r="B3669" s="345" t="s">
        <v>2315</v>
      </c>
    </row>
    <row r="3670" spans="1:2" ht="15.75" x14ac:dyDescent="0.25">
      <c r="A3670" s="344" t="s">
        <v>5883</v>
      </c>
      <c r="B3670" s="345" t="s">
        <v>5884</v>
      </c>
    </row>
    <row r="3671" spans="1:2" ht="15.75" x14ac:dyDescent="0.25">
      <c r="A3671" s="344" t="s">
        <v>5885</v>
      </c>
      <c r="B3671" s="345" t="s">
        <v>2316</v>
      </c>
    </row>
    <row r="3672" spans="1:2" ht="15.75" x14ac:dyDescent="0.25">
      <c r="A3672" s="344" t="s">
        <v>5886</v>
      </c>
      <c r="B3672" s="345" t="s">
        <v>5887</v>
      </c>
    </row>
    <row r="3673" spans="1:2" ht="15.75" x14ac:dyDescent="0.25">
      <c r="A3673" s="344" t="s">
        <v>5888</v>
      </c>
      <c r="B3673" s="345" t="s">
        <v>5889</v>
      </c>
    </row>
    <row r="3674" spans="1:2" ht="15.75" x14ac:dyDescent="0.25">
      <c r="A3674" s="344" t="s">
        <v>5890</v>
      </c>
      <c r="B3674" s="345" t="s">
        <v>5891</v>
      </c>
    </row>
    <row r="3675" spans="1:2" ht="15.75" x14ac:dyDescent="0.25">
      <c r="A3675" s="344" t="s">
        <v>1840</v>
      </c>
      <c r="B3675" s="345" t="s">
        <v>2317</v>
      </c>
    </row>
    <row r="3676" spans="1:2" ht="15.75" x14ac:dyDescent="0.25">
      <c r="A3676" s="344" t="s">
        <v>5892</v>
      </c>
      <c r="B3676" s="345" t="s">
        <v>5893</v>
      </c>
    </row>
    <row r="3677" spans="1:2" ht="15.75" x14ac:dyDescent="0.25">
      <c r="A3677" s="344" t="s">
        <v>5894</v>
      </c>
      <c r="B3677" s="345" t="s">
        <v>5895</v>
      </c>
    </row>
    <row r="3678" spans="1:2" ht="15.75" x14ac:dyDescent="0.25">
      <c r="A3678" s="344" t="s">
        <v>5896</v>
      </c>
      <c r="B3678" s="345" t="s">
        <v>2318</v>
      </c>
    </row>
    <row r="3679" spans="1:2" ht="15.75" x14ac:dyDescent="0.25">
      <c r="A3679" s="344" t="s">
        <v>5897</v>
      </c>
      <c r="B3679" s="345" t="s">
        <v>5898</v>
      </c>
    </row>
    <row r="3680" spans="1:2" ht="15.75" x14ac:dyDescent="0.25">
      <c r="A3680" s="344" t="s">
        <v>5899</v>
      </c>
      <c r="B3680" s="345" t="s">
        <v>5900</v>
      </c>
    </row>
    <row r="3681" spans="1:2" ht="15.75" x14ac:dyDescent="0.25">
      <c r="A3681" s="344" t="s">
        <v>5901</v>
      </c>
      <c r="B3681" s="345" t="s">
        <v>5902</v>
      </c>
    </row>
    <row r="3682" spans="1:2" ht="15.75" x14ac:dyDescent="0.25">
      <c r="A3682" s="344" t="s">
        <v>5903</v>
      </c>
      <c r="B3682" s="345" t="s">
        <v>2319</v>
      </c>
    </row>
    <row r="3683" spans="1:2" ht="15.75" x14ac:dyDescent="0.25">
      <c r="A3683" s="344" t="s">
        <v>5904</v>
      </c>
      <c r="B3683" s="345" t="s">
        <v>5905</v>
      </c>
    </row>
    <row r="3684" spans="1:2" ht="15.75" x14ac:dyDescent="0.25">
      <c r="A3684" s="344" t="s">
        <v>5906</v>
      </c>
      <c r="B3684" s="345" t="s">
        <v>5907</v>
      </c>
    </row>
    <row r="3685" spans="1:2" ht="15.75" x14ac:dyDescent="0.25">
      <c r="A3685" s="344" t="s">
        <v>5908</v>
      </c>
      <c r="B3685" s="345" t="s">
        <v>2320</v>
      </c>
    </row>
    <row r="3686" spans="1:2" ht="15.75" x14ac:dyDescent="0.25">
      <c r="A3686" s="344" t="s">
        <v>5909</v>
      </c>
      <c r="B3686" s="345" t="s">
        <v>5910</v>
      </c>
    </row>
    <row r="3687" spans="1:2" ht="15.75" x14ac:dyDescent="0.25">
      <c r="A3687" s="344" t="s">
        <v>5911</v>
      </c>
      <c r="B3687" s="345" t="s">
        <v>2321</v>
      </c>
    </row>
    <row r="3688" spans="1:2" ht="15.75" x14ac:dyDescent="0.25">
      <c r="A3688" s="344" t="s">
        <v>5912</v>
      </c>
      <c r="B3688" s="345" t="s">
        <v>5913</v>
      </c>
    </row>
    <row r="3689" spans="1:2" ht="15.75" x14ac:dyDescent="0.25">
      <c r="A3689" s="344" t="s">
        <v>5914</v>
      </c>
      <c r="B3689" s="345" t="s">
        <v>5915</v>
      </c>
    </row>
    <row r="3690" spans="1:2" ht="15.75" x14ac:dyDescent="0.25">
      <c r="A3690" s="344" t="s">
        <v>5916</v>
      </c>
      <c r="B3690" s="345" t="s">
        <v>2322</v>
      </c>
    </row>
    <row r="3691" spans="1:2" ht="15.75" x14ac:dyDescent="0.25">
      <c r="A3691" s="344" t="s">
        <v>5917</v>
      </c>
      <c r="B3691" s="345" t="s">
        <v>5918</v>
      </c>
    </row>
    <row r="3692" spans="1:2" ht="15.75" x14ac:dyDescent="0.25">
      <c r="A3692" s="344" t="s">
        <v>5919</v>
      </c>
      <c r="B3692" s="345" t="s">
        <v>5920</v>
      </c>
    </row>
    <row r="3693" spans="1:2" ht="15.75" x14ac:dyDescent="0.25">
      <c r="A3693" s="344" t="s">
        <v>5921</v>
      </c>
      <c r="B3693" s="345" t="s">
        <v>2323</v>
      </c>
    </row>
    <row r="3694" spans="1:2" ht="15.75" x14ac:dyDescent="0.25">
      <c r="A3694" s="344" t="s">
        <v>5922</v>
      </c>
      <c r="B3694" s="345" t="s">
        <v>5923</v>
      </c>
    </row>
    <row r="3695" spans="1:2" ht="15.75" x14ac:dyDescent="0.25">
      <c r="A3695" s="344" t="s">
        <v>1841</v>
      </c>
      <c r="B3695" s="345" t="s">
        <v>2324</v>
      </c>
    </row>
    <row r="3696" spans="1:2" ht="15.75" x14ac:dyDescent="0.25">
      <c r="A3696" s="344" t="s">
        <v>5924</v>
      </c>
      <c r="B3696" s="345" t="s">
        <v>2325</v>
      </c>
    </row>
    <row r="3697" spans="1:2" ht="15.75" x14ac:dyDescent="0.25">
      <c r="A3697" s="344" t="s">
        <v>5925</v>
      </c>
      <c r="B3697" s="345" t="s">
        <v>2326</v>
      </c>
    </row>
    <row r="3698" spans="1:2" ht="15.75" x14ac:dyDescent="0.25">
      <c r="A3698" s="344" t="s">
        <v>5926</v>
      </c>
      <c r="B3698" s="345" t="s">
        <v>2327</v>
      </c>
    </row>
    <row r="3699" spans="1:2" ht="15.75" x14ac:dyDescent="0.25">
      <c r="A3699" s="344" t="s">
        <v>5927</v>
      </c>
      <c r="B3699" s="345" t="s">
        <v>5928</v>
      </c>
    </row>
    <row r="3700" spans="1:2" ht="15.75" x14ac:dyDescent="0.25">
      <c r="A3700" s="344" t="s">
        <v>5929</v>
      </c>
      <c r="B3700" s="345" t="s">
        <v>2328</v>
      </c>
    </row>
    <row r="3701" spans="1:2" ht="15.75" x14ac:dyDescent="0.25">
      <c r="A3701" s="344" t="s">
        <v>5930</v>
      </c>
      <c r="B3701" s="345" t="s">
        <v>2329</v>
      </c>
    </row>
    <row r="3702" spans="1:2" ht="15.75" x14ac:dyDescent="0.25">
      <c r="A3702" s="344" t="s">
        <v>5931</v>
      </c>
      <c r="B3702" s="345" t="s">
        <v>5932</v>
      </c>
    </row>
    <row r="3703" spans="1:2" ht="15.75" x14ac:dyDescent="0.25">
      <c r="A3703" s="344" t="s">
        <v>5933</v>
      </c>
      <c r="B3703" s="345" t="s">
        <v>2330</v>
      </c>
    </row>
    <row r="3704" spans="1:2" ht="15.75" x14ac:dyDescent="0.25">
      <c r="A3704" s="344" t="s">
        <v>5934</v>
      </c>
      <c r="B3704" s="345" t="s">
        <v>2331</v>
      </c>
    </row>
    <row r="3705" spans="1:2" ht="15.75" x14ac:dyDescent="0.25">
      <c r="A3705" s="344" t="s">
        <v>5935</v>
      </c>
      <c r="B3705" s="345" t="s">
        <v>5936</v>
      </c>
    </row>
    <row r="3706" spans="1:2" ht="15.75" x14ac:dyDescent="0.25">
      <c r="A3706" s="344" t="s">
        <v>5937</v>
      </c>
      <c r="B3706" s="345" t="s">
        <v>5938</v>
      </c>
    </row>
    <row r="3707" spans="1:2" ht="15.75" x14ac:dyDescent="0.25">
      <c r="A3707" s="344" t="s">
        <v>5939</v>
      </c>
      <c r="B3707" s="345" t="s">
        <v>2332</v>
      </c>
    </row>
    <row r="3708" spans="1:2" ht="15.75" x14ac:dyDescent="0.25">
      <c r="A3708" s="344" t="s">
        <v>5940</v>
      </c>
      <c r="B3708" s="345" t="s">
        <v>5941</v>
      </c>
    </row>
    <row r="3709" spans="1:2" ht="15.75" x14ac:dyDescent="0.25">
      <c r="A3709" s="344" t="s">
        <v>5942</v>
      </c>
      <c r="B3709" s="345" t="s">
        <v>5943</v>
      </c>
    </row>
    <row r="3710" spans="1:2" ht="15.75" x14ac:dyDescent="0.25">
      <c r="A3710" s="344" t="s">
        <v>5944</v>
      </c>
      <c r="B3710" s="345" t="s">
        <v>2333</v>
      </c>
    </row>
    <row r="3711" spans="1:2" ht="15.75" x14ac:dyDescent="0.25">
      <c r="A3711" s="344" t="s">
        <v>5945</v>
      </c>
      <c r="B3711" s="345" t="s">
        <v>5946</v>
      </c>
    </row>
    <row r="3712" spans="1:2" ht="15.75" x14ac:dyDescent="0.25">
      <c r="A3712" s="344" t="s">
        <v>5947</v>
      </c>
      <c r="B3712" s="345" t="s">
        <v>2334</v>
      </c>
    </row>
    <row r="3713" spans="1:2" ht="15.75" x14ac:dyDescent="0.25">
      <c r="A3713" s="344" t="s">
        <v>5948</v>
      </c>
      <c r="B3713" s="345" t="s">
        <v>2335</v>
      </c>
    </row>
    <row r="3714" spans="1:2" ht="15.75" x14ac:dyDescent="0.25">
      <c r="A3714" s="344" t="s">
        <v>5949</v>
      </c>
      <c r="B3714" s="345" t="s">
        <v>5950</v>
      </c>
    </row>
    <row r="3715" spans="1:2" ht="15.75" x14ac:dyDescent="0.25">
      <c r="A3715" s="344" t="s">
        <v>5951</v>
      </c>
      <c r="B3715" s="345" t="s">
        <v>5952</v>
      </c>
    </row>
    <row r="3716" spans="1:2" ht="15.75" x14ac:dyDescent="0.25">
      <c r="A3716" s="344" t="s">
        <v>5953</v>
      </c>
      <c r="B3716" s="345" t="s">
        <v>5954</v>
      </c>
    </row>
    <row r="3717" spans="1:2" ht="15.75" x14ac:dyDescent="0.25">
      <c r="A3717" s="344" t="s">
        <v>5955</v>
      </c>
      <c r="B3717" s="345" t="s">
        <v>5956</v>
      </c>
    </row>
    <row r="3718" spans="1:2" ht="15.75" x14ac:dyDescent="0.25">
      <c r="A3718" s="344" t="s">
        <v>5957</v>
      </c>
      <c r="B3718" s="345" t="s">
        <v>2336</v>
      </c>
    </row>
    <row r="3719" spans="1:2" ht="15.75" x14ac:dyDescent="0.25">
      <c r="A3719" s="344" t="s">
        <v>5958</v>
      </c>
      <c r="B3719" s="345" t="s">
        <v>2337</v>
      </c>
    </row>
    <row r="3720" spans="1:2" ht="15.75" x14ac:dyDescent="0.25">
      <c r="A3720" s="344" t="s">
        <v>5959</v>
      </c>
      <c r="B3720" s="345" t="s">
        <v>5960</v>
      </c>
    </row>
    <row r="3721" spans="1:2" ht="15.75" x14ac:dyDescent="0.25">
      <c r="A3721" s="344" t="s">
        <v>5961</v>
      </c>
      <c r="B3721" s="345" t="s">
        <v>5962</v>
      </c>
    </row>
    <row r="3722" spans="1:2" ht="15.75" x14ac:dyDescent="0.25">
      <c r="A3722" s="344" t="s">
        <v>5963</v>
      </c>
      <c r="B3722" s="345" t="s">
        <v>5964</v>
      </c>
    </row>
    <row r="3723" spans="1:2" ht="15.75" x14ac:dyDescent="0.25">
      <c r="A3723" s="344" t="s">
        <v>5965</v>
      </c>
      <c r="B3723" s="345" t="s">
        <v>5966</v>
      </c>
    </row>
    <row r="3724" spans="1:2" ht="15.75" x14ac:dyDescent="0.25">
      <c r="A3724" s="344" t="s">
        <v>5967</v>
      </c>
      <c r="B3724" s="345" t="s">
        <v>5968</v>
      </c>
    </row>
    <row r="3725" spans="1:2" ht="15.75" x14ac:dyDescent="0.25">
      <c r="A3725" s="344" t="s">
        <v>5969</v>
      </c>
      <c r="B3725" s="345" t="s">
        <v>5970</v>
      </c>
    </row>
    <row r="3726" spans="1:2" ht="15.75" x14ac:dyDescent="0.25">
      <c r="A3726" s="344" t="s">
        <v>5971</v>
      </c>
      <c r="B3726" s="345" t="s">
        <v>5972</v>
      </c>
    </row>
    <row r="3727" spans="1:2" ht="15.75" x14ac:dyDescent="0.25">
      <c r="A3727" s="344" t="s">
        <v>5973</v>
      </c>
      <c r="B3727" s="345" t="s">
        <v>5974</v>
      </c>
    </row>
    <row r="3728" spans="1:2" ht="15.75" x14ac:dyDescent="0.25">
      <c r="A3728" s="344" t="s">
        <v>5975</v>
      </c>
      <c r="B3728" s="345" t="s">
        <v>5976</v>
      </c>
    </row>
    <row r="3729" spans="1:2" ht="15.75" x14ac:dyDescent="0.25">
      <c r="A3729" s="344" t="s">
        <v>5977</v>
      </c>
      <c r="B3729" s="345" t="s">
        <v>5978</v>
      </c>
    </row>
    <row r="3730" spans="1:2" ht="15.75" x14ac:dyDescent="0.25">
      <c r="A3730" s="344" t="s">
        <v>5979</v>
      </c>
      <c r="B3730" s="345" t="s">
        <v>5980</v>
      </c>
    </row>
    <row r="3731" spans="1:2" ht="15.75" x14ac:dyDescent="0.25">
      <c r="A3731" s="344" t="s">
        <v>5981</v>
      </c>
      <c r="B3731" s="345" t="s">
        <v>5982</v>
      </c>
    </row>
    <row r="3732" spans="1:2" ht="15.75" x14ac:dyDescent="0.25">
      <c r="A3732" s="344" t="s">
        <v>5983</v>
      </c>
      <c r="B3732" s="345" t="s">
        <v>5984</v>
      </c>
    </row>
    <row r="3733" spans="1:2" ht="15.75" x14ac:dyDescent="0.25">
      <c r="A3733" s="344" t="s">
        <v>5985</v>
      </c>
      <c r="B3733" s="345" t="s">
        <v>2338</v>
      </c>
    </row>
    <row r="3734" spans="1:2" ht="15.75" x14ac:dyDescent="0.25">
      <c r="A3734" s="344" t="s">
        <v>5986</v>
      </c>
      <c r="B3734" s="345" t="s">
        <v>5987</v>
      </c>
    </row>
    <row r="3735" spans="1:2" ht="15.75" x14ac:dyDescent="0.25">
      <c r="A3735" s="344" t="s">
        <v>5988</v>
      </c>
      <c r="B3735" s="345" t="s">
        <v>2339</v>
      </c>
    </row>
    <row r="3736" spans="1:2" ht="15.75" x14ac:dyDescent="0.25">
      <c r="A3736" s="344" t="s">
        <v>5989</v>
      </c>
      <c r="B3736" s="345" t="s">
        <v>5990</v>
      </c>
    </row>
    <row r="3737" spans="1:2" ht="15.75" x14ac:dyDescent="0.25">
      <c r="A3737" s="344" t="s">
        <v>5991</v>
      </c>
      <c r="B3737" s="345" t="s">
        <v>5992</v>
      </c>
    </row>
    <row r="3738" spans="1:2" ht="15.75" x14ac:dyDescent="0.25">
      <c r="A3738" s="344" t="s">
        <v>5993</v>
      </c>
      <c r="B3738" s="345" t="s">
        <v>5994</v>
      </c>
    </row>
    <row r="3739" spans="1:2" ht="15.75" x14ac:dyDescent="0.25">
      <c r="A3739" s="344" t="s">
        <v>5995</v>
      </c>
      <c r="B3739" s="345" t="s">
        <v>5996</v>
      </c>
    </row>
    <row r="3740" spans="1:2" ht="15.75" x14ac:dyDescent="0.25">
      <c r="A3740" s="344" t="s">
        <v>5997</v>
      </c>
      <c r="B3740" s="345" t="s">
        <v>5998</v>
      </c>
    </row>
    <row r="3741" spans="1:2" ht="15.75" x14ac:dyDescent="0.25">
      <c r="A3741" s="344" t="s">
        <v>5999</v>
      </c>
      <c r="B3741" s="345" t="s">
        <v>6000</v>
      </c>
    </row>
    <row r="3742" spans="1:2" ht="15.75" x14ac:dyDescent="0.25">
      <c r="A3742" s="344" t="s">
        <v>6001</v>
      </c>
      <c r="B3742" s="345" t="s">
        <v>2340</v>
      </c>
    </row>
    <row r="3743" spans="1:2" ht="15.75" x14ac:dyDescent="0.25">
      <c r="A3743" s="344" t="s">
        <v>1842</v>
      </c>
      <c r="B3743" s="345" t="s">
        <v>2340</v>
      </c>
    </row>
    <row r="3744" spans="1:2" ht="15.75" x14ac:dyDescent="0.25">
      <c r="A3744" s="344" t="s">
        <v>1843</v>
      </c>
      <c r="B3744" s="345" t="s">
        <v>6002</v>
      </c>
    </row>
    <row r="3745" spans="1:2" ht="15.75" x14ac:dyDescent="0.25">
      <c r="A3745" s="344" t="s">
        <v>1844</v>
      </c>
      <c r="B3745" s="345" t="s">
        <v>6003</v>
      </c>
    </row>
    <row r="3746" spans="1:2" ht="15.75" x14ac:dyDescent="0.25">
      <c r="A3746" s="344" t="s">
        <v>1845</v>
      </c>
      <c r="B3746" s="345" t="s">
        <v>6004</v>
      </c>
    </row>
    <row r="3747" spans="1:2" ht="15.75" x14ac:dyDescent="0.25">
      <c r="A3747" s="344" t="s">
        <v>1846</v>
      </c>
      <c r="B3747" s="345" t="s">
        <v>6005</v>
      </c>
    </row>
    <row r="3748" spans="1:2" ht="15.75" x14ac:dyDescent="0.25">
      <c r="A3748" s="344" t="s">
        <v>1847</v>
      </c>
      <c r="B3748" s="345" t="s">
        <v>6006</v>
      </c>
    </row>
    <row r="3749" spans="1:2" ht="15.75" x14ac:dyDescent="0.25">
      <c r="A3749" s="344" t="s">
        <v>1848</v>
      </c>
      <c r="B3749" s="345" t="s">
        <v>6007</v>
      </c>
    </row>
    <row r="3750" spans="1:2" ht="15.75" x14ac:dyDescent="0.25">
      <c r="A3750" s="344" t="s">
        <v>1849</v>
      </c>
      <c r="B3750" s="345" t="s">
        <v>6008</v>
      </c>
    </row>
    <row r="3751" spans="1:2" ht="15.75" x14ac:dyDescent="0.25">
      <c r="A3751" s="344" t="s">
        <v>1850</v>
      </c>
      <c r="B3751" s="345" t="s">
        <v>6009</v>
      </c>
    </row>
    <row r="3752" spans="1:2" ht="15.75" x14ac:dyDescent="0.25">
      <c r="A3752" s="344" t="s">
        <v>1851</v>
      </c>
      <c r="B3752" s="345" t="s">
        <v>6010</v>
      </c>
    </row>
    <row r="3753" spans="1:2" ht="15.75" x14ac:dyDescent="0.25">
      <c r="A3753" s="344" t="s">
        <v>6011</v>
      </c>
      <c r="B3753" s="345" t="s">
        <v>6012</v>
      </c>
    </row>
    <row r="3754" spans="1:2" ht="15.75" x14ac:dyDescent="0.25">
      <c r="A3754" s="344" t="s">
        <v>6013</v>
      </c>
      <c r="B3754" s="345" t="s">
        <v>2341</v>
      </c>
    </row>
    <row r="3755" spans="1:2" ht="15.75" x14ac:dyDescent="0.25">
      <c r="A3755" s="344" t="s">
        <v>6014</v>
      </c>
      <c r="B3755" s="345" t="s">
        <v>6015</v>
      </c>
    </row>
    <row r="3756" spans="1:2" ht="15.75" x14ac:dyDescent="0.25">
      <c r="A3756" s="344" t="s">
        <v>6016</v>
      </c>
      <c r="B3756" s="345" t="s">
        <v>2342</v>
      </c>
    </row>
    <row r="3757" spans="1:2" ht="15.75" x14ac:dyDescent="0.25">
      <c r="A3757" s="344" t="s">
        <v>6017</v>
      </c>
      <c r="B3757" s="345" t="s">
        <v>6018</v>
      </c>
    </row>
    <row r="3758" spans="1:2" ht="15.75" x14ac:dyDescent="0.25">
      <c r="A3758" s="344" t="s">
        <v>6019</v>
      </c>
      <c r="B3758" s="345" t="s">
        <v>2343</v>
      </c>
    </row>
    <row r="3759" spans="1:2" ht="15.75" x14ac:dyDescent="0.25">
      <c r="A3759" s="344" t="s">
        <v>6020</v>
      </c>
      <c r="B3759" s="345" t="s">
        <v>6021</v>
      </c>
    </row>
    <row r="3760" spans="1:2" ht="15.75" x14ac:dyDescent="0.25">
      <c r="A3760" s="344" t="s">
        <v>6022</v>
      </c>
      <c r="B3760" s="345" t="s">
        <v>6023</v>
      </c>
    </row>
    <row r="3761" spans="1:2" ht="15.75" x14ac:dyDescent="0.25">
      <c r="A3761" s="344" t="s">
        <v>6024</v>
      </c>
      <c r="B3761" s="345" t="s">
        <v>6025</v>
      </c>
    </row>
    <row r="3762" spans="1:2" ht="15.75" x14ac:dyDescent="0.25">
      <c r="A3762" s="344" t="s">
        <v>6026</v>
      </c>
      <c r="B3762" s="345" t="s">
        <v>6027</v>
      </c>
    </row>
    <row r="3763" spans="1:2" ht="15.75" x14ac:dyDescent="0.25">
      <c r="A3763" s="344" t="s">
        <v>6028</v>
      </c>
      <c r="B3763" s="345" t="s">
        <v>6029</v>
      </c>
    </row>
    <row r="3764" spans="1:2" ht="15.75" x14ac:dyDescent="0.25">
      <c r="A3764" s="344" t="s">
        <v>6030</v>
      </c>
      <c r="B3764" s="345" t="s">
        <v>6031</v>
      </c>
    </row>
    <row r="3765" spans="1:2" ht="15.75" x14ac:dyDescent="0.25">
      <c r="A3765" s="344" t="s">
        <v>6032</v>
      </c>
      <c r="B3765" s="345" t="s">
        <v>6033</v>
      </c>
    </row>
    <row r="3766" spans="1:2" ht="15.75" x14ac:dyDescent="0.25">
      <c r="A3766" s="344" t="s">
        <v>6034</v>
      </c>
      <c r="B3766" s="345" t="s">
        <v>6035</v>
      </c>
    </row>
    <row r="3767" spans="1:2" ht="15.75" x14ac:dyDescent="0.25">
      <c r="A3767" s="344" t="s">
        <v>6036</v>
      </c>
      <c r="B3767" s="345" t="s">
        <v>6037</v>
      </c>
    </row>
    <row r="3768" spans="1:2" ht="15.75" x14ac:dyDescent="0.25">
      <c r="A3768" s="344" t="s">
        <v>6038</v>
      </c>
      <c r="B3768" s="345" t="s">
        <v>6039</v>
      </c>
    </row>
    <row r="3769" spans="1:2" ht="15.75" x14ac:dyDescent="0.25">
      <c r="A3769" s="344" t="s">
        <v>6040</v>
      </c>
      <c r="B3769" s="345" t="s">
        <v>2344</v>
      </c>
    </row>
    <row r="3770" spans="1:2" ht="15.75" x14ac:dyDescent="0.25">
      <c r="A3770" s="344" t="s">
        <v>6041</v>
      </c>
      <c r="B3770" s="345" t="s">
        <v>6042</v>
      </c>
    </row>
    <row r="3771" spans="1:2" ht="15.75" x14ac:dyDescent="0.25">
      <c r="A3771" s="344" t="s">
        <v>6043</v>
      </c>
      <c r="B3771" s="345" t="s">
        <v>6044</v>
      </c>
    </row>
    <row r="3772" spans="1:2" ht="15.75" x14ac:dyDescent="0.25">
      <c r="A3772" s="344" t="s">
        <v>6045</v>
      </c>
      <c r="B3772" s="345" t="s">
        <v>6046</v>
      </c>
    </row>
    <row r="3773" spans="1:2" ht="15.75" x14ac:dyDescent="0.25">
      <c r="A3773" s="344" t="s">
        <v>6047</v>
      </c>
      <c r="B3773" s="345" t="s">
        <v>6048</v>
      </c>
    </row>
    <row r="3774" spans="1:2" ht="15.75" x14ac:dyDescent="0.25">
      <c r="A3774" s="344" t="s">
        <v>6049</v>
      </c>
      <c r="B3774" s="345" t="s">
        <v>6050</v>
      </c>
    </row>
    <row r="3775" spans="1:2" ht="15.75" x14ac:dyDescent="0.25">
      <c r="A3775" s="344" t="s">
        <v>6051</v>
      </c>
      <c r="B3775" s="345" t="s">
        <v>6052</v>
      </c>
    </row>
    <row r="3776" spans="1:2" ht="15.75" x14ac:dyDescent="0.25">
      <c r="A3776" s="344" t="s">
        <v>6053</v>
      </c>
      <c r="B3776" s="345" t="s">
        <v>6054</v>
      </c>
    </row>
    <row r="3777" spans="1:2" ht="15.75" x14ac:dyDescent="0.25">
      <c r="A3777" s="344" t="s">
        <v>6055</v>
      </c>
      <c r="B3777" s="345" t="s">
        <v>6056</v>
      </c>
    </row>
    <row r="3778" spans="1:2" ht="15.75" x14ac:dyDescent="0.25">
      <c r="A3778" s="344" t="s">
        <v>6057</v>
      </c>
      <c r="B3778" s="345" t="s">
        <v>6058</v>
      </c>
    </row>
    <row r="3779" spans="1:2" ht="15.75" x14ac:dyDescent="0.25">
      <c r="A3779" s="344" t="s">
        <v>6059</v>
      </c>
      <c r="B3779" s="345" t="s">
        <v>2344</v>
      </c>
    </row>
    <row r="3780" spans="1:2" ht="15.75" x14ac:dyDescent="0.25">
      <c r="A3780" s="344" t="s">
        <v>6060</v>
      </c>
      <c r="B3780" s="345" t="s">
        <v>6061</v>
      </c>
    </row>
    <row r="3781" spans="1:2" ht="15.75" x14ac:dyDescent="0.25">
      <c r="A3781" s="344" t="s">
        <v>6062</v>
      </c>
      <c r="B3781" s="345" t="s">
        <v>6063</v>
      </c>
    </row>
    <row r="3782" spans="1:2" ht="15.75" x14ac:dyDescent="0.25">
      <c r="A3782" s="344" t="s">
        <v>6064</v>
      </c>
      <c r="B3782" s="345" t="s">
        <v>6065</v>
      </c>
    </row>
    <row r="3783" spans="1:2" ht="15.75" x14ac:dyDescent="0.25">
      <c r="A3783" s="344" t="s">
        <v>6066</v>
      </c>
      <c r="B3783" s="345" t="s">
        <v>6067</v>
      </c>
    </row>
    <row r="3784" spans="1:2" ht="15.75" x14ac:dyDescent="0.25">
      <c r="A3784" s="344" t="s">
        <v>6068</v>
      </c>
      <c r="B3784" s="345" t="s">
        <v>6069</v>
      </c>
    </row>
    <row r="3785" spans="1:2" ht="15.75" x14ac:dyDescent="0.25">
      <c r="A3785" s="344" t="s">
        <v>6070</v>
      </c>
      <c r="B3785" s="345" t="s">
        <v>6071</v>
      </c>
    </row>
    <row r="3786" spans="1:2" ht="15.75" x14ac:dyDescent="0.25">
      <c r="A3786" s="344" t="s">
        <v>6072</v>
      </c>
      <c r="B3786" s="345" t="s">
        <v>6073</v>
      </c>
    </row>
    <row r="3787" spans="1:2" ht="15.75" x14ac:dyDescent="0.25">
      <c r="A3787" s="344" t="s">
        <v>6074</v>
      </c>
      <c r="B3787" s="345" t="s">
        <v>6075</v>
      </c>
    </row>
    <row r="3788" spans="1:2" ht="15.75" x14ac:dyDescent="0.25">
      <c r="A3788" s="344" t="s">
        <v>6076</v>
      </c>
      <c r="B3788" s="345" t="s">
        <v>6077</v>
      </c>
    </row>
    <row r="3789" spans="1:2" ht="15.75" x14ac:dyDescent="0.25">
      <c r="A3789" s="344" t="s">
        <v>6078</v>
      </c>
      <c r="B3789" s="345" t="s">
        <v>6079</v>
      </c>
    </row>
    <row r="3790" spans="1:2" ht="15.75" x14ac:dyDescent="0.25">
      <c r="A3790" s="344" t="s">
        <v>6080</v>
      </c>
      <c r="B3790" s="345" t="s">
        <v>2345</v>
      </c>
    </row>
    <row r="3791" spans="1:2" ht="15.75" x14ac:dyDescent="0.25">
      <c r="A3791" s="344" t="s">
        <v>6081</v>
      </c>
      <c r="B3791" s="345" t="s">
        <v>6082</v>
      </c>
    </row>
    <row r="3792" spans="1:2" ht="15.75" x14ac:dyDescent="0.25">
      <c r="A3792" s="344" t="s">
        <v>6083</v>
      </c>
      <c r="B3792" s="345" t="s">
        <v>6084</v>
      </c>
    </row>
    <row r="3793" spans="1:2" ht="15.75" x14ac:dyDescent="0.25">
      <c r="A3793" s="344" t="s">
        <v>6085</v>
      </c>
      <c r="B3793" s="345" t="s">
        <v>6086</v>
      </c>
    </row>
    <row r="3794" spans="1:2" ht="15.75" x14ac:dyDescent="0.25">
      <c r="A3794" s="344" t="s">
        <v>6087</v>
      </c>
      <c r="B3794" s="345" t="s">
        <v>6088</v>
      </c>
    </row>
    <row r="3795" spans="1:2" ht="15.75" x14ac:dyDescent="0.25">
      <c r="A3795" s="344" t="s">
        <v>6089</v>
      </c>
      <c r="B3795" s="345" t="s">
        <v>6090</v>
      </c>
    </row>
    <row r="3796" spans="1:2" ht="15.75" x14ac:dyDescent="0.25">
      <c r="A3796" s="344" t="s">
        <v>6091</v>
      </c>
      <c r="B3796" s="345" t="s">
        <v>6092</v>
      </c>
    </row>
    <row r="3797" spans="1:2" ht="15.75" x14ac:dyDescent="0.25">
      <c r="A3797" s="344" t="s">
        <v>6093</v>
      </c>
      <c r="B3797" s="345" t="s">
        <v>6094</v>
      </c>
    </row>
    <row r="3798" spans="1:2" ht="15.75" x14ac:dyDescent="0.25">
      <c r="A3798" s="344" t="s">
        <v>6095</v>
      </c>
      <c r="B3798" s="345" t="s">
        <v>6096</v>
      </c>
    </row>
    <row r="3799" spans="1:2" ht="15.75" x14ac:dyDescent="0.25">
      <c r="A3799" s="344" t="s">
        <v>6097</v>
      </c>
      <c r="B3799" s="345" t="s">
        <v>6098</v>
      </c>
    </row>
    <row r="3800" spans="1:2" ht="15.75" x14ac:dyDescent="0.25">
      <c r="A3800" s="344" t="s">
        <v>6099</v>
      </c>
      <c r="B3800" s="345" t="s">
        <v>6100</v>
      </c>
    </row>
    <row r="3801" spans="1:2" ht="15.75" x14ac:dyDescent="0.25">
      <c r="A3801" s="344" t="s">
        <v>6101</v>
      </c>
      <c r="B3801" s="345" t="s">
        <v>6102</v>
      </c>
    </row>
    <row r="3802" spans="1:2" ht="15.75" x14ac:dyDescent="0.25">
      <c r="A3802" s="344" t="s">
        <v>6103</v>
      </c>
      <c r="B3802" s="345" t="s">
        <v>6104</v>
      </c>
    </row>
    <row r="3803" spans="1:2" ht="15.75" x14ac:dyDescent="0.25">
      <c r="A3803" s="344" t="s">
        <v>6105</v>
      </c>
      <c r="B3803" s="345" t="s">
        <v>6106</v>
      </c>
    </row>
    <row r="3804" spans="1:2" ht="15.75" x14ac:dyDescent="0.25">
      <c r="A3804" s="344" t="s">
        <v>6107</v>
      </c>
      <c r="B3804" s="345" t="s">
        <v>6108</v>
      </c>
    </row>
    <row r="3805" spans="1:2" ht="15.75" x14ac:dyDescent="0.25">
      <c r="A3805" s="344" t="s">
        <v>6109</v>
      </c>
      <c r="B3805" s="345" t="s">
        <v>6110</v>
      </c>
    </row>
    <row r="3806" spans="1:2" ht="15.75" x14ac:dyDescent="0.25">
      <c r="A3806" s="344" t="s">
        <v>6111</v>
      </c>
      <c r="B3806" s="345" t="s">
        <v>6112</v>
      </c>
    </row>
    <row r="3807" spans="1:2" ht="15.75" x14ac:dyDescent="0.25">
      <c r="A3807" s="344" t="s">
        <v>6113</v>
      </c>
      <c r="B3807" s="345" t="s">
        <v>6114</v>
      </c>
    </row>
    <row r="3808" spans="1:2" ht="15.75" x14ac:dyDescent="0.25">
      <c r="A3808" s="344" t="s">
        <v>6115</v>
      </c>
      <c r="B3808" s="345" t="s">
        <v>6116</v>
      </c>
    </row>
    <row r="3809" spans="1:2" ht="15.75" x14ac:dyDescent="0.25">
      <c r="A3809" s="344" t="s">
        <v>6117</v>
      </c>
      <c r="B3809" s="345" t="s">
        <v>2346</v>
      </c>
    </row>
    <row r="3810" spans="1:2" ht="15.75" x14ac:dyDescent="0.25">
      <c r="A3810" s="344" t="s">
        <v>6118</v>
      </c>
      <c r="B3810" s="345" t="s">
        <v>6119</v>
      </c>
    </row>
    <row r="3811" spans="1:2" ht="15.75" x14ac:dyDescent="0.25">
      <c r="A3811" s="344" t="s">
        <v>6120</v>
      </c>
      <c r="B3811" s="345" t="s">
        <v>6121</v>
      </c>
    </row>
    <row r="3812" spans="1:2" ht="15.75" x14ac:dyDescent="0.25">
      <c r="A3812" s="344" t="s">
        <v>6122</v>
      </c>
      <c r="B3812" s="345" t="s">
        <v>6123</v>
      </c>
    </row>
    <row r="3813" spans="1:2" ht="15.75" x14ac:dyDescent="0.25">
      <c r="A3813" s="344" t="s">
        <v>6124</v>
      </c>
      <c r="B3813" s="345" t="s">
        <v>2346</v>
      </c>
    </row>
    <row r="3814" spans="1:2" ht="15.75" x14ac:dyDescent="0.25">
      <c r="A3814" s="344" t="s">
        <v>6125</v>
      </c>
      <c r="B3814" s="345" t="s">
        <v>2347</v>
      </c>
    </row>
    <row r="3815" spans="1:2" ht="15.75" x14ac:dyDescent="0.25">
      <c r="A3815" s="344" t="s">
        <v>6126</v>
      </c>
      <c r="B3815" s="345" t="s">
        <v>6127</v>
      </c>
    </row>
    <row r="3816" spans="1:2" ht="15.75" x14ac:dyDescent="0.25">
      <c r="A3816" s="344" t="s">
        <v>6128</v>
      </c>
      <c r="B3816" s="345" t="s">
        <v>2348</v>
      </c>
    </row>
    <row r="3817" spans="1:2" ht="15.75" x14ac:dyDescent="0.25">
      <c r="A3817" s="344" t="s">
        <v>6129</v>
      </c>
      <c r="B3817" s="345" t="s">
        <v>2348</v>
      </c>
    </row>
    <row r="3818" spans="1:2" ht="15.75" x14ac:dyDescent="0.25">
      <c r="A3818" s="344" t="s">
        <v>6130</v>
      </c>
      <c r="B3818" s="345" t="s">
        <v>6131</v>
      </c>
    </row>
    <row r="3819" spans="1:2" ht="15.75" x14ac:dyDescent="0.25">
      <c r="A3819" s="344" t="s">
        <v>6132</v>
      </c>
      <c r="B3819" s="345" t="s">
        <v>2349</v>
      </c>
    </row>
    <row r="3820" spans="1:2" ht="15.75" x14ac:dyDescent="0.25">
      <c r="A3820" s="344" t="s">
        <v>6133</v>
      </c>
      <c r="B3820" s="345" t="s">
        <v>6134</v>
      </c>
    </row>
    <row r="3821" spans="1:2" ht="15.75" x14ac:dyDescent="0.25">
      <c r="A3821" s="344" t="s">
        <v>6135</v>
      </c>
      <c r="B3821" s="345" t="s">
        <v>2350</v>
      </c>
    </row>
    <row r="3822" spans="1:2" ht="15.75" x14ac:dyDescent="0.25">
      <c r="A3822" s="344" t="s">
        <v>6136</v>
      </c>
      <c r="B3822" s="345" t="s">
        <v>2350</v>
      </c>
    </row>
    <row r="3823" spans="1:2" ht="15.75" x14ac:dyDescent="0.25">
      <c r="A3823" s="344" t="s">
        <v>6137</v>
      </c>
      <c r="B3823" s="345" t="s">
        <v>6138</v>
      </c>
    </row>
    <row r="3824" spans="1:2" ht="15.75" x14ac:dyDescent="0.25">
      <c r="A3824" s="344" t="s">
        <v>6139</v>
      </c>
      <c r="B3824" s="345" t="s">
        <v>6140</v>
      </c>
    </row>
    <row r="3825" spans="1:2" ht="15.75" x14ac:dyDescent="0.25">
      <c r="A3825" s="344" t="s">
        <v>6141</v>
      </c>
      <c r="B3825" s="345" t="s">
        <v>6142</v>
      </c>
    </row>
    <row r="3826" spans="1:2" ht="15.75" x14ac:dyDescent="0.25">
      <c r="A3826" s="344" t="s">
        <v>6143</v>
      </c>
      <c r="B3826" s="345" t="s">
        <v>6144</v>
      </c>
    </row>
    <row r="3827" spans="1:2" ht="15.75" x14ac:dyDescent="0.25">
      <c r="A3827" s="344" t="s">
        <v>6145</v>
      </c>
      <c r="B3827" s="345" t="s">
        <v>2351</v>
      </c>
    </row>
    <row r="3828" spans="1:2" ht="15.75" x14ac:dyDescent="0.25">
      <c r="A3828" s="344" t="s">
        <v>6146</v>
      </c>
      <c r="B3828" s="345" t="s">
        <v>6147</v>
      </c>
    </row>
    <row r="3829" spans="1:2" ht="15.75" x14ac:dyDescent="0.25">
      <c r="A3829" s="344" t="s">
        <v>6148</v>
      </c>
      <c r="B3829" s="345" t="s">
        <v>2352</v>
      </c>
    </row>
    <row r="3830" spans="1:2" ht="15.75" x14ac:dyDescent="0.25">
      <c r="A3830" s="344" t="s">
        <v>6149</v>
      </c>
      <c r="B3830" s="345" t="s">
        <v>6150</v>
      </c>
    </row>
    <row r="3831" spans="1:2" ht="15.75" x14ac:dyDescent="0.25">
      <c r="A3831" s="344" t="s">
        <v>6151</v>
      </c>
      <c r="B3831" s="345" t="s">
        <v>6152</v>
      </c>
    </row>
    <row r="3832" spans="1:2" ht="15.75" x14ac:dyDescent="0.25">
      <c r="A3832" s="344" t="s">
        <v>6153</v>
      </c>
      <c r="B3832" s="345" t="s">
        <v>6154</v>
      </c>
    </row>
    <row r="3833" spans="1:2" ht="15.75" x14ac:dyDescent="0.25">
      <c r="A3833" s="344" t="s">
        <v>6155</v>
      </c>
      <c r="B3833" s="345" t="s">
        <v>6156</v>
      </c>
    </row>
    <row r="3834" spans="1:2" ht="15.75" x14ac:dyDescent="0.25">
      <c r="A3834" s="344" t="s">
        <v>6157</v>
      </c>
      <c r="B3834" s="345" t="s">
        <v>2352</v>
      </c>
    </row>
    <row r="3835" spans="1:2" ht="15.75" x14ac:dyDescent="0.25">
      <c r="A3835" s="344" t="s">
        <v>6158</v>
      </c>
      <c r="B3835" s="345" t="s">
        <v>6159</v>
      </c>
    </row>
    <row r="3836" spans="1:2" ht="15.75" x14ac:dyDescent="0.25">
      <c r="A3836" s="344" t="s">
        <v>6160</v>
      </c>
      <c r="B3836" s="345" t="s">
        <v>6161</v>
      </c>
    </row>
    <row r="3837" spans="1:2" ht="15.75" x14ac:dyDescent="0.25">
      <c r="A3837" s="344" t="s">
        <v>6162</v>
      </c>
      <c r="B3837" s="345" t="s">
        <v>6163</v>
      </c>
    </row>
    <row r="3838" spans="1:2" ht="15.75" x14ac:dyDescent="0.25">
      <c r="A3838" s="344" t="s">
        <v>6164</v>
      </c>
      <c r="B3838" s="345" t="s">
        <v>6165</v>
      </c>
    </row>
    <row r="3839" spans="1:2" ht="15.75" x14ac:dyDescent="0.25">
      <c r="A3839" s="344" t="s">
        <v>6166</v>
      </c>
      <c r="B3839" s="345" t="s">
        <v>6167</v>
      </c>
    </row>
    <row r="3840" spans="1:2" ht="15.75" x14ac:dyDescent="0.25">
      <c r="A3840" s="344" t="s">
        <v>6168</v>
      </c>
      <c r="B3840" s="345" t="s">
        <v>2353</v>
      </c>
    </row>
    <row r="3841" spans="1:2" ht="15.75" x14ac:dyDescent="0.25">
      <c r="A3841" s="344" t="s">
        <v>6169</v>
      </c>
      <c r="B3841" s="345" t="s">
        <v>6170</v>
      </c>
    </row>
    <row r="3842" spans="1:2" ht="15.75" x14ac:dyDescent="0.25">
      <c r="A3842" s="344" t="s">
        <v>6171</v>
      </c>
      <c r="B3842" s="345" t="s">
        <v>2354</v>
      </c>
    </row>
    <row r="3843" spans="1:2" ht="15.75" x14ac:dyDescent="0.25">
      <c r="A3843" s="344" t="s">
        <v>1852</v>
      </c>
      <c r="B3843" s="345" t="s">
        <v>2354</v>
      </c>
    </row>
    <row r="3844" spans="1:2" ht="15.75" x14ac:dyDescent="0.25">
      <c r="A3844" s="344" t="s">
        <v>6172</v>
      </c>
      <c r="B3844" s="345" t="s">
        <v>6173</v>
      </c>
    </row>
    <row r="3845" spans="1:2" ht="15.75" x14ac:dyDescent="0.25">
      <c r="A3845" s="344" t="s">
        <v>6174</v>
      </c>
      <c r="B3845" s="345" t="s">
        <v>6175</v>
      </c>
    </row>
    <row r="3846" spans="1:2" ht="15.75" x14ac:dyDescent="0.25">
      <c r="A3846" s="344" t="s">
        <v>6176</v>
      </c>
      <c r="B3846" s="345" t="s">
        <v>6177</v>
      </c>
    </row>
    <row r="3847" spans="1:2" ht="15.75" x14ac:dyDescent="0.25">
      <c r="A3847" s="344" t="s">
        <v>6178</v>
      </c>
      <c r="B3847" s="345" t="s">
        <v>2355</v>
      </c>
    </row>
    <row r="3848" spans="1:2" ht="15.75" x14ac:dyDescent="0.25">
      <c r="A3848" s="344" t="s">
        <v>6179</v>
      </c>
      <c r="B3848" s="345" t="s">
        <v>6180</v>
      </c>
    </row>
    <row r="3849" spans="1:2" ht="15.75" x14ac:dyDescent="0.25">
      <c r="A3849" s="344" t="s">
        <v>6181</v>
      </c>
      <c r="B3849" s="345" t="s">
        <v>6182</v>
      </c>
    </row>
    <row r="3850" spans="1:2" ht="15.75" x14ac:dyDescent="0.25">
      <c r="A3850" s="344" t="s">
        <v>6183</v>
      </c>
      <c r="B3850" s="345" t="s">
        <v>6184</v>
      </c>
    </row>
    <row r="3851" spans="1:2" ht="15.75" x14ac:dyDescent="0.25">
      <c r="A3851" s="344" t="s">
        <v>6185</v>
      </c>
      <c r="B3851" s="345" t="s">
        <v>2356</v>
      </c>
    </row>
    <row r="3852" spans="1:2" ht="15.75" x14ac:dyDescent="0.25">
      <c r="A3852" s="344" t="s">
        <v>6186</v>
      </c>
      <c r="B3852" s="345" t="s">
        <v>6187</v>
      </c>
    </row>
    <row r="3853" spans="1:2" ht="15.75" x14ac:dyDescent="0.25">
      <c r="A3853" s="344" t="s">
        <v>6188</v>
      </c>
      <c r="B3853" s="345" t="s">
        <v>2357</v>
      </c>
    </row>
    <row r="3854" spans="1:2" ht="15.75" x14ac:dyDescent="0.25">
      <c r="A3854" s="344" t="s">
        <v>6189</v>
      </c>
      <c r="B3854" s="345" t="s">
        <v>2358</v>
      </c>
    </row>
    <row r="3855" spans="1:2" ht="15.75" x14ac:dyDescent="0.25">
      <c r="A3855" s="344" t="s">
        <v>6190</v>
      </c>
      <c r="B3855" s="345" t="s">
        <v>2359</v>
      </c>
    </row>
    <row r="3856" spans="1:2" ht="15.75" x14ac:dyDescent="0.25">
      <c r="A3856" s="344" t="s">
        <v>6191</v>
      </c>
      <c r="B3856" s="345" t="s">
        <v>6192</v>
      </c>
    </row>
    <row r="3857" spans="1:2" ht="15.75" x14ac:dyDescent="0.25">
      <c r="A3857" s="344" t="s">
        <v>6193</v>
      </c>
      <c r="B3857" s="345" t="s">
        <v>6194</v>
      </c>
    </row>
    <row r="3858" spans="1:2" ht="15.75" x14ac:dyDescent="0.25">
      <c r="A3858" s="344" t="s">
        <v>6195</v>
      </c>
      <c r="B3858" s="345" t="s">
        <v>6196</v>
      </c>
    </row>
    <row r="3859" spans="1:2" ht="15.75" x14ac:dyDescent="0.25">
      <c r="A3859" s="344" t="s">
        <v>6197</v>
      </c>
      <c r="B3859" s="345" t="s">
        <v>6198</v>
      </c>
    </row>
    <row r="3860" spans="1:2" ht="15.75" x14ac:dyDescent="0.25">
      <c r="A3860" s="344" t="s">
        <v>6199</v>
      </c>
      <c r="B3860" s="345" t="s">
        <v>6200</v>
      </c>
    </row>
    <row r="3861" spans="1:2" ht="15.75" x14ac:dyDescent="0.25">
      <c r="A3861" s="344" t="s">
        <v>6201</v>
      </c>
      <c r="B3861" s="345" t="s">
        <v>2360</v>
      </c>
    </row>
    <row r="3862" spans="1:2" ht="15.75" x14ac:dyDescent="0.25">
      <c r="A3862" s="344" t="s">
        <v>6202</v>
      </c>
      <c r="B3862" s="345" t="s">
        <v>2361</v>
      </c>
    </row>
    <row r="3863" spans="1:2" ht="15.75" x14ac:dyDescent="0.25">
      <c r="A3863" s="344" t="s">
        <v>6203</v>
      </c>
      <c r="B3863" s="345" t="s">
        <v>6204</v>
      </c>
    </row>
    <row r="3864" spans="1:2" ht="15.75" x14ac:dyDescent="0.25">
      <c r="A3864" s="344" t="s">
        <v>6205</v>
      </c>
      <c r="B3864" s="345" t="s">
        <v>6206</v>
      </c>
    </row>
    <row r="3865" spans="1:2" ht="15.75" x14ac:dyDescent="0.25">
      <c r="A3865" s="344" t="s">
        <v>6207</v>
      </c>
      <c r="B3865" s="345" t="s">
        <v>6208</v>
      </c>
    </row>
    <row r="3866" spans="1:2" ht="15.75" x14ac:dyDescent="0.25">
      <c r="A3866" s="344" t="s">
        <v>6209</v>
      </c>
      <c r="B3866" s="345" t="s">
        <v>6210</v>
      </c>
    </row>
    <row r="3867" spans="1:2" ht="15.75" x14ac:dyDescent="0.25">
      <c r="A3867" s="344" t="s">
        <v>6211</v>
      </c>
      <c r="B3867" s="345" t="s">
        <v>6212</v>
      </c>
    </row>
    <row r="3868" spans="1:2" ht="15.75" x14ac:dyDescent="0.25">
      <c r="A3868" s="344" t="s">
        <v>6213</v>
      </c>
      <c r="B3868" s="345" t="s">
        <v>6214</v>
      </c>
    </row>
    <row r="3869" spans="1:2" ht="15.75" x14ac:dyDescent="0.25">
      <c r="A3869" s="344" t="s">
        <v>6215</v>
      </c>
      <c r="B3869" s="345" t="s">
        <v>6216</v>
      </c>
    </row>
    <row r="3870" spans="1:2" ht="15.75" x14ac:dyDescent="0.25">
      <c r="A3870" s="344" t="s">
        <v>6217</v>
      </c>
      <c r="B3870" s="345" t="s">
        <v>6218</v>
      </c>
    </row>
    <row r="3871" spans="1:2" ht="15.75" x14ac:dyDescent="0.25">
      <c r="A3871" s="344" t="s">
        <v>6219</v>
      </c>
      <c r="B3871" s="345" t="s">
        <v>2362</v>
      </c>
    </row>
    <row r="3872" spans="1:2" ht="15.75" x14ac:dyDescent="0.25">
      <c r="A3872" s="344" t="s">
        <v>6220</v>
      </c>
      <c r="B3872" s="345" t="s">
        <v>6221</v>
      </c>
    </row>
    <row r="3873" spans="1:2" ht="15.75" x14ac:dyDescent="0.25">
      <c r="A3873" s="344" t="s">
        <v>6222</v>
      </c>
      <c r="B3873" s="345" t="s">
        <v>2363</v>
      </c>
    </row>
    <row r="3874" spans="1:2" ht="15.75" x14ac:dyDescent="0.25">
      <c r="A3874" s="344" t="s">
        <v>6223</v>
      </c>
      <c r="B3874" s="345" t="s">
        <v>2364</v>
      </c>
    </row>
    <row r="3875" spans="1:2" ht="15.75" x14ac:dyDescent="0.25">
      <c r="A3875" s="344" t="s">
        <v>6224</v>
      </c>
      <c r="B3875" s="345" t="s">
        <v>2365</v>
      </c>
    </row>
    <row r="3876" spans="1:2" ht="15.75" x14ac:dyDescent="0.25">
      <c r="A3876" s="344" t="s">
        <v>1853</v>
      </c>
      <c r="B3876" s="345" t="s">
        <v>2366</v>
      </c>
    </row>
    <row r="3877" spans="1:2" ht="15.75" x14ac:dyDescent="0.25">
      <c r="A3877" s="344" t="s">
        <v>6225</v>
      </c>
      <c r="B3877" s="345" t="s">
        <v>2367</v>
      </c>
    </row>
    <row r="3878" spans="1:2" ht="15.75" x14ac:dyDescent="0.25">
      <c r="A3878" s="344" t="s">
        <v>6226</v>
      </c>
      <c r="B3878" s="345" t="s">
        <v>6227</v>
      </c>
    </row>
    <row r="3879" spans="1:2" ht="15.75" x14ac:dyDescent="0.25">
      <c r="A3879" s="344" t="s">
        <v>6228</v>
      </c>
      <c r="B3879" s="345" t="s">
        <v>6229</v>
      </c>
    </row>
    <row r="3880" spans="1:2" ht="15.75" x14ac:dyDescent="0.25">
      <c r="A3880" s="344" t="s">
        <v>6230</v>
      </c>
      <c r="B3880" s="345" t="s">
        <v>6231</v>
      </c>
    </row>
    <row r="3881" spans="1:2" ht="15.75" x14ac:dyDescent="0.25">
      <c r="A3881" s="344" t="s">
        <v>6232</v>
      </c>
      <c r="B3881" s="345" t="s">
        <v>6233</v>
      </c>
    </row>
    <row r="3882" spans="1:2" ht="15.75" x14ac:dyDescent="0.25">
      <c r="A3882" s="344" t="s">
        <v>6234</v>
      </c>
      <c r="B3882" s="345" t="s">
        <v>2368</v>
      </c>
    </row>
    <row r="3883" spans="1:2" ht="15.75" x14ac:dyDescent="0.25">
      <c r="A3883" s="344" t="s">
        <v>6235</v>
      </c>
      <c r="B3883" s="345" t="s">
        <v>6236</v>
      </c>
    </row>
    <row r="3884" spans="1:2" ht="15.75" x14ac:dyDescent="0.25">
      <c r="A3884" s="344" t="s">
        <v>6237</v>
      </c>
      <c r="B3884" s="345" t="s">
        <v>2369</v>
      </c>
    </row>
    <row r="3885" spans="1:2" ht="15.75" x14ac:dyDescent="0.25">
      <c r="A3885" s="344" t="s">
        <v>6238</v>
      </c>
      <c r="B3885" s="345" t="s">
        <v>2370</v>
      </c>
    </row>
    <row r="3886" spans="1:2" ht="15.75" x14ac:dyDescent="0.25">
      <c r="A3886" s="344" t="s">
        <v>6239</v>
      </c>
      <c r="B3886" s="345" t="s">
        <v>2371</v>
      </c>
    </row>
    <row r="3887" spans="1:2" ht="15.75" x14ac:dyDescent="0.25">
      <c r="A3887" s="344" t="s">
        <v>6240</v>
      </c>
      <c r="B3887" s="345" t="s">
        <v>6241</v>
      </c>
    </row>
    <row r="3888" spans="1:2" ht="15.75" x14ac:dyDescent="0.25">
      <c r="A3888" s="344" t="s">
        <v>6242</v>
      </c>
      <c r="B3888" s="345" t="s">
        <v>6243</v>
      </c>
    </row>
    <row r="3889" spans="1:2" ht="15.75" x14ac:dyDescent="0.25">
      <c r="A3889" s="344" t="s">
        <v>6244</v>
      </c>
      <c r="B3889" s="345" t="s">
        <v>6245</v>
      </c>
    </row>
    <row r="3890" spans="1:2" ht="15.75" x14ac:dyDescent="0.25">
      <c r="A3890" s="344" t="s">
        <v>6246</v>
      </c>
      <c r="B3890" s="345" t="s">
        <v>6247</v>
      </c>
    </row>
    <row r="3891" spans="1:2" ht="15.75" x14ac:dyDescent="0.25">
      <c r="A3891" s="344" t="s">
        <v>6248</v>
      </c>
      <c r="B3891" s="345" t="s">
        <v>6249</v>
      </c>
    </row>
    <row r="3892" spans="1:2" ht="15.75" x14ac:dyDescent="0.25">
      <c r="A3892" s="344" t="s">
        <v>6250</v>
      </c>
      <c r="B3892" s="345" t="s">
        <v>2372</v>
      </c>
    </row>
    <row r="3893" spans="1:2" ht="15.75" x14ac:dyDescent="0.25">
      <c r="A3893" s="344" t="s">
        <v>6251</v>
      </c>
      <c r="B3893" s="345" t="s">
        <v>6252</v>
      </c>
    </row>
    <row r="3894" spans="1:2" ht="15.75" x14ac:dyDescent="0.25">
      <c r="A3894" s="344" t="s">
        <v>6253</v>
      </c>
      <c r="B3894" s="345" t="s">
        <v>2373</v>
      </c>
    </row>
    <row r="3895" spans="1:2" ht="15.75" x14ac:dyDescent="0.25">
      <c r="A3895" s="344" t="s">
        <v>6254</v>
      </c>
      <c r="B3895" s="345" t="s">
        <v>2374</v>
      </c>
    </row>
    <row r="3896" spans="1:2" ht="15.75" x14ac:dyDescent="0.25">
      <c r="A3896" s="344" t="s">
        <v>6255</v>
      </c>
      <c r="B3896" s="345" t="s">
        <v>6256</v>
      </c>
    </row>
    <row r="3897" spans="1:2" ht="15.75" x14ac:dyDescent="0.25">
      <c r="A3897" s="344" t="s">
        <v>6257</v>
      </c>
      <c r="B3897" s="345" t="s">
        <v>2375</v>
      </c>
    </row>
    <row r="3898" spans="1:2" ht="15.75" x14ac:dyDescent="0.25">
      <c r="A3898" s="344" t="s">
        <v>6258</v>
      </c>
      <c r="B3898" s="345" t="s">
        <v>6259</v>
      </c>
    </row>
    <row r="3899" spans="1:2" ht="15.75" x14ac:dyDescent="0.25">
      <c r="A3899" s="344" t="s">
        <v>6260</v>
      </c>
      <c r="B3899" s="345" t="s">
        <v>6261</v>
      </c>
    </row>
    <row r="3900" spans="1:2" ht="15.75" x14ac:dyDescent="0.25">
      <c r="A3900" s="344" t="s">
        <v>6262</v>
      </c>
      <c r="B3900" s="345" t="s">
        <v>6263</v>
      </c>
    </row>
    <row r="3901" spans="1:2" ht="15.75" x14ac:dyDescent="0.25">
      <c r="A3901" s="344" t="s">
        <v>6264</v>
      </c>
      <c r="B3901" s="345" t="s">
        <v>6265</v>
      </c>
    </row>
    <row r="3902" spans="1:2" ht="15.75" x14ac:dyDescent="0.25">
      <c r="A3902" s="344" t="s">
        <v>6266</v>
      </c>
      <c r="B3902" s="345" t="s">
        <v>2376</v>
      </c>
    </row>
    <row r="3903" spans="1:2" ht="15.75" x14ac:dyDescent="0.25">
      <c r="A3903" s="344" t="s">
        <v>6267</v>
      </c>
      <c r="B3903" s="345" t="s">
        <v>6268</v>
      </c>
    </row>
    <row r="3904" spans="1:2" ht="15.75" x14ac:dyDescent="0.25">
      <c r="A3904" s="344" t="s">
        <v>6269</v>
      </c>
      <c r="B3904" s="345" t="s">
        <v>6270</v>
      </c>
    </row>
    <row r="3905" spans="1:2" ht="15.75" x14ac:dyDescent="0.25">
      <c r="A3905" s="344" t="s">
        <v>6271</v>
      </c>
      <c r="B3905" s="345" t="s">
        <v>2377</v>
      </c>
    </row>
    <row r="3906" spans="1:2" ht="15.75" x14ac:dyDescent="0.25">
      <c r="A3906" s="344" t="s">
        <v>6272</v>
      </c>
      <c r="B3906" s="345" t="s">
        <v>2378</v>
      </c>
    </row>
    <row r="3907" spans="1:2" ht="15.75" x14ac:dyDescent="0.25">
      <c r="A3907" s="344" t="s">
        <v>6273</v>
      </c>
      <c r="B3907" s="345" t="s">
        <v>6274</v>
      </c>
    </row>
    <row r="3908" spans="1:2" ht="15.75" x14ac:dyDescent="0.25">
      <c r="A3908" s="344" t="s">
        <v>6275</v>
      </c>
      <c r="B3908" s="345" t="s">
        <v>6276</v>
      </c>
    </row>
    <row r="3909" spans="1:2" ht="15.75" x14ac:dyDescent="0.25">
      <c r="A3909" s="344" t="s">
        <v>6277</v>
      </c>
      <c r="B3909" s="345" t="s">
        <v>6278</v>
      </c>
    </row>
    <row r="3910" spans="1:2" ht="15.75" x14ac:dyDescent="0.25">
      <c r="A3910" s="344" t="s">
        <v>6279</v>
      </c>
      <c r="B3910" s="345" t="s">
        <v>6280</v>
      </c>
    </row>
    <row r="3911" spans="1:2" ht="15.75" x14ac:dyDescent="0.25">
      <c r="A3911" s="344" t="s">
        <v>6281</v>
      </c>
      <c r="B3911" s="345" t="s">
        <v>2379</v>
      </c>
    </row>
    <row r="3912" spans="1:2" ht="15.75" x14ac:dyDescent="0.25">
      <c r="A3912" s="344" t="s">
        <v>6282</v>
      </c>
      <c r="B3912" s="345" t="s">
        <v>2380</v>
      </c>
    </row>
    <row r="3913" spans="1:2" ht="15.75" x14ac:dyDescent="0.25">
      <c r="A3913" s="344" t="s">
        <v>6283</v>
      </c>
      <c r="B3913" s="345" t="s">
        <v>6284</v>
      </c>
    </row>
    <row r="3914" spans="1:2" ht="15.75" x14ac:dyDescent="0.25">
      <c r="A3914" s="344" t="s">
        <v>6285</v>
      </c>
      <c r="B3914" s="345" t="s">
        <v>6286</v>
      </c>
    </row>
    <row r="3915" spans="1:2" ht="15.75" x14ac:dyDescent="0.25">
      <c r="A3915" s="344" t="s">
        <v>6287</v>
      </c>
      <c r="B3915" s="345" t="s">
        <v>6288</v>
      </c>
    </row>
    <row r="3916" spans="1:2" ht="15.75" x14ac:dyDescent="0.25">
      <c r="A3916" s="344" t="s">
        <v>6289</v>
      </c>
      <c r="B3916" s="345" t="s">
        <v>2381</v>
      </c>
    </row>
    <row r="3917" spans="1:2" ht="15.75" x14ac:dyDescent="0.25">
      <c r="A3917" s="344" t="s">
        <v>6290</v>
      </c>
      <c r="B3917" s="345" t="s">
        <v>6291</v>
      </c>
    </row>
    <row r="3918" spans="1:2" ht="15.75" x14ac:dyDescent="0.25">
      <c r="A3918" s="344" t="s">
        <v>6292</v>
      </c>
      <c r="B3918" s="345" t="s">
        <v>6293</v>
      </c>
    </row>
    <row r="3919" spans="1:2" ht="15.75" x14ac:dyDescent="0.25">
      <c r="A3919" s="344" t="s">
        <v>6294</v>
      </c>
      <c r="B3919" s="345" t="s">
        <v>6295</v>
      </c>
    </row>
    <row r="3920" spans="1:2" ht="15.75" x14ac:dyDescent="0.25">
      <c r="A3920" s="344" t="s">
        <v>6296</v>
      </c>
      <c r="B3920" s="345" t="s">
        <v>6297</v>
      </c>
    </row>
    <row r="3921" spans="1:2" ht="15.75" x14ac:dyDescent="0.25">
      <c r="A3921" s="344" t="s">
        <v>6298</v>
      </c>
      <c r="B3921" s="345" t="s">
        <v>6299</v>
      </c>
    </row>
    <row r="3922" spans="1:2" ht="15.75" x14ac:dyDescent="0.25">
      <c r="A3922" s="344" t="s">
        <v>6300</v>
      </c>
      <c r="B3922" s="345" t="s">
        <v>6301</v>
      </c>
    </row>
    <row r="3923" spans="1:2" ht="15.75" x14ac:dyDescent="0.25">
      <c r="A3923" s="344" t="s">
        <v>6302</v>
      </c>
      <c r="B3923" s="345" t="s">
        <v>6303</v>
      </c>
    </row>
    <row r="3924" spans="1:2" ht="15.75" x14ac:dyDescent="0.25">
      <c r="A3924" s="344" t="s">
        <v>6304</v>
      </c>
      <c r="B3924" s="345" t="s">
        <v>6305</v>
      </c>
    </row>
    <row r="3925" spans="1:2" ht="15.75" x14ac:dyDescent="0.25">
      <c r="A3925" s="344" t="s">
        <v>6306</v>
      </c>
      <c r="B3925" s="345" t="s">
        <v>6307</v>
      </c>
    </row>
    <row r="3926" spans="1:2" ht="15.75" x14ac:dyDescent="0.25">
      <c r="A3926" s="344" t="s">
        <v>6308</v>
      </c>
      <c r="B3926" s="345" t="s">
        <v>6309</v>
      </c>
    </row>
    <row r="3927" spans="1:2" ht="15.75" x14ac:dyDescent="0.25">
      <c r="A3927" s="344" t="s">
        <v>6310</v>
      </c>
      <c r="B3927" s="345" t="s">
        <v>6311</v>
      </c>
    </row>
    <row r="3928" spans="1:2" ht="15.75" x14ac:dyDescent="0.25">
      <c r="A3928" s="344" t="s">
        <v>6312</v>
      </c>
      <c r="B3928" s="345" t="s">
        <v>6313</v>
      </c>
    </row>
    <row r="3929" spans="1:2" ht="15.75" x14ac:dyDescent="0.25">
      <c r="A3929" s="344" t="s">
        <v>6314</v>
      </c>
      <c r="B3929" s="345" t="s">
        <v>6315</v>
      </c>
    </row>
    <row r="3930" spans="1:2" ht="15.75" x14ac:dyDescent="0.25">
      <c r="A3930" s="344" t="s">
        <v>6316</v>
      </c>
      <c r="B3930" s="345" t="s">
        <v>6317</v>
      </c>
    </row>
    <row r="3931" spans="1:2" ht="15.75" x14ac:dyDescent="0.25">
      <c r="A3931" s="344" t="s">
        <v>6318</v>
      </c>
      <c r="B3931" s="345" t="s">
        <v>6319</v>
      </c>
    </row>
    <row r="3932" spans="1:2" ht="15.75" x14ac:dyDescent="0.25">
      <c r="A3932" s="344" t="s">
        <v>6320</v>
      </c>
      <c r="B3932" s="345" t="s">
        <v>6321</v>
      </c>
    </row>
    <row r="3933" spans="1:2" ht="15.75" x14ac:dyDescent="0.25">
      <c r="A3933" s="344" t="s">
        <v>6322</v>
      </c>
      <c r="B3933" s="345" t="s">
        <v>6323</v>
      </c>
    </row>
    <row r="3934" spans="1:2" ht="15.75" x14ac:dyDescent="0.25">
      <c r="A3934" s="344" t="s">
        <v>6324</v>
      </c>
      <c r="B3934" s="345" t="s">
        <v>6325</v>
      </c>
    </row>
    <row r="3935" spans="1:2" ht="15.75" x14ac:dyDescent="0.25">
      <c r="A3935" s="344" t="s">
        <v>6326</v>
      </c>
      <c r="B3935" s="345" t="s">
        <v>6327</v>
      </c>
    </row>
    <row r="3936" spans="1:2" ht="15.75" x14ac:dyDescent="0.25">
      <c r="A3936" s="344" t="s">
        <v>6328</v>
      </c>
      <c r="B3936" s="345" t="s">
        <v>6329</v>
      </c>
    </row>
    <row r="3937" spans="1:2" ht="15.75" x14ac:dyDescent="0.25">
      <c r="A3937" s="344" t="s">
        <v>6330</v>
      </c>
      <c r="B3937" s="345" t="s">
        <v>2382</v>
      </c>
    </row>
    <row r="3938" spans="1:2" ht="15.75" x14ac:dyDescent="0.25">
      <c r="A3938" s="344" t="s">
        <v>6331</v>
      </c>
      <c r="B3938" s="345" t="s">
        <v>2382</v>
      </c>
    </row>
    <row r="3939" spans="1:2" ht="15.75" x14ac:dyDescent="0.25">
      <c r="A3939" s="344" t="s">
        <v>6332</v>
      </c>
      <c r="B3939" s="345" t="s">
        <v>6333</v>
      </c>
    </row>
    <row r="3940" spans="1:2" ht="15.75" x14ac:dyDescent="0.25">
      <c r="A3940" s="344" t="s">
        <v>6334</v>
      </c>
      <c r="B3940" s="345" t="s">
        <v>6335</v>
      </c>
    </row>
    <row r="3941" spans="1:2" ht="15.75" x14ac:dyDescent="0.25">
      <c r="A3941" s="344" t="s">
        <v>6336</v>
      </c>
      <c r="B3941" s="345" t="s">
        <v>6337</v>
      </c>
    </row>
    <row r="3942" spans="1:2" ht="15.75" x14ac:dyDescent="0.25">
      <c r="A3942" s="344" t="s">
        <v>6338</v>
      </c>
      <c r="B3942" s="345" t="s">
        <v>6339</v>
      </c>
    </row>
    <row r="3943" spans="1:2" ht="15.75" x14ac:dyDescent="0.25">
      <c r="A3943" s="344" t="s">
        <v>6340</v>
      </c>
      <c r="B3943" s="345" t="s">
        <v>2383</v>
      </c>
    </row>
    <row r="3944" spans="1:2" ht="15.75" x14ac:dyDescent="0.25">
      <c r="A3944" s="344" t="s">
        <v>6341</v>
      </c>
      <c r="B3944" s="345" t="s">
        <v>6342</v>
      </c>
    </row>
    <row r="3945" spans="1:2" ht="15.75" x14ac:dyDescent="0.25">
      <c r="A3945" s="344" t="s">
        <v>6343</v>
      </c>
      <c r="B3945" s="345" t="s">
        <v>6344</v>
      </c>
    </row>
    <row r="3946" spans="1:2" ht="15.75" x14ac:dyDescent="0.25">
      <c r="A3946" s="344" t="s">
        <v>6345</v>
      </c>
      <c r="B3946" s="345" t="s">
        <v>6346</v>
      </c>
    </row>
    <row r="3947" spans="1:2" ht="15.75" x14ac:dyDescent="0.25">
      <c r="A3947" s="344" t="s">
        <v>6347</v>
      </c>
      <c r="B3947" s="345" t="s">
        <v>6348</v>
      </c>
    </row>
    <row r="3948" spans="1:2" ht="15.75" x14ac:dyDescent="0.25">
      <c r="A3948" s="344" t="s">
        <v>6349</v>
      </c>
      <c r="B3948" s="345" t="s">
        <v>6350</v>
      </c>
    </row>
    <row r="3949" spans="1:2" ht="15.75" x14ac:dyDescent="0.25">
      <c r="A3949" s="344" t="s">
        <v>6351</v>
      </c>
      <c r="B3949" s="345" t="s">
        <v>2358</v>
      </c>
    </row>
    <row r="3950" spans="1:2" ht="15.75" x14ac:dyDescent="0.25">
      <c r="A3950" s="344" t="s">
        <v>6352</v>
      </c>
      <c r="B3950" s="345" t="s">
        <v>6353</v>
      </c>
    </row>
    <row r="3951" spans="1:2" ht="15.75" x14ac:dyDescent="0.25">
      <c r="A3951" s="344" t="s">
        <v>6354</v>
      </c>
      <c r="B3951" s="345" t="s">
        <v>6355</v>
      </c>
    </row>
    <row r="3952" spans="1:2" ht="15.75" x14ac:dyDescent="0.25">
      <c r="A3952" s="344" t="s">
        <v>6356</v>
      </c>
      <c r="B3952" s="345" t="s">
        <v>2384</v>
      </c>
    </row>
    <row r="3953" spans="1:2" ht="15.75" x14ac:dyDescent="0.25">
      <c r="A3953" s="344" t="s">
        <v>6357</v>
      </c>
      <c r="B3953" s="345" t="s">
        <v>6358</v>
      </c>
    </row>
    <row r="3954" spans="1:2" ht="15.75" x14ac:dyDescent="0.25">
      <c r="A3954" s="344" t="s">
        <v>6359</v>
      </c>
      <c r="B3954" s="345" t="s">
        <v>6360</v>
      </c>
    </row>
    <row r="3955" spans="1:2" ht="15.75" x14ac:dyDescent="0.25">
      <c r="A3955" s="344" t="s">
        <v>6361</v>
      </c>
      <c r="B3955" s="345" t="s">
        <v>6362</v>
      </c>
    </row>
    <row r="3956" spans="1:2" ht="15.75" x14ac:dyDescent="0.25">
      <c r="A3956" s="344" t="s">
        <v>6363</v>
      </c>
      <c r="B3956" s="345" t="s">
        <v>6364</v>
      </c>
    </row>
    <row r="3957" spans="1:2" ht="15.75" x14ac:dyDescent="0.25">
      <c r="A3957" s="344" t="s">
        <v>6365</v>
      </c>
      <c r="B3957" s="345" t="s">
        <v>2360</v>
      </c>
    </row>
    <row r="3958" spans="1:2" ht="15.75" x14ac:dyDescent="0.25">
      <c r="A3958" s="344" t="s">
        <v>6366</v>
      </c>
      <c r="B3958" s="345" t="s">
        <v>6367</v>
      </c>
    </row>
    <row r="3959" spans="1:2" ht="15.75" x14ac:dyDescent="0.25">
      <c r="A3959" s="344" t="s">
        <v>6368</v>
      </c>
      <c r="B3959" s="345" t="s">
        <v>2385</v>
      </c>
    </row>
    <row r="3960" spans="1:2" ht="15.75" x14ac:dyDescent="0.25">
      <c r="A3960" s="344" t="s">
        <v>6369</v>
      </c>
      <c r="B3960" s="345" t="s">
        <v>6370</v>
      </c>
    </row>
    <row r="3961" spans="1:2" ht="15.75" x14ac:dyDescent="0.25">
      <c r="A3961" s="344" t="s">
        <v>6371</v>
      </c>
      <c r="B3961" s="345" t="s">
        <v>6372</v>
      </c>
    </row>
    <row r="3962" spans="1:2" ht="15.75" x14ac:dyDescent="0.25">
      <c r="A3962" s="344" t="s">
        <v>6373</v>
      </c>
      <c r="B3962" s="345" t="s">
        <v>6374</v>
      </c>
    </row>
    <row r="3963" spans="1:2" ht="15.75" x14ac:dyDescent="0.25">
      <c r="A3963" s="344" t="s">
        <v>6375</v>
      </c>
      <c r="B3963" s="345" t="s">
        <v>6376</v>
      </c>
    </row>
    <row r="3964" spans="1:2" ht="15.75" x14ac:dyDescent="0.25">
      <c r="A3964" s="344" t="s">
        <v>6377</v>
      </c>
      <c r="B3964" s="345" t="s">
        <v>6378</v>
      </c>
    </row>
    <row r="3965" spans="1:2" ht="15.75" x14ac:dyDescent="0.25">
      <c r="A3965" s="344" t="s">
        <v>6379</v>
      </c>
      <c r="B3965" s="345" t="s">
        <v>6380</v>
      </c>
    </row>
    <row r="3966" spans="1:2" ht="15.75" x14ac:dyDescent="0.25">
      <c r="A3966" s="344" t="s">
        <v>6381</v>
      </c>
      <c r="B3966" s="345" t="s">
        <v>6382</v>
      </c>
    </row>
    <row r="3967" spans="1:2" ht="15.75" x14ac:dyDescent="0.25">
      <c r="A3967" s="344" t="s">
        <v>6383</v>
      </c>
      <c r="B3967" s="345" t="s">
        <v>6384</v>
      </c>
    </row>
    <row r="3968" spans="1:2" ht="15.75" x14ac:dyDescent="0.25">
      <c r="A3968" s="344" t="s">
        <v>6385</v>
      </c>
      <c r="B3968" s="345" t="s">
        <v>6386</v>
      </c>
    </row>
    <row r="3969" spans="1:2" ht="15.75" x14ac:dyDescent="0.25">
      <c r="A3969" s="344" t="s">
        <v>6387</v>
      </c>
      <c r="B3969" s="345" t="s">
        <v>6388</v>
      </c>
    </row>
    <row r="3970" spans="1:2" ht="15.75" x14ac:dyDescent="0.25">
      <c r="A3970" s="344" t="s">
        <v>6389</v>
      </c>
      <c r="B3970" s="345" t="s">
        <v>6390</v>
      </c>
    </row>
    <row r="3971" spans="1:2" ht="15.75" x14ac:dyDescent="0.25">
      <c r="A3971" s="344" t="s">
        <v>6391</v>
      </c>
      <c r="B3971" s="345" t="s">
        <v>6392</v>
      </c>
    </row>
    <row r="3972" spans="1:2" ht="15.75" x14ac:dyDescent="0.25">
      <c r="A3972" s="344" t="s">
        <v>6393</v>
      </c>
      <c r="B3972" s="345" t="s">
        <v>6394</v>
      </c>
    </row>
    <row r="3973" spans="1:2" ht="15.75" x14ac:dyDescent="0.25">
      <c r="A3973" s="344" t="s">
        <v>6395</v>
      </c>
      <c r="B3973" s="345" t="s">
        <v>6396</v>
      </c>
    </row>
    <row r="3974" spans="1:2" ht="15.75" x14ac:dyDescent="0.25">
      <c r="A3974" s="344" t="s">
        <v>6397</v>
      </c>
      <c r="B3974" s="345" t="s">
        <v>6398</v>
      </c>
    </row>
    <row r="3975" spans="1:2" ht="15.75" x14ac:dyDescent="0.25">
      <c r="A3975" s="344" t="s">
        <v>6399</v>
      </c>
      <c r="B3975" s="345" t="s">
        <v>6400</v>
      </c>
    </row>
    <row r="3976" spans="1:2" ht="15.75" x14ac:dyDescent="0.25">
      <c r="A3976" s="344" t="s">
        <v>6401</v>
      </c>
      <c r="B3976" s="345" t="s">
        <v>6402</v>
      </c>
    </row>
    <row r="3977" spans="1:2" ht="15.75" x14ac:dyDescent="0.25">
      <c r="A3977" s="344" t="s">
        <v>6403</v>
      </c>
      <c r="B3977" s="345" t="s">
        <v>6404</v>
      </c>
    </row>
    <row r="3978" spans="1:2" ht="15.75" x14ac:dyDescent="0.25">
      <c r="A3978" s="344" t="s">
        <v>6405</v>
      </c>
      <c r="B3978" s="345" t="s">
        <v>6406</v>
      </c>
    </row>
    <row r="3979" spans="1:2" ht="15.75" x14ac:dyDescent="0.25">
      <c r="A3979" s="344" t="s">
        <v>6407</v>
      </c>
      <c r="B3979" s="345" t="s">
        <v>6408</v>
      </c>
    </row>
    <row r="3980" spans="1:2" ht="15.75" x14ac:dyDescent="0.25">
      <c r="A3980" s="344" t="s">
        <v>6409</v>
      </c>
      <c r="B3980" s="345" t="s">
        <v>6410</v>
      </c>
    </row>
    <row r="3981" spans="1:2" ht="15.75" x14ac:dyDescent="0.25">
      <c r="A3981" s="344" t="s">
        <v>6411</v>
      </c>
      <c r="B3981" s="345" t="s">
        <v>6412</v>
      </c>
    </row>
    <row r="3982" spans="1:2" ht="15.75" x14ac:dyDescent="0.25">
      <c r="A3982" s="344" t="s">
        <v>6413</v>
      </c>
      <c r="B3982" s="345" t="s">
        <v>6414</v>
      </c>
    </row>
    <row r="3983" spans="1:2" ht="15.75" x14ac:dyDescent="0.25">
      <c r="A3983" s="344" t="s">
        <v>6415</v>
      </c>
      <c r="B3983" s="345" t="s">
        <v>6416</v>
      </c>
    </row>
    <row r="3984" spans="1:2" ht="15.75" x14ac:dyDescent="0.25">
      <c r="A3984" s="344" t="s">
        <v>6417</v>
      </c>
      <c r="B3984" s="345" t="s">
        <v>6418</v>
      </c>
    </row>
    <row r="3985" spans="1:2" ht="15.75" x14ac:dyDescent="0.25">
      <c r="A3985" s="344" t="s">
        <v>6419</v>
      </c>
      <c r="B3985" s="345" t="s">
        <v>6420</v>
      </c>
    </row>
    <row r="3986" spans="1:2" ht="15.75" x14ac:dyDescent="0.25">
      <c r="A3986" s="344" t="s">
        <v>6421</v>
      </c>
      <c r="B3986" s="345" t="s">
        <v>6422</v>
      </c>
    </row>
    <row r="3987" spans="1:2" ht="15.75" x14ac:dyDescent="0.25">
      <c r="A3987" s="344" t="s">
        <v>6423</v>
      </c>
      <c r="B3987" s="345" t="s">
        <v>6424</v>
      </c>
    </row>
    <row r="3988" spans="1:2" ht="15.75" x14ac:dyDescent="0.25">
      <c r="A3988" s="344" t="s">
        <v>6425</v>
      </c>
      <c r="B3988" s="345" t="s">
        <v>6426</v>
      </c>
    </row>
    <row r="3989" spans="1:2" ht="15.75" x14ac:dyDescent="0.25">
      <c r="A3989" s="344" t="s">
        <v>6427</v>
      </c>
      <c r="B3989" s="345" t="s">
        <v>6428</v>
      </c>
    </row>
    <row r="3990" spans="1:2" ht="15.75" x14ac:dyDescent="0.25">
      <c r="A3990" s="344" t="s">
        <v>6429</v>
      </c>
      <c r="B3990" s="345" t="s">
        <v>6430</v>
      </c>
    </row>
    <row r="3991" spans="1:2" ht="15.75" x14ac:dyDescent="0.25">
      <c r="A3991" s="344" t="s">
        <v>6431</v>
      </c>
      <c r="B3991" s="345" t="s">
        <v>6432</v>
      </c>
    </row>
    <row r="3992" spans="1:2" ht="15.75" x14ac:dyDescent="0.25">
      <c r="A3992" s="344" t="s">
        <v>6433</v>
      </c>
      <c r="B3992" s="345" t="s">
        <v>6434</v>
      </c>
    </row>
    <row r="3993" spans="1:2" ht="15.75" x14ac:dyDescent="0.25">
      <c r="A3993" s="344" t="s">
        <v>6435</v>
      </c>
      <c r="B3993" s="345" t="s">
        <v>6436</v>
      </c>
    </row>
    <row r="3994" spans="1:2" ht="15.75" x14ac:dyDescent="0.25">
      <c r="A3994" s="344" t="s">
        <v>6437</v>
      </c>
      <c r="B3994" s="345" t="s">
        <v>6438</v>
      </c>
    </row>
    <row r="3995" spans="1:2" ht="15.75" x14ac:dyDescent="0.25">
      <c r="A3995" s="344" t="s">
        <v>6439</v>
      </c>
      <c r="B3995" s="345" t="s">
        <v>6440</v>
      </c>
    </row>
    <row r="3996" spans="1:2" ht="15.75" x14ac:dyDescent="0.25">
      <c r="A3996" s="344" t="s">
        <v>6441</v>
      </c>
      <c r="B3996" s="345" t="s">
        <v>6442</v>
      </c>
    </row>
    <row r="3997" spans="1:2" ht="15.75" x14ac:dyDescent="0.25">
      <c r="A3997" s="344" t="s">
        <v>6443</v>
      </c>
      <c r="B3997" s="345" t="s">
        <v>6444</v>
      </c>
    </row>
    <row r="3998" spans="1:2" ht="15.75" x14ac:dyDescent="0.25">
      <c r="A3998" s="344" t="s">
        <v>6445</v>
      </c>
      <c r="B3998" s="345" t="s">
        <v>6446</v>
      </c>
    </row>
    <row r="3999" spans="1:2" ht="15.75" x14ac:dyDescent="0.25">
      <c r="A3999" s="344" t="s">
        <v>6447</v>
      </c>
      <c r="B3999" s="345" t="s">
        <v>6448</v>
      </c>
    </row>
    <row r="4000" spans="1:2" ht="15.75" x14ac:dyDescent="0.25">
      <c r="A4000" s="344" t="s">
        <v>6449</v>
      </c>
      <c r="B4000" s="345" t="s">
        <v>6450</v>
      </c>
    </row>
    <row r="4001" spans="1:2" ht="15.75" x14ac:dyDescent="0.25">
      <c r="A4001" s="344" t="s">
        <v>6451</v>
      </c>
      <c r="B4001" s="345" t="s">
        <v>6452</v>
      </c>
    </row>
    <row r="4002" spans="1:2" ht="15.75" x14ac:dyDescent="0.25">
      <c r="A4002" s="344" t="s">
        <v>6453</v>
      </c>
      <c r="B4002" s="345" t="s">
        <v>6454</v>
      </c>
    </row>
    <row r="4003" spans="1:2" ht="15.75" x14ac:dyDescent="0.25">
      <c r="A4003" s="344" t="s">
        <v>6455</v>
      </c>
      <c r="B4003" s="345" t="s">
        <v>6456</v>
      </c>
    </row>
    <row r="4004" spans="1:2" ht="15.75" x14ac:dyDescent="0.25">
      <c r="A4004" s="344" t="s">
        <v>6457</v>
      </c>
      <c r="B4004" s="345" t="s">
        <v>6458</v>
      </c>
    </row>
    <row r="4005" spans="1:2" ht="15.75" x14ac:dyDescent="0.25">
      <c r="A4005" s="344" t="s">
        <v>6459</v>
      </c>
      <c r="B4005" s="345" t="s">
        <v>6460</v>
      </c>
    </row>
    <row r="4006" spans="1:2" ht="15.75" x14ac:dyDescent="0.25">
      <c r="A4006" s="344" t="s">
        <v>6461</v>
      </c>
      <c r="B4006" s="345" t="s">
        <v>6462</v>
      </c>
    </row>
    <row r="4007" spans="1:2" ht="15.75" x14ac:dyDescent="0.25">
      <c r="A4007" s="344" t="s">
        <v>6463</v>
      </c>
      <c r="B4007" s="345" t="s">
        <v>6464</v>
      </c>
    </row>
    <row r="4008" spans="1:2" ht="15.75" x14ac:dyDescent="0.25">
      <c r="A4008" s="344" t="s">
        <v>6465</v>
      </c>
      <c r="B4008" s="345" t="s">
        <v>6466</v>
      </c>
    </row>
    <row r="4009" spans="1:2" ht="15.75" x14ac:dyDescent="0.25">
      <c r="A4009" s="344" t="s">
        <v>6467</v>
      </c>
      <c r="B4009" s="345" t="s">
        <v>6468</v>
      </c>
    </row>
    <row r="4010" spans="1:2" ht="15.75" x14ac:dyDescent="0.25">
      <c r="A4010" s="344" t="s">
        <v>6469</v>
      </c>
      <c r="B4010" s="345" t="s">
        <v>6470</v>
      </c>
    </row>
    <row r="4011" spans="1:2" ht="15.75" x14ac:dyDescent="0.25">
      <c r="A4011" s="344" t="s">
        <v>6471</v>
      </c>
      <c r="B4011" s="345" t="s">
        <v>6472</v>
      </c>
    </row>
    <row r="4012" spans="1:2" ht="15.75" x14ac:dyDescent="0.25">
      <c r="A4012" s="344" t="s">
        <v>6473</v>
      </c>
      <c r="B4012" s="345" t="s">
        <v>6474</v>
      </c>
    </row>
    <row r="4013" spans="1:2" ht="15.75" x14ac:dyDescent="0.25">
      <c r="A4013" s="344" t="s">
        <v>6475</v>
      </c>
      <c r="B4013" s="345" t="s">
        <v>6476</v>
      </c>
    </row>
    <row r="4014" spans="1:2" ht="15.75" x14ac:dyDescent="0.25">
      <c r="A4014" s="344" t="s">
        <v>6477</v>
      </c>
      <c r="B4014" s="345" t="s">
        <v>6478</v>
      </c>
    </row>
    <row r="4015" spans="1:2" ht="15.75" x14ac:dyDescent="0.25">
      <c r="A4015" s="344" t="s">
        <v>6479</v>
      </c>
      <c r="B4015" s="345" t="s">
        <v>6480</v>
      </c>
    </row>
    <row r="4016" spans="1:2" ht="15.75" x14ac:dyDescent="0.25">
      <c r="A4016" s="344" t="s">
        <v>6481</v>
      </c>
      <c r="B4016" s="345" t="s">
        <v>6482</v>
      </c>
    </row>
    <row r="4017" spans="1:2" ht="15.75" x14ac:dyDescent="0.25">
      <c r="A4017" s="344" t="s">
        <v>6483</v>
      </c>
      <c r="B4017" s="345" t="s">
        <v>6484</v>
      </c>
    </row>
    <row r="4018" spans="1:2" ht="15.75" x14ac:dyDescent="0.25">
      <c r="A4018" s="344" t="s">
        <v>6485</v>
      </c>
      <c r="B4018" s="345" t="s">
        <v>6486</v>
      </c>
    </row>
    <row r="4019" spans="1:2" ht="15.75" x14ac:dyDescent="0.25">
      <c r="A4019" s="344" t="s">
        <v>6487</v>
      </c>
      <c r="B4019" s="345" t="s">
        <v>6488</v>
      </c>
    </row>
    <row r="4020" spans="1:2" ht="15.75" x14ac:dyDescent="0.25">
      <c r="A4020" s="344" t="s">
        <v>6489</v>
      </c>
      <c r="B4020" s="345" t="s">
        <v>6490</v>
      </c>
    </row>
    <row r="4021" spans="1:2" ht="15.75" x14ac:dyDescent="0.25">
      <c r="A4021" s="344" t="s">
        <v>6491</v>
      </c>
      <c r="B4021" s="345" t="s">
        <v>6492</v>
      </c>
    </row>
    <row r="4022" spans="1:2" ht="15.75" x14ac:dyDescent="0.25">
      <c r="A4022" s="344" t="s">
        <v>6493</v>
      </c>
      <c r="B4022" s="345" t="s">
        <v>6494</v>
      </c>
    </row>
    <row r="4023" spans="1:2" ht="15.75" x14ac:dyDescent="0.25">
      <c r="A4023" s="344" t="s">
        <v>6495</v>
      </c>
      <c r="B4023" s="345" t="s">
        <v>6496</v>
      </c>
    </row>
    <row r="4024" spans="1:2" ht="15.75" x14ac:dyDescent="0.25">
      <c r="A4024" s="344" t="s">
        <v>6497</v>
      </c>
      <c r="B4024" s="345" t="s">
        <v>6498</v>
      </c>
    </row>
    <row r="4025" spans="1:2" ht="15.75" x14ac:dyDescent="0.25">
      <c r="A4025" s="344" t="s">
        <v>6499</v>
      </c>
      <c r="B4025" s="345" t="s">
        <v>2386</v>
      </c>
    </row>
    <row r="4026" spans="1:2" ht="15.75" x14ac:dyDescent="0.25">
      <c r="A4026" s="344" t="s">
        <v>6500</v>
      </c>
      <c r="B4026" s="345" t="s">
        <v>6501</v>
      </c>
    </row>
    <row r="4027" spans="1:2" ht="15.75" x14ac:dyDescent="0.25">
      <c r="A4027" s="344" t="s">
        <v>6502</v>
      </c>
      <c r="B4027" s="345" t="s">
        <v>6503</v>
      </c>
    </row>
    <row r="4028" spans="1:2" ht="15.75" x14ac:dyDescent="0.25">
      <c r="A4028" s="344" t="s">
        <v>6504</v>
      </c>
      <c r="B4028" s="345" t="s">
        <v>6505</v>
      </c>
    </row>
    <row r="4029" spans="1:2" ht="15.75" x14ac:dyDescent="0.25">
      <c r="A4029" s="344" t="s">
        <v>6506</v>
      </c>
      <c r="B4029" s="345" t="s">
        <v>6507</v>
      </c>
    </row>
    <row r="4030" spans="1:2" ht="15.75" x14ac:dyDescent="0.25">
      <c r="A4030" s="344" t="s">
        <v>6508</v>
      </c>
      <c r="B4030" s="345" t="s">
        <v>6509</v>
      </c>
    </row>
    <row r="4031" spans="1:2" ht="15.75" x14ac:dyDescent="0.25">
      <c r="A4031" s="344" t="s">
        <v>6510</v>
      </c>
      <c r="B4031" s="345" t="s">
        <v>2387</v>
      </c>
    </row>
    <row r="4032" spans="1:2" ht="15.75" x14ac:dyDescent="0.25">
      <c r="A4032" s="344" t="s">
        <v>6511</v>
      </c>
      <c r="B4032" s="345" t="s">
        <v>6512</v>
      </c>
    </row>
    <row r="4033" spans="1:2" ht="15.75" x14ac:dyDescent="0.25">
      <c r="A4033" s="344" t="s">
        <v>6513</v>
      </c>
      <c r="B4033" s="345" t="s">
        <v>2388</v>
      </c>
    </row>
    <row r="4034" spans="1:2" ht="15.75" x14ac:dyDescent="0.25">
      <c r="A4034" s="344" t="s">
        <v>6514</v>
      </c>
      <c r="B4034" s="345" t="s">
        <v>6515</v>
      </c>
    </row>
    <row r="4035" spans="1:2" ht="15.75" x14ac:dyDescent="0.25">
      <c r="A4035" s="344" t="s">
        <v>6516</v>
      </c>
      <c r="B4035" s="345" t="s">
        <v>6517</v>
      </c>
    </row>
    <row r="4036" spans="1:2" ht="15.75" x14ac:dyDescent="0.25">
      <c r="A4036" s="344" t="s">
        <v>6518</v>
      </c>
      <c r="B4036" s="345" t="s">
        <v>2389</v>
      </c>
    </row>
    <row r="4037" spans="1:2" ht="15.75" x14ac:dyDescent="0.25">
      <c r="A4037" s="344" t="s">
        <v>6519</v>
      </c>
      <c r="B4037" s="345" t="s">
        <v>6520</v>
      </c>
    </row>
    <row r="4038" spans="1:2" ht="15.75" x14ac:dyDescent="0.25">
      <c r="A4038" s="344" t="s">
        <v>6521</v>
      </c>
      <c r="B4038" s="345" t="s">
        <v>6522</v>
      </c>
    </row>
    <row r="4039" spans="1:2" ht="15.75" x14ac:dyDescent="0.25">
      <c r="A4039" s="344" t="s">
        <v>6523</v>
      </c>
      <c r="B4039" s="345" t="s">
        <v>6524</v>
      </c>
    </row>
    <row r="4040" spans="1:2" ht="15.75" x14ac:dyDescent="0.25">
      <c r="A4040" s="344" t="s">
        <v>6525</v>
      </c>
      <c r="B4040" s="345" t="s">
        <v>6526</v>
      </c>
    </row>
    <row r="4041" spans="1:2" ht="15.75" x14ac:dyDescent="0.25">
      <c r="A4041" s="344" t="s">
        <v>6527</v>
      </c>
      <c r="B4041" s="345" t="s">
        <v>2390</v>
      </c>
    </row>
    <row r="4042" spans="1:2" ht="15.75" x14ac:dyDescent="0.25">
      <c r="A4042" s="344" t="s">
        <v>6528</v>
      </c>
      <c r="B4042" s="345" t="s">
        <v>2391</v>
      </c>
    </row>
    <row r="4043" spans="1:2" ht="15.75" x14ac:dyDescent="0.25">
      <c r="A4043" s="344" t="s">
        <v>6529</v>
      </c>
      <c r="B4043" s="345" t="s">
        <v>2392</v>
      </c>
    </row>
    <row r="4044" spans="1:2" ht="15.75" x14ac:dyDescent="0.25">
      <c r="A4044" s="344" t="s">
        <v>6530</v>
      </c>
      <c r="B4044" s="345" t="s">
        <v>4792</v>
      </c>
    </row>
    <row r="4045" spans="1:2" ht="15.75" x14ac:dyDescent="0.25">
      <c r="A4045" s="344" t="s">
        <v>6531</v>
      </c>
      <c r="B4045" s="345" t="s">
        <v>2393</v>
      </c>
    </row>
    <row r="4046" spans="1:2" ht="15.75" x14ac:dyDescent="0.25">
      <c r="A4046" s="344" t="s">
        <v>6532</v>
      </c>
      <c r="B4046" s="345" t="s">
        <v>2394</v>
      </c>
    </row>
    <row r="4047" spans="1:2" ht="15.75" x14ac:dyDescent="0.25">
      <c r="A4047" s="344" t="s">
        <v>6533</v>
      </c>
      <c r="B4047" s="345" t="s">
        <v>6534</v>
      </c>
    </row>
    <row r="4048" spans="1:2" ht="15.75" x14ac:dyDescent="0.25">
      <c r="A4048" s="344" t="s">
        <v>6535</v>
      </c>
      <c r="B4048" s="345" t="s">
        <v>6536</v>
      </c>
    </row>
    <row r="4049" spans="1:2" ht="15.75" x14ac:dyDescent="0.25">
      <c r="A4049" s="344" t="s">
        <v>6537</v>
      </c>
      <c r="B4049" s="345" t="s">
        <v>6538</v>
      </c>
    </row>
    <row r="4050" spans="1:2" ht="15.75" x14ac:dyDescent="0.25">
      <c r="A4050" s="344" t="s">
        <v>6539</v>
      </c>
      <c r="B4050" s="345" t="s">
        <v>2395</v>
      </c>
    </row>
    <row r="4051" spans="1:2" ht="15.75" x14ac:dyDescent="0.25">
      <c r="A4051" s="344" t="s">
        <v>6540</v>
      </c>
      <c r="B4051" s="345" t="s">
        <v>6541</v>
      </c>
    </row>
    <row r="4052" spans="1:2" ht="15.75" x14ac:dyDescent="0.25">
      <c r="A4052" s="344" t="s">
        <v>6542</v>
      </c>
      <c r="B4052" s="345" t="s">
        <v>2396</v>
      </c>
    </row>
    <row r="4053" spans="1:2" ht="15.75" x14ac:dyDescent="0.25">
      <c r="A4053" s="344" t="s">
        <v>6543</v>
      </c>
      <c r="B4053" s="345" t="s">
        <v>6544</v>
      </c>
    </row>
    <row r="4054" spans="1:2" ht="15.75" x14ac:dyDescent="0.25">
      <c r="A4054" s="344" t="s">
        <v>6545</v>
      </c>
      <c r="B4054" s="345" t="s">
        <v>2397</v>
      </c>
    </row>
    <row r="4055" spans="1:2" ht="15.75" x14ac:dyDescent="0.25">
      <c r="A4055" s="344" t="s">
        <v>6546</v>
      </c>
      <c r="B4055" s="345" t="s">
        <v>2398</v>
      </c>
    </row>
    <row r="4056" spans="1:2" ht="15.75" x14ac:dyDescent="0.25">
      <c r="A4056" s="344" t="s">
        <v>6547</v>
      </c>
      <c r="B4056" s="345" t="s">
        <v>2399</v>
      </c>
    </row>
    <row r="4057" spans="1:2" ht="15.75" x14ac:dyDescent="0.25">
      <c r="A4057" s="344" t="s">
        <v>6548</v>
      </c>
      <c r="B4057" s="345" t="s">
        <v>2400</v>
      </c>
    </row>
    <row r="4058" spans="1:2" ht="15.75" x14ac:dyDescent="0.25">
      <c r="A4058" s="344" t="s">
        <v>6549</v>
      </c>
      <c r="B4058" s="345" t="s">
        <v>6550</v>
      </c>
    </row>
    <row r="4059" spans="1:2" ht="15.75" x14ac:dyDescent="0.25">
      <c r="A4059" s="344" t="s">
        <v>6551</v>
      </c>
      <c r="B4059" s="345" t="s">
        <v>6552</v>
      </c>
    </row>
    <row r="4060" spans="1:2" ht="15.75" x14ac:dyDescent="0.25">
      <c r="A4060" s="344" t="s">
        <v>6553</v>
      </c>
      <c r="B4060" s="345" t="s">
        <v>6554</v>
      </c>
    </row>
    <row r="4061" spans="1:2" ht="15.75" x14ac:dyDescent="0.25">
      <c r="A4061" s="344" t="s">
        <v>6555</v>
      </c>
      <c r="B4061" s="345" t="s">
        <v>2401</v>
      </c>
    </row>
    <row r="4062" spans="1:2" ht="15.75" x14ac:dyDescent="0.25">
      <c r="A4062" s="344" t="s">
        <v>6556</v>
      </c>
      <c r="B4062" s="345" t="s">
        <v>6557</v>
      </c>
    </row>
    <row r="4063" spans="1:2" ht="15.75" x14ac:dyDescent="0.25">
      <c r="A4063" s="344" t="s">
        <v>6558</v>
      </c>
      <c r="B4063" s="345" t="s">
        <v>6559</v>
      </c>
    </row>
    <row r="4064" spans="1:2" ht="15.75" x14ac:dyDescent="0.25">
      <c r="A4064" s="344" t="s">
        <v>6560</v>
      </c>
      <c r="B4064" s="345" t="s">
        <v>6561</v>
      </c>
    </row>
    <row r="4065" spans="1:2" ht="15.75" x14ac:dyDescent="0.25">
      <c r="A4065" s="344" t="s">
        <v>6562</v>
      </c>
      <c r="B4065" s="345" t="s">
        <v>6563</v>
      </c>
    </row>
    <row r="4066" spans="1:2" ht="15.75" x14ac:dyDescent="0.25">
      <c r="A4066" s="344" t="s">
        <v>6564</v>
      </c>
      <c r="B4066" s="345" t="s">
        <v>6565</v>
      </c>
    </row>
    <row r="4067" spans="1:2" ht="15.75" x14ac:dyDescent="0.25">
      <c r="A4067" s="344" t="s">
        <v>6566</v>
      </c>
      <c r="B4067" s="345" t="s">
        <v>2402</v>
      </c>
    </row>
    <row r="4068" spans="1:2" ht="15.75" x14ac:dyDescent="0.25">
      <c r="A4068" s="344" t="s">
        <v>6567</v>
      </c>
      <c r="B4068" s="345" t="s">
        <v>6568</v>
      </c>
    </row>
    <row r="4069" spans="1:2" ht="15.75" x14ac:dyDescent="0.25">
      <c r="A4069" s="344" t="s">
        <v>6569</v>
      </c>
      <c r="B4069" s="345" t="s">
        <v>6570</v>
      </c>
    </row>
    <row r="4070" spans="1:2" ht="15.75" x14ac:dyDescent="0.25">
      <c r="A4070" s="344" t="s">
        <v>6571</v>
      </c>
      <c r="B4070" s="345" t="s">
        <v>2403</v>
      </c>
    </row>
    <row r="4071" spans="1:2" ht="15.75" x14ac:dyDescent="0.25">
      <c r="A4071" s="344" t="s">
        <v>6572</v>
      </c>
      <c r="B4071" s="345" t="s">
        <v>4734</v>
      </c>
    </row>
    <row r="4072" spans="1:2" ht="15.75" x14ac:dyDescent="0.25">
      <c r="A4072" s="344" t="s">
        <v>6573</v>
      </c>
      <c r="B4072" s="345" t="s">
        <v>6574</v>
      </c>
    </row>
    <row r="4073" spans="1:2" ht="15.75" x14ac:dyDescent="0.25">
      <c r="A4073" s="344" t="s">
        <v>6575</v>
      </c>
      <c r="B4073" s="345" t="s">
        <v>6576</v>
      </c>
    </row>
    <row r="4074" spans="1:2" ht="15.75" x14ac:dyDescent="0.25">
      <c r="A4074" s="344" t="s">
        <v>6577</v>
      </c>
      <c r="B4074" s="345" t="s">
        <v>6578</v>
      </c>
    </row>
    <row r="4075" spans="1:2" ht="15.75" x14ac:dyDescent="0.25">
      <c r="A4075" s="344" t="s">
        <v>6579</v>
      </c>
      <c r="B4075" s="345" t="s">
        <v>6580</v>
      </c>
    </row>
    <row r="4076" spans="1:2" ht="15.75" x14ac:dyDescent="0.25">
      <c r="A4076" s="344" t="s">
        <v>6581</v>
      </c>
      <c r="B4076" s="345" t="s">
        <v>2404</v>
      </c>
    </row>
    <row r="4077" spans="1:2" ht="15.75" x14ac:dyDescent="0.25">
      <c r="A4077" s="344" t="s">
        <v>6582</v>
      </c>
      <c r="B4077" s="345" t="s">
        <v>6583</v>
      </c>
    </row>
    <row r="4078" spans="1:2" ht="15.75" x14ac:dyDescent="0.25">
      <c r="A4078" s="344" t="s">
        <v>6584</v>
      </c>
      <c r="B4078" s="345" t="s">
        <v>6585</v>
      </c>
    </row>
    <row r="4079" spans="1:2" ht="15.75" x14ac:dyDescent="0.25">
      <c r="A4079" s="344" t="s">
        <v>6586</v>
      </c>
      <c r="B4079" s="345" t="s">
        <v>2405</v>
      </c>
    </row>
    <row r="4080" spans="1:2" ht="15.75" x14ac:dyDescent="0.25">
      <c r="A4080" s="344" t="s">
        <v>6587</v>
      </c>
      <c r="B4080" s="345" t="s">
        <v>2406</v>
      </c>
    </row>
    <row r="4081" spans="1:2" ht="15.75" x14ac:dyDescent="0.25">
      <c r="A4081" s="344" t="s">
        <v>6588</v>
      </c>
      <c r="B4081" s="345" t="s">
        <v>6589</v>
      </c>
    </row>
    <row r="4082" spans="1:2" ht="15.75" x14ac:dyDescent="0.25">
      <c r="A4082" s="344" t="s">
        <v>6590</v>
      </c>
      <c r="B4082" s="345" t="s">
        <v>2366</v>
      </c>
    </row>
    <row r="4083" spans="1:2" ht="15.75" x14ac:dyDescent="0.25">
      <c r="A4083" s="344" t="s">
        <v>6591</v>
      </c>
      <c r="B4083" s="345" t="s">
        <v>6592</v>
      </c>
    </row>
    <row r="4084" spans="1:2" ht="15.75" x14ac:dyDescent="0.25">
      <c r="A4084" s="344" t="s">
        <v>6593</v>
      </c>
      <c r="B4084" s="345" t="s">
        <v>6594</v>
      </c>
    </row>
    <row r="4085" spans="1:2" ht="15.75" x14ac:dyDescent="0.25">
      <c r="A4085" s="344" t="s">
        <v>1854</v>
      </c>
      <c r="B4085" s="345" t="s">
        <v>6595</v>
      </c>
    </row>
    <row r="4086" spans="1:2" ht="15.75" x14ac:dyDescent="0.25">
      <c r="A4086" s="344" t="s">
        <v>6596</v>
      </c>
      <c r="B4086" s="345" t="s">
        <v>6597</v>
      </c>
    </row>
    <row r="4087" spans="1:2" ht="15.75" x14ac:dyDescent="0.25">
      <c r="A4087" s="344" t="s">
        <v>6598</v>
      </c>
      <c r="B4087" s="345" t="s">
        <v>6599</v>
      </c>
    </row>
    <row r="4088" spans="1:2" ht="15.75" x14ac:dyDescent="0.25">
      <c r="A4088" s="344" t="s">
        <v>6600</v>
      </c>
      <c r="B4088" s="345" t="s">
        <v>6601</v>
      </c>
    </row>
    <row r="4089" spans="1:2" ht="15.75" x14ac:dyDescent="0.25">
      <c r="A4089" s="344" t="s">
        <v>6602</v>
      </c>
      <c r="B4089" s="345" t="s">
        <v>6603</v>
      </c>
    </row>
    <row r="4090" spans="1:2" ht="15.75" x14ac:dyDescent="0.25">
      <c r="A4090" s="344" t="s">
        <v>6604</v>
      </c>
      <c r="B4090" s="345" t="s">
        <v>6605</v>
      </c>
    </row>
    <row r="4091" spans="1:2" ht="15.75" x14ac:dyDescent="0.25">
      <c r="A4091" s="344" t="s">
        <v>6606</v>
      </c>
      <c r="B4091" s="345" t="s">
        <v>6607</v>
      </c>
    </row>
    <row r="4092" spans="1:2" ht="15.75" x14ac:dyDescent="0.25">
      <c r="A4092" s="344" t="s">
        <v>6608</v>
      </c>
      <c r="B4092" s="345" t="s">
        <v>6609</v>
      </c>
    </row>
    <row r="4093" spans="1:2" ht="15.75" x14ac:dyDescent="0.25">
      <c r="A4093" s="344" t="s">
        <v>6610</v>
      </c>
      <c r="B4093" s="345" t="s">
        <v>6611</v>
      </c>
    </row>
    <row r="4094" spans="1:2" ht="15.75" x14ac:dyDescent="0.25">
      <c r="A4094" s="344" t="s">
        <v>6612</v>
      </c>
      <c r="B4094" s="345" t="s">
        <v>6613</v>
      </c>
    </row>
    <row r="4095" spans="1:2" ht="15.75" x14ac:dyDescent="0.25">
      <c r="A4095" s="344" t="s">
        <v>6614</v>
      </c>
      <c r="B4095" s="345" t="s">
        <v>6615</v>
      </c>
    </row>
    <row r="4096" spans="1:2" ht="15.75" x14ac:dyDescent="0.25">
      <c r="A4096" s="344" t="s">
        <v>6616</v>
      </c>
      <c r="B4096" s="345" t="s">
        <v>6617</v>
      </c>
    </row>
    <row r="4097" spans="1:2" ht="15.75" x14ac:dyDescent="0.25">
      <c r="A4097" s="344" t="s">
        <v>6618</v>
      </c>
      <c r="B4097" s="345" t="s">
        <v>2407</v>
      </c>
    </row>
    <row r="4098" spans="1:2" ht="15.75" x14ac:dyDescent="0.25">
      <c r="A4098" s="344" t="s">
        <v>6619</v>
      </c>
      <c r="B4098" s="345" t="s">
        <v>6620</v>
      </c>
    </row>
    <row r="4099" spans="1:2" ht="15.75" x14ac:dyDescent="0.25">
      <c r="A4099" s="344" t="s">
        <v>6621</v>
      </c>
      <c r="B4099" s="345" t="s">
        <v>6622</v>
      </c>
    </row>
    <row r="4100" spans="1:2" ht="15.75" x14ac:dyDescent="0.25">
      <c r="A4100" s="344" t="s">
        <v>6623</v>
      </c>
      <c r="B4100" s="345" t="s">
        <v>6624</v>
      </c>
    </row>
    <row r="4101" spans="1:2" ht="15.75" x14ac:dyDescent="0.25">
      <c r="A4101" s="344" t="s">
        <v>6625</v>
      </c>
      <c r="B4101" s="345" t="s">
        <v>2408</v>
      </c>
    </row>
    <row r="4102" spans="1:2" ht="15.75" x14ac:dyDescent="0.25">
      <c r="A4102" s="344" t="s">
        <v>6626</v>
      </c>
      <c r="B4102" s="345" t="s">
        <v>4788</v>
      </c>
    </row>
    <row r="4103" spans="1:2" ht="15.75" x14ac:dyDescent="0.25">
      <c r="A4103" s="344" t="s">
        <v>6627</v>
      </c>
      <c r="B4103" s="345" t="s">
        <v>6628</v>
      </c>
    </row>
    <row r="4104" spans="1:2" ht="15.75" x14ac:dyDescent="0.25">
      <c r="A4104" s="344" t="s">
        <v>6629</v>
      </c>
      <c r="B4104" s="345" t="s">
        <v>2409</v>
      </c>
    </row>
    <row r="4105" spans="1:2" ht="15.75" x14ac:dyDescent="0.25">
      <c r="A4105" s="344" t="s">
        <v>6630</v>
      </c>
      <c r="B4105" s="345" t="s">
        <v>6631</v>
      </c>
    </row>
    <row r="4106" spans="1:2" ht="15.75" x14ac:dyDescent="0.25">
      <c r="A4106" s="344" t="s">
        <v>6632</v>
      </c>
      <c r="B4106" s="345" t="s">
        <v>6633</v>
      </c>
    </row>
    <row r="4107" spans="1:2" ht="15.75" x14ac:dyDescent="0.25">
      <c r="A4107" s="344" t="s">
        <v>6634</v>
      </c>
      <c r="B4107" s="345" t="s">
        <v>2410</v>
      </c>
    </row>
    <row r="4108" spans="1:2" ht="15.75" x14ac:dyDescent="0.25">
      <c r="A4108" s="344" t="s">
        <v>6635</v>
      </c>
      <c r="B4108" s="345" t="s">
        <v>6636</v>
      </c>
    </row>
    <row r="4109" spans="1:2" ht="15.75" x14ac:dyDescent="0.25">
      <c r="A4109" s="344" t="s">
        <v>6637</v>
      </c>
      <c r="B4109" s="345" t="s">
        <v>6638</v>
      </c>
    </row>
    <row r="4110" spans="1:2" ht="15.75" x14ac:dyDescent="0.25">
      <c r="A4110" s="344" t="s">
        <v>6639</v>
      </c>
      <c r="B4110" s="345" t="s">
        <v>6640</v>
      </c>
    </row>
    <row r="4111" spans="1:2" ht="15.75" x14ac:dyDescent="0.25">
      <c r="A4111" s="344" t="s">
        <v>6641</v>
      </c>
      <c r="B4111" s="345" t="s">
        <v>6642</v>
      </c>
    </row>
    <row r="4112" spans="1:2" ht="15.75" x14ac:dyDescent="0.25">
      <c r="A4112" s="344" t="s">
        <v>6643</v>
      </c>
      <c r="B4112" s="345" t="s">
        <v>2411</v>
      </c>
    </row>
    <row r="4113" spans="1:2" ht="15.75" x14ac:dyDescent="0.25">
      <c r="A4113" s="344" t="s">
        <v>6644</v>
      </c>
      <c r="B4113" s="345" t="s">
        <v>6645</v>
      </c>
    </row>
    <row r="4114" spans="1:2" ht="15.75" x14ac:dyDescent="0.25">
      <c r="A4114" s="344" t="s">
        <v>6646</v>
      </c>
      <c r="B4114" s="345" t="s">
        <v>2412</v>
      </c>
    </row>
    <row r="4115" spans="1:2" ht="15.75" x14ac:dyDescent="0.25">
      <c r="A4115" s="344" t="s">
        <v>6647</v>
      </c>
      <c r="B4115" s="345" t="s">
        <v>2413</v>
      </c>
    </row>
    <row r="4116" spans="1:2" ht="15.75" x14ac:dyDescent="0.25">
      <c r="A4116" s="344" t="s">
        <v>6648</v>
      </c>
      <c r="B4116" s="345" t="s">
        <v>2414</v>
      </c>
    </row>
    <row r="4117" spans="1:2" ht="15.75" x14ac:dyDescent="0.25">
      <c r="A4117" s="344" t="s">
        <v>6649</v>
      </c>
      <c r="B4117" s="345" t="s">
        <v>6650</v>
      </c>
    </row>
    <row r="4118" spans="1:2" ht="15.75" x14ac:dyDescent="0.25">
      <c r="A4118" s="344" t="s">
        <v>6651</v>
      </c>
      <c r="B4118" s="345" t="s">
        <v>6652</v>
      </c>
    </row>
    <row r="4119" spans="1:2" ht="15.75" x14ac:dyDescent="0.25">
      <c r="A4119" s="344" t="s">
        <v>6653</v>
      </c>
      <c r="B4119" s="345" t="s">
        <v>6654</v>
      </c>
    </row>
    <row r="4120" spans="1:2" ht="15.75" x14ac:dyDescent="0.25">
      <c r="A4120" s="344" t="s">
        <v>6655</v>
      </c>
      <c r="B4120" s="345" t="s">
        <v>6656</v>
      </c>
    </row>
    <row r="4121" spans="1:2" ht="15.75" x14ac:dyDescent="0.25">
      <c r="A4121" s="344" t="s">
        <v>6657</v>
      </c>
      <c r="B4121" s="345" t="s">
        <v>6658</v>
      </c>
    </row>
    <row r="4122" spans="1:2" ht="15.75" x14ac:dyDescent="0.25">
      <c r="A4122" s="344" t="s">
        <v>6659</v>
      </c>
      <c r="B4122" s="345" t="s">
        <v>2415</v>
      </c>
    </row>
    <row r="4123" spans="1:2" ht="15.75" x14ac:dyDescent="0.25">
      <c r="A4123" s="344" t="s">
        <v>6660</v>
      </c>
      <c r="B4123" s="345" t="s">
        <v>6661</v>
      </c>
    </row>
    <row r="4124" spans="1:2" ht="15.75" x14ac:dyDescent="0.25">
      <c r="A4124" s="344" t="s">
        <v>6662</v>
      </c>
      <c r="B4124" s="345" t="s">
        <v>6663</v>
      </c>
    </row>
    <row r="4125" spans="1:2" ht="15.75" x14ac:dyDescent="0.25">
      <c r="A4125" s="344" t="s">
        <v>6664</v>
      </c>
      <c r="B4125" s="345" t="s">
        <v>2416</v>
      </c>
    </row>
    <row r="4126" spans="1:2" ht="15.75" x14ac:dyDescent="0.25">
      <c r="A4126" s="344" t="s">
        <v>6665</v>
      </c>
      <c r="B4126" s="345" t="s">
        <v>6666</v>
      </c>
    </row>
    <row r="4127" spans="1:2" ht="15.75" x14ac:dyDescent="0.25">
      <c r="A4127" s="344" t="s">
        <v>6667</v>
      </c>
      <c r="B4127" s="345" t="s">
        <v>6668</v>
      </c>
    </row>
    <row r="4128" spans="1:2" ht="15.75" x14ac:dyDescent="0.25">
      <c r="A4128" s="344" t="s">
        <v>6669</v>
      </c>
      <c r="B4128" s="345" t="s">
        <v>6670</v>
      </c>
    </row>
    <row r="4129" spans="1:2" ht="15.75" x14ac:dyDescent="0.25">
      <c r="A4129" s="344" t="s">
        <v>6671</v>
      </c>
      <c r="B4129" s="345" t="s">
        <v>2417</v>
      </c>
    </row>
    <row r="4130" spans="1:2" ht="15.75" x14ac:dyDescent="0.25">
      <c r="A4130" s="344" t="s">
        <v>6672</v>
      </c>
      <c r="B4130" s="345" t="s">
        <v>6673</v>
      </c>
    </row>
    <row r="4131" spans="1:2" ht="15.75" x14ac:dyDescent="0.25">
      <c r="A4131" s="344" t="s">
        <v>6674</v>
      </c>
      <c r="B4131" s="345" t="s">
        <v>6675</v>
      </c>
    </row>
    <row r="4132" spans="1:2" ht="15.75" x14ac:dyDescent="0.25">
      <c r="A4132" s="344" t="s">
        <v>6676</v>
      </c>
      <c r="B4132" s="345" t="s">
        <v>6677</v>
      </c>
    </row>
    <row r="4133" spans="1:2" ht="15.75" x14ac:dyDescent="0.25">
      <c r="A4133" s="344" t="s">
        <v>6678</v>
      </c>
      <c r="B4133" s="345" t="s">
        <v>6679</v>
      </c>
    </row>
    <row r="4134" spans="1:2" ht="15.75" x14ac:dyDescent="0.25">
      <c r="A4134" s="344" t="s">
        <v>6680</v>
      </c>
      <c r="B4134" s="345" t="s">
        <v>4790</v>
      </c>
    </row>
    <row r="4135" spans="1:2" ht="15.75" x14ac:dyDescent="0.25">
      <c r="A4135" s="344" t="s">
        <v>6681</v>
      </c>
      <c r="B4135" s="345" t="s">
        <v>6682</v>
      </c>
    </row>
    <row r="4136" spans="1:2" ht="15.75" x14ac:dyDescent="0.25">
      <c r="A4136" s="344" t="s">
        <v>6683</v>
      </c>
      <c r="B4136" s="345" t="s">
        <v>6684</v>
      </c>
    </row>
    <row r="4137" spans="1:2" ht="15.75" x14ac:dyDescent="0.25">
      <c r="A4137" s="344" t="s">
        <v>6685</v>
      </c>
      <c r="B4137" s="345" t="s">
        <v>6686</v>
      </c>
    </row>
    <row r="4138" spans="1:2" ht="15.75" x14ac:dyDescent="0.25">
      <c r="A4138" s="344" t="s">
        <v>6687</v>
      </c>
      <c r="B4138" s="345" t="s">
        <v>2418</v>
      </c>
    </row>
    <row r="4139" spans="1:2" ht="15.75" x14ac:dyDescent="0.25">
      <c r="A4139" s="344" t="s">
        <v>6688</v>
      </c>
      <c r="B4139" s="345" t="s">
        <v>6689</v>
      </c>
    </row>
    <row r="4140" spans="1:2" ht="15.75" x14ac:dyDescent="0.25">
      <c r="A4140" s="344" t="s">
        <v>6690</v>
      </c>
      <c r="B4140" s="345" t="s">
        <v>6691</v>
      </c>
    </row>
    <row r="4141" spans="1:2" ht="15.75" x14ac:dyDescent="0.25">
      <c r="A4141" s="344" t="s">
        <v>6692</v>
      </c>
      <c r="B4141" s="345" t="s">
        <v>6693</v>
      </c>
    </row>
    <row r="4142" spans="1:2" ht="15.75" x14ac:dyDescent="0.25">
      <c r="A4142" s="344" t="s">
        <v>6694</v>
      </c>
      <c r="B4142" s="345" t="s">
        <v>6695</v>
      </c>
    </row>
    <row r="4143" spans="1:2" ht="15.75" x14ac:dyDescent="0.25">
      <c r="A4143" s="344" t="s">
        <v>6696</v>
      </c>
      <c r="B4143" s="345" t="s">
        <v>6697</v>
      </c>
    </row>
    <row r="4144" spans="1:2" ht="15.75" x14ac:dyDescent="0.25">
      <c r="A4144" s="344" t="s">
        <v>6698</v>
      </c>
      <c r="B4144" s="345" t="s">
        <v>6699</v>
      </c>
    </row>
    <row r="4145" spans="1:2" ht="15.75" x14ac:dyDescent="0.25">
      <c r="A4145" s="344" t="s">
        <v>6700</v>
      </c>
      <c r="B4145" s="345" t="s">
        <v>6701</v>
      </c>
    </row>
    <row r="4146" spans="1:2" ht="15.75" x14ac:dyDescent="0.25">
      <c r="A4146" s="344" t="s">
        <v>6702</v>
      </c>
      <c r="B4146" s="345" t="s">
        <v>6703</v>
      </c>
    </row>
    <row r="4147" spans="1:2" ht="15.75" x14ac:dyDescent="0.25">
      <c r="A4147" s="344" t="s">
        <v>6704</v>
      </c>
      <c r="B4147" s="345" t="s">
        <v>6705</v>
      </c>
    </row>
    <row r="4148" spans="1:2" ht="15.75" x14ac:dyDescent="0.25">
      <c r="A4148" s="344" t="s">
        <v>6706</v>
      </c>
      <c r="B4148" s="345" t="s">
        <v>6707</v>
      </c>
    </row>
    <row r="4149" spans="1:2" ht="15.75" x14ac:dyDescent="0.25">
      <c r="A4149" s="344" t="s">
        <v>6708</v>
      </c>
      <c r="B4149" s="345" t="s">
        <v>6709</v>
      </c>
    </row>
    <row r="4150" spans="1:2" ht="15.75" x14ac:dyDescent="0.25">
      <c r="A4150" s="344" t="s">
        <v>6710</v>
      </c>
      <c r="B4150" s="345" t="s">
        <v>6711</v>
      </c>
    </row>
    <row r="4151" spans="1:2" ht="15.75" x14ac:dyDescent="0.25">
      <c r="A4151" s="344" t="s">
        <v>6712</v>
      </c>
      <c r="B4151" s="345" t="s">
        <v>6713</v>
      </c>
    </row>
    <row r="4152" spans="1:2" ht="15.75" x14ac:dyDescent="0.25">
      <c r="A4152" s="344" t="s">
        <v>6714</v>
      </c>
      <c r="B4152" s="345" t="s">
        <v>2419</v>
      </c>
    </row>
    <row r="4153" spans="1:2" ht="15.75" x14ac:dyDescent="0.25">
      <c r="A4153" s="344" t="s">
        <v>6715</v>
      </c>
      <c r="B4153" s="345" t="s">
        <v>6716</v>
      </c>
    </row>
    <row r="4154" spans="1:2" ht="15.75" x14ac:dyDescent="0.25">
      <c r="A4154" s="344" t="s">
        <v>6717</v>
      </c>
      <c r="B4154" s="345" t="s">
        <v>6718</v>
      </c>
    </row>
    <row r="4155" spans="1:2" ht="15.75" x14ac:dyDescent="0.25">
      <c r="A4155" s="344" t="s">
        <v>6719</v>
      </c>
      <c r="B4155" s="345" t="s">
        <v>6720</v>
      </c>
    </row>
    <row r="4156" spans="1:2" ht="15.75" x14ac:dyDescent="0.25">
      <c r="A4156" s="344" t="s">
        <v>6721</v>
      </c>
      <c r="B4156" s="345" t="s">
        <v>2420</v>
      </c>
    </row>
    <row r="4157" spans="1:2" ht="15.75" x14ac:dyDescent="0.25">
      <c r="A4157" s="344" t="s">
        <v>6722</v>
      </c>
      <c r="B4157" s="345" t="s">
        <v>2421</v>
      </c>
    </row>
    <row r="4158" spans="1:2" ht="15.75" x14ac:dyDescent="0.25">
      <c r="A4158" s="344" t="s">
        <v>6723</v>
      </c>
      <c r="B4158" s="345" t="s">
        <v>4794</v>
      </c>
    </row>
    <row r="4159" spans="1:2" ht="15.75" x14ac:dyDescent="0.25">
      <c r="A4159" s="344" t="s">
        <v>6724</v>
      </c>
      <c r="B4159" s="345" t="s">
        <v>6725</v>
      </c>
    </row>
    <row r="4160" spans="1:2" ht="15.75" x14ac:dyDescent="0.25">
      <c r="A4160" s="344" t="s">
        <v>6726</v>
      </c>
      <c r="B4160" s="345" t="s">
        <v>6727</v>
      </c>
    </row>
    <row r="4161" spans="1:2" ht="15.75" x14ac:dyDescent="0.25">
      <c r="A4161" s="344" t="s">
        <v>6728</v>
      </c>
      <c r="B4161" s="345" t="s">
        <v>2370</v>
      </c>
    </row>
    <row r="4162" spans="1:2" ht="15.75" x14ac:dyDescent="0.25">
      <c r="A4162" s="344" t="s">
        <v>6729</v>
      </c>
      <c r="B4162" s="345" t="s">
        <v>2422</v>
      </c>
    </row>
    <row r="4163" spans="1:2" ht="15.75" x14ac:dyDescent="0.25">
      <c r="A4163" s="344" t="s">
        <v>6730</v>
      </c>
      <c r="B4163" s="345" t="s">
        <v>2423</v>
      </c>
    </row>
    <row r="4164" spans="1:2" ht="15.75" x14ac:dyDescent="0.25">
      <c r="A4164" s="344" t="s">
        <v>6731</v>
      </c>
      <c r="B4164" s="345" t="s">
        <v>6732</v>
      </c>
    </row>
    <row r="4165" spans="1:2" ht="15.75" x14ac:dyDescent="0.25">
      <c r="A4165" s="344" t="s">
        <v>6733</v>
      </c>
      <c r="B4165" s="345" t="s">
        <v>6734</v>
      </c>
    </row>
    <row r="4166" spans="1:2" ht="15.75" x14ac:dyDescent="0.25">
      <c r="A4166" s="344" t="s">
        <v>6735</v>
      </c>
      <c r="B4166" s="345" t="s">
        <v>6736</v>
      </c>
    </row>
    <row r="4167" spans="1:2" ht="15.75" x14ac:dyDescent="0.25">
      <c r="A4167" s="344" t="s">
        <v>6737</v>
      </c>
      <c r="B4167" s="345" t="s">
        <v>6738</v>
      </c>
    </row>
    <row r="4168" spans="1:2" ht="15.75" x14ac:dyDescent="0.25">
      <c r="A4168" s="344" t="s">
        <v>6739</v>
      </c>
      <c r="B4168" s="345" t="s">
        <v>2424</v>
      </c>
    </row>
    <row r="4169" spans="1:2" ht="15.75" x14ac:dyDescent="0.25">
      <c r="A4169" s="344" t="s">
        <v>6740</v>
      </c>
      <c r="B4169" s="345" t="s">
        <v>6741</v>
      </c>
    </row>
    <row r="4170" spans="1:2" ht="15.75" x14ac:dyDescent="0.25">
      <c r="A4170" s="344" t="s">
        <v>6742</v>
      </c>
      <c r="B4170" s="345" t="s">
        <v>6743</v>
      </c>
    </row>
    <row r="4171" spans="1:2" ht="15.75" x14ac:dyDescent="0.25">
      <c r="A4171" s="344" t="s">
        <v>6744</v>
      </c>
      <c r="B4171" s="345" t="s">
        <v>6745</v>
      </c>
    </row>
    <row r="4172" spans="1:2" ht="15.75" x14ac:dyDescent="0.25">
      <c r="A4172" s="344" t="s">
        <v>6746</v>
      </c>
      <c r="B4172" s="345" t="s">
        <v>2425</v>
      </c>
    </row>
    <row r="4173" spans="1:2" ht="15.75" x14ac:dyDescent="0.25">
      <c r="A4173" s="344" t="s">
        <v>6747</v>
      </c>
      <c r="B4173" s="345" t="s">
        <v>6748</v>
      </c>
    </row>
    <row r="4174" spans="1:2" ht="15.75" x14ac:dyDescent="0.25">
      <c r="A4174" s="344" t="s">
        <v>6749</v>
      </c>
      <c r="B4174" s="345" t="s">
        <v>6750</v>
      </c>
    </row>
    <row r="4175" spans="1:2" ht="15.75" x14ac:dyDescent="0.25">
      <c r="A4175" s="344" t="s">
        <v>6751</v>
      </c>
      <c r="B4175" s="345" t="s">
        <v>6752</v>
      </c>
    </row>
    <row r="4176" spans="1:2" ht="15.75" x14ac:dyDescent="0.25">
      <c r="A4176" s="344" t="s">
        <v>6753</v>
      </c>
      <c r="B4176" s="345" t="s">
        <v>6754</v>
      </c>
    </row>
    <row r="4177" spans="1:2" ht="15.75" x14ac:dyDescent="0.25">
      <c r="A4177" s="344" t="s">
        <v>6755</v>
      </c>
      <c r="B4177" s="345" t="s">
        <v>6756</v>
      </c>
    </row>
    <row r="4178" spans="1:2" ht="15.75" x14ac:dyDescent="0.25">
      <c r="A4178" s="344" t="s">
        <v>6757</v>
      </c>
      <c r="B4178" s="345" t="s">
        <v>2426</v>
      </c>
    </row>
    <row r="4179" spans="1:2" ht="15.75" x14ac:dyDescent="0.25">
      <c r="A4179" s="344" t="s">
        <v>6758</v>
      </c>
      <c r="B4179" s="345" t="s">
        <v>6759</v>
      </c>
    </row>
    <row r="4180" spans="1:2" ht="15.75" x14ac:dyDescent="0.25">
      <c r="A4180" s="344" t="s">
        <v>6760</v>
      </c>
      <c r="B4180" s="345" t="s">
        <v>6761</v>
      </c>
    </row>
    <row r="4181" spans="1:2" ht="15.75" x14ac:dyDescent="0.25">
      <c r="A4181" s="344" t="s">
        <v>6762</v>
      </c>
      <c r="B4181" s="345" t="s">
        <v>6763</v>
      </c>
    </row>
    <row r="4182" spans="1:2" ht="15.75" x14ac:dyDescent="0.25">
      <c r="A4182" s="344" t="s">
        <v>6764</v>
      </c>
      <c r="B4182" s="345" t="s">
        <v>2427</v>
      </c>
    </row>
    <row r="4183" spans="1:2" ht="15.75" x14ac:dyDescent="0.25">
      <c r="A4183" s="344" t="s">
        <v>6765</v>
      </c>
      <c r="B4183" s="345" t="s">
        <v>6766</v>
      </c>
    </row>
    <row r="4184" spans="1:2" ht="15.75" x14ac:dyDescent="0.25">
      <c r="A4184" s="344" t="s">
        <v>6767</v>
      </c>
      <c r="B4184" s="345" t="s">
        <v>6768</v>
      </c>
    </row>
    <row r="4185" spans="1:2" ht="15.75" x14ac:dyDescent="0.25">
      <c r="A4185" s="344" t="s">
        <v>6769</v>
      </c>
      <c r="B4185" s="345" t="s">
        <v>6770</v>
      </c>
    </row>
    <row r="4186" spans="1:2" ht="15.75" x14ac:dyDescent="0.25">
      <c r="A4186" s="344" t="s">
        <v>6771</v>
      </c>
      <c r="B4186" s="345" t="s">
        <v>2428</v>
      </c>
    </row>
    <row r="4187" spans="1:2" ht="15.75" x14ac:dyDescent="0.25">
      <c r="A4187" s="344" t="s">
        <v>6772</v>
      </c>
      <c r="B4187" s="345" t="s">
        <v>6773</v>
      </c>
    </row>
    <row r="4188" spans="1:2" ht="15.75" x14ac:dyDescent="0.25">
      <c r="A4188" s="344" t="s">
        <v>6774</v>
      </c>
      <c r="B4188" s="345" t="s">
        <v>6775</v>
      </c>
    </row>
    <row r="4189" spans="1:2" ht="15.75" x14ac:dyDescent="0.25">
      <c r="A4189" s="344" t="s">
        <v>6776</v>
      </c>
      <c r="B4189" s="345" t="s">
        <v>2429</v>
      </c>
    </row>
    <row r="4190" spans="1:2" ht="15.75" x14ac:dyDescent="0.25">
      <c r="A4190" s="344" t="s">
        <v>6777</v>
      </c>
      <c r="B4190" s="345" t="s">
        <v>2430</v>
      </c>
    </row>
    <row r="4191" spans="1:2" ht="15.75" x14ac:dyDescent="0.25">
      <c r="A4191" s="344" t="s">
        <v>6778</v>
      </c>
      <c r="B4191" s="345" t="s">
        <v>2431</v>
      </c>
    </row>
    <row r="4192" spans="1:2" ht="15.75" x14ac:dyDescent="0.25">
      <c r="A4192" s="344" t="s">
        <v>6779</v>
      </c>
      <c r="B4192" s="345" t="s">
        <v>6780</v>
      </c>
    </row>
    <row r="4193" spans="1:2" ht="15.75" x14ac:dyDescent="0.25">
      <c r="A4193" s="344" t="s">
        <v>6781</v>
      </c>
      <c r="B4193" s="345" t="s">
        <v>6782</v>
      </c>
    </row>
    <row r="4194" spans="1:2" ht="15.75" x14ac:dyDescent="0.25">
      <c r="A4194" s="344" t="s">
        <v>6783</v>
      </c>
      <c r="B4194" s="345" t="s">
        <v>6784</v>
      </c>
    </row>
    <row r="4195" spans="1:2" ht="15.75" x14ac:dyDescent="0.25">
      <c r="A4195" s="344" t="s">
        <v>6785</v>
      </c>
      <c r="B4195" s="345" t="s">
        <v>2432</v>
      </c>
    </row>
    <row r="4196" spans="1:2" ht="15.75" x14ac:dyDescent="0.25">
      <c r="A4196" s="344" t="s">
        <v>6786</v>
      </c>
      <c r="B4196" s="345" t="s">
        <v>6787</v>
      </c>
    </row>
    <row r="4197" spans="1:2" ht="15.75" x14ac:dyDescent="0.25">
      <c r="A4197" s="344" t="s">
        <v>6788</v>
      </c>
      <c r="B4197" s="345" t="s">
        <v>6789</v>
      </c>
    </row>
    <row r="4198" spans="1:2" ht="15.75" x14ac:dyDescent="0.25">
      <c r="A4198" s="344" t="s">
        <v>6790</v>
      </c>
      <c r="B4198" s="345" t="s">
        <v>6791</v>
      </c>
    </row>
    <row r="4199" spans="1:2" ht="15.75" x14ac:dyDescent="0.25">
      <c r="A4199" s="344" t="s">
        <v>6792</v>
      </c>
      <c r="B4199" s="345" t="s">
        <v>6793</v>
      </c>
    </row>
    <row r="4200" spans="1:2" ht="15.75" x14ac:dyDescent="0.25">
      <c r="A4200" s="344" t="s">
        <v>6794</v>
      </c>
      <c r="B4200" s="345" t="s">
        <v>2433</v>
      </c>
    </row>
    <row r="4201" spans="1:2" ht="15.75" x14ac:dyDescent="0.25">
      <c r="A4201" s="344" t="s">
        <v>6795</v>
      </c>
      <c r="B4201" s="345" t="s">
        <v>6796</v>
      </c>
    </row>
    <row r="4202" spans="1:2" ht="15.75" x14ac:dyDescent="0.25">
      <c r="A4202" s="344" t="s">
        <v>6797</v>
      </c>
      <c r="B4202" s="345" t="s">
        <v>6798</v>
      </c>
    </row>
    <row r="4203" spans="1:2" ht="15.75" x14ac:dyDescent="0.25">
      <c r="A4203" s="344" t="s">
        <v>6799</v>
      </c>
      <c r="B4203" s="345" t="s">
        <v>2434</v>
      </c>
    </row>
    <row r="4204" spans="1:2" ht="15.75" x14ac:dyDescent="0.25">
      <c r="A4204" s="344" t="s">
        <v>6800</v>
      </c>
      <c r="B4204" s="345" t="s">
        <v>6801</v>
      </c>
    </row>
    <row r="4205" spans="1:2" ht="15.75" x14ac:dyDescent="0.25">
      <c r="A4205" s="344" t="s">
        <v>6802</v>
      </c>
      <c r="B4205" s="345" t="s">
        <v>4758</v>
      </c>
    </row>
    <row r="4206" spans="1:2" ht="15.75" x14ac:dyDescent="0.25">
      <c r="A4206" s="344" t="s">
        <v>6803</v>
      </c>
      <c r="B4206" s="345" t="s">
        <v>6804</v>
      </c>
    </row>
    <row r="4207" spans="1:2" ht="15.75" x14ac:dyDescent="0.25">
      <c r="A4207" s="344" t="s">
        <v>6805</v>
      </c>
      <c r="B4207" s="345" t="s">
        <v>6806</v>
      </c>
    </row>
    <row r="4208" spans="1:2" ht="15.75" x14ac:dyDescent="0.25">
      <c r="A4208" s="344" t="s">
        <v>6807</v>
      </c>
      <c r="B4208" s="345" t="s">
        <v>6808</v>
      </c>
    </row>
    <row r="4209" spans="1:2" ht="15.75" x14ac:dyDescent="0.25">
      <c r="A4209" s="344" t="s">
        <v>6809</v>
      </c>
      <c r="B4209" s="345" t="s">
        <v>2435</v>
      </c>
    </row>
    <row r="4210" spans="1:2" ht="15.75" x14ac:dyDescent="0.25">
      <c r="A4210" s="344" t="s">
        <v>6810</v>
      </c>
      <c r="B4210" s="345" t="s">
        <v>6811</v>
      </c>
    </row>
    <row r="4211" spans="1:2" ht="15.75" x14ac:dyDescent="0.25">
      <c r="A4211" s="344" t="s">
        <v>6812</v>
      </c>
      <c r="B4211" s="345" t="s">
        <v>6813</v>
      </c>
    </row>
    <row r="4212" spans="1:2" ht="15.75" x14ac:dyDescent="0.25">
      <c r="A4212" s="344" t="s">
        <v>6814</v>
      </c>
      <c r="B4212" s="345" t="s">
        <v>2436</v>
      </c>
    </row>
    <row r="4213" spans="1:2" ht="15.75" x14ac:dyDescent="0.25">
      <c r="A4213" s="344" t="s">
        <v>6815</v>
      </c>
      <c r="B4213" s="345" t="s">
        <v>6816</v>
      </c>
    </row>
    <row r="4214" spans="1:2" ht="15.75" x14ac:dyDescent="0.25">
      <c r="A4214" s="344" t="s">
        <v>6817</v>
      </c>
      <c r="B4214" s="345" t="s">
        <v>2437</v>
      </c>
    </row>
    <row r="4215" spans="1:2" ht="15.75" x14ac:dyDescent="0.25">
      <c r="A4215" s="344" t="s">
        <v>6818</v>
      </c>
      <c r="B4215" s="345" t="s">
        <v>6819</v>
      </c>
    </row>
    <row r="4216" spans="1:2" ht="15.75" x14ac:dyDescent="0.25">
      <c r="A4216" s="344" t="s">
        <v>6820</v>
      </c>
      <c r="B4216" s="345" t="s">
        <v>6821</v>
      </c>
    </row>
    <row r="4217" spans="1:2" ht="15.75" x14ac:dyDescent="0.25">
      <c r="A4217" s="344" t="s">
        <v>6822</v>
      </c>
      <c r="B4217" s="345" t="s">
        <v>6823</v>
      </c>
    </row>
    <row r="4218" spans="1:2" ht="15.75" x14ac:dyDescent="0.25">
      <c r="A4218" s="344" t="s">
        <v>6824</v>
      </c>
      <c r="B4218" s="345" t="s">
        <v>6825</v>
      </c>
    </row>
    <row r="4219" spans="1:2" ht="15.75" x14ac:dyDescent="0.25">
      <c r="A4219" s="344" t="s">
        <v>6826</v>
      </c>
      <c r="B4219" s="345" t="s">
        <v>2438</v>
      </c>
    </row>
    <row r="4220" spans="1:2" ht="15.75" x14ac:dyDescent="0.25">
      <c r="A4220" s="344" t="s">
        <v>6827</v>
      </c>
      <c r="B4220" s="345" t="s">
        <v>6828</v>
      </c>
    </row>
    <row r="4221" spans="1:2" ht="15.75" x14ac:dyDescent="0.25">
      <c r="A4221" s="344" t="s">
        <v>6829</v>
      </c>
      <c r="B4221" s="345" t="s">
        <v>6830</v>
      </c>
    </row>
    <row r="4222" spans="1:2" ht="15.75" x14ac:dyDescent="0.25">
      <c r="A4222" s="344" t="s">
        <v>6831</v>
      </c>
      <c r="B4222" s="345" t="s">
        <v>2439</v>
      </c>
    </row>
    <row r="4223" spans="1:2" ht="15.75" x14ac:dyDescent="0.25">
      <c r="A4223" s="344" t="s">
        <v>6832</v>
      </c>
      <c r="B4223" s="345" t="s">
        <v>6833</v>
      </c>
    </row>
    <row r="4224" spans="1:2" ht="15.75" x14ac:dyDescent="0.25">
      <c r="A4224" s="344" t="s">
        <v>6834</v>
      </c>
      <c r="B4224" s="345" t="s">
        <v>2440</v>
      </c>
    </row>
    <row r="4225" spans="1:2" ht="15.75" x14ac:dyDescent="0.25">
      <c r="A4225" s="344" t="s">
        <v>6835</v>
      </c>
      <c r="B4225" s="345" t="s">
        <v>6836</v>
      </c>
    </row>
    <row r="4226" spans="1:2" ht="15.75" x14ac:dyDescent="0.25">
      <c r="A4226" s="344" t="s">
        <v>6837</v>
      </c>
      <c r="B4226" s="345" t="s">
        <v>6838</v>
      </c>
    </row>
    <row r="4227" spans="1:2" ht="15.75" x14ac:dyDescent="0.25">
      <c r="A4227" s="344" t="s">
        <v>6839</v>
      </c>
      <c r="B4227" s="345" t="s">
        <v>6840</v>
      </c>
    </row>
    <row r="4228" spans="1:2" ht="15.75" x14ac:dyDescent="0.25">
      <c r="A4228" s="344" t="s">
        <v>6841</v>
      </c>
      <c r="B4228" s="345" t="s">
        <v>6842</v>
      </c>
    </row>
    <row r="4229" spans="1:2" ht="15.75" x14ac:dyDescent="0.25">
      <c r="A4229" s="344" t="s">
        <v>6843</v>
      </c>
      <c r="B4229" s="345" t="s">
        <v>6844</v>
      </c>
    </row>
    <row r="4230" spans="1:2" ht="15.75" x14ac:dyDescent="0.25">
      <c r="A4230" s="344" t="s">
        <v>6845</v>
      </c>
      <c r="B4230" s="345" t="s">
        <v>6846</v>
      </c>
    </row>
    <row r="4231" spans="1:2" ht="15.75" x14ac:dyDescent="0.25">
      <c r="A4231" s="344" t="s">
        <v>6847</v>
      </c>
      <c r="B4231" s="345" t="s">
        <v>6848</v>
      </c>
    </row>
    <row r="4232" spans="1:2" ht="15.75" x14ac:dyDescent="0.25">
      <c r="A4232" s="344" t="s">
        <v>6849</v>
      </c>
      <c r="B4232" s="345" t="s">
        <v>6850</v>
      </c>
    </row>
    <row r="4233" spans="1:2" ht="15.75" x14ac:dyDescent="0.25">
      <c r="A4233" s="344" t="s">
        <v>6851</v>
      </c>
      <c r="B4233" s="345" t="s">
        <v>2374</v>
      </c>
    </row>
    <row r="4234" spans="1:2" ht="15.75" x14ac:dyDescent="0.25">
      <c r="A4234" s="344" t="s">
        <v>6852</v>
      </c>
      <c r="B4234" s="345" t="s">
        <v>2441</v>
      </c>
    </row>
    <row r="4235" spans="1:2" ht="15.75" x14ac:dyDescent="0.25">
      <c r="A4235" s="344" t="s">
        <v>6853</v>
      </c>
      <c r="B4235" s="345" t="s">
        <v>2442</v>
      </c>
    </row>
    <row r="4236" spans="1:2" ht="15.75" x14ac:dyDescent="0.25">
      <c r="A4236" s="344" t="s">
        <v>6854</v>
      </c>
      <c r="B4236" s="345" t="s">
        <v>2443</v>
      </c>
    </row>
    <row r="4237" spans="1:2" ht="15.75" x14ac:dyDescent="0.25">
      <c r="A4237" s="344" t="s">
        <v>6855</v>
      </c>
      <c r="B4237" s="345" t="s">
        <v>6856</v>
      </c>
    </row>
    <row r="4238" spans="1:2" ht="15.75" x14ac:dyDescent="0.25">
      <c r="A4238" s="344" t="s">
        <v>6857</v>
      </c>
      <c r="B4238" s="345" t="s">
        <v>6858</v>
      </c>
    </row>
    <row r="4239" spans="1:2" ht="15.75" x14ac:dyDescent="0.25">
      <c r="A4239" s="344" t="s">
        <v>6859</v>
      </c>
      <c r="B4239" s="345" t="s">
        <v>6860</v>
      </c>
    </row>
    <row r="4240" spans="1:2" ht="15.75" x14ac:dyDescent="0.25">
      <c r="A4240" s="344" t="s">
        <v>6861</v>
      </c>
      <c r="B4240" s="345" t="s">
        <v>2444</v>
      </c>
    </row>
    <row r="4241" spans="1:2" ht="15.75" x14ac:dyDescent="0.25">
      <c r="A4241" s="344" t="s">
        <v>6862</v>
      </c>
      <c r="B4241" s="345" t="s">
        <v>6863</v>
      </c>
    </row>
    <row r="4242" spans="1:2" ht="15.75" x14ac:dyDescent="0.25">
      <c r="A4242" s="344" t="s">
        <v>6864</v>
      </c>
      <c r="B4242" s="345" t="s">
        <v>6865</v>
      </c>
    </row>
    <row r="4243" spans="1:2" ht="15.75" x14ac:dyDescent="0.25">
      <c r="A4243" s="344" t="s">
        <v>6866</v>
      </c>
      <c r="B4243" s="345" t="s">
        <v>6867</v>
      </c>
    </row>
    <row r="4244" spans="1:2" ht="15.75" x14ac:dyDescent="0.25">
      <c r="A4244" s="344" t="s">
        <v>6868</v>
      </c>
      <c r="B4244" s="345" t="s">
        <v>2445</v>
      </c>
    </row>
    <row r="4245" spans="1:2" ht="15.75" x14ac:dyDescent="0.25">
      <c r="A4245" s="344" t="s">
        <v>6869</v>
      </c>
      <c r="B4245" s="345" t="s">
        <v>6870</v>
      </c>
    </row>
    <row r="4246" spans="1:2" ht="15.75" x14ac:dyDescent="0.25">
      <c r="A4246" s="344" t="s">
        <v>6871</v>
      </c>
      <c r="B4246" s="345" t="s">
        <v>2446</v>
      </c>
    </row>
    <row r="4247" spans="1:2" ht="15.75" x14ac:dyDescent="0.25">
      <c r="A4247" s="344" t="s">
        <v>6872</v>
      </c>
      <c r="B4247" s="345" t="s">
        <v>6873</v>
      </c>
    </row>
    <row r="4248" spans="1:2" ht="15.75" x14ac:dyDescent="0.25">
      <c r="A4248" s="344" t="s">
        <v>6874</v>
      </c>
      <c r="B4248" s="345" t="s">
        <v>6875</v>
      </c>
    </row>
    <row r="4249" spans="1:2" ht="15.75" x14ac:dyDescent="0.25">
      <c r="A4249" s="344" t="s">
        <v>6876</v>
      </c>
      <c r="B4249" s="345" t="s">
        <v>2447</v>
      </c>
    </row>
    <row r="4250" spans="1:2" ht="15.75" x14ac:dyDescent="0.25">
      <c r="A4250" s="344" t="s">
        <v>6877</v>
      </c>
      <c r="B4250" s="345" t="s">
        <v>6878</v>
      </c>
    </row>
    <row r="4251" spans="1:2" ht="15.75" x14ac:dyDescent="0.25">
      <c r="A4251" s="344" t="s">
        <v>6879</v>
      </c>
      <c r="B4251" s="345" t="s">
        <v>2448</v>
      </c>
    </row>
    <row r="4252" spans="1:2" ht="15.75" x14ac:dyDescent="0.25">
      <c r="A4252" s="344" t="s">
        <v>6880</v>
      </c>
      <c r="B4252" s="345" t="s">
        <v>6881</v>
      </c>
    </row>
    <row r="4253" spans="1:2" ht="15.75" x14ac:dyDescent="0.25">
      <c r="A4253" s="344" t="s">
        <v>6882</v>
      </c>
      <c r="B4253" s="345" t="s">
        <v>2449</v>
      </c>
    </row>
    <row r="4254" spans="1:2" ht="15.75" x14ac:dyDescent="0.25">
      <c r="A4254" s="344" t="s">
        <v>6883</v>
      </c>
      <c r="B4254" s="345" t="s">
        <v>6884</v>
      </c>
    </row>
    <row r="4255" spans="1:2" ht="15.75" x14ac:dyDescent="0.25">
      <c r="A4255" s="344" t="s">
        <v>6885</v>
      </c>
      <c r="B4255" s="345" t="s">
        <v>6886</v>
      </c>
    </row>
    <row r="4256" spans="1:2" ht="15.75" x14ac:dyDescent="0.25">
      <c r="A4256" s="344" t="s">
        <v>6887</v>
      </c>
      <c r="B4256" s="345" t="s">
        <v>6888</v>
      </c>
    </row>
    <row r="4257" spans="1:2" ht="15.75" x14ac:dyDescent="0.25">
      <c r="A4257" s="344" t="s">
        <v>6889</v>
      </c>
      <c r="B4257" s="345" t="s">
        <v>6890</v>
      </c>
    </row>
    <row r="4258" spans="1:2" ht="15.75" x14ac:dyDescent="0.25">
      <c r="A4258" s="344" t="s">
        <v>6891</v>
      </c>
      <c r="B4258" s="345" t="s">
        <v>6892</v>
      </c>
    </row>
    <row r="4259" spans="1:2" ht="15.75" x14ac:dyDescent="0.25">
      <c r="A4259" s="344" t="s">
        <v>6893</v>
      </c>
      <c r="B4259" s="345" t="s">
        <v>6894</v>
      </c>
    </row>
    <row r="4260" spans="1:2" ht="15.75" x14ac:dyDescent="0.25">
      <c r="A4260" s="344" t="s">
        <v>6895</v>
      </c>
      <c r="B4260" s="345" t="s">
        <v>6896</v>
      </c>
    </row>
    <row r="4261" spans="1:2" ht="15.75" x14ac:dyDescent="0.25">
      <c r="A4261" s="344" t="s">
        <v>6897</v>
      </c>
      <c r="B4261" s="345" t="s">
        <v>6898</v>
      </c>
    </row>
    <row r="4262" spans="1:2" ht="15.75" x14ac:dyDescent="0.25">
      <c r="A4262" s="344" t="s">
        <v>6899</v>
      </c>
      <c r="B4262" s="345" t="s">
        <v>6900</v>
      </c>
    </row>
    <row r="4263" spans="1:2" ht="15.75" x14ac:dyDescent="0.25">
      <c r="A4263" s="344" t="s">
        <v>6901</v>
      </c>
      <c r="B4263" s="345" t="s">
        <v>6902</v>
      </c>
    </row>
    <row r="4264" spans="1:2" ht="15.75" x14ac:dyDescent="0.25">
      <c r="A4264" s="344" t="s">
        <v>6903</v>
      </c>
      <c r="B4264" s="345" t="s">
        <v>6904</v>
      </c>
    </row>
    <row r="4265" spans="1:2" ht="15.75" x14ac:dyDescent="0.25">
      <c r="A4265" s="344" t="s">
        <v>6905</v>
      </c>
      <c r="B4265" s="345" t="s">
        <v>6906</v>
      </c>
    </row>
    <row r="4266" spans="1:2" ht="15.75" x14ac:dyDescent="0.25">
      <c r="A4266" s="344" t="s">
        <v>6907</v>
      </c>
      <c r="B4266" s="345" t="s">
        <v>6908</v>
      </c>
    </row>
    <row r="4267" spans="1:2" ht="15.75" x14ac:dyDescent="0.25">
      <c r="A4267" s="344" t="s">
        <v>6909</v>
      </c>
      <c r="B4267" s="345" t="s">
        <v>6910</v>
      </c>
    </row>
    <row r="4268" spans="1:2" ht="15.75" x14ac:dyDescent="0.25">
      <c r="A4268" s="344" t="s">
        <v>6911</v>
      </c>
      <c r="B4268" s="345" t="s">
        <v>6912</v>
      </c>
    </row>
    <row r="4269" spans="1:2" ht="15.75" x14ac:dyDescent="0.25">
      <c r="A4269" s="344" t="s">
        <v>6913</v>
      </c>
      <c r="B4269" s="345" t="s">
        <v>6914</v>
      </c>
    </row>
    <row r="4270" spans="1:2" ht="15.75" x14ac:dyDescent="0.25">
      <c r="A4270" s="344" t="s">
        <v>6915</v>
      </c>
      <c r="B4270" s="345" t="s">
        <v>6916</v>
      </c>
    </row>
    <row r="4271" spans="1:2" ht="15.75" x14ac:dyDescent="0.25">
      <c r="A4271" s="344" t="s">
        <v>6917</v>
      </c>
      <c r="B4271" s="345" t="s">
        <v>2450</v>
      </c>
    </row>
    <row r="4272" spans="1:2" ht="15.75" x14ac:dyDescent="0.25">
      <c r="A4272" s="344" t="s">
        <v>6918</v>
      </c>
      <c r="B4272" s="345" t="s">
        <v>6919</v>
      </c>
    </row>
    <row r="4273" spans="1:2" ht="15.75" x14ac:dyDescent="0.25">
      <c r="A4273" s="344" t="s">
        <v>6920</v>
      </c>
      <c r="B4273" s="345" t="s">
        <v>6313</v>
      </c>
    </row>
    <row r="4274" spans="1:2" ht="15.75" x14ac:dyDescent="0.25">
      <c r="A4274" s="344" t="s">
        <v>6921</v>
      </c>
      <c r="B4274" s="345" t="s">
        <v>6922</v>
      </c>
    </row>
    <row r="4275" spans="1:2" ht="15.75" x14ac:dyDescent="0.25">
      <c r="A4275" s="344" t="s">
        <v>6923</v>
      </c>
      <c r="B4275" s="345" t="s">
        <v>6924</v>
      </c>
    </row>
    <row r="4276" spans="1:2" ht="15.75" x14ac:dyDescent="0.25">
      <c r="A4276" s="344" t="s">
        <v>6925</v>
      </c>
      <c r="B4276" s="345" t="s">
        <v>2451</v>
      </c>
    </row>
    <row r="4277" spans="1:2" ht="15.75" x14ac:dyDescent="0.25">
      <c r="A4277" s="344" t="s">
        <v>6926</v>
      </c>
      <c r="B4277" s="345" t="s">
        <v>2452</v>
      </c>
    </row>
    <row r="4278" spans="1:2" ht="15.75" x14ac:dyDescent="0.25">
      <c r="A4278" s="344" t="s">
        <v>6927</v>
      </c>
      <c r="B4278" s="345" t="s">
        <v>2453</v>
      </c>
    </row>
    <row r="4279" spans="1:2" ht="15.75" x14ac:dyDescent="0.25">
      <c r="A4279" s="344" t="s">
        <v>6928</v>
      </c>
      <c r="B4279" s="345" t="s">
        <v>6929</v>
      </c>
    </row>
    <row r="4280" spans="1:2" ht="15.75" x14ac:dyDescent="0.25">
      <c r="A4280" s="344" t="s">
        <v>6930</v>
      </c>
      <c r="B4280" s="345" t="s">
        <v>6931</v>
      </c>
    </row>
    <row r="4281" spans="1:2" ht="15.75" x14ac:dyDescent="0.25">
      <c r="A4281" s="344" t="s">
        <v>6932</v>
      </c>
      <c r="B4281" s="345" t="s">
        <v>6933</v>
      </c>
    </row>
    <row r="4282" spans="1:2" ht="15.75" x14ac:dyDescent="0.25">
      <c r="A4282" s="344" t="s">
        <v>6934</v>
      </c>
      <c r="B4282" s="345" t="s">
        <v>6935</v>
      </c>
    </row>
    <row r="4283" spans="1:2" ht="15.75" x14ac:dyDescent="0.25">
      <c r="A4283" s="344" t="s">
        <v>6936</v>
      </c>
      <c r="B4283" s="345" t="s">
        <v>6937</v>
      </c>
    </row>
    <row r="4284" spans="1:2" ht="15.75" x14ac:dyDescent="0.25">
      <c r="A4284" s="344" t="s">
        <v>6938</v>
      </c>
      <c r="B4284" s="345" t="s">
        <v>6939</v>
      </c>
    </row>
    <row r="4285" spans="1:2" ht="15.75" x14ac:dyDescent="0.25">
      <c r="A4285" s="344" t="s">
        <v>6940</v>
      </c>
      <c r="B4285" s="345" t="s">
        <v>6941</v>
      </c>
    </row>
    <row r="4286" spans="1:2" ht="15.75" x14ac:dyDescent="0.25">
      <c r="A4286" s="344" t="s">
        <v>6942</v>
      </c>
      <c r="B4286" s="345" t="s">
        <v>6943</v>
      </c>
    </row>
    <row r="4287" spans="1:2" ht="15.75" x14ac:dyDescent="0.25">
      <c r="A4287" s="344" t="s">
        <v>6944</v>
      </c>
      <c r="B4287" s="345" t="s">
        <v>6945</v>
      </c>
    </row>
    <row r="4288" spans="1:2" ht="15.75" x14ac:dyDescent="0.25">
      <c r="A4288" s="344" t="s">
        <v>6946</v>
      </c>
      <c r="B4288" s="345" t="s">
        <v>6947</v>
      </c>
    </row>
    <row r="4289" spans="1:2" ht="15.75" x14ac:dyDescent="0.25">
      <c r="A4289" s="344" t="s">
        <v>6948</v>
      </c>
      <c r="B4289" s="345" t="s">
        <v>6949</v>
      </c>
    </row>
    <row r="4290" spans="1:2" ht="15.75" x14ac:dyDescent="0.25">
      <c r="A4290" s="344" t="s">
        <v>6950</v>
      </c>
      <c r="B4290" s="345" t="s">
        <v>6951</v>
      </c>
    </row>
    <row r="4291" spans="1:2" ht="15.75" x14ac:dyDescent="0.25">
      <c r="A4291" s="344" t="s">
        <v>6952</v>
      </c>
      <c r="B4291" s="345" t="s">
        <v>6953</v>
      </c>
    </row>
    <row r="4292" spans="1:2" ht="15.75" x14ac:dyDescent="0.25">
      <c r="A4292" s="344" t="s">
        <v>6954</v>
      </c>
      <c r="B4292" s="345" t="s">
        <v>6955</v>
      </c>
    </row>
    <row r="4293" spans="1:2" ht="15.75" x14ac:dyDescent="0.25">
      <c r="A4293" s="344" t="s">
        <v>6956</v>
      </c>
      <c r="B4293" s="345" t="s">
        <v>6957</v>
      </c>
    </row>
    <row r="4294" spans="1:2" ht="15.75" x14ac:dyDescent="0.25">
      <c r="A4294" s="344" t="s">
        <v>6958</v>
      </c>
      <c r="B4294" s="345" t="s">
        <v>6959</v>
      </c>
    </row>
    <row r="4295" spans="1:2" ht="15.75" x14ac:dyDescent="0.25">
      <c r="A4295" s="344" t="s">
        <v>6960</v>
      </c>
      <c r="B4295" s="345" t="s">
        <v>6961</v>
      </c>
    </row>
    <row r="4296" spans="1:2" ht="15.75" x14ac:dyDescent="0.25">
      <c r="A4296" s="344" t="s">
        <v>6962</v>
      </c>
      <c r="B4296" s="345" t="s">
        <v>6963</v>
      </c>
    </row>
    <row r="4297" spans="1:2" ht="15.75" x14ac:dyDescent="0.25">
      <c r="A4297" s="344" t="s">
        <v>6964</v>
      </c>
      <c r="B4297" s="345" t="s">
        <v>6965</v>
      </c>
    </row>
    <row r="4298" spans="1:2" ht="15.75" x14ac:dyDescent="0.25">
      <c r="A4298" s="344" t="s">
        <v>6966</v>
      </c>
      <c r="B4298" s="345" t="s">
        <v>6967</v>
      </c>
    </row>
    <row r="4299" spans="1:2" ht="15.75" x14ac:dyDescent="0.25">
      <c r="A4299" s="344" t="s">
        <v>6968</v>
      </c>
      <c r="B4299" s="345" t="s">
        <v>6969</v>
      </c>
    </row>
    <row r="4300" spans="1:2" ht="15.75" x14ac:dyDescent="0.25">
      <c r="A4300" s="344" t="s">
        <v>6970</v>
      </c>
      <c r="B4300" s="345" t="s">
        <v>6971</v>
      </c>
    </row>
    <row r="4301" spans="1:2" ht="15.75" x14ac:dyDescent="0.25">
      <c r="A4301" s="344" t="s">
        <v>6972</v>
      </c>
      <c r="B4301" s="345" t="s">
        <v>6973</v>
      </c>
    </row>
    <row r="4302" spans="1:2" ht="15.75" x14ac:dyDescent="0.25">
      <c r="A4302" s="344" t="s">
        <v>6974</v>
      </c>
      <c r="B4302" s="345" t="s">
        <v>6975</v>
      </c>
    </row>
    <row r="4303" spans="1:2" ht="15.75" x14ac:dyDescent="0.25">
      <c r="A4303" s="344" t="s">
        <v>6976</v>
      </c>
      <c r="B4303" s="345" t="s">
        <v>6977</v>
      </c>
    </row>
    <row r="4304" spans="1:2" ht="15.75" x14ac:dyDescent="0.25">
      <c r="A4304" s="344" t="s">
        <v>6978</v>
      </c>
      <c r="B4304" s="345" t="s">
        <v>6979</v>
      </c>
    </row>
    <row r="4305" spans="1:2" ht="15.75" x14ac:dyDescent="0.25">
      <c r="A4305" s="344" t="s">
        <v>6980</v>
      </c>
      <c r="B4305" s="345" t="s">
        <v>6981</v>
      </c>
    </row>
    <row r="4306" spans="1:2" ht="15.75" x14ac:dyDescent="0.25">
      <c r="A4306" s="344" t="s">
        <v>6982</v>
      </c>
      <c r="B4306" s="345" t="s">
        <v>6963</v>
      </c>
    </row>
    <row r="4307" spans="1:2" ht="15.75" x14ac:dyDescent="0.25">
      <c r="A4307" s="344" t="s">
        <v>6983</v>
      </c>
      <c r="B4307" s="345" t="s">
        <v>6984</v>
      </c>
    </row>
    <row r="4308" spans="1:2" ht="15.75" x14ac:dyDescent="0.25">
      <c r="A4308" s="344" t="s">
        <v>6985</v>
      </c>
      <c r="B4308" s="345" t="s">
        <v>6986</v>
      </c>
    </row>
    <row r="4309" spans="1:2" ht="15.75" x14ac:dyDescent="0.25">
      <c r="A4309" s="344" t="s">
        <v>6987</v>
      </c>
      <c r="B4309" s="345" t="s">
        <v>6988</v>
      </c>
    </row>
    <row r="4310" spans="1:2" ht="15.75" x14ac:dyDescent="0.25">
      <c r="A4310" s="344" t="s">
        <v>6989</v>
      </c>
      <c r="B4310" s="345" t="s">
        <v>6990</v>
      </c>
    </row>
    <row r="4311" spans="1:2" ht="15.75" x14ac:dyDescent="0.25">
      <c r="A4311" s="344" t="s">
        <v>6991</v>
      </c>
      <c r="B4311" s="345" t="s">
        <v>6992</v>
      </c>
    </row>
    <row r="4312" spans="1:2" ht="15.75" x14ac:dyDescent="0.25">
      <c r="A4312" s="344" t="s">
        <v>6993</v>
      </c>
      <c r="B4312" s="345" t="s">
        <v>6994</v>
      </c>
    </row>
    <row r="4313" spans="1:2" ht="15.75" x14ac:dyDescent="0.25">
      <c r="A4313" s="344" t="s">
        <v>6995</v>
      </c>
      <c r="B4313" s="345" t="s">
        <v>2454</v>
      </c>
    </row>
    <row r="4314" spans="1:2" ht="15.75" x14ac:dyDescent="0.25">
      <c r="A4314" s="344" t="s">
        <v>6996</v>
      </c>
      <c r="B4314" s="345" t="s">
        <v>2455</v>
      </c>
    </row>
    <row r="4315" spans="1:2" ht="15.75" x14ac:dyDescent="0.25">
      <c r="A4315" s="344" t="s">
        <v>6997</v>
      </c>
      <c r="B4315" s="345" t="s">
        <v>6998</v>
      </c>
    </row>
    <row r="4316" spans="1:2" ht="15.75" x14ac:dyDescent="0.25">
      <c r="A4316" s="344" t="s">
        <v>6999</v>
      </c>
      <c r="B4316" s="345" t="s">
        <v>7000</v>
      </c>
    </row>
    <row r="4317" spans="1:2" ht="15.75" x14ac:dyDescent="0.25">
      <c r="A4317" s="344" t="s">
        <v>7001</v>
      </c>
      <c r="B4317" s="345" t="s">
        <v>7002</v>
      </c>
    </row>
    <row r="4318" spans="1:2" ht="15.75" x14ac:dyDescent="0.25">
      <c r="A4318" s="344" t="s">
        <v>7003</v>
      </c>
      <c r="B4318" s="345" t="s">
        <v>2456</v>
      </c>
    </row>
    <row r="4319" spans="1:2" ht="15.75" x14ac:dyDescent="0.25">
      <c r="A4319" s="344" t="s">
        <v>7004</v>
      </c>
      <c r="B4319" s="345" t="s">
        <v>7005</v>
      </c>
    </row>
    <row r="4320" spans="1:2" ht="15.75" x14ac:dyDescent="0.25">
      <c r="A4320" s="344" t="s">
        <v>7006</v>
      </c>
      <c r="B4320" s="345" t="s">
        <v>7007</v>
      </c>
    </row>
    <row r="4321" spans="1:2" ht="15.75" x14ac:dyDescent="0.25">
      <c r="A4321" s="344" t="s">
        <v>7008</v>
      </c>
      <c r="B4321" s="345" t="s">
        <v>2457</v>
      </c>
    </row>
    <row r="4322" spans="1:2" ht="15.75" x14ac:dyDescent="0.25">
      <c r="A4322" s="344" t="s">
        <v>7009</v>
      </c>
      <c r="B4322" s="345" t="s">
        <v>2458</v>
      </c>
    </row>
    <row r="4323" spans="1:2" ht="15.75" x14ac:dyDescent="0.25">
      <c r="A4323" s="344" t="s">
        <v>7010</v>
      </c>
      <c r="B4323" s="345" t="s">
        <v>7011</v>
      </c>
    </row>
    <row r="4324" spans="1:2" ht="15.75" x14ac:dyDescent="0.25">
      <c r="A4324" s="344" t="s">
        <v>7012</v>
      </c>
      <c r="B4324" s="345" t="s">
        <v>7013</v>
      </c>
    </row>
    <row r="4325" spans="1:2" ht="15.75" x14ac:dyDescent="0.25">
      <c r="A4325" s="344" t="s">
        <v>7014</v>
      </c>
      <c r="B4325" s="345" t="s">
        <v>7015</v>
      </c>
    </row>
    <row r="4326" spans="1:2" ht="15.75" x14ac:dyDescent="0.25">
      <c r="A4326" s="344" t="s">
        <v>7016</v>
      </c>
      <c r="B4326" s="345" t="s">
        <v>7017</v>
      </c>
    </row>
    <row r="4327" spans="1:2" ht="15.75" x14ac:dyDescent="0.25">
      <c r="A4327" s="344" t="s">
        <v>7018</v>
      </c>
      <c r="B4327" s="345" t="s">
        <v>2459</v>
      </c>
    </row>
    <row r="4328" spans="1:2" ht="15.75" x14ac:dyDescent="0.25">
      <c r="A4328" s="344" t="s">
        <v>7019</v>
      </c>
      <c r="B4328" s="345" t="s">
        <v>2460</v>
      </c>
    </row>
    <row r="4329" spans="1:2" ht="15.75" x14ac:dyDescent="0.25">
      <c r="A4329" s="344" t="s">
        <v>7020</v>
      </c>
      <c r="B4329" s="345" t="s">
        <v>2461</v>
      </c>
    </row>
    <row r="4330" spans="1:2" ht="15.75" x14ac:dyDescent="0.25">
      <c r="A4330" s="344" t="s">
        <v>7021</v>
      </c>
      <c r="B4330" s="345" t="s">
        <v>7022</v>
      </c>
    </row>
    <row r="4331" spans="1:2" ht="15.75" x14ac:dyDescent="0.25">
      <c r="A4331" s="344" t="s">
        <v>7023</v>
      </c>
      <c r="B4331" s="345" t="s">
        <v>7024</v>
      </c>
    </row>
    <row r="4332" spans="1:2" ht="15.75" x14ac:dyDescent="0.25">
      <c r="A4332" s="344" t="s">
        <v>7025</v>
      </c>
      <c r="B4332" s="345" t="s">
        <v>7026</v>
      </c>
    </row>
    <row r="4333" spans="1:2" ht="15.75" x14ac:dyDescent="0.25">
      <c r="A4333" s="344" t="s">
        <v>7027</v>
      </c>
      <c r="B4333" s="345" t="s">
        <v>7028</v>
      </c>
    </row>
    <row r="4334" spans="1:2" ht="15.75" x14ac:dyDescent="0.25">
      <c r="A4334" s="344" t="s">
        <v>7029</v>
      </c>
      <c r="B4334" s="345" t="s">
        <v>2462</v>
      </c>
    </row>
    <row r="4335" spans="1:2" ht="15.75" x14ac:dyDescent="0.25">
      <c r="A4335" s="344" t="s">
        <v>7030</v>
      </c>
      <c r="B4335" s="345" t="s">
        <v>2463</v>
      </c>
    </row>
    <row r="4336" spans="1:2" ht="15.75" x14ac:dyDescent="0.25">
      <c r="A4336" s="344" t="s">
        <v>7031</v>
      </c>
      <c r="B4336" s="345" t="s">
        <v>2464</v>
      </c>
    </row>
    <row r="4337" spans="1:2" ht="15.75" x14ac:dyDescent="0.25">
      <c r="A4337" s="344" t="s">
        <v>7032</v>
      </c>
      <c r="B4337" s="345" t="s">
        <v>2465</v>
      </c>
    </row>
    <row r="4338" spans="1:2" ht="15.75" x14ac:dyDescent="0.25">
      <c r="A4338" s="344" t="s">
        <v>7033</v>
      </c>
      <c r="B4338" s="345" t="s">
        <v>7034</v>
      </c>
    </row>
    <row r="4339" spans="1:2" ht="15.75" x14ac:dyDescent="0.25">
      <c r="A4339" s="344" t="s">
        <v>7035</v>
      </c>
      <c r="B4339" s="345" t="s">
        <v>7036</v>
      </c>
    </row>
    <row r="4340" spans="1:2" ht="15.75" x14ac:dyDescent="0.25">
      <c r="A4340" s="344" t="s">
        <v>7037</v>
      </c>
      <c r="B4340" s="345" t="s">
        <v>7038</v>
      </c>
    </row>
    <row r="4341" spans="1:2" ht="15.75" x14ac:dyDescent="0.25">
      <c r="A4341" s="344" t="s">
        <v>7039</v>
      </c>
      <c r="B4341" s="345" t="s">
        <v>7040</v>
      </c>
    </row>
    <row r="4342" spans="1:2" ht="15.75" x14ac:dyDescent="0.25">
      <c r="A4342" s="344" t="s">
        <v>7041</v>
      </c>
      <c r="B4342" s="345" t="s">
        <v>2466</v>
      </c>
    </row>
    <row r="4343" spans="1:2" ht="15.75" x14ac:dyDescent="0.25">
      <c r="A4343" s="344" t="s">
        <v>7042</v>
      </c>
      <c r="B4343" s="345" t="s">
        <v>7043</v>
      </c>
    </row>
    <row r="4344" spans="1:2" ht="15.75" x14ac:dyDescent="0.25">
      <c r="A4344" s="344" t="s">
        <v>7044</v>
      </c>
      <c r="B4344" s="345" t="s">
        <v>7045</v>
      </c>
    </row>
    <row r="4345" spans="1:2" ht="15.75" x14ac:dyDescent="0.25">
      <c r="A4345" s="344" t="s">
        <v>7046</v>
      </c>
      <c r="B4345" s="345" t="s">
        <v>7047</v>
      </c>
    </row>
    <row r="4346" spans="1:2" ht="15.75" x14ac:dyDescent="0.25">
      <c r="A4346" s="344" t="s">
        <v>7048</v>
      </c>
      <c r="B4346" s="345" t="s">
        <v>7049</v>
      </c>
    </row>
    <row r="4347" spans="1:2" ht="15.75" x14ac:dyDescent="0.25">
      <c r="A4347" s="344" t="s">
        <v>7050</v>
      </c>
      <c r="B4347" s="345" t="s">
        <v>2467</v>
      </c>
    </row>
    <row r="4348" spans="1:2" ht="15.75" x14ac:dyDescent="0.25">
      <c r="A4348" s="344" t="s">
        <v>7051</v>
      </c>
      <c r="B4348" s="345" t="s">
        <v>2468</v>
      </c>
    </row>
    <row r="4349" spans="1:2" ht="15.75" x14ac:dyDescent="0.25">
      <c r="A4349" s="344" t="s">
        <v>7052</v>
      </c>
      <c r="B4349" s="345" t="s">
        <v>2469</v>
      </c>
    </row>
    <row r="4350" spans="1:2" ht="15.75" x14ac:dyDescent="0.25">
      <c r="A4350" s="344" t="s">
        <v>7053</v>
      </c>
      <c r="B4350" s="345" t="s">
        <v>7054</v>
      </c>
    </row>
    <row r="4351" spans="1:2" ht="15.75" x14ac:dyDescent="0.25">
      <c r="A4351" s="344" t="s">
        <v>7055</v>
      </c>
      <c r="B4351" s="345" t="s">
        <v>7056</v>
      </c>
    </row>
    <row r="4352" spans="1:2" ht="15.75" x14ac:dyDescent="0.25">
      <c r="A4352" s="344" t="s">
        <v>7057</v>
      </c>
      <c r="B4352" s="345" t="s">
        <v>7058</v>
      </c>
    </row>
    <row r="4353" spans="1:2" ht="15.75" x14ac:dyDescent="0.25">
      <c r="A4353" s="344" t="s">
        <v>7059</v>
      </c>
      <c r="B4353" s="345" t="s">
        <v>7060</v>
      </c>
    </row>
    <row r="4354" spans="1:2" ht="15.75" x14ac:dyDescent="0.25">
      <c r="A4354" s="344" t="s">
        <v>7061</v>
      </c>
      <c r="B4354" s="345" t="s">
        <v>2470</v>
      </c>
    </row>
    <row r="4355" spans="1:2" ht="15.75" x14ac:dyDescent="0.25">
      <c r="A4355" s="344" t="s">
        <v>7062</v>
      </c>
      <c r="B4355" s="345" t="s">
        <v>7063</v>
      </c>
    </row>
    <row r="4356" spans="1:2" ht="15.75" x14ac:dyDescent="0.25">
      <c r="A4356" s="344" t="s">
        <v>7064</v>
      </c>
      <c r="B4356" s="345" t="s">
        <v>7065</v>
      </c>
    </row>
    <row r="4357" spans="1:2" ht="15.75" x14ac:dyDescent="0.25">
      <c r="A4357" s="344" t="s">
        <v>7066</v>
      </c>
      <c r="B4357" s="345" t="s">
        <v>7067</v>
      </c>
    </row>
    <row r="4358" spans="1:2" ht="15.75" x14ac:dyDescent="0.25">
      <c r="A4358" s="344" t="s">
        <v>7068</v>
      </c>
      <c r="B4358" s="345" t="s">
        <v>2471</v>
      </c>
    </row>
    <row r="4359" spans="1:2" ht="15.75" x14ac:dyDescent="0.25">
      <c r="A4359" s="344" t="s">
        <v>7069</v>
      </c>
      <c r="B4359" s="345" t="s">
        <v>7070</v>
      </c>
    </row>
    <row r="4360" spans="1:2" ht="15.75" x14ac:dyDescent="0.25">
      <c r="A4360" s="344" t="s">
        <v>7071</v>
      </c>
      <c r="B4360" s="345" t="s">
        <v>7072</v>
      </c>
    </row>
    <row r="4361" spans="1:2" ht="15.75" x14ac:dyDescent="0.25">
      <c r="A4361" s="344" t="s">
        <v>7073</v>
      </c>
      <c r="B4361" s="345" t="s">
        <v>7074</v>
      </c>
    </row>
    <row r="4362" spans="1:2" ht="15.75" x14ac:dyDescent="0.25">
      <c r="A4362" s="344" t="s">
        <v>7075</v>
      </c>
      <c r="B4362" s="345" t="s">
        <v>2472</v>
      </c>
    </row>
    <row r="4363" spans="1:2" ht="15.75" x14ac:dyDescent="0.25">
      <c r="A4363" s="344" t="s">
        <v>7076</v>
      </c>
      <c r="B4363" s="345" t="s">
        <v>2473</v>
      </c>
    </row>
    <row r="4364" spans="1:2" ht="15.75" x14ac:dyDescent="0.25">
      <c r="A4364" s="344" t="s">
        <v>7077</v>
      </c>
      <c r="B4364" s="345" t="s">
        <v>7078</v>
      </c>
    </row>
    <row r="4365" spans="1:2" ht="15.75" x14ac:dyDescent="0.25">
      <c r="A4365" s="344" t="s">
        <v>7079</v>
      </c>
      <c r="B4365" s="345" t="s">
        <v>7080</v>
      </c>
    </row>
    <row r="4366" spans="1:2" ht="15.75" x14ac:dyDescent="0.25">
      <c r="A4366" s="344" t="s">
        <v>7081</v>
      </c>
      <c r="B4366" s="345" t="s">
        <v>7082</v>
      </c>
    </row>
    <row r="4367" spans="1:2" ht="15.75" x14ac:dyDescent="0.25">
      <c r="A4367" s="344" t="s">
        <v>7083</v>
      </c>
      <c r="B4367" s="345" t="s">
        <v>2474</v>
      </c>
    </row>
    <row r="4368" spans="1:2" ht="15.75" x14ac:dyDescent="0.25">
      <c r="A4368" s="344" t="s">
        <v>7084</v>
      </c>
      <c r="B4368" s="345" t="s">
        <v>7085</v>
      </c>
    </row>
    <row r="4369" spans="1:2" ht="15.75" x14ac:dyDescent="0.25">
      <c r="A4369" s="344" t="s">
        <v>7086</v>
      </c>
      <c r="B4369" s="345" t="s">
        <v>7087</v>
      </c>
    </row>
    <row r="4370" spans="1:2" ht="15.75" x14ac:dyDescent="0.25">
      <c r="A4370" s="344" t="s">
        <v>7088</v>
      </c>
      <c r="B4370" s="345" t="s">
        <v>7089</v>
      </c>
    </row>
    <row r="4371" spans="1:2" ht="15.75" x14ac:dyDescent="0.25">
      <c r="A4371" s="344" t="s">
        <v>7090</v>
      </c>
      <c r="B4371" s="345" t="s">
        <v>2475</v>
      </c>
    </row>
    <row r="4372" spans="1:2" ht="15.75" x14ac:dyDescent="0.25">
      <c r="A4372" s="344" t="s">
        <v>7091</v>
      </c>
      <c r="B4372" s="345" t="s">
        <v>2476</v>
      </c>
    </row>
    <row r="4373" spans="1:2" ht="15.75" x14ac:dyDescent="0.25">
      <c r="A4373" s="344" t="s">
        <v>7092</v>
      </c>
      <c r="B4373" s="345" t="s">
        <v>2477</v>
      </c>
    </row>
    <row r="4374" spans="1:2" ht="15.75" x14ac:dyDescent="0.25">
      <c r="A4374" s="344" t="s">
        <v>7093</v>
      </c>
      <c r="B4374" s="345" t="s">
        <v>2478</v>
      </c>
    </row>
    <row r="4375" spans="1:2" ht="15.75" x14ac:dyDescent="0.25">
      <c r="A4375" s="344" t="s">
        <v>7094</v>
      </c>
      <c r="B4375" s="345" t="s">
        <v>2479</v>
      </c>
    </row>
    <row r="4376" spans="1:2" ht="15.75" x14ac:dyDescent="0.25">
      <c r="A4376" s="344" t="s">
        <v>7095</v>
      </c>
      <c r="B4376" s="345" t="s">
        <v>2480</v>
      </c>
    </row>
    <row r="4377" spans="1:2" ht="15.75" x14ac:dyDescent="0.25">
      <c r="A4377" s="344" t="s">
        <v>7096</v>
      </c>
      <c r="B4377" s="345" t="s">
        <v>2481</v>
      </c>
    </row>
    <row r="4378" spans="1:2" ht="15.75" x14ac:dyDescent="0.25">
      <c r="A4378" s="344" t="s">
        <v>7097</v>
      </c>
      <c r="B4378" s="345" t="s">
        <v>2482</v>
      </c>
    </row>
    <row r="4379" spans="1:2" ht="15.75" x14ac:dyDescent="0.25">
      <c r="A4379" s="344" t="s">
        <v>7098</v>
      </c>
      <c r="B4379" s="345" t="s">
        <v>2483</v>
      </c>
    </row>
    <row r="4380" spans="1:2" ht="15.75" x14ac:dyDescent="0.25">
      <c r="A4380" s="344" t="s">
        <v>7099</v>
      </c>
      <c r="B4380" s="345" t="s">
        <v>2484</v>
      </c>
    </row>
    <row r="4381" spans="1:2" ht="15.75" x14ac:dyDescent="0.25">
      <c r="A4381" s="344" t="s">
        <v>7100</v>
      </c>
      <c r="B4381" s="345" t="s">
        <v>2485</v>
      </c>
    </row>
    <row r="4382" spans="1:2" ht="15.75" x14ac:dyDescent="0.25">
      <c r="A4382" s="344" t="s">
        <v>7101</v>
      </c>
      <c r="B4382" s="345" t="s">
        <v>2486</v>
      </c>
    </row>
    <row r="4383" spans="1:2" ht="15.75" x14ac:dyDescent="0.25">
      <c r="A4383" s="344" t="s">
        <v>7102</v>
      </c>
      <c r="B4383" s="345" t="s">
        <v>2487</v>
      </c>
    </row>
    <row r="4384" spans="1:2" ht="15.75" x14ac:dyDescent="0.25">
      <c r="A4384" s="344" t="s">
        <v>7103</v>
      </c>
      <c r="B4384" s="345" t="s">
        <v>2488</v>
      </c>
    </row>
    <row r="4385" spans="1:2" ht="15.75" x14ac:dyDescent="0.25">
      <c r="A4385" s="344" t="s">
        <v>7104</v>
      </c>
      <c r="B4385" s="345" t="s">
        <v>2489</v>
      </c>
    </row>
    <row r="4386" spans="1:2" ht="15.75" x14ac:dyDescent="0.25">
      <c r="A4386" s="344" t="s">
        <v>7105</v>
      </c>
      <c r="B4386" s="345" t="s">
        <v>2490</v>
      </c>
    </row>
    <row r="4387" spans="1:2" ht="15.75" x14ac:dyDescent="0.25">
      <c r="A4387" s="344" t="s">
        <v>7106</v>
      </c>
      <c r="B4387" s="345" t="s">
        <v>2491</v>
      </c>
    </row>
    <row r="4388" spans="1:2" ht="15.75" x14ac:dyDescent="0.25">
      <c r="A4388" s="344" t="s">
        <v>7107</v>
      </c>
      <c r="B4388" s="345" t="s">
        <v>2492</v>
      </c>
    </row>
    <row r="4389" spans="1:2" ht="15.75" x14ac:dyDescent="0.25">
      <c r="A4389" s="344" t="s">
        <v>7108</v>
      </c>
      <c r="B4389" s="345" t="s">
        <v>2493</v>
      </c>
    </row>
    <row r="4390" spans="1:2" ht="15.75" x14ac:dyDescent="0.25">
      <c r="A4390" s="344" t="s">
        <v>7109</v>
      </c>
      <c r="B4390" s="345" t="s">
        <v>2494</v>
      </c>
    </row>
    <row r="4391" spans="1:2" ht="15.75" x14ac:dyDescent="0.25">
      <c r="A4391" s="344" t="s">
        <v>7110</v>
      </c>
      <c r="B4391" s="345" t="s">
        <v>2495</v>
      </c>
    </row>
    <row r="4392" spans="1:2" ht="15.75" x14ac:dyDescent="0.25">
      <c r="A4392" s="344" t="s">
        <v>7111</v>
      </c>
      <c r="B4392" s="345" t="s">
        <v>2496</v>
      </c>
    </row>
    <row r="4393" spans="1:2" ht="15.75" x14ac:dyDescent="0.25">
      <c r="A4393" s="344" t="s">
        <v>7112</v>
      </c>
      <c r="B4393" s="345" t="s">
        <v>2497</v>
      </c>
    </row>
    <row r="4394" spans="1:2" ht="15.75" x14ac:dyDescent="0.25">
      <c r="A4394" s="344" t="s">
        <v>7113</v>
      </c>
      <c r="B4394" s="345" t="s">
        <v>2498</v>
      </c>
    </row>
    <row r="4395" spans="1:2" ht="15.75" x14ac:dyDescent="0.25">
      <c r="A4395" s="344" t="s">
        <v>7114</v>
      </c>
      <c r="B4395" s="345" t="s">
        <v>2499</v>
      </c>
    </row>
    <row r="4396" spans="1:2" ht="15.75" x14ac:dyDescent="0.25">
      <c r="A4396" s="344" t="s">
        <v>7115</v>
      </c>
      <c r="B4396" s="345" t="s">
        <v>2500</v>
      </c>
    </row>
    <row r="4397" spans="1:2" ht="15.75" x14ac:dyDescent="0.25">
      <c r="A4397" s="344" t="s">
        <v>7116</v>
      </c>
      <c r="B4397" s="345" t="s">
        <v>2501</v>
      </c>
    </row>
    <row r="4398" spans="1:2" ht="15.75" x14ac:dyDescent="0.25">
      <c r="A4398" s="344" t="s">
        <v>7117</v>
      </c>
      <c r="B4398" s="345" t="s">
        <v>2502</v>
      </c>
    </row>
    <row r="4399" spans="1:2" ht="15.75" x14ac:dyDescent="0.25">
      <c r="A4399" s="344" t="s">
        <v>7118</v>
      </c>
      <c r="B4399" s="345" t="s">
        <v>2503</v>
      </c>
    </row>
    <row r="4400" spans="1:2" ht="15.75" x14ac:dyDescent="0.25">
      <c r="A4400" s="344" t="s">
        <v>7119</v>
      </c>
      <c r="B4400" s="345" t="s">
        <v>2504</v>
      </c>
    </row>
    <row r="4401" spans="1:2" ht="15.75" x14ac:dyDescent="0.25">
      <c r="A4401" s="344" t="s">
        <v>7120</v>
      </c>
      <c r="B4401" s="345" t="s">
        <v>2505</v>
      </c>
    </row>
    <row r="4402" spans="1:2" ht="15.75" x14ac:dyDescent="0.25">
      <c r="A4402" s="344" t="s">
        <v>7121</v>
      </c>
      <c r="B4402" s="345" t="s">
        <v>2506</v>
      </c>
    </row>
    <row r="4403" spans="1:2" ht="15.75" x14ac:dyDescent="0.25">
      <c r="A4403" s="344" t="s">
        <v>7122</v>
      </c>
      <c r="B4403" s="345" t="s">
        <v>2507</v>
      </c>
    </row>
    <row r="4404" spans="1:2" ht="15.75" x14ac:dyDescent="0.25">
      <c r="A4404" s="344" t="s">
        <v>7123</v>
      </c>
      <c r="B4404" s="345" t="s">
        <v>2508</v>
      </c>
    </row>
    <row r="4405" spans="1:2" ht="15.75" x14ac:dyDescent="0.25">
      <c r="A4405" s="344" t="s">
        <v>7124</v>
      </c>
      <c r="B4405" s="345" t="s">
        <v>2509</v>
      </c>
    </row>
    <row r="4406" spans="1:2" ht="15.75" x14ac:dyDescent="0.25">
      <c r="A4406" s="344" t="s">
        <v>7125</v>
      </c>
      <c r="B4406" s="345" t="s">
        <v>2510</v>
      </c>
    </row>
    <row r="4407" spans="1:2" ht="15.75" x14ac:dyDescent="0.25">
      <c r="A4407" s="344" t="s">
        <v>7126</v>
      </c>
      <c r="B4407" s="345" t="s">
        <v>2511</v>
      </c>
    </row>
    <row r="4408" spans="1:2" ht="15.75" x14ac:dyDescent="0.25">
      <c r="A4408" s="344" t="s">
        <v>7127</v>
      </c>
      <c r="B4408" s="345" t="s">
        <v>2512</v>
      </c>
    </row>
    <row r="4409" spans="1:2" ht="15.75" x14ac:dyDescent="0.25">
      <c r="A4409" s="344" t="s">
        <v>7128</v>
      </c>
      <c r="B4409" s="345" t="s">
        <v>2513</v>
      </c>
    </row>
    <row r="4410" spans="1:2" ht="15.75" x14ac:dyDescent="0.25">
      <c r="A4410" s="344" t="s">
        <v>7129</v>
      </c>
      <c r="B4410" s="345" t="s">
        <v>2514</v>
      </c>
    </row>
    <row r="4411" spans="1:2" ht="15.75" x14ac:dyDescent="0.25">
      <c r="A4411" s="344" t="s">
        <v>7130</v>
      </c>
      <c r="B4411" s="345" t="s">
        <v>2515</v>
      </c>
    </row>
    <row r="4412" spans="1:2" ht="15.75" x14ac:dyDescent="0.25">
      <c r="A4412" s="344" t="s">
        <v>7131</v>
      </c>
      <c r="B4412" s="345" t="s">
        <v>2516</v>
      </c>
    </row>
    <row r="4413" spans="1:2" ht="15.75" x14ac:dyDescent="0.25">
      <c r="A4413" s="344" t="s">
        <v>7132</v>
      </c>
      <c r="B4413" s="345" t="s">
        <v>2517</v>
      </c>
    </row>
    <row r="4414" spans="1:2" ht="15.75" x14ac:dyDescent="0.25">
      <c r="A4414" s="344" t="s">
        <v>7133</v>
      </c>
      <c r="B4414" s="345" t="s">
        <v>2518</v>
      </c>
    </row>
    <row r="4415" spans="1:2" ht="15.75" x14ac:dyDescent="0.25">
      <c r="A4415" s="344" t="s">
        <v>7134</v>
      </c>
      <c r="B4415" s="345" t="s">
        <v>2519</v>
      </c>
    </row>
    <row r="4416" spans="1:2" ht="15.75" x14ac:dyDescent="0.25">
      <c r="A4416" s="344" t="s">
        <v>7135</v>
      </c>
      <c r="B4416" s="345" t="s">
        <v>2520</v>
      </c>
    </row>
    <row r="4417" spans="1:2" ht="15.75" x14ac:dyDescent="0.25">
      <c r="A4417" s="344" t="s">
        <v>7136</v>
      </c>
      <c r="B4417" s="345" t="s">
        <v>2521</v>
      </c>
    </row>
    <row r="4418" spans="1:2" ht="15.75" x14ac:dyDescent="0.25">
      <c r="A4418" s="344" t="s">
        <v>7137</v>
      </c>
      <c r="B4418" s="345" t="s">
        <v>2522</v>
      </c>
    </row>
    <row r="4419" spans="1:2" ht="15.75" x14ac:dyDescent="0.25">
      <c r="A4419" s="344" t="s">
        <v>7138</v>
      </c>
      <c r="B4419" s="345" t="s">
        <v>2523</v>
      </c>
    </row>
    <row r="4420" spans="1:2" ht="15.75" x14ac:dyDescent="0.25">
      <c r="A4420" s="344" t="s">
        <v>7139</v>
      </c>
      <c r="B4420" s="345" t="s">
        <v>2524</v>
      </c>
    </row>
    <row r="4421" spans="1:2" ht="15.75" x14ac:dyDescent="0.25">
      <c r="A4421" s="344" t="s">
        <v>7140</v>
      </c>
      <c r="B4421" s="345" t="s">
        <v>2525</v>
      </c>
    </row>
    <row r="4422" spans="1:2" ht="15.75" x14ac:dyDescent="0.25">
      <c r="A4422" s="344" t="s">
        <v>7141</v>
      </c>
      <c r="B4422" s="345" t="s">
        <v>2526</v>
      </c>
    </row>
    <row r="4423" spans="1:2" ht="15.75" x14ac:dyDescent="0.25">
      <c r="A4423" s="344" t="s">
        <v>7142</v>
      </c>
      <c r="B4423" s="345" t="s">
        <v>2527</v>
      </c>
    </row>
    <row r="4424" spans="1:2" ht="15.75" x14ac:dyDescent="0.25">
      <c r="A4424" s="344" t="s">
        <v>7143</v>
      </c>
      <c r="B4424" s="345" t="s">
        <v>2528</v>
      </c>
    </row>
    <row r="4425" spans="1:2" ht="15.75" x14ac:dyDescent="0.25">
      <c r="A4425" s="344" t="s">
        <v>7144</v>
      </c>
      <c r="B4425" s="345" t="s">
        <v>2529</v>
      </c>
    </row>
    <row r="4426" spans="1:2" ht="15.75" x14ac:dyDescent="0.25">
      <c r="A4426" s="344" t="s">
        <v>7145</v>
      </c>
      <c r="B4426" s="345" t="s">
        <v>2530</v>
      </c>
    </row>
    <row r="4427" spans="1:2" ht="15.75" x14ac:dyDescent="0.25">
      <c r="A4427" s="344" t="s">
        <v>7146</v>
      </c>
      <c r="B4427" s="345" t="s">
        <v>2531</v>
      </c>
    </row>
    <row r="4428" spans="1:2" ht="15.75" x14ac:dyDescent="0.25">
      <c r="A4428" s="344" t="s">
        <v>7147</v>
      </c>
      <c r="B4428" s="345" t="s">
        <v>2532</v>
      </c>
    </row>
    <row r="4429" spans="1:2" ht="15.75" x14ac:dyDescent="0.25">
      <c r="A4429" s="344" t="s">
        <v>7148</v>
      </c>
      <c r="B4429" s="345" t="s">
        <v>2533</v>
      </c>
    </row>
    <row r="4430" spans="1:2" ht="15.75" x14ac:dyDescent="0.25">
      <c r="A4430" s="344" t="s">
        <v>7149</v>
      </c>
      <c r="B4430" s="345" t="s">
        <v>2534</v>
      </c>
    </row>
    <row r="4431" spans="1:2" ht="15.75" x14ac:dyDescent="0.25">
      <c r="A4431" s="344" t="s">
        <v>7150</v>
      </c>
      <c r="B4431" s="345" t="s">
        <v>2535</v>
      </c>
    </row>
    <row r="4432" spans="1:2" ht="15.75" x14ac:dyDescent="0.25">
      <c r="A4432" s="344" t="s">
        <v>7151</v>
      </c>
      <c r="B4432" s="345" t="s">
        <v>2536</v>
      </c>
    </row>
    <row r="4433" spans="1:2" ht="15.75" x14ac:dyDescent="0.25">
      <c r="A4433" s="344" t="s">
        <v>7152</v>
      </c>
      <c r="B4433" s="345" t="s">
        <v>2537</v>
      </c>
    </row>
    <row r="4434" spans="1:2" ht="15.75" x14ac:dyDescent="0.25">
      <c r="A4434" s="344" t="s">
        <v>7153</v>
      </c>
      <c r="B4434" s="345" t="s">
        <v>2538</v>
      </c>
    </row>
    <row r="4435" spans="1:2" ht="15.75" x14ac:dyDescent="0.25">
      <c r="A4435" s="344" t="s">
        <v>7154</v>
      </c>
      <c r="B4435" s="345" t="s">
        <v>2539</v>
      </c>
    </row>
    <row r="4436" spans="1:2" ht="15.75" x14ac:dyDescent="0.25">
      <c r="A4436" s="344" t="s">
        <v>7155</v>
      </c>
      <c r="B4436" s="345" t="s">
        <v>2540</v>
      </c>
    </row>
    <row r="4437" spans="1:2" ht="15.75" x14ac:dyDescent="0.25">
      <c r="A4437" s="344" t="s">
        <v>7156</v>
      </c>
      <c r="B4437" s="345" t="s">
        <v>2541</v>
      </c>
    </row>
    <row r="4438" spans="1:2" ht="15.75" x14ac:dyDescent="0.25">
      <c r="A4438" s="344" t="s">
        <v>7157</v>
      </c>
      <c r="B4438" s="345" t="s">
        <v>2542</v>
      </c>
    </row>
    <row r="4439" spans="1:2" ht="15.75" x14ac:dyDescent="0.25">
      <c r="A4439" s="344" t="s">
        <v>7158</v>
      </c>
      <c r="B4439" s="345" t="s">
        <v>2543</v>
      </c>
    </row>
    <row r="4440" spans="1:2" ht="15.75" x14ac:dyDescent="0.25">
      <c r="A4440" s="344" t="s">
        <v>7159</v>
      </c>
      <c r="B4440" s="345" t="s">
        <v>2544</v>
      </c>
    </row>
    <row r="4441" spans="1:2" ht="15.75" x14ac:dyDescent="0.25">
      <c r="A4441" s="344" t="s">
        <v>7160</v>
      </c>
      <c r="B4441" s="345" t="s">
        <v>2545</v>
      </c>
    </row>
    <row r="4442" spans="1:2" ht="15.75" x14ac:dyDescent="0.25">
      <c r="A4442" s="344" t="s">
        <v>7161</v>
      </c>
      <c r="B4442" s="345" t="s">
        <v>2546</v>
      </c>
    </row>
    <row r="4443" spans="1:2" ht="15.75" x14ac:dyDescent="0.25">
      <c r="A4443" s="344" t="s">
        <v>7162</v>
      </c>
      <c r="B4443" s="345" t="s">
        <v>2547</v>
      </c>
    </row>
    <row r="4444" spans="1:2" ht="15.75" x14ac:dyDescent="0.25">
      <c r="A4444" s="344" t="s">
        <v>7163</v>
      </c>
      <c r="B4444" s="345" t="s">
        <v>2548</v>
      </c>
    </row>
    <row r="4445" spans="1:2" ht="15.75" x14ac:dyDescent="0.25">
      <c r="A4445" s="344" t="s">
        <v>7164</v>
      </c>
      <c r="B4445" s="345" t="s">
        <v>2549</v>
      </c>
    </row>
    <row r="4446" spans="1:2" ht="15.75" x14ac:dyDescent="0.25">
      <c r="A4446" s="344" t="s">
        <v>7165</v>
      </c>
      <c r="B4446" s="345" t="s">
        <v>2550</v>
      </c>
    </row>
    <row r="4447" spans="1:2" ht="15.75" x14ac:dyDescent="0.25">
      <c r="A4447" s="344" t="s">
        <v>7166</v>
      </c>
      <c r="B4447" s="345" t="s">
        <v>2551</v>
      </c>
    </row>
    <row r="4448" spans="1:2" ht="15.75" x14ac:dyDescent="0.25">
      <c r="A4448" s="344" t="s">
        <v>7167</v>
      </c>
      <c r="B4448" s="345" t="s">
        <v>2552</v>
      </c>
    </row>
    <row r="4449" spans="1:2" ht="15.75" x14ac:dyDescent="0.25">
      <c r="A4449" s="344" t="s">
        <v>7168</v>
      </c>
      <c r="B4449" s="345" t="s">
        <v>2553</v>
      </c>
    </row>
    <row r="4450" spans="1:2" ht="15.75" x14ac:dyDescent="0.25">
      <c r="A4450" s="344" t="s">
        <v>7169</v>
      </c>
      <c r="B4450" s="345" t="s">
        <v>2554</v>
      </c>
    </row>
    <row r="4451" spans="1:2" ht="15.75" x14ac:dyDescent="0.25">
      <c r="A4451" s="344" t="s">
        <v>7170</v>
      </c>
      <c r="B4451" s="345" t="s">
        <v>2555</v>
      </c>
    </row>
    <row r="4452" spans="1:2" ht="15.75" x14ac:dyDescent="0.25">
      <c r="A4452" s="344" t="s">
        <v>7171</v>
      </c>
      <c r="B4452" s="345" t="s">
        <v>2556</v>
      </c>
    </row>
    <row r="4453" spans="1:2" ht="15.75" x14ac:dyDescent="0.25">
      <c r="A4453" s="344" t="s">
        <v>7172</v>
      </c>
      <c r="B4453" s="345" t="s">
        <v>2557</v>
      </c>
    </row>
    <row r="4454" spans="1:2" ht="15.75" x14ac:dyDescent="0.25">
      <c r="A4454" s="344" t="s">
        <v>7173</v>
      </c>
      <c r="B4454" s="345" t="s">
        <v>2558</v>
      </c>
    </row>
    <row r="4455" spans="1:2" ht="15.75" x14ac:dyDescent="0.25">
      <c r="A4455" s="344" t="s">
        <v>7174</v>
      </c>
      <c r="B4455" s="345" t="s">
        <v>2559</v>
      </c>
    </row>
    <row r="4456" spans="1:2" ht="15.75" x14ac:dyDescent="0.25">
      <c r="A4456" s="344" t="s">
        <v>7175</v>
      </c>
      <c r="B4456" s="345" t="s">
        <v>2560</v>
      </c>
    </row>
    <row r="4457" spans="1:2" ht="15.75" x14ac:dyDescent="0.25">
      <c r="A4457" s="344" t="s">
        <v>7176</v>
      </c>
      <c r="B4457" s="345" t="s">
        <v>2561</v>
      </c>
    </row>
    <row r="4458" spans="1:2" ht="15.75" x14ac:dyDescent="0.25">
      <c r="A4458" s="344" t="s">
        <v>7177</v>
      </c>
      <c r="B4458" s="345" t="s">
        <v>2562</v>
      </c>
    </row>
    <row r="4459" spans="1:2" ht="15.75" x14ac:dyDescent="0.25">
      <c r="A4459" s="344" t="s">
        <v>7178</v>
      </c>
      <c r="B4459" s="345" t="s">
        <v>2563</v>
      </c>
    </row>
    <row r="4460" spans="1:2" ht="15.75" x14ac:dyDescent="0.25">
      <c r="A4460" s="344" t="s">
        <v>7179</v>
      </c>
      <c r="B4460" s="345" t="s">
        <v>2564</v>
      </c>
    </row>
    <row r="4461" spans="1:2" ht="15.75" x14ac:dyDescent="0.25">
      <c r="A4461" s="344" t="s">
        <v>7180</v>
      </c>
      <c r="B4461" s="345" t="s">
        <v>2565</v>
      </c>
    </row>
    <row r="4462" spans="1:2" ht="15.75" x14ac:dyDescent="0.25">
      <c r="A4462" s="344" t="s">
        <v>7181</v>
      </c>
      <c r="B4462" s="345" t="s">
        <v>7182</v>
      </c>
    </row>
    <row r="4463" spans="1:2" ht="15.75" x14ac:dyDescent="0.25">
      <c r="A4463" s="344" t="s">
        <v>7183</v>
      </c>
      <c r="B4463" s="345" t="s">
        <v>7184</v>
      </c>
    </row>
    <row r="4464" spans="1:2" ht="15.75" x14ac:dyDescent="0.25">
      <c r="A4464" s="344" t="s">
        <v>7185</v>
      </c>
      <c r="B4464" s="345" t="s">
        <v>7186</v>
      </c>
    </row>
    <row r="4465" spans="1:2" ht="15.75" x14ac:dyDescent="0.25">
      <c r="A4465" s="344" t="s">
        <v>7187</v>
      </c>
      <c r="B4465" s="345" t="s">
        <v>7188</v>
      </c>
    </row>
    <row r="4466" spans="1:2" ht="15.75" x14ac:dyDescent="0.25">
      <c r="A4466" s="344" t="s">
        <v>7189</v>
      </c>
      <c r="B4466" s="345" t="s">
        <v>2566</v>
      </c>
    </row>
    <row r="4467" spans="1:2" ht="15.75" x14ac:dyDescent="0.25">
      <c r="A4467" s="344" t="s">
        <v>7190</v>
      </c>
      <c r="B4467" s="345" t="s">
        <v>2567</v>
      </c>
    </row>
    <row r="4468" spans="1:2" ht="15.75" x14ac:dyDescent="0.25">
      <c r="A4468" s="344" t="s">
        <v>7191</v>
      </c>
      <c r="B4468" s="345" t="s">
        <v>2568</v>
      </c>
    </row>
    <row r="4469" spans="1:2" ht="15.75" x14ac:dyDescent="0.25">
      <c r="A4469" s="344" t="s">
        <v>7192</v>
      </c>
      <c r="B4469" s="345" t="s">
        <v>2569</v>
      </c>
    </row>
    <row r="4470" spans="1:2" ht="15.75" x14ac:dyDescent="0.25">
      <c r="A4470" s="344" t="s">
        <v>7193</v>
      </c>
      <c r="B4470" s="345" t="s">
        <v>2570</v>
      </c>
    </row>
    <row r="4471" spans="1:2" ht="15.75" x14ac:dyDescent="0.25">
      <c r="A4471" s="344" t="s">
        <v>7194</v>
      </c>
      <c r="B4471" s="345" t="s">
        <v>2571</v>
      </c>
    </row>
    <row r="4472" spans="1:2" ht="15.75" x14ac:dyDescent="0.25">
      <c r="A4472" s="344" t="s">
        <v>7195</v>
      </c>
      <c r="B4472" s="345" t="s">
        <v>2572</v>
      </c>
    </row>
    <row r="4473" spans="1:2" ht="15.75" x14ac:dyDescent="0.25">
      <c r="A4473" s="344" t="s">
        <v>7196</v>
      </c>
      <c r="B4473" s="345" t="s">
        <v>2573</v>
      </c>
    </row>
    <row r="4474" spans="1:2" ht="15.75" x14ac:dyDescent="0.25">
      <c r="A4474" s="344" t="s">
        <v>7197</v>
      </c>
      <c r="B4474" s="345" t="s">
        <v>2574</v>
      </c>
    </row>
    <row r="4475" spans="1:2" ht="15.75" x14ac:dyDescent="0.25">
      <c r="A4475" s="344" t="s">
        <v>7198</v>
      </c>
      <c r="B4475" s="345" t="s">
        <v>2575</v>
      </c>
    </row>
    <row r="4476" spans="1:2" ht="15.75" x14ac:dyDescent="0.25">
      <c r="A4476" s="344" t="s">
        <v>7199</v>
      </c>
      <c r="B4476" s="345" t="s">
        <v>2576</v>
      </c>
    </row>
    <row r="4477" spans="1:2" ht="15.75" x14ac:dyDescent="0.25">
      <c r="A4477" s="344" t="s">
        <v>7200</v>
      </c>
      <c r="B4477" s="345" t="s">
        <v>2577</v>
      </c>
    </row>
    <row r="4478" spans="1:2" ht="15.75" x14ac:dyDescent="0.25">
      <c r="A4478" s="344" t="s">
        <v>7201</v>
      </c>
      <c r="B4478" s="345" t="s">
        <v>2578</v>
      </c>
    </row>
    <row r="4479" spans="1:2" ht="15.75" x14ac:dyDescent="0.25">
      <c r="A4479" s="344" t="s">
        <v>7202</v>
      </c>
      <c r="B4479" s="345" t="s">
        <v>2579</v>
      </c>
    </row>
    <row r="4480" spans="1:2" ht="15.75" x14ac:dyDescent="0.25">
      <c r="A4480" s="344" t="s">
        <v>7203</v>
      </c>
      <c r="B4480" s="345" t="s">
        <v>2580</v>
      </c>
    </row>
    <row r="4481" spans="1:2" ht="15.75" x14ac:dyDescent="0.25">
      <c r="A4481" s="344" t="s">
        <v>7204</v>
      </c>
      <c r="B4481" s="345" t="s">
        <v>2581</v>
      </c>
    </row>
    <row r="4482" spans="1:2" ht="15.75" x14ac:dyDescent="0.25">
      <c r="A4482" s="344" t="s">
        <v>7205</v>
      </c>
      <c r="B4482" s="345" t="s">
        <v>2582</v>
      </c>
    </row>
    <row r="4483" spans="1:2" ht="15.75" x14ac:dyDescent="0.25">
      <c r="A4483" s="344" t="s">
        <v>7206</v>
      </c>
      <c r="B4483" s="345" t="s">
        <v>2583</v>
      </c>
    </row>
    <row r="4484" spans="1:2" ht="15.75" x14ac:dyDescent="0.25">
      <c r="A4484" s="344" t="s">
        <v>7207</v>
      </c>
      <c r="B4484" s="345" t="s">
        <v>2584</v>
      </c>
    </row>
    <row r="4485" spans="1:2" ht="15.75" x14ac:dyDescent="0.25">
      <c r="A4485" s="344" t="s">
        <v>7208</v>
      </c>
      <c r="B4485" s="345" t="s">
        <v>2585</v>
      </c>
    </row>
    <row r="4486" spans="1:2" ht="15.75" x14ac:dyDescent="0.25">
      <c r="A4486" s="344" t="s">
        <v>7209</v>
      </c>
      <c r="B4486" s="345" t="s">
        <v>2586</v>
      </c>
    </row>
    <row r="4487" spans="1:2" ht="15.75" x14ac:dyDescent="0.25">
      <c r="A4487" s="344" t="s">
        <v>7210</v>
      </c>
      <c r="B4487" s="345" t="s">
        <v>2587</v>
      </c>
    </row>
    <row r="4488" spans="1:2" ht="15.75" x14ac:dyDescent="0.25">
      <c r="A4488" s="344" t="s">
        <v>7211</v>
      </c>
      <c r="B4488" s="345" t="s">
        <v>2588</v>
      </c>
    </row>
    <row r="4489" spans="1:2" ht="15.75" x14ac:dyDescent="0.25">
      <c r="A4489" s="344" t="s">
        <v>7212</v>
      </c>
      <c r="B4489" s="345" t="s">
        <v>2589</v>
      </c>
    </row>
    <row r="4490" spans="1:2" ht="15.75" x14ac:dyDescent="0.25">
      <c r="A4490" s="344" t="s">
        <v>7213</v>
      </c>
      <c r="B4490" s="345" t="s">
        <v>2590</v>
      </c>
    </row>
    <row r="4491" spans="1:2" ht="15.75" x14ac:dyDescent="0.25">
      <c r="A4491" s="344" t="s">
        <v>7214</v>
      </c>
      <c r="B4491" s="345" t="s">
        <v>2591</v>
      </c>
    </row>
    <row r="4492" spans="1:2" ht="15.75" x14ac:dyDescent="0.25">
      <c r="A4492" s="344" t="s">
        <v>7215</v>
      </c>
      <c r="B4492" s="345" t="s">
        <v>2592</v>
      </c>
    </row>
    <row r="4493" spans="1:2" ht="15.75" x14ac:dyDescent="0.25">
      <c r="A4493" s="344" t="s">
        <v>7216</v>
      </c>
      <c r="B4493" s="345" t="s">
        <v>2593</v>
      </c>
    </row>
    <row r="4494" spans="1:2" ht="15.75" x14ac:dyDescent="0.25">
      <c r="A4494" s="344" t="s">
        <v>7217</v>
      </c>
      <c r="B4494" s="345" t="s">
        <v>2594</v>
      </c>
    </row>
    <row r="4495" spans="1:2" ht="15.75" x14ac:dyDescent="0.25">
      <c r="A4495" s="344" t="s">
        <v>7218</v>
      </c>
      <c r="B4495" s="345" t="s">
        <v>2595</v>
      </c>
    </row>
    <row r="4496" spans="1:2" ht="15.75" x14ac:dyDescent="0.25">
      <c r="A4496" s="344" t="s">
        <v>7219</v>
      </c>
      <c r="B4496" s="345" t="s">
        <v>2596</v>
      </c>
    </row>
    <row r="4497" spans="1:2" ht="15.75" x14ac:dyDescent="0.25">
      <c r="A4497" s="344" t="s">
        <v>7220</v>
      </c>
      <c r="B4497" s="345" t="s">
        <v>2597</v>
      </c>
    </row>
    <row r="4498" spans="1:2" ht="15.75" x14ac:dyDescent="0.25">
      <c r="A4498" s="344" t="s">
        <v>7221</v>
      </c>
      <c r="B4498" s="345" t="s">
        <v>2598</v>
      </c>
    </row>
    <row r="4499" spans="1:2" ht="15.75" x14ac:dyDescent="0.25">
      <c r="A4499" s="344" t="s">
        <v>7222</v>
      </c>
      <c r="B4499" s="345" t="s">
        <v>2599</v>
      </c>
    </row>
    <row r="4500" spans="1:2" ht="15.75" x14ac:dyDescent="0.25">
      <c r="A4500" s="344" t="s">
        <v>7223</v>
      </c>
      <c r="B4500" s="345" t="s">
        <v>2600</v>
      </c>
    </row>
    <row r="4501" spans="1:2" ht="15.75" x14ac:dyDescent="0.25">
      <c r="A4501" s="344" t="s">
        <v>7224</v>
      </c>
      <c r="B4501" s="345" t="s">
        <v>2601</v>
      </c>
    </row>
    <row r="4502" spans="1:2" ht="15.75" x14ac:dyDescent="0.25">
      <c r="A4502" s="344" t="s">
        <v>7225</v>
      </c>
      <c r="B4502" s="345" t="s">
        <v>2602</v>
      </c>
    </row>
    <row r="4503" spans="1:2" ht="15.75" x14ac:dyDescent="0.25">
      <c r="A4503" s="344" t="s">
        <v>7226</v>
      </c>
      <c r="B4503" s="345" t="s">
        <v>2603</v>
      </c>
    </row>
    <row r="4504" spans="1:2" ht="15.75" x14ac:dyDescent="0.25">
      <c r="A4504" s="344" t="s">
        <v>7227</v>
      </c>
      <c r="B4504" s="345" t="s">
        <v>2604</v>
      </c>
    </row>
    <row r="4505" spans="1:2" ht="15.75" x14ac:dyDescent="0.25">
      <c r="A4505" s="344" t="s">
        <v>7228</v>
      </c>
      <c r="B4505" s="345" t="s">
        <v>2605</v>
      </c>
    </row>
    <row r="4506" spans="1:2" ht="15.75" x14ac:dyDescent="0.25">
      <c r="A4506" s="344" t="s">
        <v>7229</v>
      </c>
      <c r="B4506" s="345" t="s">
        <v>2606</v>
      </c>
    </row>
    <row r="4507" spans="1:2" ht="15.75" x14ac:dyDescent="0.25">
      <c r="A4507" s="344" t="s">
        <v>7230</v>
      </c>
      <c r="B4507" s="345" t="s">
        <v>2607</v>
      </c>
    </row>
    <row r="4508" spans="1:2" ht="15.75" x14ac:dyDescent="0.25">
      <c r="A4508" s="344" t="s">
        <v>7231</v>
      </c>
      <c r="B4508" s="345" t="s">
        <v>2608</v>
      </c>
    </row>
    <row r="4509" spans="1:2" ht="15.75" x14ac:dyDescent="0.25">
      <c r="A4509" s="344" t="s">
        <v>7232</v>
      </c>
      <c r="B4509" s="345" t="s">
        <v>2609</v>
      </c>
    </row>
    <row r="4510" spans="1:2" ht="15.75" x14ac:dyDescent="0.25">
      <c r="A4510" s="344" t="s">
        <v>7233</v>
      </c>
      <c r="B4510" s="345" t="s">
        <v>2610</v>
      </c>
    </row>
    <row r="4511" spans="1:2" ht="15.75" x14ac:dyDescent="0.25">
      <c r="A4511" s="344" t="s">
        <v>7234</v>
      </c>
      <c r="B4511" s="345" t="s">
        <v>2611</v>
      </c>
    </row>
    <row r="4512" spans="1:2" ht="15.75" x14ac:dyDescent="0.25">
      <c r="A4512" s="344" t="s">
        <v>7235</v>
      </c>
      <c r="B4512" s="345" t="s">
        <v>2612</v>
      </c>
    </row>
    <row r="4513" spans="1:2" ht="15.75" x14ac:dyDescent="0.25">
      <c r="A4513" s="344" t="s">
        <v>7236</v>
      </c>
      <c r="B4513" s="345" t="s">
        <v>2613</v>
      </c>
    </row>
    <row r="4514" spans="1:2" ht="15.75" x14ac:dyDescent="0.25">
      <c r="A4514" s="344" t="s">
        <v>7237</v>
      </c>
      <c r="B4514" s="345" t="s">
        <v>2614</v>
      </c>
    </row>
    <row r="4515" spans="1:2" ht="15.75" x14ac:dyDescent="0.25">
      <c r="A4515" s="344" t="s">
        <v>7238</v>
      </c>
      <c r="B4515" s="345" t="s">
        <v>2615</v>
      </c>
    </row>
    <row r="4516" spans="1:2" ht="15.75" x14ac:dyDescent="0.25">
      <c r="A4516" s="344" t="s">
        <v>7239</v>
      </c>
      <c r="B4516" s="345" t="s">
        <v>2616</v>
      </c>
    </row>
    <row r="4517" spans="1:2" ht="15.75" x14ac:dyDescent="0.25">
      <c r="A4517" s="344" t="s">
        <v>7240</v>
      </c>
      <c r="B4517" s="345" t="s">
        <v>2617</v>
      </c>
    </row>
    <row r="4518" spans="1:2" ht="15.75" x14ac:dyDescent="0.25">
      <c r="A4518" s="344" t="s">
        <v>7241</v>
      </c>
      <c r="B4518" s="345" t="s">
        <v>2618</v>
      </c>
    </row>
    <row r="4519" spans="1:2" ht="15.75" x14ac:dyDescent="0.25">
      <c r="A4519" s="344" t="s">
        <v>7242</v>
      </c>
      <c r="B4519" s="345" t="s">
        <v>2619</v>
      </c>
    </row>
    <row r="4520" spans="1:2" ht="15.75" x14ac:dyDescent="0.25">
      <c r="A4520" s="344" t="s">
        <v>7243</v>
      </c>
      <c r="B4520" s="345" t="s">
        <v>2620</v>
      </c>
    </row>
    <row r="4521" spans="1:2" ht="15.75" x14ac:dyDescent="0.25">
      <c r="A4521" s="344" t="s">
        <v>7244</v>
      </c>
      <c r="B4521" s="345" t="s">
        <v>2621</v>
      </c>
    </row>
    <row r="4522" spans="1:2" ht="15.75" x14ac:dyDescent="0.25">
      <c r="A4522" s="344" t="s">
        <v>7245</v>
      </c>
      <c r="B4522" s="345" t="s">
        <v>2622</v>
      </c>
    </row>
    <row r="4523" spans="1:2" ht="15.75" x14ac:dyDescent="0.25">
      <c r="A4523" s="344" t="s">
        <v>7246</v>
      </c>
      <c r="B4523" s="345" t="s">
        <v>2623</v>
      </c>
    </row>
    <row r="4524" spans="1:2" ht="15.75" x14ac:dyDescent="0.25">
      <c r="A4524" s="344" t="s">
        <v>7247</v>
      </c>
      <c r="B4524" s="345" t="s">
        <v>2624</v>
      </c>
    </row>
    <row r="4525" spans="1:2" ht="15.75" x14ac:dyDescent="0.25">
      <c r="A4525" s="344" t="s">
        <v>7248</v>
      </c>
      <c r="B4525" s="345" t="s">
        <v>2625</v>
      </c>
    </row>
    <row r="4526" spans="1:2" ht="15.75" x14ac:dyDescent="0.25">
      <c r="A4526" s="344" t="s">
        <v>7249</v>
      </c>
      <c r="B4526" s="345" t="s">
        <v>2626</v>
      </c>
    </row>
    <row r="4527" spans="1:2" ht="15.75" x14ac:dyDescent="0.25">
      <c r="A4527" s="344" t="s">
        <v>7250</v>
      </c>
      <c r="B4527" s="345" t="s">
        <v>2627</v>
      </c>
    </row>
    <row r="4528" spans="1:2" ht="15.75" x14ac:dyDescent="0.25">
      <c r="A4528" s="344" t="s">
        <v>7251</v>
      </c>
      <c r="B4528" s="345" t="s">
        <v>2628</v>
      </c>
    </row>
    <row r="4529" spans="1:2" ht="15.75" x14ac:dyDescent="0.25">
      <c r="A4529" s="344" t="s">
        <v>7252</v>
      </c>
      <c r="B4529" s="345" t="s">
        <v>2629</v>
      </c>
    </row>
    <row r="4530" spans="1:2" ht="15.75" x14ac:dyDescent="0.25">
      <c r="A4530" s="344" t="s">
        <v>7253</v>
      </c>
      <c r="B4530" s="345" t="s">
        <v>2630</v>
      </c>
    </row>
    <row r="4531" spans="1:2" ht="15.75" x14ac:dyDescent="0.25">
      <c r="A4531" s="344" t="s">
        <v>7254</v>
      </c>
      <c r="B4531" s="345" t="s">
        <v>2631</v>
      </c>
    </row>
    <row r="4532" spans="1:2" ht="15.75" x14ac:dyDescent="0.25">
      <c r="A4532" s="344" t="s">
        <v>7255</v>
      </c>
      <c r="B4532" s="345" t="s">
        <v>2632</v>
      </c>
    </row>
    <row r="4533" spans="1:2" ht="15.75" x14ac:dyDescent="0.25">
      <c r="A4533" s="344" t="s">
        <v>7256</v>
      </c>
      <c r="B4533" s="345" t="s">
        <v>2633</v>
      </c>
    </row>
    <row r="4534" spans="1:2" ht="15.75" x14ac:dyDescent="0.25">
      <c r="A4534" s="344" t="s">
        <v>7257</v>
      </c>
      <c r="B4534" s="345" t="s">
        <v>2634</v>
      </c>
    </row>
    <row r="4535" spans="1:2" ht="15.75" x14ac:dyDescent="0.25">
      <c r="A4535" s="344" t="s">
        <v>7258</v>
      </c>
      <c r="B4535" s="345" t="s">
        <v>2635</v>
      </c>
    </row>
    <row r="4536" spans="1:2" ht="15.75" x14ac:dyDescent="0.25">
      <c r="A4536" s="344" t="s">
        <v>7259</v>
      </c>
      <c r="B4536" s="345" t="s">
        <v>2636</v>
      </c>
    </row>
    <row r="4537" spans="1:2" ht="15.75" x14ac:dyDescent="0.25">
      <c r="A4537" s="344" t="s">
        <v>7260</v>
      </c>
      <c r="B4537" s="345" t="s">
        <v>2637</v>
      </c>
    </row>
    <row r="4538" spans="1:2" ht="15.75" x14ac:dyDescent="0.25">
      <c r="A4538" s="344" t="s">
        <v>7261</v>
      </c>
      <c r="B4538" s="345" t="s">
        <v>2638</v>
      </c>
    </row>
    <row r="4539" spans="1:2" ht="15.75" x14ac:dyDescent="0.25">
      <c r="A4539" s="344" t="s">
        <v>7262</v>
      </c>
      <c r="B4539" s="345" t="s">
        <v>2639</v>
      </c>
    </row>
    <row r="4540" spans="1:2" ht="15.75" x14ac:dyDescent="0.25">
      <c r="A4540" s="344" t="s">
        <v>7263</v>
      </c>
      <c r="B4540" s="345" t="s">
        <v>2640</v>
      </c>
    </row>
    <row r="4541" spans="1:2" ht="15.75" x14ac:dyDescent="0.25">
      <c r="A4541" s="344" t="s">
        <v>7264</v>
      </c>
      <c r="B4541" s="345" t="s">
        <v>2641</v>
      </c>
    </row>
    <row r="4542" spans="1:2" ht="15.75" x14ac:dyDescent="0.25">
      <c r="A4542" s="344" t="s">
        <v>7265</v>
      </c>
      <c r="B4542" s="345" t="s">
        <v>2642</v>
      </c>
    </row>
    <row r="4543" spans="1:2" ht="15.75" x14ac:dyDescent="0.25">
      <c r="A4543" s="344" t="s">
        <v>7266</v>
      </c>
      <c r="B4543" s="345" t="s">
        <v>2643</v>
      </c>
    </row>
    <row r="4544" spans="1:2" ht="15.75" x14ac:dyDescent="0.25">
      <c r="A4544" s="344" t="s">
        <v>7267</v>
      </c>
      <c r="B4544" s="345" t="s">
        <v>2644</v>
      </c>
    </row>
    <row r="4545" spans="1:2" ht="15.75" x14ac:dyDescent="0.25">
      <c r="A4545" s="344" t="s">
        <v>7268</v>
      </c>
      <c r="B4545" s="345" t="s">
        <v>2645</v>
      </c>
    </row>
    <row r="4546" spans="1:2" ht="15.75" x14ac:dyDescent="0.25">
      <c r="A4546" s="344" t="s">
        <v>7269</v>
      </c>
      <c r="B4546" s="345" t="s">
        <v>2646</v>
      </c>
    </row>
    <row r="4547" spans="1:2" ht="15.75" x14ac:dyDescent="0.25">
      <c r="A4547" s="344" t="s">
        <v>7270</v>
      </c>
      <c r="B4547" s="345" t="s">
        <v>2647</v>
      </c>
    </row>
    <row r="4548" spans="1:2" ht="15.75" x14ac:dyDescent="0.25">
      <c r="A4548" s="344" t="s">
        <v>7271</v>
      </c>
      <c r="B4548" s="345" t="s">
        <v>2648</v>
      </c>
    </row>
    <row r="4549" spans="1:2" ht="15.75" x14ac:dyDescent="0.25">
      <c r="A4549" s="344" t="s">
        <v>7272</v>
      </c>
      <c r="B4549" s="345" t="s">
        <v>2649</v>
      </c>
    </row>
    <row r="4550" spans="1:2" ht="15.75" x14ac:dyDescent="0.25">
      <c r="A4550" s="344" t="s">
        <v>7273</v>
      </c>
      <c r="B4550" s="345" t="s">
        <v>2650</v>
      </c>
    </row>
    <row r="4551" spans="1:2" ht="15.75" x14ac:dyDescent="0.25">
      <c r="A4551" s="344" t="s">
        <v>7274</v>
      </c>
      <c r="B4551" s="345" t="s">
        <v>2651</v>
      </c>
    </row>
    <row r="4552" spans="1:2" ht="15.75" x14ac:dyDescent="0.25">
      <c r="A4552" s="344" t="s">
        <v>7275</v>
      </c>
      <c r="B4552" s="345" t="s">
        <v>2652</v>
      </c>
    </row>
    <row r="4553" spans="1:2" ht="15.75" x14ac:dyDescent="0.25">
      <c r="A4553" s="344" t="s">
        <v>7276</v>
      </c>
      <c r="B4553" s="345" t="s">
        <v>2653</v>
      </c>
    </row>
    <row r="4554" spans="1:2" ht="15.75" x14ac:dyDescent="0.25">
      <c r="A4554" s="344" t="s">
        <v>7277</v>
      </c>
      <c r="B4554" s="345" t="s">
        <v>2654</v>
      </c>
    </row>
    <row r="4555" spans="1:2" ht="15.75" x14ac:dyDescent="0.25">
      <c r="A4555" s="344" t="s">
        <v>7278</v>
      </c>
      <c r="B4555" s="345" t="s">
        <v>2655</v>
      </c>
    </row>
    <row r="4556" spans="1:2" ht="15.75" x14ac:dyDescent="0.25">
      <c r="A4556" s="344" t="s">
        <v>7279</v>
      </c>
      <c r="B4556" s="345" t="s">
        <v>2656</v>
      </c>
    </row>
    <row r="4557" spans="1:2" ht="15.75" x14ac:dyDescent="0.25">
      <c r="A4557" s="344" t="s">
        <v>7280</v>
      </c>
      <c r="B4557" s="345" t="s">
        <v>2657</v>
      </c>
    </row>
    <row r="4558" spans="1:2" ht="15.75" x14ac:dyDescent="0.25">
      <c r="A4558" s="344" t="s">
        <v>7281</v>
      </c>
      <c r="B4558" s="345" t="s">
        <v>2658</v>
      </c>
    </row>
    <row r="4559" spans="1:2" ht="15.75" x14ac:dyDescent="0.25">
      <c r="A4559" s="344" t="s">
        <v>7282</v>
      </c>
      <c r="B4559" s="345" t="s">
        <v>2659</v>
      </c>
    </row>
    <row r="4560" spans="1:2" ht="15.75" x14ac:dyDescent="0.25">
      <c r="A4560" s="344" t="s">
        <v>7283</v>
      </c>
      <c r="B4560" s="345" t="s">
        <v>2660</v>
      </c>
    </row>
    <row r="4561" spans="1:2" ht="15.75" x14ac:dyDescent="0.25">
      <c r="A4561" s="344" t="s">
        <v>7284</v>
      </c>
      <c r="B4561" s="345" t="s">
        <v>2661</v>
      </c>
    </row>
    <row r="4562" spans="1:2" ht="15.75" x14ac:dyDescent="0.25">
      <c r="A4562" s="344" t="s">
        <v>7285</v>
      </c>
      <c r="B4562" s="345" t="s">
        <v>2662</v>
      </c>
    </row>
    <row r="4563" spans="1:2" ht="15.75" x14ac:dyDescent="0.25">
      <c r="A4563" s="344" t="s">
        <v>7286</v>
      </c>
      <c r="B4563" s="345" t="s">
        <v>2663</v>
      </c>
    </row>
    <row r="4564" spans="1:2" ht="15.75" x14ac:dyDescent="0.25">
      <c r="A4564" s="344" t="s">
        <v>7287</v>
      </c>
      <c r="B4564" s="345" t="s">
        <v>2664</v>
      </c>
    </row>
    <row r="4565" spans="1:2" ht="15.75" x14ac:dyDescent="0.25">
      <c r="A4565" s="344" t="s">
        <v>7288</v>
      </c>
      <c r="B4565" s="345" t="s">
        <v>2665</v>
      </c>
    </row>
    <row r="4566" spans="1:2" ht="15.75" x14ac:dyDescent="0.25">
      <c r="A4566" s="344" t="s">
        <v>7289</v>
      </c>
      <c r="B4566" s="345" t="s">
        <v>2666</v>
      </c>
    </row>
    <row r="4567" spans="1:2" ht="15.75" x14ac:dyDescent="0.25">
      <c r="A4567" s="344" t="s">
        <v>7290</v>
      </c>
      <c r="B4567" s="345" t="s">
        <v>2667</v>
      </c>
    </row>
    <row r="4568" spans="1:2" ht="15.75" x14ac:dyDescent="0.25">
      <c r="A4568" s="344" t="s">
        <v>7291</v>
      </c>
      <c r="B4568" s="345" t="s">
        <v>2668</v>
      </c>
    </row>
    <row r="4569" spans="1:2" ht="15.75" x14ac:dyDescent="0.25">
      <c r="A4569" s="344" t="s">
        <v>7292</v>
      </c>
      <c r="B4569" s="345" t="s">
        <v>2669</v>
      </c>
    </row>
    <row r="4570" spans="1:2" ht="15.75" x14ac:dyDescent="0.25">
      <c r="A4570" s="344" t="s">
        <v>7293</v>
      </c>
      <c r="B4570" s="345" t="s">
        <v>2670</v>
      </c>
    </row>
    <row r="4571" spans="1:2" ht="15.75" x14ac:dyDescent="0.25">
      <c r="A4571" s="344" t="s">
        <v>7294</v>
      </c>
      <c r="B4571" s="345" t="s">
        <v>2671</v>
      </c>
    </row>
    <row r="4572" spans="1:2" ht="15.75" x14ac:dyDescent="0.25">
      <c r="A4572" s="344" t="s">
        <v>7295</v>
      </c>
      <c r="B4572" s="345" t="s">
        <v>2672</v>
      </c>
    </row>
    <row r="4573" spans="1:2" ht="15.75" x14ac:dyDescent="0.25">
      <c r="A4573" s="344" t="s">
        <v>7296</v>
      </c>
      <c r="B4573" s="345" t="s">
        <v>2673</v>
      </c>
    </row>
    <row r="4574" spans="1:2" ht="15.75" x14ac:dyDescent="0.25">
      <c r="A4574" s="344" t="s">
        <v>7297</v>
      </c>
      <c r="B4574" s="345" t="s">
        <v>2674</v>
      </c>
    </row>
    <row r="4575" spans="1:2" ht="15.75" x14ac:dyDescent="0.25">
      <c r="A4575" s="344" t="s">
        <v>7298</v>
      </c>
      <c r="B4575" s="345" t="s">
        <v>2675</v>
      </c>
    </row>
    <row r="4576" spans="1:2" ht="15.75" x14ac:dyDescent="0.25">
      <c r="A4576" s="344" t="s">
        <v>7299</v>
      </c>
      <c r="B4576" s="345" t="s">
        <v>2676</v>
      </c>
    </row>
    <row r="4577" spans="1:2" ht="15.75" x14ac:dyDescent="0.25">
      <c r="A4577" s="344" t="s">
        <v>7300</v>
      </c>
      <c r="B4577" s="345" t="s">
        <v>2677</v>
      </c>
    </row>
    <row r="4578" spans="1:2" ht="15.75" x14ac:dyDescent="0.25">
      <c r="A4578" s="344" t="s">
        <v>7301</v>
      </c>
      <c r="B4578" s="345" t="s">
        <v>2678</v>
      </c>
    </row>
    <row r="4579" spans="1:2" ht="15.75" x14ac:dyDescent="0.25">
      <c r="A4579" s="344" t="s">
        <v>7302</v>
      </c>
      <c r="B4579" s="345" t="s">
        <v>2679</v>
      </c>
    </row>
    <row r="4580" spans="1:2" ht="15.75" x14ac:dyDescent="0.25">
      <c r="A4580" s="344" t="s">
        <v>7303</v>
      </c>
      <c r="B4580" s="345" t="s">
        <v>2680</v>
      </c>
    </row>
    <row r="4581" spans="1:2" ht="15.75" x14ac:dyDescent="0.25">
      <c r="A4581" s="344" t="s">
        <v>7304</v>
      </c>
      <c r="B4581" s="345" t="s">
        <v>2681</v>
      </c>
    </row>
    <row r="4582" spans="1:2" ht="15.75" x14ac:dyDescent="0.25">
      <c r="A4582" s="344" t="s">
        <v>7305</v>
      </c>
      <c r="B4582" s="345" t="s">
        <v>2682</v>
      </c>
    </row>
    <row r="4583" spans="1:2" ht="15.75" x14ac:dyDescent="0.25">
      <c r="A4583" s="344" t="s">
        <v>7306</v>
      </c>
      <c r="B4583" s="345" t="s">
        <v>2683</v>
      </c>
    </row>
    <row r="4584" spans="1:2" ht="15.75" x14ac:dyDescent="0.25">
      <c r="A4584" s="344" t="s">
        <v>7307</v>
      </c>
      <c r="B4584" s="345" t="s">
        <v>2684</v>
      </c>
    </row>
    <row r="4585" spans="1:2" ht="15.75" x14ac:dyDescent="0.25">
      <c r="A4585" s="344" t="s">
        <v>7308</v>
      </c>
      <c r="B4585" s="345" t="s">
        <v>2685</v>
      </c>
    </row>
    <row r="4586" spans="1:2" ht="15.75" x14ac:dyDescent="0.25">
      <c r="A4586" s="344" t="s">
        <v>7309</v>
      </c>
      <c r="B4586" s="345" t="s">
        <v>2686</v>
      </c>
    </row>
    <row r="4587" spans="1:2" ht="15.75" x14ac:dyDescent="0.25">
      <c r="A4587" s="344" t="s">
        <v>7310</v>
      </c>
      <c r="B4587" s="345" t="s">
        <v>2687</v>
      </c>
    </row>
    <row r="4588" spans="1:2" ht="15.75" x14ac:dyDescent="0.25">
      <c r="A4588" s="344" t="s">
        <v>7311</v>
      </c>
      <c r="B4588" s="345" t="s">
        <v>2688</v>
      </c>
    </row>
    <row r="4589" spans="1:2" ht="15.75" x14ac:dyDescent="0.25">
      <c r="A4589" s="344" t="s">
        <v>7312</v>
      </c>
      <c r="B4589" s="345" t="s">
        <v>2689</v>
      </c>
    </row>
    <row r="4590" spans="1:2" ht="15.75" x14ac:dyDescent="0.25">
      <c r="A4590" s="344" t="s">
        <v>7313</v>
      </c>
      <c r="B4590" s="345" t="s">
        <v>2690</v>
      </c>
    </row>
    <row r="4591" spans="1:2" ht="15.75" x14ac:dyDescent="0.25">
      <c r="A4591" s="344" t="s">
        <v>7314</v>
      </c>
      <c r="B4591" s="345" t="s">
        <v>2691</v>
      </c>
    </row>
    <row r="4592" spans="1:2" ht="15.75" x14ac:dyDescent="0.25">
      <c r="A4592" s="344" t="s">
        <v>7315</v>
      </c>
      <c r="B4592" s="345" t="s">
        <v>2692</v>
      </c>
    </row>
    <row r="4593" spans="1:2" ht="15.75" x14ac:dyDescent="0.25">
      <c r="A4593" s="344" t="s">
        <v>7316</v>
      </c>
      <c r="B4593" s="345" t="s">
        <v>2693</v>
      </c>
    </row>
    <row r="4594" spans="1:2" ht="15.75" x14ac:dyDescent="0.25">
      <c r="A4594" s="344" t="s">
        <v>7317</v>
      </c>
      <c r="B4594" s="345" t="s">
        <v>2694</v>
      </c>
    </row>
    <row r="4595" spans="1:2" ht="15.75" x14ac:dyDescent="0.25">
      <c r="A4595" s="344" t="s">
        <v>7318</v>
      </c>
      <c r="B4595" s="345" t="s">
        <v>2695</v>
      </c>
    </row>
    <row r="4596" spans="1:2" ht="15.75" x14ac:dyDescent="0.25">
      <c r="A4596" s="344" t="s">
        <v>7319</v>
      </c>
      <c r="B4596" s="345" t="s">
        <v>2696</v>
      </c>
    </row>
    <row r="4597" spans="1:2" ht="15.75" x14ac:dyDescent="0.25">
      <c r="A4597" s="344" t="s">
        <v>7320</v>
      </c>
      <c r="B4597" s="345" t="s">
        <v>7321</v>
      </c>
    </row>
    <row r="4598" spans="1:2" ht="15.75" x14ac:dyDescent="0.25">
      <c r="A4598" s="344" t="s">
        <v>7322</v>
      </c>
      <c r="B4598" s="345" t="s">
        <v>7323</v>
      </c>
    </row>
    <row r="4599" spans="1:2" ht="15.75" x14ac:dyDescent="0.25">
      <c r="A4599" s="344" t="s">
        <v>7324</v>
      </c>
      <c r="B4599" s="345" t="s">
        <v>7325</v>
      </c>
    </row>
    <row r="4600" spans="1:2" ht="15.75" x14ac:dyDescent="0.25">
      <c r="A4600" s="344" t="s">
        <v>7326</v>
      </c>
      <c r="B4600" s="345" t="s">
        <v>7327</v>
      </c>
    </row>
    <row r="4601" spans="1:2" ht="15.75" x14ac:dyDescent="0.25">
      <c r="A4601" s="344" t="s">
        <v>7328</v>
      </c>
      <c r="B4601" s="345" t="s">
        <v>2697</v>
      </c>
    </row>
    <row r="4602" spans="1:2" ht="15.75" x14ac:dyDescent="0.25">
      <c r="A4602" s="344" t="s">
        <v>7329</v>
      </c>
      <c r="B4602" s="345" t="s">
        <v>2698</v>
      </c>
    </row>
    <row r="4603" spans="1:2" ht="15.75" x14ac:dyDescent="0.25">
      <c r="A4603" s="344" t="s">
        <v>7330</v>
      </c>
      <c r="B4603" s="345" t="s">
        <v>2699</v>
      </c>
    </row>
    <row r="4604" spans="1:2" ht="15.75" x14ac:dyDescent="0.25">
      <c r="A4604" s="344" t="s">
        <v>7331</v>
      </c>
      <c r="B4604" s="345" t="s">
        <v>2700</v>
      </c>
    </row>
    <row r="4605" spans="1:2" ht="15.75" x14ac:dyDescent="0.25">
      <c r="A4605" s="344" t="s">
        <v>7332</v>
      </c>
      <c r="B4605" s="345" t="s">
        <v>2701</v>
      </c>
    </row>
    <row r="4606" spans="1:2" ht="15.75" x14ac:dyDescent="0.25">
      <c r="A4606" s="344" t="s">
        <v>7333</v>
      </c>
      <c r="B4606" s="345" t="s">
        <v>2702</v>
      </c>
    </row>
    <row r="4607" spans="1:2" ht="15.75" x14ac:dyDescent="0.25">
      <c r="A4607" s="344" t="s">
        <v>7334</v>
      </c>
      <c r="B4607" s="345" t="s">
        <v>2703</v>
      </c>
    </row>
    <row r="4608" spans="1:2" ht="15.75" x14ac:dyDescent="0.25">
      <c r="A4608" s="344" t="s">
        <v>7335</v>
      </c>
      <c r="B4608" s="345" t="s">
        <v>2704</v>
      </c>
    </row>
    <row r="4609" spans="1:2" ht="15.75" x14ac:dyDescent="0.25">
      <c r="A4609" s="344" t="s">
        <v>7336</v>
      </c>
      <c r="B4609" s="345" t="s">
        <v>2705</v>
      </c>
    </row>
    <row r="4610" spans="1:2" ht="15.75" x14ac:dyDescent="0.25">
      <c r="A4610" s="344" t="s">
        <v>7337</v>
      </c>
      <c r="B4610" s="345" t="s">
        <v>7338</v>
      </c>
    </row>
    <row r="4611" spans="1:2" ht="15.75" x14ac:dyDescent="0.25">
      <c r="A4611" s="344" t="s">
        <v>7339</v>
      </c>
      <c r="B4611" s="345" t="s">
        <v>7340</v>
      </c>
    </row>
    <row r="4612" spans="1:2" ht="15.75" x14ac:dyDescent="0.25">
      <c r="A4612" s="344" t="s">
        <v>7341</v>
      </c>
      <c r="B4612" s="345" t="s">
        <v>7342</v>
      </c>
    </row>
    <row r="4613" spans="1:2" ht="15.75" x14ac:dyDescent="0.25">
      <c r="A4613" s="344" t="s">
        <v>7343</v>
      </c>
      <c r="B4613" s="345" t="s">
        <v>7344</v>
      </c>
    </row>
    <row r="4614" spans="1:2" ht="15.75" x14ac:dyDescent="0.25">
      <c r="A4614" s="344" t="s">
        <v>7345</v>
      </c>
      <c r="B4614" s="345" t="s">
        <v>2706</v>
      </c>
    </row>
    <row r="4615" spans="1:2" ht="15.75" x14ac:dyDescent="0.25">
      <c r="A4615" s="344" t="s">
        <v>7346</v>
      </c>
      <c r="B4615" s="345" t="s">
        <v>2707</v>
      </c>
    </row>
    <row r="4616" spans="1:2" ht="15.75" x14ac:dyDescent="0.25">
      <c r="A4616" s="344" t="s">
        <v>7347</v>
      </c>
      <c r="B4616" s="345" t="s">
        <v>2708</v>
      </c>
    </row>
    <row r="4617" spans="1:2" ht="15.75" x14ac:dyDescent="0.25">
      <c r="A4617" s="344" t="s">
        <v>7348</v>
      </c>
      <c r="B4617" s="345" t="s">
        <v>2709</v>
      </c>
    </row>
    <row r="4618" spans="1:2" ht="15.75" x14ac:dyDescent="0.25">
      <c r="A4618" s="344" t="s">
        <v>7349</v>
      </c>
      <c r="B4618" s="345" t="s">
        <v>2710</v>
      </c>
    </row>
    <row r="4619" spans="1:2" ht="15.75" x14ac:dyDescent="0.25">
      <c r="A4619" s="344" t="s">
        <v>7350</v>
      </c>
      <c r="B4619" s="345" t="s">
        <v>2711</v>
      </c>
    </row>
    <row r="4620" spans="1:2" ht="15.75" x14ac:dyDescent="0.25">
      <c r="A4620" s="344" t="s">
        <v>7351</v>
      </c>
      <c r="B4620" s="345" t="s">
        <v>2712</v>
      </c>
    </row>
    <row r="4621" spans="1:2" ht="15.75" x14ac:dyDescent="0.25">
      <c r="A4621" s="344" t="s">
        <v>7352</v>
      </c>
      <c r="B4621" s="345" t="s">
        <v>2713</v>
      </c>
    </row>
    <row r="4622" spans="1:2" ht="15.75" x14ac:dyDescent="0.25">
      <c r="A4622" s="344" t="s">
        <v>7353</v>
      </c>
      <c r="B4622" s="345" t="s">
        <v>2714</v>
      </c>
    </row>
    <row r="4623" spans="1:2" ht="15.75" x14ac:dyDescent="0.25">
      <c r="A4623" s="344" t="s">
        <v>7354</v>
      </c>
      <c r="B4623" s="345" t="s">
        <v>2715</v>
      </c>
    </row>
    <row r="4624" spans="1:2" ht="15.75" x14ac:dyDescent="0.25">
      <c r="A4624" s="344" t="s">
        <v>7355</v>
      </c>
      <c r="B4624" s="345" t="s">
        <v>2716</v>
      </c>
    </row>
    <row r="4625" spans="1:2" ht="15.75" x14ac:dyDescent="0.25">
      <c r="A4625" s="344" t="s">
        <v>7356</v>
      </c>
      <c r="B4625" s="345" t="s">
        <v>2717</v>
      </c>
    </row>
    <row r="4626" spans="1:2" ht="15.75" x14ac:dyDescent="0.25">
      <c r="A4626" s="344" t="s">
        <v>7357</v>
      </c>
      <c r="B4626" s="345" t="s">
        <v>2718</v>
      </c>
    </row>
    <row r="4627" spans="1:2" ht="15.75" x14ac:dyDescent="0.25">
      <c r="A4627" s="344" t="s">
        <v>7358</v>
      </c>
      <c r="B4627" s="345" t="s">
        <v>2719</v>
      </c>
    </row>
    <row r="4628" spans="1:2" ht="15.75" x14ac:dyDescent="0.25">
      <c r="A4628" s="344" t="s">
        <v>7359</v>
      </c>
      <c r="B4628" s="345" t="s">
        <v>2720</v>
      </c>
    </row>
    <row r="4629" spans="1:2" ht="15.75" x14ac:dyDescent="0.25">
      <c r="A4629" s="344" t="s">
        <v>7360</v>
      </c>
      <c r="B4629" s="345" t="s">
        <v>2721</v>
      </c>
    </row>
    <row r="4630" spans="1:2" ht="15.75" x14ac:dyDescent="0.25">
      <c r="A4630" s="344" t="s">
        <v>7361</v>
      </c>
      <c r="B4630" s="345" t="s">
        <v>2722</v>
      </c>
    </row>
    <row r="4631" spans="1:2" ht="15.75" x14ac:dyDescent="0.25">
      <c r="A4631" s="344" t="s">
        <v>7362</v>
      </c>
      <c r="B4631" s="345" t="s">
        <v>2723</v>
      </c>
    </row>
    <row r="4632" spans="1:2" ht="15.75" x14ac:dyDescent="0.25">
      <c r="A4632" s="344" t="s">
        <v>7363</v>
      </c>
      <c r="B4632" s="345" t="s">
        <v>2724</v>
      </c>
    </row>
    <row r="4633" spans="1:2" ht="15.75" x14ac:dyDescent="0.25">
      <c r="A4633" s="344" t="s">
        <v>7364</v>
      </c>
      <c r="B4633" s="345" t="s">
        <v>7365</v>
      </c>
    </row>
    <row r="4634" spans="1:2" ht="15.75" x14ac:dyDescent="0.25">
      <c r="A4634" s="344" t="s">
        <v>7366</v>
      </c>
      <c r="B4634" s="345" t="s">
        <v>2725</v>
      </c>
    </row>
    <row r="4635" spans="1:2" ht="15.75" x14ac:dyDescent="0.25">
      <c r="A4635" s="344" t="s">
        <v>7367</v>
      </c>
      <c r="B4635" s="345" t="s">
        <v>2726</v>
      </c>
    </row>
    <row r="4636" spans="1:2" ht="15.75" x14ac:dyDescent="0.25">
      <c r="A4636" s="344" t="s">
        <v>7368</v>
      </c>
      <c r="B4636" s="345" t="s">
        <v>2727</v>
      </c>
    </row>
    <row r="4637" spans="1:2" ht="15.75" x14ac:dyDescent="0.25">
      <c r="A4637" s="344" t="s">
        <v>7369</v>
      </c>
      <c r="B4637" s="345" t="s">
        <v>2728</v>
      </c>
    </row>
    <row r="4638" spans="1:2" ht="15.75" x14ac:dyDescent="0.25">
      <c r="A4638" s="344" t="s">
        <v>7370</v>
      </c>
      <c r="B4638" s="345" t="s">
        <v>2729</v>
      </c>
    </row>
    <row r="4639" spans="1:2" ht="15.75" x14ac:dyDescent="0.25">
      <c r="A4639" s="344" t="s">
        <v>7371</v>
      </c>
      <c r="B4639" s="345" t="s">
        <v>2730</v>
      </c>
    </row>
    <row r="4640" spans="1:2" ht="15.75" x14ac:dyDescent="0.25">
      <c r="A4640" s="344" t="s">
        <v>7372</v>
      </c>
      <c r="B4640" s="345" t="s">
        <v>2731</v>
      </c>
    </row>
    <row r="4641" spans="1:2" ht="15.75" x14ac:dyDescent="0.25">
      <c r="A4641" s="344" t="s">
        <v>7373</v>
      </c>
      <c r="B4641" s="345" t="s">
        <v>2732</v>
      </c>
    </row>
    <row r="4642" spans="1:2" ht="15.75" x14ac:dyDescent="0.25">
      <c r="A4642" s="344" t="s">
        <v>7374</v>
      </c>
      <c r="B4642" s="345" t="s">
        <v>2733</v>
      </c>
    </row>
    <row r="4643" spans="1:2" ht="15.75" x14ac:dyDescent="0.25">
      <c r="A4643" s="344" t="s">
        <v>7375</v>
      </c>
      <c r="B4643" s="345" t="s">
        <v>2734</v>
      </c>
    </row>
    <row r="4644" spans="1:2" ht="15.75" x14ac:dyDescent="0.25">
      <c r="A4644" s="344" t="s">
        <v>7376</v>
      </c>
      <c r="B4644" s="345" t="s">
        <v>2735</v>
      </c>
    </row>
    <row r="4645" spans="1:2" ht="15.75" x14ac:dyDescent="0.25">
      <c r="A4645" s="344" t="s">
        <v>7377</v>
      </c>
      <c r="B4645" s="345" t="s">
        <v>2736</v>
      </c>
    </row>
    <row r="4646" spans="1:2" ht="15.75" x14ac:dyDescent="0.25">
      <c r="A4646" s="344" t="s">
        <v>7378</v>
      </c>
      <c r="B4646" s="345" t="s">
        <v>2737</v>
      </c>
    </row>
    <row r="4647" spans="1:2" ht="15.75" x14ac:dyDescent="0.25">
      <c r="A4647" s="344" t="s">
        <v>7379</v>
      </c>
      <c r="B4647" s="345" t="s">
        <v>2738</v>
      </c>
    </row>
    <row r="4648" spans="1:2" ht="15.75" x14ac:dyDescent="0.25">
      <c r="A4648" s="344" t="s">
        <v>7380</v>
      </c>
      <c r="B4648" s="345" t="s">
        <v>2739</v>
      </c>
    </row>
    <row r="4649" spans="1:2" ht="15.75" x14ac:dyDescent="0.25">
      <c r="A4649" s="344" t="s">
        <v>7381</v>
      </c>
      <c r="B4649" s="345" t="s">
        <v>2740</v>
      </c>
    </row>
    <row r="4650" spans="1:2" ht="15.75" x14ac:dyDescent="0.25">
      <c r="A4650" s="344" t="s">
        <v>7382</v>
      </c>
      <c r="B4650" s="345" t="s">
        <v>2741</v>
      </c>
    </row>
    <row r="4651" spans="1:2" ht="15.75" x14ac:dyDescent="0.25">
      <c r="A4651" s="344" t="s">
        <v>7383</v>
      </c>
      <c r="B4651" s="345" t="s">
        <v>2742</v>
      </c>
    </row>
    <row r="4652" spans="1:2" ht="15.75" x14ac:dyDescent="0.25">
      <c r="A4652" s="344" t="s">
        <v>7384</v>
      </c>
      <c r="B4652" s="345" t="s">
        <v>2743</v>
      </c>
    </row>
    <row r="4653" spans="1:2" ht="15.75" x14ac:dyDescent="0.25">
      <c r="A4653" s="344" t="s">
        <v>7385</v>
      </c>
      <c r="B4653" s="345" t="s">
        <v>2744</v>
      </c>
    </row>
    <row r="4654" spans="1:2" ht="15.75" x14ac:dyDescent="0.25">
      <c r="A4654" s="344" t="s">
        <v>7386</v>
      </c>
      <c r="B4654" s="345" t="s">
        <v>2745</v>
      </c>
    </row>
    <row r="4655" spans="1:2" ht="15.75" x14ac:dyDescent="0.25">
      <c r="A4655" s="344" t="s">
        <v>7387</v>
      </c>
      <c r="B4655" s="345" t="s">
        <v>2746</v>
      </c>
    </row>
    <row r="4656" spans="1:2" ht="15.75" x14ac:dyDescent="0.25">
      <c r="A4656" s="344" t="s">
        <v>7388</v>
      </c>
      <c r="B4656" s="345" t="s">
        <v>2747</v>
      </c>
    </row>
    <row r="4657" spans="1:2" ht="15.75" x14ac:dyDescent="0.25">
      <c r="A4657" s="344" t="s">
        <v>7389</v>
      </c>
      <c r="B4657" s="345" t="s">
        <v>2748</v>
      </c>
    </row>
    <row r="4658" spans="1:2" ht="15.75" x14ac:dyDescent="0.25">
      <c r="A4658" s="344" t="s">
        <v>7390</v>
      </c>
      <c r="B4658" s="345" t="s">
        <v>2749</v>
      </c>
    </row>
    <row r="4659" spans="1:2" ht="15.75" x14ac:dyDescent="0.25">
      <c r="A4659" s="344" t="s">
        <v>7391</v>
      </c>
      <c r="B4659" s="345" t="s">
        <v>2750</v>
      </c>
    </row>
    <row r="4660" spans="1:2" ht="15.75" x14ac:dyDescent="0.25">
      <c r="A4660" s="344" t="s">
        <v>7392</v>
      </c>
      <c r="B4660" s="345" t="s">
        <v>2751</v>
      </c>
    </row>
    <row r="4661" spans="1:2" ht="15.75" x14ac:dyDescent="0.25">
      <c r="A4661" s="344" t="s">
        <v>7393</v>
      </c>
      <c r="B4661" s="345" t="s">
        <v>2752</v>
      </c>
    </row>
    <row r="4662" spans="1:2" ht="15.75" x14ac:dyDescent="0.25">
      <c r="A4662" s="344" t="s">
        <v>7394</v>
      </c>
      <c r="B4662" s="345" t="s">
        <v>2753</v>
      </c>
    </row>
    <row r="4663" spans="1:2" ht="15.75" x14ac:dyDescent="0.25">
      <c r="A4663" s="344" t="s">
        <v>7395</v>
      </c>
      <c r="B4663" s="345" t="s">
        <v>2754</v>
      </c>
    </row>
    <row r="4664" spans="1:2" ht="15.75" x14ac:dyDescent="0.25">
      <c r="A4664" s="344" t="s">
        <v>7396</v>
      </c>
      <c r="B4664" s="345" t="s">
        <v>2755</v>
      </c>
    </row>
    <row r="4665" spans="1:2" ht="15.75" x14ac:dyDescent="0.25">
      <c r="A4665" s="344" t="s">
        <v>7397</v>
      </c>
      <c r="B4665" s="345" t="s">
        <v>2756</v>
      </c>
    </row>
    <row r="4666" spans="1:2" ht="15.75" x14ac:dyDescent="0.25">
      <c r="A4666" s="344" t="s">
        <v>7398</v>
      </c>
      <c r="B4666" s="345" t="s">
        <v>2757</v>
      </c>
    </row>
    <row r="4667" spans="1:2" ht="15.75" x14ac:dyDescent="0.25">
      <c r="A4667" s="344" t="s">
        <v>7399</v>
      </c>
      <c r="B4667" s="345" t="s">
        <v>2758</v>
      </c>
    </row>
    <row r="4668" spans="1:2" ht="15.75" x14ac:dyDescent="0.25">
      <c r="A4668" s="344" t="s">
        <v>7400</v>
      </c>
      <c r="B4668" s="345" t="s">
        <v>2759</v>
      </c>
    </row>
    <row r="4669" spans="1:2" ht="15.75" x14ac:dyDescent="0.25">
      <c r="A4669" s="344" t="s">
        <v>7401</v>
      </c>
      <c r="B4669" s="345" t="s">
        <v>2760</v>
      </c>
    </row>
    <row r="4670" spans="1:2" ht="15.75" x14ac:dyDescent="0.25">
      <c r="A4670" s="344" t="s">
        <v>7402</v>
      </c>
      <c r="B4670" s="345" t="s">
        <v>2761</v>
      </c>
    </row>
    <row r="4671" spans="1:2" ht="15.75" x14ac:dyDescent="0.25">
      <c r="A4671" s="344" t="s">
        <v>7403</v>
      </c>
      <c r="B4671" s="345" t="s">
        <v>2762</v>
      </c>
    </row>
    <row r="4672" spans="1:2" ht="15.75" x14ac:dyDescent="0.25">
      <c r="A4672" s="344" t="s">
        <v>7404</v>
      </c>
      <c r="B4672" s="345" t="s">
        <v>2763</v>
      </c>
    </row>
    <row r="4673" spans="1:2" ht="15.75" x14ac:dyDescent="0.25">
      <c r="A4673" s="344" t="s">
        <v>7405</v>
      </c>
      <c r="B4673" s="345" t="s">
        <v>2764</v>
      </c>
    </row>
    <row r="4674" spans="1:2" ht="15.75" x14ac:dyDescent="0.25">
      <c r="A4674" s="344" t="s">
        <v>7406</v>
      </c>
      <c r="B4674" s="345" t="s">
        <v>2765</v>
      </c>
    </row>
    <row r="4675" spans="1:2" ht="15.75" x14ac:dyDescent="0.25">
      <c r="A4675" s="344" t="s">
        <v>7407</v>
      </c>
      <c r="B4675" s="345" t="s">
        <v>2766</v>
      </c>
    </row>
    <row r="4676" spans="1:2" ht="15.75" x14ac:dyDescent="0.25">
      <c r="A4676" s="344" t="s">
        <v>7408</v>
      </c>
      <c r="B4676" s="345" t="s">
        <v>2767</v>
      </c>
    </row>
    <row r="4677" spans="1:2" ht="15.75" x14ac:dyDescent="0.25">
      <c r="A4677" s="344" t="s">
        <v>7409</v>
      </c>
      <c r="B4677" s="345" t="s">
        <v>2768</v>
      </c>
    </row>
    <row r="4678" spans="1:2" ht="15.75" x14ac:dyDescent="0.25">
      <c r="A4678" s="344" t="s">
        <v>7410</v>
      </c>
      <c r="B4678" s="345" t="s">
        <v>2769</v>
      </c>
    </row>
    <row r="4679" spans="1:2" ht="15.75" x14ac:dyDescent="0.25">
      <c r="A4679" s="344" t="s">
        <v>7411</v>
      </c>
      <c r="B4679" s="345" t="s">
        <v>2770</v>
      </c>
    </row>
    <row r="4680" spans="1:2" ht="15.75" x14ac:dyDescent="0.25">
      <c r="A4680" s="344" t="s">
        <v>7412</v>
      </c>
      <c r="B4680" s="345" t="s">
        <v>2771</v>
      </c>
    </row>
    <row r="4681" spans="1:2" ht="15.75" x14ac:dyDescent="0.25">
      <c r="A4681" s="344" t="s">
        <v>7413</v>
      </c>
      <c r="B4681" s="345" t="s">
        <v>7414</v>
      </c>
    </row>
    <row r="4682" spans="1:2" ht="15.75" x14ac:dyDescent="0.25">
      <c r="A4682" s="344" t="s">
        <v>7415</v>
      </c>
      <c r="B4682" s="345" t="s">
        <v>7416</v>
      </c>
    </row>
    <row r="4683" spans="1:2" ht="15.75" x14ac:dyDescent="0.25">
      <c r="A4683" s="344" t="s">
        <v>7417</v>
      </c>
      <c r="B4683" s="345" t="s">
        <v>7418</v>
      </c>
    </row>
    <row r="4684" spans="1:2" ht="15.75" x14ac:dyDescent="0.25">
      <c r="A4684" s="344" t="s">
        <v>7419</v>
      </c>
      <c r="B4684" s="345" t="s">
        <v>7420</v>
      </c>
    </row>
    <row r="4685" spans="1:2" ht="15.75" x14ac:dyDescent="0.25">
      <c r="A4685" s="344" t="s">
        <v>7421</v>
      </c>
      <c r="B4685" s="345" t="s">
        <v>7422</v>
      </c>
    </row>
    <row r="4686" spans="1:2" ht="15.75" x14ac:dyDescent="0.25">
      <c r="A4686" s="344" t="s">
        <v>7423</v>
      </c>
      <c r="B4686" s="345" t="s">
        <v>7424</v>
      </c>
    </row>
    <row r="4687" spans="1:2" ht="15.75" x14ac:dyDescent="0.25">
      <c r="A4687" s="344" t="s">
        <v>7425</v>
      </c>
      <c r="B4687" s="345" t="s">
        <v>7426</v>
      </c>
    </row>
    <row r="4688" spans="1:2" ht="15.75" x14ac:dyDescent="0.25">
      <c r="A4688" s="344" t="s">
        <v>7427</v>
      </c>
      <c r="B4688" s="345" t="s">
        <v>7426</v>
      </c>
    </row>
    <row r="4689" spans="1:2" ht="15.75" x14ac:dyDescent="0.25">
      <c r="A4689" s="344" t="s">
        <v>7428</v>
      </c>
      <c r="B4689" s="345" t="s">
        <v>7426</v>
      </c>
    </row>
    <row r="4690" spans="1:2" ht="15.75" x14ac:dyDescent="0.25">
      <c r="A4690" s="344" t="s">
        <v>7429</v>
      </c>
      <c r="B4690" s="345" t="s">
        <v>2772</v>
      </c>
    </row>
    <row r="4691" spans="1:2" ht="15.75" x14ac:dyDescent="0.25">
      <c r="A4691" s="344" t="s">
        <v>7430</v>
      </c>
      <c r="B4691" s="345" t="s">
        <v>2773</v>
      </c>
    </row>
    <row r="4692" spans="1:2" ht="15.75" x14ac:dyDescent="0.25">
      <c r="A4692" s="344" t="s">
        <v>7431</v>
      </c>
      <c r="B4692" s="345" t="s">
        <v>2774</v>
      </c>
    </row>
    <row r="4693" spans="1:2" ht="15.75" x14ac:dyDescent="0.25">
      <c r="A4693" s="344" t="s">
        <v>7432</v>
      </c>
      <c r="B4693" s="345" t="s">
        <v>2775</v>
      </c>
    </row>
    <row r="4694" spans="1:2" ht="15.75" x14ac:dyDescent="0.25">
      <c r="A4694" s="344" t="s">
        <v>7433</v>
      </c>
      <c r="B4694" s="345" t="s">
        <v>2776</v>
      </c>
    </row>
    <row r="4695" spans="1:2" ht="15.75" x14ac:dyDescent="0.25">
      <c r="A4695" s="344" t="s">
        <v>7434</v>
      </c>
      <c r="B4695" s="345" t="s">
        <v>2777</v>
      </c>
    </row>
    <row r="4696" spans="1:2" ht="15.75" x14ac:dyDescent="0.25">
      <c r="A4696" s="344" t="s">
        <v>7435</v>
      </c>
      <c r="B4696" s="345" t="s">
        <v>2778</v>
      </c>
    </row>
    <row r="4697" spans="1:2" ht="15.75" x14ac:dyDescent="0.25">
      <c r="A4697" s="344" t="s">
        <v>7436</v>
      </c>
      <c r="B4697" s="345" t="s">
        <v>2779</v>
      </c>
    </row>
    <row r="4698" spans="1:2" ht="15.75" x14ac:dyDescent="0.25">
      <c r="A4698" s="344" t="s">
        <v>7437</v>
      </c>
      <c r="B4698" s="345" t="s">
        <v>2780</v>
      </c>
    </row>
    <row r="4699" spans="1:2" ht="15.75" x14ac:dyDescent="0.25">
      <c r="A4699" s="344" t="s">
        <v>7438</v>
      </c>
      <c r="B4699" s="345" t="s">
        <v>2781</v>
      </c>
    </row>
    <row r="4700" spans="1:2" ht="15.75" x14ac:dyDescent="0.25">
      <c r="A4700" s="344" t="s">
        <v>7439</v>
      </c>
      <c r="B4700" s="345" t="s">
        <v>2782</v>
      </c>
    </row>
    <row r="4701" spans="1:2" ht="15.75" x14ac:dyDescent="0.25">
      <c r="A4701" s="344" t="s">
        <v>7440</v>
      </c>
      <c r="B4701" s="345" t="s">
        <v>2783</v>
      </c>
    </row>
    <row r="4702" spans="1:2" ht="15.75" x14ac:dyDescent="0.25">
      <c r="A4702" s="344" t="s">
        <v>7441</v>
      </c>
      <c r="B4702" s="345" t="s">
        <v>2784</v>
      </c>
    </row>
    <row r="4703" spans="1:2" ht="15.75" x14ac:dyDescent="0.25">
      <c r="A4703" s="344" t="s">
        <v>7442</v>
      </c>
      <c r="B4703" s="345" t="s">
        <v>2785</v>
      </c>
    </row>
    <row r="4704" spans="1:2" ht="15.75" x14ac:dyDescent="0.25">
      <c r="A4704" s="344" t="s">
        <v>7443</v>
      </c>
      <c r="B4704" s="345" t="s">
        <v>2786</v>
      </c>
    </row>
    <row r="4705" spans="1:2" ht="15.75" x14ac:dyDescent="0.25">
      <c r="A4705" s="344" t="s">
        <v>7444</v>
      </c>
      <c r="B4705" s="345" t="s">
        <v>2787</v>
      </c>
    </row>
    <row r="4706" spans="1:2" ht="15.75" x14ac:dyDescent="0.25">
      <c r="A4706" s="344" t="s">
        <v>7445</v>
      </c>
      <c r="B4706" s="345" t="s">
        <v>2788</v>
      </c>
    </row>
    <row r="4707" spans="1:2" ht="15.75" x14ac:dyDescent="0.25">
      <c r="A4707" s="344" t="s">
        <v>7446</v>
      </c>
      <c r="B4707" s="345" t="s">
        <v>2789</v>
      </c>
    </row>
    <row r="4708" spans="1:2" ht="15.75" x14ac:dyDescent="0.25">
      <c r="A4708" s="344" t="s">
        <v>7447</v>
      </c>
      <c r="B4708" s="345" t="s">
        <v>2790</v>
      </c>
    </row>
    <row r="4709" spans="1:2" ht="15.75" x14ac:dyDescent="0.25">
      <c r="A4709" s="344" t="s">
        <v>7448</v>
      </c>
      <c r="B4709" s="345" t="s">
        <v>2791</v>
      </c>
    </row>
    <row r="4710" spans="1:2" ht="15.75" x14ac:dyDescent="0.25">
      <c r="A4710" s="344" t="s">
        <v>7449</v>
      </c>
      <c r="B4710" s="345" t="s">
        <v>7450</v>
      </c>
    </row>
    <row r="4711" spans="1:2" ht="15.75" x14ac:dyDescent="0.25">
      <c r="A4711" s="344" t="s">
        <v>7451</v>
      </c>
      <c r="B4711" s="345" t="s">
        <v>7452</v>
      </c>
    </row>
    <row r="4712" spans="1:2" ht="15.75" x14ac:dyDescent="0.25">
      <c r="A4712" s="344" t="s">
        <v>7453</v>
      </c>
      <c r="B4712" s="345" t="s">
        <v>7454</v>
      </c>
    </row>
    <row r="4713" spans="1:2" ht="15.75" x14ac:dyDescent="0.25">
      <c r="A4713" s="344" t="s">
        <v>7455</v>
      </c>
      <c r="B4713" s="345" t="s">
        <v>2792</v>
      </c>
    </row>
    <row r="4714" spans="1:2" ht="15.75" x14ac:dyDescent="0.25">
      <c r="A4714" s="344" t="s">
        <v>7456</v>
      </c>
      <c r="B4714" s="345" t="s">
        <v>7457</v>
      </c>
    </row>
    <row r="4715" spans="1:2" ht="15.75" x14ac:dyDescent="0.25">
      <c r="A4715" s="344" t="s">
        <v>7458</v>
      </c>
      <c r="B4715" s="345" t="s">
        <v>7459</v>
      </c>
    </row>
    <row r="4716" spans="1:2" ht="15.75" x14ac:dyDescent="0.25">
      <c r="A4716" s="344" t="s">
        <v>7460</v>
      </c>
      <c r="B4716" s="345" t="s">
        <v>7461</v>
      </c>
    </row>
    <row r="4717" spans="1:2" ht="15.75" x14ac:dyDescent="0.25">
      <c r="A4717" s="344" t="s">
        <v>7462</v>
      </c>
      <c r="B4717" s="345" t="s">
        <v>7463</v>
      </c>
    </row>
    <row r="4718" spans="1:2" ht="15.75" x14ac:dyDescent="0.25">
      <c r="A4718" s="344" t="s">
        <v>7464</v>
      </c>
      <c r="B4718" s="345" t="s">
        <v>7465</v>
      </c>
    </row>
    <row r="4719" spans="1:2" ht="15.75" x14ac:dyDescent="0.25">
      <c r="A4719" s="344" t="s">
        <v>7466</v>
      </c>
      <c r="B4719" s="345" t="s">
        <v>2793</v>
      </c>
    </row>
    <row r="4720" spans="1:2" ht="15.75" x14ac:dyDescent="0.25">
      <c r="A4720" s="344" t="s">
        <v>7467</v>
      </c>
      <c r="B4720" s="345" t="s">
        <v>7468</v>
      </c>
    </row>
    <row r="4721" spans="1:2" ht="15.75" x14ac:dyDescent="0.25">
      <c r="A4721" s="344" t="s">
        <v>7469</v>
      </c>
      <c r="B4721" s="345" t="s">
        <v>7470</v>
      </c>
    </row>
    <row r="4722" spans="1:2" ht="15.75" x14ac:dyDescent="0.25">
      <c r="A4722" s="344" t="s">
        <v>7471</v>
      </c>
      <c r="B4722" s="345" t="s">
        <v>7472</v>
      </c>
    </row>
    <row r="4723" spans="1:2" ht="15.75" x14ac:dyDescent="0.25">
      <c r="A4723" s="344" t="s">
        <v>7473</v>
      </c>
      <c r="B4723" s="345" t="s">
        <v>7474</v>
      </c>
    </row>
    <row r="4724" spans="1:2" ht="15.75" x14ac:dyDescent="0.25">
      <c r="A4724" s="344" t="s">
        <v>7475</v>
      </c>
      <c r="B4724" s="345" t="s">
        <v>7476</v>
      </c>
    </row>
    <row r="4725" spans="1:2" ht="15.75" x14ac:dyDescent="0.25">
      <c r="A4725" s="344" t="s">
        <v>7477</v>
      </c>
      <c r="B4725" s="345" t="s">
        <v>7478</v>
      </c>
    </row>
    <row r="4726" spans="1:2" ht="15.75" x14ac:dyDescent="0.25">
      <c r="A4726" s="344" t="s">
        <v>7479</v>
      </c>
      <c r="B4726" s="345" t="s">
        <v>7480</v>
      </c>
    </row>
    <row r="4727" spans="1:2" ht="15.75" x14ac:dyDescent="0.25">
      <c r="A4727" s="344" t="s">
        <v>7481</v>
      </c>
      <c r="B4727" s="345" t="s">
        <v>7482</v>
      </c>
    </row>
    <row r="4728" spans="1:2" ht="15.75" x14ac:dyDescent="0.25">
      <c r="A4728" s="344" t="s">
        <v>7483</v>
      </c>
      <c r="B4728" s="345" t="s">
        <v>7484</v>
      </c>
    </row>
    <row r="4729" spans="1:2" ht="15.75" x14ac:dyDescent="0.25">
      <c r="A4729" s="344" t="s">
        <v>7485</v>
      </c>
      <c r="B4729" s="345" t="s">
        <v>7486</v>
      </c>
    </row>
    <row r="4730" spans="1:2" ht="15.75" x14ac:dyDescent="0.25">
      <c r="A4730" s="344" t="s">
        <v>7487</v>
      </c>
      <c r="B4730" s="345" t="s">
        <v>7488</v>
      </c>
    </row>
    <row r="4731" spans="1:2" ht="15.75" x14ac:dyDescent="0.25">
      <c r="A4731" s="344" t="s">
        <v>7489</v>
      </c>
      <c r="B4731" s="345" t="s">
        <v>7490</v>
      </c>
    </row>
    <row r="4732" spans="1:2" ht="15.75" x14ac:dyDescent="0.25">
      <c r="A4732" s="344" t="s">
        <v>7491</v>
      </c>
      <c r="B4732" s="345" t="s">
        <v>7492</v>
      </c>
    </row>
    <row r="4733" spans="1:2" ht="15.75" x14ac:dyDescent="0.25">
      <c r="A4733" s="344" t="s">
        <v>7493</v>
      </c>
      <c r="B4733" s="345" t="s">
        <v>7494</v>
      </c>
    </row>
    <row r="4734" spans="1:2" ht="15.75" x14ac:dyDescent="0.25">
      <c r="A4734" s="344" t="s">
        <v>7495</v>
      </c>
      <c r="B4734" s="345" t="s">
        <v>7496</v>
      </c>
    </row>
    <row r="4735" spans="1:2" ht="15.75" x14ac:dyDescent="0.25">
      <c r="A4735" s="344" t="s">
        <v>7497</v>
      </c>
      <c r="B4735" s="345" t="s">
        <v>7498</v>
      </c>
    </row>
    <row r="4736" spans="1:2" ht="15.75" x14ac:dyDescent="0.25">
      <c r="A4736" s="344" t="s">
        <v>7499</v>
      </c>
      <c r="B4736" s="345" t="s">
        <v>7500</v>
      </c>
    </row>
    <row r="4737" spans="1:2" ht="15.75" x14ac:dyDescent="0.25">
      <c r="A4737" s="344" t="s">
        <v>7501</v>
      </c>
      <c r="B4737" s="345" t="s">
        <v>7502</v>
      </c>
    </row>
    <row r="4738" spans="1:2" ht="15.75" x14ac:dyDescent="0.25">
      <c r="A4738" s="344" t="s">
        <v>7503</v>
      </c>
      <c r="B4738" s="345" t="s">
        <v>7504</v>
      </c>
    </row>
    <row r="4739" spans="1:2" ht="15.75" x14ac:dyDescent="0.25">
      <c r="A4739" s="344" t="s">
        <v>7505</v>
      </c>
      <c r="B4739" s="345" t="s">
        <v>7506</v>
      </c>
    </row>
    <row r="4740" spans="1:2" ht="15.75" x14ac:dyDescent="0.25">
      <c r="A4740" s="344" t="s">
        <v>7507</v>
      </c>
      <c r="B4740" s="345" t="s">
        <v>7508</v>
      </c>
    </row>
    <row r="4741" spans="1:2" ht="15.75" x14ac:dyDescent="0.25">
      <c r="A4741" s="344" t="s">
        <v>7509</v>
      </c>
      <c r="B4741" s="345" t="s">
        <v>7510</v>
      </c>
    </row>
    <row r="4742" spans="1:2" ht="15.75" x14ac:dyDescent="0.25">
      <c r="A4742" s="344" t="s">
        <v>7511</v>
      </c>
      <c r="B4742" s="345" t="s">
        <v>7512</v>
      </c>
    </row>
    <row r="4743" spans="1:2" ht="15.75" x14ac:dyDescent="0.25">
      <c r="A4743" s="344" t="s">
        <v>7513</v>
      </c>
      <c r="B4743" s="345" t="s">
        <v>7514</v>
      </c>
    </row>
    <row r="4744" spans="1:2" ht="15.75" x14ac:dyDescent="0.25">
      <c r="A4744" s="344" t="s">
        <v>7515</v>
      </c>
      <c r="B4744" s="345" t="s">
        <v>7516</v>
      </c>
    </row>
    <row r="4745" spans="1:2" ht="15.75" x14ac:dyDescent="0.25">
      <c r="A4745" s="344" t="s">
        <v>7517</v>
      </c>
      <c r="B4745" s="345" t="s">
        <v>7518</v>
      </c>
    </row>
    <row r="4746" spans="1:2" ht="15.75" x14ac:dyDescent="0.25">
      <c r="A4746" s="344" t="s">
        <v>7519</v>
      </c>
      <c r="B4746" s="345" t="s">
        <v>7520</v>
      </c>
    </row>
    <row r="4747" spans="1:2" ht="15.75" x14ac:dyDescent="0.25">
      <c r="A4747" s="344" t="s">
        <v>7521</v>
      </c>
      <c r="B4747" s="345" t="s">
        <v>7522</v>
      </c>
    </row>
    <row r="4748" spans="1:2" ht="15.75" x14ac:dyDescent="0.25">
      <c r="A4748" s="344" t="s">
        <v>7523</v>
      </c>
      <c r="B4748" s="345" t="s">
        <v>7524</v>
      </c>
    </row>
    <row r="4749" spans="1:2" ht="15.75" x14ac:dyDescent="0.25">
      <c r="A4749" s="344" t="s">
        <v>7525</v>
      </c>
      <c r="B4749" s="345" t="s">
        <v>7526</v>
      </c>
    </row>
    <row r="4750" spans="1:2" ht="15.75" x14ac:dyDescent="0.25">
      <c r="A4750" s="344" t="s">
        <v>7527</v>
      </c>
      <c r="B4750" s="345" t="s">
        <v>7528</v>
      </c>
    </row>
    <row r="4751" spans="1:2" ht="15.75" x14ac:dyDescent="0.25">
      <c r="A4751" s="344" t="s">
        <v>7529</v>
      </c>
      <c r="B4751" s="345" t="s">
        <v>7530</v>
      </c>
    </row>
    <row r="4752" spans="1:2" ht="15.75" x14ac:dyDescent="0.25">
      <c r="A4752" s="344" t="s">
        <v>7531</v>
      </c>
      <c r="B4752" s="345" t="s">
        <v>7532</v>
      </c>
    </row>
    <row r="4753" spans="1:2" ht="15.75" x14ac:dyDescent="0.25">
      <c r="A4753" s="344" t="s">
        <v>7533</v>
      </c>
      <c r="B4753" s="345" t="s">
        <v>7534</v>
      </c>
    </row>
    <row r="4754" spans="1:2" ht="15.75" x14ac:dyDescent="0.25">
      <c r="A4754" s="344" t="s">
        <v>7535</v>
      </c>
      <c r="B4754" s="345" t="s">
        <v>7536</v>
      </c>
    </row>
    <row r="4755" spans="1:2" ht="15.75" x14ac:dyDescent="0.25">
      <c r="A4755" s="344" t="s">
        <v>7537</v>
      </c>
      <c r="B4755" s="345" t="s">
        <v>7538</v>
      </c>
    </row>
    <row r="4756" spans="1:2" ht="15.75" x14ac:dyDescent="0.25">
      <c r="A4756" s="344" t="s">
        <v>7539</v>
      </c>
      <c r="B4756" s="345" t="s">
        <v>7540</v>
      </c>
    </row>
    <row r="4757" spans="1:2" ht="15.75" x14ac:dyDescent="0.25">
      <c r="A4757" s="344" t="s">
        <v>7541</v>
      </c>
      <c r="B4757" s="345" t="s">
        <v>7542</v>
      </c>
    </row>
    <row r="4758" spans="1:2" ht="15.75" x14ac:dyDescent="0.25">
      <c r="A4758" s="344" t="s">
        <v>7543</v>
      </c>
      <c r="B4758" s="345" t="s">
        <v>7544</v>
      </c>
    </row>
    <row r="4759" spans="1:2" ht="15.75" x14ac:dyDescent="0.25">
      <c r="A4759" s="344" t="s">
        <v>7545</v>
      </c>
      <c r="B4759" s="345" t="s">
        <v>7546</v>
      </c>
    </row>
    <row r="4760" spans="1:2" ht="15.75" x14ac:dyDescent="0.25">
      <c r="A4760" s="344" t="s">
        <v>7547</v>
      </c>
      <c r="B4760" s="345" t="s">
        <v>7548</v>
      </c>
    </row>
    <row r="4761" spans="1:2" ht="15.75" x14ac:dyDescent="0.25">
      <c r="A4761" s="344" t="s">
        <v>7549</v>
      </c>
      <c r="B4761" s="345" t="s">
        <v>7550</v>
      </c>
    </row>
    <row r="4762" spans="1:2" ht="15.75" x14ac:dyDescent="0.25">
      <c r="A4762" s="344" t="s">
        <v>7551</v>
      </c>
      <c r="B4762" s="345" t="s">
        <v>2794</v>
      </c>
    </row>
    <row r="4763" spans="1:2" ht="15.75" x14ac:dyDescent="0.25">
      <c r="A4763" s="344" t="s">
        <v>7552</v>
      </c>
      <c r="B4763" s="345" t="s">
        <v>7553</v>
      </c>
    </row>
    <row r="4764" spans="1:2" ht="15.75" x14ac:dyDescent="0.25">
      <c r="A4764" s="344" t="s">
        <v>7554</v>
      </c>
      <c r="B4764" s="345" t="s">
        <v>7555</v>
      </c>
    </row>
    <row r="4765" spans="1:2" ht="15.75" x14ac:dyDescent="0.25">
      <c r="A4765" s="344" t="s">
        <v>7556</v>
      </c>
      <c r="B4765" s="345" t="s">
        <v>7557</v>
      </c>
    </row>
    <row r="4766" spans="1:2" ht="15.75" x14ac:dyDescent="0.25">
      <c r="A4766" s="344" t="s">
        <v>7558</v>
      </c>
      <c r="B4766" s="345" t="s">
        <v>7559</v>
      </c>
    </row>
    <row r="4767" spans="1:2" ht="15.75" x14ac:dyDescent="0.25">
      <c r="A4767" s="344" t="s">
        <v>7560</v>
      </c>
      <c r="B4767" s="345" t="s">
        <v>7561</v>
      </c>
    </row>
    <row r="4768" spans="1:2" ht="15.75" x14ac:dyDescent="0.25">
      <c r="A4768" s="344" t="s">
        <v>7562</v>
      </c>
      <c r="B4768" s="345" t="s">
        <v>7563</v>
      </c>
    </row>
    <row r="4769" spans="1:2" ht="15.75" x14ac:dyDescent="0.25">
      <c r="A4769" s="344" t="s">
        <v>7564</v>
      </c>
      <c r="B4769" s="345" t="s">
        <v>7565</v>
      </c>
    </row>
    <row r="4770" spans="1:2" ht="15.75" x14ac:dyDescent="0.25">
      <c r="A4770" s="344" t="s">
        <v>7566</v>
      </c>
      <c r="B4770" s="345" t="s">
        <v>2795</v>
      </c>
    </row>
    <row r="4771" spans="1:2" ht="15.75" x14ac:dyDescent="0.25">
      <c r="A4771" s="344" t="s">
        <v>7567</v>
      </c>
      <c r="B4771" s="345" t="s">
        <v>7568</v>
      </c>
    </row>
    <row r="4772" spans="1:2" ht="15.75" x14ac:dyDescent="0.25">
      <c r="A4772" s="344" t="s">
        <v>7569</v>
      </c>
      <c r="B4772" s="345" t="s">
        <v>7570</v>
      </c>
    </row>
    <row r="4773" spans="1:2" ht="15.75" x14ac:dyDescent="0.25">
      <c r="A4773" s="344" t="s">
        <v>7571</v>
      </c>
      <c r="B4773" s="345" t="s">
        <v>7572</v>
      </c>
    </row>
    <row r="4774" spans="1:2" ht="15.75" x14ac:dyDescent="0.25">
      <c r="A4774" s="344" t="s">
        <v>7573</v>
      </c>
      <c r="B4774" s="345" t="s">
        <v>7574</v>
      </c>
    </row>
    <row r="4775" spans="1:2" ht="15.75" x14ac:dyDescent="0.25">
      <c r="A4775" s="344" t="s">
        <v>7575</v>
      </c>
      <c r="B4775" s="345" t="s">
        <v>7576</v>
      </c>
    </row>
    <row r="4776" spans="1:2" ht="15.75" x14ac:dyDescent="0.25">
      <c r="A4776" s="344" t="s">
        <v>7577</v>
      </c>
      <c r="B4776" s="345" t="s">
        <v>7578</v>
      </c>
    </row>
    <row r="4777" spans="1:2" ht="15.75" x14ac:dyDescent="0.25">
      <c r="A4777" s="344" t="s">
        <v>7579</v>
      </c>
      <c r="B4777" s="345" t="s">
        <v>7580</v>
      </c>
    </row>
    <row r="4778" spans="1:2" ht="15.75" x14ac:dyDescent="0.25">
      <c r="A4778" s="344" t="s">
        <v>7581</v>
      </c>
      <c r="B4778" s="345" t="s">
        <v>2796</v>
      </c>
    </row>
    <row r="4779" spans="1:2" ht="15.75" x14ac:dyDescent="0.25">
      <c r="A4779" s="344" t="s">
        <v>7582</v>
      </c>
      <c r="B4779" s="345" t="s">
        <v>7583</v>
      </c>
    </row>
    <row r="4780" spans="1:2" ht="15.75" x14ac:dyDescent="0.25">
      <c r="A4780" s="344" t="s">
        <v>7584</v>
      </c>
      <c r="B4780" s="345" t="s">
        <v>7585</v>
      </c>
    </row>
    <row r="4781" spans="1:2" ht="15.75" x14ac:dyDescent="0.25">
      <c r="A4781" s="344" t="s">
        <v>7586</v>
      </c>
      <c r="B4781" s="345" t="s">
        <v>7587</v>
      </c>
    </row>
    <row r="4782" spans="1:2" ht="15.75" x14ac:dyDescent="0.25">
      <c r="A4782" s="344" t="s">
        <v>7588</v>
      </c>
      <c r="B4782" s="345" t="s">
        <v>7589</v>
      </c>
    </row>
    <row r="4783" spans="1:2" ht="15.75" x14ac:dyDescent="0.25">
      <c r="A4783" s="344" t="s">
        <v>7590</v>
      </c>
      <c r="B4783" s="345" t="s">
        <v>7591</v>
      </c>
    </row>
    <row r="4784" spans="1:2" ht="15.75" x14ac:dyDescent="0.25">
      <c r="A4784" s="344" t="s">
        <v>7592</v>
      </c>
      <c r="B4784" s="345" t="s">
        <v>7593</v>
      </c>
    </row>
    <row r="4785" spans="1:2" ht="15.75" x14ac:dyDescent="0.25">
      <c r="A4785" s="344" t="s">
        <v>7594</v>
      </c>
      <c r="B4785" s="345" t="s">
        <v>7595</v>
      </c>
    </row>
    <row r="4786" spans="1:2" ht="15.75" x14ac:dyDescent="0.25">
      <c r="A4786" s="344" t="s">
        <v>7596</v>
      </c>
      <c r="B4786" s="345" t="s">
        <v>7597</v>
      </c>
    </row>
    <row r="4787" spans="1:2" ht="15.75" x14ac:dyDescent="0.25">
      <c r="A4787" s="344" t="s">
        <v>7598</v>
      </c>
      <c r="B4787" s="345" t="s">
        <v>7599</v>
      </c>
    </row>
    <row r="4788" spans="1:2" ht="15.75" x14ac:dyDescent="0.25">
      <c r="A4788" s="344" t="s">
        <v>7600</v>
      </c>
      <c r="B4788" s="345" t="s">
        <v>7601</v>
      </c>
    </row>
    <row r="4789" spans="1:2" ht="15.75" x14ac:dyDescent="0.25">
      <c r="A4789" s="344" t="s">
        <v>7602</v>
      </c>
      <c r="B4789" s="345" t="s">
        <v>7603</v>
      </c>
    </row>
    <row r="4790" spans="1:2" ht="15.75" x14ac:dyDescent="0.25">
      <c r="A4790" s="344" t="s">
        <v>7604</v>
      </c>
      <c r="B4790" s="345" t="s">
        <v>7605</v>
      </c>
    </row>
    <row r="4791" spans="1:2" ht="15.75" x14ac:dyDescent="0.25">
      <c r="A4791" s="344" t="s">
        <v>7606</v>
      </c>
      <c r="B4791" s="345" t="s">
        <v>7607</v>
      </c>
    </row>
    <row r="4792" spans="1:2" ht="15.75" x14ac:dyDescent="0.25">
      <c r="A4792" s="344" t="s">
        <v>7608</v>
      </c>
      <c r="B4792" s="345" t="s">
        <v>7609</v>
      </c>
    </row>
    <row r="4793" spans="1:2" ht="15.75" x14ac:dyDescent="0.25">
      <c r="A4793" s="344" t="s">
        <v>7610</v>
      </c>
      <c r="B4793" s="345" t="s">
        <v>7611</v>
      </c>
    </row>
    <row r="4794" spans="1:2" ht="15.75" x14ac:dyDescent="0.25">
      <c r="A4794" s="344" t="s">
        <v>7612</v>
      </c>
      <c r="B4794" s="345" t="s">
        <v>7613</v>
      </c>
    </row>
    <row r="4795" spans="1:2" ht="15.75" x14ac:dyDescent="0.25">
      <c r="A4795" s="344" t="s">
        <v>7614</v>
      </c>
      <c r="B4795" s="345" t="s">
        <v>7615</v>
      </c>
    </row>
    <row r="4796" spans="1:2" ht="15.75" x14ac:dyDescent="0.25">
      <c r="A4796" s="344" t="s">
        <v>7616</v>
      </c>
      <c r="B4796" s="345" t="s">
        <v>7617</v>
      </c>
    </row>
    <row r="4797" spans="1:2" ht="15.75" x14ac:dyDescent="0.25">
      <c r="A4797" s="344" t="s">
        <v>7618</v>
      </c>
      <c r="B4797" s="345" t="s">
        <v>7619</v>
      </c>
    </row>
    <row r="4798" spans="1:2" ht="15.75" x14ac:dyDescent="0.25">
      <c r="A4798" s="344" t="s">
        <v>7620</v>
      </c>
      <c r="B4798" s="345" t="s">
        <v>7621</v>
      </c>
    </row>
    <row r="4799" spans="1:2" ht="15.75" x14ac:dyDescent="0.25">
      <c r="A4799" s="344" t="s">
        <v>7622</v>
      </c>
      <c r="B4799" s="345" t="s">
        <v>7623</v>
      </c>
    </row>
    <row r="4800" spans="1:2" ht="15.75" x14ac:dyDescent="0.25">
      <c r="A4800" s="344" t="s">
        <v>7624</v>
      </c>
      <c r="B4800" s="345" t="s">
        <v>7625</v>
      </c>
    </row>
    <row r="4801" spans="1:2" ht="15.75" x14ac:dyDescent="0.25">
      <c r="A4801" s="344" t="s">
        <v>7626</v>
      </c>
      <c r="B4801" s="345" t="s">
        <v>7627</v>
      </c>
    </row>
    <row r="4802" spans="1:2" ht="15.75" x14ac:dyDescent="0.25">
      <c r="A4802" s="344" t="s">
        <v>7628</v>
      </c>
      <c r="B4802" s="345" t="s">
        <v>7629</v>
      </c>
    </row>
    <row r="4803" spans="1:2" ht="15.75" x14ac:dyDescent="0.25">
      <c r="A4803" s="344" t="s">
        <v>7630</v>
      </c>
      <c r="B4803" s="345" t="s">
        <v>7631</v>
      </c>
    </row>
    <row r="4804" spans="1:2" ht="15.75" x14ac:dyDescent="0.25">
      <c r="A4804" s="344" t="s">
        <v>7632</v>
      </c>
      <c r="B4804" s="345" t="s">
        <v>7633</v>
      </c>
    </row>
    <row r="4805" spans="1:2" ht="15.75" x14ac:dyDescent="0.25">
      <c r="A4805" s="344" t="s">
        <v>7634</v>
      </c>
      <c r="B4805" s="345" t="s">
        <v>7635</v>
      </c>
    </row>
    <row r="4806" spans="1:2" ht="15.75" x14ac:dyDescent="0.25">
      <c r="A4806" s="344" t="s">
        <v>7636</v>
      </c>
      <c r="B4806" s="345" t="s">
        <v>7637</v>
      </c>
    </row>
    <row r="4807" spans="1:2" ht="15.75" x14ac:dyDescent="0.25">
      <c r="A4807" s="344" t="s">
        <v>7638</v>
      </c>
      <c r="B4807" s="345" t="s">
        <v>7639</v>
      </c>
    </row>
    <row r="4808" spans="1:2" ht="15.75" x14ac:dyDescent="0.25">
      <c r="A4808" s="344" t="s">
        <v>7640</v>
      </c>
      <c r="B4808" s="345" t="s">
        <v>7641</v>
      </c>
    </row>
    <row r="4809" spans="1:2" ht="15.75" x14ac:dyDescent="0.25">
      <c r="A4809" s="344" t="s">
        <v>7642</v>
      </c>
      <c r="B4809" s="345" t="s">
        <v>7643</v>
      </c>
    </row>
    <row r="4810" spans="1:2" ht="15.75" x14ac:dyDescent="0.25">
      <c r="A4810" s="344" t="s">
        <v>7644</v>
      </c>
      <c r="B4810" s="345" t="s">
        <v>7645</v>
      </c>
    </row>
    <row r="4811" spans="1:2" ht="15.75" x14ac:dyDescent="0.25">
      <c r="A4811" s="344" t="s">
        <v>7646</v>
      </c>
      <c r="B4811" s="345" t="s">
        <v>7647</v>
      </c>
    </row>
    <row r="4812" spans="1:2" ht="15.75" x14ac:dyDescent="0.25">
      <c r="A4812" s="344" t="s">
        <v>7648</v>
      </c>
      <c r="B4812" s="345" t="s">
        <v>7649</v>
      </c>
    </row>
    <row r="4813" spans="1:2" ht="15.75" x14ac:dyDescent="0.25">
      <c r="A4813" s="344" t="s">
        <v>7650</v>
      </c>
      <c r="B4813" s="345" t="s">
        <v>7651</v>
      </c>
    </row>
    <row r="4814" spans="1:2" ht="15.75" x14ac:dyDescent="0.25">
      <c r="A4814" s="344" t="s">
        <v>7652</v>
      </c>
      <c r="B4814" s="345" t="s">
        <v>7653</v>
      </c>
    </row>
    <row r="4815" spans="1:2" ht="15.75" x14ac:dyDescent="0.25">
      <c r="A4815" s="344" t="s">
        <v>7654</v>
      </c>
      <c r="B4815" s="345" t="s">
        <v>7655</v>
      </c>
    </row>
    <row r="4816" spans="1:2" ht="15.75" x14ac:dyDescent="0.25">
      <c r="A4816" s="344" t="s">
        <v>7656</v>
      </c>
      <c r="B4816" s="345" t="s">
        <v>7657</v>
      </c>
    </row>
    <row r="4817" spans="1:2" ht="15.75" x14ac:dyDescent="0.25">
      <c r="A4817" s="344" t="s">
        <v>7658</v>
      </c>
      <c r="B4817" s="345" t="s">
        <v>7659</v>
      </c>
    </row>
    <row r="4818" spans="1:2" ht="15.75" x14ac:dyDescent="0.25">
      <c r="A4818" s="344" t="s">
        <v>7660</v>
      </c>
      <c r="B4818" s="345" t="s">
        <v>7661</v>
      </c>
    </row>
    <row r="4819" spans="1:2" ht="15.75" x14ac:dyDescent="0.25">
      <c r="A4819" s="344" t="s">
        <v>7662</v>
      </c>
      <c r="B4819" s="345" t="s">
        <v>7663</v>
      </c>
    </row>
    <row r="4820" spans="1:2" ht="15.75" x14ac:dyDescent="0.25">
      <c r="A4820" s="344" t="s">
        <v>7664</v>
      </c>
      <c r="B4820" s="345" t="s">
        <v>7665</v>
      </c>
    </row>
    <row r="4821" spans="1:2" ht="15.75" x14ac:dyDescent="0.25">
      <c r="A4821" s="344" t="s">
        <v>7666</v>
      </c>
      <c r="B4821" s="345" t="s">
        <v>7667</v>
      </c>
    </row>
    <row r="4822" spans="1:2" ht="15.75" x14ac:dyDescent="0.25">
      <c r="A4822" s="344" t="s">
        <v>7668</v>
      </c>
      <c r="B4822" s="345" t="s">
        <v>7669</v>
      </c>
    </row>
    <row r="4823" spans="1:2" ht="15.75" x14ac:dyDescent="0.25">
      <c r="A4823" s="344" t="s">
        <v>7670</v>
      </c>
      <c r="B4823" s="345" t="s">
        <v>7671</v>
      </c>
    </row>
    <row r="4824" spans="1:2" ht="15.75" x14ac:dyDescent="0.25">
      <c r="A4824" s="344" t="s">
        <v>7672</v>
      </c>
      <c r="B4824" s="345" t="s">
        <v>7673</v>
      </c>
    </row>
    <row r="4825" spans="1:2" ht="15.75" x14ac:dyDescent="0.25">
      <c r="A4825" s="344" t="s">
        <v>7674</v>
      </c>
      <c r="B4825" s="345" t="s">
        <v>7675</v>
      </c>
    </row>
    <row r="4826" spans="1:2" ht="15.75" x14ac:dyDescent="0.25">
      <c r="A4826" s="344" t="s">
        <v>7676</v>
      </c>
      <c r="B4826" s="345" t="s">
        <v>7677</v>
      </c>
    </row>
    <row r="4827" spans="1:2" ht="15.75" x14ac:dyDescent="0.25">
      <c r="A4827" s="344" t="s">
        <v>7678</v>
      </c>
      <c r="B4827" s="345" t="s">
        <v>2797</v>
      </c>
    </row>
    <row r="4828" spans="1:2" ht="15.75" x14ac:dyDescent="0.25">
      <c r="A4828" s="344" t="s">
        <v>7679</v>
      </c>
      <c r="B4828" s="345" t="s">
        <v>7680</v>
      </c>
    </row>
    <row r="4829" spans="1:2" ht="15.75" x14ac:dyDescent="0.25">
      <c r="A4829" s="344" t="s">
        <v>7681</v>
      </c>
      <c r="B4829" s="345" t="s">
        <v>7682</v>
      </c>
    </row>
    <row r="4830" spans="1:2" ht="15.75" x14ac:dyDescent="0.25">
      <c r="A4830" s="344" t="s">
        <v>7683</v>
      </c>
      <c r="B4830" s="345" t="s">
        <v>7684</v>
      </c>
    </row>
    <row r="4831" spans="1:2" ht="15.75" x14ac:dyDescent="0.25">
      <c r="A4831" s="344" t="s">
        <v>7685</v>
      </c>
      <c r="B4831" s="345" t="s">
        <v>7686</v>
      </c>
    </row>
    <row r="4832" spans="1:2" ht="15.75" x14ac:dyDescent="0.25">
      <c r="A4832" s="344" t="s">
        <v>7687</v>
      </c>
      <c r="B4832" s="345" t="s">
        <v>7688</v>
      </c>
    </row>
    <row r="4833" spans="1:2" ht="15.75" x14ac:dyDescent="0.25">
      <c r="A4833" s="344" t="s">
        <v>7689</v>
      </c>
      <c r="B4833" s="345" t="s">
        <v>7690</v>
      </c>
    </row>
    <row r="4834" spans="1:2" ht="15.75" x14ac:dyDescent="0.25">
      <c r="A4834" s="344" t="s">
        <v>7691</v>
      </c>
      <c r="B4834" s="345" t="s">
        <v>7692</v>
      </c>
    </row>
    <row r="4835" spans="1:2" ht="15.75" x14ac:dyDescent="0.25">
      <c r="A4835" s="344" t="s">
        <v>7693</v>
      </c>
      <c r="B4835" s="345" t="s">
        <v>2798</v>
      </c>
    </row>
    <row r="4836" spans="1:2" ht="15.75" x14ac:dyDescent="0.25">
      <c r="A4836" s="344" t="s">
        <v>7694</v>
      </c>
      <c r="B4836" s="345" t="s">
        <v>7695</v>
      </c>
    </row>
    <row r="4837" spans="1:2" ht="15.75" x14ac:dyDescent="0.25">
      <c r="A4837" s="344" t="s">
        <v>7696</v>
      </c>
      <c r="B4837" s="345" t="s">
        <v>7697</v>
      </c>
    </row>
    <row r="4838" spans="1:2" ht="15.75" x14ac:dyDescent="0.25">
      <c r="A4838" s="344" t="s">
        <v>7698</v>
      </c>
      <c r="B4838" s="345" t="s">
        <v>7699</v>
      </c>
    </row>
    <row r="4839" spans="1:2" ht="15.75" x14ac:dyDescent="0.25">
      <c r="A4839" s="344" t="s">
        <v>7700</v>
      </c>
      <c r="B4839" s="345" t="s">
        <v>7701</v>
      </c>
    </row>
    <row r="4840" spans="1:2" ht="15.75" x14ac:dyDescent="0.25">
      <c r="A4840" s="344" t="s">
        <v>7702</v>
      </c>
      <c r="B4840" s="345" t="s">
        <v>7703</v>
      </c>
    </row>
    <row r="4841" spans="1:2" ht="15.75" x14ac:dyDescent="0.25">
      <c r="A4841" s="344" t="s">
        <v>7704</v>
      </c>
      <c r="B4841" s="345" t="s">
        <v>7705</v>
      </c>
    </row>
    <row r="4842" spans="1:2" ht="15.75" x14ac:dyDescent="0.25">
      <c r="A4842" s="344" t="s">
        <v>7706</v>
      </c>
      <c r="B4842" s="345" t="s">
        <v>7707</v>
      </c>
    </row>
    <row r="4843" spans="1:2" ht="15.75" x14ac:dyDescent="0.25">
      <c r="A4843" s="344" t="s">
        <v>7708</v>
      </c>
      <c r="B4843" s="345" t="s">
        <v>2799</v>
      </c>
    </row>
    <row r="4844" spans="1:2" ht="15.75" x14ac:dyDescent="0.25">
      <c r="A4844" s="344" t="s">
        <v>7709</v>
      </c>
      <c r="B4844" s="345" t="s">
        <v>7710</v>
      </c>
    </row>
    <row r="4845" spans="1:2" ht="15.75" x14ac:dyDescent="0.25">
      <c r="A4845" s="344" t="s">
        <v>7711</v>
      </c>
      <c r="B4845" s="345" t="s">
        <v>7712</v>
      </c>
    </row>
    <row r="4846" spans="1:2" ht="15.75" x14ac:dyDescent="0.25">
      <c r="A4846" s="344" t="s">
        <v>7713</v>
      </c>
      <c r="B4846" s="345" t="s">
        <v>7714</v>
      </c>
    </row>
    <row r="4847" spans="1:2" ht="15.75" x14ac:dyDescent="0.25">
      <c r="A4847" s="344" t="s">
        <v>7715</v>
      </c>
      <c r="B4847" s="345" t="s">
        <v>7716</v>
      </c>
    </row>
    <row r="4848" spans="1:2" ht="15.75" x14ac:dyDescent="0.25">
      <c r="A4848" s="344" t="s">
        <v>7717</v>
      </c>
      <c r="B4848" s="345" t="s">
        <v>2800</v>
      </c>
    </row>
    <row r="4849" spans="1:2" ht="15.75" x14ac:dyDescent="0.25">
      <c r="A4849" s="344" t="s">
        <v>7718</v>
      </c>
      <c r="B4849" s="345" t="s">
        <v>2801</v>
      </c>
    </row>
    <row r="4850" spans="1:2" ht="15.75" x14ac:dyDescent="0.25">
      <c r="A4850" s="344" t="s">
        <v>7719</v>
      </c>
      <c r="B4850" s="345" t="s">
        <v>7720</v>
      </c>
    </row>
    <row r="4851" spans="1:2" ht="15.75" x14ac:dyDescent="0.25">
      <c r="A4851" s="344" t="s">
        <v>7721</v>
      </c>
      <c r="B4851" s="345" t="s">
        <v>7722</v>
      </c>
    </row>
    <row r="4852" spans="1:2" ht="15.75" x14ac:dyDescent="0.25">
      <c r="A4852" s="344" t="s">
        <v>7723</v>
      </c>
      <c r="B4852" s="345" t="s">
        <v>7724</v>
      </c>
    </row>
    <row r="4853" spans="1:2" ht="15.75" x14ac:dyDescent="0.25">
      <c r="A4853" s="344" t="s">
        <v>7725</v>
      </c>
      <c r="B4853" s="345" t="s">
        <v>7726</v>
      </c>
    </row>
    <row r="4854" spans="1:2" ht="15.75" x14ac:dyDescent="0.25">
      <c r="A4854" s="344" t="s">
        <v>7727</v>
      </c>
      <c r="B4854" s="345" t="s">
        <v>7728</v>
      </c>
    </row>
    <row r="4855" spans="1:2" ht="15.75" x14ac:dyDescent="0.25">
      <c r="A4855" s="344" t="s">
        <v>7729</v>
      </c>
      <c r="B4855" s="345" t="s">
        <v>7730</v>
      </c>
    </row>
    <row r="4856" spans="1:2" ht="15.75" x14ac:dyDescent="0.25">
      <c r="A4856" s="344" t="s">
        <v>7731</v>
      </c>
      <c r="B4856" s="345" t="s">
        <v>7732</v>
      </c>
    </row>
    <row r="4857" spans="1:2" ht="15.75" x14ac:dyDescent="0.25">
      <c r="A4857" s="344" t="s">
        <v>7733</v>
      </c>
      <c r="B4857" s="345" t="s">
        <v>7734</v>
      </c>
    </row>
    <row r="4858" spans="1:2" ht="15.75" x14ac:dyDescent="0.25">
      <c r="A4858" s="344" t="s">
        <v>7735</v>
      </c>
      <c r="B4858" s="345" t="s">
        <v>7736</v>
      </c>
    </row>
    <row r="4859" spans="1:2" ht="15.75" x14ac:dyDescent="0.25">
      <c r="A4859" s="344" t="s">
        <v>7737</v>
      </c>
      <c r="B4859" s="345" t="s">
        <v>7738</v>
      </c>
    </row>
    <row r="4860" spans="1:2" ht="15.75" x14ac:dyDescent="0.25">
      <c r="A4860" s="344" t="s">
        <v>7739</v>
      </c>
      <c r="B4860" s="345" t="s">
        <v>7740</v>
      </c>
    </row>
    <row r="4861" spans="1:2" ht="15.75" x14ac:dyDescent="0.25">
      <c r="A4861" s="344" t="s">
        <v>7741</v>
      </c>
      <c r="B4861" s="345" t="s">
        <v>7742</v>
      </c>
    </row>
    <row r="4862" spans="1:2" ht="15.75" x14ac:dyDescent="0.25">
      <c r="A4862" s="344" t="s">
        <v>7743</v>
      </c>
      <c r="B4862" s="345" t="s">
        <v>7744</v>
      </c>
    </row>
    <row r="4863" spans="1:2" ht="15.75" x14ac:dyDescent="0.25">
      <c r="A4863" s="344" t="s">
        <v>7745</v>
      </c>
      <c r="B4863" s="345" t="s">
        <v>7746</v>
      </c>
    </row>
    <row r="4864" spans="1:2" ht="15.75" x14ac:dyDescent="0.25">
      <c r="A4864" s="344" t="s">
        <v>7747</v>
      </c>
      <c r="B4864" s="345" t="s">
        <v>7748</v>
      </c>
    </row>
    <row r="4865" spans="1:2" ht="15.75" x14ac:dyDescent="0.25">
      <c r="A4865" s="344" t="s">
        <v>7749</v>
      </c>
      <c r="B4865" s="345" t="s">
        <v>7750</v>
      </c>
    </row>
    <row r="4866" spans="1:2" ht="15.75" x14ac:dyDescent="0.25">
      <c r="A4866" s="344" t="s">
        <v>7751</v>
      </c>
      <c r="B4866" s="345" t="s">
        <v>7752</v>
      </c>
    </row>
    <row r="4867" spans="1:2" ht="15.75" x14ac:dyDescent="0.25">
      <c r="A4867" s="344" t="s">
        <v>7753</v>
      </c>
      <c r="B4867" s="345" t="s">
        <v>7754</v>
      </c>
    </row>
    <row r="4868" spans="1:2" ht="15.75" x14ac:dyDescent="0.25">
      <c r="A4868" s="344" t="s">
        <v>7755</v>
      </c>
      <c r="B4868" s="345" t="s">
        <v>7756</v>
      </c>
    </row>
    <row r="4869" spans="1:2" ht="15.75" x14ac:dyDescent="0.25">
      <c r="A4869" s="344" t="s">
        <v>7757</v>
      </c>
      <c r="B4869" s="345" t="s">
        <v>7758</v>
      </c>
    </row>
    <row r="4870" spans="1:2" ht="15.75" x14ac:dyDescent="0.25">
      <c r="A4870" s="344" t="s">
        <v>7759</v>
      </c>
      <c r="B4870" s="345" t="s">
        <v>7760</v>
      </c>
    </row>
    <row r="4871" spans="1:2" ht="15.75" x14ac:dyDescent="0.25">
      <c r="A4871" s="344" t="s">
        <v>7761</v>
      </c>
      <c r="B4871" s="345" t="s">
        <v>7762</v>
      </c>
    </row>
    <row r="4872" spans="1:2" ht="15.75" x14ac:dyDescent="0.25">
      <c r="A4872" s="344" t="s">
        <v>7763</v>
      </c>
      <c r="B4872" s="345" t="s">
        <v>7764</v>
      </c>
    </row>
    <row r="4873" spans="1:2" ht="15.75" x14ac:dyDescent="0.25">
      <c r="A4873" s="344" t="s">
        <v>7765</v>
      </c>
      <c r="B4873" s="345" t="s">
        <v>7766</v>
      </c>
    </row>
    <row r="4874" spans="1:2" ht="15.75" x14ac:dyDescent="0.25">
      <c r="A4874" s="344" t="s">
        <v>7767</v>
      </c>
      <c r="B4874" s="345" t="s">
        <v>7768</v>
      </c>
    </row>
    <row r="4875" spans="1:2" ht="15.75" x14ac:dyDescent="0.25">
      <c r="A4875" s="344" t="s">
        <v>7769</v>
      </c>
      <c r="B4875" s="345" t="s">
        <v>7770</v>
      </c>
    </row>
    <row r="4876" spans="1:2" ht="15.75" x14ac:dyDescent="0.25">
      <c r="A4876" s="344" t="s">
        <v>7771</v>
      </c>
      <c r="B4876" s="345" t="s">
        <v>7772</v>
      </c>
    </row>
    <row r="4877" spans="1:2" ht="15.75" x14ac:dyDescent="0.25">
      <c r="A4877" s="344" t="s">
        <v>7773</v>
      </c>
      <c r="B4877" s="345" t="s">
        <v>7768</v>
      </c>
    </row>
    <row r="4878" spans="1:2" ht="15.75" x14ac:dyDescent="0.25">
      <c r="A4878" s="344" t="s">
        <v>7774</v>
      </c>
      <c r="B4878" s="345" t="s">
        <v>7775</v>
      </c>
    </row>
    <row r="4879" spans="1:2" ht="15.75" x14ac:dyDescent="0.25">
      <c r="A4879" s="344" t="s">
        <v>7776</v>
      </c>
      <c r="B4879" s="345" t="s">
        <v>7777</v>
      </c>
    </row>
    <row r="4880" spans="1:2" ht="15.75" x14ac:dyDescent="0.25">
      <c r="A4880" s="344" t="s">
        <v>7778</v>
      </c>
      <c r="B4880" s="345" t="s">
        <v>7779</v>
      </c>
    </row>
    <row r="4881" spans="1:2" ht="15.75" x14ac:dyDescent="0.25">
      <c r="A4881" s="344" t="s">
        <v>7780</v>
      </c>
      <c r="B4881" s="345" t="s">
        <v>7781</v>
      </c>
    </row>
    <row r="4882" spans="1:2" ht="15.75" x14ac:dyDescent="0.25">
      <c r="A4882" s="344" t="s">
        <v>7782</v>
      </c>
      <c r="B4882" s="345" t="s">
        <v>7783</v>
      </c>
    </row>
    <row r="4883" spans="1:2" ht="15.75" x14ac:dyDescent="0.25">
      <c r="A4883" s="344" t="s">
        <v>7784</v>
      </c>
      <c r="B4883" s="345" t="s">
        <v>7785</v>
      </c>
    </row>
    <row r="4884" spans="1:2" ht="15.75" x14ac:dyDescent="0.25">
      <c r="A4884" s="344" t="s">
        <v>7786</v>
      </c>
      <c r="B4884" s="345" t="s">
        <v>7787</v>
      </c>
    </row>
    <row r="4885" spans="1:2" ht="15.75" x14ac:dyDescent="0.25">
      <c r="A4885" s="344" t="s">
        <v>7788</v>
      </c>
      <c r="B4885" s="345" t="s">
        <v>7789</v>
      </c>
    </row>
    <row r="4886" spans="1:2" ht="15.75" x14ac:dyDescent="0.25">
      <c r="A4886" s="344" t="s">
        <v>7790</v>
      </c>
      <c r="B4886" s="345" t="s">
        <v>7791</v>
      </c>
    </row>
    <row r="4887" spans="1:2" ht="15.75" x14ac:dyDescent="0.25">
      <c r="A4887" s="344" t="s">
        <v>7792</v>
      </c>
      <c r="B4887" s="345" t="s">
        <v>7793</v>
      </c>
    </row>
    <row r="4888" spans="1:2" ht="15.75" x14ac:dyDescent="0.25">
      <c r="A4888" s="344" t="s">
        <v>7794</v>
      </c>
      <c r="B4888" s="345" t="s">
        <v>7795</v>
      </c>
    </row>
    <row r="4889" spans="1:2" ht="15.75" x14ac:dyDescent="0.25">
      <c r="A4889" s="344" t="s">
        <v>7796</v>
      </c>
      <c r="B4889" s="345" t="s">
        <v>7797</v>
      </c>
    </row>
    <row r="4890" spans="1:2" ht="15.75" x14ac:dyDescent="0.25">
      <c r="A4890" s="344" t="s">
        <v>7798</v>
      </c>
      <c r="B4890" s="345" t="s">
        <v>7799</v>
      </c>
    </row>
    <row r="4891" spans="1:2" ht="15.75" x14ac:dyDescent="0.25">
      <c r="A4891" s="344" t="s">
        <v>7800</v>
      </c>
      <c r="B4891" s="345" t="s">
        <v>7801</v>
      </c>
    </row>
    <row r="4892" spans="1:2" ht="15.75" x14ac:dyDescent="0.25">
      <c r="A4892" s="344" t="s">
        <v>7802</v>
      </c>
      <c r="B4892" s="345" t="s">
        <v>7803</v>
      </c>
    </row>
    <row r="4893" spans="1:2" ht="15.75" x14ac:dyDescent="0.25">
      <c r="A4893" s="344" t="s">
        <v>7804</v>
      </c>
      <c r="B4893" s="345" t="s">
        <v>2802</v>
      </c>
    </row>
    <row r="4894" spans="1:2" ht="15.75" x14ac:dyDescent="0.25">
      <c r="A4894" s="344" t="s">
        <v>7805</v>
      </c>
      <c r="B4894" s="345" t="s">
        <v>7806</v>
      </c>
    </row>
    <row r="4895" spans="1:2" ht="15.75" x14ac:dyDescent="0.25">
      <c r="A4895" s="344" t="s">
        <v>7807</v>
      </c>
      <c r="B4895" s="345" t="s">
        <v>7808</v>
      </c>
    </row>
    <row r="4896" spans="1:2" ht="15.75" x14ac:dyDescent="0.25">
      <c r="A4896" s="344" t="s">
        <v>7809</v>
      </c>
      <c r="B4896" s="345" t="s">
        <v>7810</v>
      </c>
    </row>
    <row r="4897" spans="1:2" ht="15.75" x14ac:dyDescent="0.25">
      <c r="A4897" s="344" t="s">
        <v>7811</v>
      </c>
      <c r="B4897" s="345" t="s">
        <v>7812</v>
      </c>
    </row>
    <row r="4898" spans="1:2" ht="15.75" x14ac:dyDescent="0.25">
      <c r="A4898" s="344" t="s">
        <v>7813</v>
      </c>
      <c r="B4898" s="345" t="s">
        <v>7814</v>
      </c>
    </row>
    <row r="4899" spans="1:2" ht="15.75" x14ac:dyDescent="0.25">
      <c r="A4899" s="344" t="s">
        <v>7815</v>
      </c>
      <c r="B4899" s="345" t="s">
        <v>7816</v>
      </c>
    </row>
    <row r="4900" spans="1:2" ht="15.75" x14ac:dyDescent="0.25">
      <c r="A4900" s="344" t="s">
        <v>7817</v>
      </c>
      <c r="B4900" s="345" t="s">
        <v>7818</v>
      </c>
    </row>
    <row r="4901" spans="1:2" ht="15.75" x14ac:dyDescent="0.25">
      <c r="A4901" s="344" t="s">
        <v>7819</v>
      </c>
      <c r="B4901" s="345" t="s">
        <v>7820</v>
      </c>
    </row>
    <row r="4902" spans="1:2" ht="15.75" x14ac:dyDescent="0.25">
      <c r="A4902" s="344" t="s">
        <v>7821</v>
      </c>
      <c r="B4902" s="345" t="s">
        <v>7822</v>
      </c>
    </row>
    <row r="4903" spans="1:2" ht="15.75" x14ac:dyDescent="0.25">
      <c r="A4903" s="344" t="s">
        <v>7823</v>
      </c>
      <c r="B4903" s="345" t="s">
        <v>7824</v>
      </c>
    </row>
    <row r="4904" spans="1:2" ht="15.75" x14ac:dyDescent="0.25">
      <c r="A4904" s="344" t="s">
        <v>7825</v>
      </c>
      <c r="B4904" s="345" t="s">
        <v>7826</v>
      </c>
    </row>
    <row r="4905" spans="1:2" ht="15.75" x14ac:dyDescent="0.25">
      <c r="A4905" s="344" t="s">
        <v>7827</v>
      </c>
      <c r="B4905" s="345" t="s">
        <v>7828</v>
      </c>
    </row>
    <row r="4906" spans="1:2" ht="15.75" x14ac:dyDescent="0.25">
      <c r="A4906" s="344" t="s">
        <v>7829</v>
      </c>
      <c r="B4906" s="345" t="s">
        <v>7830</v>
      </c>
    </row>
    <row r="4907" spans="1:2" ht="15.75" x14ac:dyDescent="0.25">
      <c r="A4907" s="344" t="s">
        <v>7831</v>
      </c>
      <c r="B4907" s="345" t="s">
        <v>7832</v>
      </c>
    </row>
    <row r="4908" spans="1:2" ht="15.75" x14ac:dyDescent="0.25">
      <c r="A4908" s="344" t="s">
        <v>7833</v>
      </c>
      <c r="B4908" s="345" t="s">
        <v>7834</v>
      </c>
    </row>
    <row r="4909" spans="1:2" ht="15.75" x14ac:dyDescent="0.25">
      <c r="A4909" s="344" t="s">
        <v>7835</v>
      </c>
      <c r="B4909" s="345" t="s">
        <v>7836</v>
      </c>
    </row>
    <row r="4910" spans="1:2" ht="15.75" x14ac:dyDescent="0.25">
      <c r="A4910" s="344" t="s">
        <v>7837</v>
      </c>
      <c r="B4910" s="345" t="s">
        <v>7838</v>
      </c>
    </row>
    <row r="4911" spans="1:2" ht="15.75" x14ac:dyDescent="0.25">
      <c r="A4911" s="344" t="s">
        <v>7839</v>
      </c>
      <c r="B4911" s="345" t="s">
        <v>7840</v>
      </c>
    </row>
    <row r="4912" spans="1:2" ht="15.75" x14ac:dyDescent="0.25">
      <c r="A4912" s="344" t="s">
        <v>7841</v>
      </c>
      <c r="B4912" s="345" t="s">
        <v>7842</v>
      </c>
    </row>
    <row r="4913" spans="1:2" ht="15.75" x14ac:dyDescent="0.25">
      <c r="A4913" s="344" t="s">
        <v>7843</v>
      </c>
      <c r="B4913" s="345" t="s">
        <v>2803</v>
      </c>
    </row>
    <row r="4914" spans="1:2" ht="15.75" x14ac:dyDescent="0.25">
      <c r="A4914" s="344" t="s">
        <v>7844</v>
      </c>
      <c r="B4914" s="345" t="s">
        <v>7845</v>
      </c>
    </row>
    <row r="4915" spans="1:2" ht="15.75" x14ac:dyDescent="0.25">
      <c r="A4915" s="344" t="s">
        <v>7846</v>
      </c>
      <c r="B4915" s="345" t="s">
        <v>7847</v>
      </c>
    </row>
    <row r="4916" spans="1:2" ht="15.75" x14ac:dyDescent="0.25">
      <c r="A4916" s="344" t="s">
        <v>7848</v>
      </c>
      <c r="B4916" s="345" t="s">
        <v>7849</v>
      </c>
    </row>
    <row r="4917" spans="1:2" ht="15.75" x14ac:dyDescent="0.25">
      <c r="A4917" s="344" t="s">
        <v>7850</v>
      </c>
      <c r="B4917" s="345" t="s">
        <v>7851</v>
      </c>
    </row>
    <row r="4918" spans="1:2" ht="15.75" x14ac:dyDescent="0.25">
      <c r="A4918" s="344" t="s">
        <v>7852</v>
      </c>
      <c r="B4918" s="345" t="s">
        <v>2804</v>
      </c>
    </row>
    <row r="4919" spans="1:2" ht="15.75" x14ac:dyDescent="0.25">
      <c r="A4919" s="344" t="s">
        <v>7853</v>
      </c>
      <c r="B4919" s="345" t="s">
        <v>2805</v>
      </c>
    </row>
    <row r="4920" spans="1:2" ht="15.75" x14ac:dyDescent="0.25">
      <c r="A4920" s="344" t="s">
        <v>7854</v>
      </c>
      <c r="B4920" s="345" t="s">
        <v>7855</v>
      </c>
    </row>
    <row r="4921" spans="1:2" ht="15.75" x14ac:dyDescent="0.25">
      <c r="A4921" s="344" t="s">
        <v>7856</v>
      </c>
      <c r="B4921" s="345" t="s">
        <v>7857</v>
      </c>
    </row>
    <row r="4922" spans="1:2" ht="15.75" x14ac:dyDescent="0.25">
      <c r="A4922" s="344" t="s">
        <v>7858</v>
      </c>
      <c r="B4922" s="345" t="s">
        <v>7859</v>
      </c>
    </row>
    <row r="4923" spans="1:2" ht="15.75" x14ac:dyDescent="0.25">
      <c r="A4923" s="344" t="s">
        <v>7860</v>
      </c>
      <c r="B4923" s="345" t="s">
        <v>7861</v>
      </c>
    </row>
    <row r="4924" spans="1:2" ht="15.75" x14ac:dyDescent="0.25">
      <c r="A4924" s="344" t="s">
        <v>7862</v>
      </c>
      <c r="B4924" s="345" t="s">
        <v>7863</v>
      </c>
    </row>
    <row r="4925" spans="1:2" ht="15.75" x14ac:dyDescent="0.25">
      <c r="A4925" s="344" t="s">
        <v>7864</v>
      </c>
      <c r="B4925" s="345" t="s">
        <v>7865</v>
      </c>
    </row>
    <row r="4926" spans="1:2" ht="15.75" x14ac:dyDescent="0.25">
      <c r="A4926" s="344" t="s">
        <v>7866</v>
      </c>
      <c r="B4926" s="345" t="s">
        <v>2806</v>
      </c>
    </row>
    <row r="4927" spans="1:2" ht="15.75" x14ac:dyDescent="0.25">
      <c r="A4927" s="344" t="s">
        <v>7867</v>
      </c>
      <c r="B4927" s="345" t="s">
        <v>7868</v>
      </c>
    </row>
    <row r="4928" spans="1:2" ht="15.75" x14ac:dyDescent="0.25">
      <c r="A4928" s="344" t="s">
        <v>7869</v>
      </c>
      <c r="B4928" s="345" t="s">
        <v>7870</v>
      </c>
    </row>
    <row r="4929" spans="1:2" ht="15.75" x14ac:dyDescent="0.25">
      <c r="A4929" s="344" t="s">
        <v>7871</v>
      </c>
      <c r="B4929" s="345" t="s">
        <v>7872</v>
      </c>
    </row>
    <row r="4930" spans="1:2" ht="15.75" x14ac:dyDescent="0.25">
      <c r="A4930" s="344" t="s">
        <v>7873</v>
      </c>
      <c r="B4930" s="345" t="s">
        <v>2807</v>
      </c>
    </row>
    <row r="4931" spans="1:2" ht="15.75" x14ac:dyDescent="0.25">
      <c r="A4931" s="344" t="s">
        <v>7874</v>
      </c>
      <c r="B4931" s="345" t="s">
        <v>2808</v>
      </c>
    </row>
    <row r="4932" spans="1:2" ht="15.75" x14ac:dyDescent="0.25">
      <c r="A4932" s="344" t="s">
        <v>7875</v>
      </c>
      <c r="B4932" s="345" t="s">
        <v>2809</v>
      </c>
    </row>
    <row r="4933" spans="1:2" ht="15.75" x14ac:dyDescent="0.25">
      <c r="A4933" s="344" t="s">
        <v>7876</v>
      </c>
      <c r="B4933" s="345" t="s">
        <v>2810</v>
      </c>
    </row>
    <row r="4934" spans="1:2" ht="15.75" x14ac:dyDescent="0.25">
      <c r="A4934" s="344" t="s">
        <v>7877</v>
      </c>
      <c r="B4934" s="345" t="s">
        <v>2811</v>
      </c>
    </row>
    <row r="4935" spans="1:2" ht="15.75" x14ac:dyDescent="0.25">
      <c r="A4935" s="344" t="s">
        <v>7878</v>
      </c>
      <c r="B4935" s="345" t="s">
        <v>2812</v>
      </c>
    </row>
    <row r="4936" spans="1:2" ht="15.75" x14ac:dyDescent="0.25">
      <c r="A4936" s="344" t="s">
        <v>7879</v>
      </c>
      <c r="B4936" s="345" t="s">
        <v>2813</v>
      </c>
    </row>
    <row r="4937" spans="1:2" ht="15.75" x14ac:dyDescent="0.25">
      <c r="A4937" s="344" t="s">
        <v>7880</v>
      </c>
      <c r="B4937" s="345" t="s">
        <v>2814</v>
      </c>
    </row>
    <row r="4938" spans="1:2" ht="15.75" x14ac:dyDescent="0.25">
      <c r="A4938" s="344" t="s">
        <v>7881</v>
      </c>
      <c r="B4938" s="345" t="s">
        <v>2815</v>
      </c>
    </row>
    <row r="4939" spans="1:2" ht="15.75" x14ac:dyDescent="0.25">
      <c r="A4939" s="344" t="s">
        <v>7882</v>
      </c>
      <c r="B4939" s="345" t="s">
        <v>2816</v>
      </c>
    </row>
    <row r="4940" spans="1:2" ht="15.75" x14ac:dyDescent="0.25">
      <c r="A4940" s="344" t="s">
        <v>7883</v>
      </c>
      <c r="B4940" s="345" t="s">
        <v>2817</v>
      </c>
    </row>
    <row r="4941" spans="1:2" ht="15.75" x14ac:dyDescent="0.25">
      <c r="A4941" s="344" t="s">
        <v>7884</v>
      </c>
      <c r="B4941" s="345" t="s">
        <v>2818</v>
      </c>
    </row>
    <row r="4942" spans="1:2" ht="15.75" x14ac:dyDescent="0.25">
      <c r="A4942" s="344" t="s">
        <v>7885</v>
      </c>
      <c r="B4942" s="345" t="s">
        <v>2819</v>
      </c>
    </row>
    <row r="4943" spans="1:2" ht="15.75" x14ac:dyDescent="0.25">
      <c r="A4943" s="344" t="s">
        <v>7886</v>
      </c>
      <c r="B4943" s="345" t="s">
        <v>2820</v>
      </c>
    </row>
    <row r="4944" spans="1:2" ht="15.75" x14ac:dyDescent="0.25">
      <c r="A4944" s="344" t="s">
        <v>7887</v>
      </c>
      <c r="B4944" s="345" t="s">
        <v>2821</v>
      </c>
    </row>
    <row r="4945" spans="1:2" ht="15.75" x14ac:dyDescent="0.25">
      <c r="A4945" s="344" t="s">
        <v>7888</v>
      </c>
      <c r="B4945" s="345" t="s">
        <v>2822</v>
      </c>
    </row>
    <row r="4946" spans="1:2" ht="15.75" x14ac:dyDescent="0.25">
      <c r="A4946" s="344" t="s">
        <v>7889</v>
      </c>
      <c r="B4946" s="345" t="s">
        <v>2823</v>
      </c>
    </row>
    <row r="4947" spans="1:2" ht="15.75" x14ac:dyDescent="0.25">
      <c r="A4947" s="344" t="s">
        <v>7890</v>
      </c>
      <c r="B4947" s="345" t="s">
        <v>2824</v>
      </c>
    </row>
    <row r="4948" spans="1:2" ht="15.75" x14ac:dyDescent="0.25">
      <c r="A4948" s="344" t="s">
        <v>7891</v>
      </c>
      <c r="B4948" s="345" t="s">
        <v>2825</v>
      </c>
    </row>
    <row r="4949" spans="1:2" ht="15.75" x14ac:dyDescent="0.25">
      <c r="A4949" s="344" t="s">
        <v>7892</v>
      </c>
      <c r="B4949" s="345" t="s">
        <v>2826</v>
      </c>
    </row>
    <row r="4950" spans="1:2" ht="15.75" x14ac:dyDescent="0.25">
      <c r="A4950" s="344" t="s">
        <v>7893</v>
      </c>
      <c r="B4950" s="345" t="s">
        <v>2827</v>
      </c>
    </row>
    <row r="4951" spans="1:2" ht="15.75" x14ac:dyDescent="0.25">
      <c r="A4951" s="344" t="s">
        <v>7894</v>
      </c>
      <c r="B4951" s="345" t="s">
        <v>2828</v>
      </c>
    </row>
    <row r="4952" spans="1:2" ht="15.75" x14ac:dyDescent="0.25">
      <c r="A4952" s="344" t="s">
        <v>7895</v>
      </c>
      <c r="B4952" s="345" t="s">
        <v>2829</v>
      </c>
    </row>
    <row r="4953" spans="1:2" ht="15.75" x14ac:dyDescent="0.25">
      <c r="A4953" s="344" t="s">
        <v>7896</v>
      </c>
      <c r="B4953" s="345" t="s">
        <v>2830</v>
      </c>
    </row>
    <row r="4954" spans="1:2" ht="15.75" x14ac:dyDescent="0.25">
      <c r="A4954" s="344" t="s">
        <v>7897</v>
      </c>
      <c r="B4954" s="345" t="s">
        <v>2831</v>
      </c>
    </row>
    <row r="4955" spans="1:2" ht="15.75" x14ac:dyDescent="0.25">
      <c r="A4955" s="344" t="s">
        <v>7898</v>
      </c>
      <c r="B4955" s="345" t="s">
        <v>2832</v>
      </c>
    </row>
    <row r="4956" spans="1:2" ht="15.75" x14ac:dyDescent="0.25">
      <c r="A4956" s="344" t="s">
        <v>7899</v>
      </c>
      <c r="B4956" s="345" t="s">
        <v>2833</v>
      </c>
    </row>
    <row r="4957" spans="1:2" ht="15.75" x14ac:dyDescent="0.25">
      <c r="A4957" s="344" t="s">
        <v>7900</v>
      </c>
      <c r="B4957" s="345" t="s">
        <v>2834</v>
      </c>
    </row>
    <row r="4958" spans="1:2" ht="15.75" x14ac:dyDescent="0.25">
      <c r="A4958" s="344" t="s">
        <v>7901</v>
      </c>
      <c r="B4958" s="345" t="s">
        <v>2835</v>
      </c>
    </row>
    <row r="4959" spans="1:2" ht="15.75" x14ac:dyDescent="0.25">
      <c r="A4959" s="344" t="s">
        <v>7902</v>
      </c>
      <c r="B4959" s="345" t="s">
        <v>2836</v>
      </c>
    </row>
    <row r="4960" spans="1:2" ht="15.75" x14ac:dyDescent="0.25">
      <c r="A4960" s="344" t="s">
        <v>7903</v>
      </c>
      <c r="B4960" s="345" t="s">
        <v>2837</v>
      </c>
    </row>
    <row r="4961" spans="1:2" ht="15.75" x14ac:dyDescent="0.25">
      <c r="A4961" s="344" t="s">
        <v>7904</v>
      </c>
      <c r="B4961" s="345" t="s">
        <v>2838</v>
      </c>
    </row>
    <row r="4962" spans="1:2" ht="15.75" x14ac:dyDescent="0.25">
      <c r="A4962" s="344" t="s">
        <v>7905</v>
      </c>
      <c r="B4962" s="345" t="s">
        <v>2839</v>
      </c>
    </row>
    <row r="4963" spans="1:2" ht="15.75" x14ac:dyDescent="0.25">
      <c r="A4963" s="344" t="s">
        <v>7906</v>
      </c>
      <c r="B4963" s="345" t="s">
        <v>2840</v>
      </c>
    </row>
    <row r="4964" spans="1:2" ht="15.75" x14ac:dyDescent="0.25">
      <c r="A4964" s="344" t="s">
        <v>7907</v>
      </c>
      <c r="B4964" s="345" t="s">
        <v>2841</v>
      </c>
    </row>
    <row r="4965" spans="1:2" ht="15.75" x14ac:dyDescent="0.25">
      <c r="A4965" s="344" t="s">
        <v>7908</v>
      </c>
      <c r="B4965" s="345" t="s">
        <v>2842</v>
      </c>
    </row>
    <row r="4966" spans="1:2" ht="15.75" x14ac:dyDescent="0.25">
      <c r="A4966" s="344" t="s">
        <v>7909</v>
      </c>
      <c r="B4966" s="345" t="s">
        <v>7910</v>
      </c>
    </row>
    <row r="4967" spans="1:2" ht="15.75" x14ac:dyDescent="0.25">
      <c r="A4967" s="344" t="s">
        <v>7911</v>
      </c>
      <c r="B4967" s="345" t="s">
        <v>7912</v>
      </c>
    </row>
    <row r="4968" spans="1:2" ht="15.75" x14ac:dyDescent="0.25">
      <c r="A4968" s="344" t="s">
        <v>7913</v>
      </c>
      <c r="B4968" s="345" t="s">
        <v>7914</v>
      </c>
    </row>
    <row r="4969" spans="1:2" ht="15.75" x14ac:dyDescent="0.25">
      <c r="A4969" s="344" t="s">
        <v>7915</v>
      </c>
      <c r="B4969" s="345" t="s">
        <v>7916</v>
      </c>
    </row>
    <row r="4970" spans="1:2" ht="15.75" x14ac:dyDescent="0.25">
      <c r="A4970" s="344" t="s">
        <v>7917</v>
      </c>
      <c r="B4970" s="345" t="s">
        <v>7918</v>
      </c>
    </row>
    <row r="4971" spans="1:2" ht="15.75" x14ac:dyDescent="0.25">
      <c r="A4971" s="344" t="s">
        <v>7919</v>
      </c>
      <c r="B4971" s="345" t="s">
        <v>7920</v>
      </c>
    </row>
    <row r="4972" spans="1:2" ht="15.75" x14ac:dyDescent="0.25">
      <c r="A4972" s="344" t="s">
        <v>7921</v>
      </c>
      <c r="B4972" s="345" t="s">
        <v>7922</v>
      </c>
    </row>
    <row r="4973" spans="1:2" ht="15.75" x14ac:dyDescent="0.25">
      <c r="A4973" s="344" t="s">
        <v>7923</v>
      </c>
      <c r="B4973" s="345" t="s">
        <v>7924</v>
      </c>
    </row>
    <row r="4974" spans="1:2" ht="15.75" x14ac:dyDescent="0.25">
      <c r="A4974" s="344" t="s">
        <v>7925</v>
      </c>
      <c r="B4974" s="345" t="s">
        <v>7926</v>
      </c>
    </row>
    <row r="4975" spans="1:2" ht="15.75" x14ac:dyDescent="0.25">
      <c r="A4975" s="344" t="s">
        <v>7927</v>
      </c>
      <c r="B4975" s="345" t="s">
        <v>7928</v>
      </c>
    </row>
    <row r="4976" spans="1:2" ht="15.75" x14ac:dyDescent="0.25">
      <c r="A4976" s="344" t="s">
        <v>7929</v>
      </c>
      <c r="B4976" s="345" t="s">
        <v>7930</v>
      </c>
    </row>
    <row r="4977" spans="1:2" ht="15.75" x14ac:dyDescent="0.25">
      <c r="A4977" s="344" t="s">
        <v>7931</v>
      </c>
      <c r="B4977" s="345" t="s">
        <v>7932</v>
      </c>
    </row>
    <row r="4978" spans="1:2" ht="15.75" x14ac:dyDescent="0.25">
      <c r="A4978" s="344" t="s">
        <v>7933</v>
      </c>
      <c r="B4978" s="345" t="s">
        <v>7934</v>
      </c>
    </row>
    <row r="4979" spans="1:2" ht="15.75" x14ac:dyDescent="0.25">
      <c r="A4979" s="344" t="s">
        <v>7935</v>
      </c>
      <c r="B4979" s="345" t="s">
        <v>7936</v>
      </c>
    </row>
    <row r="4980" spans="1:2" ht="15.75" x14ac:dyDescent="0.25">
      <c r="A4980" s="344" t="s">
        <v>7937</v>
      </c>
      <c r="B4980" s="345" t="s">
        <v>7938</v>
      </c>
    </row>
    <row r="4981" spans="1:2" ht="15.75" x14ac:dyDescent="0.25">
      <c r="A4981" s="344" t="s">
        <v>7939</v>
      </c>
      <c r="B4981" s="345" t="s">
        <v>7940</v>
      </c>
    </row>
    <row r="4982" spans="1:2" ht="15.75" x14ac:dyDescent="0.25">
      <c r="A4982" s="344" t="s">
        <v>7941</v>
      </c>
      <c r="B4982" s="345" t="s">
        <v>2843</v>
      </c>
    </row>
    <row r="4983" spans="1:2" ht="15.75" x14ac:dyDescent="0.25">
      <c r="A4983" s="344" t="s">
        <v>7942</v>
      </c>
      <c r="B4983" s="345" t="s">
        <v>7943</v>
      </c>
    </row>
    <row r="4984" spans="1:2" ht="15.75" x14ac:dyDescent="0.25">
      <c r="A4984" s="344" t="s">
        <v>7944</v>
      </c>
      <c r="B4984" s="345" t="s">
        <v>7945</v>
      </c>
    </row>
    <row r="4985" spans="1:2" ht="15.75" x14ac:dyDescent="0.25">
      <c r="A4985" s="344" t="s">
        <v>7946</v>
      </c>
      <c r="B4985" s="345" t="s">
        <v>7947</v>
      </c>
    </row>
    <row r="4986" spans="1:2" ht="15.75" x14ac:dyDescent="0.25">
      <c r="A4986" s="344" t="s">
        <v>7948</v>
      </c>
      <c r="B4986" s="345" t="s">
        <v>2844</v>
      </c>
    </row>
    <row r="4987" spans="1:2" ht="15.75" x14ac:dyDescent="0.25">
      <c r="A4987" s="344" t="s">
        <v>7949</v>
      </c>
      <c r="B4987" s="345" t="s">
        <v>7950</v>
      </c>
    </row>
    <row r="4988" spans="1:2" ht="15.75" x14ac:dyDescent="0.25">
      <c r="A4988" s="344" t="s">
        <v>7951</v>
      </c>
      <c r="B4988" s="345" t="s">
        <v>7952</v>
      </c>
    </row>
    <row r="4989" spans="1:2" ht="15.75" x14ac:dyDescent="0.25">
      <c r="A4989" s="344" t="s">
        <v>7953</v>
      </c>
      <c r="B4989" s="345" t="s">
        <v>7954</v>
      </c>
    </row>
    <row r="4990" spans="1:2" ht="15.75" x14ac:dyDescent="0.25">
      <c r="A4990" s="344" t="s">
        <v>7955</v>
      </c>
      <c r="B4990" s="345" t="s">
        <v>2845</v>
      </c>
    </row>
    <row r="4991" spans="1:2" ht="15.75" x14ac:dyDescent="0.25">
      <c r="A4991" s="344" t="s">
        <v>7956</v>
      </c>
      <c r="B4991" s="345" t="s">
        <v>2846</v>
      </c>
    </row>
    <row r="4992" spans="1:2" ht="15.75" x14ac:dyDescent="0.25">
      <c r="A4992" s="344" t="s">
        <v>7957</v>
      </c>
      <c r="B4992" s="345" t="s">
        <v>2847</v>
      </c>
    </row>
    <row r="4993" spans="1:2" ht="15.75" x14ac:dyDescent="0.25">
      <c r="A4993" s="344" t="s">
        <v>7958</v>
      </c>
      <c r="B4993" s="345" t="s">
        <v>2848</v>
      </c>
    </row>
    <row r="4994" spans="1:2" ht="15.75" x14ac:dyDescent="0.25">
      <c r="A4994" s="344" t="s">
        <v>7959</v>
      </c>
      <c r="B4994" s="345" t="s">
        <v>7960</v>
      </c>
    </row>
    <row r="4995" spans="1:2" ht="15.75" x14ac:dyDescent="0.25">
      <c r="A4995" s="344" t="s">
        <v>7961</v>
      </c>
      <c r="B4995" s="345" t="s">
        <v>7962</v>
      </c>
    </row>
    <row r="4996" spans="1:2" ht="15.75" x14ac:dyDescent="0.25">
      <c r="A4996" s="344" t="s">
        <v>7963</v>
      </c>
      <c r="B4996" s="345" t="s">
        <v>7964</v>
      </c>
    </row>
    <row r="4997" spans="1:2" ht="15.75" x14ac:dyDescent="0.25">
      <c r="A4997" s="344" t="s">
        <v>7965</v>
      </c>
      <c r="B4997" s="345" t="s">
        <v>2849</v>
      </c>
    </row>
    <row r="4998" spans="1:2" ht="15.75" x14ac:dyDescent="0.25">
      <c r="A4998" s="344" t="s">
        <v>7966</v>
      </c>
      <c r="B4998" s="345" t="s">
        <v>7967</v>
      </c>
    </row>
    <row r="4999" spans="1:2" ht="15.75" x14ac:dyDescent="0.25">
      <c r="A4999" s="344" t="s">
        <v>7968</v>
      </c>
      <c r="B4999" s="345" t="s">
        <v>7969</v>
      </c>
    </row>
    <row r="5000" spans="1:2" ht="15.75" x14ac:dyDescent="0.25">
      <c r="A5000" s="344" t="s">
        <v>7970</v>
      </c>
      <c r="B5000" s="345" t="s">
        <v>7971</v>
      </c>
    </row>
    <row r="5001" spans="1:2" ht="15.75" x14ac:dyDescent="0.25">
      <c r="A5001" s="344" t="s">
        <v>7972</v>
      </c>
      <c r="B5001" s="345" t="s">
        <v>7973</v>
      </c>
    </row>
    <row r="5002" spans="1:2" ht="15.75" x14ac:dyDescent="0.25">
      <c r="A5002" s="344" t="s">
        <v>7974</v>
      </c>
      <c r="B5002" s="345" t="s">
        <v>2850</v>
      </c>
    </row>
    <row r="5003" spans="1:2" ht="15.75" x14ac:dyDescent="0.25">
      <c r="A5003" s="344" t="s">
        <v>7975</v>
      </c>
      <c r="B5003" s="345" t="s">
        <v>7976</v>
      </c>
    </row>
    <row r="5004" spans="1:2" ht="15.75" x14ac:dyDescent="0.25">
      <c r="A5004" s="344" t="s">
        <v>7977</v>
      </c>
      <c r="B5004" s="345" t="s">
        <v>7978</v>
      </c>
    </row>
    <row r="5005" spans="1:2" ht="15.75" x14ac:dyDescent="0.25">
      <c r="A5005" s="344" t="s">
        <v>7979</v>
      </c>
      <c r="B5005" s="345" t="s">
        <v>7980</v>
      </c>
    </row>
    <row r="5006" spans="1:2" ht="15.75" x14ac:dyDescent="0.25">
      <c r="A5006" s="344" t="s">
        <v>7981</v>
      </c>
      <c r="B5006" s="345" t="s">
        <v>7982</v>
      </c>
    </row>
    <row r="5007" spans="1:2" ht="15.75" x14ac:dyDescent="0.25">
      <c r="A5007" s="344" t="s">
        <v>7983</v>
      </c>
      <c r="B5007" s="345" t="s">
        <v>2851</v>
      </c>
    </row>
    <row r="5008" spans="1:2" ht="15.75" x14ac:dyDescent="0.25">
      <c r="A5008" s="344" t="s">
        <v>7984</v>
      </c>
      <c r="B5008" s="345" t="s">
        <v>2852</v>
      </c>
    </row>
    <row r="5009" spans="1:2" ht="15.75" x14ac:dyDescent="0.25">
      <c r="A5009" s="344" t="s">
        <v>7985</v>
      </c>
      <c r="B5009" s="345" t="s">
        <v>2852</v>
      </c>
    </row>
    <row r="5010" spans="1:2" ht="15.75" x14ac:dyDescent="0.25">
      <c r="A5010" s="344" t="s">
        <v>7986</v>
      </c>
      <c r="B5010" s="345" t="s">
        <v>2853</v>
      </c>
    </row>
    <row r="5011" spans="1:2" ht="15.75" x14ac:dyDescent="0.25">
      <c r="A5011" s="344" t="s">
        <v>7987</v>
      </c>
      <c r="B5011" s="345" t="s">
        <v>7988</v>
      </c>
    </row>
    <row r="5012" spans="1:2" ht="15.75" x14ac:dyDescent="0.25">
      <c r="A5012" s="344" t="s">
        <v>7989</v>
      </c>
      <c r="B5012" s="345" t="s">
        <v>7990</v>
      </c>
    </row>
    <row r="5013" spans="1:2" ht="15.75" x14ac:dyDescent="0.25">
      <c r="A5013" s="344" t="s">
        <v>7991</v>
      </c>
      <c r="B5013" s="345" t="s">
        <v>7992</v>
      </c>
    </row>
    <row r="5014" spans="1:2" ht="15.75" x14ac:dyDescent="0.25">
      <c r="A5014" s="344" t="s">
        <v>7993</v>
      </c>
      <c r="B5014" s="345" t="s">
        <v>2854</v>
      </c>
    </row>
    <row r="5015" spans="1:2" ht="15.75" x14ac:dyDescent="0.25">
      <c r="A5015" s="344" t="s">
        <v>7994</v>
      </c>
      <c r="B5015" s="345" t="s">
        <v>2855</v>
      </c>
    </row>
    <row r="5016" spans="1:2" ht="15.75" x14ac:dyDescent="0.25">
      <c r="A5016" s="344" t="s">
        <v>7995</v>
      </c>
      <c r="B5016" s="345" t="s">
        <v>2856</v>
      </c>
    </row>
    <row r="5017" spans="1:2" ht="15.75" x14ac:dyDescent="0.25">
      <c r="A5017" s="344" t="s">
        <v>7996</v>
      </c>
      <c r="B5017" s="345" t="s">
        <v>7997</v>
      </c>
    </row>
    <row r="5018" spans="1:2" ht="15.75" x14ac:dyDescent="0.25">
      <c r="A5018" s="344" t="s">
        <v>7998</v>
      </c>
      <c r="B5018" s="345" t="s">
        <v>7999</v>
      </c>
    </row>
    <row r="5019" spans="1:2" ht="15.75" x14ac:dyDescent="0.25">
      <c r="A5019" s="344" t="s">
        <v>8000</v>
      </c>
      <c r="B5019" s="345" t="s">
        <v>8001</v>
      </c>
    </row>
    <row r="5020" spans="1:2" ht="15.75" x14ac:dyDescent="0.25">
      <c r="A5020" s="344" t="s">
        <v>8002</v>
      </c>
      <c r="B5020" s="345" t="s">
        <v>8003</v>
      </c>
    </row>
    <row r="5021" spans="1:2" ht="15.75" x14ac:dyDescent="0.25">
      <c r="A5021" s="344" t="s">
        <v>8004</v>
      </c>
      <c r="B5021" s="345" t="s">
        <v>8005</v>
      </c>
    </row>
    <row r="5022" spans="1:2" ht="15.75" x14ac:dyDescent="0.25">
      <c r="A5022" s="344" t="s">
        <v>8006</v>
      </c>
      <c r="B5022" s="345" t="s">
        <v>8007</v>
      </c>
    </row>
    <row r="5023" spans="1:2" ht="15.75" x14ac:dyDescent="0.25">
      <c r="A5023" s="344" t="s">
        <v>8008</v>
      </c>
      <c r="B5023" s="345" t="s">
        <v>8009</v>
      </c>
    </row>
    <row r="5024" spans="1:2" ht="15.75" x14ac:dyDescent="0.25">
      <c r="A5024" s="344" t="s">
        <v>8010</v>
      </c>
      <c r="B5024" s="345" t="s">
        <v>8011</v>
      </c>
    </row>
    <row r="5025" spans="1:2" ht="15.75" x14ac:dyDescent="0.25">
      <c r="A5025" s="344" t="s">
        <v>8012</v>
      </c>
      <c r="B5025" s="345" t="s">
        <v>8013</v>
      </c>
    </row>
    <row r="5026" spans="1:2" ht="15.75" x14ac:dyDescent="0.25">
      <c r="A5026" s="344" t="s">
        <v>8014</v>
      </c>
      <c r="B5026" s="345" t="s">
        <v>8015</v>
      </c>
    </row>
    <row r="5027" spans="1:2" ht="15.75" x14ac:dyDescent="0.25">
      <c r="A5027" s="344" t="s">
        <v>8016</v>
      </c>
      <c r="B5027" s="345" t="s">
        <v>8017</v>
      </c>
    </row>
    <row r="5028" spans="1:2" ht="15.75" x14ac:dyDescent="0.25">
      <c r="A5028" s="344" t="s">
        <v>8018</v>
      </c>
      <c r="B5028" s="345" t="s">
        <v>8019</v>
      </c>
    </row>
    <row r="5029" spans="1:2" ht="15.75" x14ac:dyDescent="0.25">
      <c r="A5029" s="344" t="s">
        <v>8020</v>
      </c>
      <c r="B5029" s="345" t="s">
        <v>8021</v>
      </c>
    </row>
    <row r="5030" spans="1:2" ht="15.75" x14ac:dyDescent="0.25">
      <c r="A5030" s="344" t="s">
        <v>8022</v>
      </c>
      <c r="B5030" s="345" t="s">
        <v>8023</v>
      </c>
    </row>
    <row r="5031" spans="1:2" ht="15.75" x14ac:dyDescent="0.25">
      <c r="A5031" s="344" t="s">
        <v>8024</v>
      </c>
      <c r="B5031" s="345" t="s">
        <v>8025</v>
      </c>
    </row>
    <row r="5032" spans="1:2" ht="15.75" x14ac:dyDescent="0.25">
      <c r="A5032" s="344" t="s">
        <v>8026</v>
      </c>
      <c r="B5032" s="345" t="s">
        <v>2857</v>
      </c>
    </row>
    <row r="5033" spans="1:2" ht="15.75" x14ac:dyDescent="0.25">
      <c r="A5033" s="344" t="s">
        <v>8027</v>
      </c>
      <c r="B5033" s="345" t="s">
        <v>8028</v>
      </c>
    </row>
    <row r="5034" spans="1:2" ht="15.75" x14ac:dyDescent="0.25">
      <c r="A5034" s="344" t="s">
        <v>8029</v>
      </c>
      <c r="B5034" s="345" t="s">
        <v>8030</v>
      </c>
    </row>
    <row r="5035" spans="1:2" ht="15.75" x14ac:dyDescent="0.25">
      <c r="A5035" s="344" t="s">
        <v>8031</v>
      </c>
      <c r="B5035" s="345" t="s">
        <v>8032</v>
      </c>
    </row>
    <row r="5036" spans="1:2" ht="15.75" x14ac:dyDescent="0.25">
      <c r="A5036" s="344" t="s">
        <v>8033</v>
      </c>
      <c r="B5036" s="345" t="s">
        <v>2858</v>
      </c>
    </row>
    <row r="5037" spans="1:2" ht="15.75" x14ac:dyDescent="0.25">
      <c r="A5037" s="344" t="s">
        <v>8034</v>
      </c>
      <c r="B5037" s="345" t="s">
        <v>2859</v>
      </c>
    </row>
    <row r="5038" spans="1:2" ht="15.75" x14ac:dyDescent="0.25">
      <c r="A5038" s="344" t="s">
        <v>8035</v>
      </c>
      <c r="B5038" s="345" t="s">
        <v>2860</v>
      </c>
    </row>
    <row r="5039" spans="1:2" ht="15.75" x14ac:dyDescent="0.25">
      <c r="A5039" s="344" t="s">
        <v>8036</v>
      </c>
      <c r="B5039" s="345" t="s">
        <v>2861</v>
      </c>
    </row>
    <row r="5040" spans="1:2" ht="15.75" x14ac:dyDescent="0.25">
      <c r="A5040" s="344" t="s">
        <v>8037</v>
      </c>
      <c r="B5040" s="345" t="s">
        <v>8038</v>
      </c>
    </row>
    <row r="5041" spans="1:2" ht="15.75" x14ac:dyDescent="0.25">
      <c r="A5041" s="344" t="s">
        <v>8039</v>
      </c>
      <c r="B5041" s="345" t="s">
        <v>8040</v>
      </c>
    </row>
    <row r="5042" spans="1:2" ht="15.75" x14ac:dyDescent="0.25">
      <c r="A5042" s="344" t="s">
        <v>8041</v>
      </c>
      <c r="B5042" s="345" t="s">
        <v>8042</v>
      </c>
    </row>
    <row r="5043" spans="1:2" ht="15.75" x14ac:dyDescent="0.25">
      <c r="A5043" s="344" t="s">
        <v>8043</v>
      </c>
      <c r="B5043" s="345" t="s">
        <v>8044</v>
      </c>
    </row>
    <row r="5044" spans="1:2" ht="15.75" x14ac:dyDescent="0.25">
      <c r="A5044" s="344" t="s">
        <v>8045</v>
      </c>
      <c r="B5044" s="345" t="s">
        <v>8046</v>
      </c>
    </row>
    <row r="5045" spans="1:2" ht="15.75" x14ac:dyDescent="0.25">
      <c r="A5045" s="344" t="s">
        <v>8047</v>
      </c>
      <c r="B5045" s="345" t="s">
        <v>8048</v>
      </c>
    </row>
    <row r="5046" spans="1:2" ht="15.75" x14ac:dyDescent="0.25">
      <c r="A5046" s="344" t="s">
        <v>8049</v>
      </c>
      <c r="B5046" s="345" t="s">
        <v>8050</v>
      </c>
    </row>
    <row r="5047" spans="1:2" ht="15.75" x14ac:dyDescent="0.25">
      <c r="A5047" s="344" t="s">
        <v>8051</v>
      </c>
      <c r="B5047" s="345" t="s">
        <v>8052</v>
      </c>
    </row>
    <row r="5048" spans="1:2" ht="15.75" x14ac:dyDescent="0.25">
      <c r="A5048" s="344" t="s">
        <v>8053</v>
      </c>
      <c r="B5048" s="345" t="s">
        <v>8054</v>
      </c>
    </row>
    <row r="5049" spans="1:2" ht="15.75" x14ac:dyDescent="0.25">
      <c r="A5049" s="344" t="s">
        <v>8055</v>
      </c>
      <c r="B5049" s="345" t="s">
        <v>8056</v>
      </c>
    </row>
    <row r="5050" spans="1:2" ht="15.75" x14ac:dyDescent="0.25">
      <c r="A5050" s="344" t="s">
        <v>8057</v>
      </c>
      <c r="B5050" s="345" t="s">
        <v>8058</v>
      </c>
    </row>
    <row r="5051" spans="1:2" ht="15.75" x14ac:dyDescent="0.25">
      <c r="A5051" s="344" t="s">
        <v>8059</v>
      </c>
      <c r="B5051" s="345" t="s">
        <v>8060</v>
      </c>
    </row>
    <row r="5052" spans="1:2" ht="15.75" x14ac:dyDescent="0.25">
      <c r="A5052" s="344" t="s">
        <v>8061</v>
      </c>
      <c r="B5052" s="345" t="s">
        <v>2862</v>
      </c>
    </row>
    <row r="5053" spans="1:2" ht="15.75" x14ac:dyDescent="0.25">
      <c r="A5053" s="344" t="s">
        <v>8062</v>
      </c>
      <c r="B5053" s="345" t="s">
        <v>2863</v>
      </c>
    </row>
    <row r="5054" spans="1:2" ht="15.75" x14ac:dyDescent="0.25">
      <c r="A5054" s="344" t="s">
        <v>8063</v>
      </c>
      <c r="B5054" s="345" t="s">
        <v>2864</v>
      </c>
    </row>
    <row r="5055" spans="1:2" ht="15.75" x14ac:dyDescent="0.25">
      <c r="A5055" s="344" t="s">
        <v>8064</v>
      </c>
      <c r="B5055" s="345" t="s">
        <v>2865</v>
      </c>
    </row>
    <row r="5056" spans="1:2" ht="15.75" x14ac:dyDescent="0.25">
      <c r="A5056" s="344" t="s">
        <v>8065</v>
      </c>
      <c r="B5056" s="345" t="s">
        <v>2866</v>
      </c>
    </row>
    <row r="5057" spans="1:2" ht="15.75" x14ac:dyDescent="0.25">
      <c r="A5057" s="344" t="s">
        <v>8066</v>
      </c>
      <c r="B5057" s="345" t="s">
        <v>2867</v>
      </c>
    </row>
    <row r="5058" spans="1:2" ht="15.75" x14ac:dyDescent="0.25">
      <c r="A5058" s="344" t="s">
        <v>8067</v>
      </c>
      <c r="B5058" s="345" t="s">
        <v>8068</v>
      </c>
    </row>
    <row r="5059" spans="1:2" ht="15.75" x14ac:dyDescent="0.25">
      <c r="A5059" s="344" t="s">
        <v>8069</v>
      </c>
      <c r="B5059" s="345" t="s">
        <v>8070</v>
      </c>
    </row>
    <row r="5060" spans="1:2" ht="15.75" x14ac:dyDescent="0.25">
      <c r="A5060" s="344" t="s">
        <v>8071</v>
      </c>
      <c r="B5060" s="345" t="s">
        <v>8072</v>
      </c>
    </row>
    <row r="5061" spans="1:2" ht="15.75" x14ac:dyDescent="0.25">
      <c r="A5061" s="344" t="s">
        <v>8073</v>
      </c>
      <c r="B5061" s="345" t="s">
        <v>8074</v>
      </c>
    </row>
    <row r="5062" spans="1:2" ht="15.75" x14ac:dyDescent="0.25">
      <c r="A5062" s="344" t="s">
        <v>8075</v>
      </c>
      <c r="B5062" s="345" t="s">
        <v>8076</v>
      </c>
    </row>
    <row r="5063" spans="1:2" ht="15.75" x14ac:dyDescent="0.25">
      <c r="A5063" s="344" t="s">
        <v>8077</v>
      </c>
      <c r="B5063" s="345" t="s">
        <v>8078</v>
      </c>
    </row>
    <row r="5064" spans="1:2" ht="15.75" x14ac:dyDescent="0.25">
      <c r="A5064" s="344" t="s">
        <v>8079</v>
      </c>
      <c r="B5064" s="345" t="s">
        <v>2868</v>
      </c>
    </row>
    <row r="5065" spans="1:2" ht="15.75" x14ac:dyDescent="0.25">
      <c r="A5065" s="344" t="s">
        <v>8080</v>
      </c>
      <c r="B5065" s="345" t="s">
        <v>8081</v>
      </c>
    </row>
    <row r="5066" spans="1:2" ht="15.75" x14ac:dyDescent="0.25">
      <c r="A5066" s="344" t="s">
        <v>8082</v>
      </c>
      <c r="B5066" s="345" t="s">
        <v>8083</v>
      </c>
    </row>
    <row r="5067" spans="1:2" ht="15.75" x14ac:dyDescent="0.25">
      <c r="A5067" s="344" t="s">
        <v>8084</v>
      </c>
      <c r="B5067" s="345" t="s">
        <v>8085</v>
      </c>
    </row>
    <row r="5068" spans="1:2" ht="15.75" x14ac:dyDescent="0.25">
      <c r="A5068" s="344" t="s">
        <v>8086</v>
      </c>
      <c r="B5068" s="345" t="s">
        <v>8087</v>
      </c>
    </row>
    <row r="5069" spans="1:2" ht="15.75" x14ac:dyDescent="0.25">
      <c r="A5069" s="344" t="s">
        <v>8088</v>
      </c>
      <c r="B5069" s="345" t="s">
        <v>8089</v>
      </c>
    </row>
    <row r="5070" spans="1:2" ht="15.75" x14ac:dyDescent="0.25">
      <c r="A5070" s="344" t="s">
        <v>8090</v>
      </c>
      <c r="B5070" s="345" t="s">
        <v>8091</v>
      </c>
    </row>
    <row r="5071" spans="1:2" ht="15.75" x14ac:dyDescent="0.25">
      <c r="A5071" s="344" t="s">
        <v>8092</v>
      </c>
      <c r="B5071" s="345" t="s">
        <v>8093</v>
      </c>
    </row>
    <row r="5072" spans="1:2" ht="15.75" x14ac:dyDescent="0.25">
      <c r="A5072" s="344" t="s">
        <v>8094</v>
      </c>
      <c r="B5072" s="345" t="s">
        <v>8095</v>
      </c>
    </row>
    <row r="5073" spans="1:2" ht="15.75" x14ac:dyDescent="0.25">
      <c r="A5073" s="344" t="s">
        <v>8096</v>
      </c>
      <c r="B5073" s="345" t="s">
        <v>2869</v>
      </c>
    </row>
    <row r="5074" spans="1:2" ht="15.75" x14ac:dyDescent="0.25">
      <c r="A5074" s="344" t="s">
        <v>8097</v>
      </c>
      <c r="B5074" s="345" t="s">
        <v>2870</v>
      </c>
    </row>
    <row r="5075" spans="1:2" ht="15.75" x14ac:dyDescent="0.25">
      <c r="A5075" s="344" t="s">
        <v>8098</v>
      </c>
      <c r="B5075" s="345" t="s">
        <v>2871</v>
      </c>
    </row>
    <row r="5076" spans="1:2" ht="15.75" x14ac:dyDescent="0.25">
      <c r="A5076" s="344" t="s">
        <v>8099</v>
      </c>
      <c r="B5076" s="345" t="s">
        <v>2872</v>
      </c>
    </row>
    <row r="5077" spans="1:2" ht="15.75" x14ac:dyDescent="0.25">
      <c r="A5077" s="344" t="s">
        <v>8100</v>
      </c>
      <c r="B5077" s="345" t="s">
        <v>8101</v>
      </c>
    </row>
    <row r="5078" spans="1:2" ht="15.75" x14ac:dyDescent="0.25">
      <c r="A5078" s="344" t="s">
        <v>8102</v>
      </c>
      <c r="B5078" s="345" t="s">
        <v>8103</v>
      </c>
    </row>
    <row r="5079" spans="1:2" ht="15.75" x14ac:dyDescent="0.25">
      <c r="A5079" s="344" t="s">
        <v>8104</v>
      </c>
      <c r="B5079" s="345" t="s">
        <v>8105</v>
      </c>
    </row>
    <row r="5080" spans="1:2" ht="15.75" x14ac:dyDescent="0.25">
      <c r="A5080" s="344" t="s">
        <v>8106</v>
      </c>
      <c r="B5080" s="345" t="s">
        <v>2873</v>
      </c>
    </row>
    <row r="5081" spans="1:2" ht="15.75" x14ac:dyDescent="0.25">
      <c r="A5081" s="344" t="s">
        <v>8107</v>
      </c>
      <c r="B5081" s="345" t="s">
        <v>8108</v>
      </c>
    </row>
    <row r="5082" spans="1:2" ht="15.75" x14ac:dyDescent="0.25">
      <c r="A5082" s="344" t="s">
        <v>8109</v>
      </c>
      <c r="B5082" s="345" t="s">
        <v>8110</v>
      </c>
    </row>
    <row r="5083" spans="1:2" ht="15.75" x14ac:dyDescent="0.25">
      <c r="A5083" s="344" t="s">
        <v>8111</v>
      </c>
      <c r="B5083" s="345" t="s">
        <v>8112</v>
      </c>
    </row>
    <row r="5084" spans="1:2" ht="15.75" x14ac:dyDescent="0.25">
      <c r="A5084" s="344" t="s">
        <v>8113</v>
      </c>
      <c r="B5084" s="345" t="s">
        <v>8114</v>
      </c>
    </row>
    <row r="5085" spans="1:2" ht="15.75" x14ac:dyDescent="0.25">
      <c r="A5085" s="344" t="s">
        <v>8115</v>
      </c>
      <c r="B5085" s="345" t="s">
        <v>8116</v>
      </c>
    </row>
    <row r="5086" spans="1:2" ht="15.75" x14ac:dyDescent="0.25">
      <c r="A5086" s="344" t="s">
        <v>8117</v>
      </c>
      <c r="B5086" s="345" t="s">
        <v>8118</v>
      </c>
    </row>
    <row r="5087" spans="1:2" ht="15.75" x14ac:dyDescent="0.25">
      <c r="A5087" s="344" t="s">
        <v>8119</v>
      </c>
      <c r="B5087" s="345" t="s">
        <v>8120</v>
      </c>
    </row>
    <row r="5088" spans="1:2" ht="15.75" x14ac:dyDescent="0.25">
      <c r="A5088" s="344" t="s">
        <v>8121</v>
      </c>
      <c r="B5088" s="345" t="s">
        <v>2874</v>
      </c>
    </row>
    <row r="5089" spans="1:2" ht="15.75" x14ac:dyDescent="0.25">
      <c r="A5089" s="344" t="s">
        <v>8122</v>
      </c>
      <c r="B5089" s="345" t="s">
        <v>8123</v>
      </c>
    </row>
    <row r="5090" spans="1:2" ht="15.75" x14ac:dyDescent="0.25">
      <c r="A5090" s="344" t="s">
        <v>8124</v>
      </c>
      <c r="B5090" s="345" t="s">
        <v>8125</v>
      </c>
    </row>
    <row r="5091" spans="1:2" ht="15.75" x14ac:dyDescent="0.25">
      <c r="A5091" s="344" t="s">
        <v>8126</v>
      </c>
      <c r="B5091" s="345" t="s">
        <v>8127</v>
      </c>
    </row>
    <row r="5092" spans="1:2" ht="15.75" x14ac:dyDescent="0.25">
      <c r="A5092" s="344" t="s">
        <v>8128</v>
      </c>
      <c r="B5092" s="345" t="s">
        <v>8129</v>
      </c>
    </row>
    <row r="5093" spans="1:2" ht="15.75" x14ac:dyDescent="0.25">
      <c r="A5093" s="344" t="s">
        <v>8130</v>
      </c>
      <c r="B5093" s="345" t="s">
        <v>2875</v>
      </c>
    </row>
    <row r="5094" spans="1:2" ht="15.75" x14ac:dyDescent="0.25">
      <c r="A5094" s="344" t="s">
        <v>8131</v>
      </c>
      <c r="B5094" s="345" t="s">
        <v>8132</v>
      </c>
    </row>
    <row r="5095" spans="1:2" ht="15.75" x14ac:dyDescent="0.25">
      <c r="A5095" s="344" t="s">
        <v>8133</v>
      </c>
      <c r="B5095" s="345" t="s">
        <v>8134</v>
      </c>
    </row>
    <row r="5096" spans="1:2" ht="15.75" x14ac:dyDescent="0.25">
      <c r="A5096" s="344" t="s">
        <v>8135</v>
      </c>
      <c r="B5096" s="345" t="s">
        <v>8136</v>
      </c>
    </row>
    <row r="5097" spans="1:2" ht="15.75" x14ac:dyDescent="0.25">
      <c r="A5097" s="344" t="s">
        <v>8137</v>
      </c>
      <c r="B5097" s="345" t="s">
        <v>8138</v>
      </c>
    </row>
    <row r="5098" spans="1:2" ht="15.75" x14ac:dyDescent="0.25">
      <c r="A5098" s="344" t="s">
        <v>8139</v>
      </c>
      <c r="B5098" s="345" t="s">
        <v>2876</v>
      </c>
    </row>
    <row r="5099" spans="1:2" ht="15.75" x14ac:dyDescent="0.25">
      <c r="A5099" s="344" t="s">
        <v>8140</v>
      </c>
      <c r="B5099" s="345" t="s">
        <v>8141</v>
      </c>
    </row>
    <row r="5100" spans="1:2" ht="15.75" x14ac:dyDescent="0.25">
      <c r="A5100" s="344" t="s">
        <v>8142</v>
      </c>
      <c r="B5100" s="345" t="s">
        <v>8143</v>
      </c>
    </row>
    <row r="5101" spans="1:2" ht="15.75" x14ac:dyDescent="0.25">
      <c r="A5101" s="344" t="s">
        <v>8144</v>
      </c>
      <c r="B5101" s="345" t="s">
        <v>8145</v>
      </c>
    </row>
    <row r="5102" spans="1:2" ht="15.75" x14ac:dyDescent="0.25">
      <c r="A5102" s="344" t="s">
        <v>8146</v>
      </c>
      <c r="B5102" s="345" t="s">
        <v>8147</v>
      </c>
    </row>
    <row r="5103" spans="1:2" ht="15.75" x14ac:dyDescent="0.25">
      <c r="A5103" s="344" t="s">
        <v>8148</v>
      </c>
      <c r="B5103" s="345" t="s">
        <v>2877</v>
      </c>
    </row>
    <row r="5104" spans="1:2" ht="15.75" x14ac:dyDescent="0.25">
      <c r="A5104" s="344" t="s">
        <v>8149</v>
      </c>
      <c r="B5104" s="345" t="s">
        <v>2878</v>
      </c>
    </row>
    <row r="5105" spans="1:2" ht="15.75" x14ac:dyDescent="0.25">
      <c r="A5105" s="344" t="s">
        <v>8150</v>
      </c>
      <c r="B5105" s="345" t="s">
        <v>2879</v>
      </c>
    </row>
    <row r="5106" spans="1:2" ht="15.75" x14ac:dyDescent="0.25">
      <c r="A5106" s="344" t="s">
        <v>8151</v>
      </c>
      <c r="B5106" s="345" t="s">
        <v>2880</v>
      </c>
    </row>
    <row r="5107" spans="1:2" ht="15.75" x14ac:dyDescent="0.25">
      <c r="A5107" s="344" t="s">
        <v>8152</v>
      </c>
      <c r="B5107" s="345" t="s">
        <v>2881</v>
      </c>
    </row>
    <row r="5108" spans="1:2" ht="15.75" x14ac:dyDescent="0.25">
      <c r="A5108" s="344" t="s">
        <v>8153</v>
      </c>
      <c r="B5108" s="345" t="s">
        <v>8154</v>
      </c>
    </row>
    <row r="5109" spans="1:2" ht="15.75" x14ac:dyDescent="0.25">
      <c r="A5109" s="344" t="s">
        <v>8155</v>
      </c>
      <c r="B5109" s="345" t="s">
        <v>8156</v>
      </c>
    </row>
    <row r="5110" spans="1:2" ht="15.75" x14ac:dyDescent="0.25">
      <c r="A5110" s="344" t="s">
        <v>8157</v>
      </c>
      <c r="B5110" s="345" t="s">
        <v>8158</v>
      </c>
    </row>
    <row r="5111" spans="1:2" ht="15.75" x14ac:dyDescent="0.25">
      <c r="A5111" s="344" t="s">
        <v>8159</v>
      </c>
      <c r="B5111" s="345" t="s">
        <v>2882</v>
      </c>
    </row>
    <row r="5112" spans="1:2" ht="15.75" x14ac:dyDescent="0.25">
      <c r="A5112" s="344" t="s">
        <v>8160</v>
      </c>
      <c r="B5112" s="345" t="s">
        <v>2883</v>
      </c>
    </row>
    <row r="5113" spans="1:2" ht="15.75" x14ac:dyDescent="0.25">
      <c r="A5113" s="344" t="s">
        <v>8161</v>
      </c>
      <c r="B5113" s="345" t="s">
        <v>2884</v>
      </c>
    </row>
    <row r="5114" spans="1:2" ht="15.75" x14ac:dyDescent="0.25">
      <c r="A5114" s="344" t="s">
        <v>8162</v>
      </c>
      <c r="B5114" s="345" t="s">
        <v>2885</v>
      </c>
    </row>
    <row r="5115" spans="1:2" ht="15.75" x14ac:dyDescent="0.25">
      <c r="A5115" s="344" t="s">
        <v>8163</v>
      </c>
      <c r="B5115" s="345" t="s">
        <v>2886</v>
      </c>
    </row>
    <row r="5116" spans="1:2" ht="15.75" x14ac:dyDescent="0.25">
      <c r="A5116" s="344" t="s">
        <v>8164</v>
      </c>
      <c r="B5116" s="345" t="s">
        <v>2887</v>
      </c>
    </row>
    <row r="5117" spans="1:2" ht="15.75" x14ac:dyDescent="0.25">
      <c r="A5117" s="344" t="s">
        <v>8165</v>
      </c>
      <c r="B5117" s="345" t="s">
        <v>2888</v>
      </c>
    </row>
    <row r="5118" spans="1:2" ht="15.75" x14ac:dyDescent="0.25">
      <c r="A5118" s="344" t="s">
        <v>8166</v>
      </c>
      <c r="B5118" s="345" t="s">
        <v>2889</v>
      </c>
    </row>
    <row r="5119" spans="1:2" ht="15.75" x14ac:dyDescent="0.25">
      <c r="A5119" s="344" t="s">
        <v>8167</v>
      </c>
      <c r="B5119" s="345" t="s">
        <v>2890</v>
      </c>
    </row>
    <row r="5120" spans="1:2" ht="15.75" x14ac:dyDescent="0.25">
      <c r="A5120" s="344" t="s">
        <v>8168</v>
      </c>
      <c r="B5120" s="345" t="s">
        <v>2891</v>
      </c>
    </row>
    <row r="5121" spans="1:2" ht="15.75" x14ac:dyDescent="0.25">
      <c r="A5121" s="344" t="s">
        <v>8169</v>
      </c>
      <c r="B5121" s="345" t="s">
        <v>2892</v>
      </c>
    </row>
    <row r="5122" spans="1:2" ht="15.75" x14ac:dyDescent="0.25">
      <c r="A5122" s="344" t="s">
        <v>8170</v>
      </c>
      <c r="B5122" s="345" t="s">
        <v>8171</v>
      </c>
    </row>
    <row r="5123" spans="1:2" ht="15.75" x14ac:dyDescent="0.25">
      <c r="A5123" s="344" t="s">
        <v>8172</v>
      </c>
      <c r="B5123" s="345" t="s">
        <v>8173</v>
      </c>
    </row>
    <row r="5124" spans="1:2" ht="15.75" x14ac:dyDescent="0.25">
      <c r="A5124" s="344" t="s">
        <v>8174</v>
      </c>
      <c r="B5124" s="345" t="s">
        <v>8175</v>
      </c>
    </row>
    <row r="5125" spans="1:2" ht="15.75" x14ac:dyDescent="0.25">
      <c r="A5125" s="344" t="s">
        <v>8176</v>
      </c>
      <c r="B5125" s="345" t="s">
        <v>8177</v>
      </c>
    </row>
    <row r="5126" spans="1:2" ht="15.75" x14ac:dyDescent="0.25">
      <c r="A5126" s="344" t="s">
        <v>8178</v>
      </c>
      <c r="B5126" s="345" t="s">
        <v>2893</v>
      </c>
    </row>
    <row r="5127" spans="1:2" ht="15.75" x14ac:dyDescent="0.25">
      <c r="A5127" s="344" t="s">
        <v>8179</v>
      </c>
      <c r="B5127" s="345" t="s">
        <v>8180</v>
      </c>
    </row>
    <row r="5128" spans="1:2" ht="15.75" x14ac:dyDescent="0.25">
      <c r="A5128" s="344" t="s">
        <v>8181</v>
      </c>
      <c r="B5128" s="345" t="s">
        <v>8182</v>
      </c>
    </row>
    <row r="5129" spans="1:2" ht="15.75" x14ac:dyDescent="0.25">
      <c r="A5129" s="344" t="s">
        <v>8183</v>
      </c>
      <c r="B5129" s="345" t="s">
        <v>8184</v>
      </c>
    </row>
    <row r="5130" spans="1:2" ht="15.75" x14ac:dyDescent="0.25">
      <c r="A5130" s="344" t="s">
        <v>8185</v>
      </c>
      <c r="B5130" s="345" t="s">
        <v>8186</v>
      </c>
    </row>
    <row r="5131" spans="1:2" ht="15.75" x14ac:dyDescent="0.25">
      <c r="A5131" s="344" t="s">
        <v>8187</v>
      </c>
      <c r="B5131" s="345" t="s">
        <v>2894</v>
      </c>
    </row>
    <row r="5132" spans="1:2" ht="15.75" x14ac:dyDescent="0.25">
      <c r="A5132" s="344" t="s">
        <v>8188</v>
      </c>
      <c r="B5132" s="345" t="s">
        <v>2895</v>
      </c>
    </row>
    <row r="5133" spans="1:2" ht="15.75" x14ac:dyDescent="0.25">
      <c r="A5133" s="344" t="s">
        <v>8189</v>
      </c>
      <c r="B5133" s="345" t="s">
        <v>2896</v>
      </c>
    </row>
    <row r="5134" spans="1:2" ht="15.75" x14ac:dyDescent="0.25">
      <c r="A5134" s="344" t="s">
        <v>8190</v>
      </c>
      <c r="B5134" s="345" t="s">
        <v>2897</v>
      </c>
    </row>
    <row r="5135" spans="1:2" ht="15.75" x14ac:dyDescent="0.25">
      <c r="A5135" s="344" t="s">
        <v>8191</v>
      </c>
      <c r="B5135" s="345" t="s">
        <v>2898</v>
      </c>
    </row>
    <row r="5136" spans="1:2" ht="15.75" x14ac:dyDescent="0.25">
      <c r="A5136" s="344" t="s">
        <v>8192</v>
      </c>
      <c r="B5136" s="345" t="s">
        <v>2864</v>
      </c>
    </row>
    <row r="5137" spans="1:2" ht="15.75" x14ac:dyDescent="0.25">
      <c r="A5137" s="344" t="s">
        <v>8193</v>
      </c>
      <c r="B5137" s="345" t="s">
        <v>2899</v>
      </c>
    </row>
    <row r="5138" spans="1:2" ht="15.75" x14ac:dyDescent="0.25">
      <c r="A5138" s="344" t="s">
        <v>8194</v>
      </c>
      <c r="B5138" s="345" t="s">
        <v>2900</v>
      </c>
    </row>
    <row r="5139" spans="1:2" ht="15.75" x14ac:dyDescent="0.25">
      <c r="A5139" s="344" t="s">
        <v>8195</v>
      </c>
      <c r="B5139" s="345" t="s">
        <v>8196</v>
      </c>
    </row>
    <row r="5140" spans="1:2" ht="15.75" x14ac:dyDescent="0.25">
      <c r="A5140" s="344" t="s">
        <v>8197</v>
      </c>
      <c r="B5140" s="345" t="s">
        <v>8198</v>
      </c>
    </row>
    <row r="5141" spans="1:2" ht="15.75" x14ac:dyDescent="0.25">
      <c r="A5141" s="344" t="s">
        <v>8199</v>
      </c>
      <c r="B5141" s="345" t="s">
        <v>8200</v>
      </c>
    </row>
    <row r="5142" spans="1:2" ht="15.75" x14ac:dyDescent="0.25">
      <c r="A5142" s="344" t="s">
        <v>8201</v>
      </c>
      <c r="B5142" s="345" t="s">
        <v>8202</v>
      </c>
    </row>
    <row r="5143" spans="1:2" ht="15.75" x14ac:dyDescent="0.25">
      <c r="A5143" s="344" t="s">
        <v>8203</v>
      </c>
      <c r="B5143" s="345" t="s">
        <v>8204</v>
      </c>
    </row>
    <row r="5144" spans="1:2" ht="15.75" x14ac:dyDescent="0.25">
      <c r="A5144" s="344" t="s">
        <v>8205</v>
      </c>
      <c r="B5144" s="345" t="s">
        <v>8206</v>
      </c>
    </row>
    <row r="5145" spans="1:2" ht="15.75" x14ac:dyDescent="0.25">
      <c r="A5145" s="344" t="s">
        <v>8207</v>
      </c>
      <c r="B5145" s="345" t="s">
        <v>8208</v>
      </c>
    </row>
    <row r="5146" spans="1:2" ht="15.75" x14ac:dyDescent="0.25">
      <c r="A5146" s="344" t="s">
        <v>8209</v>
      </c>
      <c r="B5146" s="345" t="s">
        <v>2901</v>
      </c>
    </row>
    <row r="5147" spans="1:2" ht="15.75" x14ac:dyDescent="0.25">
      <c r="A5147" s="344" t="s">
        <v>8210</v>
      </c>
      <c r="B5147" s="345" t="s">
        <v>8211</v>
      </c>
    </row>
    <row r="5148" spans="1:2" ht="15.75" x14ac:dyDescent="0.25">
      <c r="A5148" s="344" t="s">
        <v>8212</v>
      </c>
      <c r="B5148" s="345" t="s">
        <v>8213</v>
      </c>
    </row>
    <row r="5149" spans="1:2" ht="15.75" x14ac:dyDescent="0.25">
      <c r="A5149" s="344" t="s">
        <v>8214</v>
      </c>
      <c r="B5149" s="345" t="s">
        <v>8215</v>
      </c>
    </row>
    <row r="5150" spans="1:2" ht="15.75" x14ac:dyDescent="0.25">
      <c r="A5150" s="344" t="s">
        <v>8216</v>
      </c>
      <c r="B5150" s="345" t="s">
        <v>2902</v>
      </c>
    </row>
    <row r="5151" spans="1:2" ht="15.75" x14ac:dyDescent="0.25">
      <c r="A5151" s="344" t="s">
        <v>8217</v>
      </c>
      <c r="B5151" s="345" t="s">
        <v>8218</v>
      </c>
    </row>
    <row r="5152" spans="1:2" ht="15.75" x14ac:dyDescent="0.25">
      <c r="A5152" s="344" t="s">
        <v>8219</v>
      </c>
      <c r="B5152" s="345" t="s">
        <v>8220</v>
      </c>
    </row>
    <row r="5153" spans="1:2" ht="15.75" x14ac:dyDescent="0.25">
      <c r="A5153" s="344" t="s">
        <v>8221</v>
      </c>
      <c r="B5153" s="345" t="s">
        <v>8222</v>
      </c>
    </row>
    <row r="5154" spans="1:2" ht="15.75" x14ac:dyDescent="0.25">
      <c r="A5154" s="344" t="s">
        <v>8223</v>
      </c>
      <c r="B5154" s="345" t="s">
        <v>8224</v>
      </c>
    </row>
    <row r="5155" spans="1:2" ht="15.75" x14ac:dyDescent="0.25">
      <c r="A5155" s="344" t="s">
        <v>8225</v>
      </c>
      <c r="B5155" s="345" t="s">
        <v>2903</v>
      </c>
    </row>
    <row r="5156" spans="1:2" ht="15.75" x14ac:dyDescent="0.25">
      <c r="A5156" s="344" t="s">
        <v>8226</v>
      </c>
      <c r="B5156" s="345" t="s">
        <v>8227</v>
      </c>
    </row>
    <row r="5157" spans="1:2" ht="15.75" x14ac:dyDescent="0.25">
      <c r="A5157" s="344" t="s">
        <v>8228</v>
      </c>
      <c r="B5157" s="345" t="s">
        <v>8229</v>
      </c>
    </row>
    <row r="5158" spans="1:2" ht="15.75" x14ac:dyDescent="0.25">
      <c r="A5158" s="344" t="s">
        <v>8230</v>
      </c>
      <c r="B5158" s="345" t="s">
        <v>8231</v>
      </c>
    </row>
    <row r="5159" spans="1:2" ht="15.75" x14ac:dyDescent="0.25">
      <c r="A5159" s="344" t="s">
        <v>8232</v>
      </c>
      <c r="B5159" s="345" t="s">
        <v>8233</v>
      </c>
    </row>
    <row r="5160" spans="1:2" ht="15.75" x14ac:dyDescent="0.25">
      <c r="A5160" s="344" t="s">
        <v>8234</v>
      </c>
      <c r="B5160" s="345" t="s">
        <v>2904</v>
      </c>
    </row>
    <row r="5161" spans="1:2" ht="15.75" x14ac:dyDescent="0.25">
      <c r="A5161" s="344" t="s">
        <v>8235</v>
      </c>
      <c r="B5161" s="345" t="s">
        <v>8236</v>
      </c>
    </row>
    <row r="5162" spans="1:2" ht="15.75" x14ac:dyDescent="0.25">
      <c r="A5162" s="344" t="s">
        <v>8237</v>
      </c>
      <c r="B5162" s="345" t="s">
        <v>8238</v>
      </c>
    </row>
    <row r="5163" spans="1:2" ht="15.75" x14ac:dyDescent="0.25">
      <c r="A5163" s="344" t="s">
        <v>8239</v>
      </c>
      <c r="B5163" s="345" t="s">
        <v>8240</v>
      </c>
    </row>
    <row r="5164" spans="1:2" ht="15.75" x14ac:dyDescent="0.25">
      <c r="A5164" s="344" t="s">
        <v>8241</v>
      </c>
      <c r="B5164" s="345" t="s">
        <v>8242</v>
      </c>
    </row>
    <row r="5165" spans="1:2" ht="15.75" x14ac:dyDescent="0.25">
      <c r="A5165" s="344" t="s">
        <v>8243</v>
      </c>
      <c r="B5165" s="345" t="s">
        <v>2905</v>
      </c>
    </row>
    <row r="5166" spans="1:2" ht="15.75" x14ac:dyDescent="0.25">
      <c r="A5166" s="344" t="s">
        <v>8244</v>
      </c>
      <c r="B5166" s="345" t="s">
        <v>8245</v>
      </c>
    </row>
    <row r="5167" spans="1:2" ht="15.75" x14ac:dyDescent="0.25">
      <c r="A5167" s="344" t="s">
        <v>8246</v>
      </c>
      <c r="B5167" s="345" t="s">
        <v>8247</v>
      </c>
    </row>
    <row r="5168" spans="1:2" ht="15.75" x14ac:dyDescent="0.25">
      <c r="A5168" s="344" t="s">
        <v>8248</v>
      </c>
      <c r="B5168" s="345" t="s">
        <v>8249</v>
      </c>
    </row>
    <row r="5169" spans="1:2" ht="15.75" x14ac:dyDescent="0.25">
      <c r="A5169" s="344" t="s">
        <v>8250</v>
      </c>
      <c r="B5169" s="345" t="s">
        <v>8251</v>
      </c>
    </row>
    <row r="5170" spans="1:2" ht="15.75" x14ac:dyDescent="0.25">
      <c r="A5170" s="344" t="s">
        <v>8252</v>
      </c>
      <c r="B5170" s="345" t="s">
        <v>2906</v>
      </c>
    </row>
    <row r="5171" spans="1:2" ht="15.75" x14ac:dyDescent="0.25">
      <c r="A5171" s="344" t="s">
        <v>8253</v>
      </c>
      <c r="B5171" s="345" t="s">
        <v>2907</v>
      </c>
    </row>
    <row r="5172" spans="1:2" ht="15.75" x14ac:dyDescent="0.25">
      <c r="A5172" s="344" t="s">
        <v>8254</v>
      </c>
      <c r="B5172" s="345" t="s">
        <v>8255</v>
      </c>
    </row>
    <row r="5173" spans="1:2" ht="15.75" x14ac:dyDescent="0.25">
      <c r="A5173" s="344" t="s">
        <v>8256</v>
      </c>
      <c r="B5173" s="345" t="s">
        <v>8257</v>
      </c>
    </row>
    <row r="5174" spans="1:2" ht="15.75" x14ac:dyDescent="0.25">
      <c r="A5174" s="344" t="s">
        <v>8258</v>
      </c>
      <c r="B5174" s="345" t="s">
        <v>8259</v>
      </c>
    </row>
    <row r="5175" spans="1:2" ht="15.75" x14ac:dyDescent="0.25">
      <c r="A5175" s="344" t="s">
        <v>8260</v>
      </c>
      <c r="B5175" s="345" t="s">
        <v>8261</v>
      </c>
    </row>
    <row r="5176" spans="1:2" ht="15.75" x14ac:dyDescent="0.25">
      <c r="A5176" s="344" t="s">
        <v>8262</v>
      </c>
      <c r="B5176" s="345" t="s">
        <v>2908</v>
      </c>
    </row>
    <row r="5177" spans="1:2" ht="15.75" x14ac:dyDescent="0.25">
      <c r="A5177" s="344" t="s">
        <v>8263</v>
      </c>
      <c r="B5177" s="345" t="s">
        <v>2909</v>
      </c>
    </row>
    <row r="5178" spans="1:2" ht="15.75" x14ac:dyDescent="0.25">
      <c r="A5178" s="344" t="s">
        <v>8264</v>
      </c>
      <c r="B5178" s="345" t="s">
        <v>8265</v>
      </c>
    </row>
    <row r="5179" spans="1:2" ht="15.75" x14ac:dyDescent="0.25">
      <c r="A5179" s="344" t="s">
        <v>8266</v>
      </c>
      <c r="B5179" s="345" t="s">
        <v>8267</v>
      </c>
    </row>
    <row r="5180" spans="1:2" ht="15.75" x14ac:dyDescent="0.25">
      <c r="A5180" s="344" t="s">
        <v>8268</v>
      </c>
      <c r="B5180" s="345" t="s">
        <v>8269</v>
      </c>
    </row>
    <row r="5181" spans="1:2" ht="15.75" x14ac:dyDescent="0.25">
      <c r="A5181" s="344" t="s">
        <v>8270</v>
      </c>
      <c r="B5181" s="345" t="s">
        <v>8271</v>
      </c>
    </row>
    <row r="5182" spans="1:2" ht="15.75" x14ac:dyDescent="0.25">
      <c r="A5182" s="344" t="s">
        <v>8272</v>
      </c>
      <c r="B5182" s="345" t="s">
        <v>2910</v>
      </c>
    </row>
    <row r="5183" spans="1:2" ht="15.75" x14ac:dyDescent="0.25">
      <c r="A5183" s="344" t="s">
        <v>8273</v>
      </c>
      <c r="B5183" s="345" t="s">
        <v>2911</v>
      </c>
    </row>
    <row r="5184" spans="1:2" ht="15.75" x14ac:dyDescent="0.25">
      <c r="A5184" s="344" t="s">
        <v>8274</v>
      </c>
      <c r="B5184" s="345" t="s">
        <v>8275</v>
      </c>
    </row>
    <row r="5185" spans="1:2" ht="15.75" x14ac:dyDescent="0.25">
      <c r="A5185" s="344" t="s">
        <v>8276</v>
      </c>
      <c r="B5185" s="345" t="s">
        <v>8277</v>
      </c>
    </row>
    <row r="5186" spans="1:2" ht="15.75" x14ac:dyDescent="0.25">
      <c r="A5186" s="344" t="s">
        <v>8278</v>
      </c>
      <c r="B5186" s="345" t="s">
        <v>8279</v>
      </c>
    </row>
    <row r="5187" spans="1:2" ht="15.75" x14ac:dyDescent="0.25">
      <c r="A5187" s="344" t="s">
        <v>8280</v>
      </c>
      <c r="B5187" s="345" t="s">
        <v>8281</v>
      </c>
    </row>
    <row r="5188" spans="1:2" ht="15.75" x14ac:dyDescent="0.25">
      <c r="A5188" s="344" t="s">
        <v>8282</v>
      </c>
      <c r="B5188" s="345" t="s">
        <v>2912</v>
      </c>
    </row>
    <row r="5189" spans="1:2" ht="15.75" x14ac:dyDescent="0.25">
      <c r="A5189" s="344" t="s">
        <v>8283</v>
      </c>
      <c r="B5189" s="345" t="s">
        <v>2913</v>
      </c>
    </row>
    <row r="5190" spans="1:2" ht="15.75" x14ac:dyDescent="0.25">
      <c r="A5190" s="344" t="s">
        <v>8284</v>
      </c>
      <c r="B5190" s="345" t="s">
        <v>2914</v>
      </c>
    </row>
    <row r="5191" spans="1:2" ht="15.75" x14ac:dyDescent="0.25">
      <c r="A5191" s="344" t="s">
        <v>8285</v>
      </c>
      <c r="B5191" s="345" t="s">
        <v>8286</v>
      </c>
    </row>
    <row r="5192" spans="1:2" ht="15.75" x14ac:dyDescent="0.25">
      <c r="A5192" s="344" t="s">
        <v>8287</v>
      </c>
      <c r="B5192" s="345" t="s">
        <v>8288</v>
      </c>
    </row>
    <row r="5193" spans="1:2" ht="15.75" x14ac:dyDescent="0.25">
      <c r="A5193" s="344" t="s">
        <v>8289</v>
      </c>
      <c r="B5193" s="345" t="s">
        <v>8290</v>
      </c>
    </row>
    <row r="5194" spans="1:2" ht="15.75" x14ac:dyDescent="0.25">
      <c r="A5194" s="344" t="s">
        <v>8291</v>
      </c>
      <c r="B5194" s="345" t="s">
        <v>8292</v>
      </c>
    </row>
    <row r="5195" spans="1:2" ht="15.75" x14ac:dyDescent="0.25">
      <c r="A5195" s="344" t="s">
        <v>8293</v>
      </c>
      <c r="B5195" s="345" t="s">
        <v>2915</v>
      </c>
    </row>
    <row r="5196" spans="1:2" ht="15.75" x14ac:dyDescent="0.25">
      <c r="A5196" s="344" t="s">
        <v>8294</v>
      </c>
      <c r="B5196" s="345" t="s">
        <v>2916</v>
      </c>
    </row>
    <row r="5197" spans="1:2" ht="15.75" x14ac:dyDescent="0.25">
      <c r="A5197" s="344" t="s">
        <v>8295</v>
      </c>
      <c r="B5197" s="345" t="s">
        <v>8296</v>
      </c>
    </row>
    <row r="5198" spans="1:2" ht="15.75" x14ac:dyDescent="0.25">
      <c r="A5198" s="344" t="s">
        <v>8297</v>
      </c>
      <c r="B5198" s="345" t="s">
        <v>8298</v>
      </c>
    </row>
    <row r="5199" spans="1:2" ht="15.75" x14ac:dyDescent="0.25">
      <c r="A5199" s="344" t="s">
        <v>8299</v>
      </c>
      <c r="B5199" s="345" t="s">
        <v>8300</v>
      </c>
    </row>
    <row r="5200" spans="1:2" ht="15.75" x14ac:dyDescent="0.25">
      <c r="A5200" s="344" t="s">
        <v>8301</v>
      </c>
      <c r="B5200" s="345" t="s">
        <v>8302</v>
      </c>
    </row>
    <row r="5201" spans="1:2" ht="15.75" x14ac:dyDescent="0.25">
      <c r="A5201" s="344" t="s">
        <v>8303</v>
      </c>
      <c r="B5201" s="345" t="s">
        <v>2917</v>
      </c>
    </row>
    <row r="5202" spans="1:2" ht="15.75" x14ac:dyDescent="0.25">
      <c r="A5202" s="344" t="s">
        <v>8304</v>
      </c>
      <c r="B5202" s="345" t="s">
        <v>8305</v>
      </c>
    </row>
    <row r="5203" spans="1:2" ht="15.75" x14ac:dyDescent="0.25">
      <c r="A5203" s="344" t="s">
        <v>8306</v>
      </c>
      <c r="B5203" s="345" t="s">
        <v>8307</v>
      </c>
    </row>
    <row r="5204" spans="1:2" ht="15.75" x14ac:dyDescent="0.25">
      <c r="A5204" s="344" t="s">
        <v>8308</v>
      </c>
      <c r="B5204" s="345" t="s">
        <v>8309</v>
      </c>
    </row>
    <row r="5205" spans="1:2" ht="15.75" x14ac:dyDescent="0.25">
      <c r="A5205" s="344" t="s">
        <v>8310</v>
      </c>
      <c r="B5205" s="345" t="s">
        <v>2918</v>
      </c>
    </row>
    <row r="5206" spans="1:2" ht="15.75" x14ac:dyDescent="0.25">
      <c r="A5206" s="344" t="s">
        <v>8311</v>
      </c>
      <c r="B5206" s="345" t="s">
        <v>2919</v>
      </c>
    </row>
    <row r="5207" spans="1:2" ht="15.75" x14ac:dyDescent="0.25">
      <c r="A5207" s="344" t="s">
        <v>8312</v>
      </c>
      <c r="B5207" s="345" t="s">
        <v>2920</v>
      </c>
    </row>
    <row r="5208" spans="1:2" ht="15.75" x14ac:dyDescent="0.25">
      <c r="A5208" s="344" t="s">
        <v>8313</v>
      </c>
      <c r="B5208" s="345" t="s">
        <v>8314</v>
      </c>
    </row>
    <row r="5209" spans="1:2" ht="15.75" x14ac:dyDescent="0.25">
      <c r="A5209" s="344" t="s">
        <v>8315</v>
      </c>
      <c r="B5209" s="345" t="s">
        <v>8316</v>
      </c>
    </row>
    <row r="5210" spans="1:2" ht="15.75" x14ac:dyDescent="0.25">
      <c r="A5210" s="344" t="s">
        <v>8317</v>
      </c>
      <c r="B5210" s="345" t="s">
        <v>8318</v>
      </c>
    </row>
    <row r="5211" spans="1:2" ht="15.75" x14ac:dyDescent="0.25">
      <c r="A5211" s="344" t="s">
        <v>8319</v>
      </c>
      <c r="B5211" s="345" t="s">
        <v>2921</v>
      </c>
    </row>
    <row r="5212" spans="1:2" ht="15.75" x14ac:dyDescent="0.25">
      <c r="A5212" s="344" t="s">
        <v>8320</v>
      </c>
      <c r="B5212" s="345" t="s">
        <v>2922</v>
      </c>
    </row>
    <row r="5213" spans="1:2" ht="15.75" x14ac:dyDescent="0.25">
      <c r="A5213" s="344" t="s">
        <v>8321</v>
      </c>
      <c r="B5213" s="345" t="s">
        <v>2923</v>
      </c>
    </row>
    <row r="5214" spans="1:2" ht="15.75" x14ac:dyDescent="0.25">
      <c r="A5214" s="344" t="s">
        <v>8322</v>
      </c>
      <c r="B5214" s="345" t="s">
        <v>2924</v>
      </c>
    </row>
    <row r="5215" spans="1:2" ht="15.75" x14ac:dyDescent="0.25">
      <c r="A5215" s="344" t="s">
        <v>8323</v>
      </c>
      <c r="B5215" s="345" t="s">
        <v>2925</v>
      </c>
    </row>
    <row r="5216" spans="1:2" ht="15.75" x14ac:dyDescent="0.25">
      <c r="A5216" s="344" t="s">
        <v>8324</v>
      </c>
      <c r="B5216" s="345" t="s">
        <v>2926</v>
      </c>
    </row>
    <row r="5217" spans="1:2" ht="15.75" x14ac:dyDescent="0.25">
      <c r="A5217" s="344" t="s">
        <v>8325</v>
      </c>
      <c r="B5217" s="345" t="s">
        <v>2927</v>
      </c>
    </row>
    <row r="5218" spans="1:2" ht="15.75" x14ac:dyDescent="0.25">
      <c r="A5218" s="344" t="s">
        <v>8326</v>
      </c>
      <c r="B5218" s="345" t="s">
        <v>2928</v>
      </c>
    </row>
    <row r="5219" spans="1:2" ht="15.75" x14ac:dyDescent="0.25">
      <c r="A5219" s="344" t="s">
        <v>8327</v>
      </c>
      <c r="B5219" s="345" t="s">
        <v>8328</v>
      </c>
    </row>
    <row r="5220" spans="1:2" ht="15.75" x14ac:dyDescent="0.25">
      <c r="A5220" s="344" t="s">
        <v>8329</v>
      </c>
      <c r="B5220" s="345" t="s">
        <v>8330</v>
      </c>
    </row>
    <row r="5221" spans="1:2" ht="15.75" x14ac:dyDescent="0.25">
      <c r="A5221" s="344" t="s">
        <v>8331</v>
      </c>
      <c r="B5221" s="345" t="s">
        <v>8332</v>
      </c>
    </row>
    <row r="5222" spans="1:2" ht="15.75" x14ac:dyDescent="0.25">
      <c r="A5222" s="344" t="s">
        <v>8333</v>
      </c>
      <c r="B5222" s="345" t="s">
        <v>8334</v>
      </c>
    </row>
    <row r="5223" spans="1:2" ht="15.75" x14ac:dyDescent="0.25">
      <c r="A5223" s="344" t="s">
        <v>8335</v>
      </c>
      <c r="B5223" s="345" t="s">
        <v>2929</v>
      </c>
    </row>
    <row r="5224" spans="1:2" ht="15.75" x14ac:dyDescent="0.25">
      <c r="A5224" s="344" t="s">
        <v>8336</v>
      </c>
      <c r="B5224" s="345" t="s">
        <v>8337</v>
      </c>
    </row>
    <row r="5225" spans="1:2" ht="15.75" x14ac:dyDescent="0.25">
      <c r="A5225" s="344" t="s">
        <v>8338</v>
      </c>
      <c r="B5225" s="345" t="s">
        <v>8339</v>
      </c>
    </row>
    <row r="5226" spans="1:2" ht="15.75" x14ac:dyDescent="0.25">
      <c r="A5226" s="344" t="s">
        <v>8340</v>
      </c>
      <c r="B5226" s="345" t="s">
        <v>8341</v>
      </c>
    </row>
    <row r="5227" spans="1:2" ht="15.75" x14ac:dyDescent="0.25">
      <c r="A5227" s="344" t="s">
        <v>8342</v>
      </c>
      <c r="B5227" s="345" t="s">
        <v>8343</v>
      </c>
    </row>
    <row r="5228" spans="1:2" ht="15.75" x14ac:dyDescent="0.25">
      <c r="A5228" s="344" t="s">
        <v>8344</v>
      </c>
      <c r="B5228" s="345" t="s">
        <v>2930</v>
      </c>
    </row>
    <row r="5229" spans="1:2" ht="15.75" x14ac:dyDescent="0.25">
      <c r="A5229" s="344" t="s">
        <v>8345</v>
      </c>
      <c r="B5229" s="345" t="s">
        <v>8346</v>
      </c>
    </row>
    <row r="5230" spans="1:2" ht="15.75" x14ac:dyDescent="0.25">
      <c r="A5230" s="344" t="s">
        <v>8347</v>
      </c>
      <c r="B5230" s="345" t="s">
        <v>8348</v>
      </c>
    </row>
    <row r="5231" spans="1:2" ht="15.75" x14ac:dyDescent="0.25">
      <c r="A5231" s="344" t="s">
        <v>8349</v>
      </c>
      <c r="B5231" s="345" t="s">
        <v>8350</v>
      </c>
    </row>
    <row r="5232" spans="1:2" ht="15.75" x14ac:dyDescent="0.25">
      <c r="A5232" s="344" t="s">
        <v>8351</v>
      </c>
      <c r="B5232" s="345" t="s">
        <v>8352</v>
      </c>
    </row>
    <row r="5233" spans="1:2" ht="15.75" x14ac:dyDescent="0.25">
      <c r="A5233" s="344" t="s">
        <v>8353</v>
      </c>
      <c r="B5233" s="345" t="s">
        <v>2931</v>
      </c>
    </row>
    <row r="5234" spans="1:2" ht="15.75" x14ac:dyDescent="0.25">
      <c r="A5234" s="344" t="s">
        <v>8354</v>
      </c>
      <c r="B5234" s="345" t="s">
        <v>2932</v>
      </c>
    </row>
    <row r="5235" spans="1:2" ht="15.75" x14ac:dyDescent="0.25">
      <c r="A5235" s="344" t="s">
        <v>8355</v>
      </c>
      <c r="B5235" s="345" t="s">
        <v>8356</v>
      </c>
    </row>
    <row r="5236" spans="1:2" ht="15.75" x14ac:dyDescent="0.25">
      <c r="A5236" s="344" t="s">
        <v>8357</v>
      </c>
      <c r="B5236" s="345" t="s">
        <v>8358</v>
      </c>
    </row>
    <row r="5237" spans="1:2" ht="15.75" x14ac:dyDescent="0.25">
      <c r="A5237" s="344" t="s">
        <v>8359</v>
      </c>
      <c r="B5237" s="345" t="s">
        <v>8360</v>
      </c>
    </row>
    <row r="5238" spans="1:2" ht="15.75" x14ac:dyDescent="0.25">
      <c r="A5238" s="344" t="s">
        <v>8361</v>
      </c>
      <c r="B5238" s="345" t="s">
        <v>8362</v>
      </c>
    </row>
    <row r="5239" spans="1:2" ht="15.75" x14ac:dyDescent="0.25">
      <c r="A5239" s="344" t="s">
        <v>8363</v>
      </c>
      <c r="B5239" s="345" t="s">
        <v>2933</v>
      </c>
    </row>
    <row r="5240" spans="1:2" ht="15.75" x14ac:dyDescent="0.25">
      <c r="A5240" s="344" t="s">
        <v>8364</v>
      </c>
      <c r="B5240" s="345" t="s">
        <v>2934</v>
      </c>
    </row>
    <row r="5241" spans="1:2" ht="15.75" x14ac:dyDescent="0.25">
      <c r="A5241" s="344" t="s">
        <v>8365</v>
      </c>
      <c r="B5241" s="345" t="s">
        <v>2933</v>
      </c>
    </row>
    <row r="5242" spans="1:2" ht="15.75" x14ac:dyDescent="0.25">
      <c r="A5242" s="344" t="s">
        <v>8366</v>
      </c>
      <c r="B5242" s="345" t="s">
        <v>2935</v>
      </c>
    </row>
    <row r="5243" spans="1:2" ht="15.75" x14ac:dyDescent="0.25">
      <c r="A5243" s="344" t="s">
        <v>8367</v>
      </c>
      <c r="B5243" s="345" t="s">
        <v>2936</v>
      </c>
    </row>
    <row r="5244" spans="1:2" ht="15.75" x14ac:dyDescent="0.25">
      <c r="A5244" s="344" t="s">
        <v>8368</v>
      </c>
      <c r="B5244" s="345" t="s">
        <v>8369</v>
      </c>
    </row>
    <row r="5245" spans="1:2" ht="15.75" x14ac:dyDescent="0.25">
      <c r="A5245" s="344" t="s">
        <v>8370</v>
      </c>
      <c r="B5245" s="345" t="s">
        <v>8371</v>
      </c>
    </row>
    <row r="5246" spans="1:2" ht="15.75" x14ac:dyDescent="0.25">
      <c r="A5246" s="344" t="s">
        <v>8372</v>
      </c>
      <c r="B5246" s="345" t="s">
        <v>8373</v>
      </c>
    </row>
    <row r="5247" spans="1:2" ht="15.75" x14ac:dyDescent="0.25">
      <c r="A5247" s="344" t="s">
        <v>8374</v>
      </c>
      <c r="B5247" s="345" t="s">
        <v>8375</v>
      </c>
    </row>
    <row r="5248" spans="1:2" ht="15.75" x14ac:dyDescent="0.25">
      <c r="A5248" s="344" t="s">
        <v>8376</v>
      </c>
      <c r="B5248" s="345" t="s">
        <v>8377</v>
      </c>
    </row>
    <row r="5249" spans="1:2" ht="15.75" x14ac:dyDescent="0.25">
      <c r="A5249" s="344" t="s">
        <v>8378</v>
      </c>
      <c r="B5249" s="345" t="s">
        <v>8379</v>
      </c>
    </row>
    <row r="5250" spans="1:2" ht="15.75" x14ac:dyDescent="0.25">
      <c r="A5250" s="344" t="s">
        <v>8380</v>
      </c>
      <c r="B5250" s="345" t="s">
        <v>2937</v>
      </c>
    </row>
    <row r="5251" spans="1:2" ht="15.75" x14ac:dyDescent="0.25">
      <c r="A5251" s="344" t="s">
        <v>8381</v>
      </c>
      <c r="B5251" s="345" t="s">
        <v>2938</v>
      </c>
    </row>
    <row r="5252" spans="1:2" ht="15.75" x14ac:dyDescent="0.25">
      <c r="A5252" s="344" t="s">
        <v>8382</v>
      </c>
      <c r="B5252" s="345" t="s">
        <v>2939</v>
      </c>
    </row>
    <row r="5253" spans="1:2" ht="15.75" x14ac:dyDescent="0.25">
      <c r="A5253" s="344" t="s">
        <v>8383</v>
      </c>
      <c r="B5253" s="345" t="s">
        <v>2940</v>
      </c>
    </row>
    <row r="5254" spans="1:2" ht="15.75" x14ac:dyDescent="0.25">
      <c r="A5254" s="344" t="s">
        <v>8384</v>
      </c>
      <c r="B5254" s="345" t="s">
        <v>2941</v>
      </c>
    </row>
    <row r="5255" spans="1:2" ht="15.75" x14ac:dyDescent="0.25">
      <c r="A5255" s="344" t="s">
        <v>8385</v>
      </c>
      <c r="B5255" s="345" t="s">
        <v>2942</v>
      </c>
    </row>
    <row r="5256" spans="1:2" ht="15.75" x14ac:dyDescent="0.25">
      <c r="A5256" s="344" t="s">
        <v>8386</v>
      </c>
      <c r="B5256" s="345" t="s">
        <v>2943</v>
      </c>
    </row>
    <row r="5257" spans="1:2" ht="15.75" x14ac:dyDescent="0.25">
      <c r="A5257" s="344" t="s">
        <v>8387</v>
      </c>
      <c r="B5257" s="345" t="s">
        <v>2944</v>
      </c>
    </row>
    <row r="5258" spans="1:2" ht="15.75" x14ac:dyDescent="0.25">
      <c r="A5258" s="344" t="s">
        <v>8388</v>
      </c>
      <c r="B5258" s="345" t="s">
        <v>2945</v>
      </c>
    </row>
    <row r="5259" spans="1:2" ht="15.75" x14ac:dyDescent="0.25">
      <c r="A5259" s="344" t="s">
        <v>8389</v>
      </c>
      <c r="B5259" s="345" t="s">
        <v>8390</v>
      </c>
    </row>
    <row r="5260" spans="1:2" ht="15.75" x14ac:dyDescent="0.25">
      <c r="A5260" s="344" t="s">
        <v>8391</v>
      </c>
      <c r="B5260" s="345" t="s">
        <v>8392</v>
      </c>
    </row>
    <row r="5261" spans="1:2" ht="15.75" x14ac:dyDescent="0.25">
      <c r="A5261" s="344" t="s">
        <v>8393</v>
      </c>
      <c r="B5261" s="345" t="s">
        <v>8394</v>
      </c>
    </row>
    <row r="5262" spans="1:2" ht="15.75" x14ac:dyDescent="0.25">
      <c r="A5262" s="344" t="s">
        <v>8395</v>
      </c>
      <c r="B5262" s="345" t="s">
        <v>8396</v>
      </c>
    </row>
    <row r="5263" spans="1:2" ht="15.75" x14ac:dyDescent="0.25">
      <c r="A5263" s="344" t="s">
        <v>8397</v>
      </c>
      <c r="B5263" s="345" t="s">
        <v>8398</v>
      </c>
    </row>
    <row r="5264" spans="1:2" ht="15.75" x14ac:dyDescent="0.25">
      <c r="A5264" s="344" t="s">
        <v>8399</v>
      </c>
      <c r="B5264" s="345" t="s">
        <v>8400</v>
      </c>
    </row>
    <row r="5265" spans="1:2" ht="15.75" x14ac:dyDescent="0.25">
      <c r="A5265" s="344" t="s">
        <v>8401</v>
      </c>
      <c r="B5265" s="345" t="s">
        <v>2946</v>
      </c>
    </row>
    <row r="5266" spans="1:2" ht="15.75" x14ac:dyDescent="0.25">
      <c r="A5266" s="344" t="s">
        <v>8402</v>
      </c>
      <c r="B5266" s="345" t="s">
        <v>2947</v>
      </c>
    </row>
    <row r="5267" spans="1:2" ht="15.75" x14ac:dyDescent="0.25">
      <c r="A5267" s="344" t="s">
        <v>8403</v>
      </c>
      <c r="B5267" s="345" t="s">
        <v>2948</v>
      </c>
    </row>
    <row r="5268" spans="1:2" ht="15.75" x14ac:dyDescent="0.25">
      <c r="A5268" s="344" t="s">
        <v>8404</v>
      </c>
      <c r="B5268" s="345" t="s">
        <v>2949</v>
      </c>
    </row>
    <row r="5269" spans="1:2" ht="15.75" x14ac:dyDescent="0.25">
      <c r="A5269" s="344" t="s">
        <v>8405</v>
      </c>
      <c r="B5269" s="345" t="s">
        <v>8406</v>
      </c>
    </row>
    <row r="5270" spans="1:2" ht="15.75" x14ac:dyDescent="0.25">
      <c r="A5270" s="344" t="s">
        <v>8407</v>
      </c>
      <c r="B5270" s="345" t="s">
        <v>8408</v>
      </c>
    </row>
    <row r="5271" spans="1:2" ht="15.75" x14ac:dyDescent="0.25">
      <c r="A5271" s="344" t="s">
        <v>8409</v>
      </c>
      <c r="B5271" s="345" t="s">
        <v>8410</v>
      </c>
    </row>
    <row r="5272" spans="1:2" ht="15.75" x14ac:dyDescent="0.25">
      <c r="A5272" s="344" t="s">
        <v>8411</v>
      </c>
      <c r="B5272" s="345" t="s">
        <v>2950</v>
      </c>
    </row>
    <row r="5273" spans="1:2" ht="15.75" x14ac:dyDescent="0.25">
      <c r="A5273" s="344" t="s">
        <v>8412</v>
      </c>
      <c r="B5273" s="345" t="s">
        <v>2951</v>
      </c>
    </row>
    <row r="5274" spans="1:2" ht="15.75" x14ac:dyDescent="0.25">
      <c r="A5274" s="344" t="s">
        <v>8413</v>
      </c>
      <c r="B5274" s="345" t="s">
        <v>8414</v>
      </c>
    </row>
    <row r="5275" spans="1:2" ht="15.75" x14ac:dyDescent="0.25">
      <c r="A5275" s="344" t="s">
        <v>8415</v>
      </c>
      <c r="B5275" s="345" t="s">
        <v>8416</v>
      </c>
    </row>
    <row r="5276" spans="1:2" ht="15.75" x14ac:dyDescent="0.25">
      <c r="A5276" s="344" t="s">
        <v>8417</v>
      </c>
      <c r="B5276" s="345" t="s">
        <v>8418</v>
      </c>
    </row>
    <row r="5277" spans="1:2" ht="15.75" x14ac:dyDescent="0.25">
      <c r="A5277" s="344" t="s">
        <v>8419</v>
      </c>
      <c r="B5277" s="345" t="s">
        <v>8420</v>
      </c>
    </row>
    <row r="5278" spans="1:2" ht="15.75" x14ac:dyDescent="0.25">
      <c r="A5278" s="344" t="s">
        <v>8421</v>
      </c>
      <c r="B5278" s="345" t="s">
        <v>8422</v>
      </c>
    </row>
    <row r="5279" spans="1:2" ht="15.75" x14ac:dyDescent="0.25">
      <c r="A5279" s="344" t="s">
        <v>8423</v>
      </c>
      <c r="B5279" s="345" t="s">
        <v>8424</v>
      </c>
    </row>
    <row r="5280" spans="1:2" ht="15.75" x14ac:dyDescent="0.25">
      <c r="A5280" s="344" t="s">
        <v>8425</v>
      </c>
      <c r="B5280" s="345" t="s">
        <v>8426</v>
      </c>
    </row>
    <row r="5281" spans="1:2" ht="15.75" x14ac:dyDescent="0.25">
      <c r="A5281" s="344" t="s">
        <v>8427</v>
      </c>
      <c r="B5281" s="345" t="s">
        <v>8428</v>
      </c>
    </row>
    <row r="5282" spans="1:2" ht="15.75" x14ac:dyDescent="0.25">
      <c r="A5282" s="344" t="s">
        <v>8429</v>
      </c>
      <c r="B5282" s="345" t="s">
        <v>8430</v>
      </c>
    </row>
    <row r="5283" spans="1:2" ht="15.75" x14ac:dyDescent="0.25">
      <c r="A5283" s="344" t="s">
        <v>8431</v>
      </c>
      <c r="B5283" s="345" t="s">
        <v>8432</v>
      </c>
    </row>
    <row r="5284" spans="1:2" ht="15.75" x14ac:dyDescent="0.25">
      <c r="A5284" s="344" t="s">
        <v>8433</v>
      </c>
      <c r="B5284" s="345" t="s">
        <v>8434</v>
      </c>
    </row>
    <row r="5285" spans="1:2" ht="15.75" x14ac:dyDescent="0.25">
      <c r="A5285" s="344" t="s">
        <v>8435</v>
      </c>
      <c r="B5285" s="345" t="s">
        <v>8436</v>
      </c>
    </row>
    <row r="5286" spans="1:2" ht="15.75" x14ac:dyDescent="0.25">
      <c r="A5286" s="344" t="s">
        <v>8437</v>
      </c>
      <c r="B5286" s="345" t="s">
        <v>8438</v>
      </c>
    </row>
    <row r="5287" spans="1:2" ht="15.75" x14ac:dyDescent="0.25">
      <c r="A5287" s="344" t="s">
        <v>8439</v>
      </c>
      <c r="B5287" s="345" t="s">
        <v>2952</v>
      </c>
    </row>
    <row r="5288" spans="1:2" ht="15.75" x14ac:dyDescent="0.25">
      <c r="A5288" s="344" t="s">
        <v>8440</v>
      </c>
      <c r="B5288" s="345" t="s">
        <v>8441</v>
      </c>
    </row>
    <row r="5289" spans="1:2" ht="15.75" x14ac:dyDescent="0.25">
      <c r="A5289" s="344" t="s">
        <v>8442</v>
      </c>
      <c r="B5289" s="345" t="s">
        <v>8443</v>
      </c>
    </row>
    <row r="5290" spans="1:2" ht="15.75" x14ac:dyDescent="0.25">
      <c r="A5290" s="344" t="s">
        <v>8444</v>
      </c>
      <c r="B5290" s="345" t="s">
        <v>8445</v>
      </c>
    </row>
    <row r="5291" spans="1:2" ht="15.75" x14ac:dyDescent="0.25">
      <c r="A5291" s="344" t="s">
        <v>8446</v>
      </c>
      <c r="B5291" s="345" t="s">
        <v>8447</v>
      </c>
    </row>
    <row r="5292" spans="1:2" ht="15.75" x14ac:dyDescent="0.25">
      <c r="A5292" s="344" t="s">
        <v>8448</v>
      </c>
      <c r="B5292" s="345" t="s">
        <v>2953</v>
      </c>
    </row>
    <row r="5293" spans="1:2" ht="15.75" x14ac:dyDescent="0.25">
      <c r="A5293" s="344" t="s">
        <v>8449</v>
      </c>
      <c r="B5293" s="345" t="s">
        <v>8450</v>
      </c>
    </row>
    <row r="5294" spans="1:2" ht="15.75" x14ac:dyDescent="0.25">
      <c r="A5294" s="344" t="s">
        <v>8451</v>
      </c>
      <c r="B5294" s="345" t="s">
        <v>8452</v>
      </c>
    </row>
    <row r="5295" spans="1:2" ht="15.75" x14ac:dyDescent="0.25">
      <c r="A5295" s="344" t="s">
        <v>8453</v>
      </c>
      <c r="B5295" s="345" t="s">
        <v>8454</v>
      </c>
    </row>
    <row r="5296" spans="1:2" ht="15.75" x14ac:dyDescent="0.25">
      <c r="A5296" s="344" t="s">
        <v>8455</v>
      </c>
      <c r="B5296" s="345" t="s">
        <v>8456</v>
      </c>
    </row>
    <row r="5297" spans="1:2" ht="15.75" x14ac:dyDescent="0.25">
      <c r="A5297" s="344" t="s">
        <v>8457</v>
      </c>
      <c r="B5297" s="345" t="s">
        <v>2954</v>
      </c>
    </row>
    <row r="5298" spans="1:2" ht="15.75" x14ac:dyDescent="0.25">
      <c r="A5298" s="344" t="s">
        <v>8458</v>
      </c>
      <c r="B5298" s="345" t="s">
        <v>8459</v>
      </c>
    </row>
    <row r="5299" spans="1:2" ht="15.75" x14ac:dyDescent="0.25">
      <c r="A5299" s="344" t="s">
        <v>8460</v>
      </c>
      <c r="B5299" s="345" t="s">
        <v>8461</v>
      </c>
    </row>
    <row r="5300" spans="1:2" ht="15.75" x14ac:dyDescent="0.25">
      <c r="A5300" s="344" t="s">
        <v>8462</v>
      </c>
      <c r="B5300" s="345" t="s">
        <v>8463</v>
      </c>
    </row>
    <row r="5301" spans="1:2" ht="15.75" x14ac:dyDescent="0.25">
      <c r="A5301" s="344" t="s">
        <v>8464</v>
      </c>
      <c r="B5301" s="345" t="s">
        <v>8465</v>
      </c>
    </row>
    <row r="5302" spans="1:2" ht="15.75" x14ac:dyDescent="0.25">
      <c r="A5302" s="344" t="s">
        <v>8466</v>
      </c>
      <c r="B5302" s="345" t="s">
        <v>2955</v>
      </c>
    </row>
    <row r="5303" spans="1:2" ht="15.75" x14ac:dyDescent="0.25">
      <c r="A5303" s="344" t="s">
        <v>8467</v>
      </c>
      <c r="B5303" s="345" t="s">
        <v>8468</v>
      </c>
    </row>
    <row r="5304" spans="1:2" ht="15.75" x14ac:dyDescent="0.25">
      <c r="A5304" s="344" t="s">
        <v>8469</v>
      </c>
      <c r="B5304" s="345" t="s">
        <v>8470</v>
      </c>
    </row>
    <row r="5305" spans="1:2" ht="15.75" x14ac:dyDescent="0.25">
      <c r="A5305" s="344" t="s">
        <v>8471</v>
      </c>
      <c r="B5305" s="345" t="s">
        <v>8472</v>
      </c>
    </row>
    <row r="5306" spans="1:2" ht="15.75" x14ac:dyDescent="0.25">
      <c r="A5306" s="344" t="s">
        <v>8473</v>
      </c>
      <c r="B5306" s="345" t="s">
        <v>8474</v>
      </c>
    </row>
    <row r="5307" spans="1:2" ht="15.75" x14ac:dyDescent="0.25">
      <c r="A5307" s="344" t="s">
        <v>8475</v>
      </c>
      <c r="B5307" s="345" t="s">
        <v>8476</v>
      </c>
    </row>
    <row r="5308" spans="1:2" ht="15.75" x14ac:dyDescent="0.25">
      <c r="A5308" s="344" t="s">
        <v>8477</v>
      </c>
      <c r="B5308" s="345" t="s">
        <v>8478</v>
      </c>
    </row>
    <row r="5309" spans="1:2" ht="15.75" x14ac:dyDescent="0.25">
      <c r="A5309" s="344" t="s">
        <v>8479</v>
      </c>
      <c r="B5309" s="345" t="s">
        <v>8480</v>
      </c>
    </row>
    <row r="5310" spans="1:2" ht="15.75" x14ac:dyDescent="0.25">
      <c r="A5310" s="344" t="s">
        <v>8481</v>
      </c>
      <c r="B5310" s="345" t="s">
        <v>8482</v>
      </c>
    </row>
    <row r="5311" spans="1:2" ht="15.75" x14ac:dyDescent="0.25">
      <c r="A5311" s="344" t="s">
        <v>8483</v>
      </c>
      <c r="B5311" s="345" t="s">
        <v>8484</v>
      </c>
    </row>
    <row r="5312" spans="1:2" ht="15.75" x14ac:dyDescent="0.25">
      <c r="A5312" s="344" t="s">
        <v>8485</v>
      </c>
      <c r="B5312" s="345" t="s">
        <v>8486</v>
      </c>
    </row>
    <row r="5313" spans="1:2" ht="15.75" x14ac:dyDescent="0.25">
      <c r="A5313" s="344" t="s">
        <v>8487</v>
      </c>
      <c r="B5313" s="345" t="s">
        <v>8488</v>
      </c>
    </row>
    <row r="5314" spans="1:2" ht="15.75" x14ac:dyDescent="0.25">
      <c r="A5314" s="344" t="s">
        <v>8489</v>
      </c>
      <c r="B5314" s="345" t="s">
        <v>8490</v>
      </c>
    </row>
    <row r="5315" spans="1:2" ht="15.75" x14ac:dyDescent="0.25">
      <c r="A5315" s="344" t="s">
        <v>8491</v>
      </c>
      <c r="B5315" s="345" t="s">
        <v>8492</v>
      </c>
    </row>
    <row r="5316" spans="1:2" ht="15.75" x14ac:dyDescent="0.25">
      <c r="A5316" s="344" t="s">
        <v>8493</v>
      </c>
      <c r="B5316" s="345" t="s">
        <v>8494</v>
      </c>
    </row>
    <row r="5317" spans="1:2" ht="15.75" x14ac:dyDescent="0.25">
      <c r="A5317" s="344" t="s">
        <v>8495</v>
      </c>
      <c r="B5317" s="345" t="s">
        <v>8496</v>
      </c>
    </row>
    <row r="5318" spans="1:2" ht="15.75" x14ac:dyDescent="0.25">
      <c r="A5318" s="344" t="s">
        <v>8497</v>
      </c>
      <c r="B5318" s="345" t="s">
        <v>8498</v>
      </c>
    </row>
    <row r="5319" spans="1:2" ht="15.75" x14ac:dyDescent="0.25">
      <c r="A5319" s="344" t="s">
        <v>8499</v>
      </c>
      <c r="B5319" s="345" t="s">
        <v>2956</v>
      </c>
    </row>
    <row r="5320" spans="1:2" ht="15.75" x14ac:dyDescent="0.25">
      <c r="A5320" s="344" t="s">
        <v>8500</v>
      </c>
      <c r="B5320" s="345" t="s">
        <v>8501</v>
      </c>
    </row>
    <row r="5321" spans="1:2" ht="15.75" x14ac:dyDescent="0.25">
      <c r="A5321" s="344" t="s">
        <v>8502</v>
      </c>
      <c r="B5321" s="345" t="s">
        <v>8503</v>
      </c>
    </row>
    <row r="5322" spans="1:2" ht="15.75" x14ac:dyDescent="0.25">
      <c r="A5322" s="344" t="s">
        <v>8504</v>
      </c>
      <c r="B5322" s="345" t="s">
        <v>8505</v>
      </c>
    </row>
    <row r="5323" spans="1:2" ht="15.75" x14ac:dyDescent="0.25">
      <c r="A5323" s="344" t="s">
        <v>8506</v>
      </c>
      <c r="B5323" s="345" t="s">
        <v>8507</v>
      </c>
    </row>
    <row r="5324" spans="1:2" ht="15.75" x14ac:dyDescent="0.25">
      <c r="A5324" s="344" t="s">
        <v>8508</v>
      </c>
      <c r="B5324" s="345" t="s">
        <v>2957</v>
      </c>
    </row>
    <row r="5325" spans="1:2" ht="15.75" x14ac:dyDescent="0.25">
      <c r="A5325" s="344" t="s">
        <v>8509</v>
      </c>
      <c r="B5325" s="345" t="s">
        <v>2958</v>
      </c>
    </row>
    <row r="5326" spans="1:2" ht="15.75" x14ac:dyDescent="0.25">
      <c r="A5326" s="344" t="s">
        <v>8510</v>
      </c>
      <c r="B5326" s="345" t="s">
        <v>2959</v>
      </c>
    </row>
    <row r="5327" spans="1:2" ht="15.75" x14ac:dyDescent="0.25">
      <c r="A5327" s="344" t="s">
        <v>8511</v>
      </c>
      <c r="B5327" s="345" t="s">
        <v>2960</v>
      </c>
    </row>
    <row r="5328" spans="1:2" ht="15.75" x14ac:dyDescent="0.25">
      <c r="A5328" s="344" t="s">
        <v>8512</v>
      </c>
      <c r="B5328" s="345" t="s">
        <v>8513</v>
      </c>
    </row>
    <row r="5329" spans="1:2" ht="15.75" x14ac:dyDescent="0.25">
      <c r="A5329" s="344" t="s">
        <v>8514</v>
      </c>
      <c r="B5329" s="345" t="s">
        <v>8515</v>
      </c>
    </row>
    <row r="5330" spans="1:2" ht="15.75" x14ac:dyDescent="0.25">
      <c r="A5330" s="344" t="s">
        <v>8516</v>
      </c>
      <c r="B5330" s="345" t="s">
        <v>8517</v>
      </c>
    </row>
    <row r="5331" spans="1:2" ht="15.75" x14ac:dyDescent="0.25">
      <c r="A5331" s="344" t="s">
        <v>8518</v>
      </c>
      <c r="B5331" s="345" t="s">
        <v>8519</v>
      </c>
    </row>
    <row r="5332" spans="1:2" ht="15.75" x14ac:dyDescent="0.25">
      <c r="A5332" s="344" t="s">
        <v>8520</v>
      </c>
      <c r="B5332" s="345" t="s">
        <v>2961</v>
      </c>
    </row>
    <row r="5333" spans="1:2" ht="15.75" x14ac:dyDescent="0.25">
      <c r="A5333" s="344" t="s">
        <v>8521</v>
      </c>
      <c r="B5333" s="345" t="s">
        <v>2962</v>
      </c>
    </row>
    <row r="5334" spans="1:2" ht="15.75" x14ac:dyDescent="0.25">
      <c r="A5334" s="344" t="s">
        <v>8522</v>
      </c>
      <c r="B5334" s="345" t="s">
        <v>8523</v>
      </c>
    </row>
    <row r="5335" spans="1:2" ht="15.75" x14ac:dyDescent="0.25">
      <c r="A5335" s="344" t="s">
        <v>8524</v>
      </c>
      <c r="B5335" s="345" t="s">
        <v>8525</v>
      </c>
    </row>
    <row r="5336" spans="1:2" ht="15.75" x14ac:dyDescent="0.25">
      <c r="A5336" s="344" t="s">
        <v>8526</v>
      </c>
      <c r="B5336" s="345" t="s">
        <v>8527</v>
      </c>
    </row>
    <row r="5337" spans="1:2" ht="15.75" x14ac:dyDescent="0.25">
      <c r="A5337" s="344" t="s">
        <v>8528</v>
      </c>
      <c r="B5337" s="345" t="s">
        <v>2963</v>
      </c>
    </row>
    <row r="5338" spans="1:2" ht="15.75" x14ac:dyDescent="0.25">
      <c r="A5338" s="344" t="s">
        <v>8529</v>
      </c>
      <c r="B5338" s="345" t="s">
        <v>8530</v>
      </c>
    </row>
    <row r="5339" spans="1:2" ht="15.75" x14ac:dyDescent="0.25">
      <c r="A5339" s="344" t="s">
        <v>8531</v>
      </c>
      <c r="B5339" s="345" t="s">
        <v>8532</v>
      </c>
    </row>
    <row r="5340" spans="1:2" ht="15.75" x14ac:dyDescent="0.25">
      <c r="A5340" s="344" t="s">
        <v>8533</v>
      </c>
      <c r="B5340" s="345" t="s">
        <v>8534</v>
      </c>
    </row>
    <row r="5341" spans="1:2" ht="15.75" x14ac:dyDescent="0.25">
      <c r="A5341" s="344" t="s">
        <v>8535</v>
      </c>
      <c r="B5341" s="345" t="s">
        <v>8536</v>
      </c>
    </row>
    <row r="5342" spans="1:2" ht="15.75" x14ac:dyDescent="0.25">
      <c r="A5342" s="344" t="s">
        <v>8537</v>
      </c>
      <c r="B5342" s="345" t="s">
        <v>2964</v>
      </c>
    </row>
    <row r="5343" spans="1:2" ht="15.75" x14ac:dyDescent="0.25">
      <c r="A5343" s="344" t="s">
        <v>8538</v>
      </c>
      <c r="B5343" s="345" t="s">
        <v>2965</v>
      </c>
    </row>
    <row r="5344" spans="1:2" ht="15.75" x14ac:dyDescent="0.25">
      <c r="A5344" s="344" t="s">
        <v>8539</v>
      </c>
      <c r="B5344" s="345" t="s">
        <v>8540</v>
      </c>
    </row>
    <row r="5345" spans="1:2" ht="15.75" x14ac:dyDescent="0.25">
      <c r="A5345" s="344" t="s">
        <v>8541</v>
      </c>
      <c r="B5345" s="345" t="s">
        <v>8542</v>
      </c>
    </row>
    <row r="5346" spans="1:2" ht="15.75" x14ac:dyDescent="0.25">
      <c r="A5346" s="344" t="s">
        <v>8543</v>
      </c>
      <c r="B5346" s="345" t="s">
        <v>8544</v>
      </c>
    </row>
    <row r="5347" spans="1:2" ht="15.75" x14ac:dyDescent="0.25">
      <c r="A5347" s="344" t="s">
        <v>8545</v>
      </c>
      <c r="B5347" s="345" t="s">
        <v>8546</v>
      </c>
    </row>
    <row r="5348" spans="1:2" ht="15.75" x14ac:dyDescent="0.25">
      <c r="A5348" s="344" t="s">
        <v>8547</v>
      </c>
      <c r="B5348" s="345" t="s">
        <v>2966</v>
      </c>
    </row>
    <row r="5349" spans="1:2" ht="15.75" x14ac:dyDescent="0.25">
      <c r="A5349" s="344" t="s">
        <v>8548</v>
      </c>
      <c r="B5349" s="345" t="s">
        <v>8549</v>
      </c>
    </row>
    <row r="5350" spans="1:2" ht="15.75" x14ac:dyDescent="0.25">
      <c r="A5350" s="344" t="s">
        <v>8550</v>
      </c>
      <c r="B5350" s="345" t="s">
        <v>8551</v>
      </c>
    </row>
    <row r="5351" spans="1:2" ht="15.75" x14ac:dyDescent="0.25">
      <c r="A5351" s="344" t="s">
        <v>8552</v>
      </c>
      <c r="B5351" s="345" t="s">
        <v>8553</v>
      </c>
    </row>
    <row r="5352" spans="1:2" ht="15.75" x14ac:dyDescent="0.25">
      <c r="A5352" s="344" t="s">
        <v>8554</v>
      </c>
      <c r="B5352" s="345" t="s">
        <v>8555</v>
      </c>
    </row>
    <row r="5353" spans="1:2" ht="15.75" x14ac:dyDescent="0.25">
      <c r="A5353" s="344" t="s">
        <v>8556</v>
      </c>
      <c r="B5353" s="345" t="s">
        <v>2967</v>
      </c>
    </row>
    <row r="5354" spans="1:2" ht="15.75" x14ac:dyDescent="0.25">
      <c r="A5354" s="344" t="s">
        <v>8557</v>
      </c>
      <c r="B5354" s="345" t="s">
        <v>8558</v>
      </c>
    </row>
    <row r="5355" spans="1:2" ht="15.75" x14ac:dyDescent="0.25">
      <c r="A5355" s="344" t="s">
        <v>8559</v>
      </c>
      <c r="B5355" s="345" t="s">
        <v>8560</v>
      </c>
    </row>
    <row r="5356" spans="1:2" ht="15.75" x14ac:dyDescent="0.25">
      <c r="A5356" s="344" t="s">
        <v>8561</v>
      </c>
      <c r="B5356" s="345" t="s">
        <v>8562</v>
      </c>
    </row>
    <row r="5357" spans="1:2" ht="15.75" x14ac:dyDescent="0.25">
      <c r="A5357" s="344" t="s">
        <v>8563</v>
      </c>
      <c r="B5357" s="345" t="s">
        <v>8564</v>
      </c>
    </row>
    <row r="5358" spans="1:2" ht="15.75" x14ac:dyDescent="0.25">
      <c r="A5358" s="344" t="s">
        <v>8565</v>
      </c>
      <c r="B5358" s="345" t="s">
        <v>2968</v>
      </c>
    </row>
    <row r="5359" spans="1:2" ht="15.75" x14ac:dyDescent="0.25">
      <c r="A5359" s="344" t="s">
        <v>8566</v>
      </c>
      <c r="B5359" s="345" t="s">
        <v>8567</v>
      </c>
    </row>
    <row r="5360" spans="1:2" ht="15.75" x14ac:dyDescent="0.25">
      <c r="A5360" s="344" t="s">
        <v>8568</v>
      </c>
      <c r="B5360" s="345" t="s">
        <v>8569</v>
      </c>
    </row>
    <row r="5361" spans="1:2" ht="15.75" x14ac:dyDescent="0.25">
      <c r="A5361" s="344" t="s">
        <v>8570</v>
      </c>
      <c r="B5361" s="345" t="s">
        <v>8571</v>
      </c>
    </row>
    <row r="5362" spans="1:2" ht="15.75" x14ac:dyDescent="0.25">
      <c r="A5362" s="344" t="s">
        <v>8572</v>
      </c>
      <c r="B5362" s="345" t="s">
        <v>8573</v>
      </c>
    </row>
    <row r="5363" spans="1:2" ht="15.75" x14ac:dyDescent="0.25">
      <c r="A5363" s="344" t="s">
        <v>8574</v>
      </c>
      <c r="B5363" s="345" t="s">
        <v>2969</v>
      </c>
    </row>
    <row r="5364" spans="1:2" ht="15.75" x14ac:dyDescent="0.25">
      <c r="A5364" s="344" t="s">
        <v>8575</v>
      </c>
      <c r="B5364" s="345" t="s">
        <v>8576</v>
      </c>
    </row>
    <row r="5365" spans="1:2" ht="15.75" x14ac:dyDescent="0.25">
      <c r="A5365" s="344" t="s">
        <v>8577</v>
      </c>
      <c r="B5365" s="345" t="s">
        <v>8578</v>
      </c>
    </row>
    <row r="5366" spans="1:2" ht="15.75" x14ac:dyDescent="0.25">
      <c r="A5366" s="344" t="s">
        <v>8579</v>
      </c>
      <c r="B5366" s="345" t="s">
        <v>8580</v>
      </c>
    </row>
    <row r="5367" spans="1:2" ht="15.75" x14ac:dyDescent="0.25">
      <c r="A5367" s="344" t="s">
        <v>8581</v>
      </c>
      <c r="B5367" s="345" t="s">
        <v>8582</v>
      </c>
    </row>
    <row r="5368" spans="1:2" ht="15.75" x14ac:dyDescent="0.25">
      <c r="A5368" s="344" t="s">
        <v>8583</v>
      </c>
      <c r="B5368" s="345" t="s">
        <v>2970</v>
      </c>
    </row>
    <row r="5369" spans="1:2" ht="15.75" x14ac:dyDescent="0.25">
      <c r="A5369" s="344" t="s">
        <v>8584</v>
      </c>
      <c r="B5369" s="345" t="s">
        <v>8585</v>
      </c>
    </row>
    <row r="5370" spans="1:2" ht="15.75" x14ac:dyDescent="0.25">
      <c r="A5370" s="344" t="s">
        <v>8586</v>
      </c>
      <c r="B5370" s="345" t="s">
        <v>8587</v>
      </c>
    </row>
    <row r="5371" spans="1:2" ht="15.75" x14ac:dyDescent="0.25">
      <c r="A5371" s="344" t="s">
        <v>8588</v>
      </c>
      <c r="B5371" s="345" t="s">
        <v>8589</v>
      </c>
    </row>
    <row r="5372" spans="1:2" ht="15.75" x14ac:dyDescent="0.25">
      <c r="A5372" s="344" t="s">
        <v>8590</v>
      </c>
      <c r="B5372" s="345" t="s">
        <v>8591</v>
      </c>
    </row>
    <row r="5373" spans="1:2" ht="15.75" x14ac:dyDescent="0.25">
      <c r="A5373" s="344" t="s">
        <v>8592</v>
      </c>
      <c r="B5373" s="345" t="s">
        <v>8593</v>
      </c>
    </row>
    <row r="5374" spans="1:2" ht="15.75" x14ac:dyDescent="0.25">
      <c r="A5374" s="344" t="s">
        <v>8594</v>
      </c>
      <c r="B5374" s="345" t="s">
        <v>8595</v>
      </c>
    </row>
    <row r="5375" spans="1:2" ht="15.75" x14ac:dyDescent="0.25">
      <c r="A5375" s="344" t="s">
        <v>8596</v>
      </c>
      <c r="B5375" s="345" t="s">
        <v>2971</v>
      </c>
    </row>
    <row r="5376" spans="1:2" ht="15.75" x14ac:dyDescent="0.25">
      <c r="A5376" s="344" t="s">
        <v>8597</v>
      </c>
      <c r="B5376" s="345" t="s">
        <v>8598</v>
      </c>
    </row>
    <row r="5377" spans="1:2" ht="15.75" x14ac:dyDescent="0.25">
      <c r="A5377" s="344" t="s">
        <v>8599</v>
      </c>
      <c r="B5377" s="345" t="s">
        <v>8600</v>
      </c>
    </row>
    <row r="5378" spans="1:2" ht="15.75" x14ac:dyDescent="0.25">
      <c r="A5378" s="344" t="s">
        <v>8601</v>
      </c>
      <c r="B5378" s="345" t="s">
        <v>8602</v>
      </c>
    </row>
    <row r="5379" spans="1:2" ht="15.75" x14ac:dyDescent="0.25">
      <c r="A5379" s="344" t="s">
        <v>8603</v>
      </c>
      <c r="B5379" s="345" t="s">
        <v>8604</v>
      </c>
    </row>
    <row r="5380" spans="1:2" ht="15.75" x14ac:dyDescent="0.25">
      <c r="A5380" s="344" t="s">
        <v>8605</v>
      </c>
      <c r="B5380" s="345" t="s">
        <v>8606</v>
      </c>
    </row>
    <row r="5381" spans="1:2" ht="15.75" x14ac:dyDescent="0.25">
      <c r="A5381" s="344" t="s">
        <v>8607</v>
      </c>
      <c r="B5381" s="345" t="s">
        <v>8608</v>
      </c>
    </row>
    <row r="5382" spans="1:2" ht="15.75" x14ac:dyDescent="0.25">
      <c r="A5382" s="344" t="s">
        <v>8609</v>
      </c>
      <c r="B5382" s="345" t="s">
        <v>2972</v>
      </c>
    </row>
    <row r="5383" spans="1:2" ht="15.75" x14ac:dyDescent="0.25">
      <c r="A5383" s="344" t="s">
        <v>8610</v>
      </c>
      <c r="B5383" s="345" t="s">
        <v>2973</v>
      </c>
    </row>
    <row r="5384" spans="1:2" ht="15.75" x14ac:dyDescent="0.25">
      <c r="A5384" s="344" t="s">
        <v>8611</v>
      </c>
      <c r="B5384" s="345" t="s">
        <v>2974</v>
      </c>
    </row>
    <row r="5385" spans="1:2" ht="15.75" x14ac:dyDescent="0.25">
      <c r="A5385" s="344" t="s">
        <v>8612</v>
      </c>
      <c r="B5385" s="345" t="s">
        <v>8613</v>
      </c>
    </row>
    <row r="5386" spans="1:2" ht="15.75" x14ac:dyDescent="0.25">
      <c r="A5386" s="344" t="s">
        <v>8614</v>
      </c>
      <c r="B5386" s="345" t="s">
        <v>8615</v>
      </c>
    </row>
    <row r="5387" spans="1:2" ht="15.75" x14ac:dyDescent="0.25">
      <c r="A5387" s="344" t="s">
        <v>8616</v>
      </c>
      <c r="B5387" s="345" t="s">
        <v>8617</v>
      </c>
    </row>
    <row r="5388" spans="1:2" ht="15.75" x14ac:dyDescent="0.25">
      <c r="A5388" s="344" t="s">
        <v>8618</v>
      </c>
      <c r="B5388" s="345" t="s">
        <v>8619</v>
      </c>
    </row>
    <row r="5389" spans="1:2" ht="15.75" x14ac:dyDescent="0.25">
      <c r="A5389" s="344" t="s">
        <v>8620</v>
      </c>
      <c r="B5389" s="345" t="s">
        <v>8621</v>
      </c>
    </row>
    <row r="5390" spans="1:2" ht="15.75" x14ac:dyDescent="0.25">
      <c r="A5390" s="344" t="s">
        <v>8622</v>
      </c>
      <c r="B5390" s="345" t="s">
        <v>8623</v>
      </c>
    </row>
    <row r="5391" spans="1:2" ht="15.75" x14ac:dyDescent="0.25">
      <c r="A5391" s="344" t="s">
        <v>8624</v>
      </c>
      <c r="B5391" s="345" t="s">
        <v>2975</v>
      </c>
    </row>
    <row r="5392" spans="1:2" ht="15.75" x14ac:dyDescent="0.25">
      <c r="A5392" s="344" t="s">
        <v>8625</v>
      </c>
      <c r="B5392" s="345" t="s">
        <v>8245</v>
      </c>
    </row>
    <row r="5393" spans="1:2" ht="15.75" x14ac:dyDescent="0.25">
      <c r="A5393" s="344" t="s">
        <v>8626</v>
      </c>
      <c r="B5393" s="345" t="s">
        <v>8247</v>
      </c>
    </row>
    <row r="5394" spans="1:2" ht="15.75" x14ac:dyDescent="0.25">
      <c r="A5394" s="344" t="s">
        <v>8627</v>
      </c>
      <c r="B5394" s="345" t="s">
        <v>8628</v>
      </c>
    </row>
    <row r="5395" spans="1:2" ht="15.75" x14ac:dyDescent="0.25">
      <c r="A5395" s="344" t="s">
        <v>8629</v>
      </c>
      <c r="B5395" s="345" t="s">
        <v>8630</v>
      </c>
    </row>
    <row r="5396" spans="1:2" ht="15.75" x14ac:dyDescent="0.25">
      <c r="A5396" s="344" t="s">
        <v>8631</v>
      </c>
      <c r="B5396" s="345" t="s">
        <v>2976</v>
      </c>
    </row>
    <row r="5397" spans="1:2" ht="15.75" x14ac:dyDescent="0.25">
      <c r="A5397" s="344" t="s">
        <v>8632</v>
      </c>
      <c r="B5397" s="345" t="s">
        <v>2977</v>
      </c>
    </row>
    <row r="5398" spans="1:2" ht="15.75" x14ac:dyDescent="0.25">
      <c r="A5398" s="344" t="s">
        <v>8633</v>
      </c>
      <c r="B5398" s="345" t="s">
        <v>8634</v>
      </c>
    </row>
    <row r="5399" spans="1:2" ht="15.75" x14ac:dyDescent="0.25">
      <c r="A5399" s="344" t="s">
        <v>8635</v>
      </c>
      <c r="B5399" s="345" t="s">
        <v>8636</v>
      </c>
    </row>
    <row r="5400" spans="1:2" ht="15.75" x14ac:dyDescent="0.25">
      <c r="A5400" s="344" t="s">
        <v>8637</v>
      </c>
      <c r="B5400" s="345" t="s">
        <v>8638</v>
      </c>
    </row>
    <row r="5401" spans="1:2" ht="15.75" x14ac:dyDescent="0.25">
      <c r="A5401" s="344" t="s">
        <v>8639</v>
      </c>
      <c r="B5401" s="345" t="s">
        <v>8640</v>
      </c>
    </row>
    <row r="5402" spans="1:2" ht="15.75" x14ac:dyDescent="0.25">
      <c r="A5402" s="344" t="s">
        <v>8641</v>
      </c>
      <c r="B5402" s="345" t="s">
        <v>8642</v>
      </c>
    </row>
    <row r="5403" spans="1:2" ht="15.75" x14ac:dyDescent="0.25">
      <c r="A5403" s="344" t="s">
        <v>8643</v>
      </c>
      <c r="B5403" s="345" t="s">
        <v>8644</v>
      </c>
    </row>
    <row r="5404" spans="1:2" ht="15.75" x14ac:dyDescent="0.25">
      <c r="A5404" s="344" t="s">
        <v>8645</v>
      </c>
      <c r="B5404" s="345" t="s">
        <v>8646</v>
      </c>
    </row>
    <row r="5405" spans="1:2" ht="15.75" x14ac:dyDescent="0.25">
      <c r="A5405" s="344" t="s">
        <v>8647</v>
      </c>
      <c r="B5405" s="345" t="s">
        <v>2978</v>
      </c>
    </row>
    <row r="5406" spans="1:2" ht="15.75" x14ac:dyDescent="0.25">
      <c r="A5406" s="344" t="s">
        <v>8648</v>
      </c>
      <c r="B5406" s="345" t="s">
        <v>2979</v>
      </c>
    </row>
    <row r="5407" spans="1:2" ht="15.75" x14ac:dyDescent="0.25">
      <c r="A5407" s="344" t="s">
        <v>8649</v>
      </c>
      <c r="B5407" s="345" t="s">
        <v>2980</v>
      </c>
    </row>
    <row r="5408" spans="1:2" ht="15.75" x14ac:dyDescent="0.25">
      <c r="A5408" s="344" t="s">
        <v>8650</v>
      </c>
      <c r="B5408" s="345" t="s">
        <v>8651</v>
      </c>
    </row>
    <row r="5409" spans="1:2" ht="15.75" x14ac:dyDescent="0.25">
      <c r="A5409" s="344" t="s">
        <v>8652</v>
      </c>
      <c r="B5409" s="345" t="s">
        <v>8653</v>
      </c>
    </row>
    <row r="5410" spans="1:2" ht="15.75" x14ac:dyDescent="0.25">
      <c r="A5410" s="344" t="s">
        <v>8654</v>
      </c>
      <c r="B5410" s="345" t="s">
        <v>8655</v>
      </c>
    </row>
    <row r="5411" spans="1:2" ht="15.75" x14ac:dyDescent="0.25">
      <c r="A5411" s="344" t="s">
        <v>8656</v>
      </c>
      <c r="B5411" s="345" t="s">
        <v>2981</v>
      </c>
    </row>
    <row r="5412" spans="1:2" ht="15.75" x14ac:dyDescent="0.25">
      <c r="A5412" s="344" t="s">
        <v>8657</v>
      </c>
      <c r="B5412" s="345" t="s">
        <v>2982</v>
      </c>
    </row>
    <row r="5413" spans="1:2" ht="15.75" x14ac:dyDescent="0.25">
      <c r="A5413" s="344" t="s">
        <v>8658</v>
      </c>
      <c r="B5413" s="345" t="s">
        <v>8659</v>
      </c>
    </row>
    <row r="5414" spans="1:2" ht="15.75" x14ac:dyDescent="0.25">
      <c r="A5414" s="344" t="s">
        <v>8660</v>
      </c>
      <c r="B5414" s="345" t="s">
        <v>8661</v>
      </c>
    </row>
    <row r="5415" spans="1:2" ht="15.75" x14ac:dyDescent="0.25">
      <c r="A5415" s="344" t="s">
        <v>8662</v>
      </c>
      <c r="B5415" s="345" t="s">
        <v>8663</v>
      </c>
    </row>
    <row r="5416" spans="1:2" ht="15.75" x14ac:dyDescent="0.25">
      <c r="A5416" s="344" t="s">
        <v>8664</v>
      </c>
      <c r="B5416" s="345" t="s">
        <v>8665</v>
      </c>
    </row>
    <row r="5417" spans="1:2" ht="15.75" x14ac:dyDescent="0.25">
      <c r="A5417" s="344" t="s">
        <v>8666</v>
      </c>
      <c r="B5417" s="345" t="s">
        <v>2983</v>
      </c>
    </row>
    <row r="5418" spans="1:2" ht="15.75" x14ac:dyDescent="0.25">
      <c r="A5418" s="344" t="s">
        <v>8667</v>
      </c>
      <c r="B5418" s="345" t="s">
        <v>8668</v>
      </c>
    </row>
    <row r="5419" spans="1:2" ht="15.75" x14ac:dyDescent="0.25">
      <c r="A5419" s="344" t="s">
        <v>8669</v>
      </c>
      <c r="B5419" s="345" t="s">
        <v>8670</v>
      </c>
    </row>
    <row r="5420" spans="1:2" ht="15.75" x14ac:dyDescent="0.25">
      <c r="A5420" s="344" t="s">
        <v>8671</v>
      </c>
      <c r="B5420" s="345" t="s">
        <v>8672</v>
      </c>
    </row>
    <row r="5421" spans="1:2" ht="15.75" x14ac:dyDescent="0.25">
      <c r="A5421" s="344" t="s">
        <v>8673</v>
      </c>
      <c r="B5421" s="345" t="s">
        <v>8674</v>
      </c>
    </row>
    <row r="5422" spans="1:2" ht="15.75" x14ac:dyDescent="0.25">
      <c r="A5422" s="344" t="s">
        <v>8675</v>
      </c>
      <c r="B5422" s="345" t="s">
        <v>8676</v>
      </c>
    </row>
    <row r="5423" spans="1:2" ht="15.75" x14ac:dyDescent="0.25">
      <c r="A5423" s="344" t="s">
        <v>8677</v>
      </c>
      <c r="B5423" s="345" t="s">
        <v>8678</v>
      </c>
    </row>
    <row r="5424" spans="1:2" ht="15.75" x14ac:dyDescent="0.25">
      <c r="A5424" s="344" t="s">
        <v>8679</v>
      </c>
      <c r="B5424" s="345" t="s">
        <v>8680</v>
      </c>
    </row>
    <row r="5425" spans="1:2" ht="15.75" x14ac:dyDescent="0.25">
      <c r="A5425" s="344" t="s">
        <v>8681</v>
      </c>
      <c r="B5425" s="345" t="s">
        <v>8682</v>
      </c>
    </row>
    <row r="5426" spans="1:2" ht="15.75" x14ac:dyDescent="0.25">
      <c r="A5426" s="344" t="s">
        <v>8683</v>
      </c>
      <c r="B5426" s="345" t="s">
        <v>8684</v>
      </c>
    </row>
    <row r="5427" spans="1:2" ht="15.75" x14ac:dyDescent="0.25">
      <c r="A5427" s="344" t="s">
        <v>8685</v>
      </c>
      <c r="B5427" s="345" t="s">
        <v>8686</v>
      </c>
    </row>
    <row r="5428" spans="1:2" ht="15.75" x14ac:dyDescent="0.25">
      <c r="A5428" s="344" t="s">
        <v>8687</v>
      </c>
      <c r="B5428" s="345" t="s">
        <v>8688</v>
      </c>
    </row>
    <row r="5429" spans="1:2" ht="15.75" x14ac:dyDescent="0.25">
      <c r="A5429" s="344" t="s">
        <v>8689</v>
      </c>
      <c r="B5429" s="345" t="s">
        <v>8690</v>
      </c>
    </row>
    <row r="5430" spans="1:2" ht="15.75" x14ac:dyDescent="0.25">
      <c r="A5430" s="344" t="s">
        <v>8691</v>
      </c>
      <c r="B5430" s="345" t="s">
        <v>8692</v>
      </c>
    </row>
    <row r="5431" spans="1:2" ht="15.75" x14ac:dyDescent="0.25">
      <c r="A5431" s="344" t="s">
        <v>8693</v>
      </c>
      <c r="B5431" s="345" t="s">
        <v>8694</v>
      </c>
    </row>
    <row r="5432" spans="1:2" ht="15.75" x14ac:dyDescent="0.25">
      <c r="A5432" s="344" t="s">
        <v>8695</v>
      </c>
      <c r="B5432" s="345" t="s">
        <v>8696</v>
      </c>
    </row>
    <row r="5433" spans="1:2" ht="15.75" x14ac:dyDescent="0.25">
      <c r="A5433" s="344" t="s">
        <v>8697</v>
      </c>
      <c r="B5433" s="345" t="s">
        <v>8698</v>
      </c>
    </row>
    <row r="5434" spans="1:2" ht="15.75" x14ac:dyDescent="0.25">
      <c r="A5434" s="344" t="s">
        <v>8699</v>
      </c>
      <c r="B5434" s="345" t="s">
        <v>8700</v>
      </c>
    </row>
    <row r="5435" spans="1:2" ht="15.75" x14ac:dyDescent="0.25">
      <c r="A5435" s="344" t="s">
        <v>8701</v>
      </c>
      <c r="B5435" s="345" t="s">
        <v>8702</v>
      </c>
    </row>
    <row r="5436" spans="1:2" ht="15.75" x14ac:dyDescent="0.25">
      <c r="A5436" s="344" t="s">
        <v>8703</v>
      </c>
      <c r="B5436" s="345" t="s">
        <v>8704</v>
      </c>
    </row>
    <row r="5437" spans="1:2" ht="15.75" x14ac:dyDescent="0.25">
      <c r="A5437" s="344" t="s">
        <v>8705</v>
      </c>
      <c r="B5437" s="345" t="s">
        <v>8706</v>
      </c>
    </row>
    <row r="5438" spans="1:2" ht="15.75" x14ac:dyDescent="0.25">
      <c r="A5438" s="344" t="s">
        <v>8707</v>
      </c>
      <c r="B5438" s="345" t="s">
        <v>8708</v>
      </c>
    </row>
    <row r="5439" spans="1:2" ht="15.75" x14ac:dyDescent="0.25">
      <c r="A5439" s="344" t="s">
        <v>8709</v>
      </c>
      <c r="B5439" s="345" t="s">
        <v>8710</v>
      </c>
    </row>
    <row r="5440" spans="1:2" ht="15.75" x14ac:dyDescent="0.25">
      <c r="A5440" s="344" t="s">
        <v>8711</v>
      </c>
      <c r="B5440" s="345" t="s">
        <v>8712</v>
      </c>
    </row>
    <row r="5441" spans="1:2" ht="15.75" x14ac:dyDescent="0.25">
      <c r="A5441" s="344" t="s">
        <v>8713</v>
      </c>
      <c r="B5441" s="345" t="s">
        <v>8714</v>
      </c>
    </row>
    <row r="5442" spans="1:2" ht="15.75" x14ac:dyDescent="0.25">
      <c r="A5442" s="344" t="s">
        <v>8715</v>
      </c>
      <c r="B5442" s="345" t="s">
        <v>8716</v>
      </c>
    </row>
    <row r="5443" spans="1:2" ht="15.75" x14ac:dyDescent="0.25">
      <c r="A5443" s="344" t="s">
        <v>8717</v>
      </c>
      <c r="B5443" s="345" t="s">
        <v>8718</v>
      </c>
    </row>
    <row r="5444" spans="1:2" ht="15.75" x14ac:dyDescent="0.25">
      <c r="A5444" s="344" t="s">
        <v>8719</v>
      </c>
      <c r="B5444" s="345" t="s">
        <v>8720</v>
      </c>
    </row>
    <row r="5445" spans="1:2" ht="15.75" x14ac:dyDescent="0.25">
      <c r="A5445" s="344" t="s">
        <v>8721</v>
      </c>
      <c r="B5445" s="345" t="s">
        <v>8722</v>
      </c>
    </row>
    <row r="5446" spans="1:2" ht="15.75" x14ac:dyDescent="0.25">
      <c r="A5446" s="344" t="s">
        <v>8723</v>
      </c>
      <c r="B5446" s="345" t="s">
        <v>8724</v>
      </c>
    </row>
    <row r="5447" spans="1:2" ht="15.75" x14ac:dyDescent="0.25">
      <c r="A5447" s="344" t="s">
        <v>8725</v>
      </c>
      <c r="B5447" s="345" t="s">
        <v>8726</v>
      </c>
    </row>
    <row r="5448" spans="1:2" ht="15.75" x14ac:dyDescent="0.25">
      <c r="A5448" s="344" t="s">
        <v>8727</v>
      </c>
      <c r="B5448" s="345" t="s">
        <v>8728</v>
      </c>
    </row>
    <row r="5449" spans="1:2" ht="15.75" x14ac:dyDescent="0.25">
      <c r="A5449" s="344" t="s">
        <v>8729</v>
      </c>
      <c r="B5449" s="345" t="s">
        <v>2984</v>
      </c>
    </row>
    <row r="5450" spans="1:2" ht="15.75" x14ac:dyDescent="0.25">
      <c r="A5450" s="344" t="s">
        <v>8730</v>
      </c>
      <c r="B5450" s="345" t="s">
        <v>8731</v>
      </c>
    </row>
    <row r="5451" spans="1:2" ht="15.75" x14ac:dyDescent="0.25">
      <c r="A5451" s="344" t="s">
        <v>8732</v>
      </c>
      <c r="B5451" s="345" t="s">
        <v>8733</v>
      </c>
    </row>
    <row r="5452" spans="1:2" ht="15.75" x14ac:dyDescent="0.25">
      <c r="A5452" s="344" t="s">
        <v>8734</v>
      </c>
      <c r="B5452" s="345" t="s">
        <v>8735</v>
      </c>
    </row>
    <row r="5453" spans="1:2" ht="15.75" x14ac:dyDescent="0.25">
      <c r="A5453" s="344" t="s">
        <v>8736</v>
      </c>
      <c r="B5453" s="345" t="s">
        <v>8737</v>
      </c>
    </row>
    <row r="5454" spans="1:2" ht="15.75" x14ac:dyDescent="0.25">
      <c r="A5454" s="344" t="s">
        <v>8738</v>
      </c>
      <c r="B5454" s="345" t="s">
        <v>2985</v>
      </c>
    </row>
    <row r="5455" spans="1:2" ht="15.75" x14ac:dyDescent="0.25">
      <c r="A5455" s="344" t="s">
        <v>8739</v>
      </c>
      <c r="B5455" s="345" t="s">
        <v>8740</v>
      </c>
    </row>
    <row r="5456" spans="1:2" ht="15.75" x14ac:dyDescent="0.25">
      <c r="A5456" s="344" t="s">
        <v>8741</v>
      </c>
      <c r="B5456" s="345" t="s">
        <v>8742</v>
      </c>
    </row>
    <row r="5457" spans="1:2" ht="15.75" x14ac:dyDescent="0.25">
      <c r="A5457" s="344" t="s">
        <v>8743</v>
      </c>
      <c r="B5457" s="345" t="s">
        <v>8744</v>
      </c>
    </row>
    <row r="5458" spans="1:2" ht="15.75" x14ac:dyDescent="0.25">
      <c r="A5458" s="344" t="s">
        <v>8745</v>
      </c>
      <c r="B5458" s="345" t="s">
        <v>8746</v>
      </c>
    </row>
    <row r="5459" spans="1:2" ht="15.75" x14ac:dyDescent="0.25">
      <c r="A5459" s="344" t="s">
        <v>8747</v>
      </c>
      <c r="B5459" s="345" t="s">
        <v>8748</v>
      </c>
    </row>
    <row r="5460" spans="1:2" ht="15.75" x14ac:dyDescent="0.25">
      <c r="A5460" s="344" t="s">
        <v>8749</v>
      </c>
      <c r="B5460" s="345" t="s">
        <v>8750</v>
      </c>
    </row>
    <row r="5461" spans="1:2" ht="15.75" x14ac:dyDescent="0.25">
      <c r="A5461" s="344" t="s">
        <v>8751</v>
      </c>
      <c r="B5461" s="345" t="s">
        <v>8752</v>
      </c>
    </row>
    <row r="5462" spans="1:2" ht="15.75" x14ac:dyDescent="0.25">
      <c r="A5462" s="344" t="s">
        <v>8753</v>
      </c>
      <c r="B5462" s="345" t="s">
        <v>2986</v>
      </c>
    </row>
    <row r="5463" spans="1:2" ht="15.75" x14ac:dyDescent="0.25">
      <c r="A5463" s="344" t="s">
        <v>8754</v>
      </c>
      <c r="B5463" s="345" t="s">
        <v>2987</v>
      </c>
    </row>
    <row r="5464" spans="1:2" ht="15.75" x14ac:dyDescent="0.25">
      <c r="A5464" s="344" t="s">
        <v>8755</v>
      </c>
      <c r="B5464" s="345" t="s">
        <v>2988</v>
      </c>
    </row>
    <row r="5465" spans="1:2" ht="15.75" x14ac:dyDescent="0.25">
      <c r="A5465" s="344" t="s">
        <v>8756</v>
      </c>
      <c r="B5465" s="345" t="s">
        <v>2989</v>
      </c>
    </row>
    <row r="5466" spans="1:2" ht="15.75" x14ac:dyDescent="0.25">
      <c r="A5466" s="344" t="s">
        <v>8757</v>
      </c>
      <c r="B5466" s="345" t="s">
        <v>2990</v>
      </c>
    </row>
    <row r="5467" spans="1:2" ht="15.75" x14ac:dyDescent="0.25">
      <c r="A5467" s="344" t="s">
        <v>8758</v>
      </c>
      <c r="B5467" s="345" t="s">
        <v>2991</v>
      </c>
    </row>
    <row r="5468" spans="1:2" ht="15.75" x14ac:dyDescent="0.25">
      <c r="A5468" s="344" t="s">
        <v>8759</v>
      </c>
      <c r="B5468" s="345" t="s">
        <v>2992</v>
      </c>
    </row>
    <row r="5469" spans="1:2" ht="15.75" x14ac:dyDescent="0.25">
      <c r="A5469" s="344" t="s">
        <v>8760</v>
      </c>
      <c r="B5469" s="345" t="s">
        <v>2993</v>
      </c>
    </row>
    <row r="5470" spans="1:2" ht="15.75" x14ac:dyDescent="0.25">
      <c r="A5470" s="344" t="s">
        <v>8761</v>
      </c>
      <c r="B5470" s="345" t="s">
        <v>2994</v>
      </c>
    </row>
    <row r="5471" spans="1:2" ht="15.75" x14ac:dyDescent="0.25">
      <c r="A5471" s="344" t="s">
        <v>8762</v>
      </c>
      <c r="B5471" s="345" t="s">
        <v>2995</v>
      </c>
    </row>
    <row r="5472" spans="1:2" ht="15.75" x14ac:dyDescent="0.25">
      <c r="A5472" s="344" t="s">
        <v>8763</v>
      </c>
      <c r="B5472" s="345" t="s">
        <v>2996</v>
      </c>
    </row>
    <row r="5473" spans="1:2" ht="15.75" x14ac:dyDescent="0.25">
      <c r="A5473" s="344" t="s">
        <v>8764</v>
      </c>
      <c r="B5473" s="345" t="s">
        <v>2997</v>
      </c>
    </row>
    <row r="5474" spans="1:2" ht="15.75" x14ac:dyDescent="0.25">
      <c r="A5474" s="344" t="s">
        <v>8765</v>
      </c>
      <c r="B5474" s="345" t="s">
        <v>2998</v>
      </c>
    </row>
    <row r="5475" spans="1:2" ht="15.75" x14ac:dyDescent="0.25">
      <c r="A5475" s="344" t="s">
        <v>8766</v>
      </c>
      <c r="B5475" s="345" t="s">
        <v>2999</v>
      </c>
    </row>
    <row r="5476" spans="1:2" ht="15.75" x14ac:dyDescent="0.25">
      <c r="A5476" s="344" t="s">
        <v>8767</v>
      </c>
      <c r="B5476" s="345" t="s">
        <v>3000</v>
      </c>
    </row>
    <row r="5477" spans="1:2" ht="15.75" x14ac:dyDescent="0.25">
      <c r="A5477" s="344" t="s">
        <v>8768</v>
      </c>
      <c r="B5477" s="345" t="s">
        <v>3001</v>
      </c>
    </row>
    <row r="5478" spans="1:2" ht="15.75" x14ac:dyDescent="0.25">
      <c r="A5478" s="344" t="s">
        <v>8769</v>
      </c>
      <c r="B5478" s="345" t="s">
        <v>3002</v>
      </c>
    </row>
    <row r="5479" spans="1:2" ht="15.75" x14ac:dyDescent="0.25">
      <c r="A5479" s="344" t="s">
        <v>8770</v>
      </c>
      <c r="B5479" s="345" t="s">
        <v>3003</v>
      </c>
    </row>
    <row r="5480" spans="1:2" ht="15.75" x14ac:dyDescent="0.25">
      <c r="A5480" s="344" t="s">
        <v>8771</v>
      </c>
      <c r="B5480" s="345" t="s">
        <v>3004</v>
      </c>
    </row>
    <row r="5481" spans="1:2" ht="15.75" x14ac:dyDescent="0.25">
      <c r="A5481" s="344" t="s">
        <v>8772</v>
      </c>
      <c r="B5481" s="345" t="s">
        <v>3005</v>
      </c>
    </row>
    <row r="5482" spans="1:2" ht="15.75" x14ac:dyDescent="0.25">
      <c r="A5482" s="344" t="s">
        <v>8773</v>
      </c>
      <c r="B5482" s="345" t="s">
        <v>3006</v>
      </c>
    </row>
    <row r="5483" spans="1:2" ht="15.75" x14ac:dyDescent="0.25">
      <c r="A5483" s="344" t="s">
        <v>8774</v>
      </c>
      <c r="B5483" s="345" t="s">
        <v>3007</v>
      </c>
    </row>
    <row r="5484" spans="1:2" ht="15.75" x14ac:dyDescent="0.25">
      <c r="A5484" s="344" t="s">
        <v>8775</v>
      </c>
      <c r="B5484" s="345" t="s">
        <v>3008</v>
      </c>
    </row>
    <row r="5485" spans="1:2" ht="15.75" x14ac:dyDescent="0.25">
      <c r="A5485" s="344" t="s">
        <v>8776</v>
      </c>
      <c r="B5485" s="345" t="s">
        <v>3009</v>
      </c>
    </row>
    <row r="5486" spans="1:2" ht="15.75" x14ac:dyDescent="0.25">
      <c r="A5486" s="344" t="s">
        <v>8777</v>
      </c>
      <c r="B5486" s="345" t="s">
        <v>3010</v>
      </c>
    </row>
    <row r="5487" spans="1:2" ht="15.75" x14ac:dyDescent="0.25">
      <c r="A5487" s="344" t="s">
        <v>8778</v>
      </c>
      <c r="B5487" s="345" t="s">
        <v>3011</v>
      </c>
    </row>
    <row r="5488" spans="1:2" ht="15.75" x14ac:dyDescent="0.25">
      <c r="A5488" s="344" t="s">
        <v>8779</v>
      </c>
      <c r="B5488" s="345" t="s">
        <v>3012</v>
      </c>
    </row>
    <row r="5489" spans="1:2" ht="15.75" x14ac:dyDescent="0.25">
      <c r="A5489" s="344" t="s">
        <v>8780</v>
      </c>
      <c r="B5489" s="345" t="s">
        <v>3013</v>
      </c>
    </row>
    <row r="5490" spans="1:2" ht="15.75" x14ac:dyDescent="0.25">
      <c r="A5490" s="344" t="s">
        <v>8781</v>
      </c>
      <c r="B5490" s="345" t="s">
        <v>3014</v>
      </c>
    </row>
    <row r="5491" spans="1:2" ht="15.75" x14ac:dyDescent="0.25">
      <c r="A5491" s="344" t="s">
        <v>8782</v>
      </c>
      <c r="B5491" s="345" t="s">
        <v>3015</v>
      </c>
    </row>
    <row r="5492" spans="1:2" ht="15.75" x14ac:dyDescent="0.25">
      <c r="A5492" s="344" t="s">
        <v>8783</v>
      </c>
      <c r="B5492" s="345" t="s">
        <v>3016</v>
      </c>
    </row>
    <row r="5493" spans="1:2" ht="15.75" x14ac:dyDescent="0.25">
      <c r="A5493" s="344" t="s">
        <v>8784</v>
      </c>
      <c r="B5493" s="345" t="s">
        <v>3017</v>
      </c>
    </row>
    <row r="5494" spans="1:2" ht="15.75" x14ac:dyDescent="0.25">
      <c r="A5494" s="344" t="s">
        <v>8785</v>
      </c>
      <c r="B5494" s="345" t="s">
        <v>3018</v>
      </c>
    </row>
    <row r="5495" spans="1:2" ht="15.75" x14ac:dyDescent="0.25">
      <c r="A5495" s="344" t="s">
        <v>8786</v>
      </c>
      <c r="B5495" s="345" t="s">
        <v>3019</v>
      </c>
    </row>
    <row r="5496" spans="1:2" ht="15.75" x14ac:dyDescent="0.25">
      <c r="A5496" s="344" t="s">
        <v>8787</v>
      </c>
      <c r="B5496" s="345" t="s">
        <v>3020</v>
      </c>
    </row>
    <row r="5497" spans="1:2" ht="15.75" x14ac:dyDescent="0.25">
      <c r="A5497" s="344" t="s">
        <v>8788</v>
      </c>
      <c r="B5497" s="345" t="s">
        <v>3021</v>
      </c>
    </row>
    <row r="5498" spans="1:2" ht="15.75" x14ac:dyDescent="0.25">
      <c r="A5498" s="344" t="s">
        <v>8789</v>
      </c>
      <c r="B5498" s="345" t="s">
        <v>3022</v>
      </c>
    </row>
    <row r="5499" spans="1:2" ht="15.75" x14ac:dyDescent="0.25">
      <c r="A5499" s="344" t="s">
        <v>8790</v>
      </c>
      <c r="B5499" s="345" t="s">
        <v>3023</v>
      </c>
    </row>
    <row r="5500" spans="1:2" ht="15.75" x14ac:dyDescent="0.25">
      <c r="A5500" s="344" t="s">
        <v>8791</v>
      </c>
      <c r="B5500" s="345" t="s">
        <v>3024</v>
      </c>
    </row>
    <row r="5501" spans="1:2" ht="15.75" x14ac:dyDescent="0.25">
      <c r="A5501" s="344" t="s">
        <v>8792</v>
      </c>
      <c r="B5501" s="345" t="s">
        <v>3025</v>
      </c>
    </row>
    <row r="5502" spans="1:2" ht="15.75" x14ac:dyDescent="0.25">
      <c r="A5502" s="344" t="s">
        <v>8793</v>
      </c>
      <c r="B5502" s="345" t="s">
        <v>3026</v>
      </c>
    </row>
    <row r="5503" spans="1:2" ht="15.75" x14ac:dyDescent="0.25">
      <c r="A5503" s="344" t="s">
        <v>8794</v>
      </c>
      <c r="B5503" s="345" t="s">
        <v>3027</v>
      </c>
    </row>
    <row r="5504" spans="1:2" ht="15.75" x14ac:dyDescent="0.25">
      <c r="A5504" s="344" t="s">
        <v>8795</v>
      </c>
      <c r="B5504" s="345" t="s">
        <v>3028</v>
      </c>
    </row>
    <row r="5505" spans="1:2" ht="15.75" x14ac:dyDescent="0.25">
      <c r="A5505" s="344" t="s">
        <v>8796</v>
      </c>
      <c r="B5505" s="345" t="s">
        <v>3029</v>
      </c>
    </row>
    <row r="5506" spans="1:2" ht="15.75" x14ac:dyDescent="0.25">
      <c r="A5506" s="344" t="s">
        <v>8797</v>
      </c>
      <c r="B5506" s="345" t="s">
        <v>3030</v>
      </c>
    </row>
    <row r="5507" spans="1:2" ht="15.75" x14ac:dyDescent="0.25">
      <c r="A5507" s="344" t="s">
        <v>8798</v>
      </c>
      <c r="B5507" s="345" t="s">
        <v>3031</v>
      </c>
    </row>
    <row r="5508" spans="1:2" ht="15.75" x14ac:dyDescent="0.25">
      <c r="A5508" s="344" t="s">
        <v>8799</v>
      </c>
      <c r="B5508" s="345" t="s">
        <v>3032</v>
      </c>
    </row>
    <row r="5509" spans="1:2" ht="15.75" x14ac:dyDescent="0.25">
      <c r="A5509" s="344" t="s">
        <v>8800</v>
      </c>
      <c r="B5509" s="345" t="s">
        <v>3033</v>
      </c>
    </row>
    <row r="5510" spans="1:2" ht="15.75" x14ac:dyDescent="0.25">
      <c r="A5510" s="344" t="s">
        <v>8801</v>
      </c>
      <c r="B5510" s="345" t="s">
        <v>3034</v>
      </c>
    </row>
    <row r="5511" spans="1:2" ht="15.75" x14ac:dyDescent="0.25">
      <c r="A5511" s="344" t="s">
        <v>8802</v>
      </c>
      <c r="B5511" s="345" t="s">
        <v>3035</v>
      </c>
    </row>
    <row r="5512" spans="1:2" ht="15.75" x14ac:dyDescent="0.25">
      <c r="A5512" s="344" t="s">
        <v>8803</v>
      </c>
      <c r="B5512" s="345" t="s">
        <v>3036</v>
      </c>
    </row>
    <row r="5513" spans="1:2" ht="15.75" x14ac:dyDescent="0.25">
      <c r="A5513" s="344" t="s">
        <v>8804</v>
      </c>
      <c r="B5513" s="345" t="s">
        <v>3037</v>
      </c>
    </row>
    <row r="5514" spans="1:2" ht="15.75" x14ac:dyDescent="0.25">
      <c r="A5514" s="344" t="s">
        <v>8805</v>
      </c>
      <c r="B5514" s="345" t="s">
        <v>3038</v>
      </c>
    </row>
    <row r="5515" spans="1:2" ht="15.75" x14ac:dyDescent="0.25">
      <c r="A5515" s="344" t="s">
        <v>8806</v>
      </c>
      <c r="B5515" s="345" t="s">
        <v>3039</v>
      </c>
    </row>
    <row r="5516" spans="1:2" ht="15.75" x14ac:dyDescent="0.25">
      <c r="A5516" s="344" t="s">
        <v>8807</v>
      </c>
      <c r="B5516" s="345" t="s">
        <v>3040</v>
      </c>
    </row>
    <row r="5517" spans="1:2" ht="15.75" x14ac:dyDescent="0.25">
      <c r="A5517" s="344" t="s">
        <v>8808</v>
      </c>
      <c r="B5517" s="345" t="s">
        <v>3041</v>
      </c>
    </row>
    <row r="5518" spans="1:2" ht="15.75" x14ac:dyDescent="0.25">
      <c r="A5518" s="344" t="s">
        <v>8809</v>
      </c>
      <c r="B5518" s="345" t="s">
        <v>3042</v>
      </c>
    </row>
    <row r="5519" spans="1:2" ht="15.75" x14ac:dyDescent="0.25">
      <c r="A5519" s="344" t="s">
        <v>8810</v>
      </c>
      <c r="B5519" s="345" t="s">
        <v>3043</v>
      </c>
    </row>
    <row r="5520" spans="1:2" ht="15.75" x14ac:dyDescent="0.25">
      <c r="A5520" s="344" t="s">
        <v>8811</v>
      </c>
      <c r="B5520" s="345" t="s">
        <v>3044</v>
      </c>
    </row>
    <row r="5521" spans="1:2" ht="15.75" x14ac:dyDescent="0.25">
      <c r="A5521" s="344" t="s">
        <v>8812</v>
      </c>
      <c r="B5521" s="345" t="s">
        <v>3045</v>
      </c>
    </row>
    <row r="5522" spans="1:2" ht="15.75" x14ac:dyDescent="0.25">
      <c r="A5522" s="344" t="s">
        <v>8813</v>
      </c>
      <c r="B5522" s="345" t="s">
        <v>3046</v>
      </c>
    </row>
    <row r="5523" spans="1:2" ht="15.75" x14ac:dyDescent="0.25">
      <c r="A5523" s="344" t="s">
        <v>8814</v>
      </c>
      <c r="B5523" s="345" t="s">
        <v>3047</v>
      </c>
    </row>
    <row r="5524" spans="1:2" ht="15.75" x14ac:dyDescent="0.25">
      <c r="A5524" s="344" t="s">
        <v>8815</v>
      </c>
      <c r="B5524" s="345" t="s">
        <v>3048</v>
      </c>
    </row>
    <row r="5525" spans="1:2" ht="15.75" x14ac:dyDescent="0.25">
      <c r="A5525" s="344" t="s">
        <v>8816</v>
      </c>
      <c r="B5525" s="345" t="s">
        <v>3049</v>
      </c>
    </row>
    <row r="5526" spans="1:2" ht="15.75" x14ac:dyDescent="0.25">
      <c r="A5526" s="344" t="s">
        <v>8817</v>
      </c>
      <c r="B5526" s="345" t="s">
        <v>3050</v>
      </c>
    </row>
    <row r="5527" spans="1:2" ht="15.75" x14ac:dyDescent="0.25">
      <c r="A5527" s="344" t="s">
        <v>8818</v>
      </c>
      <c r="B5527" s="345" t="s">
        <v>3051</v>
      </c>
    </row>
    <row r="5528" spans="1:2" ht="15.75" x14ac:dyDescent="0.25">
      <c r="A5528" s="344" t="s">
        <v>8819</v>
      </c>
      <c r="B5528" s="345" t="s">
        <v>3052</v>
      </c>
    </row>
    <row r="5529" spans="1:2" ht="15.75" x14ac:dyDescent="0.25">
      <c r="A5529" s="344" t="s">
        <v>8820</v>
      </c>
      <c r="B5529" s="345" t="s">
        <v>3053</v>
      </c>
    </row>
    <row r="5530" spans="1:2" ht="15.75" x14ac:dyDescent="0.25">
      <c r="A5530" s="344" t="s">
        <v>8821</v>
      </c>
      <c r="B5530" s="345" t="s">
        <v>3054</v>
      </c>
    </row>
    <row r="5531" spans="1:2" ht="15.75" x14ac:dyDescent="0.25">
      <c r="A5531" s="344" t="s">
        <v>8822</v>
      </c>
      <c r="B5531" s="345" t="s">
        <v>3055</v>
      </c>
    </row>
    <row r="5532" spans="1:2" ht="15.75" x14ac:dyDescent="0.25">
      <c r="A5532" s="344" t="s">
        <v>8823</v>
      </c>
      <c r="B5532" s="345" t="s">
        <v>3056</v>
      </c>
    </row>
    <row r="5533" spans="1:2" ht="15.75" x14ac:dyDescent="0.25">
      <c r="A5533" s="344" t="s">
        <v>8824</v>
      </c>
      <c r="B5533" s="345" t="s">
        <v>3057</v>
      </c>
    </row>
    <row r="5534" spans="1:2" ht="15.75" x14ac:dyDescent="0.25">
      <c r="A5534" s="344" t="s">
        <v>8825</v>
      </c>
      <c r="B5534" s="345" t="s">
        <v>3058</v>
      </c>
    </row>
    <row r="5535" spans="1:2" ht="15.75" x14ac:dyDescent="0.25">
      <c r="A5535" s="344" t="s">
        <v>8826</v>
      </c>
      <c r="B5535" s="345" t="s">
        <v>3059</v>
      </c>
    </row>
    <row r="5536" spans="1:2" ht="15.75" x14ac:dyDescent="0.25">
      <c r="A5536" s="344" t="s">
        <v>8827</v>
      </c>
      <c r="B5536" s="345" t="s">
        <v>3060</v>
      </c>
    </row>
    <row r="5537" spans="1:2" ht="15.75" x14ac:dyDescent="0.25">
      <c r="A5537" s="344" t="s">
        <v>8828</v>
      </c>
      <c r="B5537" s="345" t="s">
        <v>3061</v>
      </c>
    </row>
    <row r="5538" spans="1:2" ht="15.75" x14ac:dyDescent="0.25">
      <c r="A5538" s="344" t="s">
        <v>8829</v>
      </c>
      <c r="B5538" s="345" t="s">
        <v>3062</v>
      </c>
    </row>
    <row r="5539" spans="1:2" ht="15.75" x14ac:dyDescent="0.25">
      <c r="A5539" s="344" t="s">
        <v>8830</v>
      </c>
      <c r="B5539" s="345" t="s">
        <v>3063</v>
      </c>
    </row>
    <row r="5540" spans="1:2" ht="15.75" x14ac:dyDescent="0.25">
      <c r="A5540" s="344" t="s">
        <v>8831</v>
      </c>
      <c r="B5540" s="345" t="s">
        <v>3064</v>
      </c>
    </row>
    <row r="5541" spans="1:2" ht="15.75" x14ac:dyDescent="0.25">
      <c r="A5541" s="344" t="s">
        <v>8832</v>
      </c>
      <c r="B5541" s="345" t="s">
        <v>3065</v>
      </c>
    </row>
    <row r="5542" spans="1:2" ht="15.75" x14ac:dyDescent="0.25">
      <c r="A5542" s="344" t="s">
        <v>8833</v>
      </c>
      <c r="B5542" s="345" t="s">
        <v>3066</v>
      </c>
    </row>
    <row r="5543" spans="1:2" ht="15.75" x14ac:dyDescent="0.25">
      <c r="A5543" s="344" t="s">
        <v>8834</v>
      </c>
      <c r="B5543" s="345" t="s">
        <v>3067</v>
      </c>
    </row>
    <row r="5544" spans="1:2" ht="15.75" x14ac:dyDescent="0.25">
      <c r="A5544" s="344" t="s">
        <v>8835</v>
      </c>
      <c r="B5544" s="345" t="s">
        <v>3068</v>
      </c>
    </row>
    <row r="5545" spans="1:2" ht="15.75" x14ac:dyDescent="0.25">
      <c r="A5545" s="344" t="s">
        <v>8836</v>
      </c>
      <c r="B5545" s="345" t="s">
        <v>3069</v>
      </c>
    </row>
    <row r="5546" spans="1:2" ht="15.75" x14ac:dyDescent="0.25">
      <c r="A5546" s="344" t="s">
        <v>8837</v>
      </c>
      <c r="B5546" s="345" t="s">
        <v>3070</v>
      </c>
    </row>
    <row r="5547" spans="1:2" ht="15.75" x14ac:dyDescent="0.25">
      <c r="A5547" s="344" t="s">
        <v>8838</v>
      </c>
      <c r="B5547" s="345" t="s">
        <v>3071</v>
      </c>
    </row>
    <row r="5548" spans="1:2" ht="15.75" x14ac:dyDescent="0.25">
      <c r="A5548" s="344" t="s">
        <v>8839</v>
      </c>
      <c r="B5548" s="345" t="s">
        <v>8840</v>
      </c>
    </row>
    <row r="5549" spans="1:2" ht="15.75" x14ac:dyDescent="0.25">
      <c r="A5549" s="344" t="s">
        <v>8841</v>
      </c>
      <c r="B5549" s="345" t="s">
        <v>8842</v>
      </c>
    </row>
    <row r="5550" spans="1:2" ht="15.75" x14ac:dyDescent="0.25">
      <c r="A5550" s="344" t="s">
        <v>8843</v>
      </c>
      <c r="B5550" s="345" t="s">
        <v>8844</v>
      </c>
    </row>
    <row r="5551" spans="1:2" ht="15.75" x14ac:dyDescent="0.25">
      <c r="A5551" s="344" t="s">
        <v>8845</v>
      </c>
      <c r="B5551" s="345" t="s">
        <v>8846</v>
      </c>
    </row>
    <row r="5552" spans="1:2" ht="15.75" x14ac:dyDescent="0.25">
      <c r="A5552" s="344" t="s">
        <v>8847</v>
      </c>
      <c r="B5552" s="345" t="s">
        <v>8848</v>
      </c>
    </row>
    <row r="5553" spans="1:2" ht="15.75" x14ac:dyDescent="0.25">
      <c r="A5553" s="344" t="s">
        <v>8849</v>
      </c>
      <c r="B5553" s="345" t="s">
        <v>8850</v>
      </c>
    </row>
    <row r="5554" spans="1:2" ht="15.75" x14ac:dyDescent="0.25">
      <c r="A5554" s="344" t="s">
        <v>8851</v>
      </c>
      <c r="B5554" s="345" t="s">
        <v>8852</v>
      </c>
    </row>
    <row r="5555" spans="1:2" ht="15.75" x14ac:dyDescent="0.25">
      <c r="A5555" s="344" t="s">
        <v>8853</v>
      </c>
      <c r="B5555" s="345" t="s">
        <v>8854</v>
      </c>
    </row>
    <row r="5556" spans="1:2" ht="15.75" x14ac:dyDescent="0.25">
      <c r="A5556" s="344" t="s">
        <v>8855</v>
      </c>
      <c r="B5556" s="345" t="s">
        <v>8856</v>
      </c>
    </row>
    <row r="5557" spans="1:2" ht="15.75" x14ac:dyDescent="0.25">
      <c r="A5557" s="344" t="s">
        <v>8857</v>
      </c>
      <c r="B5557" s="345" t="s">
        <v>8858</v>
      </c>
    </row>
    <row r="5558" spans="1:2" ht="15.75" x14ac:dyDescent="0.25">
      <c r="A5558" s="344" t="s">
        <v>8859</v>
      </c>
      <c r="B5558" s="345" t="s">
        <v>8860</v>
      </c>
    </row>
    <row r="5559" spans="1:2" ht="15.75" x14ac:dyDescent="0.25">
      <c r="A5559" s="344" t="s">
        <v>8861</v>
      </c>
      <c r="B5559" s="345" t="s">
        <v>8862</v>
      </c>
    </row>
    <row r="5560" spans="1:2" ht="15.75" x14ac:dyDescent="0.25">
      <c r="A5560" s="344" t="s">
        <v>8863</v>
      </c>
      <c r="B5560" s="345" t="s">
        <v>8864</v>
      </c>
    </row>
    <row r="5561" spans="1:2" ht="15.75" x14ac:dyDescent="0.25">
      <c r="A5561" s="344" t="s">
        <v>8865</v>
      </c>
      <c r="B5561" s="345" t="s">
        <v>8866</v>
      </c>
    </row>
    <row r="5562" spans="1:2" ht="15.75" x14ac:dyDescent="0.25">
      <c r="A5562" s="344" t="s">
        <v>8867</v>
      </c>
      <c r="B5562" s="345" t="s">
        <v>8868</v>
      </c>
    </row>
    <row r="5563" spans="1:2" ht="15.75" x14ac:dyDescent="0.25">
      <c r="A5563" s="344" t="s">
        <v>8869</v>
      </c>
      <c r="B5563" s="345" t="s">
        <v>8870</v>
      </c>
    </row>
    <row r="5564" spans="1:2" ht="15.75" x14ac:dyDescent="0.25">
      <c r="A5564" s="344" t="s">
        <v>8871</v>
      </c>
      <c r="B5564" s="345" t="s">
        <v>8872</v>
      </c>
    </row>
    <row r="5565" spans="1:2" ht="15.75" x14ac:dyDescent="0.25">
      <c r="A5565" s="344" t="s">
        <v>8873</v>
      </c>
      <c r="B5565" s="345" t="s">
        <v>3072</v>
      </c>
    </row>
    <row r="5566" spans="1:2" ht="15.75" x14ac:dyDescent="0.25">
      <c r="A5566" s="344" t="s">
        <v>8874</v>
      </c>
      <c r="B5566" s="345" t="s">
        <v>3073</v>
      </c>
    </row>
    <row r="5567" spans="1:2" ht="15.75" x14ac:dyDescent="0.25">
      <c r="A5567" s="344" t="s">
        <v>8875</v>
      </c>
      <c r="B5567" s="345" t="s">
        <v>8876</v>
      </c>
    </row>
    <row r="5568" spans="1:2" ht="15.75" x14ac:dyDescent="0.25">
      <c r="A5568" s="344" t="s">
        <v>8877</v>
      </c>
      <c r="B5568" s="345" t="s">
        <v>3074</v>
      </c>
    </row>
    <row r="5569" spans="1:2" ht="15.75" x14ac:dyDescent="0.25">
      <c r="A5569" s="344" t="s">
        <v>8878</v>
      </c>
      <c r="B5569" s="345" t="s">
        <v>3074</v>
      </c>
    </row>
    <row r="5570" spans="1:2" ht="15.75" x14ac:dyDescent="0.25">
      <c r="A5570" s="344" t="s">
        <v>8879</v>
      </c>
      <c r="B5570" s="345" t="s">
        <v>3075</v>
      </c>
    </row>
    <row r="5571" spans="1:2" ht="15.75" x14ac:dyDescent="0.25">
      <c r="A5571" s="344" t="s">
        <v>8880</v>
      </c>
      <c r="B5571" s="345" t="s">
        <v>3076</v>
      </c>
    </row>
    <row r="5572" spans="1:2" ht="15.75" x14ac:dyDescent="0.25">
      <c r="A5572" s="344" t="s">
        <v>8881</v>
      </c>
      <c r="B5572" s="345" t="s">
        <v>3077</v>
      </c>
    </row>
    <row r="5573" spans="1:2" ht="15.75" x14ac:dyDescent="0.25">
      <c r="A5573" s="344" t="s">
        <v>8882</v>
      </c>
      <c r="B5573" s="345" t="s">
        <v>3078</v>
      </c>
    </row>
    <row r="5574" spans="1:2" ht="15.75" x14ac:dyDescent="0.25">
      <c r="A5574" s="344" t="s">
        <v>8883</v>
      </c>
      <c r="B5574" s="345" t="s">
        <v>3079</v>
      </c>
    </row>
    <row r="5575" spans="1:2" ht="15.75" x14ac:dyDescent="0.25">
      <c r="A5575" s="344" t="s">
        <v>8884</v>
      </c>
      <c r="B5575" s="345" t="s">
        <v>3080</v>
      </c>
    </row>
    <row r="5576" spans="1:2" ht="15.75" x14ac:dyDescent="0.25">
      <c r="A5576" s="344" t="s">
        <v>8885</v>
      </c>
      <c r="B5576" s="345" t="s">
        <v>3081</v>
      </c>
    </row>
    <row r="5577" spans="1:2" ht="15.75" x14ac:dyDescent="0.25">
      <c r="A5577" s="344" t="s">
        <v>8886</v>
      </c>
      <c r="B5577" s="345" t="s">
        <v>3082</v>
      </c>
    </row>
    <row r="5578" spans="1:2" ht="15.75" x14ac:dyDescent="0.25">
      <c r="A5578" s="344" t="s">
        <v>8887</v>
      </c>
      <c r="B5578" s="345" t="s">
        <v>3083</v>
      </c>
    </row>
    <row r="5579" spans="1:2" ht="15.75" x14ac:dyDescent="0.25">
      <c r="A5579" s="344" t="s">
        <v>8888</v>
      </c>
      <c r="B5579" s="345" t="s">
        <v>3084</v>
      </c>
    </row>
    <row r="5580" spans="1:2" ht="15.75" x14ac:dyDescent="0.25">
      <c r="A5580" s="344" t="s">
        <v>8889</v>
      </c>
      <c r="B5580" s="345" t="s">
        <v>2251</v>
      </c>
    </row>
    <row r="5581" spans="1:2" ht="15.75" x14ac:dyDescent="0.25">
      <c r="A5581" s="344" t="s">
        <v>8890</v>
      </c>
      <c r="B5581" s="345" t="s">
        <v>8891</v>
      </c>
    </row>
    <row r="5582" spans="1:2" ht="15.75" x14ac:dyDescent="0.25">
      <c r="A5582" s="344" t="s">
        <v>8892</v>
      </c>
      <c r="B5582" s="345" t="s">
        <v>3085</v>
      </c>
    </row>
    <row r="5583" spans="1:2" ht="15.75" x14ac:dyDescent="0.25">
      <c r="A5583" s="344" t="s">
        <v>8893</v>
      </c>
      <c r="B5583" s="345" t="s">
        <v>3086</v>
      </c>
    </row>
    <row r="5584" spans="1:2" ht="15.75" x14ac:dyDescent="0.25">
      <c r="A5584" s="344" t="s">
        <v>8894</v>
      </c>
      <c r="B5584" s="345" t="s">
        <v>3087</v>
      </c>
    </row>
    <row r="5585" spans="1:2" ht="15.75" x14ac:dyDescent="0.25">
      <c r="A5585" s="344" t="s">
        <v>8895</v>
      </c>
      <c r="B5585" s="345" t="s">
        <v>3088</v>
      </c>
    </row>
    <row r="5586" spans="1:2" ht="15.75" x14ac:dyDescent="0.25">
      <c r="A5586" s="344" t="s">
        <v>8896</v>
      </c>
      <c r="B5586" s="345" t="s">
        <v>3089</v>
      </c>
    </row>
    <row r="5587" spans="1:2" ht="15.75" x14ac:dyDescent="0.25">
      <c r="A5587" s="344" t="s">
        <v>8897</v>
      </c>
      <c r="B5587" s="345" t="s">
        <v>3090</v>
      </c>
    </row>
    <row r="5588" spans="1:2" ht="15.75" x14ac:dyDescent="0.25">
      <c r="A5588" s="344" t="s">
        <v>8898</v>
      </c>
      <c r="B5588" s="345" t="s">
        <v>8899</v>
      </c>
    </row>
    <row r="5589" spans="1:2" ht="15.75" x14ac:dyDescent="0.25">
      <c r="A5589" s="344" t="s">
        <v>8900</v>
      </c>
      <c r="B5589" s="345" t="s">
        <v>8901</v>
      </c>
    </row>
    <row r="5590" spans="1:2" ht="15.75" x14ac:dyDescent="0.25">
      <c r="A5590" s="344" t="s">
        <v>8902</v>
      </c>
      <c r="B5590" s="345" t="s">
        <v>8903</v>
      </c>
    </row>
    <row r="5591" spans="1:2" ht="15.75" x14ac:dyDescent="0.25">
      <c r="A5591" s="344" t="s">
        <v>8904</v>
      </c>
      <c r="B5591" s="345" t="s">
        <v>3091</v>
      </c>
    </row>
    <row r="5592" spans="1:2" ht="15.75" x14ac:dyDescent="0.25">
      <c r="A5592" s="344" t="s">
        <v>8905</v>
      </c>
      <c r="B5592" s="345" t="s">
        <v>8906</v>
      </c>
    </row>
    <row r="5593" spans="1:2" ht="15.75" x14ac:dyDescent="0.25">
      <c r="A5593" s="344" t="s">
        <v>8907</v>
      </c>
      <c r="B5593" s="345" t="s">
        <v>3092</v>
      </c>
    </row>
    <row r="5594" spans="1:2" ht="15.75" x14ac:dyDescent="0.25">
      <c r="A5594" s="344" t="s">
        <v>8908</v>
      </c>
      <c r="B5594" s="345" t="s">
        <v>8909</v>
      </c>
    </row>
    <row r="5595" spans="1:2" ht="15.75" x14ac:dyDescent="0.25">
      <c r="A5595" s="344" t="s">
        <v>8910</v>
      </c>
      <c r="B5595" s="345" t="s">
        <v>3093</v>
      </c>
    </row>
    <row r="5596" spans="1:2" ht="15.75" x14ac:dyDescent="0.25">
      <c r="A5596" s="344" t="s">
        <v>8911</v>
      </c>
      <c r="B5596" s="345" t="s">
        <v>3094</v>
      </c>
    </row>
    <row r="5597" spans="1:2" ht="15.75" x14ac:dyDescent="0.25">
      <c r="A5597" s="344" t="s">
        <v>8912</v>
      </c>
      <c r="B5597" s="345" t="s">
        <v>3095</v>
      </c>
    </row>
    <row r="5598" spans="1:2" ht="15.75" x14ac:dyDescent="0.25">
      <c r="A5598" s="344" t="s">
        <v>8913</v>
      </c>
      <c r="B5598" s="345" t="s">
        <v>3096</v>
      </c>
    </row>
    <row r="5599" spans="1:2" ht="15.75" x14ac:dyDescent="0.25">
      <c r="A5599" s="344" t="s">
        <v>8914</v>
      </c>
      <c r="B5599" s="345" t="s">
        <v>3097</v>
      </c>
    </row>
    <row r="5600" spans="1:2" ht="15.75" x14ac:dyDescent="0.25">
      <c r="A5600" s="344" t="s">
        <v>8915</v>
      </c>
      <c r="B5600" s="345" t="s">
        <v>3098</v>
      </c>
    </row>
    <row r="5601" spans="1:2" ht="15.75" x14ac:dyDescent="0.25">
      <c r="A5601" s="344" t="s">
        <v>8916</v>
      </c>
      <c r="B5601" s="345" t="s">
        <v>3099</v>
      </c>
    </row>
    <row r="5602" spans="1:2" ht="15.75" x14ac:dyDescent="0.25">
      <c r="A5602" s="344" t="s">
        <v>8917</v>
      </c>
      <c r="B5602" s="345" t="s">
        <v>3100</v>
      </c>
    </row>
    <row r="5603" spans="1:2" ht="15.75" x14ac:dyDescent="0.25">
      <c r="A5603" s="344" t="s">
        <v>8918</v>
      </c>
      <c r="B5603" s="345" t="s">
        <v>3101</v>
      </c>
    </row>
    <row r="5604" spans="1:2" ht="15.75" x14ac:dyDescent="0.25">
      <c r="A5604" s="344" t="s">
        <v>8919</v>
      </c>
      <c r="B5604" s="345" t="s">
        <v>3102</v>
      </c>
    </row>
    <row r="5605" spans="1:2" ht="15.75" x14ac:dyDescent="0.25">
      <c r="A5605" s="344" t="s">
        <v>8920</v>
      </c>
      <c r="B5605" s="345" t="s">
        <v>8921</v>
      </c>
    </row>
    <row r="5606" spans="1:2" ht="15.75" x14ac:dyDescent="0.25">
      <c r="A5606" s="344" t="s">
        <v>8922</v>
      </c>
      <c r="B5606" s="345" t="s">
        <v>8923</v>
      </c>
    </row>
    <row r="5607" spans="1:2" ht="15.75" x14ac:dyDescent="0.25">
      <c r="A5607" s="344" t="s">
        <v>8924</v>
      </c>
      <c r="B5607" s="345" t="s">
        <v>3103</v>
      </c>
    </row>
    <row r="5608" spans="1:2" ht="15.75" x14ac:dyDescent="0.25">
      <c r="A5608" s="344" t="s">
        <v>8925</v>
      </c>
      <c r="B5608" s="345" t="s">
        <v>8926</v>
      </c>
    </row>
    <row r="5609" spans="1:2" ht="15.75" x14ac:dyDescent="0.25">
      <c r="A5609" s="344" t="s">
        <v>8927</v>
      </c>
      <c r="B5609" s="345" t="s">
        <v>8928</v>
      </c>
    </row>
    <row r="5610" spans="1:2" ht="15.75" x14ac:dyDescent="0.25">
      <c r="A5610" s="344" t="s">
        <v>8929</v>
      </c>
      <c r="B5610" s="345" t="s">
        <v>8930</v>
      </c>
    </row>
    <row r="5611" spans="1:2" ht="15.75" x14ac:dyDescent="0.25">
      <c r="A5611" s="344" t="s">
        <v>8931</v>
      </c>
      <c r="B5611" s="345" t="s">
        <v>8932</v>
      </c>
    </row>
    <row r="5612" spans="1:2" ht="15.75" x14ac:dyDescent="0.25">
      <c r="A5612" s="344" t="s">
        <v>8933</v>
      </c>
      <c r="B5612" s="345" t="s">
        <v>8934</v>
      </c>
    </row>
    <row r="5613" spans="1:2" ht="15.75" x14ac:dyDescent="0.25">
      <c r="A5613" s="344" t="s">
        <v>8935</v>
      </c>
      <c r="B5613" s="345" t="s">
        <v>3104</v>
      </c>
    </row>
    <row r="5614" spans="1:2" ht="15.75" x14ac:dyDescent="0.25">
      <c r="A5614" s="344" t="s">
        <v>8936</v>
      </c>
      <c r="B5614" s="345" t="s">
        <v>3105</v>
      </c>
    </row>
    <row r="5615" spans="1:2" ht="15.75" x14ac:dyDescent="0.25">
      <c r="A5615" s="344" t="s">
        <v>8937</v>
      </c>
      <c r="B5615" s="345" t="s">
        <v>3106</v>
      </c>
    </row>
    <row r="5616" spans="1:2" ht="15.75" x14ac:dyDescent="0.25">
      <c r="A5616" s="344" t="s">
        <v>8938</v>
      </c>
      <c r="B5616" s="345" t="s">
        <v>3107</v>
      </c>
    </row>
    <row r="5617" spans="1:2" ht="15.75" x14ac:dyDescent="0.25">
      <c r="A5617" s="344" t="s">
        <v>8939</v>
      </c>
      <c r="B5617" s="345" t="s">
        <v>3108</v>
      </c>
    </row>
    <row r="5618" spans="1:2" ht="15.75" x14ac:dyDescent="0.25">
      <c r="A5618" s="344" t="s">
        <v>8940</v>
      </c>
      <c r="B5618" s="345" t="s">
        <v>8941</v>
      </c>
    </row>
    <row r="5619" spans="1:2" ht="15.75" x14ac:dyDescent="0.25">
      <c r="A5619" s="344" t="s">
        <v>8942</v>
      </c>
      <c r="B5619" s="345" t="s">
        <v>3109</v>
      </c>
    </row>
    <row r="5620" spans="1:2" ht="15.75" x14ac:dyDescent="0.25">
      <c r="A5620" s="344" t="s">
        <v>8943</v>
      </c>
      <c r="B5620" s="345" t="s">
        <v>3110</v>
      </c>
    </row>
    <row r="5621" spans="1:2" ht="15.75" x14ac:dyDescent="0.25">
      <c r="A5621" s="344" t="s">
        <v>8944</v>
      </c>
      <c r="B5621" s="345" t="s">
        <v>3111</v>
      </c>
    </row>
    <row r="5622" spans="1:2" ht="15.75" x14ac:dyDescent="0.25">
      <c r="A5622" s="344" t="s">
        <v>8945</v>
      </c>
      <c r="B5622" s="345" t="s">
        <v>3112</v>
      </c>
    </row>
    <row r="5623" spans="1:2" ht="15.75" x14ac:dyDescent="0.25">
      <c r="A5623" s="344" t="s">
        <v>8946</v>
      </c>
      <c r="B5623" s="345" t="s">
        <v>3113</v>
      </c>
    </row>
    <row r="5624" spans="1:2" ht="15.75" x14ac:dyDescent="0.25">
      <c r="A5624" s="344" t="s">
        <v>8947</v>
      </c>
      <c r="B5624" s="345" t="s">
        <v>3114</v>
      </c>
    </row>
    <row r="5625" spans="1:2" ht="15.75" x14ac:dyDescent="0.25">
      <c r="A5625" s="344" t="s">
        <v>8948</v>
      </c>
      <c r="B5625" s="345" t="s">
        <v>8949</v>
      </c>
    </row>
    <row r="5626" spans="1:2" ht="15.75" x14ac:dyDescent="0.25">
      <c r="A5626" s="344" t="s">
        <v>8950</v>
      </c>
      <c r="B5626" s="345" t="s">
        <v>8951</v>
      </c>
    </row>
    <row r="5627" spans="1:2" ht="15.75" x14ac:dyDescent="0.25">
      <c r="A5627" s="344" t="s">
        <v>8952</v>
      </c>
      <c r="B5627" s="345" t="s">
        <v>3115</v>
      </c>
    </row>
    <row r="5628" spans="1:2" ht="15.75" x14ac:dyDescent="0.25">
      <c r="A5628" s="344" t="s">
        <v>8953</v>
      </c>
      <c r="B5628" s="345" t="s">
        <v>3116</v>
      </c>
    </row>
    <row r="5629" spans="1:2" ht="15.75" x14ac:dyDescent="0.25">
      <c r="A5629" s="344" t="s">
        <v>8954</v>
      </c>
      <c r="B5629" s="345" t="s">
        <v>3117</v>
      </c>
    </row>
    <row r="5630" spans="1:2" ht="15.75" x14ac:dyDescent="0.25">
      <c r="A5630" s="344" t="s">
        <v>8955</v>
      </c>
      <c r="B5630" s="345" t="s">
        <v>3117</v>
      </c>
    </row>
    <row r="5631" spans="1:2" ht="15.75" x14ac:dyDescent="0.25">
      <c r="A5631" s="344" t="s">
        <v>8956</v>
      </c>
      <c r="B5631" s="345" t="s">
        <v>3118</v>
      </c>
    </row>
    <row r="5632" spans="1:2" ht="15.75" x14ac:dyDescent="0.25">
      <c r="A5632" s="344" t="s">
        <v>8957</v>
      </c>
      <c r="B5632" s="345" t="s">
        <v>8958</v>
      </c>
    </row>
    <row r="5633" spans="1:2" ht="15.75" x14ac:dyDescent="0.25">
      <c r="A5633" s="344" t="s">
        <v>8959</v>
      </c>
      <c r="B5633" s="345" t="s">
        <v>3119</v>
      </c>
    </row>
    <row r="5634" spans="1:2" ht="15.75" x14ac:dyDescent="0.25">
      <c r="A5634" s="344" t="s">
        <v>8960</v>
      </c>
      <c r="B5634" s="345" t="s">
        <v>3120</v>
      </c>
    </row>
    <row r="5635" spans="1:2" ht="15.75" x14ac:dyDescent="0.25">
      <c r="A5635" s="344" t="s">
        <v>8961</v>
      </c>
      <c r="B5635" s="345" t="s">
        <v>8962</v>
      </c>
    </row>
    <row r="5636" spans="1:2" ht="15.75" x14ac:dyDescent="0.25">
      <c r="A5636" s="344" t="s">
        <v>8963</v>
      </c>
      <c r="B5636" s="345" t="s">
        <v>3121</v>
      </c>
    </row>
    <row r="5637" spans="1:2" ht="15.75" x14ac:dyDescent="0.25">
      <c r="A5637" s="344" t="s">
        <v>8964</v>
      </c>
      <c r="B5637" s="345" t="s">
        <v>8965</v>
      </c>
    </row>
    <row r="5638" spans="1:2" ht="15.75" x14ac:dyDescent="0.25">
      <c r="A5638" s="344" t="s">
        <v>8966</v>
      </c>
      <c r="B5638" s="345" t="s">
        <v>8967</v>
      </c>
    </row>
    <row r="5639" spans="1:2" ht="15.75" x14ac:dyDescent="0.25">
      <c r="A5639" s="344" t="s">
        <v>8968</v>
      </c>
      <c r="B5639" s="345" t="s">
        <v>8969</v>
      </c>
    </row>
    <row r="5640" spans="1:2" ht="15.75" x14ac:dyDescent="0.25">
      <c r="A5640" s="344" t="s">
        <v>8970</v>
      </c>
      <c r="B5640" s="345" t="s">
        <v>8971</v>
      </c>
    </row>
    <row r="5641" spans="1:2" ht="15.75" x14ac:dyDescent="0.25">
      <c r="A5641" s="344" t="s">
        <v>8972</v>
      </c>
      <c r="B5641" s="345" t="s">
        <v>8973</v>
      </c>
    </row>
    <row r="5642" spans="1:2" ht="15.75" x14ac:dyDescent="0.25">
      <c r="A5642" s="344" t="s">
        <v>8974</v>
      </c>
      <c r="B5642" s="345" t="s">
        <v>8975</v>
      </c>
    </row>
    <row r="5643" spans="1:2" ht="15.75" x14ac:dyDescent="0.25">
      <c r="A5643" s="344" t="s">
        <v>8976</v>
      </c>
      <c r="B5643" s="345" t="s">
        <v>8977</v>
      </c>
    </row>
    <row r="5644" spans="1:2" ht="15.75" x14ac:dyDescent="0.25">
      <c r="A5644" s="344" t="s">
        <v>8978</v>
      </c>
      <c r="B5644" s="345" t="s">
        <v>8979</v>
      </c>
    </row>
    <row r="5645" spans="1:2" ht="15.75" x14ac:dyDescent="0.25">
      <c r="A5645" s="344" t="s">
        <v>8980</v>
      </c>
      <c r="B5645" s="345" t="s">
        <v>3122</v>
      </c>
    </row>
    <row r="5646" spans="1:2" ht="15.75" x14ac:dyDescent="0.25">
      <c r="A5646" s="344" t="s">
        <v>8981</v>
      </c>
      <c r="B5646" s="345" t="s">
        <v>3123</v>
      </c>
    </row>
    <row r="5647" spans="1:2" ht="15.75" x14ac:dyDescent="0.25">
      <c r="A5647" s="344" t="s">
        <v>8982</v>
      </c>
      <c r="B5647" s="345" t="s">
        <v>3124</v>
      </c>
    </row>
    <row r="5648" spans="1:2" ht="15.75" x14ac:dyDescent="0.25">
      <c r="A5648" s="344" t="s">
        <v>8983</v>
      </c>
      <c r="B5648" s="345" t="s">
        <v>3125</v>
      </c>
    </row>
    <row r="5649" spans="1:2" ht="15.75" x14ac:dyDescent="0.25">
      <c r="A5649" s="344" t="s">
        <v>8984</v>
      </c>
      <c r="B5649" s="345" t="s">
        <v>3126</v>
      </c>
    </row>
    <row r="5650" spans="1:2" ht="15.75" x14ac:dyDescent="0.25">
      <c r="A5650" s="344" t="s">
        <v>8985</v>
      </c>
      <c r="B5650" s="345" t="s">
        <v>3127</v>
      </c>
    </row>
    <row r="5651" spans="1:2" ht="15.75" x14ac:dyDescent="0.25">
      <c r="A5651" s="344" t="s">
        <v>8986</v>
      </c>
      <c r="B5651" s="345" t="s">
        <v>3128</v>
      </c>
    </row>
    <row r="5652" spans="1:2" ht="15.75" x14ac:dyDescent="0.25">
      <c r="A5652" s="344" t="s">
        <v>8987</v>
      </c>
      <c r="B5652" s="345" t="s">
        <v>3129</v>
      </c>
    </row>
    <row r="5653" spans="1:2" ht="15.75" x14ac:dyDescent="0.25">
      <c r="A5653" s="344" t="s">
        <v>8988</v>
      </c>
      <c r="B5653" s="345" t="s">
        <v>3130</v>
      </c>
    </row>
    <row r="5654" spans="1:2" ht="15.75" x14ac:dyDescent="0.25">
      <c r="A5654" s="344" t="s">
        <v>8989</v>
      </c>
      <c r="B5654" s="345" t="s">
        <v>3131</v>
      </c>
    </row>
    <row r="5655" spans="1:2" ht="15.75" x14ac:dyDescent="0.25">
      <c r="A5655" s="344" t="s">
        <v>8990</v>
      </c>
      <c r="B5655" s="345" t="s">
        <v>8991</v>
      </c>
    </row>
    <row r="5656" spans="1:2" ht="15.75" x14ac:dyDescent="0.25">
      <c r="A5656" s="344" t="s">
        <v>8992</v>
      </c>
      <c r="B5656" s="345" t="s">
        <v>3132</v>
      </c>
    </row>
    <row r="5657" spans="1:2" ht="15.75" x14ac:dyDescent="0.25">
      <c r="A5657" s="344" t="s">
        <v>8993</v>
      </c>
      <c r="B5657" s="345" t="s">
        <v>3133</v>
      </c>
    </row>
    <row r="5658" spans="1:2" ht="15.75" x14ac:dyDescent="0.25">
      <c r="A5658" s="344" t="s">
        <v>8994</v>
      </c>
      <c r="B5658" s="345" t="s">
        <v>8995</v>
      </c>
    </row>
    <row r="5659" spans="1:2" ht="15.75" x14ac:dyDescent="0.25">
      <c r="A5659" s="344" t="s">
        <v>8996</v>
      </c>
      <c r="B5659" s="345" t="s">
        <v>2141</v>
      </c>
    </row>
    <row r="5660" spans="1:2" ht="15.75" x14ac:dyDescent="0.25">
      <c r="A5660" s="344" t="s">
        <v>8997</v>
      </c>
      <c r="B5660" s="345" t="s">
        <v>8998</v>
      </c>
    </row>
    <row r="5661" spans="1:2" ht="15.75" x14ac:dyDescent="0.25">
      <c r="A5661" s="344" t="s">
        <v>8999</v>
      </c>
      <c r="B5661" s="345" t="s">
        <v>3134</v>
      </c>
    </row>
    <row r="5662" spans="1:2" ht="15.75" x14ac:dyDescent="0.25">
      <c r="A5662" s="344" t="s">
        <v>9000</v>
      </c>
      <c r="B5662" s="345" t="s">
        <v>3135</v>
      </c>
    </row>
    <row r="5663" spans="1:2" ht="15.75" x14ac:dyDescent="0.25">
      <c r="A5663" s="344" t="s">
        <v>9001</v>
      </c>
      <c r="B5663" s="345" t="s">
        <v>9002</v>
      </c>
    </row>
    <row r="5664" spans="1:2" ht="15.75" x14ac:dyDescent="0.25">
      <c r="A5664" s="344" t="s">
        <v>9003</v>
      </c>
      <c r="B5664" s="345" t="s">
        <v>9004</v>
      </c>
    </row>
    <row r="5665" spans="1:2" ht="15.75" x14ac:dyDescent="0.25">
      <c r="A5665" s="344" t="s">
        <v>9005</v>
      </c>
      <c r="B5665" s="345" t="s">
        <v>9006</v>
      </c>
    </row>
    <row r="5666" spans="1:2" ht="15.75" x14ac:dyDescent="0.25">
      <c r="A5666" s="344" t="s">
        <v>9007</v>
      </c>
      <c r="B5666" s="345" t="s">
        <v>9008</v>
      </c>
    </row>
    <row r="5667" spans="1:2" ht="15.75" x14ac:dyDescent="0.25">
      <c r="A5667" s="344" t="s">
        <v>9009</v>
      </c>
      <c r="B5667" s="345" t="s">
        <v>3136</v>
      </c>
    </row>
    <row r="5668" spans="1:2" ht="15.75" x14ac:dyDescent="0.25">
      <c r="A5668" s="344" t="s">
        <v>9010</v>
      </c>
      <c r="B5668" s="345" t="s">
        <v>3137</v>
      </c>
    </row>
    <row r="5669" spans="1:2" ht="15.75" x14ac:dyDescent="0.25">
      <c r="A5669" s="344" t="s">
        <v>9011</v>
      </c>
      <c r="B5669" s="345" t="s">
        <v>3138</v>
      </c>
    </row>
    <row r="5670" spans="1:2" ht="15.75" x14ac:dyDescent="0.25">
      <c r="A5670" s="344" t="s">
        <v>9012</v>
      </c>
      <c r="B5670" s="345" t="s">
        <v>3139</v>
      </c>
    </row>
    <row r="5671" spans="1:2" ht="15.75" x14ac:dyDescent="0.25">
      <c r="A5671" s="344" t="s">
        <v>9013</v>
      </c>
      <c r="B5671" s="345" t="s">
        <v>3140</v>
      </c>
    </row>
    <row r="5672" spans="1:2" ht="15.75" x14ac:dyDescent="0.25">
      <c r="A5672" s="344" t="s">
        <v>9014</v>
      </c>
      <c r="B5672" s="345" t="s">
        <v>3141</v>
      </c>
    </row>
    <row r="5673" spans="1:2" ht="15.75" x14ac:dyDescent="0.25">
      <c r="A5673" s="344" t="s">
        <v>9015</v>
      </c>
      <c r="B5673" s="345" t="s">
        <v>2382</v>
      </c>
    </row>
    <row r="5674" spans="1:2" ht="15.75" x14ac:dyDescent="0.25">
      <c r="A5674" s="344" t="s">
        <v>9016</v>
      </c>
      <c r="B5674" s="345" t="s">
        <v>3142</v>
      </c>
    </row>
    <row r="5675" spans="1:2" ht="15.75" x14ac:dyDescent="0.25">
      <c r="A5675" s="344" t="s">
        <v>9017</v>
      </c>
      <c r="B5675" s="345" t="s">
        <v>3143</v>
      </c>
    </row>
    <row r="5676" spans="1:2" ht="15.75" x14ac:dyDescent="0.25">
      <c r="A5676" s="344" t="s">
        <v>9018</v>
      </c>
      <c r="B5676" s="345" t="s">
        <v>3132</v>
      </c>
    </row>
    <row r="5677" spans="1:2" ht="15.75" x14ac:dyDescent="0.25">
      <c r="A5677" s="344" t="s">
        <v>9019</v>
      </c>
      <c r="B5677" s="345" t="s">
        <v>3144</v>
      </c>
    </row>
    <row r="5678" spans="1:2" ht="15.75" x14ac:dyDescent="0.25">
      <c r="A5678" s="344" t="s">
        <v>9020</v>
      </c>
      <c r="B5678" s="345" t="s">
        <v>3145</v>
      </c>
    </row>
    <row r="5679" spans="1:2" ht="15.75" x14ac:dyDescent="0.25">
      <c r="A5679" s="344" t="s">
        <v>9021</v>
      </c>
      <c r="B5679" s="345" t="s">
        <v>3146</v>
      </c>
    </row>
    <row r="5680" spans="1:2" ht="15.75" x14ac:dyDescent="0.25">
      <c r="A5680" s="344" t="s">
        <v>9022</v>
      </c>
      <c r="B5680" s="345" t="s">
        <v>9023</v>
      </c>
    </row>
    <row r="5681" spans="1:2" ht="15.75" x14ac:dyDescent="0.25">
      <c r="A5681" s="344" t="s">
        <v>9024</v>
      </c>
      <c r="B5681" s="345" t="s">
        <v>9025</v>
      </c>
    </row>
    <row r="5682" spans="1:2" ht="15.75" x14ac:dyDescent="0.25">
      <c r="A5682" s="344" t="s">
        <v>9026</v>
      </c>
      <c r="B5682" s="345" t="s">
        <v>3147</v>
      </c>
    </row>
    <row r="5683" spans="1:2" ht="15.75" x14ac:dyDescent="0.25">
      <c r="A5683" s="344" t="s">
        <v>9027</v>
      </c>
      <c r="B5683" s="345" t="s">
        <v>3148</v>
      </c>
    </row>
    <row r="5684" spans="1:2" ht="15.75" x14ac:dyDescent="0.25">
      <c r="A5684" s="344" t="s">
        <v>9028</v>
      </c>
      <c r="B5684" s="345" t="s">
        <v>3149</v>
      </c>
    </row>
    <row r="5685" spans="1:2" ht="15.75" x14ac:dyDescent="0.25">
      <c r="A5685" s="344" t="s">
        <v>9029</v>
      </c>
      <c r="B5685" s="345" t="s">
        <v>3150</v>
      </c>
    </row>
    <row r="5686" spans="1:2" ht="15.75" x14ac:dyDescent="0.25">
      <c r="A5686" s="344" t="s">
        <v>9030</v>
      </c>
      <c r="B5686" s="345" t="s">
        <v>3151</v>
      </c>
    </row>
    <row r="5687" spans="1:2" ht="15.75" x14ac:dyDescent="0.25">
      <c r="A5687" s="344" t="s">
        <v>9031</v>
      </c>
      <c r="B5687" s="345" t="s">
        <v>3152</v>
      </c>
    </row>
    <row r="5688" spans="1:2" ht="15.75" x14ac:dyDescent="0.25">
      <c r="A5688" s="344" t="s">
        <v>9032</v>
      </c>
      <c r="B5688" s="345" t="s">
        <v>9033</v>
      </c>
    </row>
    <row r="5689" spans="1:2" ht="15.75" x14ac:dyDescent="0.25">
      <c r="A5689" s="344" t="s">
        <v>9034</v>
      </c>
      <c r="B5689" s="345" t="s">
        <v>9035</v>
      </c>
    </row>
    <row r="5690" spans="1:2" ht="15.75" x14ac:dyDescent="0.25">
      <c r="A5690" s="344" t="s">
        <v>9036</v>
      </c>
      <c r="B5690" s="345" t="s">
        <v>9037</v>
      </c>
    </row>
    <row r="5691" spans="1:2" ht="15.75" x14ac:dyDescent="0.25">
      <c r="A5691" s="344" t="s">
        <v>9038</v>
      </c>
      <c r="B5691" s="345" t="s">
        <v>9039</v>
      </c>
    </row>
    <row r="5692" spans="1:2" ht="15.75" x14ac:dyDescent="0.25">
      <c r="A5692" s="344" t="s">
        <v>9040</v>
      </c>
      <c r="B5692" s="345" t="s">
        <v>9041</v>
      </c>
    </row>
    <row r="5693" spans="1:2" ht="15.75" x14ac:dyDescent="0.25">
      <c r="A5693" s="344" t="s">
        <v>9042</v>
      </c>
      <c r="B5693" s="345" t="s">
        <v>3153</v>
      </c>
    </row>
    <row r="5694" spans="1:2" ht="15.75" x14ac:dyDescent="0.25">
      <c r="A5694" s="344" t="s">
        <v>9043</v>
      </c>
      <c r="B5694" s="345" t="s">
        <v>3154</v>
      </c>
    </row>
    <row r="5695" spans="1:2" ht="15.75" x14ac:dyDescent="0.25">
      <c r="A5695" s="344" t="s">
        <v>9044</v>
      </c>
      <c r="B5695" s="345" t="s">
        <v>3155</v>
      </c>
    </row>
    <row r="5696" spans="1:2" ht="15.75" x14ac:dyDescent="0.25">
      <c r="A5696" s="344" t="s">
        <v>9045</v>
      </c>
      <c r="B5696" s="345" t="s">
        <v>3156</v>
      </c>
    </row>
    <row r="5697" spans="1:2" ht="15.75" x14ac:dyDescent="0.25">
      <c r="A5697" s="344" t="s">
        <v>9046</v>
      </c>
      <c r="B5697" s="345" t="s">
        <v>3157</v>
      </c>
    </row>
    <row r="5698" spans="1:2" ht="15.75" x14ac:dyDescent="0.25">
      <c r="A5698" s="344" t="s">
        <v>9047</v>
      </c>
      <c r="B5698" s="345" t="s">
        <v>3158</v>
      </c>
    </row>
    <row r="5699" spans="1:2" ht="15.75" x14ac:dyDescent="0.25">
      <c r="A5699" s="344" t="s">
        <v>9048</v>
      </c>
      <c r="B5699" s="345" t="s">
        <v>3159</v>
      </c>
    </row>
    <row r="5700" spans="1:2" ht="15.75" x14ac:dyDescent="0.25">
      <c r="A5700" s="344" t="s">
        <v>9049</v>
      </c>
      <c r="B5700" s="345" t="s">
        <v>3160</v>
      </c>
    </row>
    <row r="5701" spans="1:2" ht="15.75" x14ac:dyDescent="0.25">
      <c r="A5701" s="344" t="s">
        <v>9050</v>
      </c>
      <c r="B5701" s="345" t="s">
        <v>3161</v>
      </c>
    </row>
    <row r="5702" spans="1:2" ht="15.75" x14ac:dyDescent="0.25">
      <c r="A5702" s="344" t="s">
        <v>9051</v>
      </c>
      <c r="B5702" s="345" t="s">
        <v>3162</v>
      </c>
    </row>
    <row r="5703" spans="1:2" ht="15.75" x14ac:dyDescent="0.25">
      <c r="A5703" s="344" t="s">
        <v>9052</v>
      </c>
      <c r="B5703" s="345" t="s">
        <v>3163</v>
      </c>
    </row>
    <row r="5704" spans="1:2" ht="15.75" x14ac:dyDescent="0.25">
      <c r="A5704" s="344" t="s">
        <v>9053</v>
      </c>
      <c r="B5704" s="345" t="s">
        <v>3164</v>
      </c>
    </row>
    <row r="5705" spans="1:2" ht="15.75" x14ac:dyDescent="0.25">
      <c r="A5705" s="344" t="s">
        <v>9054</v>
      </c>
      <c r="B5705" s="345" t="s">
        <v>3165</v>
      </c>
    </row>
    <row r="5706" spans="1:2" ht="15.75" x14ac:dyDescent="0.25">
      <c r="A5706" s="344" t="s">
        <v>9055</v>
      </c>
      <c r="B5706" s="345" t="s">
        <v>3166</v>
      </c>
    </row>
    <row r="5707" spans="1:2" ht="15.75" x14ac:dyDescent="0.25">
      <c r="A5707" s="344" t="s">
        <v>9056</v>
      </c>
      <c r="B5707" s="345" t="s">
        <v>3167</v>
      </c>
    </row>
    <row r="5708" spans="1:2" ht="15.75" x14ac:dyDescent="0.25">
      <c r="A5708" s="344" t="s">
        <v>9057</v>
      </c>
      <c r="B5708" s="345" t="s">
        <v>3168</v>
      </c>
    </row>
    <row r="5709" spans="1:2" ht="15.75" x14ac:dyDescent="0.25">
      <c r="A5709" s="344" t="s">
        <v>9058</v>
      </c>
      <c r="B5709" s="345" t="s">
        <v>3169</v>
      </c>
    </row>
    <row r="5710" spans="1:2" ht="15.75" x14ac:dyDescent="0.25">
      <c r="A5710" s="344" t="s">
        <v>9059</v>
      </c>
      <c r="B5710" s="345" t="s">
        <v>3170</v>
      </c>
    </row>
    <row r="5711" spans="1:2" ht="15.75" x14ac:dyDescent="0.25">
      <c r="A5711" s="344" t="s">
        <v>9060</v>
      </c>
      <c r="B5711" s="345" t="s">
        <v>3171</v>
      </c>
    </row>
    <row r="5712" spans="1:2" ht="15.75" x14ac:dyDescent="0.25">
      <c r="A5712" s="344" t="s">
        <v>9061</v>
      </c>
      <c r="B5712" s="345" t="s">
        <v>3172</v>
      </c>
    </row>
    <row r="5713" spans="1:2" ht="15.75" x14ac:dyDescent="0.25">
      <c r="A5713" s="344" t="s">
        <v>9062</v>
      </c>
      <c r="B5713" s="345" t="s">
        <v>1735</v>
      </c>
    </row>
    <row r="5714" spans="1:2" ht="15.75" x14ac:dyDescent="0.25">
      <c r="A5714" s="344" t="s">
        <v>9063</v>
      </c>
      <c r="B5714" s="345" t="s">
        <v>3173</v>
      </c>
    </row>
    <row r="5715" spans="1:2" ht="15.75" x14ac:dyDescent="0.25">
      <c r="A5715" s="344" t="s">
        <v>9064</v>
      </c>
      <c r="B5715" s="345" t="s">
        <v>3174</v>
      </c>
    </row>
    <row r="5716" spans="1:2" ht="15.75" x14ac:dyDescent="0.25">
      <c r="A5716" s="344" t="s">
        <v>9065</v>
      </c>
      <c r="B5716" s="345" t="s">
        <v>9066</v>
      </c>
    </row>
    <row r="5717" spans="1:2" ht="15.75" x14ac:dyDescent="0.25">
      <c r="A5717" s="344" t="s">
        <v>9067</v>
      </c>
      <c r="B5717" s="345" t="s">
        <v>9068</v>
      </c>
    </row>
    <row r="5718" spans="1:2" ht="15.75" x14ac:dyDescent="0.25">
      <c r="A5718" s="344" t="s">
        <v>9069</v>
      </c>
      <c r="B5718" s="345" t="s">
        <v>3175</v>
      </c>
    </row>
    <row r="5719" spans="1:2" ht="15.75" x14ac:dyDescent="0.25">
      <c r="A5719" s="344" t="s">
        <v>9070</v>
      </c>
      <c r="B5719" s="345" t="s">
        <v>3176</v>
      </c>
    </row>
    <row r="5720" spans="1:2" ht="15.75" x14ac:dyDescent="0.25">
      <c r="A5720" s="344" t="s">
        <v>9071</v>
      </c>
      <c r="B5720" s="345" t="s">
        <v>9072</v>
      </c>
    </row>
    <row r="5721" spans="1:2" ht="15.75" x14ac:dyDescent="0.25">
      <c r="A5721" s="344" t="s">
        <v>9073</v>
      </c>
      <c r="B5721" s="345" t="s">
        <v>9074</v>
      </c>
    </row>
    <row r="5722" spans="1:2" ht="15.75" x14ac:dyDescent="0.25">
      <c r="A5722" s="344" t="s">
        <v>9075</v>
      </c>
      <c r="B5722" s="345" t="s">
        <v>3177</v>
      </c>
    </row>
    <row r="5723" spans="1:2" ht="15.75" x14ac:dyDescent="0.25">
      <c r="A5723" s="344" t="s">
        <v>9076</v>
      </c>
      <c r="B5723" s="345" t="s">
        <v>3178</v>
      </c>
    </row>
    <row r="5724" spans="1:2" ht="15.75" x14ac:dyDescent="0.25">
      <c r="A5724" s="344" t="s">
        <v>9077</v>
      </c>
      <c r="B5724" s="345" t="s">
        <v>3179</v>
      </c>
    </row>
    <row r="5725" spans="1:2" ht="15.75" x14ac:dyDescent="0.25">
      <c r="A5725" s="344" t="s">
        <v>9078</v>
      </c>
      <c r="B5725" s="345" t="s">
        <v>9079</v>
      </c>
    </row>
    <row r="5726" spans="1:2" ht="15.75" x14ac:dyDescent="0.25">
      <c r="A5726" s="344" t="s">
        <v>9080</v>
      </c>
      <c r="B5726" s="345" t="s">
        <v>3180</v>
      </c>
    </row>
    <row r="5727" spans="1:2" ht="15.75" x14ac:dyDescent="0.25">
      <c r="A5727" s="344" t="s">
        <v>39</v>
      </c>
      <c r="B5727" s="345" t="s">
        <v>3181</v>
      </c>
    </row>
    <row r="5728" spans="1:2" ht="15.75" x14ac:dyDescent="0.25">
      <c r="A5728" s="344" t="s">
        <v>9081</v>
      </c>
      <c r="B5728" s="345" t="s">
        <v>3182</v>
      </c>
    </row>
    <row r="5729" spans="1:2" ht="15.75" x14ac:dyDescent="0.25">
      <c r="A5729" s="344" t="s">
        <v>9082</v>
      </c>
      <c r="B5729" s="345" t="s">
        <v>3183</v>
      </c>
    </row>
    <row r="5730" spans="1:2" ht="15.75" x14ac:dyDescent="0.25">
      <c r="A5730" s="344" t="s">
        <v>9083</v>
      </c>
      <c r="B5730" s="345" t="s">
        <v>3184</v>
      </c>
    </row>
    <row r="5731" spans="1:2" ht="15.75" x14ac:dyDescent="0.25">
      <c r="A5731" s="344" t="s">
        <v>9084</v>
      </c>
      <c r="B5731" s="345" t="s">
        <v>3185</v>
      </c>
    </row>
    <row r="5732" spans="1:2" ht="15.75" x14ac:dyDescent="0.25">
      <c r="A5732" s="344" t="s">
        <v>9085</v>
      </c>
      <c r="B5732" s="345" t="s">
        <v>3186</v>
      </c>
    </row>
    <row r="5733" spans="1:2" ht="15.75" x14ac:dyDescent="0.25">
      <c r="A5733" s="344" t="s">
        <v>9086</v>
      </c>
      <c r="B5733" s="345" t="s">
        <v>9087</v>
      </c>
    </row>
    <row r="5734" spans="1:2" ht="15.75" x14ac:dyDescent="0.25">
      <c r="A5734" s="344" t="s">
        <v>9088</v>
      </c>
      <c r="B5734" s="345" t="s">
        <v>3187</v>
      </c>
    </row>
    <row r="5735" spans="1:2" ht="15.75" x14ac:dyDescent="0.25">
      <c r="A5735" s="344" t="s">
        <v>9089</v>
      </c>
      <c r="B5735" s="345" t="s">
        <v>3188</v>
      </c>
    </row>
    <row r="5736" spans="1:2" ht="15.75" x14ac:dyDescent="0.25">
      <c r="A5736" s="344" t="s">
        <v>9090</v>
      </c>
      <c r="B5736" s="345" t="s">
        <v>3189</v>
      </c>
    </row>
    <row r="5737" spans="1:2" ht="15.75" x14ac:dyDescent="0.25">
      <c r="A5737" s="344" t="s">
        <v>9091</v>
      </c>
      <c r="B5737" s="345" t="s">
        <v>9092</v>
      </c>
    </row>
    <row r="5738" spans="1:2" ht="15.75" x14ac:dyDescent="0.25">
      <c r="A5738" s="344" t="s">
        <v>9093</v>
      </c>
      <c r="B5738" s="345" t="s">
        <v>3190</v>
      </c>
    </row>
    <row r="5739" spans="1:2" ht="15.75" x14ac:dyDescent="0.25">
      <c r="A5739" s="344" t="s">
        <v>40</v>
      </c>
      <c r="B5739" s="345" t="s">
        <v>3191</v>
      </c>
    </row>
    <row r="5740" spans="1:2" ht="15.75" x14ac:dyDescent="0.25">
      <c r="A5740" s="344" t="s">
        <v>9094</v>
      </c>
      <c r="B5740" s="345" t="s">
        <v>9095</v>
      </c>
    </row>
    <row r="5741" spans="1:2" ht="15.75" x14ac:dyDescent="0.25">
      <c r="A5741" s="344" t="s">
        <v>41</v>
      </c>
      <c r="B5741" s="345" t="s">
        <v>3192</v>
      </c>
    </row>
    <row r="5742" spans="1:2" ht="15.75" x14ac:dyDescent="0.25">
      <c r="A5742" s="344" t="s">
        <v>9096</v>
      </c>
      <c r="B5742" s="345" t="s">
        <v>9097</v>
      </c>
    </row>
    <row r="5743" spans="1:2" ht="15.75" x14ac:dyDescent="0.25">
      <c r="A5743" s="344" t="s">
        <v>9098</v>
      </c>
      <c r="B5743" s="345" t="s">
        <v>9099</v>
      </c>
    </row>
    <row r="5744" spans="1:2" ht="15.75" x14ac:dyDescent="0.25">
      <c r="A5744" s="344" t="s">
        <v>9100</v>
      </c>
      <c r="B5744" s="345" t="s">
        <v>9101</v>
      </c>
    </row>
    <row r="5745" spans="1:2" ht="15.75" x14ac:dyDescent="0.25">
      <c r="A5745" s="344" t="s">
        <v>9102</v>
      </c>
      <c r="B5745" s="345" t="s">
        <v>9103</v>
      </c>
    </row>
    <row r="5746" spans="1:2" ht="15.75" x14ac:dyDescent="0.25">
      <c r="A5746" s="344" t="s">
        <v>9104</v>
      </c>
      <c r="B5746" s="345" t="s">
        <v>9105</v>
      </c>
    </row>
    <row r="5747" spans="1:2" ht="15.75" x14ac:dyDescent="0.25">
      <c r="A5747" s="344" t="s">
        <v>9106</v>
      </c>
      <c r="B5747" s="345" t="s">
        <v>9107</v>
      </c>
    </row>
    <row r="5748" spans="1:2" ht="15.75" x14ac:dyDescent="0.25">
      <c r="A5748" s="344" t="s">
        <v>9108</v>
      </c>
      <c r="B5748" s="345" t="s">
        <v>9109</v>
      </c>
    </row>
    <row r="5749" spans="1:2" ht="15.75" x14ac:dyDescent="0.25">
      <c r="A5749" s="344" t="s">
        <v>9110</v>
      </c>
      <c r="B5749" s="345" t="s">
        <v>9111</v>
      </c>
    </row>
    <row r="5750" spans="1:2" ht="15.75" x14ac:dyDescent="0.25">
      <c r="A5750" s="344" t="s">
        <v>1683</v>
      </c>
      <c r="B5750" s="345" t="s">
        <v>3193</v>
      </c>
    </row>
    <row r="5751" spans="1:2" ht="15.75" x14ac:dyDescent="0.25">
      <c r="A5751" s="344" t="s">
        <v>9112</v>
      </c>
      <c r="B5751" s="345" t="s">
        <v>3194</v>
      </c>
    </row>
    <row r="5752" spans="1:2" ht="15.75" x14ac:dyDescent="0.25">
      <c r="A5752" s="344" t="s">
        <v>9113</v>
      </c>
      <c r="B5752" s="345" t="s">
        <v>3195</v>
      </c>
    </row>
    <row r="5753" spans="1:2" ht="15.75" x14ac:dyDescent="0.25">
      <c r="A5753" s="344" t="s">
        <v>9114</v>
      </c>
      <c r="B5753" s="345" t="s">
        <v>3196</v>
      </c>
    </row>
    <row r="5754" spans="1:2" ht="15.75" x14ac:dyDescent="0.25">
      <c r="A5754" s="344" t="s">
        <v>9115</v>
      </c>
      <c r="B5754" s="345" t="s">
        <v>3197</v>
      </c>
    </row>
    <row r="5755" spans="1:2" ht="15.75" x14ac:dyDescent="0.25">
      <c r="A5755" s="344" t="s">
        <v>9116</v>
      </c>
      <c r="B5755" s="345" t="s">
        <v>3198</v>
      </c>
    </row>
    <row r="5756" spans="1:2" ht="15.75" x14ac:dyDescent="0.25">
      <c r="A5756" s="344" t="s">
        <v>9117</v>
      </c>
      <c r="B5756" s="345" t="s">
        <v>3199</v>
      </c>
    </row>
    <row r="5757" spans="1:2" ht="15.75" x14ac:dyDescent="0.25">
      <c r="A5757" s="344" t="s">
        <v>1733</v>
      </c>
      <c r="B5757" s="345" t="s">
        <v>3200</v>
      </c>
    </row>
    <row r="5758" spans="1:2" ht="15.75" x14ac:dyDescent="0.25">
      <c r="A5758" s="344" t="s">
        <v>9118</v>
      </c>
      <c r="B5758" s="345" t="s">
        <v>3201</v>
      </c>
    </row>
    <row r="5759" spans="1:2" ht="15.75" x14ac:dyDescent="0.25">
      <c r="A5759" s="344" t="s">
        <v>160</v>
      </c>
      <c r="B5759" s="345" t="s">
        <v>3202</v>
      </c>
    </row>
    <row r="5760" spans="1:2" ht="15.75" x14ac:dyDescent="0.25">
      <c r="A5760" s="344" t="s">
        <v>9119</v>
      </c>
      <c r="B5760" s="345" t="s">
        <v>3203</v>
      </c>
    </row>
    <row r="5761" spans="1:2" ht="15.75" x14ac:dyDescent="0.25">
      <c r="A5761" s="344" t="s">
        <v>9120</v>
      </c>
      <c r="B5761" s="345" t="s">
        <v>3204</v>
      </c>
    </row>
    <row r="5762" spans="1:2" ht="15.75" x14ac:dyDescent="0.25">
      <c r="A5762" s="344" t="s">
        <v>250</v>
      </c>
      <c r="B5762" s="345" t="s">
        <v>3205</v>
      </c>
    </row>
    <row r="5763" spans="1:2" ht="15.75" x14ac:dyDescent="0.25">
      <c r="A5763" s="344" t="s">
        <v>9121</v>
      </c>
      <c r="B5763" s="345" t="s">
        <v>3206</v>
      </c>
    </row>
    <row r="5764" spans="1:2" ht="15.75" x14ac:dyDescent="0.25">
      <c r="A5764" s="344" t="s">
        <v>9122</v>
      </c>
      <c r="B5764" s="345" t="s">
        <v>3207</v>
      </c>
    </row>
    <row r="5765" spans="1:2" ht="15.75" x14ac:dyDescent="0.25">
      <c r="A5765" s="344" t="s">
        <v>42</v>
      </c>
      <c r="B5765" s="345" t="s">
        <v>3208</v>
      </c>
    </row>
    <row r="5766" spans="1:2" ht="15.75" x14ac:dyDescent="0.25">
      <c r="A5766" s="344" t="s">
        <v>9123</v>
      </c>
      <c r="B5766" s="345" t="s">
        <v>3209</v>
      </c>
    </row>
    <row r="5767" spans="1:2" ht="15.75" x14ac:dyDescent="0.25">
      <c r="A5767" s="344" t="s">
        <v>9124</v>
      </c>
      <c r="B5767" s="345" t="s">
        <v>3210</v>
      </c>
    </row>
    <row r="5768" spans="1:2" ht="15.75" x14ac:dyDescent="0.25">
      <c r="A5768" s="344" t="s">
        <v>9125</v>
      </c>
      <c r="B5768" s="345" t="s">
        <v>3211</v>
      </c>
    </row>
    <row r="5769" spans="1:2" ht="15.75" x14ac:dyDescent="0.25">
      <c r="A5769" s="344" t="s">
        <v>9126</v>
      </c>
      <c r="B5769" s="345" t="s">
        <v>3212</v>
      </c>
    </row>
    <row r="5770" spans="1:2" ht="15.75" x14ac:dyDescent="0.25">
      <c r="A5770" s="344" t="s">
        <v>9127</v>
      </c>
      <c r="B5770" s="345" t="s">
        <v>3213</v>
      </c>
    </row>
    <row r="5771" spans="1:2" ht="15.75" x14ac:dyDescent="0.25">
      <c r="A5771" s="344" t="s">
        <v>9128</v>
      </c>
      <c r="B5771" s="345" t="s">
        <v>3214</v>
      </c>
    </row>
    <row r="5772" spans="1:2" ht="15.75" x14ac:dyDescent="0.25">
      <c r="A5772" s="344" t="s">
        <v>9129</v>
      </c>
      <c r="B5772" s="345" t="s">
        <v>3215</v>
      </c>
    </row>
    <row r="5773" spans="1:2" ht="15.75" x14ac:dyDescent="0.25">
      <c r="A5773" s="344" t="s">
        <v>9130</v>
      </c>
      <c r="B5773" s="345" t="s">
        <v>3216</v>
      </c>
    </row>
    <row r="5774" spans="1:2" ht="15.75" x14ac:dyDescent="0.25">
      <c r="A5774" s="344" t="s">
        <v>9131</v>
      </c>
      <c r="B5774" s="345" t="s">
        <v>3217</v>
      </c>
    </row>
    <row r="5775" spans="1:2" ht="15.75" x14ac:dyDescent="0.25">
      <c r="A5775" s="344" t="s">
        <v>9132</v>
      </c>
      <c r="B5775" s="345" t="s">
        <v>3218</v>
      </c>
    </row>
    <row r="5776" spans="1:2" ht="15.75" x14ac:dyDescent="0.25">
      <c r="A5776" s="344" t="s">
        <v>9133</v>
      </c>
      <c r="B5776" s="345" t="s">
        <v>3219</v>
      </c>
    </row>
    <row r="5777" spans="1:2" ht="15.75" x14ac:dyDescent="0.25">
      <c r="A5777" s="344" t="s">
        <v>9134</v>
      </c>
      <c r="B5777" s="345" t="s">
        <v>3220</v>
      </c>
    </row>
    <row r="5778" spans="1:2" ht="15.75" x14ac:dyDescent="0.25">
      <c r="A5778" s="344" t="s">
        <v>43</v>
      </c>
      <c r="B5778" s="345" t="s">
        <v>3221</v>
      </c>
    </row>
    <row r="5779" spans="1:2" ht="15.75" x14ac:dyDescent="0.25">
      <c r="A5779" s="344" t="s">
        <v>9135</v>
      </c>
      <c r="B5779" s="345" t="s">
        <v>3222</v>
      </c>
    </row>
    <row r="5780" spans="1:2" ht="15.75" x14ac:dyDescent="0.25">
      <c r="A5780" s="344" t="s">
        <v>9136</v>
      </c>
      <c r="B5780" s="345" t="s">
        <v>3223</v>
      </c>
    </row>
    <row r="5781" spans="1:2" ht="15.75" x14ac:dyDescent="0.25">
      <c r="A5781" s="344" t="s">
        <v>9137</v>
      </c>
      <c r="B5781" s="345" t="s">
        <v>3224</v>
      </c>
    </row>
    <row r="5782" spans="1:2" ht="15.75" x14ac:dyDescent="0.25">
      <c r="A5782" s="344" t="s">
        <v>9138</v>
      </c>
      <c r="B5782" s="345" t="s">
        <v>3225</v>
      </c>
    </row>
    <row r="5783" spans="1:2" ht="15.75" x14ac:dyDescent="0.25">
      <c r="A5783" s="344" t="s">
        <v>9139</v>
      </c>
      <c r="B5783" s="345" t="s">
        <v>3226</v>
      </c>
    </row>
    <row r="5784" spans="1:2" ht="15.75" x14ac:dyDescent="0.25">
      <c r="A5784" s="344" t="s">
        <v>9140</v>
      </c>
      <c r="B5784" s="345" t="s">
        <v>9141</v>
      </c>
    </row>
    <row r="5785" spans="1:2" ht="15.75" x14ac:dyDescent="0.25">
      <c r="A5785" s="344" t="s">
        <v>9142</v>
      </c>
      <c r="B5785" s="345" t="s">
        <v>9143</v>
      </c>
    </row>
    <row r="5786" spans="1:2" ht="15.75" x14ac:dyDescent="0.25">
      <c r="A5786" s="344" t="s">
        <v>9144</v>
      </c>
      <c r="B5786" s="345" t="s">
        <v>3227</v>
      </c>
    </row>
    <row r="5787" spans="1:2" ht="15.75" x14ac:dyDescent="0.25">
      <c r="A5787" s="344" t="s">
        <v>9145</v>
      </c>
      <c r="B5787" s="345" t="s">
        <v>3164</v>
      </c>
    </row>
    <row r="5788" spans="1:2" ht="15.75" x14ac:dyDescent="0.25">
      <c r="A5788" s="344" t="s">
        <v>9146</v>
      </c>
      <c r="B5788" s="345" t="s">
        <v>3228</v>
      </c>
    </row>
    <row r="5789" spans="1:2" ht="15.75" x14ac:dyDescent="0.25">
      <c r="A5789" s="344" t="s">
        <v>9147</v>
      </c>
      <c r="B5789" s="345" t="s">
        <v>3229</v>
      </c>
    </row>
    <row r="5790" spans="1:2" ht="15.75" x14ac:dyDescent="0.25">
      <c r="A5790" s="344" t="s">
        <v>9148</v>
      </c>
      <c r="B5790" s="345" t="s">
        <v>3230</v>
      </c>
    </row>
    <row r="5791" spans="1:2" ht="15.75" x14ac:dyDescent="0.25">
      <c r="A5791" s="344" t="s">
        <v>9149</v>
      </c>
      <c r="B5791" s="345" t="s">
        <v>3231</v>
      </c>
    </row>
    <row r="5792" spans="1:2" ht="15.75" x14ac:dyDescent="0.25">
      <c r="A5792" s="344" t="s">
        <v>9150</v>
      </c>
      <c r="B5792" s="345" t="s">
        <v>3232</v>
      </c>
    </row>
    <row r="5793" spans="1:2" ht="15.75" x14ac:dyDescent="0.25">
      <c r="A5793" s="344" t="s">
        <v>9151</v>
      </c>
      <c r="B5793" s="345" t="s">
        <v>3168</v>
      </c>
    </row>
    <row r="5794" spans="1:2" ht="15.75" x14ac:dyDescent="0.25">
      <c r="A5794" s="344" t="s">
        <v>9152</v>
      </c>
      <c r="B5794" s="345" t="s">
        <v>3233</v>
      </c>
    </row>
    <row r="5795" spans="1:2" ht="15.75" x14ac:dyDescent="0.25">
      <c r="A5795" s="344" t="s">
        <v>9153</v>
      </c>
      <c r="B5795" s="345" t="s">
        <v>3234</v>
      </c>
    </row>
    <row r="5796" spans="1:2" ht="15.75" x14ac:dyDescent="0.25">
      <c r="A5796" s="344" t="s">
        <v>9154</v>
      </c>
      <c r="B5796" s="345" t="s">
        <v>3235</v>
      </c>
    </row>
    <row r="5797" spans="1:2" ht="15.75" x14ac:dyDescent="0.25">
      <c r="A5797" s="344" t="s">
        <v>9155</v>
      </c>
      <c r="B5797" s="345" t="s">
        <v>3236</v>
      </c>
    </row>
    <row r="5798" spans="1:2" ht="15.75" x14ac:dyDescent="0.25">
      <c r="A5798" s="344" t="s">
        <v>9156</v>
      </c>
      <c r="B5798" s="345" t="s">
        <v>3237</v>
      </c>
    </row>
    <row r="5799" spans="1:2" ht="15.75" x14ac:dyDescent="0.25">
      <c r="A5799" s="344" t="s">
        <v>9157</v>
      </c>
      <c r="B5799" s="345" t="s">
        <v>3238</v>
      </c>
    </row>
    <row r="5800" spans="1:2" ht="15.75" x14ac:dyDescent="0.25">
      <c r="A5800" s="344" t="s">
        <v>9158</v>
      </c>
      <c r="B5800" s="345" t="s">
        <v>3239</v>
      </c>
    </row>
    <row r="5801" spans="1:2" ht="15.75" x14ac:dyDescent="0.25">
      <c r="A5801" s="344" t="s">
        <v>9159</v>
      </c>
      <c r="B5801" s="345" t="s">
        <v>3240</v>
      </c>
    </row>
    <row r="5802" spans="1:2" ht="15.75" x14ac:dyDescent="0.25">
      <c r="A5802" s="344" t="s">
        <v>9160</v>
      </c>
      <c r="B5802" s="345" t="s">
        <v>3241</v>
      </c>
    </row>
    <row r="5803" spans="1:2" ht="15.75" x14ac:dyDescent="0.25">
      <c r="A5803" s="344" t="s">
        <v>9161</v>
      </c>
      <c r="B5803" s="345" t="s">
        <v>3242</v>
      </c>
    </row>
    <row r="5804" spans="1:2" ht="15.75" x14ac:dyDescent="0.25">
      <c r="A5804" s="344" t="s">
        <v>9162</v>
      </c>
      <c r="B5804" s="345" t="s">
        <v>3243</v>
      </c>
    </row>
    <row r="5805" spans="1:2" ht="15.75" x14ac:dyDescent="0.25">
      <c r="A5805" s="344" t="s">
        <v>9163</v>
      </c>
      <c r="B5805" s="345" t="s">
        <v>3244</v>
      </c>
    </row>
    <row r="5806" spans="1:2" ht="15.75" x14ac:dyDescent="0.25">
      <c r="A5806" s="344" t="s">
        <v>9164</v>
      </c>
      <c r="B5806" s="345" t="s">
        <v>3245</v>
      </c>
    </row>
    <row r="5807" spans="1:2" ht="15.75" x14ac:dyDescent="0.25">
      <c r="A5807" s="344" t="s">
        <v>9165</v>
      </c>
      <c r="B5807" s="345" t="s">
        <v>3246</v>
      </c>
    </row>
    <row r="5808" spans="1:2" ht="15.75" x14ac:dyDescent="0.25">
      <c r="A5808" s="344" t="s">
        <v>9166</v>
      </c>
      <c r="B5808" s="345" t="s">
        <v>3247</v>
      </c>
    </row>
    <row r="5809" spans="1:2" ht="15.75" x14ac:dyDescent="0.25">
      <c r="A5809" s="344" t="s">
        <v>9167</v>
      </c>
      <c r="B5809" s="345" t="s">
        <v>3248</v>
      </c>
    </row>
    <row r="5810" spans="1:2" ht="15.75" x14ac:dyDescent="0.25">
      <c r="A5810" s="344" t="s">
        <v>9168</v>
      </c>
      <c r="B5810" s="345" t="s">
        <v>3249</v>
      </c>
    </row>
    <row r="5811" spans="1:2" ht="15.75" x14ac:dyDescent="0.25">
      <c r="A5811" s="344" t="s">
        <v>9169</v>
      </c>
      <c r="B5811" s="345" t="s">
        <v>3250</v>
      </c>
    </row>
    <row r="5812" spans="1:2" ht="15.75" x14ac:dyDescent="0.25">
      <c r="A5812" s="344" t="s">
        <v>9170</v>
      </c>
      <c r="B5812" s="345" t="s">
        <v>3251</v>
      </c>
    </row>
    <row r="5813" spans="1:2" ht="15.75" x14ac:dyDescent="0.25">
      <c r="A5813" s="344" t="s">
        <v>9171</v>
      </c>
      <c r="B5813" s="345" t="s">
        <v>3252</v>
      </c>
    </row>
    <row r="5814" spans="1:2" ht="15.75" x14ac:dyDescent="0.25">
      <c r="A5814" s="344" t="s">
        <v>9172</v>
      </c>
      <c r="B5814" s="345" t="s">
        <v>3253</v>
      </c>
    </row>
    <row r="5815" spans="1:2" ht="15.75" x14ac:dyDescent="0.25">
      <c r="A5815" s="344" t="s">
        <v>9173</v>
      </c>
      <c r="B5815" s="345" t="s">
        <v>3254</v>
      </c>
    </row>
    <row r="5816" spans="1:2" ht="15.75" x14ac:dyDescent="0.25">
      <c r="A5816" s="344" t="s">
        <v>9174</v>
      </c>
      <c r="B5816" s="345" t="s">
        <v>3255</v>
      </c>
    </row>
    <row r="5817" spans="1:2" ht="15.75" x14ac:dyDescent="0.25">
      <c r="A5817" s="344" t="s">
        <v>9175</v>
      </c>
      <c r="B5817" s="345" t="s">
        <v>3256</v>
      </c>
    </row>
    <row r="5818" spans="1:2" ht="15.75" x14ac:dyDescent="0.25">
      <c r="A5818" s="344" t="s">
        <v>9176</v>
      </c>
      <c r="B5818" s="345" t="s">
        <v>3257</v>
      </c>
    </row>
    <row r="5819" spans="1:2" ht="15.75" x14ac:dyDescent="0.25">
      <c r="A5819" s="344" t="s">
        <v>9177</v>
      </c>
      <c r="B5819" s="345" t="s">
        <v>3258</v>
      </c>
    </row>
    <row r="5820" spans="1:2" ht="15.75" x14ac:dyDescent="0.25">
      <c r="A5820" s="344" t="s">
        <v>9178</v>
      </c>
      <c r="B5820" s="345" t="s">
        <v>3259</v>
      </c>
    </row>
    <row r="5821" spans="1:2" ht="15.75" x14ac:dyDescent="0.25">
      <c r="A5821" s="344" t="s">
        <v>9179</v>
      </c>
      <c r="B5821" s="345" t="s">
        <v>9180</v>
      </c>
    </row>
    <row r="5822" spans="1:2" ht="15.75" x14ac:dyDescent="0.25">
      <c r="A5822" s="344" t="s">
        <v>9181</v>
      </c>
      <c r="B5822" s="345" t="s">
        <v>3260</v>
      </c>
    </row>
    <row r="5823" spans="1:2" ht="15.75" x14ac:dyDescent="0.25">
      <c r="A5823" s="344" t="s">
        <v>9182</v>
      </c>
      <c r="B5823" s="345" t="s">
        <v>2276</v>
      </c>
    </row>
    <row r="5824" spans="1:2" ht="15.75" x14ac:dyDescent="0.25">
      <c r="A5824" s="344" t="s">
        <v>9183</v>
      </c>
      <c r="B5824" s="345" t="s">
        <v>9184</v>
      </c>
    </row>
    <row r="5825" spans="1:2" ht="15.75" x14ac:dyDescent="0.25">
      <c r="A5825" s="344" t="s">
        <v>9185</v>
      </c>
      <c r="B5825" s="345" t="s">
        <v>9186</v>
      </c>
    </row>
    <row r="5826" spans="1:2" ht="15.75" x14ac:dyDescent="0.25">
      <c r="A5826" s="344" t="s">
        <v>9187</v>
      </c>
      <c r="B5826" s="345" t="s">
        <v>9188</v>
      </c>
    </row>
    <row r="5827" spans="1:2" ht="15.75" x14ac:dyDescent="0.25">
      <c r="A5827" s="344" t="s">
        <v>9189</v>
      </c>
      <c r="B5827" s="345" t="s">
        <v>9190</v>
      </c>
    </row>
    <row r="5828" spans="1:2" ht="15.75" x14ac:dyDescent="0.25">
      <c r="A5828" s="344" t="s">
        <v>9191</v>
      </c>
      <c r="B5828" s="345" t="s">
        <v>9192</v>
      </c>
    </row>
    <row r="5829" spans="1:2" ht="15.75" x14ac:dyDescent="0.25">
      <c r="A5829" s="344" t="s">
        <v>9193</v>
      </c>
      <c r="B5829" s="345" t="s">
        <v>9194</v>
      </c>
    </row>
    <row r="5830" spans="1:2" ht="15.75" x14ac:dyDescent="0.25">
      <c r="A5830" s="344" t="s">
        <v>9195</v>
      </c>
      <c r="B5830" s="345" t="s">
        <v>9196</v>
      </c>
    </row>
    <row r="5831" spans="1:2" ht="15.75" x14ac:dyDescent="0.25">
      <c r="A5831" s="344" t="s">
        <v>9197</v>
      </c>
      <c r="B5831" s="345" t="s">
        <v>9198</v>
      </c>
    </row>
    <row r="5832" spans="1:2" ht="15.75" x14ac:dyDescent="0.25">
      <c r="A5832" s="344" t="s">
        <v>9199</v>
      </c>
      <c r="B5832" s="345" t="s">
        <v>9200</v>
      </c>
    </row>
    <row r="5833" spans="1:2" ht="15.75" x14ac:dyDescent="0.25">
      <c r="A5833" s="344" t="s">
        <v>9201</v>
      </c>
      <c r="B5833" s="345" t="s">
        <v>9202</v>
      </c>
    </row>
    <row r="5834" spans="1:2" ht="15.75" x14ac:dyDescent="0.25">
      <c r="A5834" s="344" t="s">
        <v>9203</v>
      </c>
      <c r="B5834" s="345" t="s">
        <v>3261</v>
      </c>
    </row>
    <row r="5835" spans="1:2" ht="15.75" x14ac:dyDescent="0.25">
      <c r="A5835" s="344" t="s">
        <v>9204</v>
      </c>
      <c r="B5835" s="345" t="s">
        <v>3262</v>
      </c>
    </row>
    <row r="5836" spans="1:2" ht="15.75" x14ac:dyDescent="0.25">
      <c r="A5836" s="344" t="s">
        <v>9205</v>
      </c>
      <c r="B5836" s="345" t="s">
        <v>3263</v>
      </c>
    </row>
    <row r="5837" spans="1:2" ht="15.75" x14ac:dyDescent="0.25">
      <c r="A5837" s="344" t="s">
        <v>9206</v>
      </c>
      <c r="B5837" s="345" t="s">
        <v>3264</v>
      </c>
    </row>
    <row r="5838" spans="1:2" ht="15.75" x14ac:dyDescent="0.25">
      <c r="A5838" s="344" t="s">
        <v>9207</v>
      </c>
      <c r="B5838" s="345" t="s">
        <v>3265</v>
      </c>
    </row>
    <row r="5839" spans="1:2" ht="15.75" x14ac:dyDescent="0.25">
      <c r="A5839" s="344" t="s">
        <v>9208</v>
      </c>
      <c r="B5839" s="345" t="s">
        <v>3266</v>
      </c>
    </row>
    <row r="5840" spans="1:2" ht="15.75" x14ac:dyDescent="0.25">
      <c r="A5840" s="344" t="s">
        <v>9209</v>
      </c>
      <c r="B5840" s="345" t="s">
        <v>3267</v>
      </c>
    </row>
    <row r="5841" spans="1:2" ht="15.75" x14ac:dyDescent="0.25">
      <c r="A5841" s="344" t="s">
        <v>9210</v>
      </c>
      <c r="B5841" s="345" t="s">
        <v>3268</v>
      </c>
    </row>
    <row r="5842" spans="1:2" ht="15.75" x14ac:dyDescent="0.25">
      <c r="A5842" s="344" t="s">
        <v>9211</v>
      </c>
      <c r="B5842" s="345" t="s">
        <v>9212</v>
      </c>
    </row>
    <row r="5843" spans="1:2" ht="15.75" x14ac:dyDescent="0.25">
      <c r="A5843" s="344" t="s">
        <v>9213</v>
      </c>
      <c r="B5843" s="345" t="s">
        <v>9214</v>
      </c>
    </row>
    <row r="5844" spans="1:2" ht="15.75" x14ac:dyDescent="0.25">
      <c r="A5844" s="344" t="s">
        <v>9215</v>
      </c>
      <c r="B5844" s="345" t="s">
        <v>9216</v>
      </c>
    </row>
    <row r="5845" spans="1:2" ht="15.75" x14ac:dyDescent="0.25">
      <c r="A5845" s="344" t="s">
        <v>9217</v>
      </c>
      <c r="B5845" s="345" t="s">
        <v>9218</v>
      </c>
    </row>
    <row r="5846" spans="1:2" ht="15.75" x14ac:dyDescent="0.25">
      <c r="A5846" s="344" t="s">
        <v>9219</v>
      </c>
      <c r="B5846" s="345" t="s">
        <v>9220</v>
      </c>
    </row>
    <row r="5847" spans="1:2" ht="15.75" x14ac:dyDescent="0.25">
      <c r="A5847" s="344" t="s">
        <v>9221</v>
      </c>
      <c r="B5847" s="345" t="s">
        <v>3269</v>
      </c>
    </row>
    <row r="5848" spans="1:2" ht="15.75" x14ac:dyDescent="0.25">
      <c r="A5848" s="344" t="s">
        <v>9222</v>
      </c>
      <c r="B5848" s="345" t="s">
        <v>3270</v>
      </c>
    </row>
    <row r="5849" spans="1:2" ht="15.75" x14ac:dyDescent="0.25">
      <c r="A5849" s="344" t="s">
        <v>44</v>
      </c>
      <c r="B5849" s="345" t="s">
        <v>3271</v>
      </c>
    </row>
    <row r="5850" spans="1:2" ht="15.75" x14ac:dyDescent="0.25">
      <c r="A5850" s="344" t="s">
        <v>9223</v>
      </c>
      <c r="B5850" s="345" t="s">
        <v>3272</v>
      </c>
    </row>
    <row r="5851" spans="1:2" ht="15.75" x14ac:dyDescent="0.25">
      <c r="A5851" s="344" t="s">
        <v>9224</v>
      </c>
      <c r="B5851" s="345" t="s">
        <v>3273</v>
      </c>
    </row>
    <row r="5852" spans="1:2" ht="15.75" x14ac:dyDescent="0.25">
      <c r="A5852" s="344" t="s">
        <v>9225</v>
      </c>
      <c r="B5852" s="345" t="s">
        <v>3274</v>
      </c>
    </row>
    <row r="5853" spans="1:2" ht="15.75" x14ac:dyDescent="0.25">
      <c r="A5853" s="344" t="s">
        <v>9226</v>
      </c>
      <c r="B5853" s="345" t="s">
        <v>3275</v>
      </c>
    </row>
    <row r="5854" spans="1:2" ht="15.75" x14ac:dyDescent="0.25">
      <c r="A5854" s="344" t="s">
        <v>9227</v>
      </c>
      <c r="B5854" s="345" t="s">
        <v>3276</v>
      </c>
    </row>
    <row r="5855" spans="1:2" ht="15.75" x14ac:dyDescent="0.25">
      <c r="A5855" s="344" t="s">
        <v>9228</v>
      </c>
      <c r="B5855" s="345" t="s">
        <v>9229</v>
      </c>
    </row>
    <row r="5856" spans="1:2" ht="15.75" x14ac:dyDescent="0.25">
      <c r="A5856" s="344" t="s">
        <v>9230</v>
      </c>
      <c r="B5856" s="345" t="s">
        <v>3277</v>
      </c>
    </row>
    <row r="5857" spans="1:2" ht="15.75" x14ac:dyDescent="0.25">
      <c r="A5857" s="344" t="s">
        <v>9231</v>
      </c>
      <c r="B5857" s="345" t="s">
        <v>3278</v>
      </c>
    </row>
    <row r="5858" spans="1:2" ht="15.75" x14ac:dyDescent="0.25">
      <c r="A5858" s="344" t="s">
        <v>9232</v>
      </c>
      <c r="B5858" s="345" t="s">
        <v>3279</v>
      </c>
    </row>
    <row r="5859" spans="1:2" ht="15.75" x14ac:dyDescent="0.25">
      <c r="A5859" s="344" t="s">
        <v>9233</v>
      </c>
      <c r="B5859" s="345" t="s">
        <v>3280</v>
      </c>
    </row>
    <row r="5860" spans="1:2" ht="15.75" x14ac:dyDescent="0.25">
      <c r="A5860" s="344" t="s">
        <v>9234</v>
      </c>
      <c r="B5860" s="345" t="s">
        <v>3281</v>
      </c>
    </row>
    <row r="5861" spans="1:2" ht="15.75" x14ac:dyDescent="0.25">
      <c r="A5861" s="344" t="s">
        <v>9235</v>
      </c>
      <c r="B5861" s="345" t="s">
        <v>3282</v>
      </c>
    </row>
    <row r="5862" spans="1:2" ht="15.75" x14ac:dyDescent="0.25">
      <c r="A5862" s="344" t="s">
        <v>9236</v>
      </c>
      <c r="B5862" s="345" t="s">
        <v>3283</v>
      </c>
    </row>
    <row r="5863" spans="1:2" ht="15.75" x14ac:dyDescent="0.25">
      <c r="A5863" s="344" t="s">
        <v>9237</v>
      </c>
      <c r="B5863" s="345" t="s">
        <v>3284</v>
      </c>
    </row>
    <row r="5864" spans="1:2" ht="15.75" x14ac:dyDescent="0.25">
      <c r="A5864" s="344" t="s">
        <v>9238</v>
      </c>
      <c r="B5864" s="345" t="s">
        <v>3285</v>
      </c>
    </row>
    <row r="5865" spans="1:2" ht="15.75" x14ac:dyDescent="0.25">
      <c r="A5865" s="344" t="s">
        <v>9239</v>
      </c>
      <c r="B5865" s="345" t="s">
        <v>3286</v>
      </c>
    </row>
    <row r="5866" spans="1:2" ht="15.75" x14ac:dyDescent="0.25">
      <c r="A5866" s="344" t="s">
        <v>9240</v>
      </c>
      <c r="B5866" s="345" t="s">
        <v>3287</v>
      </c>
    </row>
    <row r="5867" spans="1:2" ht="15.75" x14ac:dyDescent="0.25">
      <c r="A5867" s="344" t="s">
        <v>9241</v>
      </c>
      <c r="B5867" s="345" t="s">
        <v>3288</v>
      </c>
    </row>
    <row r="5868" spans="1:2" ht="15.75" x14ac:dyDescent="0.25">
      <c r="A5868" s="344" t="s">
        <v>9242</v>
      </c>
      <c r="B5868" s="345" t="s">
        <v>3289</v>
      </c>
    </row>
    <row r="5869" spans="1:2" ht="15.75" x14ac:dyDescent="0.25">
      <c r="A5869" s="344" t="s">
        <v>9243</v>
      </c>
      <c r="B5869" s="345" t="s">
        <v>3290</v>
      </c>
    </row>
    <row r="5870" spans="1:2" ht="15.75" x14ac:dyDescent="0.25">
      <c r="A5870" s="344" t="s">
        <v>9244</v>
      </c>
      <c r="B5870" s="345" t="s">
        <v>3170</v>
      </c>
    </row>
    <row r="5871" spans="1:2" ht="15.75" x14ac:dyDescent="0.25">
      <c r="A5871" s="344" t="s">
        <v>9245</v>
      </c>
      <c r="B5871" s="345" t="s">
        <v>3157</v>
      </c>
    </row>
    <row r="5872" spans="1:2" ht="15.75" x14ac:dyDescent="0.25">
      <c r="A5872" s="344" t="s">
        <v>9246</v>
      </c>
      <c r="B5872" s="345" t="s">
        <v>3158</v>
      </c>
    </row>
    <row r="5873" spans="1:2" ht="15.75" x14ac:dyDescent="0.25">
      <c r="A5873" s="344" t="s">
        <v>9247</v>
      </c>
      <c r="B5873" s="345" t="s">
        <v>3291</v>
      </c>
    </row>
    <row r="5874" spans="1:2" ht="15.75" x14ac:dyDescent="0.25">
      <c r="A5874" s="344" t="s">
        <v>9248</v>
      </c>
      <c r="B5874" s="345" t="s">
        <v>3292</v>
      </c>
    </row>
    <row r="5875" spans="1:2" ht="15.75" x14ac:dyDescent="0.25">
      <c r="A5875" s="344" t="s">
        <v>9249</v>
      </c>
      <c r="B5875" s="345" t="s">
        <v>9250</v>
      </c>
    </row>
    <row r="5876" spans="1:2" ht="15.75" x14ac:dyDescent="0.25">
      <c r="A5876" s="344" t="s">
        <v>9251</v>
      </c>
      <c r="B5876" s="345" t="s">
        <v>9252</v>
      </c>
    </row>
    <row r="5877" spans="1:2" ht="15.75" x14ac:dyDescent="0.25">
      <c r="A5877" s="344" t="s">
        <v>9253</v>
      </c>
      <c r="B5877" s="345" t="s">
        <v>9254</v>
      </c>
    </row>
    <row r="5878" spans="1:2" ht="15.75" x14ac:dyDescent="0.25">
      <c r="A5878" s="344" t="s">
        <v>9255</v>
      </c>
      <c r="B5878" s="345" t="s">
        <v>9256</v>
      </c>
    </row>
    <row r="5879" spans="1:2" ht="15.75" x14ac:dyDescent="0.25">
      <c r="A5879" s="344" t="s">
        <v>9257</v>
      </c>
      <c r="B5879" s="345" t="s">
        <v>9258</v>
      </c>
    </row>
    <row r="5880" spans="1:2" ht="15.75" x14ac:dyDescent="0.25">
      <c r="A5880" s="344" t="s">
        <v>9259</v>
      </c>
      <c r="B5880" s="345" t="s">
        <v>9260</v>
      </c>
    </row>
    <row r="5881" spans="1:2" ht="15.75" x14ac:dyDescent="0.25">
      <c r="A5881" s="344" t="s">
        <v>9261</v>
      </c>
      <c r="B5881" s="345" t="s">
        <v>9262</v>
      </c>
    </row>
    <row r="5882" spans="1:2" ht="15.75" x14ac:dyDescent="0.25">
      <c r="A5882" s="344" t="s">
        <v>9263</v>
      </c>
      <c r="B5882" s="345" t="s">
        <v>9264</v>
      </c>
    </row>
    <row r="5883" spans="1:2" ht="15.75" x14ac:dyDescent="0.25">
      <c r="A5883" s="344" t="s">
        <v>9265</v>
      </c>
      <c r="B5883" s="345" t="s">
        <v>9266</v>
      </c>
    </row>
    <row r="5884" spans="1:2" ht="15.75" x14ac:dyDescent="0.25">
      <c r="A5884" s="344" t="s">
        <v>9267</v>
      </c>
      <c r="B5884" s="345" t="s">
        <v>9268</v>
      </c>
    </row>
    <row r="5885" spans="1:2" ht="15.75" x14ac:dyDescent="0.25">
      <c r="A5885" s="344" t="s">
        <v>9269</v>
      </c>
      <c r="B5885" s="345" t="s">
        <v>9270</v>
      </c>
    </row>
    <row r="5886" spans="1:2" ht="15.75" x14ac:dyDescent="0.25">
      <c r="A5886" s="344" t="s">
        <v>9271</v>
      </c>
      <c r="B5886" s="345" t="s">
        <v>9272</v>
      </c>
    </row>
    <row r="5887" spans="1:2" ht="15.75" x14ac:dyDescent="0.25">
      <c r="A5887" s="344" t="s">
        <v>9273</v>
      </c>
      <c r="B5887" s="345" t="s">
        <v>9274</v>
      </c>
    </row>
    <row r="5888" spans="1:2" ht="15.75" x14ac:dyDescent="0.25">
      <c r="A5888" s="344" t="s">
        <v>9275</v>
      </c>
      <c r="B5888" s="345" t="s">
        <v>9276</v>
      </c>
    </row>
    <row r="5889" spans="1:2" ht="15.75" x14ac:dyDescent="0.25">
      <c r="A5889" s="344" t="s">
        <v>9277</v>
      </c>
      <c r="B5889" s="345" t="s">
        <v>9278</v>
      </c>
    </row>
    <row r="5890" spans="1:2" ht="15.75" x14ac:dyDescent="0.25">
      <c r="A5890" s="344" t="s">
        <v>9279</v>
      </c>
      <c r="B5890" s="345" t="s">
        <v>9280</v>
      </c>
    </row>
    <row r="5891" spans="1:2" ht="15.75" x14ac:dyDescent="0.25">
      <c r="A5891" s="344" t="s">
        <v>9281</v>
      </c>
      <c r="B5891" s="345" t="s">
        <v>9282</v>
      </c>
    </row>
    <row r="5892" spans="1:2" ht="15.75" x14ac:dyDescent="0.25">
      <c r="A5892" s="344" t="s">
        <v>9283</v>
      </c>
      <c r="B5892" s="345" t="s">
        <v>9284</v>
      </c>
    </row>
    <row r="5893" spans="1:2" ht="15.75" x14ac:dyDescent="0.25">
      <c r="A5893" s="344" t="s">
        <v>9285</v>
      </c>
      <c r="B5893" s="345" t="s">
        <v>9286</v>
      </c>
    </row>
    <row r="5894" spans="1:2" ht="15.75" x14ac:dyDescent="0.25">
      <c r="A5894" s="344" t="s">
        <v>9287</v>
      </c>
      <c r="B5894" s="345" t="s">
        <v>9288</v>
      </c>
    </row>
    <row r="5895" spans="1:2" ht="15.75" x14ac:dyDescent="0.25">
      <c r="A5895" s="344" t="s">
        <v>9289</v>
      </c>
      <c r="B5895" s="345" t="s">
        <v>9290</v>
      </c>
    </row>
    <row r="5896" spans="1:2" ht="15.75" x14ac:dyDescent="0.25">
      <c r="A5896" s="344" t="s">
        <v>9291</v>
      </c>
      <c r="B5896" s="345" t="s">
        <v>9292</v>
      </c>
    </row>
    <row r="5897" spans="1:2" ht="15.75" x14ac:dyDescent="0.25">
      <c r="A5897" s="344" t="s">
        <v>9293</v>
      </c>
      <c r="B5897" s="345" t="s">
        <v>9294</v>
      </c>
    </row>
    <row r="5898" spans="1:2" ht="15.75" x14ac:dyDescent="0.25">
      <c r="A5898" s="344" t="s">
        <v>9295</v>
      </c>
      <c r="B5898" s="345" t="s">
        <v>9296</v>
      </c>
    </row>
    <row r="5899" spans="1:2" ht="15.75" x14ac:dyDescent="0.25">
      <c r="A5899" s="344" t="s">
        <v>9297</v>
      </c>
      <c r="B5899" s="345" t="s">
        <v>9298</v>
      </c>
    </row>
    <row r="5900" spans="1:2" ht="15.75" x14ac:dyDescent="0.25">
      <c r="A5900" s="344" t="s">
        <v>9299</v>
      </c>
      <c r="B5900" s="345" t="s">
        <v>9300</v>
      </c>
    </row>
    <row r="5901" spans="1:2" ht="15.75" x14ac:dyDescent="0.25">
      <c r="A5901" s="344" t="s">
        <v>9301</v>
      </c>
      <c r="B5901" s="345" t="s">
        <v>9302</v>
      </c>
    </row>
    <row r="5902" spans="1:2" ht="15.75" x14ac:dyDescent="0.25">
      <c r="A5902" s="344" t="s">
        <v>9303</v>
      </c>
      <c r="B5902" s="345" t="s">
        <v>9304</v>
      </c>
    </row>
    <row r="5903" spans="1:2" ht="15.75" x14ac:dyDescent="0.25">
      <c r="A5903" s="344" t="s">
        <v>9305</v>
      </c>
      <c r="B5903" s="345" t="s">
        <v>9306</v>
      </c>
    </row>
    <row r="5904" spans="1:2" ht="15.75" x14ac:dyDescent="0.25">
      <c r="A5904" s="344" t="s">
        <v>9307</v>
      </c>
      <c r="B5904" s="345" t="s">
        <v>9308</v>
      </c>
    </row>
    <row r="5905" spans="1:2" ht="15.75" x14ac:dyDescent="0.25">
      <c r="A5905" s="344" t="s">
        <v>9309</v>
      </c>
      <c r="B5905" s="345" t="s">
        <v>9310</v>
      </c>
    </row>
    <row r="5906" spans="1:2" ht="15.75" x14ac:dyDescent="0.25">
      <c r="A5906" s="344" t="s">
        <v>9311</v>
      </c>
      <c r="B5906" s="345" t="s">
        <v>9312</v>
      </c>
    </row>
    <row r="5907" spans="1:2" ht="15.75" x14ac:dyDescent="0.25">
      <c r="A5907" s="344" t="s">
        <v>9313</v>
      </c>
      <c r="B5907" s="345" t="s">
        <v>9314</v>
      </c>
    </row>
    <row r="5908" spans="1:2" ht="15.75" x14ac:dyDescent="0.25">
      <c r="A5908" s="344" t="s">
        <v>9315</v>
      </c>
      <c r="B5908" s="345" t="s">
        <v>9316</v>
      </c>
    </row>
    <row r="5909" spans="1:2" ht="15.75" x14ac:dyDescent="0.25">
      <c r="A5909" s="344" t="s">
        <v>9317</v>
      </c>
      <c r="B5909" s="345" t="s">
        <v>9318</v>
      </c>
    </row>
    <row r="5910" spans="1:2" ht="15.75" x14ac:dyDescent="0.25">
      <c r="A5910" s="344" t="s">
        <v>9319</v>
      </c>
      <c r="B5910" s="345" t="s">
        <v>9320</v>
      </c>
    </row>
    <row r="5911" spans="1:2" ht="15.75" x14ac:dyDescent="0.25">
      <c r="A5911" s="344" t="s">
        <v>9321</v>
      </c>
      <c r="B5911" s="345" t="s">
        <v>3293</v>
      </c>
    </row>
    <row r="5912" spans="1:2" ht="15.75" x14ac:dyDescent="0.25">
      <c r="A5912" s="344" t="s">
        <v>9322</v>
      </c>
      <c r="B5912" s="345" t="s">
        <v>3294</v>
      </c>
    </row>
    <row r="5913" spans="1:2" ht="15.75" x14ac:dyDescent="0.25">
      <c r="A5913" s="344" t="s">
        <v>9323</v>
      </c>
      <c r="B5913" s="345" t="s">
        <v>3295</v>
      </c>
    </row>
    <row r="5914" spans="1:2" ht="15.75" x14ac:dyDescent="0.25">
      <c r="A5914" s="344" t="s">
        <v>9324</v>
      </c>
      <c r="B5914" s="345" t="s">
        <v>9325</v>
      </c>
    </row>
    <row r="5915" spans="1:2" ht="15.75" x14ac:dyDescent="0.25">
      <c r="A5915" s="344" t="s">
        <v>9326</v>
      </c>
      <c r="B5915" s="345" t="s">
        <v>3296</v>
      </c>
    </row>
    <row r="5916" spans="1:2" ht="15.75" x14ac:dyDescent="0.25">
      <c r="A5916" s="344" t="s">
        <v>9327</v>
      </c>
      <c r="B5916" s="345" t="s">
        <v>3297</v>
      </c>
    </row>
    <row r="5917" spans="1:2" ht="15.75" x14ac:dyDescent="0.25">
      <c r="A5917" s="344" t="s">
        <v>9328</v>
      </c>
      <c r="B5917" s="345" t="s">
        <v>9329</v>
      </c>
    </row>
    <row r="5918" spans="1:2" ht="15.75" x14ac:dyDescent="0.25">
      <c r="A5918" s="344" t="s">
        <v>9330</v>
      </c>
      <c r="B5918" s="345" t="s">
        <v>3298</v>
      </c>
    </row>
    <row r="5919" spans="1:2" ht="15.75" x14ac:dyDescent="0.25">
      <c r="A5919" s="344" t="s">
        <v>9331</v>
      </c>
      <c r="B5919" s="345" t="s">
        <v>3299</v>
      </c>
    </row>
    <row r="5920" spans="1:2" ht="15.75" x14ac:dyDescent="0.25">
      <c r="A5920" s="344" t="s">
        <v>9332</v>
      </c>
      <c r="B5920" s="345" t="s">
        <v>9333</v>
      </c>
    </row>
    <row r="5921" spans="1:2" ht="15.75" x14ac:dyDescent="0.25">
      <c r="A5921" s="344" t="s">
        <v>9334</v>
      </c>
      <c r="B5921" s="345" t="s">
        <v>3300</v>
      </c>
    </row>
    <row r="5922" spans="1:2" ht="15.75" x14ac:dyDescent="0.25">
      <c r="A5922" s="344" t="s">
        <v>9335</v>
      </c>
      <c r="B5922" s="345" t="s">
        <v>3301</v>
      </c>
    </row>
    <row r="5923" spans="1:2" ht="15.75" x14ac:dyDescent="0.25">
      <c r="A5923" s="344" t="s">
        <v>9336</v>
      </c>
      <c r="B5923" s="345" t="s">
        <v>3302</v>
      </c>
    </row>
    <row r="5924" spans="1:2" ht="15.75" x14ac:dyDescent="0.25">
      <c r="A5924" s="344" t="s">
        <v>9337</v>
      </c>
      <c r="B5924" s="345" t="s">
        <v>3303</v>
      </c>
    </row>
    <row r="5925" spans="1:2" ht="15.75" x14ac:dyDescent="0.25">
      <c r="A5925" s="344" t="s">
        <v>9338</v>
      </c>
      <c r="B5925" s="345" t="s">
        <v>3304</v>
      </c>
    </row>
    <row r="5926" spans="1:2" ht="15.75" x14ac:dyDescent="0.25">
      <c r="A5926" s="344" t="s">
        <v>9339</v>
      </c>
      <c r="B5926" s="345" t="s">
        <v>3305</v>
      </c>
    </row>
    <row r="5927" spans="1:2" ht="15.75" x14ac:dyDescent="0.25">
      <c r="A5927" s="344" t="s">
        <v>9340</v>
      </c>
      <c r="B5927" s="345" t="s">
        <v>3306</v>
      </c>
    </row>
    <row r="5928" spans="1:2" ht="15.75" x14ac:dyDescent="0.25">
      <c r="A5928" s="344" t="s">
        <v>9341</v>
      </c>
      <c r="B5928" s="345" t="s">
        <v>9342</v>
      </c>
    </row>
    <row r="5929" spans="1:2" ht="15.75" x14ac:dyDescent="0.25">
      <c r="A5929" s="344" t="s">
        <v>9343</v>
      </c>
      <c r="B5929" s="345" t="s">
        <v>3307</v>
      </c>
    </row>
    <row r="5930" spans="1:2" ht="15.75" x14ac:dyDescent="0.25">
      <c r="A5930" s="344" t="s">
        <v>9344</v>
      </c>
      <c r="B5930" s="345" t="s">
        <v>9345</v>
      </c>
    </row>
    <row r="5931" spans="1:2" ht="15.75" x14ac:dyDescent="0.25">
      <c r="A5931" s="344" t="s">
        <v>9346</v>
      </c>
      <c r="B5931" s="345" t="s">
        <v>9347</v>
      </c>
    </row>
    <row r="5932" spans="1:2" ht="15.75" x14ac:dyDescent="0.25">
      <c r="A5932" s="344" t="s">
        <v>9348</v>
      </c>
      <c r="B5932" s="345" t="s">
        <v>3308</v>
      </c>
    </row>
    <row r="5933" spans="1:2" ht="15.75" x14ac:dyDescent="0.25">
      <c r="A5933" s="344" t="s">
        <v>9349</v>
      </c>
      <c r="B5933" s="345" t="s">
        <v>9350</v>
      </c>
    </row>
    <row r="5934" spans="1:2" ht="15.75" x14ac:dyDescent="0.25">
      <c r="A5934" s="344" t="s">
        <v>9351</v>
      </c>
      <c r="B5934" s="345" t="s">
        <v>3309</v>
      </c>
    </row>
    <row r="5935" spans="1:2" ht="15.75" x14ac:dyDescent="0.25">
      <c r="A5935" s="344" t="s">
        <v>9352</v>
      </c>
      <c r="B5935" s="345" t="s">
        <v>3310</v>
      </c>
    </row>
    <row r="5936" spans="1:2" ht="15.75" x14ac:dyDescent="0.25">
      <c r="A5936" s="344" t="s">
        <v>9353</v>
      </c>
      <c r="B5936" s="345" t="s">
        <v>3311</v>
      </c>
    </row>
    <row r="5937" spans="1:2" ht="15.75" x14ac:dyDescent="0.25">
      <c r="A5937" s="344" t="s">
        <v>9354</v>
      </c>
      <c r="B5937" s="345" t="s">
        <v>3312</v>
      </c>
    </row>
    <row r="5938" spans="1:2" ht="15.75" x14ac:dyDescent="0.25">
      <c r="A5938" s="344" t="s">
        <v>9355</v>
      </c>
      <c r="B5938" s="345" t="s">
        <v>3313</v>
      </c>
    </row>
    <row r="5939" spans="1:2" ht="15.75" x14ac:dyDescent="0.25">
      <c r="A5939" s="344" t="s">
        <v>9356</v>
      </c>
      <c r="B5939" s="345" t="s">
        <v>3314</v>
      </c>
    </row>
    <row r="5940" spans="1:2" ht="15.75" x14ac:dyDescent="0.25">
      <c r="A5940" s="344" t="s">
        <v>9357</v>
      </c>
      <c r="B5940" s="345" t="s">
        <v>3315</v>
      </c>
    </row>
    <row r="5941" spans="1:2" ht="15.75" x14ac:dyDescent="0.25">
      <c r="A5941" s="344" t="s">
        <v>9358</v>
      </c>
      <c r="B5941" s="345" t="s">
        <v>3316</v>
      </c>
    </row>
    <row r="5942" spans="1:2" ht="15.75" x14ac:dyDescent="0.25">
      <c r="A5942" s="344" t="s">
        <v>9359</v>
      </c>
      <c r="B5942" s="345" t="s">
        <v>3317</v>
      </c>
    </row>
    <row r="5943" spans="1:2" ht="15.75" x14ac:dyDescent="0.25">
      <c r="A5943" s="344" t="s">
        <v>9360</v>
      </c>
      <c r="B5943" s="345" t="s">
        <v>3318</v>
      </c>
    </row>
    <row r="5944" spans="1:2" ht="15.75" x14ac:dyDescent="0.25">
      <c r="A5944" s="344" t="s">
        <v>9361</v>
      </c>
      <c r="B5944" s="345" t="s">
        <v>3319</v>
      </c>
    </row>
    <row r="5945" spans="1:2" ht="15.75" x14ac:dyDescent="0.25">
      <c r="A5945" s="344" t="s">
        <v>9362</v>
      </c>
      <c r="B5945" s="345" t="s">
        <v>3320</v>
      </c>
    </row>
    <row r="5946" spans="1:2" ht="15.75" x14ac:dyDescent="0.25">
      <c r="A5946" s="344" t="s">
        <v>9363</v>
      </c>
      <c r="B5946" s="345" t="s">
        <v>3321</v>
      </c>
    </row>
    <row r="5947" spans="1:2" ht="15.75" x14ac:dyDescent="0.25">
      <c r="A5947" s="344" t="s">
        <v>9364</v>
      </c>
      <c r="B5947" s="345" t="s">
        <v>3322</v>
      </c>
    </row>
    <row r="5948" spans="1:2" ht="15.75" x14ac:dyDescent="0.25">
      <c r="A5948" s="344" t="s">
        <v>9365</v>
      </c>
      <c r="B5948" s="345" t="s">
        <v>9366</v>
      </c>
    </row>
    <row r="5949" spans="1:2" ht="15.75" x14ac:dyDescent="0.25">
      <c r="A5949" s="344" t="s">
        <v>9367</v>
      </c>
      <c r="B5949" s="345" t="s">
        <v>3323</v>
      </c>
    </row>
    <row r="5950" spans="1:2" ht="15.75" x14ac:dyDescent="0.25">
      <c r="A5950" s="344" t="s">
        <v>9368</v>
      </c>
      <c r="B5950" s="345" t="s">
        <v>9369</v>
      </c>
    </row>
    <row r="5951" spans="1:2" ht="15.75" x14ac:dyDescent="0.25">
      <c r="A5951" s="344" t="s">
        <v>9370</v>
      </c>
      <c r="B5951" s="345" t="s">
        <v>9371</v>
      </c>
    </row>
    <row r="5952" spans="1:2" ht="15.75" x14ac:dyDescent="0.25">
      <c r="A5952" s="344" t="s">
        <v>9372</v>
      </c>
      <c r="B5952" s="345" t="s">
        <v>9373</v>
      </c>
    </row>
    <row r="5953" spans="1:2" ht="15.75" x14ac:dyDescent="0.25">
      <c r="A5953" s="344" t="s">
        <v>9374</v>
      </c>
      <c r="B5953" s="345" t="s">
        <v>9375</v>
      </c>
    </row>
    <row r="5954" spans="1:2" ht="15.75" x14ac:dyDescent="0.25">
      <c r="A5954" s="344" t="s">
        <v>9376</v>
      </c>
      <c r="B5954" s="345" t="s">
        <v>3324</v>
      </c>
    </row>
    <row r="5955" spans="1:2" ht="15.75" x14ac:dyDescent="0.25">
      <c r="A5955" s="344" t="s">
        <v>9377</v>
      </c>
      <c r="B5955" s="345" t="s">
        <v>3325</v>
      </c>
    </row>
    <row r="5956" spans="1:2" ht="15.75" x14ac:dyDescent="0.25">
      <c r="A5956" s="344" t="s">
        <v>9378</v>
      </c>
      <c r="B5956" s="345" t="s">
        <v>3326</v>
      </c>
    </row>
    <row r="5957" spans="1:2" ht="15.75" x14ac:dyDescent="0.25">
      <c r="A5957" s="344" t="s">
        <v>9379</v>
      </c>
      <c r="B5957" s="345" t="s">
        <v>3327</v>
      </c>
    </row>
    <row r="5958" spans="1:2" ht="15.75" x14ac:dyDescent="0.25">
      <c r="A5958" s="344" t="s">
        <v>9380</v>
      </c>
      <c r="B5958" s="345" t="s">
        <v>3328</v>
      </c>
    </row>
    <row r="5959" spans="1:2" ht="15.75" x14ac:dyDescent="0.25">
      <c r="A5959" s="344" t="s">
        <v>9381</v>
      </c>
      <c r="B5959" s="345" t="s">
        <v>3329</v>
      </c>
    </row>
    <row r="5960" spans="1:2" ht="15.75" x14ac:dyDescent="0.25">
      <c r="A5960" s="344" t="s">
        <v>9382</v>
      </c>
      <c r="B5960" s="345" t="s">
        <v>3330</v>
      </c>
    </row>
    <row r="5961" spans="1:2" ht="15.75" x14ac:dyDescent="0.25">
      <c r="A5961" s="344" t="s">
        <v>9383</v>
      </c>
      <c r="B5961" s="345" t="s">
        <v>3331</v>
      </c>
    </row>
    <row r="5962" spans="1:2" ht="15.75" x14ac:dyDescent="0.25">
      <c r="A5962" s="344" t="s">
        <v>9384</v>
      </c>
      <c r="B5962" s="345" t="s">
        <v>3332</v>
      </c>
    </row>
    <row r="5963" spans="1:2" ht="15.75" x14ac:dyDescent="0.25">
      <c r="A5963" s="344" t="s">
        <v>9385</v>
      </c>
      <c r="B5963" s="345" t="s">
        <v>3333</v>
      </c>
    </row>
    <row r="5964" spans="1:2" ht="15.75" x14ac:dyDescent="0.25">
      <c r="A5964" s="344" t="s">
        <v>9386</v>
      </c>
      <c r="B5964" s="345" t="s">
        <v>3334</v>
      </c>
    </row>
    <row r="5965" spans="1:2" ht="15.75" x14ac:dyDescent="0.25">
      <c r="A5965" s="344" t="s">
        <v>9387</v>
      </c>
      <c r="B5965" s="345" t="s">
        <v>9388</v>
      </c>
    </row>
    <row r="5966" spans="1:2" ht="15.75" x14ac:dyDescent="0.25">
      <c r="A5966" s="344" t="s">
        <v>9389</v>
      </c>
      <c r="B5966" s="345" t="s">
        <v>3335</v>
      </c>
    </row>
    <row r="5967" spans="1:2" ht="15.75" x14ac:dyDescent="0.25">
      <c r="A5967" s="344" t="s">
        <v>9390</v>
      </c>
      <c r="B5967" s="345" t="s">
        <v>3336</v>
      </c>
    </row>
    <row r="5968" spans="1:2" ht="15.75" x14ac:dyDescent="0.25">
      <c r="A5968" s="344" t="s">
        <v>9391</v>
      </c>
      <c r="B5968" s="345" t="s">
        <v>3337</v>
      </c>
    </row>
    <row r="5969" spans="1:2" ht="15.75" x14ac:dyDescent="0.25">
      <c r="A5969" s="344" t="s">
        <v>9392</v>
      </c>
      <c r="B5969" s="345" t="s">
        <v>3338</v>
      </c>
    </row>
    <row r="5970" spans="1:2" ht="15.75" x14ac:dyDescent="0.25">
      <c r="A5970" s="344" t="s">
        <v>9393</v>
      </c>
      <c r="B5970" s="345" t="s">
        <v>3339</v>
      </c>
    </row>
    <row r="5971" spans="1:2" ht="15.75" x14ac:dyDescent="0.25">
      <c r="A5971" s="344" t="s">
        <v>9394</v>
      </c>
      <c r="B5971" s="345" t="s">
        <v>3340</v>
      </c>
    </row>
    <row r="5972" spans="1:2" ht="15.75" x14ac:dyDescent="0.25">
      <c r="A5972" s="344" t="s">
        <v>9395</v>
      </c>
      <c r="B5972" s="345" t="s">
        <v>3341</v>
      </c>
    </row>
    <row r="5973" spans="1:2" ht="15.75" x14ac:dyDescent="0.25">
      <c r="A5973" s="344" t="s">
        <v>9396</v>
      </c>
      <c r="B5973" s="345" t="s">
        <v>9397</v>
      </c>
    </row>
    <row r="5974" spans="1:2" ht="15.75" x14ac:dyDescent="0.25">
      <c r="A5974" s="344" t="s">
        <v>9398</v>
      </c>
      <c r="B5974" s="345" t="s">
        <v>9399</v>
      </c>
    </row>
    <row r="5975" spans="1:2" ht="15.75" x14ac:dyDescent="0.25">
      <c r="A5975" s="344" t="s">
        <v>9400</v>
      </c>
      <c r="B5975" s="345" t="s">
        <v>3342</v>
      </c>
    </row>
    <row r="5976" spans="1:2" ht="15.75" x14ac:dyDescent="0.25">
      <c r="A5976" s="344" t="s">
        <v>9401</v>
      </c>
      <c r="B5976" s="345" t="s">
        <v>9402</v>
      </c>
    </row>
    <row r="5977" spans="1:2" ht="15.75" x14ac:dyDescent="0.25">
      <c r="A5977" s="344" t="s">
        <v>9403</v>
      </c>
      <c r="B5977" s="345" t="s">
        <v>9404</v>
      </c>
    </row>
    <row r="5978" spans="1:2" ht="15.75" x14ac:dyDescent="0.25">
      <c r="A5978" s="344" t="s">
        <v>9405</v>
      </c>
      <c r="B5978" s="345" t="s">
        <v>9406</v>
      </c>
    </row>
    <row r="5979" spans="1:2" ht="15.75" x14ac:dyDescent="0.25">
      <c r="A5979" s="344" t="s">
        <v>9407</v>
      </c>
      <c r="B5979" s="345" t="s">
        <v>9408</v>
      </c>
    </row>
    <row r="5980" spans="1:2" ht="15.75" x14ac:dyDescent="0.25">
      <c r="A5980" s="344" t="s">
        <v>9409</v>
      </c>
      <c r="B5980" s="345" t="s">
        <v>9410</v>
      </c>
    </row>
    <row r="5981" spans="1:2" ht="15.75" x14ac:dyDescent="0.25">
      <c r="A5981" s="344" t="s">
        <v>9411</v>
      </c>
      <c r="B5981" s="345" t="s">
        <v>9412</v>
      </c>
    </row>
    <row r="5982" spans="1:2" ht="15.75" x14ac:dyDescent="0.25">
      <c r="A5982" s="344" t="s">
        <v>9413</v>
      </c>
      <c r="B5982" s="345" t="s">
        <v>3343</v>
      </c>
    </row>
    <row r="5983" spans="1:2" ht="15.75" x14ac:dyDescent="0.25">
      <c r="A5983" s="344" t="s">
        <v>9414</v>
      </c>
      <c r="B5983" s="345" t="s">
        <v>3344</v>
      </c>
    </row>
    <row r="5984" spans="1:2" ht="15.75" x14ac:dyDescent="0.25">
      <c r="A5984" s="344" t="s">
        <v>9415</v>
      </c>
      <c r="B5984" s="345" t="s">
        <v>3345</v>
      </c>
    </row>
    <row r="5985" spans="1:2" ht="15.75" x14ac:dyDescent="0.25">
      <c r="A5985" s="344" t="s">
        <v>9416</v>
      </c>
      <c r="B5985" s="345" t="s">
        <v>9417</v>
      </c>
    </row>
    <row r="5986" spans="1:2" ht="15.75" x14ac:dyDescent="0.25">
      <c r="A5986" s="344" t="s">
        <v>9418</v>
      </c>
      <c r="B5986" s="345" t="s">
        <v>9419</v>
      </c>
    </row>
    <row r="5987" spans="1:2" ht="15.75" x14ac:dyDescent="0.25">
      <c r="A5987" s="344" t="s">
        <v>9420</v>
      </c>
      <c r="B5987" s="345" t="s">
        <v>3346</v>
      </c>
    </row>
    <row r="5988" spans="1:2" ht="15.75" x14ac:dyDescent="0.25">
      <c r="A5988" s="344" t="s">
        <v>56</v>
      </c>
      <c r="B5988" s="345" t="s">
        <v>3347</v>
      </c>
    </row>
    <row r="5989" spans="1:2" ht="15.75" x14ac:dyDescent="0.25">
      <c r="A5989" s="344" t="s">
        <v>9421</v>
      </c>
      <c r="B5989" s="345" t="s">
        <v>3348</v>
      </c>
    </row>
    <row r="5990" spans="1:2" ht="15.75" x14ac:dyDescent="0.25">
      <c r="A5990" s="344" t="s">
        <v>9422</v>
      </c>
      <c r="B5990" s="345" t="s">
        <v>9423</v>
      </c>
    </row>
    <row r="5991" spans="1:2" ht="15.75" x14ac:dyDescent="0.25">
      <c r="A5991" s="344" t="s">
        <v>57</v>
      </c>
      <c r="B5991" s="345" t="s">
        <v>3349</v>
      </c>
    </row>
    <row r="5992" spans="1:2" ht="15.75" x14ac:dyDescent="0.25">
      <c r="A5992" s="344" t="s">
        <v>9424</v>
      </c>
      <c r="B5992" s="345" t="s">
        <v>3350</v>
      </c>
    </row>
    <row r="5993" spans="1:2" ht="15.75" x14ac:dyDescent="0.25">
      <c r="A5993" s="344" t="s">
        <v>9425</v>
      </c>
      <c r="B5993" s="345" t="s">
        <v>3351</v>
      </c>
    </row>
    <row r="5994" spans="1:2" ht="15.75" x14ac:dyDescent="0.25">
      <c r="A5994" s="344" t="s">
        <v>9426</v>
      </c>
      <c r="B5994" s="345" t="s">
        <v>3352</v>
      </c>
    </row>
    <row r="5995" spans="1:2" ht="15.75" x14ac:dyDescent="0.25">
      <c r="A5995" s="344" t="s">
        <v>9427</v>
      </c>
      <c r="B5995" s="345" t="s">
        <v>9428</v>
      </c>
    </row>
    <row r="5996" spans="1:2" ht="15.75" x14ac:dyDescent="0.25">
      <c r="A5996" s="344" t="s">
        <v>9429</v>
      </c>
      <c r="B5996" s="345" t="s">
        <v>9430</v>
      </c>
    </row>
    <row r="5997" spans="1:2" ht="15.75" x14ac:dyDescent="0.25">
      <c r="A5997" s="344" t="s">
        <v>9431</v>
      </c>
      <c r="B5997" s="345" t="s">
        <v>9432</v>
      </c>
    </row>
    <row r="5998" spans="1:2" ht="15.75" x14ac:dyDescent="0.25">
      <c r="A5998" s="344" t="s">
        <v>9433</v>
      </c>
      <c r="B5998" s="345" t="s">
        <v>9434</v>
      </c>
    </row>
    <row r="5999" spans="1:2" ht="15.75" x14ac:dyDescent="0.25">
      <c r="A5999" s="344" t="s">
        <v>9435</v>
      </c>
      <c r="B5999" s="345" t="s">
        <v>9436</v>
      </c>
    </row>
    <row r="6000" spans="1:2" ht="15.75" x14ac:dyDescent="0.25">
      <c r="A6000" s="344" t="s">
        <v>9437</v>
      </c>
      <c r="B6000" s="345" t="s">
        <v>9438</v>
      </c>
    </row>
    <row r="6001" spans="1:2" ht="15.75" x14ac:dyDescent="0.25">
      <c r="A6001" s="344" t="s">
        <v>9439</v>
      </c>
      <c r="B6001" s="345" t="s">
        <v>9440</v>
      </c>
    </row>
    <row r="6002" spans="1:2" ht="15.75" x14ac:dyDescent="0.25">
      <c r="A6002" s="344" t="s">
        <v>9441</v>
      </c>
      <c r="B6002" s="345" t="s">
        <v>3353</v>
      </c>
    </row>
    <row r="6003" spans="1:2" ht="15.75" x14ac:dyDescent="0.25">
      <c r="A6003" s="344" t="s">
        <v>9442</v>
      </c>
      <c r="B6003" s="345" t="s">
        <v>3354</v>
      </c>
    </row>
    <row r="6004" spans="1:2" ht="15.75" x14ac:dyDescent="0.25">
      <c r="A6004" s="344" t="s">
        <v>9443</v>
      </c>
      <c r="B6004" s="345" t="s">
        <v>3355</v>
      </c>
    </row>
    <row r="6005" spans="1:2" ht="15.75" x14ac:dyDescent="0.25">
      <c r="A6005" s="344" t="s">
        <v>9444</v>
      </c>
      <c r="B6005" s="345" t="s">
        <v>3356</v>
      </c>
    </row>
    <row r="6006" spans="1:2" ht="15.75" x14ac:dyDescent="0.25">
      <c r="A6006" s="344" t="s">
        <v>9445</v>
      </c>
      <c r="B6006" s="345" t="s">
        <v>3357</v>
      </c>
    </row>
    <row r="6007" spans="1:2" ht="15.75" x14ac:dyDescent="0.25">
      <c r="A6007" s="344" t="s">
        <v>9446</v>
      </c>
      <c r="B6007" s="345" t="s">
        <v>9447</v>
      </c>
    </row>
    <row r="6008" spans="1:2" ht="15.75" x14ac:dyDescent="0.25">
      <c r="A6008" s="344" t="s">
        <v>9448</v>
      </c>
      <c r="B6008" s="345" t="s">
        <v>9449</v>
      </c>
    </row>
    <row r="6009" spans="1:2" ht="15.75" x14ac:dyDescent="0.25">
      <c r="A6009" s="344" t="s">
        <v>9450</v>
      </c>
      <c r="B6009" s="345" t="s">
        <v>9451</v>
      </c>
    </row>
    <row r="6010" spans="1:2" ht="15.75" x14ac:dyDescent="0.25">
      <c r="A6010" s="344" t="s">
        <v>9452</v>
      </c>
      <c r="B6010" s="345" t="s">
        <v>9453</v>
      </c>
    </row>
    <row r="6011" spans="1:2" ht="15.75" x14ac:dyDescent="0.25">
      <c r="A6011" s="344" t="s">
        <v>9454</v>
      </c>
      <c r="B6011" s="345" t="s">
        <v>9455</v>
      </c>
    </row>
    <row r="6012" spans="1:2" ht="15.75" x14ac:dyDescent="0.25">
      <c r="A6012" s="344" t="s">
        <v>9456</v>
      </c>
      <c r="B6012" s="345" t="s">
        <v>3358</v>
      </c>
    </row>
    <row r="6013" spans="1:2" ht="15.75" x14ac:dyDescent="0.25">
      <c r="A6013" s="344" t="s">
        <v>9457</v>
      </c>
      <c r="B6013" s="345" t="s">
        <v>3359</v>
      </c>
    </row>
    <row r="6014" spans="1:2" ht="15.75" x14ac:dyDescent="0.25">
      <c r="A6014" s="344" t="s">
        <v>9458</v>
      </c>
      <c r="B6014" s="345" t="s">
        <v>3360</v>
      </c>
    </row>
    <row r="6015" spans="1:2" ht="15.75" x14ac:dyDescent="0.25">
      <c r="A6015" s="344" t="s">
        <v>9459</v>
      </c>
      <c r="B6015" s="345" t="s">
        <v>3361</v>
      </c>
    </row>
    <row r="6016" spans="1:2" ht="15.75" x14ac:dyDescent="0.25">
      <c r="A6016" s="344" t="s">
        <v>9460</v>
      </c>
      <c r="B6016" s="345" t="s">
        <v>3362</v>
      </c>
    </row>
    <row r="6017" spans="1:2" ht="15.75" x14ac:dyDescent="0.25">
      <c r="A6017" s="344" t="s">
        <v>9461</v>
      </c>
      <c r="B6017" s="345" t="s">
        <v>3363</v>
      </c>
    </row>
    <row r="6018" spans="1:2" ht="15.75" x14ac:dyDescent="0.25">
      <c r="A6018" s="344" t="s">
        <v>9462</v>
      </c>
      <c r="B6018" s="345" t="s">
        <v>3364</v>
      </c>
    </row>
    <row r="6019" spans="1:2" ht="15.75" x14ac:dyDescent="0.25">
      <c r="A6019" s="344" t="s">
        <v>9463</v>
      </c>
      <c r="B6019" s="345" t="s">
        <v>3365</v>
      </c>
    </row>
    <row r="6020" spans="1:2" ht="15.75" x14ac:dyDescent="0.25">
      <c r="A6020" s="344" t="s">
        <v>9464</v>
      </c>
      <c r="B6020" s="345" t="s">
        <v>3366</v>
      </c>
    </row>
    <row r="6021" spans="1:2" ht="15.75" x14ac:dyDescent="0.25">
      <c r="A6021" s="344" t="s">
        <v>9465</v>
      </c>
      <c r="B6021" s="345" t="s">
        <v>3367</v>
      </c>
    </row>
    <row r="6022" spans="1:2" ht="15.75" x14ac:dyDescent="0.25">
      <c r="A6022" s="344" t="s">
        <v>9466</v>
      </c>
      <c r="B6022" s="345" t="s">
        <v>3368</v>
      </c>
    </row>
    <row r="6023" spans="1:2" ht="15.75" x14ac:dyDescent="0.25">
      <c r="A6023" s="344" t="s">
        <v>9467</v>
      </c>
      <c r="B6023" s="345" t="s">
        <v>3369</v>
      </c>
    </row>
    <row r="6024" spans="1:2" ht="15.75" x14ac:dyDescent="0.25">
      <c r="A6024" s="344" t="s">
        <v>9468</v>
      </c>
      <c r="B6024" s="345" t="s">
        <v>3370</v>
      </c>
    </row>
    <row r="6025" spans="1:2" ht="15.75" x14ac:dyDescent="0.25">
      <c r="A6025" s="344" t="s">
        <v>9469</v>
      </c>
      <c r="B6025" s="345" t="s">
        <v>3371</v>
      </c>
    </row>
    <row r="6026" spans="1:2" ht="15.75" x14ac:dyDescent="0.25">
      <c r="A6026" s="344" t="s">
        <v>9470</v>
      </c>
      <c r="B6026" s="345" t="s">
        <v>3372</v>
      </c>
    </row>
    <row r="6027" spans="1:2" ht="15.75" x14ac:dyDescent="0.25">
      <c r="A6027" s="344" t="s">
        <v>9471</v>
      </c>
      <c r="B6027" s="345" t="s">
        <v>3373</v>
      </c>
    </row>
    <row r="6028" spans="1:2" ht="15.75" x14ac:dyDescent="0.25">
      <c r="A6028" s="344" t="s">
        <v>9472</v>
      </c>
      <c r="B6028" s="345" t="s">
        <v>3374</v>
      </c>
    </row>
    <row r="6029" spans="1:2" ht="15.75" x14ac:dyDescent="0.25">
      <c r="A6029" s="344" t="s">
        <v>9473</v>
      </c>
      <c r="B6029" s="345" t="s">
        <v>3375</v>
      </c>
    </row>
    <row r="6030" spans="1:2" ht="15.75" x14ac:dyDescent="0.25">
      <c r="A6030" s="344" t="s">
        <v>9474</v>
      </c>
      <c r="B6030" s="345" t="s">
        <v>3376</v>
      </c>
    </row>
    <row r="6031" spans="1:2" ht="15.75" x14ac:dyDescent="0.25">
      <c r="A6031" s="344" t="s">
        <v>9475</v>
      </c>
      <c r="B6031" s="345" t="s">
        <v>3377</v>
      </c>
    </row>
    <row r="6032" spans="1:2" ht="15.75" x14ac:dyDescent="0.25">
      <c r="A6032" s="344" t="s">
        <v>9476</v>
      </c>
      <c r="B6032" s="345" t="s">
        <v>3378</v>
      </c>
    </row>
    <row r="6033" spans="1:2" ht="15.75" x14ac:dyDescent="0.25">
      <c r="A6033" s="344" t="s">
        <v>9477</v>
      </c>
      <c r="B6033" s="345" t="s">
        <v>3379</v>
      </c>
    </row>
    <row r="6034" spans="1:2" ht="15.75" x14ac:dyDescent="0.25">
      <c r="A6034" s="344" t="s">
        <v>9478</v>
      </c>
      <c r="B6034" s="345" t="s">
        <v>3380</v>
      </c>
    </row>
    <row r="6035" spans="1:2" ht="15.75" x14ac:dyDescent="0.25">
      <c r="A6035" s="344" t="s">
        <v>9479</v>
      </c>
      <c r="B6035" s="345" t="s">
        <v>3381</v>
      </c>
    </row>
    <row r="6036" spans="1:2" ht="15.75" x14ac:dyDescent="0.25">
      <c r="A6036" s="344" t="s">
        <v>9480</v>
      </c>
      <c r="B6036" s="345" t="s">
        <v>3382</v>
      </c>
    </row>
    <row r="6037" spans="1:2" ht="15.75" x14ac:dyDescent="0.25">
      <c r="A6037" s="344" t="s">
        <v>9481</v>
      </c>
      <c r="B6037" s="345" t="s">
        <v>3383</v>
      </c>
    </row>
    <row r="6038" spans="1:2" ht="15.75" x14ac:dyDescent="0.25">
      <c r="A6038" s="344" t="s">
        <v>9482</v>
      </c>
      <c r="B6038" s="345" t="s">
        <v>3384</v>
      </c>
    </row>
    <row r="6039" spans="1:2" ht="15.75" x14ac:dyDescent="0.25">
      <c r="A6039" s="344" t="s">
        <v>9483</v>
      </c>
      <c r="B6039" s="345" t="s">
        <v>3385</v>
      </c>
    </row>
    <row r="6040" spans="1:2" ht="15.75" x14ac:dyDescent="0.25">
      <c r="A6040" s="344" t="s">
        <v>9484</v>
      </c>
      <c r="B6040" s="345" t="s">
        <v>3386</v>
      </c>
    </row>
    <row r="6041" spans="1:2" ht="15.75" x14ac:dyDescent="0.25">
      <c r="A6041" s="344" t="s">
        <v>9485</v>
      </c>
      <c r="B6041" s="345" t="s">
        <v>3387</v>
      </c>
    </row>
    <row r="6042" spans="1:2" ht="15.75" x14ac:dyDescent="0.25">
      <c r="A6042" s="344" t="s">
        <v>9486</v>
      </c>
      <c r="B6042" s="345" t="s">
        <v>3388</v>
      </c>
    </row>
    <row r="6043" spans="1:2" ht="15.75" x14ac:dyDescent="0.25">
      <c r="A6043" s="344" t="s">
        <v>9487</v>
      </c>
      <c r="B6043" s="345" t="s">
        <v>3389</v>
      </c>
    </row>
    <row r="6044" spans="1:2" ht="15.75" x14ac:dyDescent="0.25">
      <c r="A6044" s="344" t="s">
        <v>9488</v>
      </c>
      <c r="B6044" s="345" t="s">
        <v>3390</v>
      </c>
    </row>
    <row r="6045" spans="1:2" ht="15.75" x14ac:dyDescent="0.25">
      <c r="A6045" s="344" t="s">
        <v>9489</v>
      </c>
      <c r="B6045" s="345" t="s">
        <v>3391</v>
      </c>
    </row>
    <row r="6046" spans="1:2" ht="15.75" x14ac:dyDescent="0.25">
      <c r="A6046" s="344" t="s">
        <v>9490</v>
      </c>
      <c r="B6046" s="345" t="s">
        <v>3392</v>
      </c>
    </row>
    <row r="6047" spans="1:2" ht="15.75" x14ac:dyDescent="0.25">
      <c r="A6047" s="344" t="s">
        <v>9491</v>
      </c>
      <c r="B6047" s="345" t="s">
        <v>3393</v>
      </c>
    </row>
    <row r="6048" spans="1:2" ht="15.75" x14ac:dyDescent="0.25">
      <c r="A6048" s="344" t="s">
        <v>9492</v>
      </c>
      <c r="B6048" s="345" t="s">
        <v>3394</v>
      </c>
    </row>
    <row r="6049" spans="1:2" ht="15.75" x14ac:dyDescent="0.25">
      <c r="A6049" s="344" t="s">
        <v>9493</v>
      </c>
      <c r="B6049" s="345" t="s">
        <v>3395</v>
      </c>
    </row>
    <row r="6050" spans="1:2" ht="15.75" x14ac:dyDescent="0.25">
      <c r="A6050" s="344" t="s">
        <v>9494</v>
      </c>
      <c r="B6050" s="345" t="s">
        <v>3396</v>
      </c>
    </row>
    <row r="6051" spans="1:2" ht="15.75" x14ac:dyDescent="0.25">
      <c r="A6051" s="344" t="s">
        <v>9495</v>
      </c>
      <c r="B6051" s="345" t="s">
        <v>3397</v>
      </c>
    </row>
    <row r="6052" spans="1:2" ht="15.75" x14ac:dyDescent="0.25">
      <c r="A6052" s="344" t="s">
        <v>9496</v>
      </c>
      <c r="B6052" s="345" t="s">
        <v>3398</v>
      </c>
    </row>
    <row r="6053" spans="1:2" ht="15.75" x14ac:dyDescent="0.25">
      <c r="A6053" s="344" t="s">
        <v>9497</v>
      </c>
      <c r="B6053" s="345" t="s">
        <v>3399</v>
      </c>
    </row>
    <row r="6054" spans="1:2" ht="15.75" x14ac:dyDescent="0.25">
      <c r="A6054" s="344" t="s">
        <v>9498</v>
      </c>
      <c r="B6054" s="345" t="s">
        <v>3400</v>
      </c>
    </row>
    <row r="6055" spans="1:2" ht="15.75" x14ac:dyDescent="0.25">
      <c r="A6055" s="344" t="s">
        <v>9499</v>
      </c>
      <c r="B6055" s="345" t="s">
        <v>3401</v>
      </c>
    </row>
    <row r="6056" spans="1:2" ht="15.75" x14ac:dyDescent="0.25">
      <c r="A6056" s="344" t="s">
        <v>9500</v>
      </c>
      <c r="B6056" s="345" t="s">
        <v>3402</v>
      </c>
    </row>
    <row r="6057" spans="1:2" ht="15.75" x14ac:dyDescent="0.25">
      <c r="A6057" s="344" t="s">
        <v>9501</v>
      </c>
      <c r="B6057" s="345" t="s">
        <v>3403</v>
      </c>
    </row>
    <row r="6058" spans="1:2" ht="15.75" x14ac:dyDescent="0.25">
      <c r="A6058" s="344" t="s">
        <v>9502</v>
      </c>
      <c r="B6058" s="345" t="s">
        <v>3404</v>
      </c>
    </row>
    <row r="6059" spans="1:2" ht="15.75" x14ac:dyDescent="0.25">
      <c r="A6059" s="344" t="s">
        <v>9503</v>
      </c>
      <c r="B6059" s="345" t="s">
        <v>3405</v>
      </c>
    </row>
    <row r="6060" spans="1:2" ht="15.75" x14ac:dyDescent="0.25">
      <c r="A6060" s="344" t="s">
        <v>9504</v>
      </c>
      <c r="B6060" s="345" t="s">
        <v>3406</v>
      </c>
    </row>
    <row r="6061" spans="1:2" ht="15.75" x14ac:dyDescent="0.25">
      <c r="A6061" s="344" t="s">
        <v>9505</v>
      </c>
      <c r="B6061" s="345" t="s">
        <v>3407</v>
      </c>
    </row>
    <row r="6062" spans="1:2" ht="15.75" x14ac:dyDescent="0.25">
      <c r="A6062" s="344" t="s">
        <v>65</v>
      </c>
      <c r="B6062" s="345" t="s">
        <v>3408</v>
      </c>
    </row>
    <row r="6063" spans="1:2" ht="15.75" x14ac:dyDescent="0.25">
      <c r="A6063" s="344" t="s">
        <v>9506</v>
      </c>
      <c r="B6063" s="345" t="s">
        <v>9507</v>
      </c>
    </row>
    <row r="6064" spans="1:2" ht="15.75" x14ac:dyDescent="0.25">
      <c r="A6064" s="344" t="s">
        <v>9508</v>
      </c>
      <c r="B6064" s="345" t="s">
        <v>3409</v>
      </c>
    </row>
    <row r="6065" spans="1:2" ht="15.75" x14ac:dyDescent="0.25">
      <c r="A6065" s="344" t="s">
        <v>9509</v>
      </c>
      <c r="B6065" s="345" t="s">
        <v>3410</v>
      </c>
    </row>
    <row r="6066" spans="1:2" ht="15.75" x14ac:dyDescent="0.25">
      <c r="A6066" s="344" t="s">
        <v>9510</v>
      </c>
      <c r="B6066" s="345" t="s">
        <v>3411</v>
      </c>
    </row>
    <row r="6067" spans="1:2" ht="15.75" x14ac:dyDescent="0.25">
      <c r="A6067" s="344" t="s">
        <v>9511</v>
      </c>
      <c r="B6067" s="345" t="s">
        <v>3412</v>
      </c>
    </row>
    <row r="6068" spans="1:2" ht="15.75" x14ac:dyDescent="0.25">
      <c r="A6068" s="344" t="s">
        <v>9512</v>
      </c>
      <c r="B6068" s="345" t="s">
        <v>3413</v>
      </c>
    </row>
    <row r="6069" spans="1:2" ht="15.75" x14ac:dyDescent="0.25">
      <c r="A6069" s="344" t="s">
        <v>9513</v>
      </c>
      <c r="B6069" s="345" t="s">
        <v>3414</v>
      </c>
    </row>
    <row r="6070" spans="1:2" ht="15.75" x14ac:dyDescent="0.25">
      <c r="A6070" s="344" t="s">
        <v>9514</v>
      </c>
      <c r="B6070" s="345" t="s">
        <v>3415</v>
      </c>
    </row>
    <row r="6071" spans="1:2" ht="15.75" x14ac:dyDescent="0.25">
      <c r="A6071" s="344" t="s">
        <v>9515</v>
      </c>
      <c r="B6071" s="345" t="s">
        <v>3416</v>
      </c>
    </row>
    <row r="6072" spans="1:2" ht="15.75" x14ac:dyDescent="0.25">
      <c r="A6072" s="344" t="s">
        <v>9516</v>
      </c>
      <c r="B6072" s="345" t="s">
        <v>3417</v>
      </c>
    </row>
    <row r="6073" spans="1:2" ht="15.75" x14ac:dyDescent="0.25">
      <c r="A6073" s="344" t="s">
        <v>9517</v>
      </c>
      <c r="B6073" s="345" t="s">
        <v>3418</v>
      </c>
    </row>
    <row r="6074" spans="1:2" ht="15.75" x14ac:dyDescent="0.25">
      <c r="A6074" s="344" t="s">
        <v>9518</v>
      </c>
      <c r="B6074" s="345" t="s">
        <v>3419</v>
      </c>
    </row>
    <row r="6075" spans="1:2" ht="15.75" x14ac:dyDescent="0.25">
      <c r="A6075" s="344" t="s">
        <v>9519</v>
      </c>
      <c r="B6075" s="345" t="s">
        <v>3420</v>
      </c>
    </row>
    <row r="6076" spans="1:2" ht="15.75" x14ac:dyDescent="0.25">
      <c r="A6076" s="344" t="s">
        <v>9520</v>
      </c>
      <c r="B6076" s="345" t="s">
        <v>3421</v>
      </c>
    </row>
    <row r="6077" spans="1:2" ht="15.75" x14ac:dyDescent="0.25">
      <c r="A6077" s="344" t="s">
        <v>9521</v>
      </c>
      <c r="B6077" s="345" t="s">
        <v>3422</v>
      </c>
    </row>
    <row r="6078" spans="1:2" ht="15.75" x14ac:dyDescent="0.25">
      <c r="A6078" s="344" t="s">
        <v>9522</v>
      </c>
      <c r="B6078" s="345" t="s">
        <v>3423</v>
      </c>
    </row>
    <row r="6079" spans="1:2" ht="15.75" x14ac:dyDescent="0.25">
      <c r="A6079" s="344" t="s">
        <v>9523</v>
      </c>
      <c r="B6079" s="345" t="s">
        <v>3424</v>
      </c>
    </row>
    <row r="6080" spans="1:2" ht="15.75" x14ac:dyDescent="0.25">
      <c r="A6080" s="344" t="s">
        <v>9524</v>
      </c>
      <c r="B6080" s="345" t="s">
        <v>3425</v>
      </c>
    </row>
    <row r="6081" spans="1:2" ht="15.75" x14ac:dyDescent="0.25">
      <c r="A6081" s="344" t="s">
        <v>9525</v>
      </c>
      <c r="B6081" s="345" t="s">
        <v>3426</v>
      </c>
    </row>
    <row r="6082" spans="1:2" ht="15.75" x14ac:dyDescent="0.25">
      <c r="A6082" s="344" t="s">
        <v>9526</v>
      </c>
      <c r="B6082" s="345" t="s">
        <v>3427</v>
      </c>
    </row>
    <row r="6083" spans="1:2" ht="15.75" x14ac:dyDescent="0.25">
      <c r="A6083" s="344" t="s">
        <v>9527</v>
      </c>
      <c r="B6083" s="345" t="s">
        <v>3428</v>
      </c>
    </row>
    <row r="6084" spans="1:2" ht="15.75" x14ac:dyDescent="0.25">
      <c r="A6084" s="344" t="s">
        <v>9528</v>
      </c>
      <c r="B6084" s="345" t="s">
        <v>3429</v>
      </c>
    </row>
    <row r="6085" spans="1:2" ht="15.75" x14ac:dyDescent="0.25">
      <c r="A6085" s="344" t="s">
        <v>9529</v>
      </c>
      <c r="B6085" s="345" t="s">
        <v>3430</v>
      </c>
    </row>
    <row r="6086" spans="1:2" ht="15.75" x14ac:dyDescent="0.25">
      <c r="A6086" s="344" t="s">
        <v>9530</v>
      </c>
      <c r="B6086" s="345" t="s">
        <v>3431</v>
      </c>
    </row>
    <row r="6087" spans="1:2" ht="15.75" x14ac:dyDescent="0.25">
      <c r="A6087" s="344" t="s">
        <v>9531</v>
      </c>
      <c r="B6087" s="345" t="s">
        <v>3432</v>
      </c>
    </row>
    <row r="6088" spans="1:2" ht="15.75" x14ac:dyDescent="0.25">
      <c r="A6088" s="344" t="s">
        <v>9532</v>
      </c>
      <c r="B6088" s="345" t="s">
        <v>3433</v>
      </c>
    </row>
    <row r="6089" spans="1:2" ht="15.75" x14ac:dyDescent="0.25">
      <c r="A6089" s="344" t="s">
        <v>9533</v>
      </c>
      <c r="B6089" s="345" t="s">
        <v>3434</v>
      </c>
    </row>
    <row r="6090" spans="1:2" ht="15.75" x14ac:dyDescent="0.25">
      <c r="A6090" s="344" t="s">
        <v>9534</v>
      </c>
      <c r="B6090" s="345" t="s">
        <v>3435</v>
      </c>
    </row>
    <row r="6091" spans="1:2" ht="15.75" x14ac:dyDescent="0.25">
      <c r="A6091" s="344" t="s">
        <v>9535</v>
      </c>
      <c r="B6091" s="345" t="s">
        <v>3436</v>
      </c>
    </row>
    <row r="6092" spans="1:2" ht="15.75" x14ac:dyDescent="0.25">
      <c r="A6092" s="344" t="s">
        <v>9536</v>
      </c>
      <c r="B6092" s="345" t="s">
        <v>3437</v>
      </c>
    </row>
    <row r="6093" spans="1:2" ht="15.75" x14ac:dyDescent="0.25">
      <c r="A6093" s="344" t="s">
        <v>9537</v>
      </c>
      <c r="B6093" s="345" t="s">
        <v>3438</v>
      </c>
    </row>
    <row r="6094" spans="1:2" ht="15.75" x14ac:dyDescent="0.25">
      <c r="A6094" s="344" t="s">
        <v>9538</v>
      </c>
      <c r="B6094" s="345" t="s">
        <v>3439</v>
      </c>
    </row>
    <row r="6095" spans="1:2" ht="15.75" x14ac:dyDescent="0.25">
      <c r="A6095" s="344" t="s">
        <v>9539</v>
      </c>
      <c r="B6095" s="345" t="s">
        <v>3440</v>
      </c>
    </row>
    <row r="6096" spans="1:2" ht="15.75" x14ac:dyDescent="0.25">
      <c r="A6096" s="344" t="s">
        <v>9540</v>
      </c>
      <c r="B6096" s="345" t="s">
        <v>3441</v>
      </c>
    </row>
    <row r="6097" spans="1:2" ht="15.75" x14ac:dyDescent="0.25">
      <c r="A6097" s="344" t="s">
        <v>9541</v>
      </c>
      <c r="B6097" s="345" t="s">
        <v>3442</v>
      </c>
    </row>
    <row r="6098" spans="1:2" ht="15.75" x14ac:dyDescent="0.25">
      <c r="A6098" s="344" t="s">
        <v>9542</v>
      </c>
      <c r="B6098" s="345" t="s">
        <v>3443</v>
      </c>
    </row>
    <row r="6099" spans="1:2" ht="15.75" x14ac:dyDescent="0.25">
      <c r="A6099" s="344" t="s">
        <v>9543</v>
      </c>
      <c r="B6099" s="345" t="s">
        <v>3444</v>
      </c>
    </row>
    <row r="6100" spans="1:2" ht="15.75" x14ac:dyDescent="0.25">
      <c r="A6100" s="344" t="s">
        <v>9544</v>
      </c>
      <c r="B6100" s="345" t="s">
        <v>3445</v>
      </c>
    </row>
    <row r="6101" spans="1:2" ht="15.75" x14ac:dyDescent="0.25">
      <c r="A6101" s="344" t="s">
        <v>9545</v>
      </c>
      <c r="B6101" s="345" t="s">
        <v>3446</v>
      </c>
    </row>
    <row r="6102" spans="1:2" ht="15.75" x14ac:dyDescent="0.25">
      <c r="A6102" s="344" t="s">
        <v>9546</v>
      </c>
      <c r="B6102" s="345" t="s">
        <v>3447</v>
      </c>
    </row>
    <row r="6103" spans="1:2" ht="15.75" x14ac:dyDescent="0.25">
      <c r="A6103" s="344" t="s">
        <v>9547</v>
      </c>
      <c r="B6103" s="345" t="s">
        <v>3448</v>
      </c>
    </row>
    <row r="6104" spans="1:2" ht="15.75" x14ac:dyDescent="0.25">
      <c r="A6104" s="344" t="s">
        <v>9548</v>
      </c>
      <c r="B6104" s="345" t="s">
        <v>3449</v>
      </c>
    </row>
    <row r="6105" spans="1:2" ht="15.75" x14ac:dyDescent="0.25">
      <c r="A6105" s="344" t="s">
        <v>9549</v>
      </c>
      <c r="B6105" s="345" t="s">
        <v>3450</v>
      </c>
    </row>
    <row r="6106" spans="1:2" ht="15.75" x14ac:dyDescent="0.25">
      <c r="A6106" s="344" t="s">
        <v>9550</v>
      </c>
      <c r="B6106" s="345" t="s">
        <v>3451</v>
      </c>
    </row>
    <row r="6107" spans="1:2" ht="15.75" x14ac:dyDescent="0.25">
      <c r="A6107" s="344" t="s">
        <v>9551</v>
      </c>
      <c r="B6107" s="345" t="s">
        <v>3452</v>
      </c>
    </row>
    <row r="6108" spans="1:2" ht="15.75" x14ac:dyDescent="0.25">
      <c r="A6108" s="344" t="s">
        <v>9552</v>
      </c>
      <c r="B6108" s="345" t="s">
        <v>3453</v>
      </c>
    </row>
    <row r="6109" spans="1:2" ht="15.75" x14ac:dyDescent="0.25">
      <c r="A6109" s="344" t="s">
        <v>9553</v>
      </c>
      <c r="B6109" s="345" t="s">
        <v>3454</v>
      </c>
    </row>
    <row r="6110" spans="1:2" ht="15.75" x14ac:dyDescent="0.25">
      <c r="A6110" s="344" t="s">
        <v>9554</v>
      </c>
      <c r="B6110" s="345" t="s">
        <v>3455</v>
      </c>
    </row>
    <row r="6111" spans="1:2" ht="15.75" x14ac:dyDescent="0.25">
      <c r="A6111" s="344" t="s">
        <v>9555</v>
      </c>
      <c r="B6111" s="345" t="s">
        <v>9556</v>
      </c>
    </row>
    <row r="6112" spans="1:2" ht="15.75" x14ac:dyDescent="0.25">
      <c r="A6112" s="344" t="s">
        <v>9557</v>
      </c>
      <c r="B6112" s="345" t="s">
        <v>9558</v>
      </c>
    </row>
    <row r="6113" spans="1:2" ht="15.75" x14ac:dyDescent="0.25">
      <c r="A6113" s="344" t="s">
        <v>9559</v>
      </c>
      <c r="B6113" s="345" t="s">
        <v>9560</v>
      </c>
    </row>
    <row r="6114" spans="1:2" ht="15.75" x14ac:dyDescent="0.25">
      <c r="A6114" s="344" t="s">
        <v>9561</v>
      </c>
      <c r="B6114" s="345" t="s">
        <v>9562</v>
      </c>
    </row>
    <row r="6115" spans="1:2" ht="15.75" x14ac:dyDescent="0.25">
      <c r="A6115" s="344" t="s">
        <v>9563</v>
      </c>
      <c r="B6115" s="345" t="s">
        <v>9564</v>
      </c>
    </row>
    <row r="6116" spans="1:2" ht="15.75" x14ac:dyDescent="0.25">
      <c r="A6116" s="344" t="s">
        <v>9565</v>
      </c>
      <c r="B6116" s="345" t="s">
        <v>9566</v>
      </c>
    </row>
    <row r="6117" spans="1:2" ht="15.75" x14ac:dyDescent="0.25">
      <c r="A6117" s="344" t="s">
        <v>9567</v>
      </c>
      <c r="B6117" s="345" t="s">
        <v>9568</v>
      </c>
    </row>
    <row r="6118" spans="1:2" ht="15.75" x14ac:dyDescent="0.25">
      <c r="A6118" s="344" t="s">
        <v>9569</v>
      </c>
      <c r="B6118" s="345" t="s">
        <v>9570</v>
      </c>
    </row>
    <row r="6119" spans="1:2" ht="15.75" x14ac:dyDescent="0.25">
      <c r="A6119" s="344" t="s">
        <v>9571</v>
      </c>
      <c r="B6119" s="345" t="s">
        <v>9572</v>
      </c>
    </row>
    <row r="6120" spans="1:2" ht="15.75" x14ac:dyDescent="0.25">
      <c r="A6120" s="344" t="s">
        <v>9573</v>
      </c>
      <c r="B6120" s="345" t="s">
        <v>9574</v>
      </c>
    </row>
    <row r="6121" spans="1:2" ht="15.75" x14ac:dyDescent="0.25">
      <c r="A6121" s="344" t="s">
        <v>9575</v>
      </c>
      <c r="B6121" s="345" t="s">
        <v>9576</v>
      </c>
    </row>
    <row r="6122" spans="1:2" ht="15.75" x14ac:dyDescent="0.25">
      <c r="A6122" s="344" t="s">
        <v>9577</v>
      </c>
      <c r="B6122" s="345" t="s">
        <v>9578</v>
      </c>
    </row>
    <row r="6123" spans="1:2" ht="15.75" x14ac:dyDescent="0.25">
      <c r="A6123" s="344" t="s">
        <v>9579</v>
      </c>
      <c r="B6123" s="345" t="s">
        <v>9580</v>
      </c>
    </row>
    <row r="6124" spans="1:2" ht="15.75" x14ac:dyDescent="0.25">
      <c r="A6124" s="344" t="s">
        <v>9581</v>
      </c>
      <c r="B6124" s="345" t="s">
        <v>9582</v>
      </c>
    </row>
    <row r="6125" spans="1:2" ht="15.75" x14ac:dyDescent="0.25">
      <c r="A6125" s="344" t="s">
        <v>9583</v>
      </c>
      <c r="B6125" s="345" t="s">
        <v>9584</v>
      </c>
    </row>
    <row r="6126" spans="1:2" ht="15.75" x14ac:dyDescent="0.25">
      <c r="A6126" s="344" t="s">
        <v>9585</v>
      </c>
      <c r="B6126" s="345" t="s">
        <v>9586</v>
      </c>
    </row>
    <row r="6127" spans="1:2" ht="15.75" x14ac:dyDescent="0.25">
      <c r="A6127" s="344" t="s">
        <v>9587</v>
      </c>
      <c r="B6127" s="345" t="s">
        <v>9588</v>
      </c>
    </row>
    <row r="6128" spans="1:2" ht="15.75" x14ac:dyDescent="0.25">
      <c r="A6128" s="344" t="s">
        <v>9589</v>
      </c>
      <c r="B6128" s="345" t="s">
        <v>9590</v>
      </c>
    </row>
    <row r="6129" spans="1:2" ht="15.75" x14ac:dyDescent="0.25">
      <c r="A6129" s="344" t="s">
        <v>9591</v>
      </c>
      <c r="B6129" s="345" t="s">
        <v>9592</v>
      </c>
    </row>
    <row r="6130" spans="1:2" ht="15.75" x14ac:dyDescent="0.25">
      <c r="A6130" s="344" t="s">
        <v>9593</v>
      </c>
      <c r="B6130" s="345" t="s">
        <v>9594</v>
      </c>
    </row>
    <row r="6131" spans="1:2" ht="15.75" x14ac:dyDescent="0.25">
      <c r="A6131" s="344" t="s">
        <v>9595</v>
      </c>
      <c r="B6131" s="345" t="s">
        <v>9596</v>
      </c>
    </row>
    <row r="6132" spans="1:2" ht="15.75" x14ac:dyDescent="0.25">
      <c r="A6132" s="344" t="s">
        <v>9597</v>
      </c>
      <c r="B6132" s="345" t="s">
        <v>9598</v>
      </c>
    </row>
    <row r="6133" spans="1:2" ht="15.75" x14ac:dyDescent="0.25">
      <c r="A6133" s="344" t="s">
        <v>9599</v>
      </c>
      <c r="B6133" s="345" t="s">
        <v>9600</v>
      </c>
    </row>
    <row r="6134" spans="1:2" ht="15.75" x14ac:dyDescent="0.25">
      <c r="A6134" s="344" t="s">
        <v>9601</v>
      </c>
      <c r="B6134" s="345" t="s">
        <v>9602</v>
      </c>
    </row>
    <row r="6135" spans="1:2" ht="15.75" x14ac:dyDescent="0.25">
      <c r="A6135" s="344" t="s">
        <v>9603</v>
      </c>
      <c r="B6135" s="345" t="s">
        <v>9604</v>
      </c>
    </row>
    <row r="6136" spans="1:2" ht="15.75" x14ac:dyDescent="0.25">
      <c r="A6136" s="344" t="s">
        <v>9605</v>
      </c>
      <c r="B6136" s="345" t="s">
        <v>9606</v>
      </c>
    </row>
    <row r="6137" spans="1:2" ht="15.75" x14ac:dyDescent="0.25">
      <c r="A6137" s="344" t="s">
        <v>9607</v>
      </c>
      <c r="B6137" s="345" t="s">
        <v>9608</v>
      </c>
    </row>
    <row r="6138" spans="1:2" ht="15.75" x14ac:dyDescent="0.25">
      <c r="A6138" s="344" t="s">
        <v>9609</v>
      </c>
      <c r="B6138" s="345" t="s">
        <v>9610</v>
      </c>
    </row>
    <row r="6139" spans="1:2" ht="15.75" x14ac:dyDescent="0.25">
      <c r="A6139" s="344" t="s">
        <v>9611</v>
      </c>
      <c r="B6139" s="345" t="s">
        <v>9612</v>
      </c>
    </row>
    <row r="6140" spans="1:2" ht="15.75" x14ac:dyDescent="0.25">
      <c r="A6140" s="344" t="s">
        <v>9613</v>
      </c>
      <c r="B6140" s="345" t="s">
        <v>9614</v>
      </c>
    </row>
    <row r="6141" spans="1:2" ht="15.75" x14ac:dyDescent="0.25">
      <c r="A6141" s="344" t="s">
        <v>9615</v>
      </c>
      <c r="B6141" s="345" t="s">
        <v>9616</v>
      </c>
    </row>
    <row r="6142" spans="1:2" ht="15.75" x14ac:dyDescent="0.25">
      <c r="A6142" s="344" t="s">
        <v>9617</v>
      </c>
      <c r="B6142" s="345" t="s">
        <v>9618</v>
      </c>
    </row>
    <row r="6143" spans="1:2" ht="15.75" x14ac:dyDescent="0.25">
      <c r="A6143" s="344" t="s">
        <v>9619</v>
      </c>
      <c r="B6143" s="345" t="s">
        <v>9620</v>
      </c>
    </row>
    <row r="6144" spans="1:2" ht="15.75" x14ac:dyDescent="0.25">
      <c r="A6144" s="344" t="s">
        <v>9621</v>
      </c>
      <c r="B6144" s="345" t="s">
        <v>3576</v>
      </c>
    </row>
    <row r="6145" spans="1:2" ht="15.75" x14ac:dyDescent="0.25">
      <c r="A6145" s="344" t="s">
        <v>9622</v>
      </c>
      <c r="B6145" s="345" t="s">
        <v>3577</v>
      </c>
    </row>
    <row r="6146" spans="1:2" ht="15.75" x14ac:dyDescent="0.25">
      <c r="A6146" s="344" t="s">
        <v>9623</v>
      </c>
      <c r="B6146" s="345" t="s">
        <v>3578</v>
      </c>
    </row>
    <row r="6147" spans="1:2" ht="15.75" x14ac:dyDescent="0.25">
      <c r="A6147" s="344" t="s">
        <v>9624</v>
      </c>
      <c r="B6147" s="345" t="s">
        <v>3579</v>
      </c>
    </row>
    <row r="6148" spans="1:2" ht="15.75" x14ac:dyDescent="0.25">
      <c r="A6148" s="344" t="s">
        <v>9625</v>
      </c>
      <c r="B6148" s="345" t="s">
        <v>9626</v>
      </c>
    </row>
    <row r="6149" spans="1:2" ht="15.75" x14ac:dyDescent="0.25">
      <c r="A6149" s="344" t="s">
        <v>9627</v>
      </c>
      <c r="B6149" s="345" t="s">
        <v>9628</v>
      </c>
    </row>
    <row r="6150" spans="1:2" ht="15.75" x14ac:dyDescent="0.25">
      <c r="A6150" s="344" t="s">
        <v>9629</v>
      </c>
      <c r="B6150" s="345" t="s">
        <v>9630</v>
      </c>
    </row>
    <row r="6151" spans="1:2" ht="15.75" x14ac:dyDescent="0.25">
      <c r="A6151" s="344" t="s">
        <v>9631</v>
      </c>
      <c r="B6151" s="345" t="s">
        <v>9632</v>
      </c>
    </row>
    <row r="6152" spans="1:2" ht="15.75" x14ac:dyDescent="0.25">
      <c r="A6152" s="344" t="s">
        <v>9633</v>
      </c>
      <c r="B6152" s="345" t="s">
        <v>9634</v>
      </c>
    </row>
    <row r="6153" spans="1:2" ht="15.75" x14ac:dyDescent="0.25">
      <c r="A6153" s="344" t="s">
        <v>9635</v>
      </c>
      <c r="B6153" s="345" t="s">
        <v>9636</v>
      </c>
    </row>
    <row r="6154" spans="1:2" ht="15.75" x14ac:dyDescent="0.25">
      <c r="A6154" s="344" t="s">
        <v>9637</v>
      </c>
      <c r="B6154" s="345" t="s">
        <v>9638</v>
      </c>
    </row>
    <row r="6155" spans="1:2" ht="15.75" x14ac:dyDescent="0.25">
      <c r="A6155" s="344" t="s">
        <v>9639</v>
      </c>
      <c r="B6155" s="345" t="s">
        <v>9640</v>
      </c>
    </row>
    <row r="6156" spans="1:2" ht="15.75" x14ac:dyDescent="0.25">
      <c r="A6156" s="344" t="s">
        <v>9641</v>
      </c>
      <c r="B6156" s="345" t="s">
        <v>9642</v>
      </c>
    </row>
    <row r="6157" spans="1:2" ht="15.75" x14ac:dyDescent="0.25">
      <c r="A6157" s="344" t="s">
        <v>9643</v>
      </c>
      <c r="B6157" s="345" t="s">
        <v>9644</v>
      </c>
    </row>
    <row r="6158" spans="1:2" ht="15.75" x14ac:dyDescent="0.25">
      <c r="A6158" s="344" t="s">
        <v>9645</v>
      </c>
      <c r="B6158" s="345" t="s">
        <v>9646</v>
      </c>
    </row>
    <row r="6159" spans="1:2" ht="15.75" x14ac:dyDescent="0.25">
      <c r="A6159" s="344" t="s">
        <v>9647</v>
      </c>
      <c r="B6159" s="345" t="s">
        <v>9648</v>
      </c>
    </row>
    <row r="6160" spans="1:2" ht="15.75" x14ac:dyDescent="0.25">
      <c r="A6160" s="344" t="s">
        <v>9649</v>
      </c>
      <c r="B6160" s="345" t="s">
        <v>9650</v>
      </c>
    </row>
    <row r="6161" spans="1:2" ht="15.75" x14ac:dyDescent="0.25">
      <c r="A6161" s="344" t="s">
        <v>9651</v>
      </c>
      <c r="B6161" s="345" t="s">
        <v>9652</v>
      </c>
    </row>
    <row r="6162" spans="1:2" ht="15.75" x14ac:dyDescent="0.25">
      <c r="A6162" s="344" t="s">
        <v>9653</v>
      </c>
      <c r="B6162" s="345" t="s">
        <v>9654</v>
      </c>
    </row>
    <row r="6163" spans="1:2" ht="15.75" x14ac:dyDescent="0.25">
      <c r="A6163" s="344" t="s">
        <v>9655</v>
      </c>
      <c r="B6163" s="345" t="s">
        <v>9656</v>
      </c>
    </row>
    <row r="6164" spans="1:2" ht="15.75" x14ac:dyDescent="0.25">
      <c r="A6164" s="344" t="s">
        <v>9657</v>
      </c>
      <c r="B6164" s="345" t="s">
        <v>9658</v>
      </c>
    </row>
    <row r="6165" spans="1:2" ht="15.75" x14ac:dyDescent="0.25">
      <c r="A6165" s="344" t="s">
        <v>9659</v>
      </c>
      <c r="B6165" s="345" t="s">
        <v>9660</v>
      </c>
    </row>
    <row r="6166" spans="1:2" ht="15.75" x14ac:dyDescent="0.25">
      <c r="A6166" s="344" t="s">
        <v>9661</v>
      </c>
      <c r="B6166" s="345" t="s">
        <v>9662</v>
      </c>
    </row>
    <row r="6167" spans="1:2" ht="15.75" x14ac:dyDescent="0.25">
      <c r="A6167" s="344" t="s">
        <v>9663</v>
      </c>
      <c r="B6167" s="345" t="s">
        <v>9664</v>
      </c>
    </row>
    <row r="6168" spans="1:2" ht="15.75" x14ac:dyDescent="0.25">
      <c r="A6168" s="344" t="s">
        <v>9665</v>
      </c>
      <c r="B6168" s="345" t="s">
        <v>9666</v>
      </c>
    </row>
    <row r="6169" spans="1:2" ht="15.75" x14ac:dyDescent="0.25">
      <c r="A6169" s="344" t="s">
        <v>9667</v>
      </c>
      <c r="B6169" s="345" t="s">
        <v>9668</v>
      </c>
    </row>
    <row r="6170" spans="1:2" ht="15.75" x14ac:dyDescent="0.25">
      <c r="A6170" s="344" t="s">
        <v>9669</v>
      </c>
      <c r="B6170" s="345" t="s">
        <v>9670</v>
      </c>
    </row>
    <row r="6171" spans="1:2" ht="15.75" x14ac:dyDescent="0.25">
      <c r="A6171" s="344" t="s">
        <v>9671</v>
      </c>
      <c r="B6171" s="345" t="s">
        <v>9672</v>
      </c>
    </row>
    <row r="6172" spans="1:2" ht="15.75" x14ac:dyDescent="0.25">
      <c r="A6172" s="344" t="s">
        <v>9673</v>
      </c>
      <c r="B6172" s="345" t="s">
        <v>9674</v>
      </c>
    </row>
    <row r="6173" spans="1:2" ht="15.75" x14ac:dyDescent="0.25">
      <c r="A6173" s="344" t="s">
        <v>9675</v>
      </c>
      <c r="B6173" s="345" t="s">
        <v>9676</v>
      </c>
    </row>
    <row r="6174" spans="1:2" ht="15.75" x14ac:dyDescent="0.25">
      <c r="A6174" s="344" t="s">
        <v>9677</v>
      </c>
      <c r="B6174" s="345" t="s">
        <v>9678</v>
      </c>
    </row>
    <row r="6175" spans="1:2" ht="15.75" x14ac:dyDescent="0.25">
      <c r="A6175" s="344" t="s">
        <v>9679</v>
      </c>
      <c r="B6175" s="345" t="s">
        <v>9680</v>
      </c>
    </row>
    <row r="6176" spans="1:2" ht="15.75" x14ac:dyDescent="0.25">
      <c r="A6176" s="344" t="s">
        <v>9681</v>
      </c>
      <c r="B6176" s="345" t="s">
        <v>9682</v>
      </c>
    </row>
    <row r="6177" spans="1:2" ht="15.75" x14ac:dyDescent="0.25">
      <c r="A6177" s="344" t="s">
        <v>9683</v>
      </c>
      <c r="B6177" s="345" t="s">
        <v>9684</v>
      </c>
    </row>
    <row r="6178" spans="1:2" ht="15.75" x14ac:dyDescent="0.25">
      <c r="A6178" s="344" t="s">
        <v>9685</v>
      </c>
      <c r="B6178" s="345" t="s">
        <v>9686</v>
      </c>
    </row>
    <row r="6179" spans="1:2" ht="15.75" x14ac:dyDescent="0.25">
      <c r="A6179" s="344" t="s">
        <v>9687</v>
      </c>
      <c r="B6179" s="345" t="s">
        <v>9688</v>
      </c>
    </row>
    <row r="6180" spans="1:2" ht="15.75" x14ac:dyDescent="0.25">
      <c r="A6180" s="344" t="s">
        <v>9689</v>
      </c>
      <c r="B6180" s="345" t="s">
        <v>9690</v>
      </c>
    </row>
    <row r="6181" spans="1:2" ht="15.75" x14ac:dyDescent="0.25">
      <c r="A6181" s="344" t="s">
        <v>9691</v>
      </c>
      <c r="B6181" s="345" t="s">
        <v>9692</v>
      </c>
    </row>
    <row r="6182" spans="1:2" ht="15.75" x14ac:dyDescent="0.25">
      <c r="A6182" s="344" t="s">
        <v>9693</v>
      </c>
      <c r="B6182" s="345" t="s">
        <v>9694</v>
      </c>
    </row>
    <row r="6183" spans="1:2" ht="15.75" x14ac:dyDescent="0.25">
      <c r="A6183" s="344" t="s">
        <v>9695</v>
      </c>
      <c r="B6183" s="345" t="s">
        <v>9696</v>
      </c>
    </row>
    <row r="6184" spans="1:2" ht="15.75" x14ac:dyDescent="0.25">
      <c r="A6184" s="344" t="s">
        <v>9697</v>
      </c>
      <c r="B6184" s="345" t="s">
        <v>9698</v>
      </c>
    </row>
    <row r="6185" spans="1:2" ht="15.75" x14ac:dyDescent="0.25">
      <c r="A6185" s="344" t="s">
        <v>9699</v>
      </c>
      <c r="B6185" s="345" t="s">
        <v>9700</v>
      </c>
    </row>
    <row r="6186" spans="1:2" ht="15.75" x14ac:dyDescent="0.25">
      <c r="A6186" s="344" t="s">
        <v>9701</v>
      </c>
      <c r="B6186" s="345" t="s">
        <v>9702</v>
      </c>
    </row>
    <row r="6187" spans="1:2" ht="15.75" x14ac:dyDescent="0.25">
      <c r="A6187" s="344" t="s">
        <v>9703</v>
      </c>
      <c r="B6187" s="345" t="s">
        <v>9704</v>
      </c>
    </row>
    <row r="6188" spans="1:2" ht="15.75" x14ac:dyDescent="0.25">
      <c r="A6188" s="344" t="s">
        <v>9705</v>
      </c>
      <c r="B6188" s="345" t="s">
        <v>9706</v>
      </c>
    </row>
    <row r="6189" spans="1:2" ht="15.75" x14ac:dyDescent="0.25">
      <c r="A6189" s="344" t="s">
        <v>9707</v>
      </c>
      <c r="B6189" s="345" t="s">
        <v>9708</v>
      </c>
    </row>
    <row r="6190" spans="1:2" ht="15.75" x14ac:dyDescent="0.25">
      <c r="A6190" s="344" t="s">
        <v>9709</v>
      </c>
      <c r="B6190" s="345" t="s">
        <v>9710</v>
      </c>
    </row>
    <row r="6191" spans="1:2" ht="15.75" x14ac:dyDescent="0.25">
      <c r="A6191" s="344" t="s">
        <v>9711</v>
      </c>
      <c r="B6191" s="345" t="s">
        <v>9712</v>
      </c>
    </row>
    <row r="6192" spans="1:2" ht="15.75" x14ac:dyDescent="0.25">
      <c r="A6192" s="344" t="s">
        <v>9713</v>
      </c>
      <c r="B6192" s="345" t="s">
        <v>9714</v>
      </c>
    </row>
    <row r="6193" spans="1:2" ht="15.75" x14ac:dyDescent="0.25">
      <c r="A6193" s="344" t="s">
        <v>9715</v>
      </c>
      <c r="B6193" s="345" t="s">
        <v>9716</v>
      </c>
    </row>
    <row r="6194" spans="1:2" ht="15.75" x14ac:dyDescent="0.25">
      <c r="A6194" s="344" t="s">
        <v>9717</v>
      </c>
      <c r="B6194" s="345" t="s">
        <v>9718</v>
      </c>
    </row>
    <row r="6195" spans="1:2" ht="15.75" x14ac:dyDescent="0.25">
      <c r="A6195" s="344" t="s">
        <v>9719</v>
      </c>
      <c r="B6195" s="345" t="s">
        <v>9720</v>
      </c>
    </row>
    <row r="6196" spans="1:2" ht="15.75" x14ac:dyDescent="0.25">
      <c r="A6196" s="344" t="s">
        <v>9721</v>
      </c>
      <c r="B6196" s="345" t="s">
        <v>9722</v>
      </c>
    </row>
    <row r="6197" spans="1:2" ht="15.75" x14ac:dyDescent="0.25">
      <c r="A6197" s="344" t="s">
        <v>9723</v>
      </c>
      <c r="B6197" s="345" t="s">
        <v>9724</v>
      </c>
    </row>
    <row r="6198" spans="1:2" ht="15.75" x14ac:dyDescent="0.25">
      <c r="A6198" s="344" t="s">
        <v>9725</v>
      </c>
      <c r="B6198" s="345" t="s">
        <v>9726</v>
      </c>
    </row>
    <row r="6199" spans="1:2" ht="15.75" x14ac:dyDescent="0.25">
      <c r="A6199" s="344" t="s">
        <v>9727</v>
      </c>
      <c r="B6199" s="345" t="s">
        <v>9728</v>
      </c>
    </row>
    <row r="6200" spans="1:2" ht="15.75" x14ac:dyDescent="0.25">
      <c r="A6200" s="344" t="s">
        <v>9729</v>
      </c>
      <c r="B6200" s="345" t="s">
        <v>9730</v>
      </c>
    </row>
    <row r="6201" spans="1:2" ht="15.75" x14ac:dyDescent="0.25">
      <c r="A6201" s="344" t="s">
        <v>9731</v>
      </c>
      <c r="B6201" s="345" t="s">
        <v>9732</v>
      </c>
    </row>
    <row r="6202" spans="1:2" ht="15.75" x14ac:dyDescent="0.25">
      <c r="A6202" s="344" t="s">
        <v>9733</v>
      </c>
      <c r="B6202" s="345" t="s">
        <v>9734</v>
      </c>
    </row>
    <row r="6203" spans="1:2" ht="15.75" x14ac:dyDescent="0.25">
      <c r="A6203" s="344" t="s">
        <v>9735</v>
      </c>
      <c r="B6203" s="345" t="s">
        <v>9736</v>
      </c>
    </row>
    <row r="6204" spans="1:2" ht="15.75" x14ac:dyDescent="0.25">
      <c r="A6204" s="344" t="s">
        <v>9737</v>
      </c>
      <c r="B6204" s="345" t="s">
        <v>3456</v>
      </c>
    </row>
    <row r="6205" spans="1:2" ht="15.75" x14ac:dyDescent="0.25">
      <c r="A6205" s="344" t="s">
        <v>9738</v>
      </c>
      <c r="B6205" s="345" t="s">
        <v>3457</v>
      </c>
    </row>
    <row r="6206" spans="1:2" ht="15.75" x14ac:dyDescent="0.25">
      <c r="A6206" s="344" t="s">
        <v>9739</v>
      </c>
      <c r="B6206" s="345" t="s">
        <v>3458</v>
      </c>
    </row>
    <row r="6207" spans="1:2" ht="15.75" x14ac:dyDescent="0.25">
      <c r="A6207" s="344" t="s">
        <v>9740</v>
      </c>
      <c r="B6207" s="345" t="s">
        <v>3459</v>
      </c>
    </row>
    <row r="6208" spans="1:2" ht="15.75" x14ac:dyDescent="0.25">
      <c r="A6208" s="344" t="s">
        <v>9741</v>
      </c>
      <c r="B6208" s="345" t="s">
        <v>3460</v>
      </c>
    </row>
    <row r="6209" spans="1:2" ht="15.75" x14ac:dyDescent="0.25">
      <c r="A6209" s="344" t="s">
        <v>9742</v>
      </c>
      <c r="B6209" s="345" t="s">
        <v>3461</v>
      </c>
    </row>
    <row r="6210" spans="1:2" ht="15.75" x14ac:dyDescent="0.25">
      <c r="A6210" s="344" t="s">
        <v>9743</v>
      </c>
      <c r="B6210" s="345" t="s">
        <v>3462</v>
      </c>
    </row>
    <row r="6211" spans="1:2" ht="15.75" x14ac:dyDescent="0.25">
      <c r="A6211" s="344" t="s">
        <v>9744</v>
      </c>
      <c r="B6211" s="345" t="s">
        <v>3463</v>
      </c>
    </row>
    <row r="6212" spans="1:2" ht="15.75" x14ac:dyDescent="0.25">
      <c r="A6212" s="344" t="s">
        <v>9745</v>
      </c>
      <c r="B6212" s="345" t="s">
        <v>3464</v>
      </c>
    </row>
    <row r="6213" spans="1:2" ht="15.75" x14ac:dyDescent="0.25">
      <c r="A6213" s="344" t="s">
        <v>9746</v>
      </c>
      <c r="B6213" s="345" t="s">
        <v>3465</v>
      </c>
    </row>
    <row r="6214" spans="1:2" ht="15.75" x14ac:dyDescent="0.25">
      <c r="A6214" s="344" t="s">
        <v>9747</v>
      </c>
      <c r="B6214" s="345" t="s">
        <v>3466</v>
      </c>
    </row>
    <row r="6215" spans="1:2" ht="15.75" x14ac:dyDescent="0.25">
      <c r="A6215" s="344" t="s">
        <v>9748</v>
      </c>
      <c r="B6215" s="345" t="s">
        <v>3467</v>
      </c>
    </row>
    <row r="6216" spans="1:2" ht="15.75" x14ac:dyDescent="0.25">
      <c r="A6216" s="344" t="s">
        <v>9749</v>
      </c>
      <c r="B6216" s="345" t="s">
        <v>3468</v>
      </c>
    </row>
    <row r="6217" spans="1:2" ht="15.75" x14ac:dyDescent="0.25">
      <c r="A6217" s="344" t="s">
        <v>9750</v>
      </c>
      <c r="B6217" s="345" t="s">
        <v>3469</v>
      </c>
    </row>
    <row r="6218" spans="1:2" ht="15.75" x14ac:dyDescent="0.25">
      <c r="A6218" s="344" t="s">
        <v>9751</v>
      </c>
      <c r="B6218" s="345" t="s">
        <v>3470</v>
      </c>
    </row>
    <row r="6219" spans="1:2" ht="15.75" x14ac:dyDescent="0.25">
      <c r="A6219" s="344" t="s">
        <v>9752</v>
      </c>
      <c r="B6219" s="345" t="s">
        <v>3471</v>
      </c>
    </row>
    <row r="6220" spans="1:2" ht="15.75" x14ac:dyDescent="0.25">
      <c r="A6220" s="344" t="s">
        <v>9753</v>
      </c>
      <c r="B6220" s="345" t="s">
        <v>3472</v>
      </c>
    </row>
    <row r="6221" spans="1:2" ht="15.75" x14ac:dyDescent="0.25">
      <c r="A6221" s="344" t="s">
        <v>9754</v>
      </c>
      <c r="B6221" s="345" t="s">
        <v>3473</v>
      </c>
    </row>
    <row r="6222" spans="1:2" ht="15.75" x14ac:dyDescent="0.25">
      <c r="A6222" s="344" t="s">
        <v>9755</v>
      </c>
      <c r="B6222" s="345" t="s">
        <v>3474</v>
      </c>
    </row>
    <row r="6223" spans="1:2" ht="15.75" x14ac:dyDescent="0.25">
      <c r="A6223" s="344" t="s">
        <v>9756</v>
      </c>
      <c r="B6223" s="345" t="s">
        <v>3475</v>
      </c>
    </row>
    <row r="6224" spans="1:2" ht="15.75" x14ac:dyDescent="0.25">
      <c r="A6224" s="344" t="s">
        <v>9757</v>
      </c>
      <c r="B6224" s="345" t="s">
        <v>3476</v>
      </c>
    </row>
    <row r="6225" spans="1:2" ht="15.75" x14ac:dyDescent="0.25">
      <c r="A6225" s="344" t="s">
        <v>9758</v>
      </c>
      <c r="B6225" s="345" t="s">
        <v>3477</v>
      </c>
    </row>
    <row r="6226" spans="1:2" ht="15.75" x14ac:dyDescent="0.25">
      <c r="A6226" s="344" t="s">
        <v>9759</v>
      </c>
      <c r="B6226" s="345" t="s">
        <v>3478</v>
      </c>
    </row>
    <row r="6227" spans="1:2" ht="15.75" x14ac:dyDescent="0.25">
      <c r="A6227" s="344" t="s">
        <v>9760</v>
      </c>
      <c r="B6227" s="345" t="s">
        <v>3479</v>
      </c>
    </row>
    <row r="6228" spans="1:2" ht="15.75" x14ac:dyDescent="0.25">
      <c r="A6228" s="344" t="s">
        <v>9761</v>
      </c>
      <c r="B6228" s="345" t="s">
        <v>3480</v>
      </c>
    </row>
    <row r="6229" spans="1:2" ht="15.75" x14ac:dyDescent="0.25">
      <c r="A6229" s="344" t="s">
        <v>9762</v>
      </c>
      <c r="B6229" s="345" t="s">
        <v>3481</v>
      </c>
    </row>
    <row r="6230" spans="1:2" ht="15.75" x14ac:dyDescent="0.25">
      <c r="A6230" s="344" t="s">
        <v>9763</v>
      </c>
      <c r="B6230" s="345" t="s">
        <v>3482</v>
      </c>
    </row>
    <row r="6231" spans="1:2" ht="15.75" x14ac:dyDescent="0.25">
      <c r="A6231" s="344" t="s">
        <v>9764</v>
      </c>
      <c r="B6231" s="345" t="s">
        <v>3483</v>
      </c>
    </row>
    <row r="6232" spans="1:2" ht="15.75" x14ac:dyDescent="0.25">
      <c r="A6232" s="344" t="s">
        <v>9765</v>
      </c>
      <c r="B6232" s="345" t="s">
        <v>3484</v>
      </c>
    </row>
    <row r="6233" spans="1:2" ht="15.75" x14ac:dyDescent="0.25">
      <c r="A6233" s="344" t="s">
        <v>9766</v>
      </c>
      <c r="B6233" s="345" t="s">
        <v>3485</v>
      </c>
    </row>
    <row r="6234" spans="1:2" ht="15.75" x14ac:dyDescent="0.25">
      <c r="A6234" s="344" t="s">
        <v>9767</v>
      </c>
      <c r="B6234" s="345" t="s">
        <v>3486</v>
      </c>
    </row>
    <row r="6235" spans="1:2" ht="15.75" x14ac:dyDescent="0.25">
      <c r="A6235" s="344" t="s">
        <v>9768</v>
      </c>
      <c r="B6235" s="345" t="s">
        <v>3487</v>
      </c>
    </row>
    <row r="6236" spans="1:2" ht="15.75" x14ac:dyDescent="0.25">
      <c r="A6236" s="344" t="s">
        <v>9769</v>
      </c>
      <c r="B6236" s="345" t="s">
        <v>3488</v>
      </c>
    </row>
    <row r="6237" spans="1:2" ht="15.75" x14ac:dyDescent="0.25">
      <c r="A6237" s="344" t="s">
        <v>9770</v>
      </c>
      <c r="B6237" s="345" t="s">
        <v>3489</v>
      </c>
    </row>
    <row r="6238" spans="1:2" ht="15.75" x14ac:dyDescent="0.25">
      <c r="A6238" s="344" t="s">
        <v>9771</v>
      </c>
      <c r="B6238" s="345" t="s">
        <v>3490</v>
      </c>
    </row>
    <row r="6239" spans="1:2" ht="15.75" x14ac:dyDescent="0.25">
      <c r="A6239" s="344" t="s">
        <v>9772</v>
      </c>
      <c r="B6239" s="345" t="s">
        <v>3491</v>
      </c>
    </row>
    <row r="6240" spans="1:2" ht="15.75" x14ac:dyDescent="0.25">
      <c r="A6240" s="344" t="s">
        <v>9773</v>
      </c>
      <c r="B6240" s="345" t="s">
        <v>3492</v>
      </c>
    </row>
    <row r="6241" spans="1:2" ht="15.75" x14ac:dyDescent="0.25">
      <c r="A6241" s="344" t="s">
        <v>9774</v>
      </c>
      <c r="B6241" s="345" t="s">
        <v>3493</v>
      </c>
    </row>
    <row r="6242" spans="1:2" ht="15.75" x14ac:dyDescent="0.25">
      <c r="A6242" s="344" t="s">
        <v>9775</v>
      </c>
      <c r="B6242" s="345" t="s">
        <v>3494</v>
      </c>
    </row>
    <row r="6243" spans="1:2" ht="15.75" x14ac:dyDescent="0.25">
      <c r="A6243" s="344" t="s">
        <v>9776</v>
      </c>
      <c r="B6243" s="345" t="s">
        <v>3495</v>
      </c>
    </row>
    <row r="6244" spans="1:2" ht="15.75" x14ac:dyDescent="0.25">
      <c r="A6244" s="344" t="s">
        <v>9777</v>
      </c>
      <c r="B6244" s="345" t="s">
        <v>3496</v>
      </c>
    </row>
    <row r="6245" spans="1:2" ht="15.75" x14ac:dyDescent="0.25">
      <c r="A6245" s="344" t="s">
        <v>9778</v>
      </c>
      <c r="B6245" s="345" t="s">
        <v>3497</v>
      </c>
    </row>
    <row r="6246" spans="1:2" ht="15.75" x14ac:dyDescent="0.25">
      <c r="A6246" s="344" t="s">
        <v>9779</v>
      </c>
      <c r="B6246" s="345" t="s">
        <v>3498</v>
      </c>
    </row>
    <row r="6247" spans="1:2" ht="15.75" x14ac:dyDescent="0.25">
      <c r="A6247" s="344" t="s">
        <v>9780</v>
      </c>
      <c r="B6247" s="345" t="s">
        <v>3499</v>
      </c>
    </row>
    <row r="6248" spans="1:2" ht="15.75" x14ac:dyDescent="0.25">
      <c r="A6248" s="344" t="s">
        <v>9781</v>
      </c>
      <c r="B6248" s="345" t="s">
        <v>3500</v>
      </c>
    </row>
    <row r="6249" spans="1:2" ht="15.75" x14ac:dyDescent="0.25">
      <c r="A6249" s="344" t="s">
        <v>9782</v>
      </c>
      <c r="B6249" s="345" t="s">
        <v>3501</v>
      </c>
    </row>
    <row r="6250" spans="1:2" ht="15.75" x14ac:dyDescent="0.25">
      <c r="A6250" s="344" t="s">
        <v>9783</v>
      </c>
      <c r="B6250" s="345" t="s">
        <v>3502</v>
      </c>
    </row>
    <row r="6251" spans="1:2" ht="15.75" x14ac:dyDescent="0.25">
      <c r="A6251" s="344" t="s">
        <v>9784</v>
      </c>
      <c r="B6251" s="345" t="s">
        <v>3503</v>
      </c>
    </row>
    <row r="6252" spans="1:2" ht="15.75" x14ac:dyDescent="0.25">
      <c r="A6252" s="344" t="s">
        <v>9785</v>
      </c>
      <c r="B6252" s="345" t="s">
        <v>3504</v>
      </c>
    </row>
    <row r="6253" spans="1:2" ht="15.75" x14ac:dyDescent="0.25">
      <c r="A6253" s="344" t="s">
        <v>9786</v>
      </c>
      <c r="B6253" s="345" t="s">
        <v>3505</v>
      </c>
    </row>
    <row r="6254" spans="1:2" ht="15.75" x14ac:dyDescent="0.25">
      <c r="A6254" s="344" t="s">
        <v>9787</v>
      </c>
      <c r="B6254" s="345" t="s">
        <v>3506</v>
      </c>
    </row>
    <row r="6255" spans="1:2" ht="15.75" x14ac:dyDescent="0.25">
      <c r="A6255" s="344" t="s">
        <v>9788</v>
      </c>
      <c r="B6255" s="345" t="s">
        <v>3507</v>
      </c>
    </row>
    <row r="6256" spans="1:2" ht="15.75" x14ac:dyDescent="0.25">
      <c r="A6256" s="344" t="s">
        <v>9789</v>
      </c>
      <c r="B6256" s="345" t="s">
        <v>3508</v>
      </c>
    </row>
    <row r="6257" spans="1:2" ht="15.75" x14ac:dyDescent="0.25">
      <c r="A6257" s="344" t="s">
        <v>9790</v>
      </c>
      <c r="B6257" s="345" t="s">
        <v>3509</v>
      </c>
    </row>
    <row r="6258" spans="1:2" ht="15.75" x14ac:dyDescent="0.25">
      <c r="A6258" s="344" t="s">
        <v>9791</v>
      </c>
      <c r="B6258" s="345" t="s">
        <v>3510</v>
      </c>
    </row>
    <row r="6259" spans="1:2" ht="15.75" x14ac:dyDescent="0.25">
      <c r="A6259" s="344" t="s">
        <v>9792</v>
      </c>
      <c r="B6259" s="345" t="s">
        <v>3511</v>
      </c>
    </row>
    <row r="6260" spans="1:2" ht="15.75" x14ac:dyDescent="0.25">
      <c r="A6260" s="344" t="s">
        <v>9793</v>
      </c>
      <c r="B6260" s="345" t="s">
        <v>3512</v>
      </c>
    </row>
    <row r="6261" spans="1:2" ht="15.75" x14ac:dyDescent="0.25">
      <c r="A6261" s="344" t="s">
        <v>9794</v>
      </c>
      <c r="B6261" s="345" t="s">
        <v>3513</v>
      </c>
    </row>
    <row r="6262" spans="1:2" ht="15.75" x14ac:dyDescent="0.25">
      <c r="A6262" s="344" t="s">
        <v>9795</v>
      </c>
      <c r="B6262" s="345" t="s">
        <v>3514</v>
      </c>
    </row>
    <row r="6263" spans="1:2" ht="15.75" x14ac:dyDescent="0.25">
      <c r="A6263" s="344" t="s">
        <v>9796</v>
      </c>
      <c r="B6263" s="345" t="s">
        <v>3515</v>
      </c>
    </row>
    <row r="6264" spans="1:2" ht="15.75" x14ac:dyDescent="0.25">
      <c r="A6264" s="344" t="s">
        <v>9797</v>
      </c>
      <c r="B6264" s="345" t="s">
        <v>3516</v>
      </c>
    </row>
    <row r="6265" spans="1:2" ht="15.75" x14ac:dyDescent="0.25">
      <c r="A6265" s="344" t="s">
        <v>9798</v>
      </c>
      <c r="B6265" s="345" t="s">
        <v>3517</v>
      </c>
    </row>
    <row r="6266" spans="1:2" ht="15.75" x14ac:dyDescent="0.25">
      <c r="A6266" s="344" t="s">
        <v>9799</v>
      </c>
      <c r="B6266" s="345" t="s">
        <v>3518</v>
      </c>
    </row>
    <row r="6267" spans="1:2" ht="15.75" x14ac:dyDescent="0.25">
      <c r="A6267" s="344" t="s">
        <v>9800</v>
      </c>
      <c r="B6267" s="345" t="s">
        <v>3519</v>
      </c>
    </row>
    <row r="6268" spans="1:2" ht="15.75" x14ac:dyDescent="0.25">
      <c r="A6268" s="344" t="s">
        <v>9801</v>
      </c>
      <c r="B6268" s="345" t="s">
        <v>3520</v>
      </c>
    </row>
    <row r="6269" spans="1:2" ht="15.75" x14ac:dyDescent="0.25">
      <c r="A6269" s="344" t="s">
        <v>9802</v>
      </c>
      <c r="B6269" s="345" t="s">
        <v>3521</v>
      </c>
    </row>
    <row r="6270" spans="1:2" ht="15.75" x14ac:dyDescent="0.25">
      <c r="A6270" s="344" t="s">
        <v>9803</v>
      </c>
      <c r="B6270" s="345" t="s">
        <v>3522</v>
      </c>
    </row>
    <row r="6271" spans="1:2" ht="15.75" x14ac:dyDescent="0.25">
      <c r="A6271" s="344" t="s">
        <v>9804</v>
      </c>
      <c r="B6271" s="345" t="s">
        <v>3523</v>
      </c>
    </row>
    <row r="6272" spans="1:2" ht="15.75" x14ac:dyDescent="0.25">
      <c r="A6272" s="344" t="s">
        <v>9805</v>
      </c>
      <c r="B6272" s="345" t="s">
        <v>3524</v>
      </c>
    </row>
    <row r="6273" spans="1:2" ht="15.75" x14ac:dyDescent="0.25">
      <c r="A6273" s="344" t="s">
        <v>9806</v>
      </c>
      <c r="B6273" s="345" t="s">
        <v>3525</v>
      </c>
    </row>
    <row r="6274" spans="1:2" ht="15.75" x14ac:dyDescent="0.25">
      <c r="A6274" s="344" t="s">
        <v>9807</v>
      </c>
      <c r="B6274" s="345" t="s">
        <v>3526</v>
      </c>
    </row>
    <row r="6275" spans="1:2" ht="15.75" x14ac:dyDescent="0.25">
      <c r="A6275" s="344" t="s">
        <v>9808</v>
      </c>
      <c r="B6275" s="345" t="s">
        <v>3527</v>
      </c>
    </row>
    <row r="6276" spans="1:2" ht="15.75" x14ac:dyDescent="0.25">
      <c r="A6276" s="344" t="s">
        <v>9809</v>
      </c>
      <c r="B6276" s="345" t="s">
        <v>3528</v>
      </c>
    </row>
    <row r="6277" spans="1:2" ht="15.75" x14ac:dyDescent="0.25">
      <c r="A6277" s="344" t="s">
        <v>9810</v>
      </c>
      <c r="B6277" s="345" t="s">
        <v>3529</v>
      </c>
    </row>
    <row r="6278" spans="1:2" ht="15.75" x14ac:dyDescent="0.25">
      <c r="A6278" s="344" t="s">
        <v>9811</v>
      </c>
      <c r="B6278" s="345" t="s">
        <v>3530</v>
      </c>
    </row>
    <row r="6279" spans="1:2" ht="15.75" x14ac:dyDescent="0.25">
      <c r="A6279" s="344" t="s">
        <v>9812</v>
      </c>
      <c r="B6279" s="345" t="s">
        <v>3531</v>
      </c>
    </row>
    <row r="6280" spans="1:2" ht="15.75" x14ac:dyDescent="0.25">
      <c r="A6280" s="344" t="s">
        <v>9813</v>
      </c>
      <c r="B6280" s="345" t="s">
        <v>3532</v>
      </c>
    </row>
    <row r="6281" spans="1:2" ht="15.75" x14ac:dyDescent="0.25">
      <c r="A6281" s="344" t="s">
        <v>9814</v>
      </c>
      <c r="B6281" s="345" t="s">
        <v>3533</v>
      </c>
    </row>
    <row r="6282" spans="1:2" ht="15.75" x14ac:dyDescent="0.25">
      <c r="A6282" s="344" t="s">
        <v>9815</v>
      </c>
      <c r="B6282" s="345" t="s">
        <v>3534</v>
      </c>
    </row>
    <row r="6283" spans="1:2" ht="15.75" x14ac:dyDescent="0.25">
      <c r="A6283" s="344" t="s">
        <v>9816</v>
      </c>
      <c r="B6283" s="345" t="s">
        <v>3535</v>
      </c>
    </row>
    <row r="6284" spans="1:2" ht="15.75" x14ac:dyDescent="0.25">
      <c r="A6284" s="344" t="s">
        <v>9817</v>
      </c>
      <c r="B6284" s="345" t="s">
        <v>3536</v>
      </c>
    </row>
    <row r="6285" spans="1:2" ht="15.75" x14ac:dyDescent="0.25">
      <c r="A6285" s="344" t="s">
        <v>9818</v>
      </c>
      <c r="B6285" s="345" t="s">
        <v>3537</v>
      </c>
    </row>
    <row r="6286" spans="1:2" ht="15.75" x14ac:dyDescent="0.25">
      <c r="A6286" s="344" t="s">
        <v>9819</v>
      </c>
      <c r="B6286" s="345" t="s">
        <v>3538</v>
      </c>
    </row>
    <row r="6287" spans="1:2" ht="15.75" x14ac:dyDescent="0.25">
      <c r="A6287" s="344" t="s">
        <v>9820</v>
      </c>
      <c r="B6287" s="345" t="s">
        <v>3539</v>
      </c>
    </row>
    <row r="6288" spans="1:2" ht="15.75" x14ac:dyDescent="0.25">
      <c r="A6288" s="344" t="s">
        <v>9821</v>
      </c>
      <c r="B6288" s="345" t="s">
        <v>3540</v>
      </c>
    </row>
    <row r="6289" spans="1:2" ht="15.75" x14ac:dyDescent="0.25">
      <c r="A6289" s="344" t="s">
        <v>9822</v>
      </c>
      <c r="B6289" s="345" t="s">
        <v>3541</v>
      </c>
    </row>
    <row r="6290" spans="1:2" ht="15.75" x14ac:dyDescent="0.25">
      <c r="A6290" s="344" t="s">
        <v>9823</v>
      </c>
      <c r="B6290" s="345" t="s">
        <v>3542</v>
      </c>
    </row>
    <row r="6291" spans="1:2" ht="15.75" x14ac:dyDescent="0.25">
      <c r="A6291" s="344" t="s">
        <v>9824</v>
      </c>
      <c r="B6291" s="345" t="s">
        <v>3543</v>
      </c>
    </row>
    <row r="6292" spans="1:2" ht="15.75" x14ac:dyDescent="0.25">
      <c r="A6292" s="344" t="s">
        <v>9825</v>
      </c>
      <c r="B6292" s="345" t="s">
        <v>3544</v>
      </c>
    </row>
    <row r="6293" spans="1:2" ht="15.75" x14ac:dyDescent="0.25">
      <c r="A6293" s="344" t="s">
        <v>9826</v>
      </c>
      <c r="B6293" s="345" t="s">
        <v>3545</v>
      </c>
    </row>
    <row r="6294" spans="1:2" ht="15.75" x14ac:dyDescent="0.25">
      <c r="A6294" s="344" t="s">
        <v>9827</v>
      </c>
      <c r="B6294" s="345" t="s">
        <v>3546</v>
      </c>
    </row>
    <row r="6295" spans="1:2" ht="15.75" x14ac:dyDescent="0.25">
      <c r="A6295" s="344" t="s">
        <v>9828</v>
      </c>
      <c r="B6295" s="345" t="s">
        <v>3547</v>
      </c>
    </row>
    <row r="6296" spans="1:2" ht="15.75" x14ac:dyDescent="0.25">
      <c r="A6296" s="344" t="s">
        <v>9829</v>
      </c>
      <c r="B6296" s="345" t="s">
        <v>3548</v>
      </c>
    </row>
    <row r="6297" spans="1:2" ht="15.75" x14ac:dyDescent="0.25">
      <c r="A6297" s="344" t="s">
        <v>9830</v>
      </c>
      <c r="B6297" s="345" t="s">
        <v>3549</v>
      </c>
    </row>
    <row r="6298" spans="1:2" ht="15.75" x14ac:dyDescent="0.25">
      <c r="A6298" s="344" t="s">
        <v>9831</v>
      </c>
      <c r="B6298" s="345" t="s">
        <v>3550</v>
      </c>
    </row>
    <row r="6299" spans="1:2" ht="15.75" x14ac:dyDescent="0.25">
      <c r="A6299" s="344" t="s">
        <v>9832</v>
      </c>
      <c r="B6299" s="345" t="s">
        <v>3551</v>
      </c>
    </row>
    <row r="6300" spans="1:2" ht="15.75" x14ac:dyDescent="0.25">
      <c r="A6300" s="344" t="s">
        <v>9833</v>
      </c>
      <c r="B6300" s="345" t="s">
        <v>3552</v>
      </c>
    </row>
    <row r="6301" spans="1:2" ht="15.75" x14ac:dyDescent="0.25">
      <c r="A6301" s="344" t="s">
        <v>9834</v>
      </c>
      <c r="B6301" s="345" t="s">
        <v>3553</v>
      </c>
    </row>
    <row r="6302" spans="1:2" ht="15.75" x14ac:dyDescent="0.25">
      <c r="A6302" s="344" t="s">
        <v>9835</v>
      </c>
      <c r="B6302" s="345" t="s">
        <v>3554</v>
      </c>
    </row>
    <row r="6303" spans="1:2" ht="15.75" x14ac:dyDescent="0.25">
      <c r="A6303" s="344" t="s">
        <v>9836</v>
      </c>
      <c r="B6303" s="345" t="s">
        <v>3555</v>
      </c>
    </row>
    <row r="6304" spans="1:2" ht="15.75" x14ac:dyDescent="0.25">
      <c r="A6304" s="344" t="s">
        <v>9837</v>
      </c>
      <c r="B6304" s="345" t="s">
        <v>3556</v>
      </c>
    </row>
    <row r="6305" spans="1:2" ht="15.75" x14ac:dyDescent="0.25">
      <c r="A6305" s="344" t="s">
        <v>9838</v>
      </c>
      <c r="B6305" s="345" t="s">
        <v>3557</v>
      </c>
    </row>
    <row r="6306" spans="1:2" ht="15.75" x14ac:dyDescent="0.25">
      <c r="A6306" s="344" t="s">
        <v>9839</v>
      </c>
      <c r="B6306" s="345" t="s">
        <v>3558</v>
      </c>
    </row>
    <row r="6307" spans="1:2" ht="15.75" x14ac:dyDescent="0.25">
      <c r="A6307" s="344" t="s">
        <v>9840</v>
      </c>
      <c r="B6307" s="345" t="s">
        <v>3559</v>
      </c>
    </row>
    <row r="6308" spans="1:2" ht="15.75" x14ac:dyDescent="0.25">
      <c r="A6308" s="344" t="s">
        <v>9841</v>
      </c>
      <c r="B6308" s="345" t="s">
        <v>3560</v>
      </c>
    </row>
    <row r="6309" spans="1:2" ht="15.75" x14ac:dyDescent="0.25">
      <c r="A6309" s="344" t="s">
        <v>9842</v>
      </c>
      <c r="B6309" s="345" t="s">
        <v>3561</v>
      </c>
    </row>
    <row r="6310" spans="1:2" ht="15.75" x14ac:dyDescent="0.25">
      <c r="A6310" s="344" t="s">
        <v>9843</v>
      </c>
      <c r="B6310" s="345" t="s">
        <v>3562</v>
      </c>
    </row>
    <row r="6311" spans="1:2" ht="15.75" x14ac:dyDescent="0.25">
      <c r="A6311" s="344" t="s">
        <v>9844</v>
      </c>
      <c r="B6311" s="345" t="s">
        <v>3563</v>
      </c>
    </row>
    <row r="6312" spans="1:2" ht="15.75" x14ac:dyDescent="0.25">
      <c r="A6312" s="344" t="s">
        <v>9845</v>
      </c>
      <c r="B6312" s="345" t="s">
        <v>3564</v>
      </c>
    </row>
    <row r="6313" spans="1:2" ht="15.75" x14ac:dyDescent="0.25">
      <c r="A6313" s="344" t="s">
        <v>9846</v>
      </c>
      <c r="B6313" s="345" t="s">
        <v>3565</v>
      </c>
    </row>
    <row r="6314" spans="1:2" ht="15.75" x14ac:dyDescent="0.25">
      <c r="A6314" s="344" t="s">
        <v>9847</v>
      </c>
      <c r="B6314" s="345" t="s">
        <v>3566</v>
      </c>
    </row>
    <row r="6315" spans="1:2" ht="15.75" x14ac:dyDescent="0.25">
      <c r="A6315" s="344" t="s">
        <v>9848</v>
      </c>
      <c r="B6315" s="345" t="s">
        <v>3567</v>
      </c>
    </row>
    <row r="6316" spans="1:2" ht="15.75" x14ac:dyDescent="0.25">
      <c r="A6316" s="344" t="s">
        <v>9849</v>
      </c>
      <c r="B6316" s="345" t="s">
        <v>3568</v>
      </c>
    </row>
    <row r="6317" spans="1:2" ht="15.75" x14ac:dyDescent="0.25">
      <c r="A6317" s="344" t="s">
        <v>9850</v>
      </c>
      <c r="B6317" s="345" t="s">
        <v>3569</v>
      </c>
    </row>
    <row r="6318" spans="1:2" ht="15.75" x14ac:dyDescent="0.25">
      <c r="A6318" s="344" t="s">
        <v>9851</v>
      </c>
      <c r="B6318" s="345" t="s">
        <v>3570</v>
      </c>
    </row>
    <row r="6319" spans="1:2" ht="15.75" x14ac:dyDescent="0.25">
      <c r="A6319" s="344" t="s">
        <v>9852</v>
      </c>
      <c r="B6319" s="345" t="s">
        <v>3571</v>
      </c>
    </row>
    <row r="6320" spans="1:2" ht="15.75" x14ac:dyDescent="0.25">
      <c r="A6320" s="344" t="s">
        <v>9853</v>
      </c>
      <c r="B6320" s="345" t="s">
        <v>3572</v>
      </c>
    </row>
    <row r="6321" spans="1:2" ht="15.75" x14ac:dyDescent="0.25">
      <c r="A6321" s="344" t="s">
        <v>9854</v>
      </c>
      <c r="B6321" s="345" t="s">
        <v>3573</v>
      </c>
    </row>
    <row r="6322" spans="1:2" ht="15.75" x14ac:dyDescent="0.25">
      <c r="A6322" s="344" t="s">
        <v>9855</v>
      </c>
      <c r="B6322" s="345" t="s">
        <v>3574</v>
      </c>
    </row>
    <row r="6323" spans="1:2" ht="15.75" x14ac:dyDescent="0.25">
      <c r="A6323" s="344" t="s">
        <v>9856</v>
      </c>
      <c r="B6323" s="345" t="s">
        <v>3575</v>
      </c>
    </row>
    <row r="6324" spans="1:2" ht="15.75" x14ac:dyDescent="0.25">
      <c r="A6324" s="344" t="s">
        <v>9857</v>
      </c>
      <c r="B6324" s="345" t="s">
        <v>3576</v>
      </c>
    </row>
    <row r="6325" spans="1:2" ht="15.75" x14ac:dyDescent="0.25">
      <c r="A6325" s="344" t="s">
        <v>9858</v>
      </c>
      <c r="B6325" s="345" t="s">
        <v>3577</v>
      </c>
    </row>
    <row r="6326" spans="1:2" ht="15.75" x14ac:dyDescent="0.25">
      <c r="A6326" s="344" t="s">
        <v>9859</v>
      </c>
      <c r="B6326" s="345" t="s">
        <v>3578</v>
      </c>
    </row>
    <row r="6327" spans="1:2" ht="15.75" x14ac:dyDescent="0.25">
      <c r="A6327" s="344" t="s">
        <v>9860</v>
      </c>
      <c r="B6327" s="345" t="s">
        <v>3579</v>
      </c>
    </row>
    <row r="6328" spans="1:2" ht="15.75" x14ac:dyDescent="0.25">
      <c r="A6328" s="344" t="s">
        <v>9861</v>
      </c>
      <c r="B6328" s="345" t="s">
        <v>9626</v>
      </c>
    </row>
    <row r="6329" spans="1:2" ht="15.75" x14ac:dyDescent="0.25">
      <c r="A6329" s="344" t="s">
        <v>9862</v>
      </c>
      <c r="B6329" s="345" t="s">
        <v>9628</v>
      </c>
    </row>
    <row r="6330" spans="1:2" ht="15.75" x14ac:dyDescent="0.25">
      <c r="A6330" s="344" t="s">
        <v>9863</v>
      </c>
      <c r="B6330" s="345" t="s">
        <v>9630</v>
      </c>
    </row>
    <row r="6331" spans="1:2" ht="15.75" x14ac:dyDescent="0.25">
      <c r="A6331" s="344" t="s">
        <v>9864</v>
      </c>
      <c r="B6331" s="345" t="s">
        <v>9632</v>
      </c>
    </row>
    <row r="6332" spans="1:2" ht="15.75" x14ac:dyDescent="0.25">
      <c r="A6332" s="344" t="s">
        <v>9865</v>
      </c>
      <c r="B6332" s="345" t="s">
        <v>9634</v>
      </c>
    </row>
    <row r="6333" spans="1:2" ht="15.75" x14ac:dyDescent="0.25">
      <c r="A6333" s="344" t="s">
        <v>9866</v>
      </c>
      <c r="B6333" s="345" t="s">
        <v>9636</v>
      </c>
    </row>
    <row r="6334" spans="1:2" ht="15.75" x14ac:dyDescent="0.25">
      <c r="A6334" s="344" t="s">
        <v>9867</v>
      </c>
      <c r="B6334" s="345" t="s">
        <v>9638</v>
      </c>
    </row>
    <row r="6335" spans="1:2" ht="15.75" x14ac:dyDescent="0.25">
      <c r="A6335" s="344" t="s">
        <v>9868</v>
      </c>
      <c r="B6335" s="345" t="s">
        <v>9640</v>
      </c>
    </row>
    <row r="6336" spans="1:2" ht="15.75" x14ac:dyDescent="0.25">
      <c r="A6336" s="344" t="s">
        <v>9869</v>
      </c>
      <c r="B6336" s="345" t="s">
        <v>9642</v>
      </c>
    </row>
    <row r="6337" spans="1:2" ht="15.75" x14ac:dyDescent="0.25">
      <c r="A6337" s="344" t="s">
        <v>9870</v>
      </c>
      <c r="B6337" s="345" t="s">
        <v>9644</v>
      </c>
    </row>
    <row r="6338" spans="1:2" ht="15.75" x14ac:dyDescent="0.25">
      <c r="A6338" s="344" t="s">
        <v>9871</v>
      </c>
      <c r="B6338" s="345" t="s">
        <v>9646</v>
      </c>
    </row>
    <row r="6339" spans="1:2" ht="15.75" x14ac:dyDescent="0.25">
      <c r="A6339" s="344" t="s">
        <v>9872</v>
      </c>
      <c r="B6339" s="345" t="s">
        <v>9648</v>
      </c>
    </row>
    <row r="6340" spans="1:2" ht="15.75" x14ac:dyDescent="0.25">
      <c r="A6340" s="344" t="s">
        <v>9873</v>
      </c>
      <c r="B6340" s="345" t="s">
        <v>9650</v>
      </c>
    </row>
    <row r="6341" spans="1:2" ht="15.75" x14ac:dyDescent="0.25">
      <c r="A6341" s="344" t="s">
        <v>9874</v>
      </c>
      <c r="B6341" s="345" t="s">
        <v>9875</v>
      </c>
    </row>
    <row r="6342" spans="1:2" ht="15.75" x14ac:dyDescent="0.25">
      <c r="A6342" s="344" t="s">
        <v>9876</v>
      </c>
      <c r="B6342" s="345" t="s">
        <v>9877</v>
      </c>
    </row>
    <row r="6343" spans="1:2" ht="15.75" x14ac:dyDescent="0.25">
      <c r="A6343" s="344" t="s">
        <v>9878</v>
      </c>
      <c r="B6343" s="345" t="s">
        <v>9879</v>
      </c>
    </row>
    <row r="6344" spans="1:2" ht="15.75" x14ac:dyDescent="0.25">
      <c r="A6344" s="344" t="s">
        <v>9880</v>
      </c>
      <c r="B6344" s="345" t="s">
        <v>9881</v>
      </c>
    </row>
    <row r="6345" spans="1:2" ht="15.75" x14ac:dyDescent="0.25">
      <c r="A6345" s="344" t="s">
        <v>9882</v>
      </c>
      <c r="B6345" s="345" t="s">
        <v>9883</v>
      </c>
    </row>
    <row r="6346" spans="1:2" ht="15.75" x14ac:dyDescent="0.25">
      <c r="A6346" s="344" t="s">
        <v>9884</v>
      </c>
      <c r="B6346" s="345" t="s">
        <v>9885</v>
      </c>
    </row>
    <row r="6347" spans="1:2" ht="15.75" x14ac:dyDescent="0.25">
      <c r="A6347" s="344" t="s">
        <v>9886</v>
      </c>
      <c r="B6347" s="345" t="s">
        <v>9887</v>
      </c>
    </row>
    <row r="6348" spans="1:2" ht="15.75" x14ac:dyDescent="0.25">
      <c r="A6348" s="344" t="s">
        <v>9888</v>
      </c>
      <c r="B6348" s="345" t="s">
        <v>9889</v>
      </c>
    </row>
    <row r="6349" spans="1:2" ht="15.75" x14ac:dyDescent="0.25">
      <c r="A6349" s="344" t="s">
        <v>9890</v>
      </c>
      <c r="B6349" s="345" t="s">
        <v>9891</v>
      </c>
    </row>
    <row r="6350" spans="1:2" ht="15.75" x14ac:dyDescent="0.25">
      <c r="A6350" s="344" t="s">
        <v>9892</v>
      </c>
      <c r="B6350" s="345" t="s">
        <v>9893</v>
      </c>
    </row>
    <row r="6351" spans="1:2" ht="15.75" x14ac:dyDescent="0.25">
      <c r="A6351" s="344" t="s">
        <v>9894</v>
      </c>
      <c r="B6351" s="345" t="s">
        <v>9895</v>
      </c>
    </row>
    <row r="6352" spans="1:2" ht="15.75" x14ac:dyDescent="0.25">
      <c r="A6352" s="344" t="s">
        <v>9896</v>
      </c>
      <c r="B6352" s="345" t="s">
        <v>9897</v>
      </c>
    </row>
    <row r="6353" spans="1:2" ht="15.75" x14ac:dyDescent="0.25">
      <c r="A6353" s="344" t="s">
        <v>9898</v>
      </c>
      <c r="B6353" s="345" t="s">
        <v>9899</v>
      </c>
    </row>
    <row r="6354" spans="1:2" ht="15.75" x14ac:dyDescent="0.25">
      <c r="A6354" s="344" t="s">
        <v>9900</v>
      </c>
      <c r="B6354" s="345" t="s">
        <v>9901</v>
      </c>
    </row>
    <row r="6355" spans="1:2" ht="15.75" x14ac:dyDescent="0.25">
      <c r="A6355" s="344" t="s">
        <v>9902</v>
      </c>
      <c r="B6355" s="345" t="s">
        <v>9903</v>
      </c>
    </row>
    <row r="6356" spans="1:2" ht="15.75" x14ac:dyDescent="0.25">
      <c r="A6356" s="344" t="s">
        <v>9904</v>
      </c>
      <c r="B6356" s="345" t="s">
        <v>9905</v>
      </c>
    </row>
    <row r="6357" spans="1:2" ht="15.75" x14ac:dyDescent="0.25">
      <c r="A6357" s="344" t="s">
        <v>9906</v>
      </c>
      <c r="B6357" s="345" t="s">
        <v>9907</v>
      </c>
    </row>
    <row r="6358" spans="1:2" ht="15.75" x14ac:dyDescent="0.25">
      <c r="A6358" s="344" t="s">
        <v>9908</v>
      </c>
      <c r="B6358" s="345" t="s">
        <v>9909</v>
      </c>
    </row>
    <row r="6359" spans="1:2" ht="15.75" x14ac:dyDescent="0.25">
      <c r="A6359" s="344" t="s">
        <v>9910</v>
      </c>
      <c r="B6359" s="345" t="s">
        <v>9911</v>
      </c>
    </row>
    <row r="6360" spans="1:2" ht="15.75" x14ac:dyDescent="0.25">
      <c r="A6360" s="344" t="s">
        <v>9912</v>
      </c>
      <c r="B6360" s="345" t="s">
        <v>9913</v>
      </c>
    </row>
    <row r="6361" spans="1:2" ht="15.75" x14ac:dyDescent="0.25">
      <c r="A6361" s="344" t="s">
        <v>9914</v>
      </c>
      <c r="B6361" s="345" t="s">
        <v>9915</v>
      </c>
    </row>
    <row r="6362" spans="1:2" ht="15.75" x14ac:dyDescent="0.25">
      <c r="A6362" s="344" t="s">
        <v>9916</v>
      </c>
      <c r="B6362" s="345" t="s">
        <v>9917</v>
      </c>
    </row>
    <row r="6363" spans="1:2" ht="15.75" x14ac:dyDescent="0.25">
      <c r="A6363" s="344" t="s">
        <v>9918</v>
      </c>
      <c r="B6363" s="345" t="s">
        <v>9919</v>
      </c>
    </row>
    <row r="6364" spans="1:2" ht="15.75" x14ac:dyDescent="0.25">
      <c r="A6364" s="344" t="s">
        <v>9920</v>
      </c>
      <c r="B6364" s="345" t="s">
        <v>9652</v>
      </c>
    </row>
    <row r="6365" spans="1:2" ht="15.75" x14ac:dyDescent="0.25">
      <c r="A6365" s="344" t="s">
        <v>9921</v>
      </c>
      <c r="B6365" s="345" t="s">
        <v>9654</v>
      </c>
    </row>
    <row r="6366" spans="1:2" ht="15.75" x14ac:dyDescent="0.25">
      <c r="A6366" s="344" t="s">
        <v>9922</v>
      </c>
      <c r="B6366" s="345" t="s">
        <v>9656</v>
      </c>
    </row>
    <row r="6367" spans="1:2" ht="15.75" x14ac:dyDescent="0.25">
      <c r="A6367" s="344" t="s">
        <v>9923</v>
      </c>
      <c r="B6367" s="345" t="s">
        <v>3580</v>
      </c>
    </row>
    <row r="6368" spans="1:2" ht="15.75" x14ac:dyDescent="0.25">
      <c r="A6368" s="344" t="s">
        <v>9924</v>
      </c>
      <c r="B6368" s="345" t="s">
        <v>3581</v>
      </c>
    </row>
    <row r="6369" spans="1:2" ht="15.75" x14ac:dyDescent="0.25">
      <c r="A6369" s="344" t="s">
        <v>9925</v>
      </c>
      <c r="B6369" s="345" t="s">
        <v>3582</v>
      </c>
    </row>
    <row r="6370" spans="1:2" ht="15.75" x14ac:dyDescent="0.25">
      <c r="A6370" s="344" t="s">
        <v>9926</v>
      </c>
      <c r="B6370" s="345" t="s">
        <v>3583</v>
      </c>
    </row>
    <row r="6371" spans="1:2" ht="15.75" x14ac:dyDescent="0.25">
      <c r="A6371" s="344" t="s">
        <v>68</v>
      </c>
      <c r="B6371" s="345" t="s">
        <v>2010</v>
      </c>
    </row>
    <row r="6372" spans="1:2" ht="15.75" x14ac:dyDescent="0.25">
      <c r="A6372" s="344" t="s">
        <v>9927</v>
      </c>
      <c r="B6372" s="345" t="s">
        <v>3584</v>
      </c>
    </row>
    <row r="6373" spans="1:2" ht="15.75" x14ac:dyDescent="0.25">
      <c r="A6373" s="344" t="s">
        <v>9928</v>
      </c>
      <c r="B6373" s="345" t="s">
        <v>9929</v>
      </c>
    </row>
    <row r="6374" spans="1:2" ht="15.75" x14ac:dyDescent="0.25">
      <c r="A6374" s="344" t="s">
        <v>9930</v>
      </c>
      <c r="B6374" s="345" t="s">
        <v>3585</v>
      </c>
    </row>
    <row r="6375" spans="1:2" ht="15.75" x14ac:dyDescent="0.25">
      <c r="A6375" s="344" t="s">
        <v>9931</v>
      </c>
      <c r="B6375" s="345" t="s">
        <v>3586</v>
      </c>
    </row>
    <row r="6376" spans="1:2" ht="15.75" x14ac:dyDescent="0.25">
      <c r="A6376" s="344" t="s">
        <v>9932</v>
      </c>
      <c r="B6376" s="345" t="s">
        <v>3587</v>
      </c>
    </row>
    <row r="6377" spans="1:2" ht="15.75" x14ac:dyDescent="0.25">
      <c r="A6377" s="344" t="s">
        <v>9933</v>
      </c>
      <c r="B6377" s="345" t="s">
        <v>3588</v>
      </c>
    </row>
    <row r="6378" spans="1:2" ht="15.75" x14ac:dyDescent="0.25">
      <c r="A6378" s="344" t="s">
        <v>9934</v>
      </c>
      <c r="B6378" s="345" t="s">
        <v>3589</v>
      </c>
    </row>
    <row r="6379" spans="1:2" ht="15.75" x14ac:dyDescent="0.25">
      <c r="A6379" s="344" t="s">
        <v>9935</v>
      </c>
      <c r="B6379" s="345" t="s">
        <v>3590</v>
      </c>
    </row>
    <row r="6380" spans="1:2" ht="15.75" x14ac:dyDescent="0.25">
      <c r="A6380" s="344" t="s">
        <v>9936</v>
      </c>
      <c r="B6380" s="345" t="s">
        <v>3591</v>
      </c>
    </row>
    <row r="6381" spans="1:2" ht="15.75" x14ac:dyDescent="0.25">
      <c r="A6381" s="344" t="s">
        <v>9937</v>
      </c>
      <c r="B6381" s="345" t="s">
        <v>3592</v>
      </c>
    </row>
    <row r="6382" spans="1:2" ht="15.75" x14ac:dyDescent="0.25">
      <c r="A6382" s="344" t="s">
        <v>9938</v>
      </c>
      <c r="B6382" s="345" t="s">
        <v>3593</v>
      </c>
    </row>
    <row r="6383" spans="1:2" ht="15.75" x14ac:dyDescent="0.25">
      <c r="A6383" s="344" t="s">
        <v>9939</v>
      </c>
      <c r="B6383" s="345" t="s">
        <v>3594</v>
      </c>
    </row>
    <row r="6384" spans="1:2" ht="15.75" x14ac:dyDescent="0.25">
      <c r="A6384" s="344" t="s">
        <v>9940</v>
      </c>
      <c r="B6384" s="345" t="s">
        <v>3595</v>
      </c>
    </row>
    <row r="6385" spans="1:2" ht="15.75" x14ac:dyDescent="0.25">
      <c r="A6385" s="344" t="s">
        <v>9941</v>
      </c>
      <c r="B6385" s="345" t="s">
        <v>3596</v>
      </c>
    </row>
    <row r="6386" spans="1:2" ht="15.75" x14ac:dyDescent="0.25">
      <c r="A6386" s="344" t="s">
        <v>9942</v>
      </c>
      <c r="B6386" s="345" t="s">
        <v>3597</v>
      </c>
    </row>
    <row r="6387" spans="1:2" ht="15.75" x14ac:dyDescent="0.25">
      <c r="A6387" s="344" t="s">
        <v>9943</v>
      </c>
      <c r="B6387" s="345" t="s">
        <v>3598</v>
      </c>
    </row>
    <row r="6388" spans="1:2" ht="15.75" x14ac:dyDescent="0.25">
      <c r="A6388" s="344" t="s">
        <v>9944</v>
      </c>
      <c r="B6388" s="345" t="s">
        <v>3599</v>
      </c>
    </row>
    <row r="6389" spans="1:2" ht="15.75" x14ac:dyDescent="0.25">
      <c r="A6389" s="344" t="s">
        <v>9945</v>
      </c>
      <c r="B6389" s="345" t="s">
        <v>3600</v>
      </c>
    </row>
    <row r="6390" spans="1:2" ht="15.75" x14ac:dyDescent="0.25">
      <c r="A6390" s="344" t="s">
        <v>9946</v>
      </c>
      <c r="B6390" s="345" t="s">
        <v>3601</v>
      </c>
    </row>
    <row r="6391" spans="1:2" ht="15.75" x14ac:dyDescent="0.25">
      <c r="A6391" s="344" t="s">
        <v>9947</v>
      </c>
      <c r="B6391" s="345" t="s">
        <v>3602</v>
      </c>
    </row>
    <row r="6392" spans="1:2" ht="15.75" x14ac:dyDescent="0.25">
      <c r="A6392" s="344" t="s">
        <v>9948</v>
      </c>
      <c r="B6392" s="345" t="s">
        <v>3603</v>
      </c>
    </row>
    <row r="6393" spans="1:2" ht="15.75" x14ac:dyDescent="0.25">
      <c r="A6393" s="344" t="s">
        <v>9949</v>
      </c>
      <c r="B6393" s="345" t="s">
        <v>3604</v>
      </c>
    </row>
    <row r="6394" spans="1:2" ht="15.75" x14ac:dyDescent="0.25">
      <c r="A6394" s="344" t="s">
        <v>9950</v>
      </c>
      <c r="B6394" s="345" t="s">
        <v>3605</v>
      </c>
    </row>
    <row r="6395" spans="1:2" ht="15.75" x14ac:dyDescent="0.25">
      <c r="A6395" s="344" t="s">
        <v>9951</v>
      </c>
      <c r="B6395" s="345" t="s">
        <v>3606</v>
      </c>
    </row>
    <row r="6396" spans="1:2" ht="15.75" x14ac:dyDescent="0.25">
      <c r="A6396" s="344" t="s">
        <v>9952</v>
      </c>
      <c r="B6396" s="345" t="s">
        <v>3607</v>
      </c>
    </row>
    <row r="6397" spans="1:2" ht="15.75" x14ac:dyDescent="0.25">
      <c r="A6397" s="344" t="s">
        <v>9953</v>
      </c>
      <c r="B6397" s="345" t="s">
        <v>3608</v>
      </c>
    </row>
    <row r="6398" spans="1:2" ht="15.75" x14ac:dyDescent="0.25">
      <c r="A6398" s="344" t="s">
        <v>9954</v>
      </c>
      <c r="B6398" s="345" t="s">
        <v>3609</v>
      </c>
    </row>
    <row r="6399" spans="1:2" ht="15.75" x14ac:dyDescent="0.25">
      <c r="A6399" s="344" t="s">
        <v>9955</v>
      </c>
      <c r="B6399" s="345" t="s">
        <v>3610</v>
      </c>
    </row>
    <row r="6400" spans="1:2" ht="15.75" x14ac:dyDescent="0.25">
      <c r="A6400" s="344" t="s">
        <v>9956</v>
      </c>
      <c r="B6400" s="345" t="s">
        <v>3611</v>
      </c>
    </row>
    <row r="6401" spans="1:2" ht="15.75" x14ac:dyDescent="0.25">
      <c r="A6401" s="344" t="s">
        <v>9957</v>
      </c>
      <c r="B6401" s="345" t="s">
        <v>3612</v>
      </c>
    </row>
    <row r="6402" spans="1:2" ht="15.75" x14ac:dyDescent="0.25">
      <c r="A6402" s="344" t="s">
        <v>9958</v>
      </c>
      <c r="B6402" s="345" t="s">
        <v>3613</v>
      </c>
    </row>
    <row r="6403" spans="1:2" ht="15.75" x14ac:dyDescent="0.25">
      <c r="A6403" s="344" t="s">
        <v>9959</v>
      </c>
      <c r="B6403" s="345" t="s">
        <v>3614</v>
      </c>
    </row>
    <row r="6404" spans="1:2" ht="15.75" x14ac:dyDescent="0.25">
      <c r="A6404" s="344" t="s">
        <v>9960</v>
      </c>
      <c r="B6404" s="345" t="s">
        <v>3615</v>
      </c>
    </row>
    <row r="6405" spans="1:2" ht="15.75" x14ac:dyDescent="0.25">
      <c r="A6405" s="344" t="s">
        <v>9961</v>
      </c>
      <c r="B6405" s="345" t="s">
        <v>3616</v>
      </c>
    </row>
    <row r="6406" spans="1:2" ht="15.75" x14ac:dyDescent="0.25">
      <c r="A6406" s="344" t="s">
        <v>9962</v>
      </c>
      <c r="B6406" s="345" t="s">
        <v>3617</v>
      </c>
    </row>
    <row r="6407" spans="1:2" ht="15.75" x14ac:dyDescent="0.25">
      <c r="A6407" s="344" t="s">
        <v>9963</v>
      </c>
      <c r="B6407" s="345" t="s">
        <v>3618</v>
      </c>
    </row>
    <row r="6408" spans="1:2" ht="15.75" x14ac:dyDescent="0.25">
      <c r="A6408" s="344" t="s">
        <v>9964</v>
      </c>
      <c r="B6408" s="345" t="s">
        <v>3619</v>
      </c>
    </row>
    <row r="6409" spans="1:2" ht="15.75" x14ac:dyDescent="0.25">
      <c r="A6409" s="344" t="s">
        <v>9965</v>
      </c>
      <c r="B6409" s="345" t="s">
        <v>3620</v>
      </c>
    </row>
    <row r="6410" spans="1:2" ht="15.75" x14ac:dyDescent="0.25">
      <c r="A6410" s="344" t="s">
        <v>9966</v>
      </c>
      <c r="B6410" s="345" t="s">
        <v>3621</v>
      </c>
    </row>
    <row r="6411" spans="1:2" ht="15.75" x14ac:dyDescent="0.25">
      <c r="A6411" s="344" t="s">
        <v>9967</v>
      </c>
      <c r="B6411" s="345" t="s">
        <v>3622</v>
      </c>
    </row>
    <row r="6412" spans="1:2" ht="15.75" x14ac:dyDescent="0.25">
      <c r="A6412" s="344" t="s">
        <v>9968</v>
      </c>
      <c r="B6412" s="345" t="s">
        <v>3623</v>
      </c>
    </row>
    <row r="6413" spans="1:2" ht="15.75" x14ac:dyDescent="0.25">
      <c r="A6413" s="344" t="s">
        <v>9969</v>
      </c>
      <c r="B6413" s="345" t="s">
        <v>3624</v>
      </c>
    </row>
    <row r="6414" spans="1:2" ht="15.75" x14ac:dyDescent="0.25">
      <c r="A6414" s="344" t="s">
        <v>9970</v>
      </c>
      <c r="B6414" s="345" t="s">
        <v>3625</v>
      </c>
    </row>
    <row r="6415" spans="1:2" ht="15.75" x14ac:dyDescent="0.25">
      <c r="A6415" s="344" t="s">
        <v>9971</v>
      </c>
      <c r="B6415" s="345" t="s">
        <v>3626</v>
      </c>
    </row>
    <row r="6416" spans="1:2" ht="15.75" x14ac:dyDescent="0.25">
      <c r="A6416" s="344" t="s">
        <v>9972</v>
      </c>
      <c r="B6416" s="345" t="s">
        <v>3627</v>
      </c>
    </row>
    <row r="6417" spans="1:2" ht="15.75" x14ac:dyDescent="0.25">
      <c r="A6417" s="344" t="s">
        <v>9973</v>
      </c>
      <c r="B6417" s="345" t="s">
        <v>3628</v>
      </c>
    </row>
    <row r="6418" spans="1:2" ht="15.75" x14ac:dyDescent="0.25">
      <c r="A6418" s="344" t="s">
        <v>9974</v>
      </c>
      <c r="B6418" s="345" t="s">
        <v>3629</v>
      </c>
    </row>
    <row r="6419" spans="1:2" ht="15.75" x14ac:dyDescent="0.25">
      <c r="A6419" s="344" t="s">
        <v>9975</v>
      </c>
      <c r="B6419" s="345" t="s">
        <v>3630</v>
      </c>
    </row>
    <row r="6420" spans="1:2" ht="15.75" x14ac:dyDescent="0.25">
      <c r="A6420" s="344" t="s">
        <v>9976</v>
      </c>
      <c r="B6420" s="345" t="s">
        <v>3631</v>
      </c>
    </row>
    <row r="6421" spans="1:2" ht="15.75" x14ac:dyDescent="0.25">
      <c r="A6421" s="344" t="s">
        <v>9977</v>
      </c>
      <c r="B6421" s="345" t="s">
        <v>3632</v>
      </c>
    </row>
    <row r="6422" spans="1:2" ht="15.75" x14ac:dyDescent="0.25">
      <c r="A6422" s="344" t="s">
        <v>9978</v>
      </c>
      <c r="B6422" s="345" t="s">
        <v>3633</v>
      </c>
    </row>
    <row r="6423" spans="1:2" ht="15.75" x14ac:dyDescent="0.25">
      <c r="A6423" s="344" t="s">
        <v>9979</v>
      </c>
      <c r="B6423" s="345" t="s">
        <v>3634</v>
      </c>
    </row>
    <row r="6424" spans="1:2" ht="15.75" x14ac:dyDescent="0.25">
      <c r="A6424" s="344" t="s">
        <v>9980</v>
      </c>
      <c r="B6424" s="345" t="s">
        <v>3635</v>
      </c>
    </row>
    <row r="6425" spans="1:2" ht="15.75" x14ac:dyDescent="0.25">
      <c r="A6425" s="344" t="s">
        <v>9981</v>
      </c>
      <c r="B6425" s="345" t="s">
        <v>3636</v>
      </c>
    </row>
    <row r="6426" spans="1:2" ht="15.75" x14ac:dyDescent="0.25">
      <c r="A6426" s="344" t="s">
        <v>9982</v>
      </c>
      <c r="B6426" s="345" t="s">
        <v>3637</v>
      </c>
    </row>
    <row r="6427" spans="1:2" ht="15.75" x14ac:dyDescent="0.25">
      <c r="A6427" s="344" t="s">
        <v>9983</v>
      </c>
      <c r="B6427" s="345" t="s">
        <v>3638</v>
      </c>
    </row>
    <row r="6428" spans="1:2" ht="15.75" x14ac:dyDescent="0.25">
      <c r="A6428" s="344" t="s">
        <v>9984</v>
      </c>
      <c r="B6428" s="345" t="s">
        <v>3639</v>
      </c>
    </row>
    <row r="6429" spans="1:2" ht="15.75" x14ac:dyDescent="0.25">
      <c r="A6429" s="344" t="s">
        <v>9985</v>
      </c>
      <c r="B6429" s="345" t="s">
        <v>3640</v>
      </c>
    </row>
    <row r="6430" spans="1:2" ht="15.75" x14ac:dyDescent="0.25">
      <c r="A6430" s="344" t="s">
        <v>9986</v>
      </c>
      <c r="B6430" s="345" t="s">
        <v>3641</v>
      </c>
    </row>
    <row r="6431" spans="1:2" ht="15.75" x14ac:dyDescent="0.25">
      <c r="A6431" s="344" t="s">
        <v>9987</v>
      </c>
      <c r="B6431" s="345" t="s">
        <v>3642</v>
      </c>
    </row>
    <row r="6432" spans="1:2" ht="15.75" x14ac:dyDescent="0.25">
      <c r="A6432" s="344" t="s">
        <v>9988</v>
      </c>
      <c r="B6432" s="345" t="s">
        <v>3643</v>
      </c>
    </row>
    <row r="6433" spans="1:2" ht="15.75" x14ac:dyDescent="0.25">
      <c r="A6433" s="344" t="s">
        <v>9989</v>
      </c>
      <c r="B6433" s="345" t="s">
        <v>3644</v>
      </c>
    </row>
    <row r="6434" spans="1:2" ht="15.75" x14ac:dyDescent="0.25">
      <c r="A6434" s="344" t="s">
        <v>9990</v>
      </c>
      <c r="B6434" s="345" t="s">
        <v>3645</v>
      </c>
    </row>
    <row r="6435" spans="1:2" ht="15.75" x14ac:dyDescent="0.25">
      <c r="A6435" s="344" t="s">
        <v>9991</v>
      </c>
      <c r="B6435" s="345" t="s">
        <v>3646</v>
      </c>
    </row>
    <row r="6436" spans="1:2" ht="15.75" x14ac:dyDescent="0.25">
      <c r="A6436" s="344" t="s">
        <v>9992</v>
      </c>
      <c r="B6436" s="345" t="s">
        <v>3647</v>
      </c>
    </row>
    <row r="6437" spans="1:2" ht="15.75" x14ac:dyDescent="0.25">
      <c r="A6437" s="344" t="s">
        <v>9993</v>
      </c>
      <c r="B6437" s="345" t="s">
        <v>3648</v>
      </c>
    </row>
    <row r="6438" spans="1:2" ht="15.75" x14ac:dyDescent="0.25">
      <c r="A6438" s="344" t="s">
        <v>9994</v>
      </c>
      <c r="B6438" s="345" t="s">
        <v>3649</v>
      </c>
    </row>
    <row r="6439" spans="1:2" ht="15.75" x14ac:dyDescent="0.25">
      <c r="A6439" s="344" t="s">
        <v>9995</v>
      </c>
      <c r="B6439" s="345" t="s">
        <v>3650</v>
      </c>
    </row>
    <row r="6440" spans="1:2" ht="15.75" x14ac:dyDescent="0.25">
      <c r="A6440" s="344" t="s">
        <v>9996</v>
      </c>
      <c r="B6440" s="345" t="s">
        <v>3651</v>
      </c>
    </row>
    <row r="6441" spans="1:2" ht="15.75" x14ac:dyDescent="0.25">
      <c r="A6441" s="344" t="s">
        <v>9997</v>
      </c>
      <c r="B6441" s="345" t="s">
        <v>3652</v>
      </c>
    </row>
    <row r="6442" spans="1:2" ht="15.75" x14ac:dyDescent="0.25">
      <c r="A6442" s="344" t="s">
        <v>9998</v>
      </c>
      <c r="B6442" s="345" t="s">
        <v>3653</v>
      </c>
    </row>
    <row r="6443" spans="1:2" ht="15.75" x14ac:dyDescent="0.25">
      <c r="A6443" s="344" t="s">
        <v>9999</v>
      </c>
      <c r="B6443" s="345" t="s">
        <v>10000</v>
      </c>
    </row>
    <row r="6444" spans="1:2" ht="15.75" x14ac:dyDescent="0.25">
      <c r="A6444" s="344" t="s">
        <v>10001</v>
      </c>
      <c r="B6444" s="345" t="s">
        <v>10002</v>
      </c>
    </row>
    <row r="6445" spans="1:2" ht="15.75" x14ac:dyDescent="0.25">
      <c r="A6445" s="344" t="s">
        <v>10003</v>
      </c>
      <c r="B6445" s="345" t="s">
        <v>10004</v>
      </c>
    </row>
    <row r="6446" spans="1:2" ht="15.75" x14ac:dyDescent="0.25">
      <c r="A6446" s="344" t="s">
        <v>10005</v>
      </c>
      <c r="B6446" s="345" t="s">
        <v>10006</v>
      </c>
    </row>
    <row r="6447" spans="1:2" ht="15.75" x14ac:dyDescent="0.25">
      <c r="A6447" s="344" t="s">
        <v>10007</v>
      </c>
      <c r="B6447" s="345" t="s">
        <v>10008</v>
      </c>
    </row>
    <row r="6448" spans="1:2" ht="15.75" x14ac:dyDescent="0.25">
      <c r="A6448" s="344" t="s">
        <v>10009</v>
      </c>
      <c r="B6448" s="345" t="s">
        <v>10010</v>
      </c>
    </row>
    <row r="6449" spans="1:2" ht="15.75" x14ac:dyDescent="0.25">
      <c r="A6449" s="344" t="s">
        <v>10011</v>
      </c>
      <c r="B6449" s="345" t="s">
        <v>10012</v>
      </c>
    </row>
    <row r="6450" spans="1:2" ht="15.75" x14ac:dyDescent="0.25">
      <c r="A6450" s="344" t="s">
        <v>10013</v>
      </c>
      <c r="B6450" s="345" t="s">
        <v>10014</v>
      </c>
    </row>
    <row r="6451" spans="1:2" ht="15.75" x14ac:dyDescent="0.25">
      <c r="A6451" s="344" t="s">
        <v>10015</v>
      </c>
      <c r="B6451" s="345" t="s">
        <v>10016</v>
      </c>
    </row>
    <row r="6452" spans="1:2" ht="15.75" x14ac:dyDescent="0.25">
      <c r="A6452" s="344" t="s">
        <v>10017</v>
      </c>
      <c r="B6452" s="345" t="s">
        <v>10018</v>
      </c>
    </row>
    <row r="6453" spans="1:2" ht="15.75" x14ac:dyDescent="0.25">
      <c r="A6453" s="344" t="s">
        <v>10019</v>
      </c>
      <c r="B6453" s="345" t="s">
        <v>10020</v>
      </c>
    </row>
    <row r="6454" spans="1:2" ht="15.75" x14ac:dyDescent="0.25">
      <c r="A6454" s="344" t="s">
        <v>10021</v>
      </c>
      <c r="B6454" s="345" t="s">
        <v>10022</v>
      </c>
    </row>
    <row r="6455" spans="1:2" ht="15.75" x14ac:dyDescent="0.25">
      <c r="A6455" s="344" t="s">
        <v>10023</v>
      </c>
      <c r="B6455" s="345" t="s">
        <v>10024</v>
      </c>
    </row>
    <row r="6456" spans="1:2" ht="15.75" x14ac:dyDescent="0.25">
      <c r="A6456" s="344" t="s">
        <v>10025</v>
      </c>
      <c r="B6456" s="345" t="s">
        <v>10026</v>
      </c>
    </row>
    <row r="6457" spans="1:2" ht="15.75" x14ac:dyDescent="0.25">
      <c r="A6457" s="344" t="s">
        <v>10027</v>
      </c>
      <c r="B6457" s="345" t="s">
        <v>10028</v>
      </c>
    </row>
    <row r="6458" spans="1:2" ht="15.75" x14ac:dyDescent="0.25">
      <c r="A6458" s="344" t="s">
        <v>10029</v>
      </c>
      <c r="B6458" s="345" t="s">
        <v>10030</v>
      </c>
    </row>
    <row r="6459" spans="1:2" ht="15.75" x14ac:dyDescent="0.25">
      <c r="A6459" s="344" t="s">
        <v>10031</v>
      </c>
      <c r="B6459" s="345" t="s">
        <v>10032</v>
      </c>
    </row>
    <row r="6460" spans="1:2" ht="15.75" x14ac:dyDescent="0.25">
      <c r="A6460" s="344" t="s">
        <v>10033</v>
      </c>
      <c r="B6460" s="345" t="s">
        <v>10034</v>
      </c>
    </row>
    <row r="6461" spans="1:2" ht="15.75" x14ac:dyDescent="0.25">
      <c r="A6461" s="344" t="s">
        <v>10035</v>
      </c>
      <c r="B6461" s="345" t="s">
        <v>10036</v>
      </c>
    </row>
    <row r="6462" spans="1:2" ht="15.75" x14ac:dyDescent="0.25">
      <c r="A6462" s="344" t="s">
        <v>10037</v>
      </c>
      <c r="B6462" s="345" t="s">
        <v>10038</v>
      </c>
    </row>
    <row r="6463" spans="1:2" ht="15.75" x14ac:dyDescent="0.25">
      <c r="A6463" s="344" t="s">
        <v>10039</v>
      </c>
      <c r="B6463" s="345" t="s">
        <v>10040</v>
      </c>
    </row>
    <row r="6464" spans="1:2" ht="15.75" x14ac:dyDescent="0.25">
      <c r="A6464" s="344" t="s">
        <v>10041</v>
      </c>
      <c r="B6464" s="345" t="s">
        <v>10042</v>
      </c>
    </row>
    <row r="6465" spans="1:2" ht="15.75" x14ac:dyDescent="0.25">
      <c r="A6465" s="344" t="s">
        <v>10043</v>
      </c>
      <c r="B6465" s="345" t="s">
        <v>10044</v>
      </c>
    </row>
    <row r="6466" spans="1:2" ht="15.75" x14ac:dyDescent="0.25">
      <c r="A6466" s="344" t="s">
        <v>10045</v>
      </c>
      <c r="B6466" s="345" t="s">
        <v>10046</v>
      </c>
    </row>
    <row r="6467" spans="1:2" ht="15.75" x14ac:dyDescent="0.25">
      <c r="A6467" s="344" t="s">
        <v>10047</v>
      </c>
      <c r="B6467" s="345" t="s">
        <v>10048</v>
      </c>
    </row>
    <row r="6468" spans="1:2" ht="15.75" x14ac:dyDescent="0.25">
      <c r="A6468" s="344" t="s">
        <v>10049</v>
      </c>
      <c r="B6468" s="345" t="s">
        <v>10050</v>
      </c>
    </row>
    <row r="6469" spans="1:2" ht="15.75" x14ac:dyDescent="0.25">
      <c r="A6469" s="344" t="s">
        <v>10051</v>
      </c>
      <c r="B6469" s="345" t="s">
        <v>10052</v>
      </c>
    </row>
    <row r="6470" spans="1:2" ht="15.75" x14ac:dyDescent="0.25">
      <c r="A6470" s="344" t="s">
        <v>10053</v>
      </c>
      <c r="B6470" s="345" t="s">
        <v>10054</v>
      </c>
    </row>
    <row r="6471" spans="1:2" ht="15.75" x14ac:dyDescent="0.25">
      <c r="A6471" s="344" t="s">
        <v>10055</v>
      </c>
      <c r="B6471" s="345" t="s">
        <v>10056</v>
      </c>
    </row>
    <row r="6472" spans="1:2" ht="15.75" x14ac:dyDescent="0.25">
      <c r="A6472" s="344" t="s">
        <v>10057</v>
      </c>
      <c r="B6472" s="345" t="s">
        <v>10058</v>
      </c>
    </row>
    <row r="6473" spans="1:2" ht="15.75" x14ac:dyDescent="0.25">
      <c r="A6473" s="344" t="s">
        <v>10059</v>
      </c>
      <c r="B6473" s="345" t="s">
        <v>10060</v>
      </c>
    </row>
    <row r="6474" spans="1:2" ht="15.75" x14ac:dyDescent="0.25">
      <c r="A6474" s="344" t="s">
        <v>10061</v>
      </c>
      <c r="B6474" s="345" t="s">
        <v>10062</v>
      </c>
    </row>
    <row r="6475" spans="1:2" ht="15.75" x14ac:dyDescent="0.25">
      <c r="A6475" s="344" t="s">
        <v>10063</v>
      </c>
      <c r="B6475" s="345" t="s">
        <v>10064</v>
      </c>
    </row>
    <row r="6476" spans="1:2" ht="15.75" x14ac:dyDescent="0.25">
      <c r="A6476" s="344" t="s">
        <v>10065</v>
      </c>
      <c r="B6476" s="345" t="s">
        <v>10066</v>
      </c>
    </row>
    <row r="6477" spans="1:2" ht="15.75" x14ac:dyDescent="0.25">
      <c r="A6477" s="344" t="s">
        <v>10067</v>
      </c>
      <c r="B6477" s="345" t="s">
        <v>10068</v>
      </c>
    </row>
    <row r="6478" spans="1:2" ht="15.75" x14ac:dyDescent="0.25">
      <c r="A6478" s="344" t="s">
        <v>10069</v>
      </c>
      <c r="B6478" s="345" t="s">
        <v>10070</v>
      </c>
    </row>
    <row r="6479" spans="1:2" ht="15.75" x14ac:dyDescent="0.25">
      <c r="A6479" s="344" t="s">
        <v>10071</v>
      </c>
      <c r="B6479" s="345" t="s">
        <v>10072</v>
      </c>
    </row>
    <row r="6480" spans="1:2" ht="15.75" x14ac:dyDescent="0.25">
      <c r="A6480" s="344" t="s">
        <v>10073</v>
      </c>
      <c r="B6480" s="345" t="s">
        <v>10074</v>
      </c>
    </row>
    <row r="6481" spans="1:2" ht="15.75" x14ac:dyDescent="0.25">
      <c r="A6481" s="344" t="s">
        <v>10075</v>
      </c>
      <c r="B6481" s="345" t="s">
        <v>10076</v>
      </c>
    </row>
    <row r="6482" spans="1:2" ht="15.75" x14ac:dyDescent="0.25">
      <c r="A6482" s="344" t="s">
        <v>10077</v>
      </c>
      <c r="B6482" s="345" t="s">
        <v>10078</v>
      </c>
    </row>
    <row r="6483" spans="1:2" ht="15.75" x14ac:dyDescent="0.25">
      <c r="A6483" s="344" t="s">
        <v>10079</v>
      </c>
      <c r="B6483" s="345" t="s">
        <v>3654</v>
      </c>
    </row>
    <row r="6484" spans="1:2" ht="15.75" x14ac:dyDescent="0.25">
      <c r="A6484" s="344" t="s">
        <v>10080</v>
      </c>
      <c r="B6484" s="345" t="s">
        <v>3655</v>
      </c>
    </row>
    <row r="6485" spans="1:2" ht="15.75" x14ac:dyDescent="0.25">
      <c r="A6485" s="344" t="s">
        <v>10081</v>
      </c>
      <c r="B6485" s="345" t="s">
        <v>3656</v>
      </c>
    </row>
    <row r="6486" spans="1:2" ht="15.75" x14ac:dyDescent="0.25">
      <c r="A6486" s="344" t="s">
        <v>10082</v>
      </c>
      <c r="B6486" s="345" t="s">
        <v>3657</v>
      </c>
    </row>
    <row r="6487" spans="1:2" ht="15.75" x14ac:dyDescent="0.25">
      <c r="A6487" s="344" t="s">
        <v>10083</v>
      </c>
      <c r="B6487" s="345" t="s">
        <v>3658</v>
      </c>
    </row>
    <row r="6488" spans="1:2" ht="15.75" x14ac:dyDescent="0.25">
      <c r="A6488" s="344" t="s">
        <v>10084</v>
      </c>
      <c r="B6488" s="345" t="s">
        <v>3659</v>
      </c>
    </row>
    <row r="6489" spans="1:2" ht="15.75" x14ac:dyDescent="0.25">
      <c r="A6489" s="344" t="s">
        <v>10085</v>
      </c>
      <c r="B6489" s="345" t="s">
        <v>3660</v>
      </c>
    </row>
    <row r="6490" spans="1:2" ht="15.75" x14ac:dyDescent="0.25">
      <c r="A6490" s="344" t="s">
        <v>10086</v>
      </c>
      <c r="B6490" s="345" t="s">
        <v>3661</v>
      </c>
    </row>
    <row r="6491" spans="1:2" ht="15.75" x14ac:dyDescent="0.25">
      <c r="A6491" s="344" t="s">
        <v>10087</v>
      </c>
      <c r="B6491" s="345" t="s">
        <v>3662</v>
      </c>
    </row>
    <row r="6492" spans="1:2" ht="15.75" x14ac:dyDescent="0.25">
      <c r="A6492" s="344" t="s">
        <v>10088</v>
      </c>
      <c r="B6492" s="345" t="s">
        <v>3663</v>
      </c>
    </row>
    <row r="6493" spans="1:2" ht="15.75" x14ac:dyDescent="0.25">
      <c r="A6493" s="344" t="s">
        <v>10089</v>
      </c>
      <c r="B6493" s="345" t="s">
        <v>3664</v>
      </c>
    </row>
    <row r="6494" spans="1:2" ht="15.75" x14ac:dyDescent="0.25">
      <c r="A6494" s="344" t="s">
        <v>10090</v>
      </c>
      <c r="B6494" s="345" t="s">
        <v>3665</v>
      </c>
    </row>
    <row r="6495" spans="1:2" ht="15.75" x14ac:dyDescent="0.25">
      <c r="A6495" s="344" t="s">
        <v>10091</v>
      </c>
      <c r="B6495" s="345" t="s">
        <v>3666</v>
      </c>
    </row>
    <row r="6496" spans="1:2" ht="15.75" x14ac:dyDescent="0.25">
      <c r="A6496" s="344" t="s">
        <v>10092</v>
      </c>
      <c r="B6496" s="345" t="s">
        <v>3667</v>
      </c>
    </row>
    <row r="6497" spans="1:2" ht="15.75" x14ac:dyDescent="0.25">
      <c r="A6497" s="344" t="s">
        <v>10093</v>
      </c>
      <c r="B6497" s="345" t="s">
        <v>3668</v>
      </c>
    </row>
    <row r="6498" spans="1:2" ht="15.75" x14ac:dyDescent="0.25">
      <c r="A6498" s="344" t="s">
        <v>10094</v>
      </c>
      <c r="B6498" s="345" t="s">
        <v>3669</v>
      </c>
    </row>
    <row r="6499" spans="1:2" ht="15.75" x14ac:dyDescent="0.25">
      <c r="A6499" s="344" t="s">
        <v>10095</v>
      </c>
      <c r="B6499" s="345" t="s">
        <v>3670</v>
      </c>
    </row>
    <row r="6500" spans="1:2" ht="15.75" x14ac:dyDescent="0.25">
      <c r="A6500" s="344" t="s">
        <v>10096</v>
      </c>
      <c r="B6500" s="345" t="s">
        <v>3671</v>
      </c>
    </row>
    <row r="6501" spans="1:2" ht="15.75" x14ac:dyDescent="0.25">
      <c r="A6501" s="344" t="s">
        <v>10097</v>
      </c>
      <c r="B6501" s="345" t="s">
        <v>3672</v>
      </c>
    </row>
    <row r="6502" spans="1:2" ht="15.75" x14ac:dyDescent="0.25">
      <c r="A6502" s="344" t="s">
        <v>10098</v>
      </c>
      <c r="B6502" s="345" t="s">
        <v>3673</v>
      </c>
    </row>
    <row r="6503" spans="1:2" ht="15.75" x14ac:dyDescent="0.25">
      <c r="A6503" s="344" t="s">
        <v>10099</v>
      </c>
      <c r="B6503" s="345" t="s">
        <v>3674</v>
      </c>
    </row>
    <row r="6504" spans="1:2" ht="15.75" x14ac:dyDescent="0.25">
      <c r="A6504" s="344" t="s">
        <v>10100</v>
      </c>
      <c r="B6504" s="345" t="s">
        <v>3675</v>
      </c>
    </row>
    <row r="6505" spans="1:2" ht="15.75" x14ac:dyDescent="0.25">
      <c r="A6505" s="344" t="s">
        <v>10101</v>
      </c>
      <c r="B6505" s="345" t="s">
        <v>3676</v>
      </c>
    </row>
    <row r="6506" spans="1:2" ht="15.75" x14ac:dyDescent="0.25">
      <c r="A6506" s="344" t="s">
        <v>10102</v>
      </c>
      <c r="B6506" s="345" t="s">
        <v>3677</v>
      </c>
    </row>
    <row r="6507" spans="1:2" ht="15.75" x14ac:dyDescent="0.25">
      <c r="A6507" s="344" t="s">
        <v>10103</v>
      </c>
      <c r="B6507" s="345" t="s">
        <v>3678</v>
      </c>
    </row>
    <row r="6508" spans="1:2" ht="15.75" x14ac:dyDescent="0.25">
      <c r="A6508" s="344" t="s">
        <v>10104</v>
      </c>
      <c r="B6508" s="345" t="s">
        <v>3679</v>
      </c>
    </row>
    <row r="6509" spans="1:2" ht="15.75" x14ac:dyDescent="0.25">
      <c r="A6509" s="344" t="s">
        <v>10105</v>
      </c>
      <c r="B6509" s="345" t="s">
        <v>3680</v>
      </c>
    </row>
    <row r="6510" spans="1:2" ht="15.75" x14ac:dyDescent="0.25">
      <c r="A6510" s="344" t="s">
        <v>10106</v>
      </c>
      <c r="B6510" s="345" t="s">
        <v>3681</v>
      </c>
    </row>
    <row r="6511" spans="1:2" ht="15.75" x14ac:dyDescent="0.25">
      <c r="A6511" s="344" t="s">
        <v>10107</v>
      </c>
      <c r="B6511" s="345" t="s">
        <v>3682</v>
      </c>
    </row>
    <row r="6512" spans="1:2" ht="15.75" x14ac:dyDescent="0.25">
      <c r="A6512" s="344" t="s">
        <v>10108</v>
      </c>
      <c r="B6512" s="345" t="s">
        <v>3683</v>
      </c>
    </row>
    <row r="6513" spans="1:2" ht="15.75" x14ac:dyDescent="0.25">
      <c r="A6513" s="344" t="s">
        <v>10109</v>
      </c>
      <c r="B6513" s="345" t="s">
        <v>3684</v>
      </c>
    </row>
    <row r="6514" spans="1:2" ht="15.75" x14ac:dyDescent="0.25">
      <c r="A6514" s="344" t="s">
        <v>10110</v>
      </c>
      <c r="B6514" s="345" t="s">
        <v>3685</v>
      </c>
    </row>
    <row r="6515" spans="1:2" ht="15.75" x14ac:dyDescent="0.25">
      <c r="A6515" s="344" t="s">
        <v>10111</v>
      </c>
      <c r="B6515" s="345" t="s">
        <v>3686</v>
      </c>
    </row>
    <row r="6516" spans="1:2" ht="15.75" x14ac:dyDescent="0.25">
      <c r="A6516" s="344" t="s">
        <v>10112</v>
      </c>
      <c r="B6516" s="345" t="s">
        <v>3687</v>
      </c>
    </row>
    <row r="6517" spans="1:2" ht="15.75" x14ac:dyDescent="0.25">
      <c r="A6517" s="344" t="s">
        <v>10113</v>
      </c>
      <c r="B6517" s="345" t="s">
        <v>3688</v>
      </c>
    </row>
    <row r="6518" spans="1:2" ht="15.75" x14ac:dyDescent="0.25">
      <c r="A6518" s="344" t="s">
        <v>10114</v>
      </c>
      <c r="B6518" s="345" t="s">
        <v>3689</v>
      </c>
    </row>
    <row r="6519" spans="1:2" ht="15.75" x14ac:dyDescent="0.25">
      <c r="A6519" s="344" t="s">
        <v>10115</v>
      </c>
      <c r="B6519" s="345" t="s">
        <v>3690</v>
      </c>
    </row>
    <row r="6520" spans="1:2" ht="15.75" x14ac:dyDescent="0.25">
      <c r="A6520" s="344" t="s">
        <v>10116</v>
      </c>
      <c r="B6520" s="345" t="s">
        <v>3691</v>
      </c>
    </row>
    <row r="6521" spans="1:2" ht="15.75" x14ac:dyDescent="0.25">
      <c r="A6521" s="344" t="s">
        <v>10117</v>
      </c>
      <c r="B6521" s="345" t="s">
        <v>3692</v>
      </c>
    </row>
    <row r="6522" spans="1:2" ht="15.75" x14ac:dyDescent="0.25">
      <c r="A6522" s="344" t="s">
        <v>10118</v>
      </c>
      <c r="B6522" s="345" t="s">
        <v>3693</v>
      </c>
    </row>
    <row r="6523" spans="1:2" ht="15.75" x14ac:dyDescent="0.25">
      <c r="A6523" s="344" t="s">
        <v>10119</v>
      </c>
      <c r="B6523" s="345" t="s">
        <v>3694</v>
      </c>
    </row>
    <row r="6524" spans="1:2" ht="15.75" x14ac:dyDescent="0.25">
      <c r="A6524" s="344" t="s">
        <v>10120</v>
      </c>
      <c r="B6524" s="345" t="s">
        <v>3695</v>
      </c>
    </row>
    <row r="6525" spans="1:2" ht="15.75" x14ac:dyDescent="0.25">
      <c r="A6525" s="344" t="s">
        <v>10121</v>
      </c>
      <c r="B6525" s="345" t="s">
        <v>3696</v>
      </c>
    </row>
    <row r="6526" spans="1:2" ht="15.75" x14ac:dyDescent="0.25">
      <c r="A6526" s="344" t="s">
        <v>10122</v>
      </c>
      <c r="B6526" s="345" t="s">
        <v>3697</v>
      </c>
    </row>
    <row r="6527" spans="1:2" ht="15.75" x14ac:dyDescent="0.25">
      <c r="A6527" s="344" t="s">
        <v>10123</v>
      </c>
      <c r="B6527" s="345" t="s">
        <v>3698</v>
      </c>
    </row>
    <row r="6528" spans="1:2" ht="15.75" x14ac:dyDescent="0.25">
      <c r="A6528" s="344" t="s">
        <v>10124</v>
      </c>
      <c r="B6528" s="345" t="s">
        <v>3699</v>
      </c>
    </row>
    <row r="6529" spans="1:2" ht="15.75" x14ac:dyDescent="0.25">
      <c r="A6529" s="344" t="s">
        <v>10125</v>
      </c>
      <c r="B6529" s="345" t="s">
        <v>3700</v>
      </c>
    </row>
    <row r="6530" spans="1:2" ht="15.75" x14ac:dyDescent="0.25">
      <c r="A6530" s="344" t="s">
        <v>10126</v>
      </c>
      <c r="B6530" s="345" t="s">
        <v>3701</v>
      </c>
    </row>
    <row r="6531" spans="1:2" ht="15.75" x14ac:dyDescent="0.25">
      <c r="A6531" s="344" t="s">
        <v>10127</v>
      </c>
      <c r="B6531" s="345" t="s">
        <v>3702</v>
      </c>
    </row>
    <row r="6532" spans="1:2" ht="15.75" x14ac:dyDescent="0.25">
      <c r="A6532" s="344" t="s">
        <v>10128</v>
      </c>
      <c r="B6532" s="345" t="s">
        <v>3703</v>
      </c>
    </row>
    <row r="6533" spans="1:2" ht="15.75" x14ac:dyDescent="0.25">
      <c r="A6533" s="344" t="s">
        <v>10129</v>
      </c>
      <c r="B6533" s="345" t="s">
        <v>3704</v>
      </c>
    </row>
    <row r="6534" spans="1:2" ht="15.75" x14ac:dyDescent="0.25">
      <c r="A6534" s="344" t="s">
        <v>10130</v>
      </c>
      <c r="B6534" s="345" t="s">
        <v>3705</v>
      </c>
    </row>
    <row r="6535" spans="1:2" ht="15.75" x14ac:dyDescent="0.25">
      <c r="A6535" s="344" t="s">
        <v>10131</v>
      </c>
      <c r="B6535" s="345" t="s">
        <v>3706</v>
      </c>
    </row>
    <row r="6536" spans="1:2" ht="15.75" x14ac:dyDescent="0.25">
      <c r="A6536" s="344" t="s">
        <v>10132</v>
      </c>
      <c r="B6536" s="345" t="s">
        <v>3707</v>
      </c>
    </row>
    <row r="6537" spans="1:2" ht="15.75" x14ac:dyDescent="0.25">
      <c r="A6537" s="344" t="s">
        <v>10133</v>
      </c>
      <c r="B6537" s="345" t="s">
        <v>3708</v>
      </c>
    </row>
    <row r="6538" spans="1:2" ht="15.75" x14ac:dyDescent="0.25">
      <c r="A6538" s="344" t="s">
        <v>10134</v>
      </c>
      <c r="B6538" s="345" t="s">
        <v>3709</v>
      </c>
    </row>
    <row r="6539" spans="1:2" ht="15.75" x14ac:dyDescent="0.25">
      <c r="A6539" s="344" t="s">
        <v>10135</v>
      </c>
      <c r="B6539" s="345" t="s">
        <v>3710</v>
      </c>
    </row>
    <row r="6540" spans="1:2" ht="15.75" x14ac:dyDescent="0.25">
      <c r="A6540" s="344" t="s">
        <v>10136</v>
      </c>
      <c r="B6540" s="345" t="s">
        <v>3711</v>
      </c>
    </row>
    <row r="6541" spans="1:2" ht="15.75" x14ac:dyDescent="0.25">
      <c r="A6541" s="344" t="s">
        <v>10137</v>
      </c>
      <c r="B6541" s="345" t="s">
        <v>3712</v>
      </c>
    </row>
    <row r="6542" spans="1:2" ht="15.75" x14ac:dyDescent="0.25">
      <c r="A6542" s="344" t="s">
        <v>10138</v>
      </c>
      <c r="B6542" s="345" t="s">
        <v>3713</v>
      </c>
    </row>
    <row r="6543" spans="1:2" ht="15.75" x14ac:dyDescent="0.25">
      <c r="A6543" s="344" t="s">
        <v>10139</v>
      </c>
      <c r="B6543" s="345" t="s">
        <v>3714</v>
      </c>
    </row>
    <row r="6544" spans="1:2" ht="15.75" x14ac:dyDescent="0.25">
      <c r="A6544" s="344" t="s">
        <v>10140</v>
      </c>
      <c r="B6544" s="345" t="s">
        <v>3715</v>
      </c>
    </row>
    <row r="6545" spans="1:2" ht="15.75" x14ac:dyDescent="0.25">
      <c r="A6545" s="344" t="s">
        <v>10141</v>
      </c>
      <c r="B6545" s="345" t="s">
        <v>3716</v>
      </c>
    </row>
    <row r="6546" spans="1:2" ht="15.75" x14ac:dyDescent="0.25">
      <c r="A6546" s="344" t="s">
        <v>10142</v>
      </c>
      <c r="B6546" s="345" t="s">
        <v>3717</v>
      </c>
    </row>
    <row r="6547" spans="1:2" ht="15.75" x14ac:dyDescent="0.25">
      <c r="A6547" s="344" t="s">
        <v>10143</v>
      </c>
      <c r="B6547" s="345" t="s">
        <v>3718</v>
      </c>
    </row>
    <row r="6548" spans="1:2" ht="15.75" x14ac:dyDescent="0.25">
      <c r="A6548" s="344" t="s">
        <v>10144</v>
      </c>
      <c r="B6548" s="345" t="s">
        <v>3719</v>
      </c>
    </row>
    <row r="6549" spans="1:2" ht="15.75" x14ac:dyDescent="0.25">
      <c r="A6549" s="344" t="s">
        <v>10145</v>
      </c>
      <c r="B6549" s="345" t="s">
        <v>3720</v>
      </c>
    </row>
    <row r="6550" spans="1:2" ht="15.75" x14ac:dyDescent="0.25">
      <c r="A6550" s="344" t="s">
        <v>10146</v>
      </c>
      <c r="B6550" s="345" t="s">
        <v>3721</v>
      </c>
    </row>
    <row r="6551" spans="1:2" ht="15.75" x14ac:dyDescent="0.25">
      <c r="A6551" s="344" t="s">
        <v>10147</v>
      </c>
      <c r="B6551" s="345" t="s">
        <v>3722</v>
      </c>
    </row>
    <row r="6552" spans="1:2" ht="15.75" x14ac:dyDescent="0.25">
      <c r="A6552" s="344" t="s">
        <v>10148</v>
      </c>
      <c r="B6552" s="345" t="s">
        <v>3723</v>
      </c>
    </row>
    <row r="6553" spans="1:2" ht="15.75" x14ac:dyDescent="0.25">
      <c r="A6553" s="344" t="s">
        <v>10149</v>
      </c>
      <c r="B6553" s="345" t="s">
        <v>3724</v>
      </c>
    </row>
    <row r="6554" spans="1:2" ht="15.75" x14ac:dyDescent="0.25">
      <c r="A6554" s="344" t="s">
        <v>10150</v>
      </c>
      <c r="B6554" s="345" t="s">
        <v>3725</v>
      </c>
    </row>
    <row r="6555" spans="1:2" ht="15.75" x14ac:dyDescent="0.25">
      <c r="A6555" s="344" t="s">
        <v>10151</v>
      </c>
      <c r="B6555" s="345" t="s">
        <v>3726</v>
      </c>
    </row>
    <row r="6556" spans="1:2" ht="15.75" x14ac:dyDescent="0.25">
      <c r="A6556" s="344" t="s">
        <v>10152</v>
      </c>
      <c r="B6556" s="345" t="s">
        <v>3727</v>
      </c>
    </row>
    <row r="6557" spans="1:2" ht="15.75" x14ac:dyDescent="0.25">
      <c r="A6557" s="344" t="s">
        <v>10153</v>
      </c>
      <c r="B6557" s="345" t="s">
        <v>3728</v>
      </c>
    </row>
    <row r="6558" spans="1:2" ht="15.75" x14ac:dyDescent="0.25">
      <c r="A6558" s="344" t="s">
        <v>10154</v>
      </c>
      <c r="B6558" s="345" t="s">
        <v>3729</v>
      </c>
    </row>
    <row r="6559" spans="1:2" ht="15.75" x14ac:dyDescent="0.25">
      <c r="A6559" s="344" t="s">
        <v>10155</v>
      </c>
      <c r="B6559" s="345" t="s">
        <v>3730</v>
      </c>
    </row>
    <row r="6560" spans="1:2" ht="15.75" x14ac:dyDescent="0.25">
      <c r="A6560" s="344" t="s">
        <v>10156</v>
      </c>
      <c r="B6560" s="345" t="s">
        <v>3731</v>
      </c>
    </row>
    <row r="6561" spans="1:2" ht="15.75" x14ac:dyDescent="0.25">
      <c r="A6561" s="344" t="s">
        <v>10157</v>
      </c>
      <c r="B6561" s="345" t="s">
        <v>3732</v>
      </c>
    </row>
    <row r="6562" spans="1:2" ht="15.75" x14ac:dyDescent="0.25">
      <c r="A6562" s="344" t="s">
        <v>10158</v>
      </c>
      <c r="B6562" s="345" t="s">
        <v>3733</v>
      </c>
    </row>
    <row r="6563" spans="1:2" ht="15.75" x14ac:dyDescent="0.25">
      <c r="A6563" s="344" t="s">
        <v>10159</v>
      </c>
      <c r="B6563" s="345" t="s">
        <v>3734</v>
      </c>
    </row>
    <row r="6564" spans="1:2" ht="15.75" x14ac:dyDescent="0.25">
      <c r="A6564" s="344" t="s">
        <v>10160</v>
      </c>
      <c r="B6564" s="345" t="s">
        <v>3735</v>
      </c>
    </row>
    <row r="6565" spans="1:2" ht="15.75" x14ac:dyDescent="0.25">
      <c r="A6565" s="344" t="s">
        <v>10161</v>
      </c>
      <c r="B6565" s="345" t="s">
        <v>3736</v>
      </c>
    </row>
    <row r="6566" spans="1:2" ht="15.75" x14ac:dyDescent="0.25">
      <c r="A6566" s="344" t="s">
        <v>10162</v>
      </c>
      <c r="B6566" s="345" t="s">
        <v>3737</v>
      </c>
    </row>
    <row r="6567" spans="1:2" ht="15.75" x14ac:dyDescent="0.25">
      <c r="A6567" s="344" t="s">
        <v>10163</v>
      </c>
      <c r="B6567" s="345" t="s">
        <v>3738</v>
      </c>
    </row>
    <row r="6568" spans="1:2" ht="15.75" x14ac:dyDescent="0.25">
      <c r="A6568" s="344" t="s">
        <v>10164</v>
      </c>
      <c r="B6568" s="345" t="s">
        <v>3739</v>
      </c>
    </row>
    <row r="6569" spans="1:2" ht="15.75" x14ac:dyDescent="0.25">
      <c r="A6569" s="344" t="s">
        <v>10165</v>
      </c>
      <c r="B6569" s="345" t="s">
        <v>3740</v>
      </c>
    </row>
    <row r="6570" spans="1:2" ht="15.75" x14ac:dyDescent="0.25">
      <c r="A6570" s="344" t="s">
        <v>10166</v>
      </c>
      <c r="B6570" s="345" t="s">
        <v>3741</v>
      </c>
    </row>
    <row r="6571" spans="1:2" ht="15.75" x14ac:dyDescent="0.25">
      <c r="A6571" s="344" t="s">
        <v>10167</v>
      </c>
      <c r="B6571" s="345" t="s">
        <v>3742</v>
      </c>
    </row>
    <row r="6572" spans="1:2" ht="15.75" x14ac:dyDescent="0.25">
      <c r="A6572" s="344" t="s">
        <v>10168</v>
      </c>
      <c r="B6572" s="345" t="s">
        <v>3743</v>
      </c>
    </row>
    <row r="6573" spans="1:2" ht="15.75" x14ac:dyDescent="0.25">
      <c r="A6573" s="344" t="s">
        <v>10169</v>
      </c>
      <c r="B6573" s="345" t="s">
        <v>3744</v>
      </c>
    </row>
    <row r="6574" spans="1:2" ht="15.75" x14ac:dyDescent="0.25">
      <c r="A6574" s="344" t="s">
        <v>10170</v>
      </c>
      <c r="B6574" s="345" t="s">
        <v>3745</v>
      </c>
    </row>
    <row r="6575" spans="1:2" ht="15.75" x14ac:dyDescent="0.25">
      <c r="A6575" s="344" t="s">
        <v>10171</v>
      </c>
      <c r="B6575" s="345" t="s">
        <v>3746</v>
      </c>
    </row>
    <row r="6576" spans="1:2" ht="15.75" x14ac:dyDescent="0.25">
      <c r="A6576" s="344" t="s">
        <v>10172</v>
      </c>
      <c r="B6576" s="345" t="s">
        <v>3747</v>
      </c>
    </row>
    <row r="6577" spans="1:2" ht="15.75" x14ac:dyDescent="0.25">
      <c r="A6577" s="344" t="s">
        <v>10173</v>
      </c>
      <c r="B6577" s="345" t="s">
        <v>3748</v>
      </c>
    </row>
    <row r="6578" spans="1:2" ht="15.75" x14ac:dyDescent="0.25">
      <c r="A6578" s="344" t="s">
        <v>10174</v>
      </c>
      <c r="B6578" s="345" t="s">
        <v>3749</v>
      </c>
    </row>
    <row r="6579" spans="1:2" ht="15.75" x14ac:dyDescent="0.25">
      <c r="A6579" s="344" t="s">
        <v>10175</v>
      </c>
      <c r="B6579" s="345" t="s">
        <v>3750</v>
      </c>
    </row>
    <row r="6580" spans="1:2" ht="15.75" x14ac:dyDescent="0.25">
      <c r="A6580" s="344" t="s">
        <v>10176</v>
      </c>
      <c r="B6580" s="345" t="s">
        <v>3751</v>
      </c>
    </row>
    <row r="6581" spans="1:2" ht="15.75" x14ac:dyDescent="0.25">
      <c r="A6581" s="344" t="s">
        <v>10177</v>
      </c>
      <c r="B6581" s="345" t="s">
        <v>3752</v>
      </c>
    </row>
    <row r="6582" spans="1:2" ht="15.75" x14ac:dyDescent="0.25">
      <c r="A6582" s="344" t="s">
        <v>10178</v>
      </c>
      <c r="B6582" s="345" t="s">
        <v>3753</v>
      </c>
    </row>
    <row r="6583" spans="1:2" ht="15.75" x14ac:dyDescent="0.25">
      <c r="A6583" s="344" t="s">
        <v>10179</v>
      </c>
      <c r="B6583" s="345" t="s">
        <v>3754</v>
      </c>
    </row>
    <row r="6584" spans="1:2" ht="15.75" x14ac:dyDescent="0.25">
      <c r="A6584" s="344" t="s">
        <v>10180</v>
      </c>
      <c r="B6584" s="345" t="s">
        <v>3755</v>
      </c>
    </row>
    <row r="6585" spans="1:2" ht="15.75" x14ac:dyDescent="0.25">
      <c r="A6585" s="344" t="s">
        <v>10181</v>
      </c>
      <c r="B6585" s="345" t="s">
        <v>3756</v>
      </c>
    </row>
    <row r="6586" spans="1:2" ht="15.75" x14ac:dyDescent="0.25">
      <c r="A6586" s="344" t="s">
        <v>10182</v>
      </c>
      <c r="B6586" s="345" t="s">
        <v>3757</v>
      </c>
    </row>
    <row r="6587" spans="1:2" ht="15.75" x14ac:dyDescent="0.25">
      <c r="A6587" s="344" t="s">
        <v>10183</v>
      </c>
      <c r="B6587" s="345" t="s">
        <v>3758</v>
      </c>
    </row>
    <row r="6588" spans="1:2" ht="15.75" x14ac:dyDescent="0.25">
      <c r="A6588" s="344" t="s">
        <v>10184</v>
      </c>
      <c r="B6588" s="345" t="s">
        <v>3759</v>
      </c>
    </row>
    <row r="6589" spans="1:2" ht="15.75" x14ac:dyDescent="0.25">
      <c r="A6589" s="344" t="s">
        <v>10185</v>
      </c>
      <c r="B6589" s="345" t="s">
        <v>3760</v>
      </c>
    </row>
    <row r="6590" spans="1:2" ht="15.75" x14ac:dyDescent="0.25">
      <c r="A6590" s="344" t="s">
        <v>10186</v>
      </c>
      <c r="B6590" s="345" t="s">
        <v>3761</v>
      </c>
    </row>
    <row r="6591" spans="1:2" ht="15.75" x14ac:dyDescent="0.25">
      <c r="A6591" s="344" t="s">
        <v>10187</v>
      </c>
      <c r="B6591" s="345" t="s">
        <v>3762</v>
      </c>
    </row>
    <row r="6592" spans="1:2" ht="15.75" x14ac:dyDescent="0.25">
      <c r="A6592" s="344" t="s">
        <v>10188</v>
      </c>
      <c r="B6592" s="345" t="s">
        <v>3763</v>
      </c>
    </row>
    <row r="6593" spans="1:2" ht="15.75" x14ac:dyDescent="0.25">
      <c r="A6593" s="344" t="s">
        <v>10189</v>
      </c>
      <c r="B6593" s="345" t="s">
        <v>3764</v>
      </c>
    </row>
    <row r="6594" spans="1:2" ht="15.75" x14ac:dyDescent="0.25">
      <c r="A6594" s="344" t="s">
        <v>10190</v>
      </c>
      <c r="B6594" s="345" t="s">
        <v>3765</v>
      </c>
    </row>
    <row r="6595" spans="1:2" ht="15.75" x14ac:dyDescent="0.25">
      <c r="A6595" s="344" t="s">
        <v>10191</v>
      </c>
      <c r="B6595" s="345" t="s">
        <v>3766</v>
      </c>
    </row>
    <row r="6596" spans="1:2" ht="15.75" x14ac:dyDescent="0.25">
      <c r="A6596" s="344" t="s">
        <v>10192</v>
      </c>
      <c r="B6596" s="345" t="s">
        <v>3767</v>
      </c>
    </row>
    <row r="6597" spans="1:2" ht="15.75" x14ac:dyDescent="0.25">
      <c r="A6597" s="344" t="s">
        <v>10193</v>
      </c>
      <c r="B6597" s="345" t="s">
        <v>3768</v>
      </c>
    </row>
    <row r="6598" spans="1:2" ht="15.75" x14ac:dyDescent="0.25">
      <c r="A6598" s="344" t="s">
        <v>10194</v>
      </c>
      <c r="B6598" s="345" t="s">
        <v>3769</v>
      </c>
    </row>
    <row r="6599" spans="1:2" ht="15.75" x14ac:dyDescent="0.25">
      <c r="A6599" s="344" t="s">
        <v>10195</v>
      </c>
      <c r="B6599" s="345" t="s">
        <v>3770</v>
      </c>
    </row>
    <row r="6600" spans="1:2" ht="15.75" x14ac:dyDescent="0.25">
      <c r="A6600" s="344" t="s">
        <v>10196</v>
      </c>
      <c r="B6600" s="345" t="s">
        <v>3771</v>
      </c>
    </row>
    <row r="6601" spans="1:2" ht="15.75" x14ac:dyDescent="0.25">
      <c r="A6601" s="344" t="s">
        <v>10197</v>
      </c>
      <c r="B6601" s="345" t="s">
        <v>3772</v>
      </c>
    </row>
    <row r="6602" spans="1:2" ht="15.75" x14ac:dyDescent="0.25">
      <c r="A6602" s="344" t="s">
        <v>10198</v>
      </c>
      <c r="B6602" s="345" t="s">
        <v>3773</v>
      </c>
    </row>
    <row r="6603" spans="1:2" ht="15.75" x14ac:dyDescent="0.25">
      <c r="A6603" s="344" t="s">
        <v>10199</v>
      </c>
      <c r="B6603" s="345" t="s">
        <v>3774</v>
      </c>
    </row>
    <row r="6604" spans="1:2" ht="15.75" x14ac:dyDescent="0.25">
      <c r="A6604" s="344" t="s">
        <v>10200</v>
      </c>
      <c r="B6604" s="345" t="s">
        <v>3775</v>
      </c>
    </row>
    <row r="6605" spans="1:2" ht="15.75" x14ac:dyDescent="0.25">
      <c r="A6605" s="344" t="s">
        <v>10201</v>
      </c>
      <c r="B6605" s="345" t="s">
        <v>3776</v>
      </c>
    </row>
    <row r="6606" spans="1:2" ht="15.75" x14ac:dyDescent="0.25">
      <c r="A6606" s="344" t="s">
        <v>10202</v>
      </c>
      <c r="B6606" s="345" t="s">
        <v>3777</v>
      </c>
    </row>
    <row r="6607" spans="1:2" ht="15.75" x14ac:dyDescent="0.25">
      <c r="A6607" s="344" t="s">
        <v>10203</v>
      </c>
      <c r="B6607" s="345" t="s">
        <v>3778</v>
      </c>
    </row>
    <row r="6608" spans="1:2" ht="15.75" x14ac:dyDescent="0.25">
      <c r="A6608" s="344" t="s">
        <v>10204</v>
      </c>
      <c r="B6608" s="345" t="s">
        <v>3779</v>
      </c>
    </row>
    <row r="6609" spans="1:2" ht="15.75" x14ac:dyDescent="0.25">
      <c r="A6609" s="344" t="s">
        <v>10205</v>
      </c>
      <c r="B6609" s="345" t="s">
        <v>3780</v>
      </c>
    </row>
    <row r="6610" spans="1:2" ht="15.75" x14ac:dyDescent="0.25">
      <c r="A6610" s="344" t="s">
        <v>10206</v>
      </c>
      <c r="B6610" s="345" t="s">
        <v>3781</v>
      </c>
    </row>
    <row r="6611" spans="1:2" ht="15.75" x14ac:dyDescent="0.25">
      <c r="A6611" s="344" t="s">
        <v>10207</v>
      </c>
      <c r="B6611" s="345" t="s">
        <v>3782</v>
      </c>
    </row>
    <row r="6612" spans="1:2" ht="15.75" x14ac:dyDescent="0.25">
      <c r="A6612" s="344" t="s">
        <v>10208</v>
      </c>
      <c r="B6612" s="345" t="s">
        <v>3783</v>
      </c>
    </row>
    <row r="6613" spans="1:2" ht="15.75" x14ac:dyDescent="0.25">
      <c r="A6613" s="344" t="s">
        <v>10209</v>
      </c>
      <c r="B6613" s="345" t="s">
        <v>3784</v>
      </c>
    </row>
    <row r="6614" spans="1:2" ht="15.75" x14ac:dyDescent="0.25">
      <c r="A6614" s="344" t="s">
        <v>10210</v>
      </c>
      <c r="B6614" s="345" t="s">
        <v>3785</v>
      </c>
    </row>
    <row r="6615" spans="1:2" ht="15.75" x14ac:dyDescent="0.25">
      <c r="A6615" s="344" t="s">
        <v>10211</v>
      </c>
      <c r="B6615" s="345" t="s">
        <v>3786</v>
      </c>
    </row>
    <row r="6616" spans="1:2" ht="15.75" x14ac:dyDescent="0.25">
      <c r="A6616" s="344" t="s">
        <v>10212</v>
      </c>
      <c r="B6616" s="345" t="s">
        <v>3787</v>
      </c>
    </row>
    <row r="6617" spans="1:2" ht="15.75" x14ac:dyDescent="0.25">
      <c r="A6617" s="344" t="s">
        <v>10213</v>
      </c>
      <c r="B6617" s="345" t="s">
        <v>3788</v>
      </c>
    </row>
    <row r="6618" spans="1:2" ht="15.75" x14ac:dyDescent="0.25">
      <c r="A6618" s="344" t="s">
        <v>10214</v>
      </c>
      <c r="B6618" s="345" t="s">
        <v>3789</v>
      </c>
    </row>
    <row r="6619" spans="1:2" ht="15.75" x14ac:dyDescent="0.25">
      <c r="A6619" s="344" t="s">
        <v>10215</v>
      </c>
      <c r="B6619" s="345" t="s">
        <v>3790</v>
      </c>
    </row>
    <row r="6620" spans="1:2" ht="15.75" x14ac:dyDescent="0.25">
      <c r="A6620" s="344" t="s">
        <v>10216</v>
      </c>
      <c r="B6620" s="345" t="s">
        <v>3791</v>
      </c>
    </row>
    <row r="6621" spans="1:2" ht="15.75" x14ac:dyDescent="0.25">
      <c r="A6621" s="344" t="s">
        <v>10217</v>
      </c>
      <c r="B6621" s="345" t="s">
        <v>3792</v>
      </c>
    </row>
    <row r="6622" spans="1:2" ht="15.75" x14ac:dyDescent="0.25">
      <c r="A6622" s="344" t="s">
        <v>10218</v>
      </c>
      <c r="B6622" s="345" t="s">
        <v>3793</v>
      </c>
    </row>
    <row r="6623" spans="1:2" ht="15.75" x14ac:dyDescent="0.25">
      <c r="A6623" s="344" t="s">
        <v>10219</v>
      </c>
      <c r="B6623" s="345" t="s">
        <v>3794</v>
      </c>
    </row>
    <row r="6624" spans="1:2" ht="15.75" x14ac:dyDescent="0.25">
      <c r="A6624" s="344" t="s">
        <v>10220</v>
      </c>
      <c r="B6624" s="345" t="s">
        <v>3795</v>
      </c>
    </row>
    <row r="6625" spans="1:2" ht="15.75" x14ac:dyDescent="0.25">
      <c r="A6625" s="344" t="s">
        <v>10221</v>
      </c>
      <c r="B6625" s="345" t="s">
        <v>3796</v>
      </c>
    </row>
    <row r="6626" spans="1:2" ht="15.75" x14ac:dyDescent="0.25">
      <c r="A6626" s="344" t="s">
        <v>10222</v>
      </c>
      <c r="B6626" s="345" t="s">
        <v>3797</v>
      </c>
    </row>
    <row r="6627" spans="1:2" ht="15.75" x14ac:dyDescent="0.25">
      <c r="A6627" s="344" t="s">
        <v>10223</v>
      </c>
      <c r="B6627" s="345" t="s">
        <v>3798</v>
      </c>
    </row>
    <row r="6628" spans="1:2" ht="15.75" x14ac:dyDescent="0.25">
      <c r="A6628" s="344" t="s">
        <v>10224</v>
      </c>
      <c r="B6628" s="345" t="s">
        <v>3799</v>
      </c>
    </row>
    <row r="6629" spans="1:2" ht="15.75" x14ac:dyDescent="0.25">
      <c r="A6629" s="344" t="s">
        <v>10225</v>
      </c>
      <c r="B6629" s="345" t="s">
        <v>3800</v>
      </c>
    </row>
    <row r="6630" spans="1:2" ht="15.75" x14ac:dyDescent="0.25">
      <c r="A6630" s="344" t="s">
        <v>10226</v>
      </c>
      <c r="B6630" s="345" t="s">
        <v>3801</v>
      </c>
    </row>
    <row r="6631" spans="1:2" ht="15.75" x14ac:dyDescent="0.25">
      <c r="A6631" s="344" t="s">
        <v>10227</v>
      </c>
      <c r="B6631" s="345" t="s">
        <v>3802</v>
      </c>
    </row>
    <row r="6632" spans="1:2" ht="15.75" x14ac:dyDescent="0.25">
      <c r="A6632" s="344" t="s">
        <v>10228</v>
      </c>
      <c r="B6632" s="345" t="s">
        <v>3803</v>
      </c>
    </row>
    <row r="6633" spans="1:2" ht="15.75" x14ac:dyDescent="0.25">
      <c r="A6633" s="344" t="s">
        <v>10229</v>
      </c>
      <c r="B6633" s="345" t="s">
        <v>3804</v>
      </c>
    </row>
    <row r="6634" spans="1:2" ht="15.75" x14ac:dyDescent="0.25">
      <c r="A6634" s="344" t="s">
        <v>10230</v>
      </c>
      <c r="B6634" s="345" t="s">
        <v>10231</v>
      </c>
    </row>
    <row r="6635" spans="1:2" ht="15.75" x14ac:dyDescent="0.25">
      <c r="A6635" s="344" t="s">
        <v>10232</v>
      </c>
      <c r="B6635" s="345" t="s">
        <v>10233</v>
      </c>
    </row>
    <row r="6636" spans="1:2" ht="15.75" x14ac:dyDescent="0.25">
      <c r="A6636" s="344" t="s">
        <v>10234</v>
      </c>
      <c r="B6636" s="345" t="s">
        <v>3805</v>
      </c>
    </row>
    <row r="6637" spans="1:2" ht="15.75" x14ac:dyDescent="0.25">
      <c r="A6637" s="344" t="s">
        <v>10235</v>
      </c>
      <c r="B6637" s="345" t="s">
        <v>10236</v>
      </c>
    </row>
    <row r="6638" spans="1:2" ht="15.75" x14ac:dyDescent="0.25">
      <c r="A6638" s="344" t="s">
        <v>10237</v>
      </c>
      <c r="B6638" s="345" t="s">
        <v>10238</v>
      </c>
    </row>
    <row r="6639" spans="1:2" ht="15.75" x14ac:dyDescent="0.25">
      <c r="A6639" s="344" t="s">
        <v>10239</v>
      </c>
      <c r="B6639" s="345" t="s">
        <v>10240</v>
      </c>
    </row>
    <row r="6640" spans="1:2" ht="15.75" x14ac:dyDescent="0.25">
      <c r="A6640" s="344" t="s">
        <v>10241</v>
      </c>
      <c r="B6640" s="345" t="s">
        <v>10242</v>
      </c>
    </row>
    <row r="6641" spans="1:2" ht="15.75" x14ac:dyDescent="0.25">
      <c r="A6641" s="344" t="s">
        <v>10243</v>
      </c>
      <c r="B6641" s="345" t="s">
        <v>3805</v>
      </c>
    </row>
    <row r="6642" spans="1:2" ht="15.75" x14ac:dyDescent="0.25">
      <c r="A6642" s="344" t="s">
        <v>10244</v>
      </c>
      <c r="B6642" s="345" t="s">
        <v>10245</v>
      </c>
    </row>
    <row r="6643" spans="1:2" ht="15.75" x14ac:dyDescent="0.25">
      <c r="A6643" s="344" t="s">
        <v>10246</v>
      </c>
      <c r="B6643" s="345" t="s">
        <v>3806</v>
      </c>
    </row>
    <row r="6644" spans="1:2" ht="15.75" x14ac:dyDescent="0.25">
      <c r="A6644" s="344" t="s">
        <v>10247</v>
      </c>
      <c r="B6644" s="345" t="s">
        <v>10248</v>
      </c>
    </row>
    <row r="6645" spans="1:2" ht="15.75" x14ac:dyDescent="0.25">
      <c r="A6645" s="344" t="s">
        <v>10249</v>
      </c>
      <c r="B6645" s="345" t="s">
        <v>3807</v>
      </c>
    </row>
    <row r="6646" spans="1:2" ht="15.75" x14ac:dyDescent="0.25">
      <c r="A6646" s="344" t="s">
        <v>10250</v>
      </c>
      <c r="B6646" s="345" t="s">
        <v>3808</v>
      </c>
    </row>
    <row r="6647" spans="1:2" ht="15.75" x14ac:dyDescent="0.25">
      <c r="A6647" s="344" t="s">
        <v>10251</v>
      </c>
      <c r="B6647" s="345" t="s">
        <v>3809</v>
      </c>
    </row>
    <row r="6648" spans="1:2" ht="15.75" x14ac:dyDescent="0.25">
      <c r="A6648" s="344" t="s">
        <v>10252</v>
      </c>
      <c r="B6648" s="345" t="s">
        <v>3810</v>
      </c>
    </row>
    <row r="6649" spans="1:2" ht="15.75" x14ac:dyDescent="0.25">
      <c r="A6649" s="344" t="s">
        <v>10253</v>
      </c>
      <c r="B6649" s="345" t="s">
        <v>3811</v>
      </c>
    </row>
    <row r="6650" spans="1:2" ht="15.75" x14ac:dyDescent="0.25">
      <c r="A6650" s="344" t="s">
        <v>10254</v>
      </c>
      <c r="B6650" s="345" t="s">
        <v>3812</v>
      </c>
    </row>
    <row r="6651" spans="1:2" ht="15.75" x14ac:dyDescent="0.25">
      <c r="A6651" s="344" t="s">
        <v>10255</v>
      </c>
      <c r="B6651" s="345" t="s">
        <v>3813</v>
      </c>
    </row>
    <row r="6652" spans="1:2" ht="15.75" x14ac:dyDescent="0.25">
      <c r="A6652" s="344" t="s">
        <v>10256</v>
      </c>
      <c r="B6652" s="345" t="s">
        <v>10257</v>
      </c>
    </row>
    <row r="6653" spans="1:2" ht="15.75" x14ac:dyDescent="0.25">
      <c r="A6653" s="344" t="s">
        <v>10258</v>
      </c>
      <c r="B6653" s="345" t="s">
        <v>3814</v>
      </c>
    </row>
    <row r="6654" spans="1:2" ht="15.75" x14ac:dyDescent="0.25">
      <c r="A6654" s="344" t="s">
        <v>10259</v>
      </c>
      <c r="B6654" s="345" t="s">
        <v>3815</v>
      </c>
    </row>
    <row r="6655" spans="1:2" ht="15.75" x14ac:dyDescent="0.25">
      <c r="A6655" s="344" t="s">
        <v>10260</v>
      </c>
      <c r="B6655" s="345" t="s">
        <v>3816</v>
      </c>
    </row>
    <row r="6656" spans="1:2" ht="15.75" x14ac:dyDescent="0.25">
      <c r="A6656" s="344" t="s">
        <v>10261</v>
      </c>
      <c r="B6656" s="345" t="s">
        <v>3817</v>
      </c>
    </row>
    <row r="6657" spans="1:2" ht="15.75" x14ac:dyDescent="0.25">
      <c r="A6657" s="344" t="s">
        <v>10262</v>
      </c>
      <c r="B6657" s="345" t="s">
        <v>3818</v>
      </c>
    </row>
    <row r="6658" spans="1:2" ht="15.75" x14ac:dyDescent="0.25">
      <c r="A6658" s="344" t="s">
        <v>10263</v>
      </c>
      <c r="B6658" s="345" t="s">
        <v>3819</v>
      </c>
    </row>
    <row r="6659" spans="1:2" ht="15.75" x14ac:dyDescent="0.25">
      <c r="A6659" s="344" t="s">
        <v>10264</v>
      </c>
      <c r="B6659" s="345" t="s">
        <v>3820</v>
      </c>
    </row>
    <row r="6660" spans="1:2" ht="15.75" x14ac:dyDescent="0.25">
      <c r="A6660" s="344" t="s">
        <v>10265</v>
      </c>
      <c r="B6660" s="345" t="s">
        <v>3821</v>
      </c>
    </row>
    <row r="6661" spans="1:2" ht="15.75" x14ac:dyDescent="0.25">
      <c r="A6661" s="344" t="s">
        <v>10266</v>
      </c>
      <c r="B6661" s="345" t="s">
        <v>3822</v>
      </c>
    </row>
    <row r="6662" spans="1:2" ht="15.75" x14ac:dyDescent="0.25">
      <c r="A6662" s="344" t="s">
        <v>10267</v>
      </c>
      <c r="B6662" s="345" t="s">
        <v>10268</v>
      </c>
    </row>
    <row r="6663" spans="1:2" ht="15.75" x14ac:dyDescent="0.25">
      <c r="A6663" s="344" t="s">
        <v>10269</v>
      </c>
      <c r="B6663" s="345" t="s">
        <v>3823</v>
      </c>
    </row>
    <row r="6664" spans="1:2" ht="15.75" x14ac:dyDescent="0.25">
      <c r="A6664" s="344" t="s">
        <v>10270</v>
      </c>
      <c r="B6664" s="345" t="s">
        <v>10271</v>
      </c>
    </row>
    <row r="6665" spans="1:2" ht="15.75" x14ac:dyDescent="0.25">
      <c r="A6665" s="344" t="s">
        <v>10272</v>
      </c>
      <c r="B6665" s="345" t="s">
        <v>3824</v>
      </c>
    </row>
    <row r="6666" spans="1:2" ht="15.75" x14ac:dyDescent="0.25">
      <c r="A6666" s="344" t="s">
        <v>10273</v>
      </c>
      <c r="B6666" s="345" t="s">
        <v>3825</v>
      </c>
    </row>
    <row r="6667" spans="1:2" ht="15.75" x14ac:dyDescent="0.25">
      <c r="A6667" s="344" t="s">
        <v>10274</v>
      </c>
      <c r="B6667" s="345" t="s">
        <v>3826</v>
      </c>
    </row>
    <row r="6668" spans="1:2" ht="15.75" x14ac:dyDescent="0.25">
      <c r="A6668" s="344" t="s">
        <v>10275</v>
      </c>
      <c r="B6668" s="345" t="s">
        <v>3827</v>
      </c>
    </row>
    <row r="6669" spans="1:2" ht="15.75" x14ac:dyDescent="0.25">
      <c r="A6669" s="344" t="s">
        <v>10276</v>
      </c>
      <c r="B6669" s="345" t="s">
        <v>10248</v>
      </c>
    </row>
    <row r="6670" spans="1:2" ht="15.75" x14ac:dyDescent="0.25">
      <c r="A6670" s="344" t="s">
        <v>10277</v>
      </c>
      <c r="B6670" s="345" t="s">
        <v>3828</v>
      </c>
    </row>
    <row r="6671" spans="1:2" ht="15.75" x14ac:dyDescent="0.25">
      <c r="A6671" s="344" t="s">
        <v>10278</v>
      </c>
      <c r="B6671" s="345" t="s">
        <v>10279</v>
      </c>
    </row>
    <row r="6672" spans="1:2" ht="15.75" x14ac:dyDescent="0.25">
      <c r="A6672" s="344" t="s">
        <v>10280</v>
      </c>
      <c r="B6672" s="345" t="s">
        <v>10281</v>
      </c>
    </row>
    <row r="6673" spans="1:2" ht="15.75" x14ac:dyDescent="0.25">
      <c r="A6673" s="344" t="s">
        <v>10282</v>
      </c>
      <c r="B6673" s="345" t="s">
        <v>10283</v>
      </c>
    </row>
    <row r="6674" spans="1:2" ht="15.75" x14ac:dyDescent="0.25">
      <c r="A6674" s="344" t="s">
        <v>10284</v>
      </c>
      <c r="B6674" s="345" t="s">
        <v>3829</v>
      </c>
    </row>
    <row r="6675" spans="1:2" ht="15.75" x14ac:dyDescent="0.25">
      <c r="A6675" s="344" t="s">
        <v>10285</v>
      </c>
      <c r="B6675" s="345" t="s">
        <v>3830</v>
      </c>
    </row>
    <row r="6676" spans="1:2" ht="15.75" x14ac:dyDescent="0.25">
      <c r="A6676" s="344" t="s">
        <v>10286</v>
      </c>
      <c r="B6676" s="345" t="s">
        <v>3831</v>
      </c>
    </row>
    <row r="6677" spans="1:2" ht="15.75" x14ac:dyDescent="0.25">
      <c r="A6677" s="344" t="s">
        <v>10287</v>
      </c>
      <c r="B6677" s="345" t="s">
        <v>10288</v>
      </c>
    </row>
    <row r="6678" spans="1:2" ht="15.75" x14ac:dyDescent="0.25">
      <c r="A6678" s="344" t="s">
        <v>10289</v>
      </c>
      <c r="B6678" s="345" t="s">
        <v>3832</v>
      </c>
    </row>
    <row r="6679" spans="1:2" ht="15.75" x14ac:dyDescent="0.25">
      <c r="A6679" s="344" t="s">
        <v>10290</v>
      </c>
      <c r="B6679" s="345" t="s">
        <v>10291</v>
      </c>
    </row>
    <row r="6680" spans="1:2" ht="15.75" x14ac:dyDescent="0.25">
      <c r="A6680" s="344" t="s">
        <v>10292</v>
      </c>
      <c r="B6680" s="345" t="s">
        <v>10293</v>
      </c>
    </row>
    <row r="6681" spans="1:2" ht="15.75" x14ac:dyDescent="0.25">
      <c r="A6681" s="344" t="s">
        <v>10294</v>
      </c>
      <c r="B6681" s="345" t="s">
        <v>10295</v>
      </c>
    </row>
    <row r="6682" spans="1:2" ht="15.75" x14ac:dyDescent="0.25">
      <c r="A6682" s="344" t="s">
        <v>10296</v>
      </c>
      <c r="B6682" s="345" t="s">
        <v>10297</v>
      </c>
    </row>
    <row r="6683" spans="1:2" ht="15.75" x14ac:dyDescent="0.25">
      <c r="A6683" s="344" t="s">
        <v>10298</v>
      </c>
      <c r="B6683" s="345" t="s">
        <v>10299</v>
      </c>
    </row>
    <row r="6684" spans="1:2" ht="15.75" x14ac:dyDescent="0.25">
      <c r="A6684" s="344" t="s">
        <v>10300</v>
      </c>
      <c r="B6684" s="345" t="s">
        <v>10301</v>
      </c>
    </row>
    <row r="6685" spans="1:2" ht="15.75" x14ac:dyDescent="0.25">
      <c r="A6685" s="344" t="s">
        <v>10302</v>
      </c>
      <c r="B6685" s="345" t="s">
        <v>10303</v>
      </c>
    </row>
    <row r="6686" spans="1:2" ht="15.75" x14ac:dyDescent="0.25">
      <c r="A6686" s="344" t="s">
        <v>10304</v>
      </c>
      <c r="B6686" s="345" t="s">
        <v>10305</v>
      </c>
    </row>
    <row r="6687" spans="1:2" ht="15.75" x14ac:dyDescent="0.25">
      <c r="A6687" s="344" t="s">
        <v>10306</v>
      </c>
      <c r="B6687" s="345" t="s">
        <v>3833</v>
      </c>
    </row>
    <row r="6688" spans="1:2" ht="15.75" x14ac:dyDescent="0.25">
      <c r="A6688" s="344" t="s">
        <v>10307</v>
      </c>
      <c r="B6688" s="345" t="s">
        <v>10308</v>
      </c>
    </row>
    <row r="6689" spans="1:2" ht="15.75" x14ac:dyDescent="0.25">
      <c r="A6689" s="344" t="s">
        <v>10309</v>
      </c>
      <c r="B6689" s="345" t="s">
        <v>3834</v>
      </c>
    </row>
    <row r="6690" spans="1:2" ht="15.75" x14ac:dyDescent="0.25">
      <c r="A6690" s="344" t="s">
        <v>10310</v>
      </c>
      <c r="B6690" s="345" t="s">
        <v>3835</v>
      </c>
    </row>
    <row r="6691" spans="1:2" ht="15.75" x14ac:dyDescent="0.25">
      <c r="A6691" s="344" t="s">
        <v>10311</v>
      </c>
      <c r="B6691" s="345" t="s">
        <v>3836</v>
      </c>
    </row>
    <row r="6692" spans="1:2" ht="15.75" x14ac:dyDescent="0.25">
      <c r="A6692" s="344" t="s">
        <v>10312</v>
      </c>
      <c r="B6692" s="345" t="s">
        <v>3837</v>
      </c>
    </row>
    <row r="6693" spans="1:2" ht="15.75" x14ac:dyDescent="0.25">
      <c r="A6693" s="344" t="s">
        <v>10313</v>
      </c>
      <c r="B6693" s="345" t="s">
        <v>3838</v>
      </c>
    </row>
    <row r="6694" spans="1:2" ht="15.75" x14ac:dyDescent="0.25">
      <c r="A6694" s="344" t="s">
        <v>10314</v>
      </c>
      <c r="B6694" s="345" t="s">
        <v>3839</v>
      </c>
    </row>
    <row r="6695" spans="1:2" ht="15.75" x14ac:dyDescent="0.25">
      <c r="A6695" s="344" t="s">
        <v>10315</v>
      </c>
      <c r="B6695" s="345" t="s">
        <v>3840</v>
      </c>
    </row>
    <row r="6696" spans="1:2" ht="15.75" x14ac:dyDescent="0.25">
      <c r="A6696" s="344" t="s">
        <v>10316</v>
      </c>
      <c r="B6696" s="345" t="s">
        <v>3841</v>
      </c>
    </row>
    <row r="6697" spans="1:2" ht="15.75" x14ac:dyDescent="0.25">
      <c r="A6697" s="344" t="s">
        <v>10317</v>
      </c>
      <c r="B6697" s="345" t="s">
        <v>10318</v>
      </c>
    </row>
    <row r="6698" spans="1:2" ht="15.75" x14ac:dyDescent="0.25">
      <c r="A6698" s="344" t="s">
        <v>10319</v>
      </c>
      <c r="B6698" s="345" t="s">
        <v>3842</v>
      </c>
    </row>
    <row r="6699" spans="1:2" ht="15.75" x14ac:dyDescent="0.25">
      <c r="A6699" s="344" t="s">
        <v>10320</v>
      </c>
      <c r="B6699" s="345" t="s">
        <v>3843</v>
      </c>
    </row>
    <row r="6700" spans="1:2" ht="15.75" x14ac:dyDescent="0.25">
      <c r="A6700" s="344" t="s">
        <v>10321</v>
      </c>
      <c r="B6700" s="345" t="s">
        <v>3844</v>
      </c>
    </row>
    <row r="6701" spans="1:2" ht="15.75" x14ac:dyDescent="0.25">
      <c r="A6701" s="344" t="s">
        <v>10322</v>
      </c>
      <c r="B6701" s="345" t="s">
        <v>3845</v>
      </c>
    </row>
    <row r="6702" spans="1:2" ht="15.75" x14ac:dyDescent="0.25">
      <c r="A6702" s="344" t="s">
        <v>10323</v>
      </c>
      <c r="B6702" s="345" t="s">
        <v>3846</v>
      </c>
    </row>
    <row r="6703" spans="1:2" ht="15.75" x14ac:dyDescent="0.25">
      <c r="A6703" s="344" t="s">
        <v>10324</v>
      </c>
      <c r="B6703" s="345" t="s">
        <v>3847</v>
      </c>
    </row>
    <row r="6704" spans="1:2" ht="15.75" x14ac:dyDescent="0.25">
      <c r="A6704" s="344" t="s">
        <v>10325</v>
      </c>
      <c r="B6704" s="345" t="s">
        <v>3848</v>
      </c>
    </row>
    <row r="6705" spans="1:2" ht="15.75" x14ac:dyDescent="0.25">
      <c r="A6705" s="344" t="s">
        <v>10326</v>
      </c>
      <c r="B6705" s="345" t="s">
        <v>2276</v>
      </c>
    </row>
    <row r="6706" spans="1:2" ht="15.75" x14ac:dyDescent="0.25">
      <c r="A6706" s="344" t="s">
        <v>10327</v>
      </c>
      <c r="B6706" s="345" t="s">
        <v>3849</v>
      </c>
    </row>
    <row r="6707" spans="1:2" ht="15.75" x14ac:dyDescent="0.25">
      <c r="A6707" s="344" t="s">
        <v>10328</v>
      </c>
      <c r="B6707" s="345" t="s">
        <v>3850</v>
      </c>
    </row>
    <row r="6708" spans="1:2" ht="15.75" x14ac:dyDescent="0.25">
      <c r="A6708" s="344" t="s">
        <v>10329</v>
      </c>
      <c r="B6708" s="345" t="s">
        <v>3798</v>
      </c>
    </row>
    <row r="6709" spans="1:2" ht="15.75" x14ac:dyDescent="0.25">
      <c r="A6709" s="344" t="s">
        <v>10330</v>
      </c>
      <c r="B6709" s="345" t="s">
        <v>3851</v>
      </c>
    </row>
    <row r="6710" spans="1:2" ht="15.75" x14ac:dyDescent="0.25">
      <c r="A6710" s="344" t="s">
        <v>10331</v>
      </c>
      <c r="B6710" s="345" t="s">
        <v>3852</v>
      </c>
    </row>
    <row r="6711" spans="1:2" ht="15.75" x14ac:dyDescent="0.25">
      <c r="A6711" s="344" t="s">
        <v>10332</v>
      </c>
      <c r="B6711" s="345" t="s">
        <v>3853</v>
      </c>
    </row>
    <row r="6712" spans="1:2" ht="15.75" x14ac:dyDescent="0.25">
      <c r="A6712" s="344" t="s">
        <v>10333</v>
      </c>
      <c r="B6712" s="345" t="s">
        <v>3854</v>
      </c>
    </row>
    <row r="6713" spans="1:2" ht="15.75" x14ac:dyDescent="0.25">
      <c r="A6713" s="344" t="s">
        <v>10334</v>
      </c>
      <c r="B6713" s="345" t="s">
        <v>10335</v>
      </c>
    </row>
    <row r="6714" spans="1:2" ht="15.75" x14ac:dyDescent="0.25">
      <c r="A6714" s="344" t="s">
        <v>10336</v>
      </c>
      <c r="B6714" s="345" t="s">
        <v>3855</v>
      </c>
    </row>
    <row r="6715" spans="1:2" ht="15.75" x14ac:dyDescent="0.25">
      <c r="A6715" s="344" t="s">
        <v>10337</v>
      </c>
      <c r="B6715" s="345" t="s">
        <v>10338</v>
      </c>
    </row>
    <row r="6716" spans="1:2" ht="15.75" x14ac:dyDescent="0.25">
      <c r="A6716" s="344" t="s">
        <v>10339</v>
      </c>
      <c r="B6716" s="345" t="s">
        <v>10340</v>
      </c>
    </row>
    <row r="6717" spans="1:2" ht="15.75" x14ac:dyDescent="0.25">
      <c r="A6717" s="344" t="s">
        <v>10341</v>
      </c>
      <c r="B6717" s="345" t="s">
        <v>3856</v>
      </c>
    </row>
    <row r="6718" spans="1:2" ht="15.75" x14ac:dyDescent="0.25">
      <c r="A6718" s="344" t="s">
        <v>10342</v>
      </c>
      <c r="B6718" s="345" t="s">
        <v>3857</v>
      </c>
    </row>
    <row r="6719" spans="1:2" ht="15.75" x14ac:dyDescent="0.25">
      <c r="A6719" s="344" t="s">
        <v>10343</v>
      </c>
      <c r="B6719" s="345" t="s">
        <v>3858</v>
      </c>
    </row>
    <row r="6720" spans="1:2" ht="15.75" x14ac:dyDescent="0.25">
      <c r="A6720" s="344" t="s">
        <v>10344</v>
      </c>
      <c r="B6720" s="345" t="s">
        <v>10345</v>
      </c>
    </row>
    <row r="6721" spans="1:2" ht="15.75" x14ac:dyDescent="0.25">
      <c r="A6721" s="344" t="s">
        <v>10346</v>
      </c>
      <c r="B6721" s="345" t="s">
        <v>10347</v>
      </c>
    </row>
    <row r="6722" spans="1:2" ht="15.75" x14ac:dyDescent="0.25">
      <c r="A6722" s="344" t="s">
        <v>10348</v>
      </c>
      <c r="B6722" s="345" t="s">
        <v>3859</v>
      </c>
    </row>
    <row r="6723" spans="1:2" ht="15.75" x14ac:dyDescent="0.25">
      <c r="A6723" s="344" t="s">
        <v>10349</v>
      </c>
      <c r="B6723" s="345" t="s">
        <v>3860</v>
      </c>
    </row>
    <row r="6724" spans="1:2" ht="15.75" x14ac:dyDescent="0.25">
      <c r="A6724" s="344" t="s">
        <v>10350</v>
      </c>
      <c r="B6724" s="345" t="s">
        <v>3861</v>
      </c>
    </row>
    <row r="6725" spans="1:2" ht="15.75" x14ac:dyDescent="0.25">
      <c r="A6725" s="344" t="s">
        <v>10351</v>
      </c>
      <c r="B6725" s="345" t="s">
        <v>3862</v>
      </c>
    </row>
    <row r="6726" spans="1:2" ht="15.75" x14ac:dyDescent="0.25">
      <c r="A6726" s="344" t="s">
        <v>10352</v>
      </c>
      <c r="B6726" s="345" t="s">
        <v>3863</v>
      </c>
    </row>
    <row r="6727" spans="1:2" ht="15.75" x14ac:dyDescent="0.25">
      <c r="A6727" s="344" t="s">
        <v>10353</v>
      </c>
      <c r="B6727" s="345" t="s">
        <v>3864</v>
      </c>
    </row>
    <row r="6728" spans="1:2" ht="15.75" x14ac:dyDescent="0.25">
      <c r="A6728" s="344" t="s">
        <v>10354</v>
      </c>
      <c r="B6728" s="345" t="s">
        <v>3865</v>
      </c>
    </row>
    <row r="6729" spans="1:2" ht="15.75" x14ac:dyDescent="0.25">
      <c r="A6729" s="344" t="s">
        <v>10355</v>
      </c>
      <c r="B6729" s="345" t="s">
        <v>3866</v>
      </c>
    </row>
    <row r="6730" spans="1:2" ht="15.75" x14ac:dyDescent="0.25">
      <c r="A6730" s="344" t="s">
        <v>10356</v>
      </c>
      <c r="B6730" s="345" t="s">
        <v>3867</v>
      </c>
    </row>
    <row r="6731" spans="1:2" ht="15.75" x14ac:dyDescent="0.25">
      <c r="A6731" s="344" t="s">
        <v>10357</v>
      </c>
      <c r="B6731" s="345" t="s">
        <v>3868</v>
      </c>
    </row>
    <row r="6732" spans="1:2" ht="15.75" x14ac:dyDescent="0.25">
      <c r="A6732" s="344" t="s">
        <v>10358</v>
      </c>
      <c r="B6732" s="345" t="s">
        <v>3869</v>
      </c>
    </row>
    <row r="6733" spans="1:2" ht="15.75" x14ac:dyDescent="0.25">
      <c r="A6733" s="344" t="s">
        <v>10359</v>
      </c>
      <c r="B6733" s="345" t="s">
        <v>3870</v>
      </c>
    </row>
    <row r="6734" spans="1:2" ht="15.75" x14ac:dyDescent="0.25">
      <c r="A6734" s="344" t="s">
        <v>10360</v>
      </c>
      <c r="B6734" s="345" t="s">
        <v>10361</v>
      </c>
    </row>
    <row r="6735" spans="1:2" ht="15.75" x14ac:dyDescent="0.25">
      <c r="A6735" s="344" t="s">
        <v>10362</v>
      </c>
      <c r="B6735" s="345" t="s">
        <v>3871</v>
      </c>
    </row>
    <row r="6736" spans="1:2" ht="15.75" x14ac:dyDescent="0.25">
      <c r="A6736" s="344" t="s">
        <v>10363</v>
      </c>
      <c r="B6736" s="345" t="s">
        <v>3871</v>
      </c>
    </row>
    <row r="6737" spans="1:2" ht="15.75" x14ac:dyDescent="0.25">
      <c r="A6737" s="344" t="s">
        <v>10364</v>
      </c>
      <c r="B6737" s="345" t="s">
        <v>3872</v>
      </c>
    </row>
    <row r="6738" spans="1:2" ht="15.75" x14ac:dyDescent="0.25">
      <c r="A6738" s="344" t="s">
        <v>10365</v>
      </c>
      <c r="B6738" s="345" t="s">
        <v>3873</v>
      </c>
    </row>
    <row r="6739" spans="1:2" ht="15.75" x14ac:dyDescent="0.25">
      <c r="A6739" s="344" t="s">
        <v>10366</v>
      </c>
      <c r="B6739" s="345" t="s">
        <v>10367</v>
      </c>
    </row>
    <row r="6740" spans="1:2" ht="15.75" x14ac:dyDescent="0.25">
      <c r="A6740" s="344" t="s">
        <v>10368</v>
      </c>
      <c r="B6740" s="345" t="s">
        <v>10369</v>
      </c>
    </row>
    <row r="6741" spans="1:2" ht="15.75" x14ac:dyDescent="0.25">
      <c r="A6741" s="344" t="s">
        <v>10370</v>
      </c>
      <c r="B6741" s="345" t="s">
        <v>3874</v>
      </c>
    </row>
    <row r="6742" spans="1:2" ht="15.75" x14ac:dyDescent="0.25">
      <c r="A6742" s="344" t="s">
        <v>10371</v>
      </c>
      <c r="B6742" s="345" t="s">
        <v>3875</v>
      </c>
    </row>
    <row r="6743" spans="1:2" ht="15.75" x14ac:dyDescent="0.25">
      <c r="A6743" s="344" t="s">
        <v>10372</v>
      </c>
      <c r="B6743" s="345" t="s">
        <v>3876</v>
      </c>
    </row>
    <row r="6744" spans="1:2" ht="15.75" x14ac:dyDescent="0.25">
      <c r="A6744" s="344" t="s">
        <v>10373</v>
      </c>
      <c r="B6744" s="345" t="s">
        <v>3877</v>
      </c>
    </row>
    <row r="6745" spans="1:2" ht="15.75" x14ac:dyDescent="0.25">
      <c r="A6745" s="344" t="s">
        <v>10374</v>
      </c>
      <c r="B6745" s="345" t="s">
        <v>3878</v>
      </c>
    </row>
    <row r="6746" spans="1:2" ht="15.75" x14ac:dyDescent="0.25">
      <c r="A6746" s="344" t="s">
        <v>10375</v>
      </c>
      <c r="B6746" s="345" t="s">
        <v>3879</v>
      </c>
    </row>
    <row r="6747" spans="1:2" ht="15.75" x14ac:dyDescent="0.25">
      <c r="A6747" s="344" t="s">
        <v>10376</v>
      </c>
      <c r="B6747" s="345" t="s">
        <v>10377</v>
      </c>
    </row>
    <row r="6748" spans="1:2" ht="15.75" x14ac:dyDescent="0.25">
      <c r="A6748" s="344" t="s">
        <v>10378</v>
      </c>
      <c r="B6748" s="345" t="s">
        <v>3880</v>
      </c>
    </row>
    <row r="6749" spans="1:2" ht="15.75" x14ac:dyDescent="0.25">
      <c r="A6749" s="344" t="s">
        <v>10379</v>
      </c>
      <c r="B6749" s="345" t="s">
        <v>3881</v>
      </c>
    </row>
    <row r="6750" spans="1:2" ht="15.75" x14ac:dyDescent="0.25">
      <c r="A6750" s="344" t="s">
        <v>10380</v>
      </c>
      <c r="B6750" s="345" t="s">
        <v>3882</v>
      </c>
    </row>
    <row r="6751" spans="1:2" ht="15.75" x14ac:dyDescent="0.25">
      <c r="A6751" s="344" t="s">
        <v>10381</v>
      </c>
      <c r="B6751" s="345" t="s">
        <v>3883</v>
      </c>
    </row>
    <row r="6752" spans="1:2" ht="15.75" x14ac:dyDescent="0.25">
      <c r="A6752" s="344" t="s">
        <v>10382</v>
      </c>
      <c r="B6752" s="345" t="s">
        <v>3884</v>
      </c>
    </row>
    <row r="6753" spans="1:2" ht="15.75" x14ac:dyDescent="0.25">
      <c r="A6753" s="344" t="s">
        <v>10383</v>
      </c>
      <c r="B6753" s="345" t="s">
        <v>3885</v>
      </c>
    </row>
    <row r="6754" spans="1:2" ht="15.75" x14ac:dyDescent="0.25">
      <c r="A6754" s="344" t="s">
        <v>10384</v>
      </c>
      <c r="B6754" s="345" t="s">
        <v>3886</v>
      </c>
    </row>
    <row r="6755" spans="1:2" ht="15.75" x14ac:dyDescent="0.25">
      <c r="A6755" s="344" t="s">
        <v>10385</v>
      </c>
      <c r="B6755" s="345" t="s">
        <v>3887</v>
      </c>
    </row>
    <row r="6756" spans="1:2" ht="15.75" x14ac:dyDescent="0.25">
      <c r="A6756" s="344" t="s">
        <v>10386</v>
      </c>
      <c r="B6756" s="345" t="s">
        <v>3888</v>
      </c>
    </row>
    <row r="6757" spans="1:2" ht="15.75" x14ac:dyDescent="0.25">
      <c r="A6757" s="344" t="s">
        <v>10387</v>
      </c>
      <c r="B6757" s="345" t="s">
        <v>3889</v>
      </c>
    </row>
    <row r="6758" spans="1:2" ht="15.75" x14ac:dyDescent="0.25">
      <c r="A6758" s="344" t="s">
        <v>10388</v>
      </c>
      <c r="B6758" s="345" t="s">
        <v>3890</v>
      </c>
    </row>
    <row r="6759" spans="1:2" ht="15.75" x14ac:dyDescent="0.25">
      <c r="A6759" s="344" t="s">
        <v>10389</v>
      </c>
      <c r="B6759" s="345" t="s">
        <v>3891</v>
      </c>
    </row>
    <row r="6760" spans="1:2" ht="15.75" x14ac:dyDescent="0.25">
      <c r="A6760" s="344" t="s">
        <v>10390</v>
      </c>
      <c r="B6760" s="345" t="s">
        <v>3892</v>
      </c>
    </row>
    <row r="6761" spans="1:2" ht="15.75" x14ac:dyDescent="0.25">
      <c r="A6761" s="344" t="s">
        <v>10391</v>
      </c>
      <c r="B6761" s="345" t="s">
        <v>3893</v>
      </c>
    </row>
    <row r="6762" spans="1:2" ht="15.75" x14ac:dyDescent="0.25">
      <c r="A6762" s="344" t="s">
        <v>10392</v>
      </c>
      <c r="B6762" s="345" t="s">
        <v>3894</v>
      </c>
    </row>
    <row r="6763" spans="1:2" ht="15.75" x14ac:dyDescent="0.25">
      <c r="A6763" s="344" t="s">
        <v>10393</v>
      </c>
      <c r="B6763" s="345" t="s">
        <v>3895</v>
      </c>
    </row>
    <row r="6764" spans="1:2" ht="15.75" x14ac:dyDescent="0.25">
      <c r="A6764" s="344" t="s">
        <v>10394</v>
      </c>
      <c r="B6764" s="345" t="s">
        <v>3896</v>
      </c>
    </row>
    <row r="6765" spans="1:2" ht="15.75" x14ac:dyDescent="0.25">
      <c r="A6765" s="344" t="s">
        <v>10395</v>
      </c>
      <c r="B6765" s="345" t="s">
        <v>10396</v>
      </c>
    </row>
    <row r="6766" spans="1:2" ht="15.75" x14ac:dyDescent="0.25">
      <c r="A6766" s="344" t="s">
        <v>10397</v>
      </c>
      <c r="B6766" s="345" t="s">
        <v>10398</v>
      </c>
    </row>
    <row r="6767" spans="1:2" ht="15.75" x14ac:dyDescent="0.25">
      <c r="A6767" s="344" t="s">
        <v>10399</v>
      </c>
      <c r="B6767" s="345" t="s">
        <v>10400</v>
      </c>
    </row>
    <row r="6768" spans="1:2" ht="15.75" x14ac:dyDescent="0.25">
      <c r="A6768" s="344" t="s">
        <v>10401</v>
      </c>
      <c r="B6768" s="345" t="s">
        <v>3897</v>
      </c>
    </row>
    <row r="6769" spans="1:2" ht="15.75" x14ac:dyDescent="0.25">
      <c r="A6769" s="344" t="s">
        <v>10402</v>
      </c>
      <c r="B6769" s="345" t="s">
        <v>10403</v>
      </c>
    </row>
    <row r="6770" spans="1:2" ht="15.75" x14ac:dyDescent="0.25">
      <c r="A6770" s="344" t="s">
        <v>10404</v>
      </c>
      <c r="B6770" s="345" t="s">
        <v>3898</v>
      </c>
    </row>
    <row r="6771" spans="1:2" ht="15.75" x14ac:dyDescent="0.25">
      <c r="A6771" s="344" t="s">
        <v>10405</v>
      </c>
      <c r="B6771" s="345" t="s">
        <v>3899</v>
      </c>
    </row>
    <row r="6772" spans="1:2" ht="15.75" x14ac:dyDescent="0.25">
      <c r="A6772" s="344" t="s">
        <v>10406</v>
      </c>
      <c r="B6772" s="345" t="s">
        <v>3900</v>
      </c>
    </row>
    <row r="6773" spans="1:2" ht="15.75" x14ac:dyDescent="0.25">
      <c r="A6773" s="344" t="s">
        <v>10407</v>
      </c>
      <c r="B6773" s="345" t="s">
        <v>10408</v>
      </c>
    </row>
    <row r="6774" spans="1:2" ht="15.75" x14ac:dyDescent="0.25">
      <c r="A6774" s="344" t="s">
        <v>10409</v>
      </c>
      <c r="B6774" s="345" t="s">
        <v>10410</v>
      </c>
    </row>
    <row r="6775" spans="1:2" ht="15.75" x14ac:dyDescent="0.25">
      <c r="A6775" s="344" t="s">
        <v>10411</v>
      </c>
      <c r="B6775" s="345" t="s">
        <v>10412</v>
      </c>
    </row>
    <row r="6776" spans="1:2" ht="15.75" x14ac:dyDescent="0.25">
      <c r="A6776" s="344" t="s">
        <v>10413</v>
      </c>
      <c r="B6776" s="345" t="s">
        <v>3901</v>
      </c>
    </row>
    <row r="6777" spans="1:2" ht="15.75" x14ac:dyDescent="0.25">
      <c r="A6777" s="344" t="s">
        <v>10414</v>
      </c>
      <c r="B6777" s="345" t="s">
        <v>10415</v>
      </c>
    </row>
    <row r="6778" spans="1:2" ht="15.75" x14ac:dyDescent="0.25">
      <c r="A6778" s="344" t="s">
        <v>10416</v>
      </c>
      <c r="B6778" s="345" t="s">
        <v>10417</v>
      </c>
    </row>
    <row r="6779" spans="1:2" ht="15.75" x14ac:dyDescent="0.25">
      <c r="A6779" s="344" t="s">
        <v>10418</v>
      </c>
      <c r="B6779" s="345" t="s">
        <v>10419</v>
      </c>
    </row>
    <row r="6780" spans="1:2" ht="15.75" x14ac:dyDescent="0.25">
      <c r="A6780" s="344" t="s">
        <v>10420</v>
      </c>
      <c r="B6780" s="345" t="s">
        <v>3902</v>
      </c>
    </row>
    <row r="6781" spans="1:2" ht="15.75" x14ac:dyDescent="0.25">
      <c r="A6781" s="344" t="s">
        <v>10421</v>
      </c>
      <c r="B6781" s="345" t="s">
        <v>10422</v>
      </c>
    </row>
    <row r="6782" spans="1:2" ht="15.75" x14ac:dyDescent="0.25">
      <c r="A6782" s="344" t="s">
        <v>10423</v>
      </c>
      <c r="B6782" s="345" t="s">
        <v>10424</v>
      </c>
    </row>
    <row r="6783" spans="1:2" ht="15.75" x14ac:dyDescent="0.25">
      <c r="A6783" s="344" t="s">
        <v>10425</v>
      </c>
      <c r="B6783" s="345" t="s">
        <v>10426</v>
      </c>
    </row>
    <row r="6784" spans="1:2" ht="15.75" x14ac:dyDescent="0.25">
      <c r="A6784" s="344" t="s">
        <v>10427</v>
      </c>
      <c r="B6784" s="345" t="s">
        <v>10428</v>
      </c>
    </row>
    <row r="6785" spans="1:2" ht="15.75" x14ac:dyDescent="0.25">
      <c r="A6785" s="344" t="s">
        <v>10429</v>
      </c>
      <c r="B6785" s="345" t="s">
        <v>3903</v>
      </c>
    </row>
    <row r="6786" spans="1:2" ht="15.75" x14ac:dyDescent="0.25">
      <c r="A6786" s="344" t="s">
        <v>10430</v>
      </c>
      <c r="B6786" s="345" t="s">
        <v>3904</v>
      </c>
    </row>
    <row r="6787" spans="1:2" ht="15.75" x14ac:dyDescent="0.25">
      <c r="A6787" s="344" t="s">
        <v>10431</v>
      </c>
      <c r="B6787" s="345" t="s">
        <v>3905</v>
      </c>
    </row>
    <row r="6788" spans="1:2" ht="15.75" x14ac:dyDescent="0.25">
      <c r="A6788" s="344" t="s">
        <v>10432</v>
      </c>
      <c r="B6788" s="345" t="s">
        <v>3906</v>
      </c>
    </row>
    <row r="6789" spans="1:2" ht="15.75" x14ac:dyDescent="0.25">
      <c r="A6789" s="344" t="s">
        <v>10433</v>
      </c>
      <c r="B6789" s="345" t="s">
        <v>3907</v>
      </c>
    </row>
    <row r="6790" spans="1:2" ht="15.75" x14ac:dyDescent="0.25">
      <c r="A6790" s="344" t="s">
        <v>10434</v>
      </c>
      <c r="B6790" s="345" t="s">
        <v>3908</v>
      </c>
    </row>
    <row r="6791" spans="1:2" ht="15.75" x14ac:dyDescent="0.25">
      <c r="A6791" s="344" t="s">
        <v>10435</v>
      </c>
      <c r="B6791" s="345" t="s">
        <v>10436</v>
      </c>
    </row>
    <row r="6792" spans="1:2" ht="15.75" x14ac:dyDescent="0.25">
      <c r="A6792" s="344" t="s">
        <v>10437</v>
      </c>
      <c r="B6792" s="345" t="s">
        <v>3909</v>
      </c>
    </row>
    <row r="6793" spans="1:2" ht="15.75" x14ac:dyDescent="0.25">
      <c r="A6793" s="344" t="s">
        <v>10438</v>
      </c>
      <c r="B6793" s="345" t="s">
        <v>3910</v>
      </c>
    </row>
    <row r="6794" spans="1:2" ht="15.75" x14ac:dyDescent="0.25">
      <c r="A6794" s="344" t="s">
        <v>10439</v>
      </c>
      <c r="B6794" s="345" t="s">
        <v>3911</v>
      </c>
    </row>
    <row r="6795" spans="1:2" ht="15.75" x14ac:dyDescent="0.25">
      <c r="A6795" s="344" t="s">
        <v>10440</v>
      </c>
      <c r="B6795" s="345" t="s">
        <v>3912</v>
      </c>
    </row>
    <row r="6796" spans="1:2" ht="15.75" x14ac:dyDescent="0.25">
      <c r="A6796" s="344" t="s">
        <v>10441</v>
      </c>
      <c r="B6796" s="345" t="s">
        <v>3913</v>
      </c>
    </row>
    <row r="6797" spans="1:2" ht="15.75" x14ac:dyDescent="0.25">
      <c r="A6797" s="344" t="s">
        <v>10442</v>
      </c>
      <c r="B6797" s="345" t="s">
        <v>10443</v>
      </c>
    </row>
    <row r="6798" spans="1:2" ht="15.75" x14ac:dyDescent="0.25">
      <c r="A6798" s="344" t="s">
        <v>10444</v>
      </c>
      <c r="B6798" s="345" t="s">
        <v>3914</v>
      </c>
    </row>
    <row r="6799" spans="1:2" ht="15.75" x14ac:dyDescent="0.25">
      <c r="A6799" s="344" t="s">
        <v>10445</v>
      </c>
      <c r="B6799" s="345" t="s">
        <v>3915</v>
      </c>
    </row>
    <row r="6800" spans="1:2" ht="15.75" x14ac:dyDescent="0.25">
      <c r="A6800" s="344" t="s">
        <v>10446</v>
      </c>
      <c r="B6800" s="345" t="s">
        <v>3916</v>
      </c>
    </row>
    <row r="6801" spans="1:2" ht="15.75" x14ac:dyDescent="0.25">
      <c r="A6801" s="344" t="s">
        <v>10447</v>
      </c>
      <c r="B6801" s="345" t="s">
        <v>3917</v>
      </c>
    </row>
    <row r="6802" spans="1:2" ht="15.75" x14ac:dyDescent="0.25">
      <c r="A6802" s="344" t="s">
        <v>10448</v>
      </c>
      <c r="B6802" s="345" t="s">
        <v>3918</v>
      </c>
    </row>
    <row r="6803" spans="1:2" ht="15.75" x14ac:dyDescent="0.25">
      <c r="A6803" s="344" t="s">
        <v>10449</v>
      </c>
      <c r="B6803" s="345" t="s">
        <v>3919</v>
      </c>
    </row>
    <row r="6804" spans="1:2" ht="15.75" x14ac:dyDescent="0.25">
      <c r="A6804" s="344" t="s">
        <v>10450</v>
      </c>
      <c r="B6804" s="345" t="s">
        <v>3920</v>
      </c>
    </row>
    <row r="6805" spans="1:2" ht="15.75" x14ac:dyDescent="0.25">
      <c r="A6805" s="344" t="s">
        <v>10451</v>
      </c>
      <c r="B6805" s="345" t="s">
        <v>3921</v>
      </c>
    </row>
    <row r="6806" spans="1:2" ht="15.75" x14ac:dyDescent="0.25">
      <c r="A6806" s="344" t="s">
        <v>10452</v>
      </c>
      <c r="B6806" s="345" t="s">
        <v>3922</v>
      </c>
    </row>
    <row r="6807" spans="1:2" ht="15.75" x14ac:dyDescent="0.25">
      <c r="A6807" s="344" t="s">
        <v>10453</v>
      </c>
      <c r="B6807" s="345" t="s">
        <v>3923</v>
      </c>
    </row>
    <row r="6808" spans="1:2" ht="15.75" x14ac:dyDescent="0.25">
      <c r="A6808" s="344" t="s">
        <v>10454</v>
      </c>
      <c r="B6808" s="345" t="s">
        <v>10455</v>
      </c>
    </row>
    <row r="6809" spans="1:2" ht="15.75" x14ac:dyDescent="0.25">
      <c r="A6809" s="344" t="s">
        <v>10456</v>
      </c>
      <c r="B6809" s="345" t="s">
        <v>3924</v>
      </c>
    </row>
    <row r="6810" spans="1:2" ht="15.75" x14ac:dyDescent="0.25">
      <c r="A6810" s="344" t="s">
        <v>10457</v>
      </c>
      <c r="B6810" s="345" t="s">
        <v>3925</v>
      </c>
    </row>
    <row r="6811" spans="1:2" ht="15.75" x14ac:dyDescent="0.25">
      <c r="A6811" s="344" t="s">
        <v>10458</v>
      </c>
      <c r="B6811" s="345" t="s">
        <v>10459</v>
      </c>
    </row>
    <row r="6812" spans="1:2" ht="15.75" x14ac:dyDescent="0.25">
      <c r="A6812" s="344" t="s">
        <v>10460</v>
      </c>
      <c r="B6812" s="345" t="s">
        <v>10461</v>
      </c>
    </row>
    <row r="6813" spans="1:2" ht="15.75" x14ac:dyDescent="0.25">
      <c r="A6813" s="344" t="s">
        <v>10462</v>
      </c>
      <c r="B6813" s="345" t="s">
        <v>10463</v>
      </c>
    </row>
    <row r="6814" spans="1:2" ht="15.75" x14ac:dyDescent="0.25">
      <c r="A6814" s="344" t="s">
        <v>10464</v>
      </c>
      <c r="B6814" s="345" t="s">
        <v>10465</v>
      </c>
    </row>
    <row r="6815" spans="1:2" ht="15.75" x14ac:dyDescent="0.25">
      <c r="A6815" s="344" t="s">
        <v>10466</v>
      </c>
      <c r="B6815" s="345" t="s">
        <v>10467</v>
      </c>
    </row>
    <row r="6816" spans="1:2" ht="15.75" x14ac:dyDescent="0.25">
      <c r="A6816" s="344" t="s">
        <v>10468</v>
      </c>
      <c r="B6816" s="345" t="s">
        <v>10469</v>
      </c>
    </row>
    <row r="6817" spans="1:2" ht="15.75" x14ac:dyDescent="0.25">
      <c r="A6817" s="344" t="s">
        <v>10470</v>
      </c>
      <c r="B6817" s="345" t="s">
        <v>10471</v>
      </c>
    </row>
    <row r="6818" spans="1:2" ht="15.75" x14ac:dyDescent="0.25">
      <c r="A6818" s="344" t="s">
        <v>10472</v>
      </c>
      <c r="B6818" s="345" t="s">
        <v>10473</v>
      </c>
    </row>
    <row r="6819" spans="1:2" ht="15.75" x14ac:dyDescent="0.25">
      <c r="A6819" s="344" t="s">
        <v>10474</v>
      </c>
      <c r="B6819" s="345" t="s">
        <v>10475</v>
      </c>
    </row>
    <row r="6820" spans="1:2" ht="15.75" x14ac:dyDescent="0.25">
      <c r="A6820" s="344" t="s">
        <v>10476</v>
      </c>
      <c r="B6820" s="345" t="s">
        <v>10477</v>
      </c>
    </row>
    <row r="6821" spans="1:2" ht="15.75" x14ac:dyDescent="0.25">
      <c r="A6821" s="344" t="s">
        <v>10478</v>
      </c>
      <c r="B6821" s="345" t="s">
        <v>10479</v>
      </c>
    </row>
    <row r="6822" spans="1:2" ht="15.75" x14ac:dyDescent="0.25">
      <c r="A6822" s="344" t="s">
        <v>10480</v>
      </c>
      <c r="B6822" s="345" t="s">
        <v>3926</v>
      </c>
    </row>
    <row r="6823" spans="1:2" ht="15.75" x14ac:dyDescent="0.25">
      <c r="A6823" s="344" t="s">
        <v>10481</v>
      </c>
      <c r="B6823" s="345" t="s">
        <v>4913</v>
      </c>
    </row>
    <row r="6824" spans="1:2" ht="15.75" x14ac:dyDescent="0.25">
      <c r="A6824" s="344" t="s">
        <v>10482</v>
      </c>
      <c r="B6824" s="345" t="s">
        <v>10483</v>
      </c>
    </row>
    <row r="6825" spans="1:2" ht="15.75" x14ac:dyDescent="0.25">
      <c r="A6825" s="344" t="s">
        <v>10484</v>
      </c>
      <c r="B6825" s="345" t="s">
        <v>10485</v>
      </c>
    </row>
    <row r="6826" spans="1:2" ht="15.75" x14ac:dyDescent="0.25">
      <c r="A6826" s="344" t="s">
        <v>10486</v>
      </c>
      <c r="B6826" s="345" t="s">
        <v>3927</v>
      </c>
    </row>
    <row r="6827" spans="1:2" ht="15.75" x14ac:dyDescent="0.25">
      <c r="A6827" s="344" t="s">
        <v>10487</v>
      </c>
      <c r="B6827" s="345" t="s">
        <v>3928</v>
      </c>
    </row>
    <row r="6828" spans="1:2" ht="15.75" x14ac:dyDescent="0.25">
      <c r="A6828" s="344" t="s">
        <v>10488</v>
      </c>
      <c r="B6828" s="345" t="s">
        <v>3929</v>
      </c>
    </row>
    <row r="6829" spans="1:2" ht="15.75" x14ac:dyDescent="0.25">
      <c r="A6829" s="344" t="s">
        <v>10489</v>
      </c>
      <c r="B6829" s="345" t="s">
        <v>3930</v>
      </c>
    </row>
    <row r="6830" spans="1:2" ht="15.75" x14ac:dyDescent="0.25">
      <c r="A6830" s="344" t="s">
        <v>10490</v>
      </c>
      <c r="B6830" s="345" t="s">
        <v>3931</v>
      </c>
    </row>
    <row r="6831" spans="1:2" ht="15.75" x14ac:dyDescent="0.25">
      <c r="A6831" s="344" t="s">
        <v>10491</v>
      </c>
      <c r="B6831" s="345" t="s">
        <v>3932</v>
      </c>
    </row>
    <row r="6832" spans="1:2" ht="15.75" x14ac:dyDescent="0.25">
      <c r="A6832" s="344" t="s">
        <v>10492</v>
      </c>
      <c r="B6832" s="345" t="s">
        <v>3933</v>
      </c>
    </row>
    <row r="6833" spans="1:2" ht="15.75" x14ac:dyDescent="0.25">
      <c r="A6833" s="344" t="s">
        <v>10493</v>
      </c>
      <c r="B6833" s="345" t="s">
        <v>3934</v>
      </c>
    </row>
    <row r="6834" spans="1:2" ht="15.75" x14ac:dyDescent="0.25">
      <c r="A6834" s="344" t="s">
        <v>10494</v>
      </c>
      <c r="B6834" s="345" t="s">
        <v>10495</v>
      </c>
    </row>
    <row r="6835" spans="1:2" ht="15.75" x14ac:dyDescent="0.25">
      <c r="A6835" s="344" t="s">
        <v>10496</v>
      </c>
      <c r="B6835" s="345" t="s">
        <v>3935</v>
      </c>
    </row>
    <row r="6836" spans="1:2" ht="15.75" x14ac:dyDescent="0.25">
      <c r="A6836" s="344" t="s">
        <v>10497</v>
      </c>
      <c r="B6836" s="345" t="s">
        <v>10498</v>
      </c>
    </row>
    <row r="6837" spans="1:2" ht="15.75" x14ac:dyDescent="0.25">
      <c r="A6837" s="344" t="s">
        <v>10499</v>
      </c>
      <c r="B6837" s="345" t="s">
        <v>3936</v>
      </c>
    </row>
    <row r="6838" spans="1:2" ht="15.75" x14ac:dyDescent="0.25">
      <c r="A6838" s="344" t="s">
        <v>10500</v>
      </c>
      <c r="B6838" s="345" t="s">
        <v>3937</v>
      </c>
    </row>
    <row r="6839" spans="1:2" ht="15.75" x14ac:dyDescent="0.25">
      <c r="A6839" s="344" t="s">
        <v>10501</v>
      </c>
      <c r="B6839" s="345" t="s">
        <v>3938</v>
      </c>
    </row>
    <row r="6840" spans="1:2" ht="15.75" x14ac:dyDescent="0.25">
      <c r="A6840" s="344" t="s">
        <v>10502</v>
      </c>
      <c r="B6840" s="345" t="s">
        <v>3939</v>
      </c>
    </row>
    <row r="6841" spans="1:2" ht="15.75" x14ac:dyDescent="0.25">
      <c r="A6841" s="344" t="s">
        <v>10503</v>
      </c>
      <c r="B6841" s="345" t="s">
        <v>3940</v>
      </c>
    </row>
    <row r="6842" spans="1:2" ht="15.75" x14ac:dyDescent="0.25">
      <c r="A6842" s="344" t="s">
        <v>10504</v>
      </c>
      <c r="B6842" s="345" t="s">
        <v>3941</v>
      </c>
    </row>
    <row r="6843" spans="1:2" ht="15.75" x14ac:dyDescent="0.25">
      <c r="A6843" s="344" t="s">
        <v>10505</v>
      </c>
      <c r="B6843" s="345" t="s">
        <v>3942</v>
      </c>
    </row>
    <row r="6844" spans="1:2" ht="15.75" x14ac:dyDescent="0.25">
      <c r="A6844" s="344" t="s">
        <v>10506</v>
      </c>
      <c r="B6844" s="345" t="s">
        <v>3943</v>
      </c>
    </row>
    <row r="6845" spans="1:2" ht="15.75" x14ac:dyDescent="0.25">
      <c r="A6845" s="344" t="s">
        <v>10507</v>
      </c>
      <c r="B6845" s="345" t="s">
        <v>3944</v>
      </c>
    </row>
    <row r="6846" spans="1:2" ht="15.75" x14ac:dyDescent="0.25">
      <c r="A6846" s="344" t="s">
        <v>10508</v>
      </c>
      <c r="B6846" s="345" t="s">
        <v>3945</v>
      </c>
    </row>
    <row r="6847" spans="1:2" ht="15.75" x14ac:dyDescent="0.25">
      <c r="A6847" s="344" t="s">
        <v>10509</v>
      </c>
      <c r="B6847" s="345" t="s">
        <v>3946</v>
      </c>
    </row>
    <row r="6848" spans="1:2" ht="15.75" x14ac:dyDescent="0.25">
      <c r="A6848" s="344" t="s">
        <v>10510</v>
      </c>
      <c r="B6848" s="345" t="s">
        <v>3947</v>
      </c>
    </row>
    <row r="6849" spans="1:2" ht="15.75" x14ac:dyDescent="0.25">
      <c r="A6849" s="344" t="s">
        <v>10511</v>
      </c>
      <c r="B6849" s="345" t="s">
        <v>3948</v>
      </c>
    </row>
    <row r="6850" spans="1:2" ht="15.75" x14ac:dyDescent="0.25">
      <c r="A6850" s="344" t="s">
        <v>10512</v>
      </c>
      <c r="B6850" s="345" t="s">
        <v>3949</v>
      </c>
    </row>
    <row r="6851" spans="1:2" ht="15.75" x14ac:dyDescent="0.25">
      <c r="A6851" s="344" t="s">
        <v>10513</v>
      </c>
      <c r="B6851" s="345" t="s">
        <v>3950</v>
      </c>
    </row>
    <row r="6852" spans="1:2" ht="15.75" x14ac:dyDescent="0.25">
      <c r="A6852" s="344" t="s">
        <v>10514</v>
      </c>
      <c r="B6852" s="345" t="s">
        <v>3951</v>
      </c>
    </row>
    <row r="6853" spans="1:2" ht="15.75" x14ac:dyDescent="0.25">
      <c r="A6853" s="344" t="s">
        <v>10515</v>
      </c>
      <c r="B6853" s="345" t="s">
        <v>10516</v>
      </c>
    </row>
    <row r="6854" spans="1:2" ht="15.75" x14ac:dyDescent="0.25">
      <c r="A6854" s="344" t="s">
        <v>10517</v>
      </c>
      <c r="B6854" s="345" t="s">
        <v>3952</v>
      </c>
    </row>
    <row r="6855" spans="1:2" ht="15.75" x14ac:dyDescent="0.25">
      <c r="A6855" s="344" t="s">
        <v>10518</v>
      </c>
      <c r="B6855" s="345" t="s">
        <v>3953</v>
      </c>
    </row>
    <row r="6856" spans="1:2" ht="15.75" x14ac:dyDescent="0.25">
      <c r="A6856" s="344" t="s">
        <v>10519</v>
      </c>
      <c r="B6856" s="345" t="s">
        <v>3954</v>
      </c>
    </row>
    <row r="6857" spans="1:2" ht="15.75" x14ac:dyDescent="0.25">
      <c r="A6857" s="344" t="s">
        <v>10520</v>
      </c>
      <c r="B6857" s="345" t="s">
        <v>3955</v>
      </c>
    </row>
    <row r="6858" spans="1:2" ht="15.75" x14ac:dyDescent="0.25">
      <c r="A6858" s="344" t="s">
        <v>10521</v>
      </c>
      <c r="B6858" s="345" t="s">
        <v>3956</v>
      </c>
    </row>
    <row r="6859" spans="1:2" ht="15.75" x14ac:dyDescent="0.25">
      <c r="A6859" s="344" t="s">
        <v>10522</v>
      </c>
      <c r="B6859" s="345" t="s">
        <v>3957</v>
      </c>
    </row>
    <row r="6860" spans="1:2" ht="15.75" x14ac:dyDescent="0.25">
      <c r="A6860" s="344" t="s">
        <v>10523</v>
      </c>
      <c r="B6860" s="345" t="s">
        <v>3958</v>
      </c>
    </row>
    <row r="6861" spans="1:2" ht="15.75" x14ac:dyDescent="0.25">
      <c r="A6861" s="344" t="s">
        <v>10524</v>
      </c>
      <c r="B6861" s="345" t="s">
        <v>3959</v>
      </c>
    </row>
    <row r="6862" spans="1:2" ht="15.75" x14ac:dyDescent="0.25">
      <c r="A6862" s="344" t="s">
        <v>10525</v>
      </c>
      <c r="B6862" s="345" t="s">
        <v>3960</v>
      </c>
    </row>
    <row r="6863" spans="1:2" ht="15.75" x14ac:dyDescent="0.25">
      <c r="A6863" s="344" t="s">
        <v>10526</v>
      </c>
      <c r="B6863" s="345" t="s">
        <v>3961</v>
      </c>
    </row>
    <row r="6864" spans="1:2" ht="15.75" x14ac:dyDescent="0.25">
      <c r="A6864" s="344" t="s">
        <v>10527</v>
      </c>
      <c r="B6864" s="345" t="s">
        <v>3962</v>
      </c>
    </row>
    <row r="6865" spans="1:2" ht="15.75" x14ac:dyDescent="0.25">
      <c r="A6865" s="344" t="s">
        <v>10528</v>
      </c>
      <c r="B6865" s="345" t="s">
        <v>3963</v>
      </c>
    </row>
    <row r="6866" spans="1:2" ht="15.75" x14ac:dyDescent="0.25">
      <c r="A6866" s="344" t="s">
        <v>10529</v>
      </c>
      <c r="B6866" s="345" t="s">
        <v>3964</v>
      </c>
    </row>
    <row r="6867" spans="1:2" ht="15.75" x14ac:dyDescent="0.25">
      <c r="A6867" s="344" t="s">
        <v>10530</v>
      </c>
      <c r="B6867" s="345" t="s">
        <v>3965</v>
      </c>
    </row>
    <row r="6868" spans="1:2" ht="15.75" x14ac:dyDescent="0.25">
      <c r="A6868" s="344" t="s">
        <v>10531</v>
      </c>
      <c r="B6868" s="345" t="s">
        <v>3966</v>
      </c>
    </row>
    <row r="6869" spans="1:2" ht="15.75" x14ac:dyDescent="0.25">
      <c r="A6869" s="344" t="s">
        <v>10532</v>
      </c>
      <c r="B6869" s="345" t="s">
        <v>3967</v>
      </c>
    </row>
    <row r="6870" spans="1:2" ht="15.75" x14ac:dyDescent="0.25">
      <c r="A6870" s="344" t="s">
        <v>10533</v>
      </c>
      <c r="B6870" s="345" t="s">
        <v>10534</v>
      </c>
    </row>
    <row r="6871" spans="1:2" ht="15.75" x14ac:dyDescent="0.25">
      <c r="A6871" s="344" t="s">
        <v>10535</v>
      </c>
      <c r="B6871" s="345" t="s">
        <v>3968</v>
      </c>
    </row>
    <row r="6872" spans="1:2" ht="15.75" x14ac:dyDescent="0.25">
      <c r="A6872" s="344" t="s">
        <v>10536</v>
      </c>
      <c r="B6872" s="345" t="s">
        <v>10537</v>
      </c>
    </row>
    <row r="6873" spans="1:2" ht="15.75" x14ac:dyDescent="0.25">
      <c r="A6873" s="344" t="s">
        <v>10538</v>
      </c>
      <c r="B6873" s="345" t="s">
        <v>3969</v>
      </c>
    </row>
    <row r="6874" spans="1:2" ht="15.75" x14ac:dyDescent="0.25">
      <c r="A6874" s="344" t="s">
        <v>10539</v>
      </c>
      <c r="B6874" s="345" t="s">
        <v>10540</v>
      </c>
    </row>
    <row r="6875" spans="1:2" ht="15.75" x14ac:dyDescent="0.25">
      <c r="A6875" s="344" t="s">
        <v>10541</v>
      </c>
      <c r="B6875" s="345" t="s">
        <v>3970</v>
      </c>
    </row>
    <row r="6876" spans="1:2" ht="15.75" x14ac:dyDescent="0.25">
      <c r="A6876" s="344" t="s">
        <v>10542</v>
      </c>
      <c r="B6876" s="345" t="s">
        <v>3971</v>
      </c>
    </row>
    <row r="6877" spans="1:2" ht="15.75" x14ac:dyDescent="0.25">
      <c r="A6877" s="344" t="s">
        <v>10543</v>
      </c>
      <c r="B6877" s="345" t="s">
        <v>3972</v>
      </c>
    </row>
    <row r="6878" spans="1:2" ht="15.75" x14ac:dyDescent="0.25">
      <c r="A6878" s="344" t="s">
        <v>10544</v>
      </c>
      <c r="B6878" s="345" t="s">
        <v>10545</v>
      </c>
    </row>
    <row r="6879" spans="1:2" ht="15.75" x14ac:dyDescent="0.25">
      <c r="A6879" s="344" t="s">
        <v>10546</v>
      </c>
      <c r="B6879" s="345" t="s">
        <v>10545</v>
      </c>
    </row>
    <row r="6880" spans="1:2" ht="15.75" x14ac:dyDescent="0.25">
      <c r="A6880" s="344" t="s">
        <v>10547</v>
      </c>
      <c r="B6880" s="345" t="s">
        <v>10548</v>
      </c>
    </row>
    <row r="6881" spans="1:2" ht="15.75" x14ac:dyDescent="0.25">
      <c r="A6881" s="344" t="s">
        <v>10549</v>
      </c>
      <c r="B6881" s="345" t="s">
        <v>3973</v>
      </c>
    </row>
    <row r="6882" spans="1:2" ht="15.75" x14ac:dyDescent="0.25">
      <c r="A6882" s="344" t="s">
        <v>10550</v>
      </c>
      <c r="B6882" s="345" t="s">
        <v>3974</v>
      </c>
    </row>
    <row r="6883" spans="1:2" ht="15.75" x14ac:dyDescent="0.25">
      <c r="A6883" s="344" t="s">
        <v>10551</v>
      </c>
      <c r="B6883" s="345" t="s">
        <v>3975</v>
      </c>
    </row>
    <row r="6884" spans="1:2" ht="15.75" x14ac:dyDescent="0.25">
      <c r="A6884" s="344" t="s">
        <v>10552</v>
      </c>
      <c r="B6884" s="345" t="s">
        <v>10553</v>
      </c>
    </row>
    <row r="6885" spans="1:2" ht="15.75" x14ac:dyDescent="0.25">
      <c r="A6885" s="344" t="s">
        <v>10554</v>
      </c>
      <c r="B6885" s="345" t="s">
        <v>10555</v>
      </c>
    </row>
    <row r="6886" spans="1:2" ht="15.75" x14ac:dyDescent="0.25">
      <c r="A6886" s="344" t="s">
        <v>10556</v>
      </c>
      <c r="B6886" s="345" t="s">
        <v>10557</v>
      </c>
    </row>
    <row r="6887" spans="1:2" ht="15.75" x14ac:dyDescent="0.25">
      <c r="A6887" s="344" t="s">
        <v>10558</v>
      </c>
      <c r="B6887" s="345" t="s">
        <v>3976</v>
      </c>
    </row>
    <row r="6888" spans="1:2" ht="15.75" x14ac:dyDescent="0.25">
      <c r="A6888" s="344" t="s">
        <v>10559</v>
      </c>
      <c r="B6888" s="345" t="s">
        <v>10560</v>
      </c>
    </row>
    <row r="6889" spans="1:2" ht="15.75" x14ac:dyDescent="0.25">
      <c r="A6889" s="344" t="s">
        <v>10561</v>
      </c>
      <c r="B6889" s="345" t="s">
        <v>10562</v>
      </c>
    </row>
    <row r="6890" spans="1:2" ht="15.75" x14ac:dyDescent="0.25">
      <c r="A6890" s="344" t="s">
        <v>10563</v>
      </c>
      <c r="B6890" s="345" t="s">
        <v>3977</v>
      </c>
    </row>
    <row r="6891" spans="1:2" ht="15.75" x14ac:dyDescent="0.25">
      <c r="A6891" s="344" t="s">
        <v>10564</v>
      </c>
      <c r="B6891" s="345" t="s">
        <v>3978</v>
      </c>
    </row>
    <row r="6892" spans="1:2" ht="15.75" x14ac:dyDescent="0.25">
      <c r="A6892" s="344" t="s">
        <v>10565</v>
      </c>
      <c r="B6892" s="345" t="s">
        <v>3979</v>
      </c>
    </row>
    <row r="6893" spans="1:2" ht="15.75" x14ac:dyDescent="0.25">
      <c r="A6893" s="344" t="s">
        <v>10566</v>
      </c>
      <c r="B6893" s="345" t="s">
        <v>3980</v>
      </c>
    </row>
    <row r="6894" spans="1:2" ht="15.75" x14ac:dyDescent="0.25">
      <c r="A6894" s="344" t="s">
        <v>10567</v>
      </c>
      <c r="B6894" s="345" t="s">
        <v>3981</v>
      </c>
    </row>
    <row r="6895" spans="1:2" ht="15.75" x14ac:dyDescent="0.25">
      <c r="A6895" s="344" t="s">
        <v>10568</v>
      </c>
      <c r="B6895" s="345" t="s">
        <v>3982</v>
      </c>
    </row>
    <row r="6896" spans="1:2" ht="15.75" x14ac:dyDescent="0.25">
      <c r="A6896" s="344" t="s">
        <v>10569</v>
      </c>
      <c r="B6896" s="345" t="s">
        <v>3983</v>
      </c>
    </row>
    <row r="6897" spans="1:2" ht="15.75" x14ac:dyDescent="0.25">
      <c r="A6897" s="344" t="s">
        <v>10570</v>
      </c>
      <c r="B6897" s="345" t="s">
        <v>3984</v>
      </c>
    </row>
    <row r="6898" spans="1:2" ht="15.75" x14ac:dyDescent="0.25">
      <c r="A6898" s="344" t="s">
        <v>10571</v>
      </c>
      <c r="B6898" s="345" t="s">
        <v>3985</v>
      </c>
    </row>
    <row r="6899" spans="1:2" ht="15.75" x14ac:dyDescent="0.25">
      <c r="A6899" s="344" t="s">
        <v>10572</v>
      </c>
      <c r="B6899" s="345" t="s">
        <v>3986</v>
      </c>
    </row>
    <row r="6900" spans="1:2" ht="15.75" x14ac:dyDescent="0.25">
      <c r="A6900" s="344" t="s">
        <v>10573</v>
      </c>
      <c r="B6900" s="345" t="s">
        <v>3987</v>
      </c>
    </row>
    <row r="6901" spans="1:2" ht="15.75" x14ac:dyDescent="0.25">
      <c r="A6901" s="344" t="s">
        <v>10574</v>
      </c>
      <c r="B6901" s="345" t="s">
        <v>3988</v>
      </c>
    </row>
    <row r="6902" spans="1:2" ht="15.75" x14ac:dyDescent="0.25">
      <c r="A6902" s="344" t="s">
        <v>10575</v>
      </c>
      <c r="B6902" s="345" t="s">
        <v>10419</v>
      </c>
    </row>
    <row r="6903" spans="1:2" ht="15.75" x14ac:dyDescent="0.25">
      <c r="A6903" s="344" t="s">
        <v>10576</v>
      </c>
      <c r="B6903" s="345" t="s">
        <v>3989</v>
      </c>
    </row>
    <row r="6904" spans="1:2" ht="15.75" x14ac:dyDescent="0.25">
      <c r="A6904" s="344" t="s">
        <v>10577</v>
      </c>
      <c r="B6904" s="345" t="s">
        <v>3990</v>
      </c>
    </row>
    <row r="6905" spans="1:2" ht="15.75" x14ac:dyDescent="0.25">
      <c r="A6905" s="344" t="s">
        <v>10578</v>
      </c>
      <c r="B6905" s="345" t="s">
        <v>3991</v>
      </c>
    </row>
    <row r="6906" spans="1:2" ht="15.75" x14ac:dyDescent="0.25">
      <c r="A6906" s="344" t="s">
        <v>10579</v>
      </c>
      <c r="B6906" s="345" t="s">
        <v>3992</v>
      </c>
    </row>
    <row r="6907" spans="1:2" ht="15.75" x14ac:dyDescent="0.25">
      <c r="A6907" s="344" t="s">
        <v>10580</v>
      </c>
      <c r="B6907" s="345" t="s">
        <v>3993</v>
      </c>
    </row>
    <row r="6908" spans="1:2" ht="15.75" x14ac:dyDescent="0.25">
      <c r="A6908" s="344" t="s">
        <v>10581</v>
      </c>
      <c r="B6908" s="345" t="s">
        <v>3858</v>
      </c>
    </row>
    <row r="6909" spans="1:2" ht="15.75" x14ac:dyDescent="0.25">
      <c r="A6909" s="344" t="s">
        <v>10582</v>
      </c>
      <c r="B6909" s="345" t="s">
        <v>3994</v>
      </c>
    </row>
    <row r="6910" spans="1:2" ht="15.75" x14ac:dyDescent="0.25">
      <c r="A6910" s="344" t="s">
        <v>10583</v>
      </c>
      <c r="B6910" s="345" t="s">
        <v>3995</v>
      </c>
    </row>
    <row r="6911" spans="1:2" ht="15.75" x14ac:dyDescent="0.25">
      <c r="A6911" s="344" t="s">
        <v>10584</v>
      </c>
      <c r="B6911" s="345" t="s">
        <v>3996</v>
      </c>
    </row>
    <row r="6912" spans="1:2" ht="15.75" x14ac:dyDescent="0.25">
      <c r="A6912" s="344" t="s">
        <v>10585</v>
      </c>
      <c r="B6912" s="345" t="s">
        <v>3997</v>
      </c>
    </row>
    <row r="6913" spans="1:2" ht="15.75" x14ac:dyDescent="0.25">
      <c r="A6913" s="344" t="s">
        <v>10586</v>
      </c>
      <c r="B6913" s="345" t="s">
        <v>3998</v>
      </c>
    </row>
    <row r="6914" spans="1:2" ht="15.75" x14ac:dyDescent="0.25">
      <c r="A6914" s="344" t="s">
        <v>10587</v>
      </c>
      <c r="B6914" s="345" t="s">
        <v>3999</v>
      </c>
    </row>
    <row r="6915" spans="1:2" ht="15.75" x14ac:dyDescent="0.25">
      <c r="A6915" s="344" t="s">
        <v>10588</v>
      </c>
      <c r="B6915" s="345" t="s">
        <v>4000</v>
      </c>
    </row>
    <row r="6916" spans="1:2" ht="15.75" x14ac:dyDescent="0.25">
      <c r="A6916" s="344" t="s">
        <v>10589</v>
      </c>
      <c r="B6916" s="345" t="s">
        <v>4001</v>
      </c>
    </row>
    <row r="6917" spans="1:2" ht="15.75" x14ac:dyDescent="0.25">
      <c r="A6917" s="344" t="s">
        <v>10590</v>
      </c>
      <c r="B6917" s="345" t="s">
        <v>4002</v>
      </c>
    </row>
    <row r="6918" spans="1:2" ht="15.75" x14ac:dyDescent="0.25">
      <c r="A6918" s="344" t="s">
        <v>10591</v>
      </c>
      <c r="B6918" s="345" t="s">
        <v>10592</v>
      </c>
    </row>
    <row r="6919" spans="1:2" ht="15.75" x14ac:dyDescent="0.25">
      <c r="A6919" s="344" t="s">
        <v>10593</v>
      </c>
      <c r="B6919" s="345" t="s">
        <v>4003</v>
      </c>
    </row>
    <row r="6920" spans="1:2" ht="15.75" x14ac:dyDescent="0.25">
      <c r="A6920" s="344" t="s">
        <v>10594</v>
      </c>
      <c r="B6920" s="345" t="s">
        <v>10595</v>
      </c>
    </row>
    <row r="6921" spans="1:2" ht="15.75" x14ac:dyDescent="0.25">
      <c r="A6921" s="344" t="s">
        <v>10596</v>
      </c>
      <c r="B6921" s="345" t="s">
        <v>4004</v>
      </c>
    </row>
    <row r="6922" spans="1:2" ht="15.75" x14ac:dyDescent="0.25">
      <c r="A6922" s="344" t="s">
        <v>10597</v>
      </c>
      <c r="B6922" s="345" t="s">
        <v>4005</v>
      </c>
    </row>
    <row r="6923" spans="1:2" ht="15.75" x14ac:dyDescent="0.25">
      <c r="A6923" s="344" t="s">
        <v>10598</v>
      </c>
      <c r="B6923" s="345" t="s">
        <v>4006</v>
      </c>
    </row>
    <row r="6924" spans="1:2" ht="15.75" x14ac:dyDescent="0.25">
      <c r="A6924" s="344" t="s">
        <v>10599</v>
      </c>
      <c r="B6924" s="345" t="s">
        <v>10600</v>
      </c>
    </row>
    <row r="6925" spans="1:2" ht="15.75" x14ac:dyDescent="0.25">
      <c r="A6925" s="344" t="s">
        <v>10601</v>
      </c>
      <c r="B6925" s="345" t="s">
        <v>10602</v>
      </c>
    </row>
    <row r="6926" spans="1:2" ht="15.75" x14ac:dyDescent="0.25">
      <c r="A6926" s="344" t="s">
        <v>10603</v>
      </c>
      <c r="B6926" s="345" t="s">
        <v>10604</v>
      </c>
    </row>
    <row r="6927" spans="1:2" ht="15.75" x14ac:dyDescent="0.25">
      <c r="A6927" s="344" t="s">
        <v>10605</v>
      </c>
      <c r="B6927" s="345" t="s">
        <v>4007</v>
      </c>
    </row>
    <row r="6928" spans="1:2" ht="15.75" x14ac:dyDescent="0.25">
      <c r="A6928" s="344" t="s">
        <v>10606</v>
      </c>
      <c r="B6928" s="345" t="s">
        <v>4008</v>
      </c>
    </row>
    <row r="6929" spans="1:2" ht="15.75" x14ac:dyDescent="0.25">
      <c r="A6929" s="344" t="s">
        <v>10607</v>
      </c>
      <c r="B6929" s="345" t="s">
        <v>4009</v>
      </c>
    </row>
    <row r="6930" spans="1:2" ht="15.75" x14ac:dyDescent="0.25">
      <c r="A6930" s="344" t="s">
        <v>10608</v>
      </c>
      <c r="B6930" s="345" t="s">
        <v>4010</v>
      </c>
    </row>
    <row r="6931" spans="1:2" ht="15.75" x14ac:dyDescent="0.25">
      <c r="A6931" s="344" t="s">
        <v>10609</v>
      </c>
      <c r="B6931" s="345" t="s">
        <v>4011</v>
      </c>
    </row>
    <row r="6932" spans="1:2" ht="15.75" x14ac:dyDescent="0.25">
      <c r="A6932" s="344" t="s">
        <v>10610</v>
      </c>
      <c r="B6932" s="345" t="s">
        <v>4012</v>
      </c>
    </row>
    <row r="6933" spans="1:2" ht="15.75" x14ac:dyDescent="0.25">
      <c r="A6933" s="344" t="s">
        <v>10611</v>
      </c>
      <c r="B6933" s="345" t="s">
        <v>4013</v>
      </c>
    </row>
    <row r="6934" spans="1:2" ht="15.75" x14ac:dyDescent="0.25">
      <c r="A6934" s="344" t="s">
        <v>10612</v>
      </c>
      <c r="B6934" s="345" t="s">
        <v>4014</v>
      </c>
    </row>
    <row r="6935" spans="1:2" ht="15.75" x14ac:dyDescent="0.25">
      <c r="A6935" s="344" t="s">
        <v>10613</v>
      </c>
      <c r="B6935" s="345" t="s">
        <v>4015</v>
      </c>
    </row>
    <row r="6936" spans="1:2" ht="15.75" x14ac:dyDescent="0.25">
      <c r="A6936" s="344" t="s">
        <v>10614</v>
      </c>
      <c r="B6936" s="345" t="s">
        <v>4016</v>
      </c>
    </row>
    <row r="6937" spans="1:2" ht="15.75" x14ac:dyDescent="0.25">
      <c r="A6937" s="344" t="s">
        <v>10615</v>
      </c>
      <c r="B6937" s="345" t="s">
        <v>4017</v>
      </c>
    </row>
    <row r="6938" spans="1:2" ht="15.75" x14ac:dyDescent="0.25">
      <c r="A6938" s="344" t="s">
        <v>10616</v>
      </c>
      <c r="B6938" s="345" t="s">
        <v>4018</v>
      </c>
    </row>
    <row r="6939" spans="1:2" ht="15.75" x14ac:dyDescent="0.25">
      <c r="A6939" s="344" t="s">
        <v>10617</v>
      </c>
      <c r="B6939" s="345" t="s">
        <v>4019</v>
      </c>
    </row>
    <row r="6940" spans="1:2" ht="15.75" x14ac:dyDescent="0.25">
      <c r="A6940" s="344" t="s">
        <v>10618</v>
      </c>
      <c r="B6940" s="345" t="s">
        <v>4020</v>
      </c>
    </row>
    <row r="6941" spans="1:2" ht="15.75" x14ac:dyDescent="0.25">
      <c r="A6941" s="344" t="s">
        <v>10619</v>
      </c>
      <c r="B6941" s="345" t="s">
        <v>4021</v>
      </c>
    </row>
    <row r="6942" spans="1:2" ht="15.75" x14ac:dyDescent="0.25">
      <c r="A6942" s="344" t="s">
        <v>10620</v>
      </c>
      <c r="B6942" s="345" t="s">
        <v>4022</v>
      </c>
    </row>
    <row r="6943" spans="1:2" ht="15.75" x14ac:dyDescent="0.25">
      <c r="A6943" s="344" t="s">
        <v>10621</v>
      </c>
      <c r="B6943" s="345" t="s">
        <v>4023</v>
      </c>
    </row>
    <row r="6944" spans="1:2" ht="15.75" x14ac:dyDescent="0.25">
      <c r="A6944" s="344" t="s">
        <v>10622</v>
      </c>
      <c r="B6944" s="345" t="s">
        <v>10623</v>
      </c>
    </row>
    <row r="6945" spans="1:2" ht="15.75" x14ac:dyDescent="0.25">
      <c r="A6945" s="344" t="s">
        <v>10624</v>
      </c>
      <c r="B6945" s="345" t="s">
        <v>4024</v>
      </c>
    </row>
    <row r="6946" spans="1:2" ht="15.75" x14ac:dyDescent="0.25">
      <c r="A6946" s="344" t="s">
        <v>10625</v>
      </c>
      <c r="B6946" s="345" t="s">
        <v>4025</v>
      </c>
    </row>
    <row r="6947" spans="1:2" ht="15.75" x14ac:dyDescent="0.25">
      <c r="A6947" s="344" t="s">
        <v>10626</v>
      </c>
      <c r="B6947" s="345" t="s">
        <v>4026</v>
      </c>
    </row>
    <row r="6948" spans="1:2" ht="15.75" x14ac:dyDescent="0.25">
      <c r="A6948" s="344" t="s">
        <v>10627</v>
      </c>
      <c r="B6948" s="345" t="s">
        <v>4027</v>
      </c>
    </row>
    <row r="6949" spans="1:2" ht="15.75" x14ac:dyDescent="0.25">
      <c r="A6949" s="344" t="s">
        <v>10628</v>
      </c>
      <c r="B6949" s="345" t="s">
        <v>4028</v>
      </c>
    </row>
    <row r="6950" spans="1:2" ht="15.75" x14ac:dyDescent="0.25">
      <c r="A6950" s="344" t="s">
        <v>10629</v>
      </c>
      <c r="B6950" s="345" t="s">
        <v>4029</v>
      </c>
    </row>
    <row r="6951" spans="1:2" ht="15.75" x14ac:dyDescent="0.25">
      <c r="A6951" s="344" t="s">
        <v>10630</v>
      </c>
      <c r="B6951" s="345" t="s">
        <v>4030</v>
      </c>
    </row>
    <row r="6952" spans="1:2" ht="15.75" x14ac:dyDescent="0.25">
      <c r="A6952" s="344" t="s">
        <v>10631</v>
      </c>
      <c r="B6952" s="345" t="s">
        <v>4031</v>
      </c>
    </row>
    <row r="6953" spans="1:2" ht="15.75" x14ac:dyDescent="0.25">
      <c r="A6953" s="344" t="s">
        <v>10632</v>
      </c>
      <c r="B6953" s="345" t="s">
        <v>3269</v>
      </c>
    </row>
    <row r="6954" spans="1:2" ht="15.75" x14ac:dyDescent="0.25">
      <c r="A6954" s="344" t="s">
        <v>10633</v>
      </c>
      <c r="B6954" s="345" t="s">
        <v>4032</v>
      </c>
    </row>
    <row r="6955" spans="1:2" ht="15.75" x14ac:dyDescent="0.25">
      <c r="A6955" s="344" t="s">
        <v>10634</v>
      </c>
      <c r="B6955" s="345" t="s">
        <v>4033</v>
      </c>
    </row>
    <row r="6956" spans="1:2" ht="15.75" x14ac:dyDescent="0.25">
      <c r="A6956" s="344" t="s">
        <v>10635</v>
      </c>
      <c r="B6956" s="345" t="s">
        <v>4034</v>
      </c>
    </row>
    <row r="6957" spans="1:2" ht="15.75" x14ac:dyDescent="0.25">
      <c r="A6957" s="344" t="s">
        <v>10636</v>
      </c>
      <c r="B6957" s="345" t="s">
        <v>4035</v>
      </c>
    </row>
    <row r="6958" spans="1:2" ht="15.75" x14ac:dyDescent="0.25">
      <c r="A6958" s="344" t="s">
        <v>10637</v>
      </c>
      <c r="B6958" s="345" t="s">
        <v>4036</v>
      </c>
    </row>
    <row r="6959" spans="1:2" ht="15.75" x14ac:dyDescent="0.25">
      <c r="A6959" s="344" t="s">
        <v>10638</v>
      </c>
      <c r="B6959" s="345" t="s">
        <v>4037</v>
      </c>
    </row>
    <row r="6960" spans="1:2" ht="15.75" x14ac:dyDescent="0.25">
      <c r="A6960" s="344" t="s">
        <v>10639</v>
      </c>
      <c r="B6960" s="345" t="s">
        <v>4038</v>
      </c>
    </row>
    <row r="6961" spans="1:2" ht="15.75" x14ac:dyDescent="0.25">
      <c r="A6961" s="344" t="s">
        <v>10640</v>
      </c>
      <c r="B6961" s="345" t="s">
        <v>4039</v>
      </c>
    </row>
    <row r="6962" spans="1:2" ht="15.75" x14ac:dyDescent="0.25">
      <c r="A6962" s="344" t="s">
        <v>10641</v>
      </c>
      <c r="B6962" s="345" t="s">
        <v>4040</v>
      </c>
    </row>
    <row r="6963" spans="1:2" ht="15.75" x14ac:dyDescent="0.25">
      <c r="A6963" s="344" t="s">
        <v>10642</v>
      </c>
      <c r="B6963" s="345" t="s">
        <v>4041</v>
      </c>
    </row>
    <row r="6964" spans="1:2" ht="15.75" x14ac:dyDescent="0.25">
      <c r="A6964" s="344" t="s">
        <v>10643</v>
      </c>
      <c r="B6964" s="345" t="s">
        <v>4042</v>
      </c>
    </row>
    <row r="6965" spans="1:2" ht="15.75" x14ac:dyDescent="0.25">
      <c r="A6965" s="344" t="s">
        <v>10644</v>
      </c>
      <c r="B6965" s="345" t="s">
        <v>4043</v>
      </c>
    </row>
    <row r="6966" spans="1:2" ht="15.75" x14ac:dyDescent="0.25">
      <c r="A6966" s="344" t="s">
        <v>10645</v>
      </c>
      <c r="B6966" s="345" t="s">
        <v>4044</v>
      </c>
    </row>
    <row r="6967" spans="1:2" ht="15.75" x14ac:dyDescent="0.25">
      <c r="A6967" s="344" t="s">
        <v>10646</v>
      </c>
      <c r="B6967" s="345" t="s">
        <v>4045</v>
      </c>
    </row>
    <row r="6968" spans="1:2" ht="15.75" x14ac:dyDescent="0.25">
      <c r="A6968" s="344" t="s">
        <v>10647</v>
      </c>
      <c r="B6968" s="345" t="s">
        <v>4046</v>
      </c>
    </row>
    <row r="6969" spans="1:2" ht="15.75" x14ac:dyDescent="0.25">
      <c r="A6969" s="344" t="s">
        <v>10648</v>
      </c>
      <c r="B6969" s="345" t="s">
        <v>10649</v>
      </c>
    </row>
    <row r="6970" spans="1:2" ht="15.75" x14ac:dyDescent="0.25">
      <c r="A6970" s="344" t="s">
        <v>10650</v>
      </c>
      <c r="B6970" s="345" t="s">
        <v>10651</v>
      </c>
    </row>
    <row r="6971" spans="1:2" ht="15.75" x14ac:dyDescent="0.25">
      <c r="A6971" s="344" t="s">
        <v>10652</v>
      </c>
      <c r="B6971" s="345" t="s">
        <v>3805</v>
      </c>
    </row>
    <row r="6972" spans="1:2" ht="15.75" x14ac:dyDescent="0.25">
      <c r="A6972" s="344" t="s">
        <v>10653</v>
      </c>
      <c r="B6972" s="345" t="s">
        <v>10654</v>
      </c>
    </row>
    <row r="6973" spans="1:2" ht="15.75" x14ac:dyDescent="0.25">
      <c r="A6973" s="344" t="s">
        <v>10655</v>
      </c>
      <c r="B6973" s="345" t="s">
        <v>10656</v>
      </c>
    </row>
    <row r="6974" spans="1:2" ht="15.75" x14ac:dyDescent="0.25">
      <c r="A6974" s="344" t="s">
        <v>10657</v>
      </c>
      <c r="B6974" s="345" t="s">
        <v>10658</v>
      </c>
    </row>
    <row r="6975" spans="1:2" ht="15.75" x14ac:dyDescent="0.25">
      <c r="A6975" s="344" t="s">
        <v>10659</v>
      </c>
      <c r="B6975" s="345" t="s">
        <v>10660</v>
      </c>
    </row>
    <row r="6976" spans="1:2" ht="15.75" x14ac:dyDescent="0.25">
      <c r="A6976" s="344" t="s">
        <v>10661</v>
      </c>
      <c r="B6976" s="345" t="s">
        <v>10662</v>
      </c>
    </row>
    <row r="6977" spans="1:2" ht="15.75" x14ac:dyDescent="0.25">
      <c r="A6977" s="344" t="s">
        <v>10663</v>
      </c>
      <c r="B6977" s="345" t="s">
        <v>10664</v>
      </c>
    </row>
    <row r="6978" spans="1:2" ht="15.75" x14ac:dyDescent="0.25">
      <c r="A6978" s="344" t="s">
        <v>10665</v>
      </c>
      <c r="B6978" s="345" t="s">
        <v>10666</v>
      </c>
    </row>
    <row r="6979" spans="1:2" ht="15.75" x14ac:dyDescent="0.25">
      <c r="A6979" s="344" t="s">
        <v>10667</v>
      </c>
      <c r="B6979" s="345" t="s">
        <v>10668</v>
      </c>
    </row>
    <row r="6980" spans="1:2" ht="15.75" x14ac:dyDescent="0.25">
      <c r="A6980" s="344" t="s">
        <v>10669</v>
      </c>
      <c r="B6980" s="345" t="s">
        <v>10670</v>
      </c>
    </row>
    <row r="6981" spans="1:2" ht="15.75" x14ac:dyDescent="0.25">
      <c r="A6981" s="344" t="s">
        <v>10671</v>
      </c>
      <c r="B6981" s="345" t="s">
        <v>10672</v>
      </c>
    </row>
    <row r="6982" spans="1:2" ht="15.75" x14ac:dyDescent="0.25">
      <c r="A6982" s="344" t="s">
        <v>10673</v>
      </c>
      <c r="B6982" s="345" t="s">
        <v>10674</v>
      </c>
    </row>
    <row r="6983" spans="1:2" ht="15.75" x14ac:dyDescent="0.25">
      <c r="A6983" s="344" t="s">
        <v>10675</v>
      </c>
      <c r="B6983" s="345" t="s">
        <v>10676</v>
      </c>
    </row>
    <row r="6984" spans="1:2" ht="15.75" x14ac:dyDescent="0.25">
      <c r="A6984" s="344" t="s">
        <v>10677</v>
      </c>
      <c r="B6984" s="345" t="s">
        <v>10678</v>
      </c>
    </row>
    <row r="6985" spans="1:2" ht="15.75" x14ac:dyDescent="0.25">
      <c r="A6985" s="344" t="s">
        <v>10679</v>
      </c>
      <c r="B6985" s="345" t="s">
        <v>10680</v>
      </c>
    </row>
    <row r="6986" spans="1:2" ht="15.75" x14ac:dyDescent="0.25">
      <c r="A6986" s="344" t="s">
        <v>10681</v>
      </c>
      <c r="B6986" s="345" t="s">
        <v>10682</v>
      </c>
    </row>
    <row r="6987" spans="1:2" ht="15.75" x14ac:dyDescent="0.25">
      <c r="A6987" s="344" t="s">
        <v>10683</v>
      </c>
      <c r="B6987" s="345" t="s">
        <v>10684</v>
      </c>
    </row>
    <row r="6988" spans="1:2" ht="15.75" x14ac:dyDescent="0.25">
      <c r="A6988" s="344" t="s">
        <v>10685</v>
      </c>
      <c r="B6988" s="345" t="s">
        <v>10686</v>
      </c>
    </row>
    <row r="6989" spans="1:2" ht="15.75" x14ac:dyDescent="0.25">
      <c r="A6989" s="344" t="s">
        <v>10687</v>
      </c>
      <c r="B6989" s="345" t="s">
        <v>10688</v>
      </c>
    </row>
    <row r="6990" spans="1:2" ht="15.75" x14ac:dyDescent="0.25">
      <c r="A6990" s="344" t="s">
        <v>10689</v>
      </c>
      <c r="B6990" s="345" t="s">
        <v>10690</v>
      </c>
    </row>
    <row r="6991" spans="1:2" ht="15.75" x14ac:dyDescent="0.25">
      <c r="A6991" s="344" t="s">
        <v>10691</v>
      </c>
      <c r="B6991" s="345" t="s">
        <v>10692</v>
      </c>
    </row>
    <row r="6992" spans="1:2" ht="15.75" x14ac:dyDescent="0.25">
      <c r="A6992" s="344" t="s">
        <v>10693</v>
      </c>
      <c r="B6992" s="345" t="s">
        <v>10694</v>
      </c>
    </row>
    <row r="6993" spans="1:2" ht="15.75" x14ac:dyDescent="0.25">
      <c r="A6993" s="344" t="s">
        <v>10695</v>
      </c>
      <c r="B6993" s="345" t="s">
        <v>10696</v>
      </c>
    </row>
    <row r="6994" spans="1:2" ht="15.75" x14ac:dyDescent="0.25">
      <c r="A6994" s="344" t="s">
        <v>10697</v>
      </c>
      <c r="B6994" s="345" t="s">
        <v>10698</v>
      </c>
    </row>
    <row r="6995" spans="1:2" ht="15.75" x14ac:dyDescent="0.25">
      <c r="A6995" s="344" t="s">
        <v>10699</v>
      </c>
      <c r="B6995" s="345" t="s">
        <v>10700</v>
      </c>
    </row>
    <row r="6996" spans="1:2" ht="15.75" x14ac:dyDescent="0.25">
      <c r="A6996" s="344" t="s">
        <v>10701</v>
      </c>
      <c r="B6996" s="345" t="s">
        <v>10702</v>
      </c>
    </row>
    <row r="6997" spans="1:2" ht="15.75" x14ac:dyDescent="0.25">
      <c r="A6997" s="344" t="s">
        <v>10703</v>
      </c>
      <c r="B6997" s="345" t="s">
        <v>10704</v>
      </c>
    </row>
    <row r="6998" spans="1:2" ht="15.75" x14ac:dyDescent="0.25">
      <c r="A6998" s="344" t="s">
        <v>10705</v>
      </c>
      <c r="B6998" s="345" t="s">
        <v>10706</v>
      </c>
    </row>
    <row r="6999" spans="1:2" ht="15.75" x14ac:dyDescent="0.25">
      <c r="A6999" s="344" t="s">
        <v>10707</v>
      </c>
      <c r="B6999" s="345" t="s">
        <v>10708</v>
      </c>
    </row>
    <row r="7000" spans="1:2" ht="15.75" x14ac:dyDescent="0.25">
      <c r="A7000" s="344" t="s">
        <v>10709</v>
      </c>
      <c r="B7000" s="345" t="s">
        <v>10710</v>
      </c>
    </row>
    <row r="7001" spans="1:2" ht="15.75" x14ac:dyDescent="0.25">
      <c r="A7001" s="344" t="s">
        <v>10711</v>
      </c>
      <c r="B7001" s="345" t="s">
        <v>10712</v>
      </c>
    </row>
    <row r="7002" spans="1:2" ht="15.75" x14ac:dyDescent="0.25">
      <c r="A7002" s="344" t="s">
        <v>10713</v>
      </c>
      <c r="B7002" s="345" t="s">
        <v>10714</v>
      </c>
    </row>
    <row r="7003" spans="1:2" ht="15.75" x14ac:dyDescent="0.25">
      <c r="A7003" s="344" t="s">
        <v>10715</v>
      </c>
      <c r="B7003" s="345" t="s">
        <v>10716</v>
      </c>
    </row>
    <row r="7004" spans="1:2" ht="15.75" x14ac:dyDescent="0.25">
      <c r="A7004" s="344" t="s">
        <v>10717</v>
      </c>
      <c r="B7004" s="345" t="s">
        <v>10718</v>
      </c>
    </row>
    <row r="7005" spans="1:2" ht="15.75" x14ac:dyDescent="0.25">
      <c r="A7005" s="344" t="s">
        <v>10719</v>
      </c>
      <c r="B7005" s="345" t="s">
        <v>10720</v>
      </c>
    </row>
    <row r="7006" spans="1:2" ht="15.75" x14ac:dyDescent="0.25">
      <c r="A7006" s="344" t="s">
        <v>10721</v>
      </c>
      <c r="B7006" s="345" t="s">
        <v>10722</v>
      </c>
    </row>
    <row r="7007" spans="1:2" ht="15.75" x14ac:dyDescent="0.25">
      <c r="A7007" s="344" t="s">
        <v>10723</v>
      </c>
      <c r="B7007" s="345" t="s">
        <v>10724</v>
      </c>
    </row>
    <row r="7008" spans="1:2" ht="15.75" x14ac:dyDescent="0.25">
      <c r="A7008" s="344" t="s">
        <v>10725</v>
      </c>
      <c r="B7008" s="345" t="s">
        <v>10726</v>
      </c>
    </row>
    <row r="7009" spans="1:2" ht="15.75" x14ac:dyDescent="0.25">
      <c r="A7009" s="344" t="s">
        <v>10727</v>
      </c>
      <c r="B7009" s="345" t="s">
        <v>10728</v>
      </c>
    </row>
    <row r="7010" spans="1:2" ht="15.75" x14ac:dyDescent="0.25">
      <c r="A7010" s="344" t="s">
        <v>10729</v>
      </c>
      <c r="B7010" s="345" t="s">
        <v>10730</v>
      </c>
    </row>
    <row r="7011" spans="1:2" ht="15.75" x14ac:dyDescent="0.25">
      <c r="A7011" s="344" t="s">
        <v>10731</v>
      </c>
      <c r="B7011" s="345" t="s">
        <v>10732</v>
      </c>
    </row>
    <row r="7012" spans="1:2" ht="15.75" x14ac:dyDescent="0.25">
      <c r="A7012" s="344" t="s">
        <v>10733</v>
      </c>
      <c r="B7012" s="345" t="s">
        <v>10734</v>
      </c>
    </row>
    <row r="7013" spans="1:2" ht="15.75" x14ac:dyDescent="0.25">
      <c r="A7013" s="344" t="s">
        <v>10735</v>
      </c>
      <c r="B7013" s="345" t="s">
        <v>10736</v>
      </c>
    </row>
    <row r="7014" spans="1:2" ht="15.75" x14ac:dyDescent="0.25">
      <c r="A7014" s="344" t="s">
        <v>10737</v>
      </c>
      <c r="B7014" s="345" t="s">
        <v>10738</v>
      </c>
    </row>
    <row r="7015" spans="1:2" ht="15.75" x14ac:dyDescent="0.25">
      <c r="A7015" s="344" t="s">
        <v>10739</v>
      </c>
      <c r="B7015" s="345" t="s">
        <v>10740</v>
      </c>
    </row>
    <row r="7016" spans="1:2" ht="15.75" x14ac:dyDescent="0.25">
      <c r="A7016" s="344" t="s">
        <v>10741</v>
      </c>
      <c r="B7016" s="345" t="s">
        <v>10742</v>
      </c>
    </row>
    <row r="7017" spans="1:2" ht="15.75" x14ac:dyDescent="0.25">
      <c r="A7017" s="344" t="s">
        <v>10743</v>
      </c>
      <c r="B7017" s="345" t="s">
        <v>10744</v>
      </c>
    </row>
    <row r="7018" spans="1:2" ht="15.75" x14ac:dyDescent="0.25">
      <c r="A7018" s="344" t="s">
        <v>10745</v>
      </c>
      <c r="B7018" s="345" t="s">
        <v>10746</v>
      </c>
    </row>
    <row r="7019" spans="1:2" ht="15.75" x14ac:dyDescent="0.25">
      <c r="A7019" s="344" t="s">
        <v>10747</v>
      </c>
      <c r="B7019" s="345" t="s">
        <v>10748</v>
      </c>
    </row>
    <row r="7020" spans="1:2" ht="15.75" x14ac:dyDescent="0.25">
      <c r="A7020" s="344" t="s">
        <v>10749</v>
      </c>
      <c r="B7020" s="345" t="s">
        <v>10750</v>
      </c>
    </row>
    <row r="7021" spans="1:2" ht="15.75" x14ac:dyDescent="0.25">
      <c r="A7021" s="344" t="s">
        <v>10751</v>
      </c>
      <c r="B7021" s="345" t="s">
        <v>10752</v>
      </c>
    </row>
    <row r="7022" spans="1:2" ht="15.75" x14ac:dyDescent="0.25">
      <c r="A7022" s="344" t="s">
        <v>10753</v>
      </c>
      <c r="B7022" s="345" t="s">
        <v>10754</v>
      </c>
    </row>
    <row r="7023" spans="1:2" ht="15.75" x14ac:dyDescent="0.25">
      <c r="A7023" s="344" t="s">
        <v>10755</v>
      </c>
      <c r="B7023" s="345" t="s">
        <v>10756</v>
      </c>
    </row>
    <row r="7024" spans="1:2" ht="15.75" x14ac:dyDescent="0.25">
      <c r="A7024" s="344" t="s">
        <v>10757</v>
      </c>
      <c r="B7024" s="345" t="s">
        <v>10758</v>
      </c>
    </row>
    <row r="7025" spans="1:2" ht="15.75" x14ac:dyDescent="0.25">
      <c r="A7025" s="344" t="s">
        <v>10759</v>
      </c>
      <c r="B7025" s="345" t="s">
        <v>10760</v>
      </c>
    </row>
    <row r="7026" spans="1:2" ht="15.75" x14ac:dyDescent="0.25">
      <c r="A7026" s="344" t="s">
        <v>10761</v>
      </c>
      <c r="B7026" s="345" t="s">
        <v>10762</v>
      </c>
    </row>
    <row r="7027" spans="1:2" ht="15.75" x14ac:dyDescent="0.25">
      <c r="A7027" s="344" t="s">
        <v>10763</v>
      </c>
      <c r="B7027" s="345" t="s">
        <v>10764</v>
      </c>
    </row>
    <row r="7028" spans="1:2" ht="15.75" x14ac:dyDescent="0.25">
      <c r="A7028" s="344" t="s">
        <v>10765</v>
      </c>
      <c r="B7028" s="345" t="s">
        <v>10766</v>
      </c>
    </row>
    <row r="7029" spans="1:2" ht="15.75" x14ac:dyDescent="0.25">
      <c r="A7029" s="344" t="s">
        <v>10767</v>
      </c>
      <c r="B7029" s="345" t="s">
        <v>10768</v>
      </c>
    </row>
    <row r="7030" spans="1:2" ht="15.75" x14ac:dyDescent="0.25">
      <c r="A7030" s="344" t="s">
        <v>10769</v>
      </c>
      <c r="B7030" s="345" t="s">
        <v>10770</v>
      </c>
    </row>
    <row r="7031" spans="1:2" ht="15.75" x14ac:dyDescent="0.25">
      <c r="A7031" s="344" t="s">
        <v>10771</v>
      </c>
      <c r="B7031" s="345" t="s">
        <v>10772</v>
      </c>
    </row>
    <row r="7032" spans="1:2" ht="15.75" x14ac:dyDescent="0.25">
      <c r="A7032" s="344" t="s">
        <v>10773</v>
      </c>
      <c r="B7032" s="345" t="s">
        <v>10774</v>
      </c>
    </row>
    <row r="7033" spans="1:2" ht="15.75" x14ac:dyDescent="0.25">
      <c r="A7033" s="344" t="s">
        <v>10775</v>
      </c>
      <c r="B7033" s="345" t="s">
        <v>10776</v>
      </c>
    </row>
    <row r="7034" spans="1:2" ht="15.75" x14ac:dyDescent="0.25">
      <c r="A7034" s="344" t="s">
        <v>10777</v>
      </c>
      <c r="B7034" s="345" t="s">
        <v>10778</v>
      </c>
    </row>
    <row r="7035" spans="1:2" ht="15.75" x14ac:dyDescent="0.25">
      <c r="A7035" s="344" t="s">
        <v>10779</v>
      </c>
      <c r="B7035" s="345" t="s">
        <v>10780</v>
      </c>
    </row>
    <row r="7036" spans="1:2" ht="15.75" x14ac:dyDescent="0.25">
      <c r="A7036" s="344" t="s">
        <v>10781</v>
      </c>
      <c r="B7036" s="345" t="s">
        <v>10782</v>
      </c>
    </row>
    <row r="7037" spans="1:2" ht="15.75" x14ac:dyDescent="0.25">
      <c r="A7037" s="344" t="s">
        <v>10783</v>
      </c>
      <c r="B7037" s="345" t="s">
        <v>10784</v>
      </c>
    </row>
    <row r="7038" spans="1:2" ht="15.75" x14ac:dyDescent="0.25">
      <c r="A7038" s="344" t="s">
        <v>10785</v>
      </c>
      <c r="B7038" s="345" t="s">
        <v>10786</v>
      </c>
    </row>
    <row r="7039" spans="1:2" ht="15.75" x14ac:dyDescent="0.25">
      <c r="A7039" s="344" t="s">
        <v>10787</v>
      </c>
      <c r="B7039" s="345" t="s">
        <v>10788</v>
      </c>
    </row>
    <row r="7040" spans="1:2" ht="15.75" x14ac:dyDescent="0.25">
      <c r="A7040" s="344" t="s">
        <v>10789</v>
      </c>
      <c r="B7040" s="345" t="s">
        <v>10790</v>
      </c>
    </row>
    <row r="7041" spans="1:2" ht="15.75" x14ac:dyDescent="0.25">
      <c r="A7041" s="344" t="s">
        <v>10791</v>
      </c>
      <c r="B7041" s="345" t="s">
        <v>10792</v>
      </c>
    </row>
    <row r="7042" spans="1:2" ht="15.75" x14ac:dyDescent="0.25">
      <c r="A7042" s="344" t="s">
        <v>10793</v>
      </c>
      <c r="B7042" s="345" t="s">
        <v>10794</v>
      </c>
    </row>
    <row r="7043" spans="1:2" ht="15.75" x14ac:dyDescent="0.25">
      <c r="A7043" s="344" t="s">
        <v>10795</v>
      </c>
      <c r="B7043" s="345" t="s">
        <v>10796</v>
      </c>
    </row>
    <row r="7044" spans="1:2" ht="15.75" x14ac:dyDescent="0.25">
      <c r="A7044" s="344" t="s">
        <v>10797</v>
      </c>
      <c r="B7044" s="345" t="s">
        <v>10798</v>
      </c>
    </row>
    <row r="7045" spans="1:2" ht="15.75" x14ac:dyDescent="0.25">
      <c r="A7045" s="344" t="s">
        <v>10799</v>
      </c>
      <c r="B7045" s="345" t="s">
        <v>10800</v>
      </c>
    </row>
    <row r="7046" spans="1:2" ht="15.75" x14ac:dyDescent="0.25">
      <c r="A7046" s="344" t="s">
        <v>10801</v>
      </c>
      <c r="B7046" s="345" t="s">
        <v>10802</v>
      </c>
    </row>
    <row r="7047" spans="1:2" ht="15.75" x14ac:dyDescent="0.25">
      <c r="A7047" s="344" t="s">
        <v>10803</v>
      </c>
      <c r="B7047" s="345" t="s">
        <v>10804</v>
      </c>
    </row>
    <row r="7048" spans="1:2" ht="15.75" x14ac:dyDescent="0.25">
      <c r="A7048" s="344" t="s">
        <v>10805</v>
      </c>
      <c r="B7048" s="345" t="s">
        <v>10806</v>
      </c>
    </row>
    <row r="7049" spans="1:2" ht="15.75" x14ac:dyDescent="0.25">
      <c r="A7049" s="344" t="s">
        <v>10807</v>
      </c>
      <c r="B7049" s="345" t="s">
        <v>10808</v>
      </c>
    </row>
    <row r="7050" spans="1:2" ht="15.75" x14ac:dyDescent="0.25">
      <c r="A7050" s="344" t="s">
        <v>10809</v>
      </c>
      <c r="B7050" s="345" t="s">
        <v>10810</v>
      </c>
    </row>
    <row r="7051" spans="1:2" ht="15.75" x14ac:dyDescent="0.25">
      <c r="A7051" s="344" t="s">
        <v>10811</v>
      </c>
      <c r="B7051" s="345" t="s">
        <v>10812</v>
      </c>
    </row>
    <row r="7052" spans="1:2" ht="15.75" x14ac:dyDescent="0.25">
      <c r="A7052" s="344" t="s">
        <v>10813</v>
      </c>
      <c r="B7052" s="345" t="s">
        <v>10804</v>
      </c>
    </row>
    <row r="7053" spans="1:2" ht="15.75" x14ac:dyDescent="0.25">
      <c r="A7053" s="344" t="s">
        <v>10814</v>
      </c>
      <c r="B7053" s="345" t="s">
        <v>10815</v>
      </c>
    </row>
    <row r="7054" spans="1:2" ht="15.75" x14ac:dyDescent="0.25">
      <c r="A7054" s="344" t="s">
        <v>10816</v>
      </c>
      <c r="B7054" s="345" t="s">
        <v>10817</v>
      </c>
    </row>
    <row r="7055" spans="1:2" ht="15.75" x14ac:dyDescent="0.25">
      <c r="A7055" s="344" t="s">
        <v>10818</v>
      </c>
      <c r="B7055" s="345" t="s">
        <v>10819</v>
      </c>
    </row>
    <row r="7056" spans="1:2" ht="15.75" x14ac:dyDescent="0.25">
      <c r="A7056" s="344" t="s">
        <v>10820</v>
      </c>
      <c r="B7056" s="345" t="s">
        <v>10821</v>
      </c>
    </row>
    <row r="7057" spans="1:2" ht="15.75" x14ac:dyDescent="0.25">
      <c r="A7057" s="344" t="s">
        <v>10822</v>
      </c>
      <c r="B7057" s="345" t="s">
        <v>10823</v>
      </c>
    </row>
    <row r="7058" spans="1:2" ht="15.75" x14ac:dyDescent="0.25">
      <c r="A7058" s="344" t="s">
        <v>10824</v>
      </c>
      <c r="B7058" s="345" t="s">
        <v>10825</v>
      </c>
    </row>
    <row r="7059" spans="1:2" ht="15.75" x14ac:dyDescent="0.25">
      <c r="A7059" s="344" t="s">
        <v>10826</v>
      </c>
      <c r="B7059" s="345" t="s">
        <v>10827</v>
      </c>
    </row>
    <row r="7060" spans="1:2" ht="15.75" x14ac:dyDescent="0.25">
      <c r="A7060" s="344" t="s">
        <v>10828</v>
      </c>
      <c r="B7060" s="345" t="s">
        <v>10829</v>
      </c>
    </row>
    <row r="7061" spans="1:2" ht="15.75" x14ac:dyDescent="0.25">
      <c r="A7061" s="344" t="s">
        <v>10830</v>
      </c>
      <c r="B7061" s="345" t="s">
        <v>10831</v>
      </c>
    </row>
    <row r="7062" spans="1:2" ht="15.75" x14ac:dyDescent="0.25">
      <c r="A7062" s="344" t="s">
        <v>10832</v>
      </c>
      <c r="B7062" s="345" t="s">
        <v>10833</v>
      </c>
    </row>
    <row r="7063" spans="1:2" ht="15.75" x14ac:dyDescent="0.25">
      <c r="A7063" s="344" t="s">
        <v>10834</v>
      </c>
      <c r="B7063" s="345" t="s">
        <v>10835</v>
      </c>
    </row>
    <row r="7064" spans="1:2" ht="15.75" x14ac:dyDescent="0.25">
      <c r="A7064" s="344" t="s">
        <v>10836</v>
      </c>
      <c r="B7064" s="345" t="s">
        <v>10837</v>
      </c>
    </row>
    <row r="7065" spans="1:2" ht="15.75" x14ac:dyDescent="0.25">
      <c r="A7065" s="344" t="s">
        <v>10838</v>
      </c>
      <c r="B7065" s="345" t="s">
        <v>10839</v>
      </c>
    </row>
    <row r="7066" spans="1:2" ht="15.75" x14ac:dyDescent="0.25">
      <c r="A7066" s="344" t="s">
        <v>10840</v>
      </c>
      <c r="B7066" s="345" t="s">
        <v>10841</v>
      </c>
    </row>
    <row r="7067" spans="1:2" ht="15.75" x14ac:dyDescent="0.25">
      <c r="A7067" s="344" t="s">
        <v>10842</v>
      </c>
      <c r="B7067" s="345" t="s">
        <v>10843</v>
      </c>
    </row>
    <row r="7068" spans="1:2" ht="15.75" x14ac:dyDescent="0.25">
      <c r="A7068" s="344" t="s">
        <v>10844</v>
      </c>
      <c r="B7068" s="345" t="s">
        <v>10845</v>
      </c>
    </row>
    <row r="7069" spans="1:2" ht="15.75" x14ac:dyDescent="0.25">
      <c r="A7069" s="344" t="s">
        <v>10846</v>
      </c>
      <c r="B7069" s="345" t="s">
        <v>10847</v>
      </c>
    </row>
    <row r="7070" spans="1:2" ht="15.75" x14ac:dyDescent="0.25">
      <c r="A7070" s="344" t="s">
        <v>10848</v>
      </c>
      <c r="B7070" s="345" t="s">
        <v>10849</v>
      </c>
    </row>
    <row r="7071" spans="1:2" ht="15.75" x14ac:dyDescent="0.25">
      <c r="A7071" s="344" t="s">
        <v>10850</v>
      </c>
      <c r="B7071" s="345" t="s">
        <v>10851</v>
      </c>
    </row>
    <row r="7072" spans="1:2" ht="15.75" x14ac:dyDescent="0.25">
      <c r="A7072" s="344" t="s">
        <v>10852</v>
      </c>
      <c r="B7072" s="345" t="s">
        <v>10853</v>
      </c>
    </row>
    <row r="7073" spans="1:2" ht="15.75" x14ac:dyDescent="0.25">
      <c r="A7073" s="344" t="s">
        <v>10854</v>
      </c>
      <c r="B7073" s="345" t="s">
        <v>10855</v>
      </c>
    </row>
    <row r="7074" spans="1:2" ht="15.75" x14ac:dyDescent="0.25">
      <c r="A7074" s="344" t="s">
        <v>10856</v>
      </c>
      <c r="B7074" s="345" t="s">
        <v>10857</v>
      </c>
    </row>
    <row r="7075" spans="1:2" ht="15.75" x14ac:dyDescent="0.25">
      <c r="A7075" s="344" t="s">
        <v>10858</v>
      </c>
      <c r="B7075" s="345" t="s">
        <v>10859</v>
      </c>
    </row>
    <row r="7076" spans="1:2" ht="15.75" x14ac:dyDescent="0.25">
      <c r="A7076" s="344" t="s">
        <v>10860</v>
      </c>
      <c r="B7076" s="345" t="s">
        <v>10861</v>
      </c>
    </row>
    <row r="7077" spans="1:2" ht="15.75" x14ac:dyDescent="0.25">
      <c r="A7077" s="344" t="s">
        <v>10862</v>
      </c>
      <c r="B7077" s="345" t="s">
        <v>10863</v>
      </c>
    </row>
    <row r="7078" spans="1:2" ht="15.75" x14ac:dyDescent="0.25">
      <c r="A7078" s="344" t="s">
        <v>10864</v>
      </c>
      <c r="B7078" s="345" t="s">
        <v>10865</v>
      </c>
    </row>
    <row r="7079" spans="1:2" ht="15.75" x14ac:dyDescent="0.25">
      <c r="A7079" s="344" t="s">
        <v>10866</v>
      </c>
      <c r="B7079" s="345" t="s">
        <v>10867</v>
      </c>
    </row>
    <row r="7080" spans="1:2" ht="15.75" x14ac:dyDescent="0.25">
      <c r="A7080" s="344" t="s">
        <v>10868</v>
      </c>
      <c r="B7080" s="345" t="s">
        <v>10869</v>
      </c>
    </row>
    <row r="7081" spans="1:2" ht="15.75" x14ac:dyDescent="0.25">
      <c r="A7081" s="344" t="s">
        <v>10870</v>
      </c>
      <c r="B7081" s="345" t="s">
        <v>10871</v>
      </c>
    </row>
    <row r="7082" spans="1:2" ht="15.75" x14ac:dyDescent="0.25">
      <c r="A7082" s="344" t="s">
        <v>10872</v>
      </c>
      <c r="B7082" s="345" t="s">
        <v>10873</v>
      </c>
    </row>
    <row r="7083" spans="1:2" ht="15.75" x14ac:dyDescent="0.25">
      <c r="A7083" s="344" t="s">
        <v>10874</v>
      </c>
      <c r="B7083" s="345" t="s">
        <v>10875</v>
      </c>
    </row>
    <row r="7084" spans="1:2" ht="15.75" x14ac:dyDescent="0.25">
      <c r="A7084" s="344" t="s">
        <v>10876</v>
      </c>
      <c r="B7084" s="345" t="s">
        <v>10877</v>
      </c>
    </row>
    <row r="7085" spans="1:2" ht="15.75" x14ac:dyDescent="0.25">
      <c r="A7085" s="344" t="s">
        <v>10878</v>
      </c>
      <c r="B7085" s="345" t="s">
        <v>10879</v>
      </c>
    </row>
    <row r="7086" spans="1:2" ht="15.75" x14ac:dyDescent="0.25">
      <c r="A7086" s="344" t="s">
        <v>10880</v>
      </c>
      <c r="B7086" s="345" t="s">
        <v>10881</v>
      </c>
    </row>
    <row r="7087" spans="1:2" ht="15.75" x14ac:dyDescent="0.25">
      <c r="A7087" s="344" t="s">
        <v>10882</v>
      </c>
      <c r="B7087" s="345" t="s">
        <v>10883</v>
      </c>
    </row>
    <row r="7088" spans="1:2" ht="15.75" x14ac:dyDescent="0.25">
      <c r="A7088" s="344" t="s">
        <v>10884</v>
      </c>
      <c r="B7088" s="345" t="s">
        <v>10885</v>
      </c>
    </row>
    <row r="7089" spans="1:2" ht="15.75" x14ac:dyDescent="0.25">
      <c r="A7089" s="344" t="s">
        <v>10886</v>
      </c>
      <c r="B7089" s="345" t="s">
        <v>10887</v>
      </c>
    </row>
    <row r="7090" spans="1:2" ht="15.75" x14ac:dyDescent="0.25">
      <c r="A7090" s="344" t="s">
        <v>10888</v>
      </c>
      <c r="B7090" s="345" t="s">
        <v>10889</v>
      </c>
    </row>
    <row r="7091" spans="1:2" ht="15.75" x14ac:dyDescent="0.25">
      <c r="A7091" s="344" t="s">
        <v>10890</v>
      </c>
      <c r="B7091" s="345" t="s">
        <v>10758</v>
      </c>
    </row>
    <row r="7092" spans="1:2" ht="15.75" x14ac:dyDescent="0.25">
      <c r="A7092" s="344" t="s">
        <v>10891</v>
      </c>
      <c r="B7092" s="345" t="s">
        <v>10892</v>
      </c>
    </row>
    <row r="7093" spans="1:2" ht="15.75" x14ac:dyDescent="0.25">
      <c r="A7093" s="344" t="s">
        <v>10893</v>
      </c>
      <c r="B7093" s="345" t="s">
        <v>10894</v>
      </c>
    </row>
    <row r="7094" spans="1:2" ht="15.75" x14ac:dyDescent="0.25">
      <c r="A7094" s="344" t="s">
        <v>10895</v>
      </c>
      <c r="B7094" s="345" t="s">
        <v>10896</v>
      </c>
    </row>
    <row r="7095" spans="1:2" ht="15.75" x14ac:dyDescent="0.25">
      <c r="A7095" s="344" t="s">
        <v>10897</v>
      </c>
      <c r="B7095" s="345" t="s">
        <v>10898</v>
      </c>
    </row>
    <row r="7096" spans="1:2" ht="15.75" x14ac:dyDescent="0.25">
      <c r="A7096" s="344" t="s">
        <v>10899</v>
      </c>
      <c r="B7096" s="345" t="s">
        <v>10900</v>
      </c>
    </row>
    <row r="7097" spans="1:2" ht="15.75" x14ac:dyDescent="0.25">
      <c r="A7097" s="344" t="s">
        <v>10901</v>
      </c>
      <c r="B7097" s="345" t="s">
        <v>10902</v>
      </c>
    </row>
    <row r="7098" spans="1:2" ht="15.75" x14ac:dyDescent="0.25">
      <c r="A7098" s="344" t="s">
        <v>10903</v>
      </c>
      <c r="B7098" s="345" t="s">
        <v>10904</v>
      </c>
    </row>
    <row r="7099" spans="1:2" ht="15.75" x14ac:dyDescent="0.25">
      <c r="A7099" s="344" t="s">
        <v>10905</v>
      </c>
      <c r="B7099" s="345" t="s">
        <v>10906</v>
      </c>
    </row>
    <row r="7100" spans="1:2" ht="15.75" x14ac:dyDescent="0.25">
      <c r="A7100" s="344" t="s">
        <v>10907</v>
      </c>
      <c r="B7100" s="345" t="s">
        <v>10908</v>
      </c>
    </row>
    <row r="7101" spans="1:2" ht="15.75" x14ac:dyDescent="0.25">
      <c r="A7101" s="344" t="s">
        <v>10909</v>
      </c>
      <c r="B7101" s="345" t="s">
        <v>10910</v>
      </c>
    </row>
    <row r="7102" spans="1:2" ht="15.75" x14ac:dyDescent="0.25">
      <c r="A7102" s="344" t="s">
        <v>10911</v>
      </c>
      <c r="B7102" s="345" t="s">
        <v>10912</v>
      </c>
    </row>
    <row r="7103" spans="1:2" ht="15.75" x14ac:dyDescent="0.25">
      <c r="A7103" s="344" t="s">
        <v>10913</v>
      </c>
      <c r="B7103" s="345" t="s">
        <v>10914</v>
      </c>
    </row>
    <row r="7104" spans="1:2" ht="15.75" x14ac:dyDescent="0.25">
      <c r="A7104" s="344" t="s">
        <v>10915</v>
      </c>
      <c r="B7104" s="345" t="s">
        <v>10916</v>
      </c>
    </row>
    <row r="7105" spans="1:2" ht="15.75" x14ac:dyDescent="0.25">
      <c r="A7105" s="344" t="s">
        <v>10917</v>
      </c>
      <c r="B7105" s="345" t="s">
        <v>10918</v>
      </c>
    </row>
    <row r="7106" spans="1:2" ht="15.75" x14ac:dyDescent="0.25">
      <c r="A7106" s="344" t="s">
        <v>10919</v>
      </c>
      <c r="B7106" s="345" t="s">
        <v>10920</v>
      </c>
    </row>
    <row r="7107" spans="1:2" ht="15.75" x14ac:dyDescent="0.25">
      <c r="A7107" s="344" t="s">
        <v>10921</v>
      </c>
      <c r="B7107" s="345" t="s">
        <v>10922</v>
      </c>
    </row>
    <row r="7108" spans="1:2" ht="15.75" x14ac:dyDescent="0.25">
      <c r="A7108" s="344" t="s">
        <v>10923</v>
      </c>
      <c r="B7108" s="345" t="s">
        <v>10924</v>
      </c>
    </row>
    <row r="7109" spans="1:2" ht="15.75" x14ac:dyDescent="0.25">
      <c r="A7109" s="344" t="s">
        <v>10925</v>
      </c>
      <c r="B7109" s="345" t="s">
        <v>10926</v>
      </c>
    </row>
    <row r="7110" spans="1:2" ht="15.75" x14ac:dyDescent="0.25">
      <c r="A7110" s="344" t="s">
        <v>10927</v>
      </c>
      <c r="B7110" s="345" t="s">
        <v>10928</v>
      </c>
    </row>
    <row r="7111" spans="1:2" ht="15.75" x14ac:dyDescent="0.25">
      <c r="A7111" s="344" t="s">
        <v>10929</v>
      </c>
      <c r="B7111" s="345" t="s">
        <v>10930</v>
      </c>
    </row>
    <row r="7112" spans="1:2" ht="15.75" x14ac:dyDescent="0.25">
      <c r="A7112" s="344" t="s">
        <v>10931</v>
      </c>
      <c r="B7112" s="345" t="s">
        <v>10932</v>
      </c>
    </row>
    <row r="7113" spans="1:2" ht="15.75" x14ac:dyDescent="0.25">
      <c r="A7113" s="344" t="s">
        <v>10933</v>
      </c>
      <c r="B7113" s="345" t="s">
        <v>10934</v>
      </c>
    </row>
    <row r="7114" spans="1:2" ht="15.75" x14ac:dyDescent="0.25">
      <c r="A7114" s="344" t="s">
        <v>10935</v>
      </c>
      <c r="B7114" s="345" t="s">
        <v>10936</v>
      </c>
    </row>
    <row r="7115" spans="1:2" ht="15.75" x14ac:dyDescent="0.25">
      <c r="A7115" s="344" t="s">
        <v>10937</v>
      </c>
      <c r="B7115" s="345" t="s">
        <v>10938</v>
      </c>
    </row>
    <row r="7116" spans="1:2" ht="15.75" x14ac:dyDescent="0.25">
      <c r="A7116" s="344" t="s">
        <v>10939</v>
      </c>
      <c r="B7116" s="345" t="s">
        <v>10940</v>
      </c>
    </row>
    <row r="7117" spans="1:2" ht="15.75" x14ac:dyDescent="0.25">
      <c r="A7117" s="344" t="s">
        <v>10941</v>
      </c>
      <c r="B7117" s="345" t="s">
        <v>10942</v>
      </c>
    </row>
    <row r="7118" spans="1:2" ht="15.75" x14ac:dyDescent="0.25">
      <c r="A7118" s="344" t="s">
        <v>10943</v>
      </c>
      <c r="B7118" s="345" t="s">
        <v>10944</v>
      </c>
    </row>
    <row r="7119" spans="1:2" ht="15.75" x14ac:dyDescent="0.25">
      <c r="A7119" s="344" t="s">
        <v>10945</v>
      </c>
      <c r="B7119" s="345" t="s">
        <v>10946</v>
      </c>
    </row>
    <row r="7120" spans="1:2" ht="15.75" x14ac:dyDescent="0.25">
      <c r="A7120" s="344" t="s">
        <v>10947</v>
      </c>
      <c r="B7120" s="345" t="s">
        <v>10948</v>
      </c>
    </row>
    <row r="7121" spans="1:2" ht="15.75" x14ac:dyDescent="0.25">
      <c r="A7121" s="344" t="s">
        <v>10949</v>
      </c>
      <c r="B7121" s="345" t="s">
        <v>10950</v>
      </c>
    </row>
    <row r="7122" spans="1:2" ht="15.75" x14ac:dyDescent="0.25">
      <c r="A7122" s="344" t="s">
        <v>10951</v>
      </c>
      <c r="B7122" s="345" t="s">
        <v>10952</v>
      </c>
    </row>
    <row r="7123" spans="1:2" ht="15.75" x14ac:dyDescent="0.25">
      <c r="A7123" s="344" t="s">
        <v>10953</v>
      </c>
      <c r="B7123" s="345" t="s">
        <v>10954</v>
      </c>
    </row>
    <row r="7124" spans="1:2" ht="15.75" x14ac:dyDescent="0.25">
      <c r="A7124" s="344" t="s">
        <v>10955</v>
      </c>
      <c r="B7124" s="345" t="s">
        <v>10956</v>
      </c>
    </row>
    <row r="7125" spans="1:2" ht="15.75" x14ac:dyDescent="0.25">
      <c r="A7125" s="344" t="s">
        <v>10957</v>
      </c>
      <c r="B7125" s="345" t="s">
        <v>10958</v>
      </c>
    </row>
    <row r="7126" spans="1:2" ht="15.75" x14ac:dyDescent="0.25">
      <c r="A7126" s="344" t="s">
        <v>10959</v>
      </c>
      <c r="B7126" s="345" t="s">
        <v>10960</v>
      </c>
    </row>
    <row r="7127" spans="1:2" ht="15.75" x14ac:dyDescent="0.25">
      <c r="A7127" s="344" t="s">
        <v>10961</v>
      </c>
      <c r="B7127" s="345" t="s">
        <v>10962</v>
      </c>
    </row>
    <row r="7128" spans="1:2" ht="15.75" x14ac:dyDescent="0.25">
      <c r="A7128" s="344" t="s">
        <v>10963</v>
      </c>
      <c r="B7128" s="345" t="s">
        <v>10964</v>
      </c>
    </row>
    <row r="7129" spans="1:2" ht="15.75" x14ac:dyDescent="0.25">
      <c r="A7129" s="344" t="s">
        <v>10965</v>
      </c>
      <c r="B7129" s="345" t="s">
        <v>10966</v>
      </c>
    </row>
    <row r="7130" spans="1:2" ht="15.75" x14ac:dyDescent="0.25">
      <c r="A7130" s="344" t="s">
        <v>10967</v>
      </c>
      <c r="B7130" s="345" t="s">
        <v>10968</v>
      </c>
    </row>
    <row r="7131" spans="1:2" ht="15.75" x14ac:dyDescent="0.25">
      <c r="A7131" s="344" t="s">
        <v>10969</v>
      </c>
      <c r="B7131" s="345" t="s">
        <v>10970</v>
      </c>
    </row>
    <row r="7132" spans="1:2" ht="15.75" x14ac:dyDescent="0.25">
      <c r="A7132" s="344" t="s">
        <v>10971</v>
      </c>
      <c r="B7132" s="345" t="s">
        <v>10972</v>
      </c>
    </row>
    <row r="7133" spans="1:2" ht="15.75" x14ac:dyDescent="0.25">
      <c r="A7133" s="344" t="s">
        <v>10973</v>
      </c>
      <c r="B7133" s="345" t="s">
        <v>10974</v>
      </c>
    </row>
    <row r="7134" spans="1:2" ht="15.75" x14ac:dyDescent="0.25">
      <c r="A7134" s="344" t="s">
        <v>10975</v>
      </c>
      <c r="B7134" s="345" t="s">
        <v>10976</v>
      </c>
    </row>
    <row r="7135" spans="1:2" ht="15.75" x14ac:dyDescent="0.25">
      <c r="A7135" s="344" t="s">
        <v>10977</v>
      </c>
      <c r="B7135" s="345" t="s">
        <v>10978</v>
      </c>
    </row>
    <row r="7136" spans="1:2" ht="15.75" x14ac:dyDescent="0.25">
      <c r="A7136" s="344" t="s">
        <v>10979</v>
      </c>
      <c r="B7136" s="345" t="s">
        <v>10980</v>
      </c>
    </row>
    <row r="7137" spans="1:2" ht="15.75" x14ac:dyDescent="0.25">
      <c r="A7137" s="344" t="s">
        <v>10981</v>
      </c>
      <c r="B7137" s="345" t="s">
        <v>10982</v>
      </c>
    </row>
    <row r="7138" spans="1:2" ht="15.75" x14ac:dyDescent="0.25">
      <c r="A7138" s="344" t="s">
        <v>10983</v>
      </c>
      <c r="B7138" s="345" t="s">
        <v>10984</v>
      </c>
    </row>
    <row r="7139" spans="1:2" ht="15.75" x14ac:dyDescent="0.25">
      <c r="A7139" s="344" t="s">
        <v>10985</v>
      </c>
      <c r="B7139" s="345" t="s">
        <v>10986</v>
      </c>
    </row>
    <row r="7140" spans="1:2" ht="15.75" x14ac:dyDescent="0.25">
      <c r="A7140" s="344" t="s">
        <v>10987</v>
      </c>
      <c r="B7140" s="345" t="s">
        <v>10988</v>
      </c>
    </row>
    <row r="7141" spans="1:2" ht="15.75" x14ac:dyDescent="0.25">
      <c r="A7141" s="344" t="s">
        <v>10989</v>
      </c>
      <c r="B7141" s="345" t="s">
        <v>10990</v>
      </c>
    </row>
    <row r="7142" spans="1:2" ht="15.75" x14ac:dyDescent="0.25">
      <c r="A7142" s="344" t="s">
        <v>10991</v>
      </c>
      <c r="B7142" s="345" t="s">
        <v>10992</v>
      </c>
    </row>
    <row r="7143" spans="1:2" ht="15.75" x14ac:dyDescent="0.25">
      <c r="A7143" s="344" t="s">
        <v>10993</v>
      </c>
      <c r="B7143" s="345" t="s">
        <v>10994</v>
      </c>
    </row>
    <row r="7144" spans="1:2" ht="15.75" x14ac:dyDescent="0.25">
      <c r="A7144" s="344" t="s">
        <v>10995</v>
      </c>
      <c r="B7144" s="345" t="s">
        <v>10996</v>
      </c>
    </row>
    <row r="7145" spans="1:2" ht="15.75" x14ac:dyDescent="0.25">
      <c r="A7145" s="344" t="s">
        <v>10997</v>
      </c>
      <c r="B7145" s="345" t="s">
        <v>10998</v>
      </c>
    </row>
    <row r="7146" spans="1:2" ht="15.75" x14ac:dyDescent="0.25">
      <c r="A7146" s="344" t="s">
        <v>10999</v>
      </c>
      <c r="B7146" s="345" t="s">
        <v>11000</v>
      </c>
    </row>
    <row r="7147" spans="1:2" ht="15.75" x14ac:dyDescent="0.25">
      <c r="A7147" s="344" t="s">
        <v>11001</v>
      </c>
      <c r="B7147" s="345" t="s">
        <v>10900</v>
      </c>
    </row>
    <row r="7148" spans="1:2" ht="15.75" x14ac:dyDescent="0.25">
      <c r="A7148" s="344" t="s">
        <v>11002</v>
      </c>
      <c r="B7148" s="345" t="s">
        <v>11003</v>
      </c>
    </row>
    <row r="7149" spans="1:2" ht="15.75" x14ac:dyDescent="0.25">
      <c r="A7149" s="344" t="s">
        <v>11004</v>
      </c>
      <c r="B7149" s="345" t="s">
        <v>11005</v>
      </c>
    </row>
    <row r="7150" spans="1:2" ht="15.75" x14ac:dyDescent="0.25">
      <c r="A7150" s="344" t="s">
        <v>11006</v>
      </c>
      <c r="B7150" s="345" t="s">
        <v>11007</v>
      </c>
    </row>
    <row r="7151" spans="1:2" ht="15.75" x14ac:dyDescent="0.25">
      <c r="A7151" s="344" t="s">
        <v>11008</v>
      </c>
      <c r="B7151" s="345" t="s">
        <v>11009</v>
      </c>
    </row>
    <row r="7152" spans="1:2" ht="15.75" x14ac:dyDescent="0.25">
      <c r="A7152" s="344" t="s">
        <v>11010</v>
      </c>
      <c r="B7152" s="345" t="s">
        <v>11011</v>
      </c>
    </row>
    <row r="7153" spans="1:2" ht="15.75" x14ac:dyDescent="0.25">
      <c r="A7153" s="344" t="s">
        <v>11012</v>
      </c>
      <c r="B7153" s="345" t="s">
        <v>11013</v>
      </c>
    </row>
    <row r="7154" spans="1:2" ht="15.75" x14ac:dyDescent="0.25">
      <c r="A7154" s="344" t="s">
        <v>11014</v>
      </c>
      <c r="B7154" s="345" t="s">
        <v>11015</v>
      </c>
    </row>
    <row r="7155" spans="1:2" ht="15.75" x14ac:dyDescent="0.25">
      <c r="A7155" s="344" t="s">
        <v>11016</v>
      </c>
      <c r="B7155" s="345" t="s">
        <v>11017</v>
      </c>
    </row>
    <row r="7156" spans="1:2" ht="15.75" x14ac:dyDescent="0.25">
      <c r="A7156" s="344" t="s">
        <v>11018</v>
      </c>
      <c r="B7156" s="345" t="s">
        <v>11013</v>
      </c>
    </row>
    <row r="7157" spans="1:2" ht="15.75" x14ac:dyDescent="0.25">
      <c r="A7157" s="344" t="s">
        <v>11019</v>
      </c>
      <c r="B7157" s="345" t="s">
        <v>11020</v>
      </c>
    </row>
    <row r="7158" spans="1:2" ht="15.75" x14ac:dyDescent="0.25">
      <c r="A7158" s="344" t="s">
        <v>11021</v>
      </c>
      <c r="B7158" s="345" t="s">
        <v>11022</v>
      </c>
    </row>
    <row r="7159" spans="1:2" ht="15.75" x14ac:dyDescent="0.25">
      <c r="A7159" s="344" t="s">
        <v>11023</v>
      </c>
      <c r="B7159" s="345" t="s">
        <v>11024</v>
      </c>
    </row>
    <row r="7160" spans="1:2" ht="15.75" x14ac:dyDescent="0.25">
      <c r="A7160" s="344" t="s">
        <v>11025</v>
      </c>
      <c r="B7160" s="345" t="s">
        <v>11026</v>
      </c>
    </row>
    <row r="7161" spans="1:2" ht="15.75" x14ac:dyDescent="0.25">
      <c r="A7161" s="344" t="s">
        <v>11027</v>
      </c>
      <c r="B7161" s="345" t="s">
        <v>11028</v>
      </c>
    </row>
    <row r="7162" spans="1:2" ht="15.75" x14ac:dyDescent="0.25">
      <c r="A7162" s="344" t="s">
        <v>11029</v>
      </c>
      <c r="B7162" s="345" t="s">
        <v>11030</v>
      </c>
    </row>
    <row r="7163" spans="1:2" ht="15.75" x14ac:dyDescent="0.25">
      <c r="A7163" s="344" t="s">
        <v>11031</v>
      </c>
      <c r="B7163" s="345" t="s">
        <v>11032</v>
      </c>
    </row>
    <row r="7164" spans="1:2" ht="15.75" x14ac:dyDescent="0.25">
      <c r="A7164" s="344" t="s">
        <v>11033</v>
      </c>
      <c r="B7164" s="345" t="s">
        <v>11034</v>
      </c>
    </row>
    <row r="7165" spans="1:2" ht="15.75" x14ac:dyDescent="0.25">
      <c r="A7165" s="344" t="s">
        <v>11035</v>
      </c>
      <c r="B7165" s="345" t="s">
        <v>11036</v>
      </c>
    </row>
    <row r="7166" spans="1:2" ht="15.75" x14ac:dyDescent="0.25">
      <c r="A7166" s="344" t="s">
        <v>11037</v>
      </c>
      <c r="B7166" s="345" t="s">
        <v>11038</v>
      </c>
    </row>
    <row r="7167" spans="1:2" ht="15.75" x14ac:dyDescent="0.25">
      <c r="A7167" s="344" t="s">
        <v>11039</v>
      </c>
      <c r="B7167" s="345" t="s">
        <v>11040</v>
      </c>
    </row>
    <row r="7168" spans="1:2" ht="15.75" x14ac:dyDescent="0.25">
      <c r="A7168" s="344" t="s">
        <v>11041</v>
      </c>
      <c r="B7168" s="345" t="s">
        <v>11042</v>
      </c>
    </row>
    <row r="7169" spans="1:2" ht="15.75" x14ac:dyDescent="0.25">
      <c r="A7169" s="344" t="s">
        <v>11043</v>
      </c>
      <c r="B7169" s="345" t="s">
        <v>11044</v>
      </c>
    </row>
    <row r="7170" spans="1:2" ht="15.75" x14ac:dyDescent="0.25">
      <c r="A7170" s="344" t="s">
        <v>11045</v>
      </c>
      <c r="B7170" s="345" t="s">
        <v>11046</v>
      </c>
    </row>
    <row r="7171" spans="1:2" ht="15.75" x14ac:dyDescent="0.25">
      <c r="A7171" s="344" t="s">
        <v>11047</v>
      </c>
      <c r="B7171" s="345" t="s">
        <v>11048</v>
      </c>
    </row>
    <row r="7172" spans="1:2" ht="15.75" x14ac:dyDescent="0.25">
      <c r="A7172" s="344" t="s">
        <v>11049</v>
      </c>
      <c r="B7172" s="345" t="s">
        <v>11050</v>
      </c>
    </row>
    <row r="7173" spans="1:2" ht="15.75" x14ac:dyDescent="0.25">
      <c r="A7173" s="344" t="s">
        <v>11051</v>
      </c>
      <c r="B7173" s="345" t="s">
        <v>11052</v>
      </c>
    </row>
    <row r="7174" spans="1:2" ht="15.75" x14ac:dyDescent="0.25">
      <c r="A7174" s="344" t="s">
        <v>11053</v>
      </c>
      <c r="B7174" s="345" t="s">
        <v>11054</v>
      </c>
    </row>
    <row r="7175" spans="1:2" ht="15.75" x14ac:dyDescent="0.25">
      <c r="A7175" s="344" t="s">
        <v>11055</v>
      </c>
      <c r="B7175" s="345" t="s">
        <v>11056</v>
      </c>
    </row>
    <row r="7176" spans="1:2" ht="15.75" x14ac:dyDescent="0.25">
      <c r="A7176" s="344" t="s">
        <v>11057</v>
      </c>
      <c r="B7176" s="345" t="s">
        <v>11058</v>
      </c>
    </row>
    <row r="7177" spans="1:2" ht="15.75" x14ac:dyDescent="0.25">
      <c r="A7177" s="344" t="s">
        <v>11059</v>
      </c>
      <c r="B7177" s="345" t="s">
        <v>11060</v>
      </c>
    </row>
    <row r="7178" spans="1:2" ht="15.75" x14ac:dyDescent="0.25">
      <c r="A7178" s="344" t="s">
        <v>11061</v>
      </c>
      <c r="B7178" s="345" t="s">
        <v>11062</v>
      </c>
    </row>
    <row r="7179" spans="1:2" ht="15.75" x14ac:dyDescent="0.25">
      <c r="A7179" s="344" t="s">
        <v>11063</v>
      </c>
      <c r="B7179" s="345" t="s">
        <v>11064</v>
      </c>
    </row>
    <row r="7180" spans="1:2" ht="15.75" x14ac:dyDescent="0.25">
      <c r="A7180" s="344" t="s">
        <v>11065</v>
      </c>
      <c r="B7180" s="345" t="s">
        <v>11066</v>
      </c>
    </row>
    <row r="7181" spans="1:2" ht="15.75" x14ac:dyDescent="0.25">
      <c r="A7181" s="344" t="s">
        <v>11067</v>
      </c>
      <c r="B7181" s="345" t="s">
        <v>11068</v>
      </c>
    </row>
    <row r="7182" spans="1:2" ht="15.75" x14ac:dyDescent="0.25">
      <c r="A7182" s="344" t="s">
        <v>11069</v>
      </c>
      <c r="B7182" s="345" t="s">
        <v>11070</v>
      </c>
    </row>
    <row r="7183" spans="1:2" ht="15.75" x14ac:dyDescent="0.25">
      <c r="A7183" s="344" t="s">
        <v>11071</v>
      </c>
      <c r="B7183" s="345" t="s">
        <v>11072</v>
      </c>
    </row>
    <row r="7184" spans="1:2" ht="15.75" x14ac:dyDescent="0.25">
      <c r="A7184" s="344" t="s">
        <v>11073</v>
      </c>
      <c r="B7184" s="345" t="s">
        <v>11074</v>
      </c>
    </row>
    <row r="7185" spans="1:2" ht="15.75" x14ac:dyDescent="0.25">
      <c r="A7185" s="344" t="s">
        <v>11075</v>
      </c>
      <c r="B7185" s="345" t="s">
        <v>11076</v>
      </c>
    </row>
    <row r="7186" spans="1:2" ht="15.75" x14ac:dyDescent="0.25">
      <c r="A7186" s="344" t="s">
        <v>11077</v>
      </c>
      <c r="B7186" s="345" t="s">
        <v>11078</v>
      </c>
    </row>
    <row r="7187" spans="1:2" ht="15.75" x14ac:dyDescent="0.25">
      <c r="A7187" s="344" t="s">
        <v>11079</v>
      </c>
      <c r="B7187" s="345" t="s">
        <v>11080</v>
      </c>
    </row>
    <row r="7188" spans="1:2" ht="15.75" x14ac:dyDescent="0.25">
      <c r="A7188" s="344" t="s">
        <v>11081</v>
      </c>
      <c r="B7188" s="345" t="s">
        <v>11082</v>
      </c>
    </row>
    <row r="7189" spans="1:2" ht="15.75" x14ac:dyDescent="0.25">
      <c r="A7189" s="344" t="s">
        <v>11083</v>
      </c>
      <c r="B7189" s="345" t="s">
        <v>11084</v>
      </c>
    </row>
    <row r="7190" spans="1:2" ht="15.75" x14ac:dyDescent="0.25">
      <c r="A7190" s="344" t="s">
        <v>11085</v>
      </c>
      <c r="B7190" s="345" t="s">
        <v>11086</v>
      </c>
    </row>
    <row r="7191" spans="1:2" ht="15.75" x14ac:dyDescent="0.25">
      <c r="A7191" s="344" t="s">
        <v>11087</v>
      </c>
      <c r="B7191" s="345" t="s">
        <v>11088</v>
      </c>
    </row>
    <row r="7192" spans="1:2" ht="15.75" x14ac:dyDescent="0.25">
      <c r="A7192" s="344" t="s">
        <v>11089</v>
      </c>
      <c r="B7192" s="345" t="s">
        <v>11090</v>
      </c>
    </row>
    <row r="7193" spans="1:2" ht="15.75" x14ac:dyDescent="0.25">
      <c r="A7193" s="344" t="s">
        <v>11091</v>
      </c>
      <c r="B7193" s="345" t="s">
        <v>11092</v>
      </c>
    </row>
    <row r="7194" spans="1:2" ht="15.75" x14ac:dyDescent="0.25">
      <c r="A7194" s="344" t="s">
        <v>11093</v>
      </c>
      <c r="B7194" s="345" t="s">
        <v>11094</v>
      </c>
    </row>
    <row r="7195" spans="1:2" ht="15.75" x14ac:dyDescent="0.25">
      <c r="A7195" s="344" t="s">
        <v>11095</v>
      </c>
      <c r="B7195" s="345" t="s">
        <v>11096</v>
      </c>
    </row>
    <row r="7196" spans="1:2" ht="15.75" x14ac:dyDescent="0.25">
      <c r="A7196" s="344" t="s">
        <v>11097</v>
      </c>
      <c r="B7196" s="345" t="s">
        <v>11098</v>
      </c>
    </row>
    <row r="7197" spans="1:2" ht="15.75" x14ac:dyDescent="0.25">
      <c r="A7197" s="344" t="s">
        <v>11099</v>
      </c>
      <c r="B7197" s="345" t="s">
        <v>11100</v>
      </c>
    </row>
    <row r="7198" spans="1:2" ht="15.75" x14ac:dyDescent="0.25">
      <c r="A7198" s="344" t="s">
        <v>11101</v>
      </c>
      <c r="B7198" s="345" t="s">
        <v>11102</v>
      </c>
    </row>
    <row r="7199" spans="1:2" ht="15.75" x14ac:dyDescent="0.25">
      <c r="A7199" s="344" t="s">
        <v>11103</v>
      </c>
      <c r="B7199" s="345" t="s">
        <v>11104</v>
      </c>
    </row>
    <row r="7200" spans="1:2" ht="15.75" x14ac:dyDescent="0.25">
      <c r="A7200" s="344" t="s">
        <v>11105</v>
      </c>
      <c r="B7200" s="345" t="s">
        <v>11106</v>
      </c>
    </row>
    <row r="7201" spans="1:2" ht="15.75" x14ac:dyDescent="0.25">
      <c r="A7201" s="344" t="s">
        <v>11107</v>
      </c>
      <c r="B7201" s="345" t="s">
        <v>11108</v>
      </c>
    </row>
    <row r="7202" spans="1:2" ht="15.75" x14ac:dyDescent="0.25">
      <c r="A7202" s="344" t="s">
        <v>11109</v>
      </c>
      <c r="B7202" s="345" t="s">
        <v>11110</v>
      </c>
    </row>
    <row r="7203" spans="1:2" ht="15.75" x14ac:dyDescent="0.25">
      <c r="A7203" s="344" t="s">
        <v>11111</v>
      </c>
      <c r="B7203" s="345" t="s">
        <v>11112</v>
      </c>
    </row>
    <row r="7204" spans="1:2" ht="15.75" x14ac:dyDescent="0.25">
      <c r="A7204" s="344" t="s">
        <v>11113</v>
      </c>
      <c r="B7204" s="345" t="s">
        <v>11114</v>
      </c>
    </row>
    <row r="7205" spans="1:2" ht="15.75" x14ac:dyDescent="0.25">
      <c r="A7205" s="344" t="s">
        <v>11115</v>
      </c>
      <c r="B7205" s="345" t="s">
        <v>11116</v>
      </c>
    </row>
    <row r="7206" spans="1:2" ht="15.75" x14ac:dyDescent="0.25">
      <c r="A7206" s="344" t="s">
        <v>11117</v>
      </c>
      <c r="B7206" s="345" t="s">
        <v>11118</v>
      </c>
    </row>
    <row r="7207" spans="1:2" ht="15.75" x14ac:dyDescent="0.25">
      <c r="A7207" s="344" t="s">
        <v>11119</v>
      </c>
      <c r="B7207" s="345" t="s">
        <v>11120</v>
      </c>
    </row>
    <row r="7208" spans="1:2" ht="15.75" x14ac:dyDescent="0.25">
      <c r="A7208" s="344" t="s">
        <v>11121</v>
      </c>
      <c r="B7208" s="345" t="s">
        <v>11122</v>
      </c>
    </row>
    <row r="7209" spans="1:2" ht="15.75" x14ac:dyDescent="0.25">
      <c r="A7209" s="344" t="s">
        <v>11123</v>
      </c>
      <c r="B7209" s="345" t="s">
        <v>11124</v>
      </c>
    </row>
    <row r="7210" spans="1:2" ht="15.75" x14ac:dyDescent="0.25">
      <c r="A7210" s="344" t="s">
        <v>11125</v>
      </c>
      <c r="B7210" s="345" t="s">
        <v>11126</v>
      </c>
    </row>
    <row r="7211" spans="1:2" ht="15.75" x14ac:dyDescent="0.25">
      <c r="A7211" s="344" t="s">
        <v>11127</v>
      </c>
      <c r="B7211" s="345" t="s">
        <v>11128</v>
      </c>
    </row>
    <row r="7212" spans="1:2" ht="15.75" x14ac:dyDescent="0.25">
      <c r="A7212" s="344" t="s">
        <v>11129</v>
      </c>
      <c r="B7212" s="345" t="s">
        <v>11130</v>
      </c>
    </row>
    <row r="7213" spans="1:2" ht="15.75" x14ac:dyDescent="0.25">
      <c r="A7213" s="344" t="s">
        <v>11131</v>
      </c>
      <c r="B7213" s="345" t="s">
        <v>11132</v>
      </c>
    </row>
    <row r="7214" spans="1:2" ht="15.75" x14ac:dyDescent="0.25">
      <c r="A7214" s="344" t="s">
        <v>11133</v>
      </c>
      <c r="B7214" s="345" t="s">
        <v>11134</v>
      </c>
    </row>
    <row r="7215" spans="1:2" ht="15.75" x14ac:dyDescent="0.25">
      <c r="A7215" s="344" t="s">
        <v>11135</v>
      </c>
      <c r="B7215" s="345" t="s">
        <v>11136</v>
      </c>
    </row>
    <row r="7216" spans="1:2" ht="15.75" x14ac:dyDescent="0.25">
      <c r="A7216" s="344" t="s">
        <v>11137</v>
      </c>
      <c r="B7216" s="345" t="s">
        <v>11138</v>
      </c>
    </row>
    <row r="7217" spans="1:2" ht="15.75" x14ac:dyDescent="0.25">
      <c r="A7217" s="344" t="s">
        <v>11139</v>
      </c>
      <c r="B7217" s="345" t="s">
        <v>11140</v>
      </c>
    </row>
    <row r="7218" spans="1:2" ht="15.75" x14ac:dyDescent="0.25">
      <c r="A7218" s="344" t="s">
        <v>11141</v>
      </c>
      <c r="B7218" s="345" t="s">
        <v>11142</v>
      </c>
    </row>
    <row r="7219" spans="1:2" ht="15.75" x14ac:dyDescent="0.25">
      <c r="A7219" s="344" t="s">
        <v>11143</v>
      </c>
      <c r="B7219" s="345" t="s">
        <v>11144</v>
      </c>
    </row>
    <row r="7220" spans="1:2" ht="15.75" x14ac:dyDescent="0.25">
      <c r="A7220" s="344" t="s">
        <v>11145</v>
      </c>
      <c r="B7220" s="345" t="s">
        <v>11146</v>
      </c>
    </row>
    <row r="7221" spans="1:2" ht="15.75" x14ac:dyDescent="0.25">
      <c r="A7221" s="344" t="s">
        <v>11147</v>
      </c>
      <c r="B7221" s="345" t="s">
        <v>11148</v>
      </c>
    </row>
    <row r="7222" spans="1:2" ht="15.75" x14ac:dyDescent="0.25">
      <c r="A7222" s="344" t="s">
        <v>11149</v>
      </c>
      <c r="B7222" s="345" t="s">
        <v>11150</v>
      </c>
    </row>
    <row r="7223" spans="1:2" ht="15.75" x14ac:dyDescent="0.25">
      <c r="A7223" s="344" t="s">
        <v>11151</v>
      </c>
      <c r="B7223" s="345" t="s">
        <v>11152</v>
      </c>
    </row>
    <row r="7224" spans="1:2" ht="15.75" x14ac:dyDescent="0.25">
      <c r="A7224" s="344" t="s">
        <v>11153</v>
      </c>
      <c r="B7224" s="345" t="s">
        <v>11154</v>
      </c>
    </row>
    <row r="7225" spans="1:2" ht="15.75" x14ac:dyDescent="0.25">
      <c r="A7225" s="344" t="s">
        <v>11155</v>
      </c>
      <c r="B7225" s="345" t="s">
        <v>11156</v>
      </c>
    </row>
    <row r="7226" spans="1:2" ht="15.75" x14ac:dyDescent="0.25">
      <c r="A7226" s="344" t="s">
        <v>11157</v>
      </c>
      <c r="B7226" s="345" t="s">
        <v>11158</v>
      </c>
    </row>
    <row r="7227" spans="1:2" ht="15.75" x14ac:dyDescent="0.25">
      <c r="A7227" s="344" t="s">
        <v>11159</v>
      </c>
      <c r="B7227" s="345" t="s">
        <v>11160</v>
      </c>
    </row>
    <row r="7228" spans="1:2" ht="15.75" x14ac:dyDescent="0.25">
      <c r="A7228" s="344" t="s">
        <v>11161</v>
      </c>
      <c r="B7228" s="345" t="s">
        <v>11162</v>
      </c>
    </row>
    <row r="7229" spans="1:2" ht="15.75" x14ac:dyDescent="0.25">
      <c r="A7229" s="344" t="s">
        <v>11163</v>
      </c>
      <c r="B7229" s="345" t="s">
        <v>2923</v>
      </c>
    </row>
    <row r="7230" spans="1:2" ht="15.75" x14ac:dyDescent="0.25">
      <c r="A7230" s="344" t="s">
        <v>11164</v>
      </c>
      <c r="B7230" s="345" t="s">
        <v>2924</v>
      </c>
    </row>
    <row r="7231" spans="1:2" ht="15.75" x14ac:dyDescent="0.25">
      <c r="A7231" s="344" t="s">
        <v>11165</v>
      </c>
      <c r="B7231" s="345" t="s">
        <v>2925</v>
      </c>
    </row>
    <row r="7232" spans="1:2" ht="15.75" x14ac:dyDescent="0.25">
      <c r="A7232" s="344" t="s">
        <v>11166</v>
      </c>
      <c r="B7232" s="345" t="s">
        <v>2926</v>
      </c>
    </row>
    <row r="7233" spans="1:2" ht="15.75" x14ac:dyDescent="0.25">
      <c r="A7233" s="344" t="s">
        <v>11167</v>
      </c>
      <c r="B7233" s="345" t="s">
        <v>11168</v>
      </c>
    </row>
    <row r="7234" spans="1:2" ht="15.75" x14ac:dyDescent="0.25">
      <c r="A7234" s="344" t="s">
        <v>11169</v>
      </c>
      <c r="B7234" s="345" t="s">
        <v>11170</v>
      </c>
    </row>
    <row r="7235" spans="1:2" ht="15.75" x14ac:dyDescent="0.25">
      <c r="A7235" s="344" t="s">
        <v>11171</v>
      </c>
      <c r="B7235" s="345" t="s">
        <v>11172</v>
      </c>
    </row>
    <row r="7236" spans="1:2" ht="15.75" x14ac:dyDescent="0.25">
      <c r="A7236" s="344" t="s">
        <v>11173</v>
      </c>
      <c r="B7236" s="345" t="s">
        <v>11174</v>
      </c>
    </row>
    <row r="7237" spans="1:2" ht="15.75" x14ac:dyDescent="0.25">
      <c r="A7237" s="344" t="s">
        <v>11175</v>
      </c>
      <c r="B7237" s="345" t="s">
        <v>11176</v>
      </c>
    </row>
    <row r="7238" spans="1:2" ht="15.75" x14ac:dyDescent="0.25">
      <c r="A7238" s="344" t="s">
        <v>11177</v>
      </c>
      <c r="B7238" s="345" t="s">
        <v>11178</v>
      </c>
    </row>
    <row r="7239" spans="1:2" ht="15.75" x14ac:dyDescent="0.25">
      <c r="A7239" s="344" t="s">
        <v>11179</v>
      </c>
      <c r="B7239" s="345" t="s">
        <v>11180</v>
      </c>
    </row>
    <row r="7240" spans="1:2" ht="15.75" x14ac:dyDescent="0.25">
      <c r="A7240" s="344" t="s">
        <v>11181</v>
      </c>
      <c r="B7240" s="345" t="s">
        <v>11005</v>
      </c>
    </row>
    <row r="7241" spans="1:2" ht="15.75" x14ac:dyDescent="0.25">
      <c r="A7241" s="344" t="s">
        <v>11182</v>
      </c>
      <c r="B7241" s="345" t="s">
        <v>11180</v>
      </c>
    </row>
    <row r="7242" spans="1:2" ht="15.75" x14ac:dyDescent="0.25">
      <c r="A7242" s="344" t="s">
        <v>11183</v>
      </c>
      <c r="B7242" s="345" t="s">
        <v>11184</v>
      </c>
    </row>
    <row r="7243" spans="1:2" ht="15.75" x14ac:dyDescent="0.25">
      <c r="A7243" s="344" t="s">
        <v>11185</v>
      </c>
      <c r="B7243" s="345" t="s">
        <v>11186</v>
      </c>
    </row>
    <row r="7244" spans="1:2" ht="15.75" x14ac:dyDescent="0.25">
      <c r="A7244" s="344" t="s">
        <v>11187</v>
      </c>
      <c r="B7244" s="345" t="s">
        <v>11188</v>
      </c>
    </row>
    <row r="7245" spans="1:2" ht="15.75" x14ac:dyDescent="0.25">
      <c r="A7245" s="344" t="s">
        <v>11189</v>
      </c>
      <c r="B7245" s="345" t="s">
        <v>11190</v>
      </c>
    </row>
    <row r="7246" spans="1:2" ht="15.75" x14ac:dyDescent="0.25">
      <c r="A7246" s="344" t="s">
        <v>11191</v>
      </c>
      <c r="B7246" s="345" t="s">
        <v>11192</v>
      </c>
    </row>
    <row r="7247" spans="1:2" ht="15.75" x14ac:dyDescent="0.25">
      <c r="A7247" s="344" t="s">
        <v>11193</v>
      </c>
      <c r="B7247" s="345" t="s">
        <v>11194</v>
      </c>
    </row>
    <row r="7248" spans="1:2" ht="15.75" x14ac:dyDescent="0.25">
      <c r="A7248" s="344" t="s">
        <v>11195</v>
      </c>
      <c r="B7248" s="345" t="s">
        <v>11196</v>
      </c>
    </row>
    <row r="7249" spans="1:2" ht="15.75" x14ac:dyDescent="0.25">
      <c r="A7249" s="344" t="s">
        <v>11197</v>
      </c>
      <c r="B7249" s="345" t="s">
        <v>11198</v>
      </c>
    </row>
    <row r="7250" spans="1:2" ht="15.75" x14ac:dyDescent="0.25">
      <c r="A7250" s="344" t="s">
        <v>11199</v>
      </c>
      <c r="B7250" s="345" t="s">
        <v>11200</v>
      </c>
    </row>
    <row r="7251" spans="1:2" ht="15.75" x14ac:dyDescent="0.25">
      <c r="A7251" s="344" t="s">
        <v>11201</v>
      </c>
      <c r="B7251" s="345" t="s">
        <v>11202</v>
      </c>
    </row>
    <row r="7252" spans="1:2" ht="15.75" x14ac:dyDescent="0.25">
      <c r="A7252" s="344" t="s">
        <v>11203</v>
      </c>
      <c r="B7252" s="345" t="s">
        <v>11204</v>
      </c>
    </row>
    <row r="7253" spans="1:2" ht="15.75" x14ac:dyDescent="0.25">
      <c r="A7253" s="344" t="s">
        <v>11205</v>
      </c>
      <c r="B7253" s="345" t="s">
        <v>11206</v>
      </c>
    </row>
    <row r="7254" spans="1:2" ht="15.75" x14ac:dyDescent="0.25">
      <c r="A7254" s="344" t="s">
        <v>11207</v>
      </c>
      <c r="B7254" s="345" t="s">
        <v>11208</v>
      </c>
    </row>
    <row r="7255" spans="1:2" ht="15.75" x14ac:dyDescent="0.25">
      <c r="A7255" s="344" t="s">
        <v>11209</v>
      </c>
      <c r="B7255" s="345" t="s">
        <v>2946</v>
      </c>
    </row>
    <row r="7256" spans="1:2" ht="15.75" x14ac:dyDescent="0.25">
      <c r="A7256" s="344" t="s">
        <v>11210</v>
      </c>
      <c r="B7256" s="345" t="s">
        <v>2947</v>
      </c>
    </row>
    <row r="7257" spans="1:2" ht="15.75" x14ac:dyDescent="0.25">
      <c r="A7257" s="344" t="s">
        <v>11211</v>
      </c>
      <c r="B7257" s="345" t="s">
        <v>11212</v>
      </c>
    </row>
    <row r="7258" spans="1:2" ht="15.75" x14ac:dyDescent="0.25">
      <c r="A7258" s="344" t="s">
        <v>11213</v>
      </c>
      <c r="B7258" s="345" t="s">
        <v>11214</v>
      </c>
    </row>
    <row r="7259" spans="1:2" ht="15.75" x14ac:dyDescent="0.25">
      <c r="A7259" s="344" t="s">
        <v>11215</v>
      </c>
      <c r="B7259" s="345" t="s">
        <v>11216</v>
      </c>
    </row>
    <row r="7260" spans="1:2" ht="15.75" x14ac:dyDescent="0.25">
      <c r="A7260" s="344" t="s">
        <v>11217</v>
      </c>
      <c r="B7260" s="345" t="s">
        <v>11218</v>
      </c>
    </row>
    <row r="7261" spans="1:2" ht="15.75" x14ac:dyDescent="0.25">
      <c r="A7261" s="344" t="s">
        <v>11219</v>
      </c>
      <c r="B7261" s="345" t="s">
        <v>10706</v>
      </c>
    </row>
    <row r="7262" spans="1:2" ht="15.75" x14ac:dyDescent="0.25">
      <c r="A7262" s="344" t="s">
        <v>11220</v>
      </c>
      <c r="B7262" s="345" t="s">
        <v>11221</v>
      </c>
    </row>
    <row r="7263" spans="1:2" ht="15.75" x14ac:dyDescent="0.25">
      <c r="A7263" s="344" t="s">
        <v>11222</v>
      </c>
      <c r="B7263" s="345" t="s">
        <v>11223</v>
      </c>
    </row>
    <row r="7264" spans="1:2" ht="15.75" x14ac:dyDescent="0.25">
      <c r="A7264" s="344" t="s">
        <v>11224</v>
      </c>
      <c r="B7264" s="345" t="s">
        <v>11225</v>
      </c>
    </row>
    <row r="7265" spans="1:2" ht="15.75" x14ac:dyDescent="0.25">
      <c r="A7265" s="344" t="s">
        <v>11226</v>
      </c>
      <c r="B7265" s="345" t="s">
        <v>11227</v>
      </c>
    </row>
    <row r="7266" spans="1:2" ht="15.75" x14ac:dyDescent="0.25">
      <c r="A7266" s="344" t="s">
        <v>11228</v>
      </c>
      <c r="B7266" s="345" t="s">
        <v>11229</v>
      </c>
    </row>
    <row r="7267" spans="1:2" ht="15.75" x14ac:dyDescent="0.25">
      <c r="A7267" s="344" t="s">
        <v>11230</v>
      </c>
      <c r="B7267" s="345" t="s">
        <v>11231</v>
      </c>
    </row>
    <row r="7268" spans="1:2" ht="15.75" x14ac:dyDescent="0.25">
      <c r="A7268" s="344" t="s">
        <v>11232</v>
      </c>
      <c r="B7268" s="345" t="s">
        <v>11233</v>
      </c>
    </row>
    <row r="7269" spans="1:2" ht="15.75" x14ac:dyDescent="0.25">
      <c r="A7269" s="344" t="s">
        <v>11234</v>
      </c>
      <c r="B7269" s="345" t="s">
        <v>11235</v>
      </c>
    </row>
    <row r="7270" spans="1:2" ht="15.75" x14ac:dyDescent="0.25">
      <c r="A7270" s="344" t="s">
        <v>11236</v>
      </c>
      <c r="B7270" s="345" t="s">
        <v>11237</v>
      </c>
    </row>
    <row r="7271" spans="1:2" ht="15.75" x14ac:dyDescent="0.25">
      <c r="A7271" s="344" t="s">
        <v>11238</v>
      </c>
      <c r="B7271" s="345" t="s">
        <v>11239</v>
      </c>
    </row>
    <row r="7272" spans="1:2" ht="15.75" x14ac:dyDescent="0.25">
      <c r="A7272" s="344" t="s">
        <v>11240</v>
      </c>
      <c r="B7272" s="345" t="s">
        <v>11241</v>
      </c>
    </row>
    <row r="7273" spans="1:2" ht="15.75" x14ac:dyDescent="0.25">
      <c r="A7273" s="344" t="s">
        <v>11242</v>
      </c>
      <c r="B7273" s="345" t="s">
        <v>11243</v>
      </c>
    </row>
    <row r="7274" spans="1:2" ht="15.75" x14ac:dyDescent="0.25">
      <c r="A7274" s="344" t="s">
        <v>11244</v>
      </c>
      <c r="B7274" s="345" t="s">
        <v>11245</v>
      </c>
    </row>
    <row r="7275" spans="1:2" ht="15.75" x14ac:dyDescent="0.25">
      <c r="A7275" s="344" t="s">
        <v>11246</v>
      </c>
      <c r="B7275" s="345" t="s">
        <v>11247</v>
      </c>
    </row>
    <row r="7276" spans="1:2" ht="15.75" x14ac:dyDescent="0.25">
      <c r="A7276" s="344" t="s">
        <v>11248</v>
      </c>
      <c r="B7276" s="345" t="s">
        <v>11249</v>
      </c>
    </row>
    <row r="7277" spans="1:2" ht="15.75" x14ac:dyDescent="0.25">
      <c r="A7277" s="344" t="s">
        <v>11250</v>
      </c>
      <c r="B7277" s="345" t="s">
        <v>11251</v>
      </c>
    </row>
    <row r="7278" spans="1:2" ht="15.75" x14ac:dyDescent="0.25">
      <c r="A7278" s="344" t="s">
        <v>11252</v>
      </c>
      <c r="B7278" s="345" t="s">
        <v>11253</v>
      </c>
    </row>
    <row r="7279" spans="1:2" ht="15.75" x14ac:dyDescent="0.25">
      <c r="A7279" s="344" t="s">
        <v>11254</v>
      </c>
      <c r="B7279" s="345" t="s">
        <v>11255</v>
      </c>
    </row>
    <row r="7280" spans="1:2" ht="15.75" x14ac:dyDescent="0.25">
      <c r="A7280" s="344" t="s">
        <v>11256</v>
      </c>
      <c r="B7280" s="345" t="s">
        <v>11257</v>
      </c>
    </row>
    <row r="7281" spans="1:2" ht="15.75" x14ac:dyDescent="0.25">
      <c r="A7281" s="344" t="s">
        <v>11258</v>
      </c>
      <c r="B7281" s="345" t="s">
        <v>11259</v>
      </c>
    </row>
    <row r="7282" spans="1:2" ht="15.75" x14ac:dyDescent="0.25">
      <c r="A7282" s="344" t="s">
        <v>11260</v>
      </c>
      <c r="B7282" s="345" t="s">
        <v>11261</v>
      </c>
    </row>
    <row r="7283" spans="1:2" ht="15.75" x14ac:dyDescent="0.25">
      <c r="A7283" s="344" t="s">
        <v>11262</v>
      </c>
      <c r="B7283" s="345" t="s">
        <v>11263</v>
      </c>
    </row>
    <row r="7284" spans="1:2" ht="15.75" x14ac:dyDescent="0.25">
      <c r="A7284" s="344" t="s">
        <v>11264</v>
      </c>
      <c r="B7284" s="345" t="s">
        <v>11265</v>
      </c>
    </row>
    <row r="7285" spans="1:2" ht="15.75" x14ac:dyDescent="0.25">
      <c r="A7285" s="344" t="s">
        <v>11266</v>
      </c>
      <c r="B7285" s="345" t="s">
        <v>11267</v>
      </c>
    </row>
    <row r="7286" spans="1:2" ht="15.75" x14ac:dyDescent="0.25">
      <c r="A7286" s="344" t="s">
        <v>11268</v>
      </c>
      <c r="B7286" s="345" t="s">
        <v>11269</v>
      </c>
    </row>
    <row r="7287" spans="1:2" ht="15.75" x14ac:dyDescent="0.25">
      <c r="A7287" s="344" t="s">
        <v>11270</v>
      </c>
      <c r="B7287" s="345" t="s">
        <v>11271</v>
      </c>
    </row>
    <row r="7288" spans="1:2" ht="15.75" x14ac:dyDescent="0.25">
      <c r="A7288" s="344" t="s">
        <v>11272</v>
      </c>
      <c r="B7288" s="345" t="s">
        <v>11273</v>
      </c>
    </row>
    <row r="7289" spans="1:2" ht="15.75" x14ac:dyDescent="0.25">
      <c r="A7289" s="344" t="s">
        <v>11274</v>
      </c>
      <c r="B7289" s="345" t="s">
        <v>11275</v>
      </c>
    </row>
    <row r="7290" spans="1:2" ht="15.75" x14ac:dyDescent="0.25">
      <c r="A7290" s="344" t="s">
        <v>11276</v>
      </c>
      <c r="B7290" s="345" t="s">
        <v>11277</v>
      </c>
    </row>
    <row r="7291" spans="1:2" ht="15.75" x14ac:dyDescent="0.25">
      <c r="A7291" s="344" t="s">
        <v>11278</v>
      </c>
      <c r="B7291" s="345" t="s">
        <v>11279</v>
      </c>
    </row>
    <row r="7292" spans="1:2" ht="15.75" x14ac:dyDescent="0.25">
      <c r="A7292" s="344" t="s">
        <v>11280</v>
      </c>
      <c r="B7292" s="345" t="s">
        <v>11281</v>
      </c>
    </row>
    <row r="7293" spans="1:2" ht="15.75" x14ac:dyDescent="0.25">
      <c r="A7293" s="344" t="s">
        <v>11282</v>
      </c>
      <c r="B7293" s="345" t="s">
        <v>11283</v>
      </c>
    </row>
    <row r="7294" spans="1:2" ht="15.75" x14ac:dyDescent="0.25">
      <c r="A7294" s="344" t="s">
        <v>11284</v>
      </c>
      <c r="B7294" s="345" t="s">
        <v>11285</v>
      </c>
    </row>
    <row r="7295" spans="1:2" ht="15.75" x14ac:dyDescent="0.25">
      <c r="A7295" s="344" t="s">
        <v>11286</v>
      </c>
      <c r="B7295" s="345" t="s">
        <v>11287</v>
      </c>
    </row>
    <row r="7296" spans="1:2" ht="15.75" x14ac:dyDescent="0.25">
      <c r="A7296" s="344" t="s">
        <v>11288</v>
      </c>
      <c r="B7296" s="345" t="s">
        <v>11289</v>
      </c>
    </row>
    <row r="7297" spans="1:2" ht="15.75" x14ac:dyDescent="0.25">
      <c r="A7297" s="344" t="s">
        <v>11290</v>
      </c>
      <c r="B7297" s="345" t="s">
        <v>11291</v>
      </c>
    </row>
    <row r="7298" spans="1:2" ht="15.75" x14ac:dyDescent="0.25">
      <c r="A7298" s="344" t="s">
        <v>11292</v>
      </c>
      <c r="B7298" s="345" t="s">
        <v>11293</v>
      </c>
    </row>
    <row r="7299" spans="1:2" ht="15.75" x14ac:dyDescent="0.25">
      <c r="A7299" s="344" t="s">
        <v>11294</v>
      </c>
      <c r="B7299" s="345" t="s">
        <v>11295</v>
      </c>
    </row>
    <row r="7300" spans="1:2" ht="15.75" x14ac:dyDescent="0.25">
      <c r="A7300" s="344" t="s">
        <v>11296</v>
      </c>
      <c r="B7300" s="345" t="s">
        <v>11297</v>
      </c>
    </row>
    <row r="7301" spans="1:2" ht="15.75" x14ac:dyDescent="0.25">
      <c r="A7301" s="344" t="s">
        <v>11298</v>
      </c>
      <c r="B7301" s="345" t="s">
        <v>11299</v>
      </c>
    </row>
    <row r="7302" spans="1:2" ht="15.75" x14ac:dyDescent="0.25">
      <c r="A7302" s="344" t="s">
        <v>11300</v>
      </c>
      <c r="B7302" s="345" t="s">
        <v>11301</v>
      </c>
    </row>
    <row r="7303" spans="1:2" ht="15.75" x14ac:dyDescent="0.25">
      <c r="A7303" s="344" t="s">
        <v>11302</v>
      </c>
      <c r="B7303" s="345" t="s">
        <v>11303</v>
      </c>
    </row>
    <row r="7304" spans="1:2" ht="15.75" x14ac:dyDescent="0.25">
      <c r="A7304" s="344" t="s">
        <v>11304</v>
      </c>
      <c r="B7304" s="345" t="s">
        <v>11305</v>
      </c>
    </row>
    <row r="7305" spans="1:2" ht="15.75" x14ac:dyDescent="0.25">
      <c r="A7305" s="344" t="s">
        <v>11306</v>
      </c>
      <c r="B7305" s="345" t="s">
        <v>11307</v>
      </c>
    </row>
    <row r="7306" spans="1:2" ht="15.75" x14ac:dyDescent="0.25">
      <c r="A7306" s="344" t="s">
        <v>11308</v>
      </c>
      <c r="B7306" s="345" t="s">
        <v>11309</v>
      </c>
    </row>
    <row r="7307" spans="1:2" ht="15.75" x14ac:dyDescent="0.25">
      <c r="A7307" s="344" t="s">
        <v>11310</v>
      </c>
      <c r="B7307" s="345" t="s">
        <v>11311</v>
      </c>
    </row>
    <row r="7308" spans="1:2" ht="15.75" x14ac:dyDescent="0.25">
      <c r="A7308" s="344" t="s">
        <v>11312</v>
      </c>
      <c r="B7308" s="345" t="s">
        <v>11313</v>
      </c>
    </row>
    <row r="7309" spans="1:2" ht="15.75" x14ac:dyDescent="0.25">
      <c r="A7309" s="344" t="s">
        <v>11314</v>
      </c>
      <c r="B7309" s="345" t="s">
        <v>11315</v>
      </c>
    </row>
    <row r="7310" spans="1:2" ht="15.75" x14ac:dyDescent="0.25">
      <c r="A7310" s="344" t="s">
        <v>11316</v>
      </c>
      <c r="B7310" s="345" t="s">
        <v>11317</v>
      </c>
    </row>
    <row r="7311" spans="1:2" ht="15.75" x14ac:dyDescent="0.25">
      <c r="A7311" s="344" t="s">
        <v>11318</v>
      </c>
      <c r="B7311" s="345" t="s">
        <v>4527</v>
      </c>
    </row>
    <row r="7312" spans="1:2" ht="15.75" x14ac:dyDescent="0.25">
      <c r="A7312" s="344" t="s">
        <v>11319</v>
      </c>
      <c r="B7312" s="345" t="s">
        <v>11320</v>
      </c>
    </row>
    <row r="7313" spans="1:2" ht="15.75" x14ac:dyDescent="0.25">
      <c r="A7313" s="344" t="s">
        <v>11321</v>
      </c>
      <c r="B7313" s="345" t="s">
        <v>11322</v>
      </c>
    </row>
    <row r="7314" spans="1:2" ht="15.75" x14ac:dyDescent="0.25">
      <c r="A7314" s="344" t="s">
        <v>11323</v>
      </c>
      <c r="B7314" s="345" t="s">
        <v>3906</v>
      </c>
    </row>
    <row r="7315" spans="1:2" ht="15.75" x14ac:dyDescent="0.25">
      <c r="A7315" s="344" t="s">
        <v>11324</v>
      </c>
      <c r="B7315" s="345" t="s">
        <v>11325</v>
      </c>
    </row>
    <row r="7316" spans="1:2" ht="15.75" x14ac:dyDescent="0.25">
      <c r="A7316" s="344" t="s">
        <v>11326</v>
      </c>
      <c r="B7316" s="345" t="s">
        <v>11327</v>
      </c>
    </row>
    <row r="7317" spans="1:2" ht="15.75" x14ac:dyDescent="0.25">
      <c r="A7317" s="344" t="s">
        <v>11328</v>
      </c>
      <c r="B7317" s="345" t="s">
        <v>11329</v>
      </c>
    </row>
    <row r="7318" spans="1:2" ht="15.75" x14ac:dyDescent="0.25">
      <c r="A7318" s="344" t="s">
        <v>11330</v>
      </c>
      <c r="B7318" s="345" t="s">
        <v>11331</v>
      </c>
    </row>
    <row r="7319" spans="1:2" ht="15.75" x14ac:dyDescent="0.25">
      <c r="A7319" s="344" t="s">
        <v>11332</v>
      </c>
      <c r="B7319" s="345" t="s">
        <v>11333</v>
      </c>
    </row>
    <row r="7320" spans="1:2" ht="15.75" x14ac:dyDescent="0.25">
      <c r="A7320" s="344" t="s">
        <v>11334</v>
      </c>
      <c r="B7320" s="345" t="s">
        <v>11335</v>
      </c>
    </row>
    <row r="7321" spans="1:2" ht="15.75" x14ac:dyDescent="0.25">
      <c r="A7321" s="344" t="s">
        <v>11336</v>
      </c>
      <c r="B7321" s="345" t="s">
        <v>11337</v>
      </c>
    </row>
    <row r="7322" spans="1:2" ht="15.75" x14ac:dyDescent="0.25">
      <c r="A7322" s="344" t="s">
        <v>11338</v>
      </c>
      <c r="B7322" s="345" t="s">
        <v>11339</v>
      </c>
    </row>
    <row r="7323" spans="1:2" ht="15.75" x14ac:dyDescent="0.25">
      <c r="A7323" s="344" t="s">
        <v>11340</v>
      </c>
      <c r="B7323" s="345" t="s">
        <v>11341</v>
      </c>
    </row>
    <row r="7324" spans="1:2" ht="15.75" x14ac:dyDescent="0.25">
      <c r="A7324" s="344" t="s">
        <v>11342</v>
      </c>
      <c r="B7324" s="345" t="s">
        <v>11343</v>
      </c>
    </row>
    <row r="7325" spans="1:2" ht="15.75" x14ac:dyDescent="0.25">
      <c r="A7325" s="344" t="s">
        <v>11344</v>
      </c>
      <c r="B7325" s="345" t="s">
        <v>11345</v>
      </c>
    </row>
    <row r="7326" spans="1:2" ht="15.75" x14ac:dyDescent="0.25">
      <c r="A7326" s="344" t="s">
        <v>11346</v>
      </c>
      <c r="B7326" s="345" t="s">
        <v>11347</v>
      </c>
    </row>
    <row r="7327" spans="1:2" ht="15.75" x14ac:dyDescent="0.25">
      <c r="A7327" s="344" t="s">
        <v>11348</v>
      </c>
      <c r="B7327" s="345" t="s">
        <v>11349</v>
      </c>
    </row>
    <row r="7328" spans="1:2" ht="15.75" x14ac:dyDescent="0.25">
      <c r="A7328" s="344" t="s">
        <v>11350</v>
      </c>
      <c r="B7328" s="345" t="s">
        <v>11351</v>
      </c>
    </row>
    <row r="7329" spans="1:2" ht="15.75" x14ac:dyDescent="0.25">
      <c r="A7329" s="344" t="s">
        <v>11352</v>
      </c>
      <c r="B7329" s="345" t="s">
        <v>11353</v>
      </c>
    </row>
    <row r="7330" spans="1:2" ht="15.75" x14ac:dyDescent="0.25">
      <c r="A7330" s="344" t="s">
        <v>11354</v>
      </c>
      <c r="B7330" s="345" t="s">
        <v>11355</v>
      </c>
    </row>
    <row r="7331" spans="1:2" ht="15.75" x14ac:dyDescent="0.25">
      <c r="A7331" s="344" t="s">
        <v>11356</v>
      </c>
      <c r="B7331" s="345" t="s">
        <v>11357</v>
      </c>
    </row>
    <row r="7332" spans="1:2" ht="15.75" x14ac:dyDescent="0.25">
      <c r="A7332" s="344" t="s">
        <v>11358</v>
      </c>
      <c r="B7332" s="345" t="s">
        <v>11359</v>
      </c>
    </row>
    <row r="7333" spans="1:2" ht="15.75" x14ac:dyDescent="0.25">
      <c r="A7333" s="344" t="s">
        <v>11360</v>
      </c>
      <c r="B7333" s="345" t="s">
        <v>4943</v>
      </c>
    </row>
    <row r="7334" spans="1:2" ht="15.75" x14ac:dyDescent="0.25">
      <c r="A7334" s="344" t="s">
        <v>11361</v>
      </c>
      <c r="B7334" s="345" t="s">
        <v>11362</v>
      </c>
    </row>
    <row r="7335" spans="1:2" ht="15.75" x14ac:dyDescent="0.25">
      <c r="A7335" s="344" t="s">
        <v>11363</v>
      </c>
      <c r="B7335" s="345" t="s">
        <v>11364</v>
      </c>
    </row>
    <row r="7336" spans="1:2" ht="15.75" x14ac:dyDescent="0.25">
      <c r="A7336" s="344" t="s">
        <v>11365</v>
      </c>
      <c r="B7336" s="345" t="s">
        <v>11366</v>
      </c>
    </row>
    <row r="7337" spans="1:2" ht="15.75" x14ac:dyDescent="0.25">
      <c r="A7337" s="344" t="s">
        <v>11367</v>
      </c>
      <c r="B7337" s="345" t="s">
        <v>11368</v>
      </c>
    </row>
    <row r="7338" spans="1:2" ht="15.75" x14ac:dyDescent="0.25">
      <c r="A7338" s="344" t="s">
        <v>11369</v>
      </c>
      <c r="B7338" s="345" t="s">
        <v>11370</v>
      </c>
    </row>
    <row r="7339" spans="1:2" ht="15.75" x14ac:dyDescent="0.25">
      <c r="A7339" s="344" t="s">
        <v>11371</v>
      </c>
      <c r="B7339" s="345" t="s">
        <v>11372</v>
      </c>
    </row>
    <row r="7340" spans="1:2" ht="15.75" x14ac:dyDescent="0.25">
      <c r="A7340" s="344" t="s">
        <v>11373</v>
      </c>
      <c r="B7340" s="345" t="s">
        <v>11374</v>
      </c>
    </row>
    <row r="7341" spans="1:2" ht="15.75" x14ac:dyDescent="0.25">
      <c r="A7341" s="344" t="s">
        <v>11375</v>
      </c>
      <c r="B7341" s="345" t="s">
        <v>11376</v>
      </c>
    </row>
    <row r="7342" spans="1:2" ht="15.75" x14ac:dyDescent="0.25">
      <c r="A7342" s="344" t="s">
        <v>11377</v>
      </c>
      <c r="B7342" s="345" t="s">
        <v>11378</v>
      </c>
    </row>
    <row r="7343" spans="1:2" ht="15.75" x14ac:dyDescent="0.25">
      <c r="A7343" s="344" t="s">
        <v>11379</v>
      </c>
      <c r="B7343" s="345" t="s">
        <v>11380</v>
      </c>
    </row>
    <row r="7344" spans="1:2" ht="15.75" x14ac:dyDescent="0.25">
      <c r="A7344" s="344" t="s">
        <v>11381</v>
      </c>
      <c r="B7344" s="345" t="s">
        <v>11382</v>
      </c>
    </row>
    <row r="7345" spans="1:2" ht="15.75" x14ac:dyDescent="0.25">
      <c r="A7345" s="344" t="s">
        <v>11383</v>
      </c>
      <c r="B7345" s="345" t="s">
        <v>11384</v>
      </c>
    </row>
    <row r="7346" spans="1:2" ht="15.75" x14ac:dyDescent="0.25">
      <c r="A7346" s="344" t="s">
        <v>11385</v>
      </c>
      <c r="B7346" s="345" t="s">
        <v>11386</v>
      </c>
    </row>
    <row r="7347" spans="1:2" ht="15.75" x14ac:dyDescent="0.25">
      <c r="A7347" s="344" t="s">
        <v>11387</v>
      </c>
      <c r="B7347" s="345" t="s">
        <v>11388</v>
      </c>
    </row>
    <row r="7348" spans="1:2" ht="15.75" x14ac:dyDescent="0.25">
      <c r="A7348" s="344" t="s">
        <v>11389</v>
      </c>
      <c r="B7348" s="345" t="s">
        <v>11390</v>
      </c>
    </row>
    <row r="7349" spans="1:2" ht="15.75" x14ac:dyDescent="0.25">
      <c r="A7349" s="344" t="s">
        <v>11391</v>
      </c>
      <c r="B7349" s="345" t="s">
        <v>11392</v>
      </c>
    </row>
    <row r="7350" spans="1:2" ht="15.75" x14ac:dyDescent="0.25">
      <c r="A7350" s="344" t="s">
        <v>11393</v>
      </c>
      <c r="B7350" s="345" t="s">
        <v>11394</v>
      </c>
    </row>
    <row r="7351" spans="1:2" ht="15.75" x14ac:dyDescent="0.25">
      <c r="A7351" s="344" t="s">
        <v>11395</v>
      </c>
      <c r="B7351" s="345" t="s">
        <v>11396</v>
      </c>
    </row>
    <row r="7352" spans="1:2" ht="15.75" x14ac:dyDescent="0.25">
      <c r="A7352" s="344" t="s">
        <v>11397</v>
      </c>
      <c r="B7352" s="345" t="s">
        <v>11398</v>
      </c>
    </row>
    <row r="7353" spans="1:2" ht="15.75" x14ac:dyDescent="0.25">
      <c r="A7353" s="344" t="s">
        <v>11399</v>
      </c>
      <c r="B7353" s="345" t="s">
        <v>11400</v>
      </c>
    </row>
    <row r="7354" spans="1:2" ht="15.75" x14ac:dyDescent="0.25">
      <c r="A7354" s="344" t="s">
        <v>11401</v>
      </c>
      <c r="B7354" s="345" t="s">
        <v>11402</v>
      </c>
    </row>
    <row r="7355" spans="1:2" ht="15.75" x14ac:dyDescent="0.25">
      <c r="A7355" s="344" t="s">
        <v>11403</v>
      </c>
      <c r="B7355" s="345" t="s">
        <v>11404</v>
      </c>
    </row>
    <row r="7356" spans="1:2" ht="15.75" x14ac:dyDescent="0.25">
      <c r="A7356" s="344" t="s">
        <v>11405</v>
      </c>
      <c r="B7356" s="345" t="s">
        <v>11406</v>
      </c>
    </row>
    <row r="7357" spans="1:2" ht="15.75" x14ac:dyDescent="0.25">
      <c r="A7357" s="344" t="s">
        <v>11407</v>
      </c>
      <c r="B7357" s="345" t="s">
        <v>11408</v>
      </c>
    </row>
    <row r="7358" spans="1:2" ht="15.75" x14ac:dyDescent="0.25">
      <c r="A7358" s="344" t="s">
        <v>11409</v>
      </c>
      <c r="B7358" s="345" t="s">
        <v>11410</v>
      </c>
    </row>
    <row r="7359" spans="1:2" ht="15.75" x14ac:dyDescent="0.25">
      <c r="A7359" s="344" t="s">
        <v>11411</v>
      </c>
      <c r="B7359" s="345" t="s">
        <v>11412</v>
      </c>
    </row>
    <row r="7360" spans="1:2" ht="15.75" x14ac:dyDescent="0.25">
      <c r="A7360" s="344" t="s">
        <v>11413</v>
      </c>
      <c r="B7360" s="345" t="s">
        <v>11414</v>
      </c>
    </row>
    <row r="7361" spans="1:2" ht="15.75" x14ac:dyDescent="0.25">
      <c r="A7361" s="344" t="s">
        <v>11415</v>
      </c>
      <c r="B7361" s="345" t="s">
        <v>11416</v>
      </c>
    </row>
    <row r="7362" spans="1:2" ht="15.75" x14ac:dyDescent="0.25">
      <c r="A7362" s="344" t="s">
        <v>11417</v>
      </c>
      <c r="B7362" s="345" t="s">
        <v>11418</v>
      </c>
    </row>
    <row r="7363" spans="1:2" ht="15.75" x14ac:dyDescent="0.25">
      <c r="A7363" s="344" t="s">
        <v>11419</v>
      </c>
      <c r="B7363" s="345" t="s">
        <v>11420</v>
      </c>
    </row>
    <row r="7364" spans="1:2" ht="15.75" x14ac:dyDescent="0.25">
      <c r="A7364" s="344" t="s">
        <v>11421</v>
      </c>
      <c r="B7364" s="345" t="s">
        <v>11422</v>
      </c>
    </row>
    <row r="7365" spans="1:2" ht="15.75" x14ac:dyDescent="0.25">
      <c r="A7365" s="344" t="s">
        <v>11423</v>
      </c>
      <c r="B7365" s="345" t="s">
        <v>11424</v>
      </c>
    </row>
    <row r="7366" spans="1:2" ht="15.75" x14ac:dyDescent="0.25">
      <c r="A7366" s="344" t="s">
        <v>11425</v>
      </c>
      <c r="B7366" s="345" t="s">
        <v>11426</v>
      </c>
    </row>
    <row r="7367" spans="1:2" ht="15.75" x14ac:dyDescent="0.25">
      <c r="A7367" s="344" t="s">
        <v>11427</v>
      </c>
      <c r="B7367" s="345" t="s">
        <v>11428</v>
      </c>
    </row>
    <row r="7368" spans="1:2" ht="15.75" x14ac:dyDescent="0.25">
      <c r="A7368" s="344" t="s">
        <v>11429</v>
      </c>
      <c r="B7368" s="345" t="s">
        <v>11430</v>
      </c>
    </row>
    <row r="7369" spans="1:2" ht="15.75" x14ac:dyDescent="0.25">
      <c r="A7369" s="344" t="s">
        <v>11431</v>
      </c>
      <c r="B7369" s="345" t="s">
        <v>11432</v>
      </c>
    </row>
    <row r="7370" spans="1:2" ht="15.75" x14ac:dyDescent="0.25">
      <c r="A7370" s="344" t="s">
        <v>11433</v>
      </c>
      <c r="B7370" s="345" t="s">
        <v>11434</v>
      </c>
    </row>
    <row r="7371" spans="1:2" ht="15.75" x14ac:dyDescent="0.25">
      <c r="A7371" s="344" t="s">
        <v>11435</v>
      </c>
      <c r="B7371" s="345" t="s">
        <v>11436</v>
      </c>
    </row>
    <row r="7372" spans="1:2" ht="15.75" x14ac:dyDescent="0.25">
      <c r="A7372" s="344" t="s">
        <v>11437</v>
      </c>
      <c r="B7372" s="345" t="s">
        <v>11438</v>
      </c>
    </row>
    <row r="7373" spans="1:2" ht="15.75" x14ac:dyDescent="0.25">
      <c r="A7373" s="344" t="s">
        <v>11439</v>
      </c>
      <c r="B7373" s="345" t="s">
        <v>11440</v>
      </c>
    </row>
    <row r="7374" spans="1:2" ht="15.75" x14ac:dyDescent="0.25">
      <c r="A7374" s="344" t="s">
        <v>11441</v>
      </c>
      <c r="B7374" s="345" t="s">
        <v>11442</v>
      </c>
    </row>
    <row r="7375" spans="1:2" ht="15.75" x14ac:dyDescent="0.25">
      <c r="A7375" s="344" t="s">
        <v>11443</v>
      </c>
      <c r="B7375" s="345" t="s">
        <v>11444</v>
      </c>
    </row>
    <row r="7376" spans="1:2" ht="15.75" x14ac:dyDescent="0.25">
      <c r="A7376" s="344" t="s">
        <v>11445</v>
      </c>
      <c r="B7376" s="345" t="s">
        <v>11446</v>
      </c>
    </row>
    <row r="7377" spans="1:2" ht="15.75" x14ac:dyDescent="0.25">
      <c r="A7377" s="344" t="s">
        <v>11447</v>
      </c>
      <c r="B7377" s="345" t="s">
        <v>11448</v>
      </c>
    </row>
    <row r="7378" spans="1:2" ht="15.75" x14ac:dyDescent="0.25">
      <c r="A7378" s="344" t="s">
        <v>11449</v>
      </c>
      <c r="B7378" s="345" t="s">
        <v>11450</v>
      </c>
    </row>
    <row r="7379" spans="1:2" ht="15.75" x14ac:dyDescent="0.25">
      <c r="A7379" s="344" t="s">
        <v>11451</v>
      </c>
      <c r="B7379" s="345" t="s">
        <v>11452</v>
      </c>
    </row>
    <row r="7380" spans="1:2" ht="15.75" x14ac:dyDescent="0.25">
      <c r="A7380" s="344" t="s">
        <v>11453</v>
      </c>
      <c r="B7380" s="345" t="s">
        <v>11454</v>
      </c>
    </row>
    <row r="7381" spans="1:2" ht="15.75" x14ac:dyDescent="0.25">
      <c r="A7381" s="344" t="s">
        <v>11455</v>
      </c>
      <c r="B7381" s="345" t="s">
        <v>11456</v>
      </c>
    </row>
    <row r="7382" spans="1:2" ht="15.75" x14ac:dyDescent="0.25">
      <c r="A7382" s="344" t="s">
        <v>11457</v>
      </c>
      <c r="B7382" s="345" t="s">
        <v>11458</v>
      </c>
    </row>
    <row r="7383" spans="1:2" ht="15.75" x14ac:dyDescent="0.25">
      <c r="A7383" s="344" t="s">
        <v>11459</v>
      </c>
      <c r="B7383" s="345" t="s">
        <v>4461</v>
      </c>
    </row>
    <row r="7384" spans="1:2" ht="15.75" x14ac:dyDescent="0.25">
      <c r="A7384" s="344" t="s">
        <v>11460</v>
      </c>
      <c r="B7384" s="345" t="s">
        <v>11461</v>
      </c>
    </row>
    <row r="7385" spans="1:2" ht="15.75" x14ac:dyDescent="0.25">
      <c r="A7385" s="344" t="s">
        <v>11462</v>
      </c>
      <c r="B7385" s="345" t="s">
        <v>11463</v>
      </c>
    </row>
    <row r="7386" spans="1:2" ht="15.75" x14ac:dyDescent="0.25">
      <c r="A7386" s="344" t="s">
        <v>11464</v>
      </c>
      <c r="B7386" s="345" t="s">
        <v>11465</v>
      </c>
    </row>
    <row r="7387" spans="1:2" ht="15.75" x14ac:dyDescent="0.25">
      <c r="A7387" s="344" t="s">
        <v>11466</v>
      </c>
      <c r="B7387" s="345" t="s">
        <v>11467</v>
      </c>
    </row>
    <row r="7388" spans="1:2" ht="15.75" x14ac:dyDescent="0.25">
      <c r="A7388" s="344" t="s">
        <v>11468</v>
      </c>
      <c r="B7388" s="345" t="s">
        <v>11469</v>
      </c>
    </row>
    <row r="7389" spans="1:2" ht="15.75" x14ac:dyDescent="0.25">
      <c r="A7389" s="344" t="s">
        <v>11470</v>
      </c>
      <c r="B7389" s="345" t="s">
        <v>11471</v>
      </c>
    </row>
    <row r="7390" spans="1:2" ht="15.75" x14ac:dyDescent="0.25">
      <c r="A7390" s="344" t="s">
        <v>11472</v>
      </c>
      <c r="B7390" s="345" t="s">
        <v>11473</v>
      </c>
    </row>
    <row r="7391" spans="1:2" ht="15.75" x14ac:dyDescent="0.25">
      <c r="A7391" s="344" t="s">
        <v>11474</v>
      </c>
      <c r="B7391" s="345" t="s">
        <v>11475</v>
      </c>
    </row>
    <row r="7392" spans="1:2" ht="15.75" x14ac:dyDescent="0.25">
      <c r="A7392" s="344" t="s">
        <v>11476</v>
      </c>
      <c r="B7392" s="345" t="s">
        <v>11477</v>
      </c>
    </row>
    <row r="7393" spans="1:2" ht="15.75" x14ac:dyDescent="0.25">
      <c r="A7393" s="344" t="s">
        <v>11478</v>
      </c>
      <c r="B7393" s="345" t="s">
        <v>11479</v>
      </c>
    </row>
    <row r="7394" spans="1:2" ht="15.75" x14ac:dyDescent="0.25">
      <c r="A7394" s="344" t="s">
        <v>11480</v>
      </c>
      <c r="B7394" s="345" t="s">
        <v>11481</v>
      </c>
    </row>
    <row r="7395" spans="1:2" ht="15.75" x14ac:dyDescent="0.25">
      <c r="A7395" s="344" t="s">
        <v>11482</v>
      </c>
      <c r="B7395" s="345" t="s">
        <v>11483</v>
      </c>
    </row>
    <row r="7396" spans="1:2" ht="15.75" x14ac:dyDescent="0.25">
      <c r="A7396" s="344" t="s">
        <v>11484</v>
      </c>
      <c r="B7396" s="345" t="s">
        <v>11485</v>
      </c>
    </row>
    <row r="7397" spans="1:2" ht="15.75" x14ac:dyDescent="0.25">
      <c r="A7397" s="344" t="s">
        <v>11486</v>
      </c>
      <c r="B7397" s="345" t="s">
        <v>11487</v>
      </c>
    </row>
    <row r="7398" spans="1:2" ht="15.75" x14ac:dyDescent="0.25">
      <c r="A7398" s="344" t="s">
        <v>11488</v>
      </c>
      <c r="B7398" s="345" t="s">
        <v>11489</v>
      </c>
    </row>
    <row r="7399" spans="1:2" ht="15.75" x14ac:dyDescent="0.25">
      <c r="A7399" s="344" t="s">
        <v>11490</v>
      </c>
      <c r="B7399" s="345" t="s">
        <v>11491</v>
      </c>
    </row>
    <row r="7400" spans="1:2" ht="15.75" x14ac:dyDescent="0.25">
      <c r="A7400" s="344" t="s">
        <v>11492</v>
      </c>
      <c r="B7400" s="345" t="s">
        <v>11493</v>
      </c>
    </row>
    <row r="7401" spans="1:2" ht="15.75" x14ac:dyDescent="0.25">
      <c r="A7401" s="344" t="s">
        <v>11494</v>
      </c>
      <c r="B7401" s="345" t="s">
        <v>11495</v>
      </c>
    </row>
    <row r="7402" spans="1:2" ht="15.75" x14ac:dyDescent="0.25">
      <c r="A7402" s="344" t="s">
        <v>11496</v>
      </c>
      <c r="B7402" s="345" t="s">
        <v>11497</v>
      </c>
    </row>
    <row r="7403" spans="1:2" ht="15.75" x14ac:dyDescent="0.25">
      <c r="A7403" s="344" t="s">
        <v>11498</v>
      </c>
      <c r="B7403" s="345" t="s">
        <v>11499</v>
      </c>
    </row>
    <row r="7404" spans="1:2" ht="15.75" x14ac:dyDescent="0.25">
      <c r="A7404" s="344" t="s">
        <v>11500</v>
      </c>
      <c r="B7404" s="345" t="s">
        <v>11501</v>
      </c>
    </row>
    <row r="7405" spans="1:2" ht="15.75" x14ac:dyDescent="0.25">
      <c r="A7405" s="344" t="s">
        <v>11502</v>
      </c>
      <c r="B7405" s="345" t="s">
        <v>11503</v>
      </c>
    </row>
    <row r="7406" spans="1:2" ht="15.75" x14ac:dyDescent="0.25">
      <c r="A7406" s="344" t="s">
        <v>11504</v>
      </c>
      <c r="B7406" s="345" t="s">
        <v>11505</v>
      </c>
    </row>
    <row r="7407" spans="1:2" ht="15.75" x14ac:dyDescent="0.25">
      <c r="A7407" s="344" t="s">
        <v>11506</v>
      </c>
      <c r="B7407" s="345" t="s">
        <v>3947</v>
      </c>
    </row>
    <row r="7408" spans="1:2" ht="15.75" x14ac:dyDescent="0.25">
      <c r="A7408" s="344" t="s">
        <v>11507</v>
      </c>
      <c r="B7408" s="345" t="s">
        <v>4913</v>
      </c>
    </row>
    <row r="7409" spans="1:2" ht="15.75" x14ac:dyDescent="0.25">
      <c r="A7409" s="344" t="s">
        <v>11508</v>
      </c>
      <c r="B7409" s="345" t="s">
        <v>11509</v>
      </c>
    </row>
    <row r="7410" spans="1:2" ht="15.75" x14ac:dyDescent="0.25">
      <c r="A7410" s="344" t="s">
        <v>11510</v>
      </c>
      <c r="B7410" s="345" t="s">
        <v>11511</v>
      </c>
    </row>
    <row r="7411" spans="1:2" ht="15.75" x14ac:dyDescent="0.25">
      <c r="A7411" s="344" t="s">
        <v>11512</v>
      </c>
      <c r="B7411" s="345" t="s">
        <v>11513</v>
      </c>
    </row>
    <row r="7412" spans="1:2" ht="15.75" x14ac:dyDescent="0.25">
      <c r="A7412" s="344" t="s">
        <v>11514</v>
      </c>
      <c r="B7412" s="345" t="s">
        <v>11515</v>
      </c>
    </row>
    <row r="7413" spans="1:2" ht="15.75" x14ac:dyDescent="0.25">
      <c r="A7413" s="344" t="s">
        <v>11516</v>
      </c>
      <c r="B7413" s="345" t="s">
        <v>11517</v>
      </c>
    </row>
    <row r="7414" spans="1:2" ht="15.75" x14ac:dyDescent="0.25">
      <c r="A7414" s="344" t="s">
        <v>11518</v>
      </c>
      <c r="B7414" s="345" t="s">
        <v>11519</v>
      </c>
    </row>
    <row r="7415" spans="1:2" ht="15.75" x14ac:dyDescent="0.25">
      <c r="A7415" s="344" t="s">
        <v>11520</v>
      </c>
      <c r="B7415" s="345" t="s">
        <v>11521</v>
      </c>
    </row>
    <row r="7416" spans="1:2" ht="15.75" x14ac:dyDescent="0.25">
      <c r="A7416" s="344" t="s">
        <v>11522</v>
      </c>
      <c r="B7416" s="345" t="s">
        <v>11523</v>
      </c>
    </row>
    <row r="7417" spans="1:2" ht="15.75" x14ac:dyDescent="0.25">
      <c r="A7417" s="344" t="s">
        <v>11524</v>
      </c>
      <c r="B7417" s="345" t="s">
        <v>11525</v>
      </c>
    </row>
    <row r="7418" spans="1:2" ht="15.75" x14ac:dyDescent="0.25">
      <c r="A7418" s="344" t="s">
        <v>11526</v>
      </c>
      <c r="B7418" s="345" t="s">
        <v>11527</v>
      </c>
    </row>
    <row r="7419" spans="1:2" ht="15.75" x14ac:dyDescent="0.25">
      <c r="A7419" s="344" t="s">
        <v>11528</v>
      </c>
      <c r="B7419" s="345" t="s">
        <v>11529</v>
      </c>
    </row>
    <row r="7420" spans="1:2" ht="15.75" x14ac:dyDescent="0.25">
      <c r="A7420" s="344" t="s">
        <v>11530</v>
      </c>
      <c r="B7420" s="345" t="s">
        <v>11531</v>
      </c>
    </row>
    <row r="7421" spans="1:2" ht="15.75" x14ac:dyDescent="0.25">
      <c r="A7421" s="344" t="s">
        <v>11532</v>
      </c>
      <c r="B7421" s="345" t="s">
        <v>11533</v>
      </c>
    </row>
    <row r="7422" spans="1:2" ht="15.75" x14ac:dyDescent="0.25">
      <c r="A7422" s="344" t="s">
        <v>11534</v>
      </c>
      <c r="B7422" s="345" t="s">
        <v>11533</v>
      </c>
    </row>
    <row r="7423" spans="1:2" ht="15.75" x14ac:dyDescent="0.25">
      <c r="A7423" s="344" t="s">
        <v>11535</v>
      </c>
      <c r="B7423" s="345" t="s">
        <v>2080</v>
      </c>
    </row>
    <row r="7424" spans="1:2" ht="15.75" x14ac:dyDescent="0.25">
      <c r="A7424" s="344" t="s">
        <v>11536</v>
      </c>
      <c r="B7424" s="345" t="s">
        <v>4047</v>
      </c>
    </row>
    <row r="7425" spans="1:2" ht="15.75" x14ac:dyDescent="0.25">
      <c r="A7425" s="344" t="s">
        <v>11537</v>
      </c>
      <c r="B7425" s="345" t="s">
        <v>11538</v>
      </c>
    </row>
    <row r="7426" spans="1:2" ht="15.75" x14ac:dyDescent="0.25">
      <c r="A7426" s="344" t="s">
        <v>11539</v>
      </c>
      <c r="B7426" s="345" t="s">
        <v>4048</v>
      </c>
    </row>
    <row r="7427" spans="1:2" ht="15.75" x14ac:dyDescent="0.25">
      <c r="A7427" s="344" t="s">
        <v>11540</v>
      </c>
      <c r="B7427" s="345" t="s">
        <v>2081</v>
      </c>
    </row>
    <row r="7428" spans="1:2" ht="15.75" x14ac:dyDescent="0.25">
      <c r="A7428" s="344" t="s">
        <v>11541</v>
      </c>
      <c r="B7428" s="345" t="s">
        <v>4049</v>
      </c>
    </row>
    <row r="7429" spans="1:2" ht="15.75" x14ac:dyDescent="0.25">
      <c r="A7429" s="344" t="s">
        <v>11542</v>
      </c>
      <c r="B7429" s="345" t="s">
        <v>4050</v>
      </c>
    </row>
    <row r="7430" spans="1:2" ht="15.75" x14ac:dyDescent="0.25">
      <c r="A7430" s="344" t="s">
        <v>11543</v>
      </c>
      <c r="B7430" s="345" t="s">
        <v>11544</v>
      </c>
    </row>
    <row r="7431" spans="1:2" ht="15.75" x14ac:dyDescent="0.25">
      <c r="A7431" s="344" t="s">
        <v>11545</v>
      </c>
      <c r="B7431" s="345" t="s">
        <v>4051</v>
      </c>
    </row>
    <row r="7432" spans="1:2" ht="15.75" x14ac:dyDescent="0.25">
      <c r="A7432" s="344" t="s">
        <v>11546</v>
      </c>
      <c r="B7432" s="345" t="s">
        <v>4052</v>
      </c>
    </row>
    <row r="7433" spans="1:2" ht="15.75" x14ac:dyDescent="0.25">
      <c r="A7433" s="344" t="s">
        <v>11547</v>
      </c>
      <c r="B7433" s="345" t="s">
        <v>4053</v>
      </c>
    </row>
    <row r="7434" spans="1:2" ht="15.75" x14ac:dyDescent="0.25">
      <c r="A7434" s="344" t="s">
        <v>11548</v>
      </c>
      <c r="B7434" s="345" t="s">
        <v>4054</v>
      </c>
    </row>
    <row r="7435" spans="1:2" ht="15.75" x14ac:dyDescent="0.25">
      <c r="A7435" s="344" t="s">
        <v>11549</v>
      </c>
      <c r="B7435" s="345" t="s">
        <v>4055</v>
      </c>
    </row>
    <row r="7436" spans="1:2" ht="15.75" x14ac:dyDescent="0.25">
      <c r="A7436" s="344" t="s">
        <v>11550</v>
      </c>
      <c r="B7436" s="345" t="s">
        <v>4056</v>
      </c>
    </row>
    <row r="7437" spans="1:2" ht="15.75" x14ac:dyDescent="0.25">
      <c r="A7437" s="344" t="s">
        <v>11551</v>
      </c>
      <c r="B7437" s="345" t="s">
        <v>4057</v>
      </c>
    </row>
    <row r="7438" spans="1:2" ht="15.75" x14ac:dyDescent="0.25">
      <c r="A7438" s="344" t="s">
        <v>11552</v>
      </c>
      <c r="B7438" s="345" t="s">
        <v>11553</v>
      </c>
    </row>
    <row r="7439" spans="1:2" ht="15.75" x14ac:dyDescent="0.25">
      <c r="A7439" s="344" t="s">
        <v>11554</v>
      </c>
      <c r="B7439" s="345" t="s">
        <v>4058</v>
      </c>
    </row>
    <row r="7440" spans="1:2" ht="15.75" x14ac:dyDescent="0.25">
      <c r="A7440" s="344" t="s">
        <v>1731</v>
      </c>
      <c r="B7440" s="345" t="s">
        <v>1732</v>
      </c>
    </row>
    <row r="7441" spans="1:2" ht="15.75" x14ac:dyDescent="0.25">
      <c r="A7441" s="344" t="s">
        <v>11555</v>
      </c>
      <c r="B7441" s="345" t="s">
        <v>11556</v>
      </c>
    </row>
    <row r="7442" spans="1:2" ht="15.75" x14ac:dyDescent="0.25">
      <c r="A7442" s="344" t="s">
        <v>11557</v>
      </c>
      <c r="B7442" s="345" t="s">
        <v>11558</v>
      </c>
    </row>
    <row r="7443" spans="1:2" ht="15.75" x14ac:dyDescent="0.25">
      <c r="A7443" s="344" t="s">
        <v>11559</v>
      </c>
      <c r="B7443" s="345" t="s">
        <v>11560</v>
      </c>
    </row>
    <row r="7444" spans="1:2" ht="15.75" x14ac:dyDescent="0.25">
      <c r="A7444" s="344" t="s">
        <v>11561</v>
      </c>
      <c r="B7444" s="345" t="s">
        <v>11562</v>
      </c>
    </row>
    <row r="7445" spans="1:2" ht="15.75" x14ac:dyDescent="0.25">
      <c r="A7445" s="344" t="s">
        <v>11563</v>
      </c>
      <c r="B7445" s="345" t="s">
        <v>4059</v>
      </c>
    </row>
    <row r="7446" spans="1:2" ht="15.75" x14ac:dyDescent="0.25">
      <c r="A7446" s="344" t="s">
        <v>11564</v>
      </c>
      <c r="B7446" s="345" t="s">
        <v>11565</v>
      </c>
    </row>
    <row r="7447" spans="1:2" ht="15.75" x14ac:dyDescent="0.25">
      <c r="A7447" s="344" t="s">
        <v>11566</v>
      </c>
      <c r="B7447" s="345" t="s">
        <v>11567</v>
      </c>
    </row>
    <row r="7448" spans="1:2" ht="15.75" x14ac:dyDescent="0.25">
      <c r="A7448" s="344" t="s">
        <v>11568</v>
      </c>
      <c r="B7448" s="345" t="s">
        <v>11569</v>
      </c>
    </row>
    <row r="7449" spans="1:2" ht="15.75" x14ac:dyDescent="0.25">
      <c r="A7449" s="344" t="s">
        <v>11570</v>
      </c>
      <c r="B7449" s="345" t="s">
        <v>11571</v>
      </c>
    </row>
    <row r="7450" spans="1:2" ht="15.75" x14ac:dyDescent="0.25">
      <c r="A7450" s="344" t="s">
        <v>11572</v>
      </c>
      <c r="B7450" s="345" t="s">
        <v>4060</v>
      </c>
    </row>
    <row r="7451" spans="1:2" ht="15.75" x14ac:dyDescent="0.25">
      <c r="A7451" s="344" t="s">
        <v>11573</v>
      </c>
      <c r="B7451" s="345" t="s">
        <v>4061</v>
      </c>
    </row>
    <row r="7452" spans="1:2" ht="15.75" x14ac:dyDescent="0.25">
      <c r="A7452" s="344" t="s">
        <v>11574</v>
      </c>
      <c r="B7452" s="345" t="s">
        <v>4062</v>
      </c>
    </row>
    <row r="7453" spans="1:2" ht="15.75" x14ac:dyDescent="0.25">
      <c r="A7453" s="344" t="s">
        <v>11575</v>
      </c>
      <c r="B7453" s="345" t="s">
        <v>4063</v>
      </c>
    </row>
    <row r="7454" spans="1:2" ht="15.75" x14ac:dyDescent="0.25">
      <c r="A7454" s="344" t="s">
        <v>11576</v>
      </c>
      <c r="B7454" s="345" t="s">
        <v>11577</v>
      </c>
    </row>
    <row r="7455" spans="1:2" ht="15.75" x14ac:dyDescent="0.25">
      <c r="A7455" s="344" t="s">
        <v>11578</v>
      </c>
      <c r="B7455" s="345" t="s">
        <v>4064</v>
      </c>
    </row>
    <row r="7456" spans="1:2" ht="15.75" x14ac:dyDescent="0.25">
      <c r="A7456" s="344" t="s">
        <v>11579</v>
      </c>
      <c r="B7456" s="345" t="s">
        <v>4065</v>
      </c>
    </row>
    <row r="7457" spans="1:2" ht="15.75" x14ac:dyDescent="0.25">
      <c r="A7457" s="344" t="s">
        <v>11580</v>
      </c>
      <c r="B7457" s="345" t="s">
        <v>4066</v>
      </c>
    </row>
    <row r="7458" spans="1:2" ht="15.75" x14ac:dyDescent="0.25">
      <c r="A7458" s="344" t="s">
        <v>11581</v>
      </c>
      <c r="B7458" s="345" t="s">
        <v>4067</v>
      </c>
    </row>
    <row r="7459" spans="1:2" ht="15.75" x14ac:dyDescent="0.25">
      <c r="A7459" s="344" t="s">
        <v>11582</v>
      </c>
      <c r="B7459" s="345" t="s">
        <v>11583</v>
      </c>
    </row>
    <row r="7460" spans="1:2" ht="15.75" x14ac:dyDescent="0.25">
      <c r="A7460" s="344" t="s">
        <v>11584</v>
      </c>
      <c r="B7460" s="345" t="s">
        <v>4068</v>
      </c>
    </row>
    <row r="7461" spans="1:2" ht="15.75" x14ac:dyDescent="0.25">
      <c r="A7461" s="344" t="s">
        <v>11585</v>
      </c>
      <c r="B7461" s="345" t="s">
        <v>4069</v>
      </c>
    </row>
    <row r="7462" spans="1:2" ht="15.75" x14ac:dyDescent="0.25">
      <c r="A7462" s="344" t="s">
        <v>11586</v>
      </c>
      <c r="B7462" s="345" t="s">
        <v>4070</v>
      </c>
    </row>
    <row r="7463" spans="1:2" ht="15.75" x14ac:dyDescent="0.25">
      <c r="A7463" s="344" t="s">
        <v>11587</v>
      </c>
      <c r="B7463" s="345" t="s">
        <v>4071</v>
      </c>
    </row>
    <row r="7464" spans="1:2" ht="15.75" x14ac:dyDescent="0.25">
      <c r="A7464" s="344" t="s">
        <v>11588</v>
      </c>
      <c r="B7464" s="345" t="s">
        <v>4072</v>
      </c>
    </row>
    <row r="7465" spans="1:2" ht="15.75" x14ac:dyDescent="0.25">
      <c r="A7465" s="344" t="s">
        <v>11589</v>
      </c>
      <c r="B7465" s="345" t="s">
        <v>4073</v>
      </c>
    </row>
    <row r="7466" spans="1:2" ht="15.75" x14ac:dyDescent="0.25">
      <c r="A7466" s="344" t="s">
        <v>11590</v>
      </c>
      <c r="B7466" s="345" t="s">
        <v>4074</v>
      </c>
    </row>
    <row r="7467" spans="1:2" ht="15.75" x14ac:dyDescent="0.25">
      <c r="A7467" s="344" t="s">
        <v>11591</v>
      </c>
      <c r="B7467" s="345" t="s">
        <v>4075</v>
      </c>
    </row>
    <row r="7468" spans="1:2" ht="15.75" x14ac:dyDescent="0.25">
      <c r="A7468" s="344" t="s">
        <v>11592</v>
      </c>
      <c r="B7468" s="345" t="s">
        <v>4076</v>
      </c>
    </row>
    <row r="7469" spans="1:2" ht="15.75" x14ac:dyDescent="0.25">
      <c r="A7469" s="344" t="s">
        <v>11593</v>
      </c>
      <c r="B7469" s="345" t="s">
        <v>4077</v>
      </c>
    </row>
    <row r="7470" spans="1:2" ht="15.75" x14ac:dyDescent="0.25">
      <c r="A7470" s="344" t="s">
        <v>11594</v>
      </c>
      <c r="B7470" s="345" t="s">
        <v>4078</v>
      </c>
    </row>
    <row r="7471" spans="1:2" ht="15.75" x14ac:dyDescent="0.25">
      <c r="A7471" s="344" t="s">
        <v>11595</v>
      </c>
      <c r="B7471" s="345" t="s">
        <v>4079</v>
      </c>
    </row>
    <row r="7472" spans="1:2" ht="15.75" x14ac:dyDescent="0.25">
      <c r="A7472" s="344" t="s">
        <v>11596</v>
      </c>
      <c r="B7472" s="345" t="s">
        <v>4080</v>
      </c>
    </row>
    <row r="7473" spans="1:2" ht="15.75" x14ac:dyDescent="0.25">
      <c r="A7473" s="344" t="s">
        <v>11597</v>
      </c>
      <c r="B7473" s="345" t="s">
        <v>11598</v>
      </c>
    </row>
    <row r="7474" spans="1:2" ht="15.75" x14ac:dyDescent="0.25">
      <c r="A7474" s="344" t="s">
        <v>11599</v>
      </c>
      <c r="B7474" s="345" t="s">
        <v>11600</v>
      </c>
    </row>
    <row r="7475" spans="1:2" ht="15.75" x14ac:dyDescent="0.25">
      <c r="A7475" s="344" t="s">
        <v>11601</v>
      </c>
      <c r="B7475" s="345" t="s">
        <v>4081</v>
      </c>
    </row>
    <row r="7476" spans="1:2" ht="15.75" x14ac:dyDescent="0.25">
      <c r="A7476" s="344" t="s">
        <v>11602</v>
      </c>
      <c r="B7476" s="345" t="s">
        <v>4082</v>
      </c>
    </row>
    <row r="7477" spans="1:2" ht="15.75" x14ac:dyDescent="0.25">
      <c r="A7477" s="344" t="s">
        <v>11603</v>
      </c>
      <c r="B7477" s="345" t="s">
        <v>4083</v>
      </c>
    </row>
    <row r="7478" spans="1:2" ht="15.75" x14ac:dyDescent="0.25">
      <c r="A7478" s="344" t="s">
        <v>11604</v>
      </c>
      <c r="B7478" s="345" t="s">
        <v>4084</v>
      </c>
    </row>
    <row r="7479" spans="1:2" ht="15.75" x14ac:dyDescent="0.25">
      <c r="A7479" s="344" t="s">
        <v>11605</v>
      </c>
      <c r="B7479" s="345" t="s">
        <v>4085</v>
      </c>
    </row>
    <row r="7480" spans="1:2" ht="15.75" x14ac:dyDescent="0.25">
      <c r="A7480" s="344" t="s">
        <v>11606</v>
      </c>
      <c r="B7480" s="345" t="s">
        <v>11607</v>
      </c>
    </row>
    <row r="7481" spans="1:2" ht="15.75" x14ac:dyDescent="0.25">
      <c r="A7481" s="344" t="s">
        <v>11608</v>
      </c>
      <c r="B7481" s="345" t="s">
        <v>11609</v>
      </c>
    </row>
    <row r="7482" spans="1:2" ht="15.75" x14ac:dyDescent="0.25">
      <c r="A7482" s="344" t="s">
        <v>11610</v>
      </c>
      <c r="B7482" s="345" t="s">
        <v>11611</v>
      </c>
    </row>
    <row r="7483" spans="1:2" ht="15.75" x14ac:dyDescent="0.25">
      <c r="A7483" s="344" t="s">
        <v>11612</v>
      </c>
      <c r="B7483" s="345" t="s">
        <v>11613</v>
      </c>
    </row>
    <row r="7484" spans="1:2" ht="15.75" x14ac:dyDescent="0.25">
      <c r="A7484" s="344" t="s">
        <v>11614</v>
      </c>
      <c r="B7484" s="345" t="s">
        <v>11615</v>
      </c>
    </row>
    <row r="7485" spans="1:2" ht="15.75" x14ac:dyDescent="0.25">
      <c r="A7485" s="344" t="s">
        <v>11616</v>
      </c>
      <c r="B7485" s="345" t="s">
        <v>11617</v>
      </c>
    </row>
    <row r="7486" spans="1:2" ht="15.75" x14ac:dyDescent="0.25">
      <c r="A7486" s="344" t="s">
        <v>11618</v>
      </c>
      <c r="B7486" s="345" t="s">
        <v>11619</v>
      </c>
    </row>
    <row r="7487" spans="1:2" ht="15.75" x14ac:dyDescent="0.25">
      <c r="A7487" s="344" t="s">
        <v>11620</v>
      </c>
      <c r="B7487" s="345" t="s">
        <v>11621</v>
      </c>
    </row>
    <row r="7488" spans="1:2" ht="15.75" x14ac:dyDescent="0.25">
      <c r="A7488" s="344" t="s">
        <v>11622</v>
      </c>
      <c r="B7488" s="345" t="s">
        <v>11623</v>
      </c>
    </row>
    <row r="7489" spans="1:2" ht="15.75" x14ac:dyDescent="0.25">
      <c r="A7489" s="344" t="s">
        <v>11624</v>
      </c>
      <c r="B7489" s="345" t="s">
        <v>11625</v>
      </c>
    </row>
    <row r="7490" spans="1:2" ht="15.75" x14ac:dyDescent="0.25">
      <c r="A7490" s="344" t="s">
        <v>11626</v>
      </c>
      <c r="B7490" s="345" t="s">
        <v>11627</v>
      </c>
    </row>
    <row r="7491" spans="1:2" ht="15.75" x14ac:dyDescent="0.25">
      <c r="A7491" s="344" t="s">
        <v>11628</v>
      </c>
      <c r="B7491" s="345" t="s">
        <v>11629</v>
      </c>
    </row>
    <row r="7492" spans="1:2" ht="15.75" x14ac:dyDescent="0.25">
      <c r="A7492" s="344" t="s">
        <v>11630</v>
      </c>
      <c r="B7492" s="345" t="s">
        <v>11631</v>
      </c>
    </row>
    <row r="7493" spans="1:2" ht="15.75" x14ac:dyDescent="0.25">
      <c r="A7493" s="344" t="s">
        <v>11632</v>
      </c>
      <c r="B7493" s="345" t="s">
        <v>11633</v>
      </c>
    </row>
    <row r="7494" spans="1:2" ht="15.75" x14ac:dyDescent="0.25">
      <c r="A7494" s="344" t="s">
        <v>11634</v>
      </c>
      <c r="B7494" s="345" t="s">
        <v>11635</v>
      </c>
    </row>
    <row r="7495" spans="1:2" ht="15.75" x14ac:dyDescent="0.25">
      <c r="A7495" s="344" t="s">
        <v>11636</v>
      </c>
      <c r="B7495" s="345" t="s">
        <v>11637</v>
      </c>
    </row>
    <row r="7496" spans="1:2" ht="15.75" x14ac:dyDescent="0.25">
      <c r="A7496" s="344" t="s">
        <v>11638</v>
      </c>
      <c r="B7496" s="345" t="s">
        <v>11639</v>
      </c>
    </row>
    <row r="7497" spans="1:2" ht="15.75" x14ac:dyDescent="0.25">
      <c r="A7497" s="344" t="s">
        <v>11640</v>
      </c>
      <c r="B7497" s="345" t="s">
        <v>11641</v>
      </c>
    </row>
    <row r="7498" spans="1:2" ht="15.75" x14ac:dyDescent="0.25">
      <c r="A7498" s="344" t="s">
        <v>11642</v>
      </c>
      <c r="B7498" s="345" t="s">
        <v>11643</v>
      </c>
    </row>
    <row r="7499" spans="1:2" ht="15.75" x14ac:dyDescent="0.25">
      <c r="A7499" s="344" t="s">
        <v>11644</v>
      </c>
      <c r="B7499" s="345" t="s">
        <v>11645</v>
      </c>
    </row>
    <row r="7500" spans="1:2" ht="15.75" x14ac:dyDescent="0.25">
      <c r="A7500" s="344" t="s">
        <v>11646</v>
      </c>
      <c r="B7500" s="345" t="s">
        <v>11647</v>
      </c>
    </row>
    <row r="7501" spans="1:2" ht="15.75" x14ac:dyDescent="0.25">
      <c r="A7501" s="344" t="s">
        <v>11648</v>
      </c>
      <c r="B7501" s="345" t="s">
        <v>11649</v>
      </c>
    </row>
    <row r="7502" spans="1:2" ht="15.75" x14ac:dyDescent="0.25">
      <c r="A7502" s="344" t="s">
        <v>11650</v>
      </c>
      <c r="B7502" s="345" t="s">
        <v>11651</v>
      </c>
    </row>
    <row r="7503" spans="1:2" ht="15.75" x14ac:dyDescent="0.25">
      <c r="A7503" s="344" t="s">
        <v>11652</v>
      </c>
      <c r="B7503" s="345" t="s">
        <v>11653</v>
      </c>
    </row>
    <row r="7504" spans="1:2" ht="15.75" x14ac:dyDescent="0.25">
      <c r="A7504" s="344" t="s">
        <v>11654</v>
      </c>
      <c r="B7504" s="345" t="s">
        <v>11655</v>
      </c>
    </row>
    <row r="7505" spans="1:2" ht="15.75" x14ac:dyDescent="0.25">
      <c r="A7505" s="344" t="s">
        <v>11656</v>
      </c>
      <c r="B7505" s="345" t="s">
        <v>11657</v>
      </c>
    </row>
    <row r="7506" spans="1:2" ht="15.75" x14ac:dyDescent="0.25">
      <c r="A7506" s="344" t="s">
        <v>11658</v>
      </c>
      <c r="B7506" s="345" t="s">
        <v>4067</v>
      </c>
    </row>
    <row r="7507" spans="1:2" ht="15.75" x14ac:dyDescent="0.25">
      <c r="A7507" s="344" t="s">
        <v>11659</v>
      </c>
      <c r="B7507" s="345" t="s">
        <v>4069</v>
      </c>
    </row>
    <row r="7508" spans="1:2" ht="15.75" x14ac:dyDescent="0.25">
      <c r="A7508" s="344" t="s">
        <v>11660</v>
      </c>
      <c r="B7508" s="345" t="s">
        <v>4072</v>
      </c>
    </row>
    <row r="7509" spans="1:2" ht="15.75" x14ac:dyDescent="0.25">
      <c r="A7509" s="344" t="s">
        <v>11661</v>
      </c>
      <c r="B7509" s="345" t="s">
        <v>11662</v>
      </c>
    </row>
    <row r="7510" spans="1:2" ht="15.75" x14ac:dyDescent="0.25">
      <c r="A7510" s="344" t="s">
        <v>11663</v>
      </c>
      <c r="B7510" s="345" t="s">
        <v>11664</v>
      </c>
    </row>
    <row r="7511" spans="1:2" ht="15.75" x14ac:dyDescent="0.25">
      <c r="A7511" s="344" t="s">
        <v>11665</v>
      </c>
      <c r="B7511" s="345" t="s">
        <v>11666</v>
      </c>
    </row>
    <row r="7512" spans="1:2" ht="15.75" x14ac:dyDescent="0.25">
      <c r="A7512" s="344" t="s">
        <v>11667</v>
      </c>
      <c r="B7512" s="345" t="s">
        <v>11668</v>
      </c>
    </row>
    <row r="7513" spans="1:2" ht="15.75" x14ac:dyDescent="0.25">
      <c r="A7513" s="344" t="s">
        <v>11669</v>
      </c>
      <c r="B7513" s="345" t="s">
        <v>11670</v>
      </c>
    </row>
    <row r="7514" spans="1:2" ht="15.75" x14ac:dyDescent="0.25">
      <c r="A7514" s="344" t="s">
        <v>11671</v>
      </c>
      <c r="B7514" s="345" t="s">
        <v>11672</v>
      </c>
    </row>
    <row r="7515" spans="1:2" ht="15.75" x14ac:dyDescent="0.25">
      <c r="A7515" s="344" t="s">
        <v>11673</v>
      </c>
      <c r="B7515" s="345" t="s">
        <v>11674</v>
      </c>
    </row>
    <row r="7516" spans="1:2" ht="15.75" x14ac:dyDescent="0.25">
      <c r="A7516" s="344" t="s">
        <v>11675</v>
      </c>
      <c r="B7516" s="345" t="s">
        <v>11676</v>
      </c>
    </row>
    <row r="7517" spans="1:2" ht="15.75" x14ac:dyDescent="0.25">
      <c r="A7517" s="344" t="s">
        <v>11677</v>
      </c>
      <c r="B7517" s="345" t="s">
        <v>11678</v>
      </c>
    </row>
    <row r="7518" spans="1:2" ht="15.75" x14ac:dyDescent="0.25">
      <c r="A7518" s="344" t="s">
        <v>11679</v>
      </c>
      <c r="B7518" s="345" t="s">
        <v>11680</v>
      </c>
    </row>
    <row r="7519" spans="1:2" ht="15.75" x14ac:dyDescent="0.25">
      <c r="A7519" s="344" t="s">
        <v>11681</v>
      </c>
      <c r="B7519" s="345" t="s">
        <v>11682</v>
      </c>
    </row>
    <row r="7520" spans="1:2" ht="15.75" x14ac:dyDescent="0.25">
      <c r="A7520" s="344" t="s">
        <v>11683</v>
      </c>
      <c r="B7520" s="345" t="s">
        <v>11684</v>
      </c>
    </row>
    <row r="7521" spans="1:2" ht="15.75" x14ac:dyDescent="0.25">
      <c r="A7521" s="344" t="s">
        <v>11685</v>
      </c>
      <c r="B7521" s="345" t="s">
        <v>11686</v>
      </c>
    </row>
    <row r="7522" spans="1:2" ht="15.75" x14ac:dyDescent="0.25">
      <c r="A7522" s="344" t="s">
        <v>11687</v>
      </c>
      <c r="B7522" s="345" t="s">
        <v>11688</v>
      </c>
    </row>
    <row r="7523" spans="1:2" ht="15.75" x14ac:dyDescent="0.25">
      <c r="A7523" s="344" t="s">
        <v>11689</v>
      </c>
      <c r="B7523" s="345" t="s">
        <v>11690</v>
      </c>
    </row>
    <row r="7524" spans="1:2" ht="15.75" x14ac:dyDescent="0.25">
      <c r="A7524" s="344" t="s">
        <v>11691</v>
      </c>
      <c r="B7524" s="345" t="s">
        <v>11692</v>
      </c>
    </row>
    <row r="7525" spans="1:2" ht="15.75" x14ac:dyDescent="0.25">
      <c r="A7525" s="344" t="s">
        <v>11693</v>
      </c>
      <c r="B7525" s="345" t="s">
        <v>11694</v>
      </c>
    </row>
    <row r="7526" spans="1:2" ht="15.75" x14ac:dyDescent="0.25">
      <c r="A7526" s="344" t="s">
        <v>11695</v>
      </c>
      <c r="B7526" s="345" t="s">
        <v>11696</v>
      </c>
    </row>
    <row r="7527" spans="1:2" ht="15.75" x14ac:dyDescent="0.25">
      <c r="A7527" s="344" t="s">
        <v>11697</v>
      </c>
      <c r="B7527" s="345" t="s">
        <v>11698</v>
      </c>
    </row>
    <row r="7528" spans="1:2" ht="15.75" x14ac:dyDescent="0.25">
      <c r="A7528" s="344" t="s">
        <v>11699</v>
      </c>
      <c r="B7528" s="345" t="s">
        <v>11700</v>
      </c>
    </row>
    <row r="7529" spans="1:2" ht="15.75" x14ac:dyDescent="0.25">
      <c r="A7529" s="344" t="s">
        <v>11701</v>
      </c>
      <c r="B7529" s="345" t="s">
        <v>11702</v>
      </c>
    </row>
    <row r="7530" spans="1:2" ht="15.75" x14ac:dyDescent="0.25">
      <c r="A7530" s="344" t="s">
        <v>11703</v>
      </c>
      <c r="B7530" s="345" t="s">
        <v>11704</v>
      </c>
    </row>
    <row r="7531" spans="1:2" ht="15.75" x14ac:dyDescent="0.25">
      <c r="A7531" s="344" t="s">
        <v>11705</v>
      </c>
      <c r="B7531" s="345" t="s">
        <v>11706</v>
      </c>
    </row>
    <row r="7532" spans="1:2" ht="15.75" x14ac:dyDescent="0.25">
      <c r="A7532" s="344" t="s">
        <v>11707</v>
      </c>
      <c r="B7532" s="345" t="s">
        <v>10534</v>
      </c>
    </row>
    <row r="7533" spans="1:2" ht="15.75" x14ac:dyDescent="0.25">
      <c r="A7533" s="344" t="s">
        <v>11708</v>
      </c>
      <c r="B7533" s="345" t="s">
        <v>11709</v>
      </c>
    </row>
    <row r="7534" spans="1:2" ht="15.75" x14ac:dyDescent="0.25">
      <c r="A7534" s="344" t="s">
        <v>11710</v>
      </c>
      <c r="B7534" s="345" t="s">
        <v>11711</v>
      </c>
    </row>
    <row r="7535" spans="1:2" ht="15.75" x14ac:dyDescent="0.25">
      <c r="A7535" s="344" t="s">
        <v>11712</v>
      </c>
      <c r="B7535" s="345" t="s">
        <v>11713</v>
      </c>
    </row>
    <row r="7536" spans="1:2" ht="15.75" x14ac:dyDescent="0.25">
      <c r="A7536" s="344" t="s">
        <v>11714</v>
      </c>
      <c r="B7536" s="345" t="s">
        <v>11715</v>
      </c>
    </row>
    <row r="7537" spans="1:2" ht="15.75" x14ac:dyDescent="0.25">
      <c r="A7537" s="344" t="s">
        <v>11716</v>
      </c>
      <c r="B7537" s="345" t="s">
        <v>11717</v>
      </c>
    </row>
    <row r="7538" spans="1:2" ht="15.75" x14ac:dyDescent="0.25">
      <c r="A7538" s="344" t="s">
        <v>11718</v>
      </c>
      <c r="B7538" s="345" t="s">
        <v>4086</v>
      </c>
    </row>
    <row r="7539" spans="1:2" ht="15.75" x14ac:dyDescent="0.25">
      <c r="A7539" s="344" t="s">
        <v>11719</v>
      </c>
      <c r="B7539" s="345" t="s">
        <v>4087</v>
      </c>
    </row>
    <row r="7540" spans="1:2" ht="15.75" x14ac:dyDescent="0.25">
      <c r="A7540" s="344" t="s">
        <v>11720</v>
      </c>
      <c r="B7540" s="345" t="s">
        <v>4088</v>
      </c>
    </row>
    <row r="7541" spans="1:2" ht="15.75" x14ac:dyDescent="0.25">
      <c r="A7541" s="344" t="s">
        <v>11721</v>
      </c>
      <c r="B7541" s="345" t="s">
        <v>4089</v>
      </c>
    </row>
    <row r="7542" spans="1:2" ht="15.75" x14ac:dyDescent="0.25">
      <c r="A7542" s="344" t="s">
        <v>11722</v>
      </c>
      <c r="B7542" s="345" t="s">
        <v>4090</v>
      </c>
    </row>
    <row r="7543" spans="1:2" ht="15.75" x14ac:dyDescent="0.25">
      <c r="A7543" s="344" t="s">
        <v>11723</v>
      </c>
      <c r="B7543" s="345" t="s">
        <v>11724</v>
      </c>
    </row>
    <row r="7544" spans="1:2" ht="15.75" x14ac:dyDescent="0.25">
      <c r="A7544" s="344" t="s">
        <v>11725</v>
      </c>
      <c r="B7544" s="345" t="s">
        <v>4091</v>
      </c>
    </row>
    <row r="7545" spans="1:2" ht="15.75" x14ac:dyDescent="0.25">
      <c r="A7545" s="344" t="s">
        <v>11726</v>
      </c>
      <c r="B7545" s="345" t="s">
        <v>4092</v>
      </c>
    </row>
    <row r="7546" spans="1:2" ht="15.75" x14ac:dyDescent="0.25">
      <c r="A7546" s="344" t="s">
        <v>11727</v>
      </c>
      <c r="B7546" s="345" t="s">
        <v>2394</v>
      </c>
    </row>
    <row r="7547" spans="1:2" ht="15.75" x14ac:dyDescent="0.25">
      <c r="A7547" s="344" t="s">
        <v>11728</v>
      </c>
      <c r="B7547" s="345" t="s">
        <v>11729</v>
      </c>
    </row>
    <row r="7548" spans="1:2" ht="15.75" x14ac:dyDescent="0.25">
      <c r="A7548" s="344" t="s">
        <v>11730</v>
      </c>
      <c r="B7548" s="345" t="s">
        <v>11731</v>
      </c>
    </row>
    <row r="7549" spans="1:2" ht="15.75" x14ac:dyDescent="0.25">
      <c r="A7549" s="344" t="s">
        <v>11732</v>
      </c>
      <c r="B7549" s="345" t="s">
        <v>11733</v>
      </c>
    </row>
    <row r="7550" spans="1:2" ht="15.75" x14ac:dyDescent="0.25">
      <c r="A7550" s="344" t="s">
        <v>11734</v>
      </c>
      <c r="B7550" s="345" t="s">
        <v>11735</v>
      </c>
    </row>
    <row r="7551" spans="1:2" ht="15.75" x14ac:dyDescent="0.25">
      <c r="A7551" s="344" t="s">
        <v>11736</v>
      </c>
      <c r="B7551" s="345" t="s">
        <v>11737</v>
      </c>
    </row>
    <row r="7552" spans="1:2" ht="15.75" x14ac:dyDescent="0.25">
      <c r="A7552" s="344" t="s">
        <v>11738</v>
      </c>
      <c r="B7552" s="345" t="s">
        <v>11739</v>
      </c>
    </row>
    <row r="7553" spans="1:2" ht="15.75" x14ac:dyDescent="0.25">
      <c r="A7553" s="344" t="s">
        <v>11740</v>
      </c>
      <c r="B7553" s="345" t="s">
        <v>2395</v>
      </c>
    </row>
    <row r="7554" spans="1:2" ht="15.75" x14ac:dyDescent="0.25">
      <c r="A7554" s="344" t="s">
        <v>11741</v>
      </c>
      <c r="B7554" s="345" t="s">
        <v>4093</v>
      </c>
    </row>
    <row r="7555" spans="1:2" ht="15.75" x14ac:dyDescent="0.25">
      <c r="A7555" s="344" t="s">
        <v>11742</v>
      </c>
      <c r="B7555" s="345" t="s">
        <v>4094</v>
      </c>
    </row>
    <row r="7556" spans="1:2" ht="15.75" x14ac:dyDescent="0.25">
      <c r="A7556" s="344" t="s">
        <v>11743</v>
      </c>
      <c r="B7556" s="345" t="s">
        <v>4095</v>
      </c>
    </row>
    <row r="7557" spans="1:2" ht="15.75" x14ac:dyDescent="0.25">
      <c r="A7557" s="344" t="s">
        <v>11744</v>
      </c>
      <c r="B7557" s="345" t="s">
        <v>4096</v>
      </c>
    </row>
    <row r="7558" spans="1:2" ht="15.75" x14ac:dyDescent="0.25">
      <c r="A7558" s="344" t="s">
        <v>11745</v>
      </c>
      <c r="B7558" s="345" t="s">
        <v>4097</v>
      </c>
    </row>
    <row r="7559" spans="1:2" ht="15.75" x14ac:dyDescent="0.25">
      <c r="A7559" s="344" t="s">
        <v>11746</v>
      </c>
      <c r="B7559" s="345" t="s">
        <v>4098</v>
      </c>
    </row>
    <row r="7560" spans="1:2" ht="15.75" x14ac:dyDescent="0.25">
      <c r="A7560" s="344" t="s">
        <v>11747</v>
      </c>
      <c r="B7560" s="345" t="s">
        <v>4099</v>
      </c>
    </row>
    <row r="7561" spans="1:2" ht="15.75" x14ac:dyDescent="0.25">
      <c r="A7561" s="344" t="s">
        <v>11748</v>
      </c>
      <c r="B7561" s="345" t="s">
        <v>11749</v>
      </c>
    </row>
    <row r="7562" spans="1:2" ht="15.75" x14ac:dyDescent="0.25">
      <c r="A7562" s="344" t="s">
        <v>11750</v>
      </c>
      <c r="B7562" s="345" t="s">
        <v>11751</v>
      </c>
    </row>
    <row r="7563" spans="1:2" ht="15.75" x14ac:dyDescent="0.25">
      <c r="A7563" s="344" t="s">
        <v>11752</v>
      </c>
      <c r="B7563" s="345" t="s">
        <v>11753</v>
      </c>
    </row>
    <row r="7564" spans="1:2" ht="15.75" x14ac:dyDescent="0.25">
      <c r="A7564" s="344" t="s">
        <v>11754</v>
      </c>
      <c r="B7564" s="345" t="s">
        <v>11755</v>
      </c>
    </row>
    <row r="7565" spans="1:2" ht="15.75" x14ac:dyDescent="0.25">
      <c r="A7565" s="344" t="s">
        <v>11756</v>
      </c>
      <c r="B7565" s="345" t="s">
        <v>11757</v>
      </c>
    </row>
    <row r="7566" spans="1:2" ht="15.75" x14ac:dyDescent="0.25">
      <c r="A7566" s="344" t="s">
        <v>11758</v>
      </c>
      <c r="B7566" s="345" t="s">
        <v>11759</v>
      </c>
    </row>
    <row r="7567" spans="1:2" ht="15.75" x14ac:dyDescent="0.25">
      <c r="A7567" s="344" t="s">
        <v>11760</v>
      </c>
      <c r="B7567" s="345" t="s">
        <v>4100</v>
      </c>
    </row>
    <row r="7568" spans="1:2" ht="15.75" x14ac:dyDescent="0.25">
      <c r="A7568" s="344" t="s">
        <v>11761</v>
      </c>
      <c r="B7568" s="345" t="s">
        <v>4101</v>
      </c>
    </row>
    <row r="7569" spans="1:2" ht="15.75" x14ac:dyDescent="0.25">
      <c r="A7569" s="344" t="s">
        <v>11762</v>
      </c>
      <c r="B7569" s="345" t="s">
        <v>4102</v>
      </c>
    </row>
    <row r="7570" spans="1:2" ht="15.75" x14ac:dyDescent="0.25">
      <c r="A7570" s="344" t="s">
        <v>11763</v>
      </c>
      <c r="B7570" s="345" t="s">
        <v>11764</v>
      </c>
    </row>
    <row r="7571" spans="1:2" ht="15.75" x14ac:dyDescent="0.25">
      <c r="A7571" s="344" t="s">
        <v>11765</v>
      </c>
      <c r="B7571" s="345" t="s">
        <v>4103</v>
      </c>
    </row>
    <row r="7572" spans="1:2" ht="15.75" x14ac:dyDescent="0.25">
      <c r="A7572" s="344" t="s">
        <v>11766</v>
      </c>
      <c r="B7572" s="345" t="s">
        <v>4104</v>
      </c>
    </row>
    <row r="7573" spans="1:2" ht="15.75" x14ac:dyDescent="0.25">
      <c r="A7573" s="344" t="s">
        <v>11767</v>
      </c>
      <c r="B7573" s="345" t="s">
        <v>4105</v>
      </c>
    </row>
    <row r="7574" spans="1:2" ht="15.75" x14ac:dyDescent="0.25">
      <c r="A7574" s="344" t="s">
        <v>11768</v>
      </c>
      <c r="B7574" s="345" t="s">
        <v>4106</v>
      </c>
    </row>
    <row r="7575" spans="1:2" ht="15.75" x14ac:dyDescent="0.25">
      <c r="A7575" s="344" t="s">
        <v>11769</v>
      </c>
      <c r="B7575" s="345" t="s">
        <v>4107</v>
      </c>
    </row>
    <row r="7576" spans="1:2" ht="15.75" x14ac:dyDescent="0.25">
      <c r="A7576" s="344" t="s">
        <v>11770</v>
      </c>
      <c r="B7576" s="345" t="s">
        <v>4108</v>
      </c>
    </row>
    <row r="7577" spans="1:2" ht="15.75" x14ac:dyDescent="0.25">
      <c r="A7577" s="344" t="s">
        <v>11771</v>
      </c>
      <c r="B7577" s="345" t="s">
        <v>4109</v>
      </c>
    </row>
    <row r="7578" spans="1:2" ht="15.75" x14ac:dyDescent="0.25">
      <c r="A7578" s="344" t="s">
        <v>11772</v>
      </c>
      <c r="B7578" s="345" t="s">
        <v>4110</v>
      </c>
    </row>
    <row r="7579" spans="1:2" ht="15.75" x14ac:dyDescent="0.25">
      <c r="A7579" s="344" t="s">
        <v>1725</v>
      </c>
      <c r="B7579" s="345" t="s">
        <v>1726</v>
      </c>
    </row>
    <row r="7580" spans="1:2" ht="15.75" x14ac:dyDescent="0.25">
      <c r="A7580" s="344" t="s">
        <v>11773</v>
      </c>
      <c r="B7580" s="345" t="s">
        <v>4111</v>
      </c>
    </row>
    <row r="7581" spans="1:2" ht="15.75" x14ac:dyDescent="0.25">
      <c r="A7581" s="344" t="s">
        <v>11774</v>
      </c>
      <c r="B7581" s="345" t="s">
        <v>4112</v>
      </c>
    </row>
    <row r="7582" spans="1:2" ht="15.75" x14ac:dyDescent="0.25">
      <c r="A7582" s="344" t="s">
        <v>11775</v>
      </c>
      <c r="B7582" s="345" t="s">
        <v>11776</v>
      </c>
    </row>
    <row r="7583" spans="1:2" ht="15.75" x14ac:dyDescent="0.25">
      <c r="A7583" s="344" t="s">
        <v>11777</v>
      </c>
      <c r="B7583" s="345" t="s">
        <v>4113</v>
      </c>
    </row>
    <row r="7584" spans="1:2" ht="15.75" x14ac:dyDescent="0.25">
      <c r="A7584" s="344" t="s">
        <v>11778</v>
      </c>
      <c r="B7584" s="345" t="s">
        <v>4114</v>
      </c>
    </row>
    <row r="7585" spans="1:2" ht="15.75" x14ac:dyDescent="0.25">
      <c r="A7585" s="344" t="s">
        <v>11779</v>
      </c>
      <c r="B7585" s="345" t="s">
        <v>4115</v>
      </c>
    </row>
    <row r="7586" spans="1:2" ht="15.75" x14ac:dyDescent="0.25">
      <c r="A7586" s="344" t="s">
        <v>11780</v>
      </c>
      <c r="B7586" s="345" t="s">
        <v>4116</v>
      </c>
    </row>
    <row r="7587" spans="1:2" ht="15.75" x14ac:dyDescent="0.25">
      <c r="A7587" s="344" t="s">
        <v>11781</v>
      </c>
      <c r="B7587" s="345" t="s">
        <v>4117</v>
      </c>
    </row>
    <row r="7588" spans="1:2" ht="15.75" x14ac:dyDescent="0.25">
      <c r="A7588" s="344" t="s">
        <v>11782</v>
      </c>
      <c r="B7588" s="345" t="s">
        <v>11783</v>
      </c>
    </row>
    <row r="7589" spans="1:2" ht="15.75" x14ac:dyDescent="0.25">
      <c r="A7589" s="344" t="s">
        <v>11784</v>
      </c>
      <c r="B7589" s="345" t="s">
        <v>11785</v>
      </c>
    </row>
    <row r="7590" spans="1:2" ht="15.75" x14ac:dyDescent="0.25">
      <c r="A7590" s="344" t="s">
        <v>11786</v>
      </c>
      <c r="B7590" s="345" t="s">
        <v>11787</v>
      </c>
    </row>
    <row r="7591" spans="1:2" ht="15.75" x14ac:dyDescent="0.25">
      <c r="A7591" s="344" t="s">
        <v>11788</v>
      </c>
      <c r="B7591" s="345" t="s">
        <v>4118</v>
      </c>
    </row>
    <row r="7592" spans="1:2" ht="15.75" x14ac:dyDescent="0.25">
      <c r="A7592" s="344" t="s">
        <v>11789</v>
      </c>
      <c r="B7592" s="345" t="s">
        <v>11790</v>
      </c>
    </row>
    <row r="7593" spans="1:2" ht="15.75" x14ac:dyDescent="0.25">
      <c r="A7593" s="344" t="s">
        <v>11791</v>
      </c>
      <c r="B7593" s="345" t="s">
        <v>11792</v>
      </c>
    </row>
    <row r="7594" spans="1:2" ht="15.75" x14ac:dyDescent="0.25">
      <c r="A7594" s="344" t="s">
        <v>11793</v>
      </c>
      <c r="B7594" s="345" t="s">
        <v>11794</v>
      </c>
    </row>
    <row r="7595" spans="1:2" ht="15.75" x14ac:dyDescent="0.25">
      <c r="A7595" s="344" t="s">
        <v>11795</v>
      </c>
      <c r="B7595" s="345" t="s">
        <v>4119</v>
      </c>
    </row>
    <row r="7596" spans="1:2" ht="15.75" x14ac:dyDescent="0.25">
      <c r="A7596" s="344" t="s">
        <v>1696</v>
      </c>
      <c r="B7596" s="345" t="s">
        <v>1697</v>
      </c>
    </row>
    <row r="7597" spans="1:2" ht="15.75" x14ac:dyDescent="0.25">
      <c r="A7597" s="344" t="s">
        <v>11796</v>
      </c>
      <c r="B7597" s="345" t="s">
        <v>4120</v>
      </c>
    </row>
    <row r="7598" spans="1:2" ht="15.75" x14ac:dyDescent="0.25">
      <c r="A7598" s="344" t="s">
        <v>11797</v>
      </c>
      <c r="B7598" s="345" t="s">
        <v>11798</v>
      </c>
    </row>
    <row r="7599" spans="1:2" ht="15.75" x14ac:dyDescent="0.25">
      <c r="A7599" s="344" t="s">
        <v>11799</v>
      </c>
      <c r="B7599" s="345" t="s">
        <v>4121</v>
      </c>
    </row>
    <row r="7600" spans="1:2" ht="15.75" x14ac:dyDescent="0.25">
      <c r="A7600" s="344" t="s">
        <v>11800</v>
      </c>
      <c r="B7600" s="345" t="s">
        <v>4122</v>
      </c>
    </row>
    <row r="7601" spans="1:2" ht="15.75" x14ac:dyDescent="0.25">
      <c r="A7601" s="344" t="s">
        <v>11801</v>
      </c>
      <c r="B7601" s="345" t="s">
        <v>4123</v>
      </c>
    </row>
    <row r="7602" spans="1:2" ht="15.75" x14ac:dyDescent="0.25">
      <c r="A7602" s="344" t="s">
        <v>11802</v>
      </c>
      <c r="B7602" s="345" t="s">
        <v>11803</v>
      </c>
    </row>
    <row r="7603" spans="1:2" ht="15.75" x14ac:dyDescent="0.25">
      <c r="A7603" s="344" t="s">
        <v>11804</v>
      </c>
      <c r="B7603" s="345" t="s">
        <v>4124</v>
      </c>
    </row>
    <row r="7604" spans="1:2" ht="15.75" x14ac:dyDescent="0.25">
      <c r="A7604" s="344" t="s">
        <v>11805</v>
      </c>
      <c r="B7604" s="345" t="s">
        <v>4125</v>
      </c>
    </row>
    <row r="7605" spans="1:2" ht="15.75" x14ac:dyDescent="0.25">
      <c r="A7605" s="344" t="s">
        <v>11806</v>
      </c>
      <c r="B7605" s="345" t="s">
        <v>4126</v>
      </c>
    </row>
    <row r="7606" spans="1:2" ht="15.75" x14ac:dyDescent="0.25">
      <c r="A7606" s="344" t="s">
        <v>11807</v>
      </c>
      <c r="B7606" s="345" t="s">
        <v>11808</v>
      </c>
    </row>
    <row r="7607" spans="1:2" ht="15.75" x14ac:dyDescent="0.25">
      <c r="A7607" s="344" t="s">
        <v>11809</v>
      </c>
      <c r="B7607" s="345" t="s">
        <v>4127</v>
      </c>
    </row>
    <row r="7608" spans="1:2" ht="15.75" x14ac:dyDescent="0.25">
      <c r="A7608" s="344" t="s">
        <v>11810</v>
      </c>
      <c r="B7608" s="345" t="s">
        <v>4128</v>
      </c>
    </row>
    <row r="7609" spans="1:2" ht="15.75" x14ac:dyDescent="0.25">
      <c r="A7609" s="344" t="s">
        <v>11811</v>
      </c>
      <c r="B7609" s="345" t="s">
        <v>4129</v>
      </c>
    </row>
    <row r="7610" spans="1:2" ht="15.75" x14ac:dyDescent="0.25">
      <c r="A7610" s="344" t="s">
        <v>11812</v>
      </c>
      <c r="B7610" s="345" t="s">
        <v>4130</v>
      </c>
    </row>
    <row r="7611" spans="1:2" ht="15.75" x14ac:dyDescent="0.25">
      <c r="A7611" s="344" t="s">
        <v>11813</v>
      </c>
      <c r="B7611" s="345" t="s">
        <v>11814</v>
      </c>
    </row>
    <row r="7612" spans="1:2" ht="15.75" x14ac:dyDescent="0.25">
      <c r="A7612" s="344" t="s">
        <v>11815</v>
      </c>
      <c r="B7612" s="345" t="s">
        <v>11816</v>
      </c>
    </row>
    <row r="7613" spans="1:2" ht="15.75" x14ac:dyDescent="0.25">
      <c r="A7613" s="344" t="s">
        <v>11817</v>
      </c>
      <c r="B7613" s="345" t="s">
        <v>11818</v>
      </c>
    </row>
    <row r="7614" spans="1:2" ht="15.75" x14ac:dyDescent="0.25">
      <c r="A7614" s="344" t="s">
        <v>11819</v>
      </c>
      <c r="B7614" s="345" t="s">
        <v>4131</v>
      </c>
    </row>
    <row r="7615" spans="1:2" ht="15.75" x14ac:dyDescent="0.25">
      <c r="A7615" s="344" t="s">
        <v>11820</v>
      </c>
      <c r="B7615" s="345" t="s">
        <v>4132</v>
      </c>
    </row>
    <row r="7616" spans="1:2" ht="15.75" x14ac:dyDescent="0.25">
      <c r="A7616" s="344" t="s">
        <v>11821</v>
      </c>
      <c r="B7616" s="345" t="s">
        <v>4133</v>
      </c>
    </row>
    <row r="7617" spans="1:2" ht="15.75" x14ac:dyDescent="0.25">
      <c r="A7617" s="344" t="s">
        <v>11822</v>
      </c>
      <c r="B7617" s="345" t="s">
        <v>4134</v>
      </c>
    </row>
    <row r="7618" spans="1:2" ht="15.75" x14ac:dyDescent="0.25">
      <c r="A7618" s="344" t="s">
        <v>11823</v>
      </c>
      <c r="B7618" s="345" t="s">
        <v>11824</v>
      </c>
    </row>
    <row r="7619" spans="1:2" ht="15.75" x14ac:dyDescent="0.25">
      <c r="A7619" s="344" t="s">
        <v>11825</v>
      </c>
      <c r="B7619" s="345" t="s">
        <v>11826</v>
      </c>
    </row>
    <row r="7620" spans="1:2" ht="15.75" x14ac:dyDescent="0.25">
      <c r="A7620" s="344" t="s">
        <v>11827</v>
      </c>
      <c r="B7620" s="345" t="s">
        <v>11828</v>
      </c>
    </row>
    <row r="7621" spans="1:2" ht="15.75" x14ac:dyDescent="0.25">
      <c r="A7621" s="344" t="s">
        <v>11829</v>
      </c>
      <c r="B7621" s="345" t="s">
        <v>4135</v>
      </c>
    </row>
    <row r="7622" spans="1:2" ht="15.75" x14ac:dyDescent="0.25">
      <c r="A7622" s="344" t="s">
        <v>11830</v>
      </c>
      <c r="B7622" s="345" t="s">
        <v>11831</v>
      </c>
    </row>
    <row r="7623" spans="1:2" ht="15.75" x14ac:dyDescent="0.25">
      <c r="A7623" s="344" t="s">
        <v>11832</v>
      </c>
      <c r="B7623" s="345" t="s">
        <v>4136</v>
      </c>
    </row>
    <row r="7624" spans="1:2" ht="15.75" x14ac:dyDescent="0.25">
      <c r="A7624" s="344" t="s">
        <v>11833</v>
      </c>
      <c r="B7624" s="345" t="s">
        <v>4137</v>
      </c>
    </row>
    <row r="7625" spans="1:2" ht="15.75" x14ac:dyDescent="0.25">
      <c r="A7625" s="344" t="s">
        <v>11834</v>
      </c>
      <c r="B7625" s="345" t="s">
        <v>4138</v>
      </c>
    </row>
    <row r="7626" spans="1:2" ht="15.75" x14ac:dyDescent="0.25">
      <c r="A7626" s="344" t="s">
        <v>11835</v>
      </c>
      <c r="B7626" s="345" t="s">
        <v>4139</v>
      </c>
    </row>
    <row r="7627" spans="1:2" ht="15.75" x14ac:dyDescent="0.25">
      <c r="A7627" s="344" t="s">
        <v>11836</v>
      </c>
      <c r="B7627" s="345" t="s">
        <v>11837</v>
      </c>
    </row>
    <row r="7628" spans="1:2" ht="15.75" x14ac:dyDescent="0.25">
      <c r="A7628" s="344" t="s">
        <v>11838</v>
      </c>
      <c r="B7628" s="345" t="s">
        <v>4140</v>
      </c>
    </row>
    <row r="7629" spans="1:2" ht="15.75" x14ac:dyDescent="0.25">
      <c r="A7629" s="344" t="s">
        <v>11839</v>
      </c>
      <c r="B7629" s="345" t="s">
        <v>4141</v>
      </c>
    </row>
    <row r="7630" spans="1:2" ht="15.75" x14ac:dyDescent="0.25">
      <c r="A7630" s="344" t="s">
        <v>11840</v>
      </c>
      <c r="B7630" s="345" t="s">
        <v>4142</v>
      </c>
    </row>
    <row r="7631" spans="1:2" ht="15.75" x14ac:dyDescent="0.25">
      <c r="A7631" s="344" t="s">
        <v>11841</v>
      </c>
      <c r="B7631" s="345" t="s">
        <v>4143</v>
      </c>
    </row>
    <row r="7632" spans="1:2" ht="15.75" x14ac:dyDescent="0.25">
      <c r="A7632" s="344" t="s">
        <v>11842</v>
      </c>
      <c r="B7632" s="345" t="s">
        <v>4144</v>
      </c>
    </row>
    <row r="7633" spans="1:2" ht="15.75" x14ac:dyDescent="0.25">
      <c r="A7633" s="344" t="s">
        <v>11843</v>
      </c>
      <c r="B7633" s="345" t="s">
        <v>4145</v>
      </c>
    </row>
    <row r="7634" spans="1:2" ht="15.75" x14ac:dyDescent="0.25">
      <c r="A7634" s="344" t="s">
        <v>11844</v>
      </c>
      <c r="B7634" s="345" t="s">
        <v>4146</v>
      </c>
    </row>
    <row r="7635" spans="1:2" ht="15.75" x14ac:dyDescent="0.25">
      <c r="A7635" s="344" t="s">
        <v>11845</v>
      </c>
      <c r="B7635" s="345" t="s">
        <v>4147</v>
      </c>
    </row>
    <row r="7636" spans="1:2" ht="15.75" x14ac:dyDescent="0.25">
      <c r="A7636" s="344" t="s">
        <v>11846</v>
      </c>
      <c r="B7636" s="345" t="s">
        <v>11847</v>
      </c>
    </row>
    <row r="7637" spans="1:2" ht="15.75" x14ac:dyDescent="0.25">
      <c r="A7637" s="344" t="s">
        <v>11848</v>
      </c>
      <c r="B7637" s="345" t="s">
        <v>11849</v>
      </c>
    </row>
    <row r="7638" spans="1:2" ht="15.75" x14ac:dyDescent="0.25">
      <c r="A7638" s="344" t="s">
        <v>11850</v>
      </c>
      <c r="B7638" s="345" t="s">
        <v>11851</v>
      </c>
    </row>
    <row r="7639" spans="1:2" ht="15.75" x14ac:dyDescent="0.25">
      <c r="A7639" s="344" t="s">
        <v>11852</v>
      </c>
      <c r="B7639" s="345" t="s">
        <v>11853</v>
      </c>
    </row>
    <row r="7640" spans="1:2" ht="15.75" x14ac:dyDescent="0.25">
      <c r="A7640" s="344" t="s">
        <v>11854</v>
      </c>
      <c r="B7640" s="345" t="s">
        <v>11855</v>
      </c>
    </row>
    <row r="7641" spans="1:2" ht="15.75" x14ac:dyDescent="0.25">
      <c r="A7641" s="344" t="s">
        <v>11856</v>
      </c>
      <c r="B7641" s="345" t="s">
        <v>11857</v>
      </c>
    </row>
    <row r="7642" spans="1:2" ht="15.75" x14ac:dyDescent="0.25">
      <c r="A7642" s="344" t="s">
        <v>11858</v>
      </c>
      <c r="B7642" s="345" t="s">
        <v>11859</v>
      </c>
    </row>
    <row r="7643" spans="1:2" ht="15.75" x14ac:dyDescent="0.25">
      <c r="A7643" s="344" t="s">
        <v>11860</v>
      </c>
      <c r="B7643" s="345" t="s">
        <v>11861</v>
      </c>
    </row>
    <row r="7644" spans="1:2" ht="15.75" x14ac:dyDescent="0.25">
      <c r="A7644" s="344" t="s">
        <v>11862</v>
      </c>
      <c r="B7644" s="345" t="s">
        <v>4148</v>
      </c>
    </row>
    <row r="7645" spans="1:2" ht="15.75" x14ac:dyDescent="0.25">
      <c r="A7645" s="344" t="s">
        <v>11863</v>
      </c>
      <c r="B7645" s="345" t="s">
        <v>4149</v>
      </c>
    </row>
    <row r="7646" spans="1:2" ht="15.75" x14ac:dyDescent="0.25">
      <c r="A7646" s="344" t="s">
        <v>11864</v>
      </c>
      <c r="B7646" s="345" t="s">
        <v>4150</v>
      </c>
    </row>
    <row r="7647" spans="1:2" ht="15.75" x14ac:dyDescent="0.25">
      <c r="A7647" s="344" t="s">
        <v>11865</v>
      </c>
      <c r="B7647" s="345" t="s">
        <v>4151</v>
      </c>
    </row>
    <row r="7648" spans="1:2" ht="15.75" x14ac:dyDescent="0.25">
      <c r="A7648" s="344" t="s">
        <v>11866</v>
      </c>
      <c r="B7648" s="345" t="s">
        <v>4152</v>
      </c>
    </row>
    <row r="7649" spans="1:2" ht="15.75" x14ac:dyDescent="0.25">
      <c r="A7649" s="344" t="s">
        <v>11867</v>
      </c>
      <c r="B7649" s="345" t="s">
        <v>4153</v>
      </c>
    </row>
    <row r="7650" spans="1:2" ht="15.75" x14ac:dyDescent="0.25">
      <c r="A7650" s="344" t="s">
        <v>11868</v>
      </c>
      <c r="B7650" s="345" t="s">
        <v>4154</v>
      </c>
    </row>
    <row r="7651" spans="1:2" ht="15.75" x14ac:dyDescent="0.25">
      <c r="A7651" s="344" t="s">
        <v>11869</v>
      </c>
      <c r="B7651" s="345" t="s">
        <v>4155</v>
      </c>
    </row>
    <row r="7652" spans="1:2" ht="15.75" x14ac:dyDescent="0.25">
      <c r="A7652" s="344" t="s">
        <v>11870</v>
      </c>
      <c r="B7652" s="345" t="s">
        <v>4156</v>
      </c>
    </row>
    <row r="7653" spans="1:2" ht="15.75" x14ac:dyDescent="0.25">
      <c r="A7653" s="344" t="s">
        <v>11871</v>
      </c>
      <c r="B7653" s="345" t="s">
        <v>4157</v>
      </c>
    </row>
    <row r="7654" spans="1:2" ht="15.75" x14ac:dyDescent="0.25">
      <c r="A7654" s="344" t="s">
        <v>11872</v>
      </c>
      <c r="B7654" s="345" t="s">
        <v>4158</v>
      </c>
    </row>
    <row r="7655" spans="1:2" ht="15.75" x14ac:dyDescent="0.25">
      <c r="A7655" s="344" t="s">
        <v>11873</v>
      </c>
      <c r="B7655" s="345" t="s">
        <v>4159</v>
      </c>
    </row>
    <row r="7656" spans="1:2" ht="15.75" x14ac:dyDescent="0.25">
      <c r="A7656" s="344" t="s">
        <v>11874</v>
      </c>
      <c r="B7656" s="345" t="s">
        <v>4160</v>
      </c>
    </row>
    <row r="7657" spans="1:2" ht="15.75" x14ac:dyDescent="0.25">
      <c r="A7657" s="344" t="s">
        <v>11875</v>
      </c>
      <c r="B7657" s="345" t="s">
        <v>4161</v>
      </c>
    </row>
    <row r="7658" spans="1:2" ht="15.75" x14ac:dyDescent="0.25">
      <c r="A7658" s="344" t="s">
        <v>11876</v>
      </c>
      <c r="B7658" s="345" t="s">
        <v>4162</v>
      </c>
    </row>
    <row r="7659" spans="1:2" ht="15.75" x14ac:dyDescent="0.25">
      <c r="A7659" s="344" t="s">
        <v>11877</v>
      </c>
      <c r="B7659" s="345" t="s">
        <v>4163</v>
      </c>
    </row>
    <row r="7660" spans="1:2" ht="15.75" x14ac:dyDescent="0.25">
      <c r="A7660" s="344" t="s">
        <v>11878</v>
      </c>
      <c r="B7660" s="345" t="s">
        <v>4164</v>
      </c>
    </row>
    <row r="7661" spans="1:2" ht="15.75" x14ac:dyDescent="0.25">
      <c r="A7661" s="344" t="s">
        <v>11879</v>
      </c>
      <c r="B7661" s="345" t="s">
        <v>4165</v>
      </c>
    </row>
    <row r="7662" spans="1:2" ht="15.75" x14ac:dyDescent="0.25">
      <c r="A7662" s="344" t="s">
        <v>11880</v>
      </c>
      <c r="B7662" s="345" t="s">
        <v>4166</v>
      </c>
    </row>
    <row r="7663" spans="1:2" ht="15.75" x14ac:dyDescent="0.25">
      <c r="A7663" s="344" t="s">
        <v>11881</v>
      </c>
      <c r="B7663" s="345" t="s">
        <v>4167</v>
      </c>
    </row>
    <row r="7664" spans="1:2" ht="15.75" x14ac:dyDescent="0.25">
      <c r="A7664" s="344" t="s">
        <v>11882</v>
      </c>
      <c r="B7664" s="345" t="s">
        <v>4168</v>
      </c>
    </row>
    <row r="7665" spans="1:2" ht="15.75" x14ac:dyDescent="0.25">
      <c r="A7665" s="344" t="s">
        <v>11883</v>
      </c>
      <c r="B7665" s="345" t="s">
        <v>4169</v>
      </c>
    </row>
    <row r="7666" spans="1:2" ht="15.75" x14ac:dyDescent="0.25">
      <c r="A7666" s="344" t="s">
        <v>11884</v>
      </c>
      <c r="B7666" s="345" t="s">
        <v>11885</v>
      </c>
    </row>
    <row r="7667" spans="1:2" ht="15.75" x14ac:dyDescent="0.25">
      <c r="A7667" s="344" t="s">
        <v>11886</v>
      </c>
      <c r="B7667" s="345" t="s">
        <v>4170</v>
      </c>
    </row>
    <row r="7668" spans="1:2" ht="15.75" x14ac:dyDescent="0.25">
      <c r="A7668" s="344" t="s">
        <v>11887</v>
      </c>
      <c r="B7668" s="345" t="s">
        <v>4171</v>
      </c>
    </row>
    <row r="7669" spans="1:2" ht="15.75" x14ac:dyDescent="0.25">
      <c r="A7669" s="344" t="s">
        <v>11888</v>
      </c>
      <c r="B7669" s="345" t="s">
        <v>4172</v>
      </c>
    </row>
    <row r="7670" spans="1:2" ht="15.75" x14ac:dyDescent="0.25">
      <c r="A7670" s="344" t="s">
        <v>11889</v>
      </c>
      <c r="B7670" s="345" t="s">
        <v>4173</v>
      </c>
    </row>
    <row r="7671" spans="1:2" ht="15.75" x14ac:dyDescent="0.25">
      <c r="A7671" s="344" t="s">
        <v>11890</v>
      </c>
      <c r="B7671" s="345" t="s">
        <v>4174</v>
      </c>
    </row>
    <row r="7672" spans="1:2" ht="15.75" x14ac:dyDescent="0.25">
      <c r="A7672" s="344" t="s">
        <v>11891</v>
      </c>
      <c r="B7672" s="345" t="s">
        <v>4175</v>
      </c>
    </row>
    <row r="7673" spans="1:2" ht="15.75" x14ac:dyDescent="0.25">
      <c r="A7673" s="344" t="s">
        <v>11892</v>
      </c>
      <c r="B7673" s="345" t="s">
        <v>4176</v>
      </c>
    </row>
    <row r="7674" spans="1:2" ht="15.75" x14ac:dyDescent="0.25">
      <c r="A7674" s="344" t="s">
        <v>11893</v>
      </c>
      <c r="B7674" s="345" t="s">
        <v>4177</v>
      </c>
    </row>
    <row r="7675" spans="1:2" ht="15.75" x14ac:dyDescent="0.25">
      <c r="A7675" s="344" t="s">
        <v>11894</v>
      </c>
      <c r="B7675" s="345" t="s">
        <v>4178</v>
      </c>
    </row>
    <row r="7676" spans="1:2" ht="15.75" x14ac:dyDescent="0.25">
      <c r="A7676" s="344" t="s">
        <v>11895</v>
      </c>
      <c r="B7676" s="345" t="s">
        <v>4179</v>
      </c>
    </row>
    <row r="7677" spans="1:2" ht="15.75" x14ac:dyDescent="0.25">
      <c r="A7677" s="344" t="s">
        <v>11896</v>
      </c>
      <c r="B7677" s="345" t="s">
        <v>4180</v>
      </c>
    </row>
    <row r="7678" spans="1:2" ht="15.75" x14ac:dyDescent="0.25">
      <c r="A7678" s="344" t="s">
        <v>11897</v>
      </c>
      <c r="B7678" s="345" t="s">
        <v>4181</v>
      </c>
    </row>
    <row r="7679" spans="1:2" ht="15.75" x14ac:dyDescent="0.25">
      <c r="A7679" s="344" t="s">
        <v>11898</v>
      </c>
      <c r="B7679" s="345" t="s">
        <v>4182</v>
      </c>
    </row>
    <row r="7680" spans="1:2" ht="15.75" x14ac:dyDescent="0.25">
      <c r="A7680" s="344" t="s">
        <v>11899</v>
      </c>
      <c r="B7680" s="345" t="s">
        <v>4183</v>
      </c>
    </row>
    <row r="7681" spans="1:2" ht="15.75" x14ac:dyDescent="0.25">
      <c r="A7681" s="344" t="s">
        <v>11900</v>
      </c>
      <c r="B7681" s="345" t="s">
        <v>4184</v>
      </c>
    </row>
    <row r="7682" spans="1:2" ht="15.75" x14ac:dyDescent="0.25">
      <c r="A7682" s="344" t="s">
        <v>11901</v>
      </c>
      <c r="B7682" s="345" t="s">
        <v>4185</v>
      </c>
    </row>
    <row r="7683" spans="1:2" ht="15.75" x14ac:dyDescent="0.25">
      <c r="A7683" s="344" t="s">
        <v>11902</v>
      </c>
      <c r="B7683" s="345" t="s">
        <v>4186</v>
      </c>
    </row>
    <row r="7684" spans="1:2" ht="15.75" x14ac:dyDescent="0.25">
      <c r="A7684" s="344" t="s">
        <v>11903</v>
      </c>
      <c r="B7684" s="345" t="s">
        <v>4187</v>
      </c>
    </row>
    <row r="7685" spans="1:2" ht="15.75" x14ac:dyDescent="0.25">
      <c r="A7685" s="344" t="s">
        <v>11904</v>
      </c>
      <c r="B7685" s="345" t="s">
        <v>4188</v>
      </c>
    </row>
    <row r="7686" spans="1:2" ht="15.75" x14ac:dyDescent="0.25">
      <c r="A7686" s="344" t="s">
        <v>11905</v>
      </c>
      <c r="B7686" s="345" t="s">
        <v>11906</v>
      </c>
    </row>
    <row r="7687" spans="1:2" ht="15.75" x14ac:dyDescent="0.25">
      <c r="A7687" s="344" t="s">
        <v>11907</v>
      </c>
      <c r="B7687" s="345" t="s">
        <v>4189</v>
      </c>
    </row>
    <row r="7688" spans="1:2" ht="15.75" x14ac:dyDescent="0.25">
      <c r="A7688" s="344" t="s">
        <v>11908</v>
      </c>
      <c r="B7688" s="345" t="s">
        <v>4190</v>
      </c>
    </row>
    <row r="7689" spans="1:2" ht="15.75" x14ac:dyDescent="0.25">
      <c r="A7689" s="344" t="s">
        <v>11909</v>
      </c>
      <c r="B7689" s="345" t="s">
        <v>4191</v>
      </c>
    </row>
    <row r="7690" spans="1:2" ht="15.75" x14ac:dyDescent="0.25">
      <c r="A7690" s="344" t="s">
        <v>11910</v>
      </c>
      <c r="B7690" s="345" t="s">
        <v>4192</v>
      </c>
    </row>
    <row r="7691" spans="1:2" ht="15.75" x14ac:dyDescent="0.25">
      <c r="A7691" s="344" t="s">
        <v>11911</v>
      </c>
      <c r="B7691" s="345" t="s">
        <v>4193</v>
      </c>
    </row>
    <row r="7692" spans="1:2" ht="15.75" x14ac:dyDescent="0.25">
      <c r="A7692" s="344" t="s">
        <v>11912</v>
      </c>
      <c r="B7692" s="345" t="s">
        <v>4194</v>
      </c>
    </row>
    <row r="7693" spans="1:2" ht="15.75" x14ac:dyDescent="0.25">
      <c r="A7693" s="344" t="s">
        <v>11913</v>
      </c>
      <c r="B7693" s="345" t="s">
        <v>4195</v>
      </c>
    </row>
    <row r="7694" spans="1:2" ht="15.75" x14ac:dyDescent="0.25">
      <c r="A7694" s="344" t="s">
        <v>11914</v>
      </c>
      <c r="B7694" s="345" t="s">
        <v>4196</v>
      </c>
    </row>
    <row r="7695" spans="1:2" ht="15.75" x14ac:dyDescent="0.25">
      <c r="A7695" s="344" t="s">
        <v>1729</v>
      </c>
      <c r="B7695" s="345" t="s">
        <v>1730</v>
      </c>
    </row>
    <row r="7696" spans="1:2" ht="15.75" x14ac:dyDescent="0.25">
      <c r="A7696" s="344" t="s">
        <v>11915</v>
      </c>
      <c r="B7696" s="345" t="s">
        <v>4197</v>
      </c>
    </row>
    <row r="7697" spans="1:2" ht="15.75" x14ac:dyDescent="0.25">
      <c r="A7697" s="344" t="s">
        <v>11916</v>
      </c>
      <c r="B7697" s="345" t="s">
        <v>4198</v>
      </c>
    </row>
    <row r="7698" spans="1:2" ht="15.75" x14ac:dyDescent="0.25">
      <c r="A7698" s="344" t="s">
        <v>11917</v>
      </c>
      <c r="B7698" s="345" t="s">
        <v>4199</v>
      </c>
    </row>
    <row r="7699" spans="1:2" ht="15.75" x14ac:dyDescent="0.25">
      <c r="A7699" s="344" t="s">
        <v>11918</v>
      </c>
      <c r="B7699" s="345" t="s">
        <v>4200</v>
      </c>
    </row>
    <row r="7700" spans="1:2" ht="15.75" x14ac:dyDescent="0.25">
      <c r="A7700" s="344" t="s">
        <v>11919</v>
      </c>
      <c r="B7700" s="345" t="s">
        <v>4201</v>
      </c>
    </row>
    <row r="7701" spans="1:2" ht="15.75" x14ac:dyDescent="0.25">
      <c r="A7701" s="344" t="s">
        <v>11920</v>
      </c>
      <c r="B7701" s="345" t="s">
        <v>4202</v>
      </c>
    </row>
    <row r="7702" spans="1:2" ht="15.75" x14ac:dyDescent="0.25">
      <c r="A7702" s="344" t="s">
        <v>11921</v>
      </c>
      <c r="B7702" s="345" t="s">
        <v>4203</v>
      </c>
    </row>
    <row r="7703" spans="1:2" ht="15.75" x14ac:dyDescent="0.25">
      <c r="A7703" s="344" t="s">
        <v>1687</v>
      </c>
      <c r="B7703" s="345" t="s">
        <v>1688</v>
      </c>
    </row>
    <row r="7704" spans="1:2" ht="15.75" x14ac:dyDescent="0.25">
      <c r="A7704" s="344" t="s">
        <v>11922</v>
      </c>
      <c r="B7704" s="345" t="s">
        <v>11923</v>
      </c>
    </row>
    <row r="7705" spans="1:2" ht="15.75" x14ac:dyDescent="0.25">
      <c r="A7705" s="344" t="s">
        <v>1727</v>
      </c>
      <c r="B7705" s="345" t="s">
        <v>1728</v>
      </c>
    </row>
    <row r="7706" spans="1:2" ht="15.75" x14ac:dyDescent="0.25">
      <c r="A7706" s="344" t="s">
        <v>11924</v>
      </c>
      <c r="B7706" s="345" t="s">
        <v>4121</v>
      </c>
    </row>
    <row r="7707" spans="1:2" ht="15.75" x14ac:dyDescent="0.25">
      <c r="A7707" s="344" t="s">
        <v>11925</v>
      </c>
      <c r="B7707" s="345" t="s">
        <v>4204</v>
      </c>
    </row>
    <row r="7708" spans="1:2" ht="15.75" x14ac:dyDescent="0.25">
      <c r="A7708" s="344" t="s">
        <v>11926</v>
      </c>
      <c r="B7708" s="345" t="s">
        <v>4205</v>
      </c>
    </row>
    <row r="7709" spans="1:2" ht="15.75" x14ac:dyDescent="0.25">
      <c r="A7709" s="344" t="s">
        <v>11927</v>
      </c>
      <c r="B7709" s="345" t="s">
        <v>4206</v>
      </c>
    </row>
    <row r="7710" spans="1:2" ht="15.75" x14ac:dyDescent="0.25">
      <c r="A7710" s="344" t="s">
        <v>11928</v>
      </c>
      <c r="B7710" s="345" t="s">
        <v>4207</v>
      </c>
    </row>
    <row r="7711" spans="1:2" ht="15.75" x14ac:dyDescent="0.25">
      <c r="A7711" s="344" t="s">
        <v>11929</v>
      </c>
      <c r="B7711" s="345" t="s">
        <v>4208</v>
      </c>
    </row>
    <row r="7712" spans="1:2" ht="15.75" x14ac:dyDescent="0.25">
      <c r="A7712" s="344" t="s">
        <v>11930</v>
      </c>
      <c r="B7712" s="345" t="s">
        <v>11931</v>
      </c>
    </row>
    <row r="7713" spans="1:2" ht="15.75" x14ac:dyDescent="0.25">
      <c r="A7713" s="344" t="s">
        <v>11932</v>
      </c>
      <c r="B7713" s="345" t="s">
        <v>11933</v>
      </c>
    </row>
    <row r="7714" spans="1:2" ht="15.75" x14ac:dyDescent="0.25">
      <c r="A7714" s="344" t="s">
        <v>11934</v>
      </c>
      <c r="B7714" s="345" t="s">
        <v>4209</v>
      </c>
    </row>
    <row r="7715" spans="1:2" ht="15.75" x14ac:dyDescent="0.25">
      <c r="A7715" s="344" t="s">
        <v>11935</v>
      </c>
      <c r="B7715" s="345" t="s">
        <v>11936</v>
      </c>
    </row>
    <row r="7716" spans="1:2" ht="15.75" x14ac:dyDescent="0.25">
      <c r="A7716" s="344" t="s">
        <v>11937</v>
      </c>
      <c r="B7716" s="345" t="s">
        <v>11938</v>
      </c>
    </row>
    <row r="7717" spans="1:2" ht="15.75" x14ac:dyDescent="0.25">
      <c r="A7717" s="344" t="s">
        <v>11939</v>
      </c>
      <c r="B7717" s="345" t="s">
        <v>11940</v>
      </c>
    </row>
    <row r="7718" spans="1:2" ht="15.75" x14ac:dyDescent="0.25">
      <c r="A7718" s="344" t="s">
        <v>11941</v>
      </c>
      <c r="B7718" s="345" t="s">
        <v>11942</v>
      </c>
    </row>
    <row r="7719" spans="1:2" ht="15.75" x14ac:dyDescent="0.25">
      <c r="A7719" s="344" t="s">
        <v>11943</v>
      </c>
      <c r="B7719" s="345" t="s">
        <v>11944</v>
      </c>
    </row>
    <row r="7720" spans="1:2" ht="15.75" x14ac:dyDescent="0.25">
      <c r="A7720" s="344" t="s">
        <v>11945</v>
      </c>
      <c r="B7720" s="345" t="s">
        <v>4210</v>
      </c>
    </row>
    <row r="7721" spans="1:2" ht="15.75" x14ac:dyDescent="0.25">
      <c r="A7721" s="344" t="s">
        <v>11946</v>
      </c>
      <c r="B7721" s="345" t="s">
        <v>4211</v>
      </c>
    </row>
    <row r="7722" spans="1:2" ht="15.75" x14ac:dyDescent="0.25">
      <c r="A7722" s="344" t="s">
        <v>11947</v>
      </c>
      <c r="B7722" s="345" t="s">
        <v>4212</v>
      </c>
    </row>
    <row r="7723" spans="1:2" ht="15.75" x14ac:dyDescent="0.25">
      <c r="A7723" s="344" t="s">
        <v>11948</v>
      </c>
      <c r="B7723" s="345" t="s">
        <v>4213</v>
      </c>
    </row>
    <row r="7724" spans="1:2" ht="15.75" x14ac:dyDescent="0.25">
      <c r="A7724" s="344" t="s">
        <v>11949</v>
      </c>
      <c r="B7724" s="345" t="s">
        <v>4214</v>
      </c>
    </row>
    <row r="7725" spans="1:2" ht="15.75" x14ac:dyDescent="0.25">
      <c r="A7725" s="344" t="s">
        <v>11950</v>
      </c>
      <c r="B7725" s="345" t="s">
        <v>4215</v>
      </c>
    </row>
    <row r="7726" spans="1:2" ht="15.75" x14ac:dyDescent="0.25">
      <c r="A7726" s="344" t="s">
        <v>11951</v>
      </c>
      <c r="B7726" s="345" t="s">
        <v>4216</v>
      </c>
    </row>
    <row r="7727" spans="1:2" ht="15.75" x14ac:dyDescent="0.25">
      <c r="A7727" s="344" t="s">
        <v>11952</v>
      </c>
      <c r="B7727" s="345" t="s">
        <v>4217</v>
      </c>
    </row>
    <row r="7728" spans="1:2" ht="15.75" x14ac:dyDescent="0.25">
      <c r="A7728" s="344" t="s">
        <v>11953</v>
      </c>
      <c r="B7728" s="345" t="s">
        <v>4218</v>
      </c>
    </row>
    <row r="7729" spans="1:2" ht="15.75" x14ac:dyDescent="0.25">
      <c r="A7729" s="344" t="s">
        <v>11954</v>
      </c>
      <c r="B7729" s="345" t="s">
        <v>4219</v>
      </c>
    </row>
    <row r="7730" spans="1:2" ht="15.75" x14ac:dyDescent="0.25">
      <c r="A7730" s="344" t="s">
        <v>11955</v>
      </c>
      <c r="B7730" s="345" t="s">
        <v>4220</v>
      </c>
    </row>
    <row r="7731" spans="1:2" ht="15.75" x14ac:dyDescent="0.25">
      <c r="A7731" s="344" t="s">
        <v>11956</v>
      </c>
      <c r="B7731" s="345" t="s">
        <v>4221</v>
      </c>
    </row>
    <row r="7732" spans="1:2" ht="15.75" x14ac:dyDescent="0.25">
      <c r="A7732" s="344" t="s">
        <v>11957</v>
      </c>
      <c r="B7732" s="345" t="s">
        <v>11958</v>
      </c>
    </row>
    <row r="7733" spans="1:2" ht="15.75" x14ac:dyDescent="0.25">
      <c r="A7733" s="344" t="s">
        <v>11959</v>
      </c>
      <c r="B7733" s="345" t="s">
        <v>4222</v>
      </c>
    </row>
    <row r="7734" spans="1:2" ht="15.75" x14ac:dyDescent="0.25">
      <c r="A7734" s="344" t="s">
        <v>11960</v>
      </c>
      <c r="B7734" s="345" t="s">
        <v>4223</v>
      </c>
    </row>
    <row r="7735" spans="1:2" ht="15.75" x14ac:dyDescent="0.25">
      <c r="A7735" s="344" t="s">
        <v>106</v>
      </c>
      <c r="B7735" s="345" t="s">
        <v>4224</v>
      </c>
    </row>
    <row r="7736" spans="1:2" ht="15.75" x14ac:dyDescent="0.25">
      <c r="A7736" s="344" t="s">
        <v>11961</v>
      </c>
      <c r="B7736" s="345" t="s">
        <v>4225</v>
      </c>
    </row>
    <row r="7737" spans="1:2" ht="15.75" x14ac:dyDescent="0.25">
      <c r="A7737" s="344" t="s">
        <v>11962</v>
      </c>
      <c r="B7737" s="345" t="s">
        <v>4226</v>
      </c>
    </row>
    <row r="7738" spans="1:2" ht="15.75" x14ac:dyDescent="0.25">
      <c r="A7738" s="344" t="s">
        <v>11963</v>
      </c>
      <c r="B7738" s="345" t="s">
        <v>4227</v>
      </c>
    </row>
    <row r="7739" spans="1:2" ht="15.75" x14ac:dyDescent="0.25">
      <c r="A7739" s="344" t="s">
        <v>11964</v>
      </c>
      <c r="B7739" s="345" t="s">
        <v>4228</v>
      </c>
    </row>
    <row r="7740" spans="1:2" ht="15.75" x14ac:dyDescent="0.25">
      <c r="A7740" s="344" t="s">
        <v>1712</v>
      </c>
      <c r="B7740" s="345" t="s">
        <v>1713</v>
      </c>
    </row>
    <row r="7741" spans="1:2" ht="15.75" x14ac:dyDescent="0.25">
      <c r="A7741" s="344" t="s">
        <v>11965</v>
      </c>
      <c r="B7741" s="345" t="s">
        <v>4000</v>
      </c>
    </row>
    <row r="7742" spans="1:2" ht="15.75" x14ac:dyDescent="0.25">
      <c r="A7742" s="344" t="s">
        <v>11966</v>
      </c>
      <c r="B7742" s="345" t="s">
        <v>4229</v>
      </c>
    </row>
    <row r="7743" spans="1:2" ht="15.75" x14ac:dyDescent="0.25">
      <c r="A7743" s="344" t="s">
        <v>11967</v>
      </c>
      <c r="B7743" s="345" t="s">
        <v>4230</v>
      </c>
    </row>
    <row r="7744" spans="1:2" ht="15.75" x14ac:dyDescent="0.25">
      <c r="A7744" s="344" t="s">
        <v>11968</v>
      </c>
      <c r="B7744" s="345" t="s">
        <v>4231</v>
      </c>
    </row>
    <row r="7745" spans="1:2" ht="15.75" x14ac:dyDescent="0.25">
      <c r="A7745" s="344" t="s">
        <v>120</v>
      </c>
      <c r="B7745" s="345" t="s">
        <v>4232</v>
      </c>
    </row>
    <row r="7746" spans="1:2" ht="15.75" x14ac:dyDescent="0.25">
      <c r="A7746" s="344" t="s">
        <v>11969</v>
      </c>
      <c r="B7746" s="345" t="s">
        <v>4233</v>
      </c>
    </row>
    <row r="7747" spans="1:2" ht="15.75" x14ac:dyDescent="0.25">
      <c r="A7747" s="344" t="s">
        <v>11970</v>
      </c>
      <c r="B7747" s="345" t="s">
        <v>4234</v>
      </c>
    </row>
    <row r="7748" spans="1:2" ht="15.75" x14ac:dyDescent="0.25">
      <c r="A7748" s="344" t="s">
        <v>94</v>
      </c>
      <c r="B7748" s="345" t="s">
        <v>4235</v>
      </c>
    </row>
    <row r="7749" spans="1:2" ht="15.75" x14ac:dyDescent="0.25">
      <c r="A7749" s="344" t="s">
        <v>11971</v>
      </c>
      <c r="B7749" s="345" t="s">
        <v>4236</v>
      </c>
    </row>
    <row r="7750" spans="1:2" ht="15.75" x14ac:dyDescent="0.25">
      <c r="A7750" s="344" t="s">
        <v>11972</v>
      </c>
      <c r="B7750" s="345" t="s">
        <v>4237</v>
      </c>
    </row>
    <row r="7751" spans="1:2" ht="15.75" x14ac:dyDescent="0.25">
      <c r="A7751" s="344" t="s">
        <v>11973</v>
      </c>
      <c r="B7751" s="345" t="s">
        <v>4238</v>
      </c>
    </row>
    <row r="7752" spans="1:2" ht="15.75" x14ac:dyDescent="0.25">
      <c r="A7752" s="344" t="s">
        <v>11974</v>
      </c>
      <c r="B7752" s="345" t="s">
        <v>11975</v>
      </c>
    </row>
    <row r="7753" spans="1:2" ht="15.75" x14ac:dyDescent="0.25">
      <c r="A7753" s="344" t="s">
        <v>11976</v>
      </c>
      <c r="B7753" s="345" t="s">
        <v>4239</v>
      </c>
    </row>
    <row r="7754" spans="1:2" ht="15.75" x14ac:dyDescent="0.25">
      <c r="A7754" s="344" t="s">
        <v>11977</v>
      </c>
      <c r="B7754" s="345" t="s">
        <v>4240</v>
      </c>
    </row>
    <row r="7755" spans="1:2" ht="15.75" x14ac:dyDescent="0.25">
      <c r="A7755" s="344" t="s">
        <v>11978</v>
      </c>
      <c r="B7755" s="345" t="s">
        <v>4241</v>
      </c>
    </row>
    <row r="7756" spans="1:2" ht="15.75" x14ac:dyDescent="0.25">
      <c r="A7756" s="344" t="s">
        <v>11979</v>
      </c>
      <c r="B7756" s="345" t="s">
        <v>4242</v>
      </c>
    </row>
    <row r="7757" spans="1:2" ht="15.75" x14ac:dyDescent="0.25">
      <c r="A7757" s="344" t="s">
        <v>11980</v>
      </c>
      <c r="B7757" s="345" t="s">
        <v>4243</v>
      </c>
    </row>
    <row r="7758" spans="1:2" ht="15.75" x14ac:dyDescent="0.25">
      <c r="A7758" s="344" t="s">
        <v>11981</v>
      </c>
      <c r="B7758" s="345" t="s">
        <v>4244</v>
      </c>
    </row>
    <row r="7759" spans="1:2" ht="15.75" x14ac:dyDescent="0.25">
      <c r="A7759" s="344" t="s">
        <v>11982</v>
      </c>
      <c r="B7759" s="345" t="s">
        <v>11983</v>
      </c>
    </row>
    <row r="7760" spans="1:2" ht="15.75" x14ac:dyDescent="0.25">
      <c r="A7760" s="344" t="s">
        <v>11984</v>
      </c>
      <c r="B7760" s="345" t="s">
        <v>11985</v>
      </c>
    </row>
    <row r="7761" spans="1:2" ht="15.75" x14ac:dyDescent="0.25">
      <c r="A7761" s="344" t="s">
        <v>11986</v>
      </c>
      <c r="B7761" s="345" t="s">
        <v>4245</v>
      </c>
    </row>
    <row r="7762" spans="1:2" ht="15.75" x14ac:dyDescent="0.25">
      <c r="A7762" s="344" t="s">
        <v>11987</v>
      </c>
      <c r="B7762" s="345" t="s">
        <v>11988</v>
      </c>
    </row>
    <row r="7763" spans="1:2" ht="15.75" x14ac:dyDescent="0.25">
      <c r="A7763" s="344" t="s">
        <v>11989</v>
      </c>
      <c r="B7763" s="345" t="s">
        <v>11990</v>
      </c>
    </row>
    <row r="7764" spans="1:2" ht="15.75" x14ac:dyDescent="0.25">
      <c r="A7764" s="344" t="s">
        <v>11991</v>
      </c>
      <c r="B7764" s="345" t="s">
        <v>4246</v>
      </c>
    </row>
    <row r="7765" spans="1:2" ht="15.75" x14ac:dyDescent="0.25">
      <c r="A7765" s="344" t="s">
        <v>11992</v>
      </c>
      <c r="B7765" s="345" t="s">
        <v>4247</v>
      </c>
    </row>
    <row r="7766" spans="1:2" ht="15.75" x14ac:dyDescent="0.25">
      <c r="A7766" s="344" t="s">
        <v>11993</v>
      </c>
      <c r="B7766" s="345" t="s">
        <v>4248</v>
      </c>
    </row>
    <row r="7767" spans="1:2" ht="15.75" x14ac:dyDescent="0.25">
      <c r="A7767" s="344" t="s">
        <v>11994</v>
      </c>
      <c r="B7767" s="345" t="s">
        <v>4249</v>
      </c>
    </row>
    <row r="7768" spans="1:2" ht="15.75" x14ac:dyDescent="0.25">
      <c r="A7768" s="344" t="s">
        <v>11995</v>
      </c>
      <c r="B7768" s="345" t="s">
        <v>4250</v>
      </c>
    </row>
    <row r="7769" spans="1:2" ht="15.75" x14ac:dyDescent="0.25">
      <c r="A7769" s="344" t="s">
        <v>11996</v>
      </c>
      <c r="B7769" s="345" t="s">
        <v>4251</v>
      </c>
    </row>
    <row r="7770" spans="1:2" ht="15.75" x14ac:dyDescent="0.25">
      <c r="A7770" s="344" t="s">
        <v>11997</v>
      </c>
      <c r="B7770" s="345" t="s">
        <v>4252</v>
      </c>
    </row>
    <row r="7771" spans="1:2" ht="15.75" x14ac:dyDescent="0.25">
      <c r="A7771" s="344" t="s">
        <v>11998</v>
      </c>
      <c r="B7771" s="345" t="s">
        <v>4253</v>
      </c>
    </row>
    <row r="7772" spans="1:2" ht="15.75" x14ac:dyDescent="0.25">
      <c r="A7772" s="344" t="s">
        <v>11999</v>
      </c>
      <c r="B7772" s="345" t="s">
        <v>12000</v>
      </c>
    </row>
    <row r="7773" spans="1:2" ht="15.75" x14ac:dyDescent="0.25">
      <c r="A7773" s="344" t="s">
        <v>12001</v>
      </c>
      <c r="B7773" s="345" t="s">
        <v>12002</v>
      </c>
    </row>
    <row r="7774" spans="1:2" ht="15.75" x14ac:dyDescent="0.25">
      <c r="A7774" s="344" t="s">
        <v>12003</v>
      </c>
      <c r="B7774" s="345" t="s">
        <v>12004</v>
      </c>
    </row>
    <row r="7775" spans="1:2" ht="15.75" x14ac:dyDescent="0.25">
      <c r="A7775" s="344" t="s">
        <v>1698</v>
      </c>
      <c r="B7775" s="345" t="s">
        <v>1699</v>
      </c>
    </row>
    <row r="7776" spans="1:2" ht="15.75" x14ac:dyDescent="0.25">
      <c r="A7776" s="344" t="s">
        <v>12005</v>
      </c>
      <c r="B7776" s="345" t="s">
        <v>4254</v>
      </c>
    </row>
    <row r="7777" spans="1:2" ht="15.75" x14ac:dyDescent="0.25">
      <c r="A7777" s="344" t="s">
        <v>12006</v>
      </c>
      <c r="B7777" s="345" t="s">
        <v>4004</v>
      </c>
    </row>
    <row r="7778" spans="1:2" ht="15.75" x14ac:dyDescent="0.25">
      <c r="A7778" s="344" t="s">
        <v>12007</v>
      </c>
      <c r="B7778" s="345" t="s">
        <v>4255</v>
      </c>
    </row>
    <row r="7779" spans="1:2" ht="15.75" x14ac:dyDescent="0.25">
      <c r="A7779" s="344" t="s">
        <v>12008</v>
      </c>
      <c r="B7779" s="345" t="s">
        <v>4256</v>
      </c>
    </row>
    <row r="7780" spans="1:2" ht="15.75" x14ac:dyDescent="0.25">
      <c r="A7780" s="344" t="s">
        <v>12009</v>
      </c>
      <c r="B7780" s="345" t="s">
        <v>4257</v>
      </c>
    </row>
    <row r="7781" spans="1:2" ht="15.75" x14ac:dyDescent="0.25">
      <c r="A7781" s="344" t="s">
        <v>12010</v>
      </c>
      <c r="B7781" s="345" t="s">
        <v>4258</v>
      </c>
    </row>
    <row r="7782" spans="1:2" ht="15.75" x14ac:dyDescent="0.25">
      <c r="A7782" s="344" t="s">
        <v>12011</v>
      </c>
      <c r="B7782" s="345" t="s">
        <v>4259</v>
      </c>
    </row>
    <row r="7783" spans="1:2" ht="15.75" x14ac:dyDescent="0.25">
      <c r="A7783" s="344" t="s">
        <v>12012</v>
      </c>
      <c r="B7783" s="345" t="s">
        <v>4260</v>
      </c>
    </row>
    <row r="7784" spans="1:2" ht="15.75" x14ac:dyDescent="0.25">
      <c r="A7784" s="344" t="s">
        <v>12013</v>
      </c>
      <c r="B7784" s="345" t="s">
        <v>4261</v>
      </c>
    </row>
    <row r="7785" spans="1:2" ht="15.75" x14ac:dyDescent="0.25">
      <c r="A7785" s="344" t="s">
        <v>12014</v>
      </c>
      <c r="B7785" s="345" t="s">
        <v>4262</v>
      </c>
    </row>
    <row r="7786" spans="1:2" ht="15.75" x14ac:dyDescent="0.25">
      <c r="A7786" s="344" t="s">
        <v>12015</v>
      </c>
      <c r="B7786" s="345" t="s">
        <v>4263</v>
      </c>
    </row>
    <row r="7787" spans="1:2" ht="15.75" x14ac:dyDescent="0.25">
      <c r="A7787" s="344" t="s">
        <v>12016</v>
      </c>
      <c r="B7787" s="345" t="s">
        <v>4264</v>
      </c>
    </row>
    <row r="7788" spans="1:2" ht="15.75" x14ac:dyDescent="0.25">
      <c r="A7788" s="344" t="s">
        <v>12017</v>
      </c>
      <c r="B7788" s="345" t="s">
        <v>4265</v>
      </c>
    </row>
    <row r="7789" spans="1:2" ht="15.75" x14ac:dyDescent="0.25">
      <c r="A7789" s="344" t="s">
        <v>12018</v>
      </c>
      <c r="B7789" s="345" t="s">
        <v>4266</v>
      </c>
    </row>
    <row r="7790" spans="1:2" ht="15.75" x14ac:dyDescent="0.25">
      <c r="A7790" s="344" t="s">
        <v>12019</v>
      </c>
      <c r="B7790" s="345" t="s">
        <v>4267</v>
      </c>
    </row>
    <row r="7791" spans="1:2" ht="15.75" x14ac:dyDescent="0.25">
      <c r="A7791" s="344" t="s">
        <v>12020</v>
      </c>
      <c r="B7791" s="345" t="s">
        <v>4268</v>
      </c>
    </row>
    <row r="7792" spans="1:2" ht="15.75" x14ac:dyDescent="0.25">
      <c r="A7792" s="344" t="s">
        <v>12021</v>
      </c>
      <c r="B7792" s="345" t="s">
        <v>4269</v>
      </c>
    </row>
    <row r="7793" spans="1:2" ht="15.75" x14ac:dyDescent="0.25">
      <c r="A7793" s="344" t="s">
        <v>12022</v>
      </c>
      <c r="B7793" s="345" t="s">
        <v>4270</v>
      </c>
    </row>
    <row r="7794" spans="1:2" ht="15.75" x14ac:dyDescent="0.25">
      <c r="A7794" s="344" t="s">
        <v>12023</v>
      </c>
      <c r="B7794" s="345" t="s">
        <v>4271</v>
      </c>
    </row>
    <row r="7795" spans="1:2" ht="15.75" x14ac:dyDescent="0.25">
      <c r="A7795" s="344" t="s">
        <v>12024</v>
      </c>
      <c r="B7795" s="345" t="s">
        <v>4272</v>
      </c>
    </row>
    <row r="7796" spans="1:2" ht="15.75" x14ac:dyDescent="0.25">
      <c r="A7796" s="344" t="s">
        <v>12025</v>
      </c>
      <c r="B7796" s="345" t="s">
        <v>12026</v>
      </c>
    </row>
    <row r="7797" spans="1:2" ht="15.75" x14ac:dyDescent="0.25">
      <c r="A7797" s="344" t="s">
        <v>12027</v>
      </c>
      <c r="B7797" s="345" t="s">
        <v>4273</v>
      </c>
    </row>
    <row r="7798" spans="1:2" ht="15.75" x14ac:dyDescent="0.25">
      <c r="A7798" s="344" t="s">
        <v>12028</v>
      </c>
      <c r="B7798" s="345" t="s">
        <v>4274</v>
      </c>
    </row>
    <row r="7799" spans="1:2" ht="15.75" x14ac:dyDescent="0.25">
      <c r="A7799" s="344" t="s">
        <v>12029</v>
      </c>
      <c r="B7799" s="345" t="s">
        <v>4275</v>
      </c>
    </row>
    <row r="7800" spans="1:2" ht="15.75" x14ac:dyDescent="0.25">
      <c r="A7800" s="344" t="s">
        <v>12030</v>
      </c>
      <c r="B7800" s="345" t="s">
        <v>4276</v>
      </c>
    </row>
    <row r="7801" spans="1:2" ht="15.75" x14ac:dyDescent="0.25">
      <c r="A7801" s="344" t="s">
        <v>1690</v>
      </c>
      <c r="B7801" s="345" t="s">
        <v>1691</v>
      </c>
    </row>
    <row r="7802" spans="1:2" ht="15.75" x14ac:dyDescent="0.25">
      <c r="A7802" s="344" t="s">
        <v>12031</v>
      </c>
      <c r="B7802" s="345" t="s">
        <v>4277</v>
      </c>
    </row>
    <row r="7803" spans="1:2" ht="15.75" x14ac:dyDescent="0.25">
      <c r="A7803" s="344" t="s">
        <v>12032</v>
      </c>
      <c r="B7803" s="345" t="s">
        <v>4278</v>
      </c>
    </row>
    <row r="7804" spans="1:2" ht="15.75" x14ac:dyDescent="0.25">
      <c r="A7804" s="344" t="s">
        <v>12033</v>
      </c>
      <c r="B7804" s="345" t="s">
        <v>4279</v>
      </c>
    </row>
    <row r="7805" spans="1:2" ht="15.75" x14ac:dyDescent="0.25">
      <c r="A7805" s="344" t="s">
        <v>12034</v>
      </c>
      <c r="B7805" s="345" t="s">
        <v>4280</v>
      </c>
    </row>
    <row r="7806" spans="1:2" ht="15.75" x14ac:dyDescent="0.25">
      <c r="A7806" s="344" t="s">
        <v>12035</v>
      </c>
      <c r="B7806" s="345" t="s">
        <v>12036</v>
      </c>
    </row>
    <row r="7807" spans="1:2" ht="15.75" x14ac:dyDescent="0.25">
      <c r="A7807" s="344" t="s">
        <v>12037</v>
      </c>
      <c r="B7807" s="345" t="s">
        <v>4281</v>
      </c>
    </row>
    <row r="7808" spans="1:2" ht="15.75" x14ac:dyDescent="0.25">
      <c r="A7808" s="344" t="s">
        <v>12038</v>
      </c>
      <c r="B7808" s="345" t="s">
        <v>12039</v>
      </c>
    </row>
    <row r="7809" spans="1:2" ht="15.75" x14ac:dyDescent="0.25">
      <c r="A7809" s="344" t="s">
        <v>12040</v>
      </c>
      <c r="B7809" s="345" t="s">
        <v>4282</v>
      </c>
    </row>
    <row r="7810" spans="1:2" ht="15.75" x14ac:dyDescent="0.25">
      <c r="A7810" s="344" t="s">
        <v>12041</v>
      </c>
      <c r="B7810" s="345" t="s">
        <v>12042</v>
      </c>
    </row>
    <row r="7811" spans="1:2" ht="15.75" x14ac:dyDescent="0.25">
      <c r="A7811" s="344" t="s">
        <v>12043</v>
      </c>
      <c r="B7811" s="345" t="s">
        <v>12044</v>
      </c>
    </row>
    <row r="7812" spans="1:2" ht="15.75" x14ac:dyDescent="0.25">
      <c r="A7812" s="344" t="s">
        <v>12045</v>
      </c>
      <c r="B7812" s="345" t="s">
        <v>4283</v>
      </c>
    </row>
    <row r="7813" spans="1:2" ht="15.75" x14ac:dyDescent="0.25">
      <c r="A7813" s="344" t="s">
        <v>12046</v>
      </c>
      <c r="B7813" s="345" t="s">
        <v>4284</v>
      </c>
    </row>
    <row r="7814" spans="1:2" ht="15.75" x14ac:dyDescent="0.25">
      <c r="A7814" s="344" t="s">
        <v>12047</v>
      </c>
      <c r="B7814" s="345" t="s">
        <v>4285</v>
      </c>
    </row>
    <row r="7815" spans="1:2" ht="15.75" x14ac:dyDescent="0.25">
      <c r="A7815" s="344" t="s">
        <v>12048</v>
      </c>
      <c r="B7815" s="345" t="s">
        <v>4286</v>
      </c>
    </row>
    <row r="7816" spans="1:2" ht="15.75" x14ac:dyDescent="0.25">
      <c r="A7816" s="344" t="s">
        <v>12049</v>
      </c>
      <c r="B7816" s="345" t="s">
        <v>4287</v>
      </c>
    </row>
    <row r="7817" spans="1:2" ht="15.75" x14ac:dyDescent="0.25">
      <c r="A7817" s="344" t="s">
        <v>1694</v>
      </c>
      <c r="B7817" s="345" t="s">
        <v>1695</v>
      </c>
    </row>
    <row r="7818" spans="1:2" ht="15.75" x14ac:dyDescent="0.25">
      <c r="A7818" s="344" t="s">
        <v>12050</v>
      </c>
      <c r="B7818" s="345" t="s">
        <v>4288</v>
      </c>
    </row>
    <row r="7819" spans="1:2" ht="15.75" x14ac:dyDescent="0.25">
      <c r="A7819" s="344" t="s">
        <v>12051</v>
      </c>
      <c r="B7819" s="345" t="s">
        <v>4289</v>
      </c>
    </row>
    <row r="7820" spans="1:2" ht="15.75" x14ac:dyDescent="0.25">
      <c r="A7820" s="344" t="s">
        <v>12052</v>
      </c>
      <c r="B7820" s="345" t="s">
        <v>4290</v>
      </c>
    </row>
    <row r="7821" spans="1:2" ht="15.75" x14ac:dyDescent="0.25">
      <c r="A7821" s="344" t="s">
        <v>12053</v>
      </c>
      <c r="B7821" s="345" t="s">
        <v>4291</v>
      </c>
    </row>
    <row r="7822" spans="1:2" ht="15.75" x14ac:dyDescent="0.25">
      <c r="A7822" s="344" t="s">
        <v>12054</v>
      </c>
      <c r="B7822" s="345" t="s">
        <v>4292</v>
      </c>
    </row>
    <row r="7823" spans="1:2" ht="15.75" x14ac:dyDescent="0.25">
      <c r="A7823" s="344" t="s">
        <v>12055</v>
      </c>
      <c r="B7823" s="345" t="s">
        <v>4293</v>
      </c>
    </row>
    <row r="7824" spans="1:2" ht="15.75" x14ac:dyDescent="0.25">
      <c r="A7824" s="344" t="s">
        <v>12056</v>
      </c>
      <c r="B7824" s="345" t="s">
        <v>4294</v>
      </c>
    </row>
    <row r="7825" spans="1:2" ht="15.75" x14ac:dyDescent="0.25">
      <c r="A7825" s="344" t="s">
        <v>12057</v>
      </c>
      <c r="B7825" s="345" t="s">
        <v>4295</v>
      </c>
    </row>
    <row r="7826" spans="1:2" ht="15.75" x14ac:dyDescent="0.25">
      <c r="A7826" s="344" t="s">
        <v>12058</v>
      </c>
      <c r="B7826" s="345" t="s">
        <v>4296</v>
      </c>
    </row>
    <row r="7827" spans="1:2" ht="15.75" x14ac:dyDescent="0.25">
      <c r="A7827" s="344" t="s">
        <v>12059</v>
      </c>
      <c r="B7827" s="345" t="s">
        <v>12060</v>
      </c>
    </row>
    <row r="7828" spans="1:2" ht="15.75" x14ac:dyDescent="0.25">
      <c r="A7828" s="344" t="s">
        <v>12061</v>
      </c>
      <c r="B7828" s="345" t="s">
        <v>12062</v>
      </c>
    </row>
    <row r="7829" spans="1:2" ht="15.75" x14ac:dyDescent="0.25">
      <c r="A7829" s="344" t="s">
        <v>12063</v>
      </c>
      <c r="B7829" s="345" t="s">
        <v>4297</v>
      </c>
    </row>
    <row r="7830" spans="1:2" ht="15.75" x14ac:dyDescent="0.25">
      <c r="A7830" s="344" t="s">
        <v>12064</v>
      </c>
      <c r="B7830" s="345" t="s">
        <v>4298</v>
      </c>
    </row>
    <row r="7831" spans="1:2" ht="15.75" x14ac:dyDescent="0.25">
      <c r="A7831" s="344" t="s">
        <v>12065</v>
      </c>
      <c r="B7831" s="345" t="s">
        <v>4299</v>
      </c>
    </row>
    <row r="7832" spans="1:2" ht="15.75" x14ac:dyDescent="0.25">
      <c r="A7832" s="344" t="s">
        <v>12066</v>
      </c>
      <c r="B7832" s="345" t="s">
        <v>4300</v>
      </c>
    </row>
    <row r="7833" spans="1:2" ht="15.75" x14ac:dyDescent="0.25">
      <c r="A7833" s="344" t="s">
        <v>12067</v>
      </c>
      <c r="B7833" s="345" t="s">
        <v>4301</v>
      </c>
    </row>
    <row r="7834" spans="1:2" ht="15.75" x14ac:dyDescent="0.25">
      <c r="A7834" s="344" t="s">
        <v>12068</v>
      </c>
      <c r="B7834" s="345" t="s">
        <v>4302</v>
      </c>
    </row>
    <row r="7835" spans="1:2" ht="15.75" x14ac:dyDescent="0.25">
      <c r="A7835" s="344" t="s">
        <v>12069</v>
      </c>
      <c r="B7835" s="345" t="s">
        <v>4303</v>
      </c>
    </row>
    <row r="7836" spans="1:2" ht="15.75" x14ac:dyDescent="0.25">
      <c r="A7836" s="344" t="s">
        <v>12070</v>
      </c>
      <c r="B7836" s="345" t="s">
        <v>4304</v>
      </c>
    </row>
    <row r="7837" spans="1:2" ht="15.75" x14ac:dyDescent="0.25">
      <c r="A7837" s="344" t="s">
        <v>12071</v>
      </c>
      <c r="B7837" s="345" t="s">
        <v>4305</v>
      </c>
    </row>
    <row r="7838" spans="1:2" ht="15.75" x14ac:dyDescent="0.25">
      <c r="A7838" s="344" t="s">
        <v>12072</v>
      </c>
      <c r="B7838" s="345" t="s">
        <v>4306</v>
      </c>
    </row>
    <row r="7839" spans="1:2" ht="15.75" x14ac:dyDescent="0.25">
      <c r="A7839" s="344" t="s">
        <v>12073</v>
      </c>
      <c r="B7839" s="345" t="s">
        <v>4307</v>
      </c>
    </row>
    <row r="7840" spans="1:2" ht="15.75" x14ac:dyDescent="0.25">
      <c r="A7840" s="344" t="s">
        <v>12074</v>
      </c>
      <c r="B7840" s="345" t="s">
        <v>4308</v>
      </c>
    </row>
    <row r="7841" spans="1:2" ht="15.75" x14ac:dyDescent="0.25">
      <c r="A7841" s="344" t="s">
        <v>12075</v>
      </c>
      <c r="B7841" s="345" t="s">
        <v>4309</v>
      </c>
    </row>
    <row r="7842" spans="1:2" ht="15.75" x14ac:dyDescent="0.25">
      <c r="A7842" s="344" t="s">
        <v>12076</v>
      </c>
      <c r="B7842" s="345" t="s">
        <v>4310</v>
      </c>
    </row>
    <row r="7843" spans="1:2" ht="15.75" x14ac:dyDescent="0.25">
      <c r="A7843" s="344" t="s">
        <v>12077</v>
      </c>
      <c r="B7843" s="345" t="s">
        <v>12078</v>
      </c>
    </row>
    <row r="7844" spans="1:2" ht="15.75" x14ac:dyDescent="0.25">
      <c r="A7844" s="344" t="s">
        <v>12079</v>
      </c>
      <c r="B7844" s="345" t="s">
        <v>4311</v>
      </c>
    </row>
    <row r="7845" spans="1:2" ht="15.75" x14ac:dyDescent="0.25">
      <c r="A7845" s="344" t="s">
        <v>12080</v>
      </c>
      <c r="B7845" s="345" t="s">
        <v>4312</v>
      </c>
    </row>
    <row r="7846" spans="1:2" ht="15.75" x14ac:dyDescent="0.25">
      <c r="A7846" s="344" t="s">
        <v>12081</v>
      </c>
      <c r="B7846" s="345" t="s">
        <v>4313</v>
      </c>
    </row>
    <row r="7847" spans="1:2" ht="15.75" x14ac:dyDescent="0.25">
      <c r="A7847" s="344" t="s">
        <v>12082</v>
      </c>
      <c r="B7847" s="345" t="s">
        <v>4314</v>
      </c>
    </row>
    <row r="7848" spans="1:2" ht="15.75" x14ac:dyDescent="0.25">
      <c r="A7848" s="344" t="s">
        <v>12083</v>
      </c>
      <c r="B7848" s="345" t="s">
        <v>4315</v>
      </c>
    </row>
    <row r="7849" spans="1:2" ht="15.75" x14ac:dyDescent="0.25">
      <c r="A7849" s="344" t="s">
        <v>12084</v>
      </c>
      <c r="B7849" s="345" t="s">
        <v>4316</v>
      </c>
    </row>
    <row r="7850" spans="1:2" ht="15.75" x14ac:dyDescent="0.25">
      <c r="A7850" s="344" t="s">
        <v>12085</v>
      </c>
      <c r="B7850" s="345" t="s">
        <v>12086</v>
      </c>
    </row>
    <row r="7851" spans="1:2" ht="15.75" x14ac:dyDescent="0.25">
      <c r="A7851" s="344" t="s">
        <v>12087</v>
      </c>
      <c r="B7851" s="345" t="s">
        <v>4317</v>
      </c>
    </row>
    <row r="7852" spans="1:2" ht="15.75" x14ac:dyDescent="0.25">
      <c r="A7852" s="344" t="s">
        <v>12088</v>
      </c>
      <c r="B7852" s="345" t="s">
        <v>4318</v>
      </c>
    </row>
    <row r="7853" spans="1:2" ht="15.75" x14ac:dyDescent="0.25">
      <c r="A7853" s="344" t="s">
        <v>12089</v>
      </c>
      <c r="B7853" s="345" t="s">
        <v>4319</v>
      </c>
    </row>
    <row r="7854" spans="1:2" ht="15.75" x14ac:dyDescent="0.25">
      <c r="A7854" s="344" t="s">
        <v>12090</v>
      </c>
      <c r="B7854" s="345" t="s">
        <v>4320</v>
      </c>
    </row>
    <row r="7855" spans="1:2" ht="15.75" x14ac:dyDescent="0.25">
      <c r="A7855" s="344" t="s">
        <v>12091</v>
      </c>
      <c r="B7855" s="345" t="s">
        <v>4321</v>
      </c>
    </row>
    <row r="7856" spans="1:2" ht="15.75" x14ac:dyDescent="0.25">
      <c r="A7856" s="344" t="s">
        <v>12092</v>
      </c>
      <c r="B7856" s="345" t="s">
        <v>4322</v>
      </c>
    </row>
    <row r="7857" spans="1:2" ht="15.75" x14ac:dyDescent="0.25">
      <c r="A7857" s="344" t="s">
        <v>12093</v>
      </c>
      <c r="B7857" s="345" t="s">
        <v>4323</v>
      </c>
    </row>
    <row r="7858" spans="1:2" ht="15.75" x14ac:dyDescent="0.25">
      <c r="A7858" s="344" t="s">
        <v>12094</v>
      </c>
      <c r="B7858" s="345" t="s">
        <v>4324</v>
      </c>
    </row>
    <row r="7859" spans="1:2" ht="15.75" x14ac:dyDescent="0.25">
      <c r="A7859" s="344" t="s">
        <v>12095</v>
      </c>
      <c r="B7859" s="345" t="s">
        <v>4325</v>
      </c>
    </row>
    <row r="7860" spans="1:2" ht="15.75" x14ac:dyDescent="0.25">
      <c r="A7860" s="344" t="s">
        <v>12096</v>
      </c>
      <c r="B7860" s="345" t="s">
        <v>12097</v>
      </c>
    </row>
    <row r="7861" spans="1:2" ht="15.75" x14ac:dyDescent="0.25">
      <c r="A7861" s="344" t="s">
        <v>12098</v>
      </c>
      <c r="B7861" s="345" t="s">
        <v>4326</v>
      </c>
    </row>
    <row r="7862" spans="1:2" ht="15.75" x14ac:dyDescent="0.25">
      <c r="A7862" s="344" t="s">
        <v>12099</v>
      </c>
      <c r="B7862" s="345" t="s">
        <v>4327</v>
      </c>
    </row>
    <row r="7863" spans="1:2" ht="15.75" x14ac:dyDescent="0.25">
      <c r="A7863" s="344" t="s">
        <v>12100</v>
      </c>
      <c r="B7863" s="345" t="s">
        <v>4328</v>
      </c>
    </row>
    <row r="7864" spans="1:2" ht="15.75" x14ac:dyDescent="0.25">
      <c r="A7864" s="344" t="s">
        <v>12101</v>
      </c>
      <c r="B7864" s="345" t="s">
        <v>4329</v>
      </c>
    </row>
    <row r="7865" spans="1:2" ht="15.75" x14ac:dyDescent="0.25">
      <c r="A7865" s="344" t="s">
        <v>12102</v>
      </c>
      <c r="B7865" s="345" t="s">
        <v>4330</v>
      </c>
    </row>
    <row r="7866" spans="1:2" ht="15.75" x14ac:dyDescent="0.25">
      <c r="A7866" s="344" t="s">
        <v>12103</v>
      </c>
      <c r="B7866" s="345" t="s">
        <v>4331</v>
      </c>
    </row>
    <row r="7867" spans="1:2" ht="15.75" x14ac:dyDescent="0.25">
      <c r="A7867" s="344" t="s">
        <v>12104</v>
      </c>
      <c r="B7867" s="345" t="s">
        <v>4332</v>
      </c>
    </row>
    <row r="7868" spans="1:2" ht="15.75" x14ac:dyDescent="0.25">
      <c r="A7868" s="344" t="s">
        <v>12105</v>
      </c>
      <c r="B7868" s="345" t="s">
        <v>4333</v>
      </c>
    </row>
    <row r="7869" spans="1:2" ht="15.75" x14ac:dyDescent="0.25">
      <c r="A7869" s="344" t="s">
        <v>12106</v>
      </c>
      <c r="B7869" s="345" t="s">
        <v>12107</v>
      </c>
    </row>
    <row r="7870" spans="1:2" ht="15.75" x14ac:dyDescent="0.25">
      <c r="A7870" s="344" t="s">
        <v>12108</v>
      </c>
      <c r="B7870" s="345" t="s">
        <v>4334</v>
      </c>
    </row>
    <row r="7871" spans="1:2" ht="15.75" x14ac:dyDescent="0.25">
      <c r="A7871" s="344" t="s">
        <v>12109</v>
      </c>
      <c r="B7871" s="345" t="s">
        <v>4335</v>
      </c>
    </row>
    <row r="7872" spans="1:2" ht="15.75" x14ac:dyDescent="0.25">
      <c r="A7872" s="344" t="s">
        <v>12110</v>
      </c>
      <c r="B7872" s="345" t="s">
        <v>4336</v>
      </c>
    </row>
    <row r="7873" spans="1:2" ht="15.75" x14ac:dyDescent="0.25">
      <c r="A7873" s="344" t="s">
        <v>12111</v>
      </c>
      <c r="B7873" s="345" t="s">
        <v>4337</v>
      </c>
    </row>
    <row r="7874" spans="1:2" ht="15.75" x14ac:dyDescent="0.25">
      <c r="A7874" s="344" t="s">
        <v>12112</v>
      </c>
      <c r="B7874" s="345" t="s">
        <v>4338</v>
      </c>
    </row>
    <row r="7875" spans="1:2" ht="15.75" x14ac:dyDescent="0.25">
      <c r="A7875" s="344" t="s">
        <v>12113</v>
      </c>
      <c r="B7875" s="345" t="s">
        <v>4339</v>
      </c>
    </row>
    <row r="7876" spans="1:2" ht="15.75" x14ac:dyDescent="0.25">
      <c r="A7876" s="344" t="s">
        <v>12114</v>
      </c>
      <c r="B7876" s="345" t="s">
        <v>4340</v>
      </c>
    </row>
    <row r="7877" spans="1:2" ht="15.75" x14ac:dyDescent="0.25">
      <c r="A7877" s="344" t="s">
        <v>12115</v>
      </c>
      <c r="B7877" s="345" t="s">
        <v>4341</v>
      </c>
    </row>
    <row r="7878" spans="1:2" ht="15.75" x14ac:dyDescent="0.25">
      <c r="A7878" s="344" t="s">
        <v>12116</v>
      </c>
      <c r="B7878" s="345" t="s">
        <v>4342</v>
      </c>
    </row>
    <row r="7879" spans="1:2" ht="15.75" x14ac:dyDescent="0.25">
      <c r="A7879" s="344" t="s">
        <v>12117</v>
      </c>
      <c r="B7879" s="345" t="s">
        <v>4343</v>
      </c>
    </row>
    <row r="7880" spans="1:2" ht="15.75" x14ac:dyDescent="0.25">
      <c r="A7880" s="344" t="s">
        <v>12118</v>
      </c>
      <c r="B7880" s="345" t="s">
        <v>4344</v>
      </c>
    </row>
    <row r="7881" spans="1:2" ht="15.75" x14ac:dyDescent="0.25">
      <c r="A7881" s="344" t="s">
        <v>12119</v>
      </c>
      <c r="B7881" s="345" t="s">
        <v>12120</v>
      </c>
    </row>
    <row r="7882" spans="1:2" ht="15.75" x14ac:dyDescent="0.25">
      <c r="A7882" s="344" t="s">
        <v>12121</v>
      </c>
      <c r="B7882" s="345" t="s">
        <v>4345</v>
      </c>
    </row>
    <row r="7883" spans="1:2" ht="15.75" x14ac:dyDescent="0.25">
      <c r="A7883" s="344" t="s">
        <v>12122</v>
      </c>
      <c r="B7883" s="345" t="s">
        <v>4346</v>
      </c>
    </row>
    <row r="7884" spans="1:2" ht="15.75" x14ac:dyDescent="0.25">
      <c r="A7884" s="344" t="s">
        <v>12123</v>
      </c>
      <c r="B7884" s="345" t="s">
        <v>4347</v>
      </c>
    </row>
    <row r="7885" spans="1:2" ht="15.75" x14ac:dyDescent="0.25">
      <c r="A7885" s="344" t="s">
        <v>12124</v>
      </c>
      <c r="B7885" s="345" t="s">
        <v>4348</v>
      </c>
    </row>
    <row r="7886" spans="1:2" ht="15.75" x14ac:dyDescent="0.25">
      <c r="A7886" s="344" t="s">
        <v>12125</v>
      </c>
      <c r="B7886" s="345" t="s">
        <v>4349</v>
      </c>
    </row>
    <row r="7887" spans="1:2" ht="15.75" x14ac:dyDescent="0.25">
      <c r="A7887" s="344" t="s">
        <v>12126</v>
      </c>
      <c r="B7887" s="345" t="s">
        <v>4350</v>
      </c>
    </row>
    <row r="7888" spans="1:2" ht="15.75" x14ac:dyDescent="0.25">
      <c r="A7888" s="344" t="s">
        <v>12127</v>
      </c>
      <c r="B7888" s="345" t="s">
        <v>4351</v>
      </c>
    </row>
    <row r="7889" spans="1:2" ht="15.75" x14ac:dyDescent="0.25">
      <c r="A7889" s="344" t="s">
        <v>12128</v>
      </c>
      <c r="B7889" s="345" t="s">
        <v>4352</v>
      </c>
    </row>
    <row r="7890" spans="1:2" ht="15.75" x14ac:dyDescent="0.25">
      <c r="A7890" s="344" t="s">
        <v>12129</v>
      </c>
      <c r="B7890" s="345" t="s">
        <v>4353</v>
      </c>
    </row>
    <row r="7891" spans="1:2" ht="15.75" x14ac:dyDescent="0.25">
      <c r="A7891" s="344" t="s">
        <v>12130</v>
      </c>
      <c r="B7891" s="345" t="s">
        <v>4354</v>
      </c>
    </row>
    <row r="7892" spans="1:2" ht="15.75" x14ac:dyDescent="0.25">
      <c r="A7892" s="344" t="s">
        <v>12131</v>
      </c>
      <c r="B7892" s="345" t="s">
        <v>4355</v>
      </c>
    </row>
    <row r="7893" spans="1:2" ht="15.75" x14ac:dyDescent="0.25">
      <c r="A7893" s="344" t="s">
        <v>12132</v>
      </c>
      <c r="B7893" s="345" t="s">
        <v>4356</v>
      </c>
    </row>
    <row r="7894" spans="1:2" ht="15.75" x14ac:dyDescent="0.25">
      <c r="A7894" s="344" t="s">
        <v>12133</v>
      </c>
      <c r="B7894" s="345" t="s">
        <v>4357</v>
      </c>
    </row>
    <row r="7895" spans="1:2" ht="15.75" x14ac:dyDescent="0.25">
      <c r="A7895" s="344" t="s">
        <v>12134</v>
      </c>
      <c r="B7895" s="345" t="s">
        <v>4358</v>
      </c>
    </row>
    <row r="7896" spans="1:2" ht="15.75" x14ac:dyDescent="0.25">
      <c r="A7896" s="344" t="s">
        <v>12135</v>
      </c>
      <c r="B7896" s="345" t="s">
        <v>12136</v>
      </c>
    </row>
    <row r="7897" spans="1:2" ht="15.75" x14ac:dyDescent="0.25">
      <c r="A7897" s="344" t="s">
        <v>12137</v>
      </c>
      <c r="B7897" s="345" t="s">
        <v>12138</v>
      </c>
    </row>
    <row r="7898" spans="1:2" ht="15.75" x14ac:dyDescent="0.25">
      <c r="A7898" s="344" t="s">
        <v>12139</v>
      </c>
      <c r="B7898" s="345" t="s">
        <v>12140</v>
      </c>
    </row>
    <row r="7899" spans="1:2" ht="15.75" x14ac:dyDescent="0.25">
      <c r="A7899" s="344" t="s">
        <v>12141</v>
      </c>
      <c r="B7899" s="345" t="s">
        <v>4359</v>
      </c>
    </row>
    <row r="7900" spans="1:2" ht="15.75" x14ac:dyDescent="0.25">
      <c r="A7900" s="344" t="s">
        <v>12142</v>
      </c>
      <c r="B7900" s="345" t="s">
        <v>3096</v>
      </c>
    </row>
    <row r="7901" spans="1:2" ht="15.75" x14ac:dyDescent="0.25">
      <c r="A7901" s="344" t="s">
        <v>12143</v>
      </c>
      <c r="B7901" s="345" t="s">
        <v>4360</v>
      </c>
    </row>
    <row r="7902" spans="1:2" ht="15.75" x14ac:dyDescent="0.25">
      <c r="A7902" s="344" t="s">
        <v>12144</v>
      </c>
      <c r="B7902" s="345" t="s">
        <v>4361</v>
      </c>
    </row>
    <row r="7903" spans="1:2" ht="15.75" x14ac:dyDescent="0.25">
      <c r="A7903" s="344" t="s">
        <v>12145</v>
      </c>
      <c r="B7903" s="345" t="s">
        <v>4362</v>
      </c>
    </row>
    <row r="7904" spans="1:2" ht="15.75" x14ac:dyDescent="0.25">
      <c r="A7904" s="344" t="s">
        <v>12146</v>
      </c>
      <c r="B7904" s="345" t="s">
        <v>4363</v>
      </c>
    </row>
    <row r="7905" spans="1:2" ht="15.75" x14ac:dyDescent="0.25">
      <c r="A7905" s="344" t="s">
        <v>1692</v>
      </c>
      <c r="B7905" s="345" t="s">
        <v>1693</v>
      </c>
    </row>
    <row r="7906" spans="1:2" ht="15.75" x14ac:dyDescent="0.25">
      <c r="A7906" s="344" t="s">
        <v>12147</v>
      </c>
      <c r="B7906" s="345" t="s">
        <v>4364</v>
      </c>
    </row>
    <row r="7907" spans="1:2" ht="15.75" x14ac:dyDescent="0.25">
      <c r="A7907" s="344" t="s">
        <v>1714</v>
      </c>
      <c r="B7907" s="345" t="s">
        <v>1715</v>
      </c>
    </row>
    <row r="7908" spans="1:2" ht="15.75" x14ac:dyDescent="0.25">
      <c r="A7908" s="344" t="s">
        <v>12148</v>
      </c>
      <c r="B7908" s="345" t="s">
        <v>4365</v>
      </c>
    </row>
    <row r="7909" spans="1:2" ht="15.75" x14ac:dyDescent="0.25">
      <c r="A7909" s="344" t="s">
        <v>12149</v>
      </c>
      <c r="B7909" s="345" t="s">
        <v>4366</v>
      </c>
    </row>
    <row r="7910" spans="1:2" ht="15.75" x14ac:dyDescent="0.25">
      <c r="A7910" s="344" t="s">
        <v>108</v>
      </c>
      <c r="B7910" s="345" t="s">
        <v>4367</v>
      </c>
    </row>
    <row r="7911" spans="1:2" ht="15.75" x14ac:dyDescent="0.25">
      <c r="A7911" s="344" t="s">
        <v>12150</v>
      </c>
      <c r="B7911" s="345" t="s">
        <v>4368</v>
      </c>
    </row>
    <row r="7912" spans="1:2" ht="15.75" x14ac:dyDescent="0.25">
      <c r="A7912" s="344" t="s">
        <v>12151</v>
      </c>
      <c r="B7912" s="345" t="s">
        <v>4369</v>
      </c>
    </row>
    <row r="7913" spans="1:2" ht="15.75" x14ac:dyDescent="0.25">
      <c r="A7913" s="344" t="s">
        <v>12152</v>
      </c>
      <c r="B7913" s="345" t="s">
        <v>12153</v>
      </c>
    </row>
    <row r="7914" spans="1:2" ht="15.75" x14ac:dyDescent="0.25">
      <c r="A7914" s="344" t="s">
        <v>12154</v>
      </c>
      <c r="B7914" s="345" t="s">
        <v>12155</v>
      </c>
    </row>
    <row r="7915" spans="1:2" ht="15.75" x14ac:dyDescent="0.25">
      <c r="A7915" s="344" t="s">
        <v>12156</v>
      </c>
      <c r="B7915" s="345" t="s">
        <v>4370</v>
      </c>
    </row>
    <row r="7916" spans="1:2" ht="15.75" x14ac:dyDescent="0.25">
      <c r="A7916" s="344" t="s">
        <v>115</v>
      </c>
      <c r="B7916" s="345" t="s">
        <v>4371</v>
      </c>
    </row>
    <row r="7917" spans="1:2" ht="15.75" x14ac:dyDescent="0.25">
      <c r="A7917" s="344" t="s">
        <v>12157</v>
      </c>
      <c r="B7917" s="345" t="s">
        <v>4372</v>
      </c>
    </row>
    <row r="7918" spans="1:2" ht="15.75" x14ac:dyDescent="0.25">
      <c r="A7918" s="344" t="s">
        <v>12158</v>
      </c>
      <c r="B7918" s="345" t="s">
        <v>4373</v>
      </c>
    </row>
    <row r="7919" spans="1:2" ht="15.75" x14ac:dyDescent="0.25">
      <c r="A7919" s="344" t="s">
        <v>12159</v>
      </c>
      <c r="B7919" s="345" t="s">
        <v>12160</v>
      </c>
    </row>
    <row r="7920" spans="1:2" ht="15.75" x14ac:dyDescent="0.25">
      <c r="A7920" s="344" t="s">
        <v>12161</v>
      </c>
      <c r="B7920" s="345" t="s">
        <v>4374</v>
      </c>
    </row>
    <row r="7921" spans="1:2" ht="15.75" x14ac:dyDescent="0.25">
      <c r="A7921" s="344" t="s">
        <v>12162</v>
      </c>
      <c r="B7921" s="345" t="s">
        <v>4375</v>
      </c>
    </row>
    <row r="7922" spans="1:2" ht="15.75" x14ac:dyDescent="0.25">
      <c r="A7922" s="344" t="s">
        <v>12163</v>
      </c>
      <c r="B7922" s="345" t="s">
        <v>4376</v>
      </c>
    </row>
    <row r="7923" spans="1:2" ht="15.75" x14ac:dyDescent="0.25">
      <c r="A7923" s="344" t="s">
        <v>12164</v>
      </c>
      <c r="B7923" s="345" t="s">
        <v>4377</v>
      </c>
    </row>
    <row r="7924" spans="1:2" ht="15.75" x14ac:dyDescent="0.25">
      <c r="A7924" s="344" t="s">
        <v>12165</v>
      </c>
      <c r="B7924" s="345" t="s">
        <v>4378</v>
      </c>
    </row>
    <row r="7925" spans="1:2" ht="15.75" x14ac:dyDescent="0.25">
      <c r="A7925" s="344" t="s">
        <v>12166</v>
      </c>
      <c r="B7925" s="345" t="s">
        <v>4379</v>
      </c>
    </row>
    <row r="7926" spans="1:2" ht="15.75" x14ac:dyDescent="0.25">
      <c r="A7926" s="344" t="s">
        <v>12167</v>
      </c>
      <c r="B7926" s="345" t="s">
        <v>4380</v>
      </c>
    </row>
    <row r="7927" spans="1:2" ht="15.75" x14ac:dyDescent="0.25">
      <c r="A7927" s="344" t="s">
        <v>12168</v>
      </c>
      <c r="B7927" s="345" t="s">
        <v>12169</v>
      </c>
    </row>
    <row r="7928" spans="1:2" ht="15.75" x14ac:dyDescent="0.25">
      <c r="A7928" s="344" t="s">
        <v>12170</v>
      </c>
      <c r="B7928" s="345" t="s">
        <v>4381</v>
      </c>
    </row>
    <row r="7929" spans="1:2" ht="15.75" x14ac:dyDescent="0.25">
      <c r="A7929" s="344" t="s">
        <v>12171</v>
      </c>
      <c r="B7929" s="345" t="s">
        <v>4382</v>
      </c>
    </row>
    <row r="7930" spans="1:2" ht="15.75" x14ac:dyDescent="0.25">
      <c r="A7930" s="344" t="s">
        <v>12172</v>
      </c>
      <c r="B7930" s="345" t="s">
        <v>12173</v>
      </c>
    </row>
    <row r="7931" spans="1:2" ht="15.75" x14ac:dyDescent="0.25">
      <c r="A7931" s="344" t="s">
        <v>12174</v>
      </c>
      <c r="B7931" s="345" t="s">
        <v>12175</v>
      </c>
    </row>
    <row r="7932" spans="1:2" ht="15.75" x14ac:dyDescent="0.25">
      <c r="A7932" s="344" t="s">
        <v>12176</v>
      </c>
      <c r="B7932" s="345" t="s">
        <v>12177</v>
      </c>
    </row>
    <row r="7933" spans="1:2" ht="15.75" x14ac:dyDescent="0.25">
      <c r="A7933" s="344" t="s">
        <v>12178</v>
      </c>
      <c r="B7933" s="345" t="s">
        <v>12179</v>
      </c>
    </row>
    <row r="7934" spans="1:2" ht="15.75" x14ac:dyDescent="0.25">
      <c r="A7934" s="344" t="s">
        <v>12180</v>
      </c>
      <c r="B7934" s="345" t="s">
        <v>4383</v>
      </c>
    </row>
    <row r="7935" spans="1:2" ht="15.75" x14ac:dyDescent="0.25">
      <c r="A7935" s="344" t="s">
        <v>12181</v>
      </c>
      <c r="B7935" s="345" t="s">
        <v>4384</v>
      </c>
    </row>
    <row r="7936" spans="1:2" ht="15.75" x14ac:dyDescent="0.25">
      <c r="A7936" s="344" t="s">
        <v>12182</v>
      </c>
      <c r="B7936" s="345" t="s">
        <v>12183</v>
      </c>
    </row>
    <row r="7937" spans="1:2" ht="15.75" x14ac:dyDescent="0.25">
      <c r="A7937" s="344" t="s">
        <v>12184</v>
      </c>
      <c r="B7937" s="345" t="s">
        <v>4385</v>
      </c>
    </row>
    <row r="7938" spans="1:2" ht="15.75" x14ac:dyDescent="0.25">
      <c r="A7938" s="344" t="s">
        <v>12185</v>
      </c>
      <c r="B7938" s="345" t="s">
        <v>4386</v>
      </c>
    </row>
    <row r="7939" spans="1:2" ht="15.75" x14ac:dyDescent="0.25">
      <c r="A7939" s="344" t="s">
        <v>12186</v>
      </c>
      <c r="B7939" s="345" t="s">
        <v>4387</v>
      </c>
    </row>
    <row r="7940" spans="1:2" ht="15.75" x14ac:dyDescent="0.25">
      <c r="A7940" s="344" t="s">
        <v>12187</v>
      </c>
      <c r="B7940" s="345" t="s">
        <v>4388</v>
      </c>
    </row>
    <row r="7941" spans="1:2" ht="15.75" x14ac:dyDescent="0.25">
      <c r="A7941" s="344" t="s">
        <v>12188</v>
      </c>
      <c r="B7941" s="345" t="s">
        <v>4389</v>
      </c>
    </row>
    <row r="7942" spans="1:2" ht="15.75" x14ac:dyDescent="0.25">
      <c r="A7942" s="344" t="s">
        <v>12189</v>
      </c>
      <c r="B7942" s="345" t="s">
        <v>4390</v>
      </c>
    </row>
    <row r="7943" spans="1:2" ht="15.75" x14ac:dyDescent="0.25">
      <c r="A7943" s="344" t="s">
        <v>12190</v>
      </c>
      <c r="B7943" s="345" t="s">
        <v>4391</v>
      </c>
    </row>
    <row r="7944" spans="1:2" ht="15.75" x14ac:dyDescent="0.25">
      <c r="A7944" s="344" t="s">
        <v>12191</v>
      </c>
      <c r="B7944" s="345" t="s">
        <v>4392</v>
      </c>
    </row>
    <row r="7945" spans="1:2" ht="15.75" x14ac:dyDescent="0.25">
      <c r="A7945" s="344" t="s">
        <v>12192</v>
      </c>
      <c r="B7945" s="345" t="s">
        <v>4393</v>
      </c>
    </row>
    <row r="7946" spans="1:2" ht="15.75" x14ac:dyDescent="0.25">
      <c r="A7946" s="344" t="s">
        <v>12193</v>
      </c>
      <c r="B7946" s="345" t="s">
        <v>4394</v>
      </c>
    </row>
    <row r="7947" spans="1:2" ht="15.75" x14ac:dyDescent="0.25">
      <c r="A7947" s="344" t="s">
        <v>12194</v>
      </c>
      <c r="B7947" s="345" t="s">
        <v>4395</v>
      </c>
    </row>
    <row r="7948" spans="1:2" ht="15.75" x14ac:dyDescent="0.25">
      <c r="A7948" s="344" t="s">
        <v>12195</v>
      </c>
      <c r="B7948" s="345" t="s">
        <v>4396</v>
      </c>
    </row>
    <row r="7949" spans="1:2" ht="15.75" x14ac:dyDescent="0.25">
      <c r="A7949" s="344" t="s">
        <v>12196</v>
      </c>
      <c r="B7949" s="345" t="s">
        <v>4397</v>
      </c>
    </row>
    <row r="7950" spans="1:2" ht="15.75" x14ac:dyDescent="0.25">
      <c r="A7950" s="344" t="s">
        <v>12197</v>
      </c>
      <c r="B7950" s="345" t="s">
        <v>12198</v>
      </c>
    </row>
    <row r="7951" spans="1:2" ht="15.75" x14ac:dyDescent="0.25">
      <c r="A7951" s="344" t="s">
        <v>12199</v>
      </c>
      <c r="B7951" s="345" t="s">
        <v>12200</v>
      </c>
    </row>
    <row r="7952" spans="1:2" ht="15.75" x14ac:dyDescent="0.25">
      <c r="A7952" s="344" t="s">
        <v>12201</v>
      </c>
      <c r="B7952" s="345" t="s">
        <v>4398</v>
      </c>
    </row>
    <row r="7953" spans="1:2" ht="15.75" x14ac:dyDescent="0.25">
      <c r="A7953" s="344" t="s">
        <v>12202</v>
      </c>
      <c r="B7953" s="345" t="s">
        <v>4399</v>
      </c>
    </row>
    <row r="7954" spans="1:2" ht="15.75" x14ac:dyDescent="0.25">
      <c r="A7954" s="344" t="s">
        <v>12203</v>
      </c>
      <c r="B7954" s="345" t="s">
        <v>4400</v>
      </c>
    </row>
    <row r="7955" spans="1:2" ht="15.75" x14ac:dyDescent="0.25">
      <c r="A7955" s="344" t="s">
        <v>12204</v>
      </c>
      <c r="B7955" s="345" t="s">
        <v>4401</v>
      </c>
    </row>
    <row r="7956" spans="1:2" ht="15.75" x14ac:dyDescent="0.25">
      <c r="A7956" s="344" t="s">
        <v>12205</v>
      </c>
      <c r="B7956" s="345" t="s">
        <v>4402</v>
      </c>
    </row>
    <row r="7957" spans="1:2" ht="15.75" x14ac:dyDescent="0.25">
      <c r="A7957" s="344" t="s">
        <v>12206</v>
      </c>
      <c r="B7957" s="345" t="s">
        <v>12207</v>
      </c>
    </row>
    <row r="7958" spans="1:2" ht="15.75" x14ac:dyDescent="0.25">
      <c r="A7958" s="344" t="s">
        <v>12208</v>
      </c>
      <c r="B7958" s="345" t="s">
        <v>4403</v>
      </c>
    </row>
    <row r="7959" spans="1:2" ht="15.75" x14ac:dyDescent="0.25">
      <c r="A7959" s="344" t="s">
        <v>12209</v>
      </c>
      <c r="B7959" s="345" t="s">
        <v>4404</v>
      </c>
    </row>
    <row r="7960" spans="1:2" ht="15.75" x14ac:dyDescent="0.25">
      <c r="A7960" s="344" t="s">
        <v>12210</v>
      </c>
      <c r="B7960" s="345" t="s">
        <v>4405</v>
      </c>
    </row>
    <row r="7961" spans="1:2" ht="15.75" x14ac:dyDescent="0.25">
      <c r="A7961" s="344" t="s">
        <v>12211</v>
      </c>
      <c r="B7961" s="345" t="s">
        <v>4406</v>
      </c>
    </row>
    <row r="7962" spans="1:2" ht="15.75" x14ac:dyDescent="0.25">
      <c r="A7962" s="344" t="s">
        <v>12212</v>
      </c>
      <c r="B7962" s="345" t="s">
        <v>4407</v>
      </c>
    </row>
    <row r="7963" spans="1:2" ht="15.75" x14ac:dyDescent="0.25">
      <c r="A7963" s="344" t="s">
        <v>12213</v>
      </c>
      <c r="B7963" s="345" t="s">
        <v>4408</v>
      </c>
    </row>
    <row r="7964" spans="1:2" ht="15.75" x14ac:dyDescent="0.25">
      <c r="A7964" s="344" t="s">
        <v>12214</v>
      </c>
      <c r="B7964" s="345" t="s">
        <v>4409</v>
      </c>
    </row>
    <row r="7965" spans="1:2" ht="15.75" x14ac:dyDescent="0.25">
      <c r="A7965" s="344" t="s">
        <v>12215</v>
      </c>
      <c r="B7965" s="345" t="s">
        <v>4410</v>
      </c>
    </row>
    <row r="7966" spans="1:2" ht="15.75" x14ac:dyDescent="0.25">
      <c r="A7966" s="344" t="s">
        <v>12216</v>
      </c>
      <c r="B7966" s="345" t="s">
        <v>12217</v>
      </c>
    </row>
    <row r="7967" spans="1:2" ht="15.75" x14ac:dyDescent="0.25">
      <c r="A7967" s="344" t="s">
        <v>12218</v>
      </c>
      <c r="B7967" s="345" t="s">
        <v>4411</v>
      </c>
    </row>
    <row r="7968" spans="1:2" ht="15.75" x14ac:dyDescent="0.25">
      <c r="A7968" s="344" t="s">
        <v>12219</v>
      </c>
      <c r="B7968" s="345" t="s">
        <v>4412</v>
      </c>
    </row>
    <row r="7969" spans="1:2" ht="15.75" x14ac:dyDescent="0.25">
      <c r="A7969" s="344" t="s">
        <v>12220</v>
      </c>
      <c r="B7969" s="345" t="s">
        <v>4413</v>
      </c>
    </row>
    <row r="7970" spans="1:2" ht="15.75" x14ac:dyDescent="0.25">
      <c r="A7970" s="344" t="s">
        <v>1723</v>
      </c>
      <c r="B7970" s="345" t="s">
        <v>1724</v>
      </c>
    </row>
    <row r="7971" spans="1:2" ht="15.75" x14ac:dyDescent="0.25">
      <c r="A7971" s="344" t="s">
        <v>12221</v>
      </c>
      <c r="B7971" s="345" t="s">
        <v>12222</v>
      </c>
    </row>
    <row r="7972" spans="1:2" ht="15.75" x14ac:dyDescent="0.25">
      <c r="A7972" s="344" t="s">
        <v>12223</v>
      </c>
      <c r="B7972" s="345" t="s">
        <v>12224</v>
      </c>
    </row>
    <row r="7973" spans="1:2" ht="15.75" x14ac:dyDescent="0.25">
      <c r="A7973" s="344" t="s">
        <v>12225</v>
      </c>
      <c r="B7973" s="345" t="s">
        <v>12226</v>
      </c>
    </row>
    <row r="7974" spans="1:2" ht="15.75" x14ac:dyDescent="0.25">
      <c r="A7974" s="344" t="s">
        <v>12227</v>
      </c>
      <c r="B7974" s="345" t="s">
        <v>12228</v>
      </c>
    </row>
    <row r="7975" spans="1:2" ht="15.75" x14ac:dyDescent="0.25">
      <c r="A7975" s="344" t="s">
        <v>12229</v>
      </c>
      <c r="B7975" s="345" t="s">
        <v>12230</v>
      </c>
    </row>
    <row r="7976" spans="1:2" ht="15.75" x14ac:dyDescent="0.25">
      <c r="A7976" s="344" t="s">
        <v>12231</v>
      </c>
      <c r="B7976" s="345" t="s">
        <v>12232</v>
      </c>
    </row>
    <row r="7977" spans="1:2" ht="15.75" x14ac:dyDescent="0.25">
      <c r="A7977" s="344" t="s">
        <v>12233</v>
      </c>
      <c r="B7977" s="345" t="s">
        <v>12234</v>
      </c>
    </row>
    <row r="7978" spans="1:2" ht="15.75" x14ac:dyDescent="0.25">
      <c r="A7978" s="344" t="s">
        <v>12235</v>
      </c>
      <c r="B7978" s="345" t="s">
        <v>12236</v>
      </c>
    </row>
    <row r="7979" spans="1:2" ht="15.75" x14ac:dyDescent="0.25">
      <c r="A7979" s="344" t="s">
        <v>12237</v>
      </c>
      <c r="B7979" s="345" t="s">
        <v>12238</v>
      </c>
    </row>
    <row r="7980" spans="1:2" ht="15.75" x14ac:dyDescent="0.25">
      <c r="A7980" s="344" t="s">
        <v>12239</v>
      </c>
      <c r="B7980" s="345" t="s">
        <v>12240</v>
      </c>
    </row>
    <row r="7981" spans="1:2" ht="15.75" x14ac:dyDescent="0.25">
      <c r="A7981" s="344" t="s">
        <v>12241</v>
      </c>
      <c r="B7981" s="345" t="s">
        <v>12242</v>
      </c>
    </row>
    <row r="7982" spans="1:2" ht="15.75" x14ac:dyDescent="0.25">
      <c r="A7982" s="344" t="s">
        <v>12243</v>
      </c>
      <c r="B7982" s="345" t="s">
        <v>12244</v>
      </c>
    </row>
    <row r="7983" spans="1:2" ht="15.75" x14ac:dyDescent="0.25">
      <c r="A7983" s="344" t="s">
        <v>12245</v>
      </c>
      <c r="B7983" s="345" t="s">
        <v>12246</v>
      </c>
    </row>
    <row r="7984" spans="1:2" ht="15.75" x14ac:dyDescent="0.25">
      <c r="A7984" s="344" t="s">
        <v>12247</v>
      </c>
      <c r="B7984" s="345" t="s">
        <v>12248</v>
      </c>
    </row>
    <row r="7985" spans="1:2" ht="15.75" x14ac:dyDescent="0.25">
      <c r="A7985" s="344" t="s">
        <v>12249</v>
      </c>
      <c r="B7985" s="345" t="s">
        <v>12250</v>
      </c>
    </row>
    <row r="7986" spans="1:2" ht="15.75" x14ac:dyDescent="0.25">
      <c r="A7986" s="344" t="s">
        <v>12251</v>
      </c>
      <c r="B7986" s="345" t="s">
        <v>12252</v>
      </c>
    </row>
    <row r="7987" spans="1:2" ht="15.75" x14ac:dyDescent="0.25">
      <c r="A7987" s="344" t="s">
        <v>12253</v>
      </c>
      <c r="B7987" s="345" t="s">
        <v>12254</v>
      </c>
    </row>
    <row r="7988" spans="1:2" ht="15.75" x14ac:dyDescent="0.25">
      <c r="A7988" s="344" t="s">
        <v>12255</v>
      </c>
      <c r="B7988" s="345" t="s">
        <v>12256</v>
      </c>
    </row>
    <row r="7989" spans="1:2" ht="15.75" x14ac:dyDescent="0.25">
      <c r="A7989" s="344" t="s">
        <v>12257</v>
      </c>
      <c r="B7989" s="345" t="s">
        <v>12258</v>
      </c>
    </row>
    <row r="7990" spans="1:2" ht="15.75" x14ac:dyDescent="0.25">
      <c r="A7990" s="344" t="s">
        <v>12259</v>
      </c>
      <c r="B7990" s="345" t="s">
        <v>12260</v>
      </c>
    </row>
    <row r="7991" spans="1:2" ht="15.75" x14ac:dyDescent="0.25">
      <c r="A7991" s="344" t="s">
        <v>12261</v>
      </c>
      <c r="B7991" s="345" t="s">
        <v>12262</v>
      </c>
    </row>
    <row r="7992" spans="1:2" ht="15.75" x14ac:dyDescent="0.25">
      <c r="A7992" s="344" t="s">
        <v>12263</v>
      </c>
      <c r="B7992" s="345" t="s">
        <v>12264</v>
      </c>
    </row>
    <row r="7993" spans="1:2" ht="15.75" x14ac:dyDescent="0.25">
      <c r="A7993" s="344" t="s">
        <v>12265</v>
      </c>
      <c r="B7993" s="345" t="s">
        <v>12266</v>
      </c>
    </row>
    <row r="7994" spans="1:2" ht="15.75" x14ac:dyDescent="0.25">
      <c r="A7994" s="344" t="s">
        <v>12267</v>
      </c>
      <c r="B7994" s="345" t="s">
        <v>12268</v>
      </c>
    </row>
    <row r="7995" spans="1:2" ht="15.75" x14ac:dyDescent="0.25">
      <c r="A7995" s="344" t="s">
        <v>12269</v>
      </c>
      <c r="B7995" s="345" t="s">
        <v>12270</v>
      </c>
    </row>
    <row r="7996" spans="1:2" ht="15.75" x14ac:dyDescent="0.25">
      <c r="A7996" s="344" t="s">
        <v>12271</v>
      </c>
      <c r="B7996" s="345" t="s">
        <v>12272</v>
      </c>
    </row>
    <row r="7997" spans="1:2" ht="15.75" x14ac:dyDescent="0.25">
      <c r="A7997" s="344" t="s">
        <v>12273</v>
      </c>
      <c r="B7997" s="345" t="s">
        <v>12274</v>
      </c>
    </row>
    <row r="7998" spans="1:2" ht="15.75" x14ac:dyDescent="0.25">
      <c r="A7998" s="344" t="s">
        <v>12275</v>
      </c>
      <c r="B7998" s="345" t="s">
        <v>12276</v>
      </c>
    </row>
    <row r="7999" spans="1:2" ht="15.75" x14ac:dyDescent="0.25">
      <c r="A7999" s="344" t="s">
        <v>12277</v>
      </c>
      <c r="B7999" s="345" t="s">
        <v>12278</v>
      </c>
    </row>
    <row r="8000" spans="1:2" ht="15.75" x14ac:dyDescent="0.25">
      <c r="A8000" s="344" t="s">
        <v>12279</v>
      </c>
      <c r="B8000" s="345" t="s">
        <v>12280</v>
      </c>
    </row>
    <row r="8001" spans="1:2" ht="15.75" x14ac:dyDescent="0.25">
      <c r="A8001" s="344" t="s">
        <v>12281</v>
      </c>
      <c r="B8001" s="345" t="s">
        <v>12282</v>
      </c>
    </row>
    <row r="8002" spans="1:2" ht="15.75" x14ac:dyDescent="0.25">
      <c r="A8002" s="344" t="s">
        <v>12283</v>
      </c>
      <c r="B8002" s="345" t="s">
        <v>12284</v>
      </c>
    </row>
    <row r="8003" spans="1:2" ht="15.75" x14ac:dyDescent="0.25">
      <c r="A8003" s="344" t="s">
        <v>12285</v>
      </c>
      <c r="B8003" s="345" t="s">
        <v>12286</v>
      </c>
    </row>
    <row r="8004" spans="1:2" ht="15.75" x14ac:dyDescent="0.25">
      <c r="A8004" s="344" t="s">
        <v>12287</v>
      </c>
      <c r="B8004" s="345" t="s">
        <v>12288</v>
      </c>
    </row>
    <row r="8005" spans="1:2" ht="15.75" x14ac:dyDescent="0.25">
      <c r="A8005" s="344" t="s">
        <v>12289</v>
      </c>
      <c r="B8005" s="345" t="s">
        <v>12290</v>
      </c>
    </row>
    <row r="8006" spans="1:2" ht="15.75" x14ac:dyDescent="0.25">
      <c r="A8006" s="344" t="s">
        <v>12291</v>
      </c>
      <c r="B8006" s="345" t="s">
        <v>12292</v>
      </c>
    </row>
    <row r="8007" spans="1:2" ht="15.75" x14ac:dyDescent="0.25">
      <c r="A8007" s="344" t="s">
        <v>12293</v>
      </c>
      <c r="B8007" s="345" t="s">
        <v>4414</v>
      </c>
    </row>
    <row r="8008" spans="1:2" ht="15.75" x14ac:dyDescent="0.25">
      <c r="A8008" s="344" t="s">
        <v>12294</v>
      </c>
      <c r="B8008" s="345" t="s">
        <v>4415</v>
      </c>
    </row>
    <row r="8009" spans="1:2" ht="15.75" x14ac:dyDescent="0.25">
      <c r="A8009" s="344" t="s">
        <v>12295</v>
      </c>
      <c r="B8009" s="345" t="s">
        <v>4416</v>
      </c>
    </row>
    <row r="8010" spans="1:2" ht="15.75" x14ac:dyDescent="0.25">
      <c r="A8010" s="344" t="s">
        <v>12296</v>
      </c>
      <c r="B8010" s="345" t="s">
        <v>4417</v>
      </c>
    </row>
    <row r="8011" spans="1:2" ht="15.75" x14ac:dyDescent="0.25">
      <c r="A8011" s="344" t="s">
        <v>12297</v>
      </c>
      <c r="B8011" s="345" t="s">
        <v>4418</v>
      </c>
    </row>
    <row r="8012" spans="1:2" ht="15.75" x14ac:dyDescent="0.25">
      <c r="A8012" s="344" t="s">
        <v>12298</v>
      </c>
      <c r="B8012" s="345" t="s">
        <v>4419</v>
      </c>
    </row>
    <row r="8013" spans="1:2" ht="15.75" x14ac:dyDescent="0.25">
      <c r="A8013" s="344" t="s">
        <v>12299</v>
      </c>
      <c r="B8013" s="345" t="s">
        <v>12300</v>
      </c>
    </row>
    <row r="8014" spans="1:2" ht="15.75" x14ac:dyDescent="0.25">
      <c r="A8014" s="344" t="s">
        <v>12301</v>
      </c>
      <c r="B8014" s="345" t="s">
        <v>4420</v>
      </c>
    </row>
    <row r="8015" spans="1:2" ht="15.75" x14ac:dyDescent="0.25">
      <c r="A8015" s="344" t="s">
        <v>12302</v>
      </c>
      <c r="B8015" s="345" t="s">
        <v>4421</v>
      </c>
    </row>
    <row r="8016" spans="1:2" ht="15.75" x14ac:dyDescent="0.25">
      <c r="A8016" s="344" t="s">
        <v>12303</v>
      </c>
      <c r="B8016" s="345" t="s">
        <v>4422</v>
      </c>
    </row>
    <row r="8017" spans="1:2" ht="15.75" x14ac:dyDescent="0.25">
      <c r="A8017" s="344" t="s">
        <v>12304</v>
      </c>
      <c r="B8017" s="345" t="s">
        <v>12305</v>
      </c>
    </row>
    <row r="8018" spans="1:2" ht="15.75" x14ac:dyDescent="0.25">
      <c r="A8018" s="344" t="s">
        <v>12306</v>
      </c>
      <c r="B8018" s="345" t="s">
        <v>12307</v>
      </c>
    </row>
    <row r="8019" spans="1:2" ht="15.75" x14ac:dyDescent="0.25">
      <c r="A8019" s="344" t="s">
        <v>12308</v>
      </c>
      <c r="B8019" s="345" t="s">
        <v>12309</v>
      </c>
    </row>
    <row r="8020" spans="1:2" ht="15.75" x14ac:dyDescent="0.25">
      <c r="A8020" s="344" t="s">
        <v>12310</v>
      </c>
      <c r="B8020" s="345" t="s">
        <v>12311</v>
      </c>
    </row>
    <row r="8021" spans="1:2" ht="15.75" x14ac:dyDescent="0.25">
      <c r="A8021" s="344" t="s">
        <v>12312</v>
      </c>
      <c r="B8021" s="345" t="s">
        <v>12313</v>
      </c>
    </row>
    <row r="8022" spans="1:2" ht="15.75" x14ac:dyDescent="0.25">
      <c r="A8022" s="344" t="s">
        <v>12314</v>
      </c>
      <c r="B8022" s="345" t="s">
        <v>12315</v>
      </c>
    </row>
    <row r="8023" spans="1:2" ht="15.75" x14ac:dyDescent="0.25">
      <c r="A8023" s="344" t="s">
        <v>12316</v>
      </c>
      <c r="B8023" s="345" t="s">
        <v>12317</v>
      </c>
    </row>
    <row r="8024" spans="1:2" ht="15.75" x14ac:dyDescent="0.25">
      <c r="A8024" s="344" t="s">
        <v>12318</v>
      </c>
      <c r="B8024" s="345" t="s">
        <v>12319</v>
      </c>
    </row>
    <row r="8025" spans="1:2" ht="15.75" x14ac:dyDescent="0.25">
      <c r="A8025" s="344" t="s">
        <v>12320</v>
      </c>
      <c r="B8025" s="345" t="s">
        <v>12321</v>
      </c>
    </row>
    <row r="8026" spans="1:2" ht="15.75" x14ac:dyDescent="0.25">
      <c r="A8026" s="344" t="s">
        <v>12322</v>
      </c>
      <c r="B8026" s="345" t="s">
        <v>12323</v>
      </c>
    </row>
    <row r="8027" spans="1:2" ht="15.75" x14ac:dyDescent="0.25">
      <c r="A8027" s="344" t="s">
        <v>12324</v>
      </c>
      <c r="B8027" s="345" t="s">
        <v>12325</v>
      </c>
    </row>
    <row r="8028" spans="1:2" ht="15.75" x14ac:dyDescent="0.25">
      <c r="A8028" s="344" t="s">
        <v>12326</v>
      </c>
      <c r="B8028" s="345" t="s">
        <v>12327</v>
      </c>
    </row>
    <row r="8029" spans="1:2" ht="15.75" x14ac:dyDescent="0.25">
      <c r="A8029" s="344" t="s">
        <v>12328</v>
      </c>
      <c r="B8029" s="345" t="s">
        <v>12329</v>
      </c>
    </row>
    <row r="8030" spans="1:2" ht="15.75" x14ac:dyDescent="0.25">
      <c r="A8030" s="344" t="s">
        <v>12330</v>
      </c>
      <c r="B8030" s="345" t="s">
        <v>12331</v>
      </c>
    </row>
    <row r="8031" spans="1:2" ht="15.75" x14ac:dyDescent="0.25">
      <c r="A8031" s="344" t="s">
        <v>12332</v>
      </c>
      <c r="B8031" s="345" t="s">
        <v>12333</v>
      </c>
    </row>
    <row r="8032" spans="1:2" ht="15.75" x14ac:dyDescent="0.25">
      <c r="A8032" s="344" t="s">
        <v>12334</v>
      </c>
      <c r="B8032" s="345" t="s">
        <v>12335</v>
      </c>
    </row>
    <row r="8033" spans="1:2" ht="15.75" x14ac:dyDescent="0.25">
      <c r="A8033" s="344" t="s">
        <v>12336</v>
      </c>
      <c r="B8033" s="345" t="s">
        <v>12337</v>
      </c>
    </row>
    <row r="8034" spans="1:2" ht="15.75" x14ac:dyDescent="0.25">
      <c r="A8034" s="344" t="s">
        <v>12338</v>
      </c>
      <c r="B8034" s="345" t="s">
        <v>12339</v>
      </c>
    </row>
    <row r="8035" spans="1:2" ht="15.75" x14ac:dyDescent="0.25">
      <c r="A8035" s="344" t="s">
        <v>12340</v>
      </c>
      <c r="B8035" s="345" t="s">
        <v>12341</v>
      </c>
    </row>
    <row r="8036" spans="1:2" ht="15.75" x14ac:dyDescent="0.25">
      <c r="A8036" s="344" t="s">
        <v>12342</v>
      </c>
      <c r="B8036" s="345" t="s">
        <v>12343</v>
      </c>
    </row>
    <row r="8037" spans="1:2" ht="15.75" x14ac:dyDescent="0.25">
      <c r="A8037" s="344" t="s">
        <v>12344</v>
      </c>
      <c r="B8037" s="345" t="s">
        <v>12345</v>
      </c>
    </row>
    <row r="8038" spans="1:2" ht="15.75" x14ac:dyDescent="0.25">
      <c r="A8038" s="344" t="s">
        <v>12346</v>
      </c>
      <c r="B8038" s="345" t="s">
        <v>12347</v>
      </c>
    </row>
    <row r="8039" spans="1:2" ht="15.75" x14ac:dyDescent="0.25">
      <c r="A8039" s="344" t="s">
        <v>12348</v>
      </c>
      <c r="B8039" s="345" t="s">
        <v>12349</v>
      </c>
    </row>
    <row r="8040" spans="1:2" ht="15.75" x14ac:dyDescent="0.25">
      <c r="A8040" s="344" t="s">
        <v>12350</v>
      </c>
      <c r="B8040" s="345" t="s">
        <v>12351</v>
      </c>
    </row>
    <row r="8041" spans="1:2" ht="15.75" x14ac:dyDescent="0.25">
      <c r="A8041" s="344" t="s">
        <v>12352</v>
      </c>
      <c r="B8041" s="345" t="s">
        <v>12353</v>
      </c>
    </row>
    <row r="8042" spans="1:2" ht="15.75" x14ac:dyDescent="0.25">
      <c r="A8042" s="344" t="s">
        <v>12354</v>
      </c>
      <c r="B8042" s="345" t="s">
        <v>12355</v>
      </c>
    </row>
    <row r="8043" spans="1:2" ht="15.75" x14ac:dyDescent="0.25">
      <c r="A8043" s="344" t="s">
        <v>12356</v>
      </c>
      <c r="B8043" s="345" t="s">
        <v>12357</v>
      </c>
    </row>
    <row r="8044" spans="1:2" ht="15.75" x14ac:dyDescent="0.25">
      <c r="A8044" s="344" t="s">
        <v>12358</v>
      </c>
      <c r="B8044" s="345" t="s">
        <v>12359</v>
      </c>
    </row>
    <row r="8045" spans="1:2" ht="15.75" x14ac:dyDescent="0.25">
      <c r="A8045" s="344" t="s">
        <v>12360</v>
      </c>
      <c r="B8045" s="345" t="s">
        <v>12361</v>
      </c>
    </row>
    <row r="8046" spans="1:2" ht="15.75" x14ac:dyDescent="0.25">
      <c r="A8046" s="344" t="s">
        <v>12362</v>
      </c>
      <c r="B8046" s="345" t="s">
        <v>12363</v>
      </c>
    </row>
    <row r="8047" spans="1:2" ht="15.75" x14ac:dyDescent="0.25">
      <c r="A8047" s="344" t="s">
        <v>12364</v>
      </c>
      <c r="B8047" s="345" t="s">
        <v>12365</v>
      </c>
    </row>
    <row r="8048" spans="1:2" ht="15.75" x14ac:dyDescent="0.25">
      <c r="A8048" s="344" t="s">
        <v>12366</v>
      </c>
      <c r="B8048" s="345" t="s">
        <v>12367</v>
      </c>
    </row>
    <row r="8049" spans="1:2" ht="15.75" x14ac:dyDescent="0.25">
      <c r="A8049" s="344" t="s">
        <v>12368</v>
      </c>
      <c r="B8049" s="345" t="s">
        <v>287</v>
      </c>
    </row>
    <row r="8050" spans="1:2" ht="15.75" x14ac:dyDescent="0.25">
      <c r="A8050" s="344" t="s">
        <v>12369</v>
      </c>
      <c r="B8050" s="345" t="s">
        <v>12370</v>
      </c>
    </row>
    <row r="8051" spans="1:2" ht="15.75" x14ac:dyDescent="0.25">
      <c r="A8051" s="344" t="s">
        <v>12371</v>
      </c>
      <c r="B8051" s="345" t="s">
        <v>12372</v>
      </c>
    </row>
    <row r="8052" spans="1:2" ht="15.75" x14ac:dyDescent="0.25">
      <c r="A8052" s="344" t="s">
        <v>12373</v>
      </c>
      <c r="B8052" s="345" t="s">
        <v>12374</v>
      </c>
    </row>
    <row r="8053" spans="1:2" ht="15.75" x14ac:dyDescent="0.25">
      <c r="A8053" s="344" t="s">
        <v>12375</v>
      </c>
      <c r="B8053" s="345" t="s">
        <v>12376</v>
      </c>
    </row>
    <row r="8054" spans="1:2" ht="15.75" x14ac:dyDescent="0.25">
      <c r="A8054" s="344" t="s">
        <v>12377</v>
      </c>
      <c r="B8054" s="345" t="s">
        <v>12378</v>
      </c>
    </row>
    <row r="8055" spans="1:2" ht="15.75" x14ac:dyDescent="0.25">
      <c r="A8055" s="344" t="s">
        <v>12379</v>
      </c>
      <c r="B8055" s="345" t="s">
        <v>12380</v>
      </c>
    </row>
    <row r="8056" spans="1:2" ht="15.75" x14ac:dyDescent="0.25">
      <c r="A8056" s="344" t="s">
        <v>12381</v>
      </c>
      <c r="B8056" s="345" t="s">
        <v>12382</v>
      </c>
    </row>
    <row r="8057" spans="1:2" ht="15.75" x14ac:dyDescent="0.25">
      <c r="A8057" s="344" t="s">
        <v>12383</v>
      </c>
      <c r="B8057" s="345" t="s">
        <v>12384</v>
      </c>
    </row>
    <row r="8058" spans="1:2" ht="15.75" x14ac:dyDescent="0.25">
      <c r="A8058" s="344" t="s">
        <v>12385</v>
      </c>
      <c r="B8058" s="345" t="s">
        <v>12386</v>
      </c>
    </row>
    <row r="8059" spans="1:2" ht="15.75" x14ac:dyDescent="0.25">
      <c r="A8059" s="344" t="s">
        <v>12387</v>
      </c>
      <c r="B8059" s="345" t="s">
        <v>12388</v>
      </c>
    </row>
    <row r="8060" spans="1:2" ht="15.75" x14ac:dyDescent="0.25">
      <c r="A8060" s="344" t="s">
        <v>12389</v>
      </c>
      <c r="B8060" s="345" t="s">
        <v>12390</v>
      </c>
    </row>
    <row r="8061" spans="1:2" ht="15.75" x14ac:dyDescent="0.25">
      <c r="A8061" s="344" t="s">
        <v>12391</v>
      </c>
      <c r="B8061" s="345" t="s">
        <v>12392</v>
      </c>
    </row>
    <row r="8062" spans="1:2" ht="15.75" x14ac:dyDescent="0.25">
      <c r="A8062" s="344" t="s">
        <v>12393</v>
      </c>
      <c r="B8062" s="345" t="s">
        <v>12394</v>
      </c>
    </row>
    <row r="8063" spans="1:2" ht="15.75" x14ac:dyDescent="0.25">
      <c r="A8063" s="344" t="s">
        <v>12395</v>
      </c>
      <c r="B8063" s="345" t="s">
        <v>12396</v>
      </c>
    </row>
    <row r="8064" spans="1:2" ht="15.75" x14ac:dyDescent="0.25">
      <c r="A8064" s="344" t="s">
        <v>12397</v>
      </c>
      <c r="B8064" s="345" t="s">
        <v>12398</v>
      </c>
    </row>
    <row r="8065" spans="1:2" ht="15.75" x14ac:dyDescent="0.25">
      <c r="A8065" s="344" t="s">
        <v>12399</v>
      </c>
      <c r="B8065" s="345" t="s">
        <v>12400</v>
      </c>
    </row>
    <row r="8066" spans="1:2" ht="15.75" x14ac:dyDescent="0.25">
      <c r="A8066" s="344" t="s">
        <v>12401</v>
      </c>
      <c r="B8066" s="345" t="s">
        <v>12402</v>
      </c>
    </row>
    <row r="8067" spans="1:2" ht="15.75" x14ac:dyDescent="0.25">
      <c r="A8067" s="344" t="s">
        <v>12403</v>
      </c>
      <c r="B8067" s="345" t="s">
        <v>4956</v>
      </c>
    </row>
    <row r="8068" spans="1:2" ht="15.75" x14ac:dyDescent="0.25">
      <c r="A8068" s="344" t="s">
        <v>12404</v>
      </c>
      <c r="B8068" s="345" t="s">
        <v>12405</v>
      </c>
    </row>
    <row r="8069" spans="1:2" ht="15.75" x14ac:dyDescent="0.25">
      <c r="A8069" s="344" t="s">
        <v>12406</v>
      </c>
      <c r="B8069" s="345" t="s">
        <v>12407</v>
      </c>
    </row>
    <row r="8070" spans="1:2" ht="15.75" x14ac:dyDescent="0.25">
      <c r="A8070" s="344" t="s">
        <v>12408</v>
      </c>
      <c r="B8070" s="345" t="s">
        <v>4827</v>
      </c>
    </row>
    <row r="8071" spans="1:2" ht="15.75" x14ac:dyDescent="0.25">
      <c r="A8071" s="344" t="s">
        <v>12409</v>
      </c>
      <c r="B8071" s="345" t="s">
        <v>4526</v>
      </c>
    </row>
    <row r="8072" spans="1:2" ht="15.75" x14ac:dyDescent="0.25">
      <c r="A8072" s="344" t="s">
        <v>12410</v>
      </c>
      <c r="B8072" s="345" t="s">
        <v>12411</v>
      </c>
    </row>
    <row r="8073" spans="1:2" ht="15.75" x14ac:dyDescent="0.25">
      <c r="A8073" s="344" t="s">
        <v>12412</v>
      </c>
      <c r="B8073" s="345" t="s">
        <v>12413</v>
      </c>
    </row>
    <row r="8074" spans="1:2" ht="15.75" x14ac:dyDescent="0.25">
      <c r="A8074" s="344" t="s">
        <v>12414</v>
      </c>
      <c r="B8074" s="345" t="s">
        <v>12415</v>
      </c>
    </row>
    <row r="8075" spans="1:2" ht="15.75" x14ac:dyDescent="0.25">
      <c r="A8075" s="344" t="s">
        <v>12416</v>
      </c>
      <c r="B8075" s="345" t="s">
        <v>12417</v>
      </c>
    </row>
    <row r="8076" spans="1:2" ht="15.75" x14ac:dyDescent="0.25">
      <c r="A8076" s="344" t="s">
        <v>12418</v>
      </c>
      <c r="B8076" s="345" t="s">
        <v>12419</v>
      </c>
    </row>
    <row r="8077" spans="1:2" ht="15.75" x14ac:dyDescent="0.25">
      <c r="A8077" s="344" t="s">
        <v>12420</v>
      </c>
      <c r="B8077" s="345" t="s">
        <v>12421</v>
      </c>
    </row>
    <row r="8078" spans="1:2" ht="15.75" x14ac:dyDescent="0.25">
      <c r="A8078" s="344" t="s">
        <v>12422</v>
      </c>
      <c r="B8078" s="345" t="s">
        <v>12423</v>
      </c>
    </row>
    <row r="8079" spans="1:2" ht="15.75" x14ac:dyDescent="0.25">
      <c r="A8079" s="344" t="s">
        <v>12424</v>
      </c>
      <c r="B8079" s="345" t="s">
        <v>12425</v>
      </c>
    </row>
    <row r="8080" spans="1:2" ht="15.75" x14ac:dyDescent="0.25">
      <c r="A8080" s="344" t="s">
        <v>12426</v>
      </c>
      <c r="B8080" s="345" t="s">
        <v>12427</v>
      </c>
    </row>
    <row r="8081" spans="1:2" ht="15.75" x14ac:dyDescent="0.25">
      <c r="A8081" s="344" t="s">
        <v>12428</v>
      </c>
      <c r="B8081" s="345" t="s">
        <v>12429</v>
      </c>
    </row>
    <row r="8082" spans="1:2" ht="15.75" x14ac:dyDescent="0.25">
      <c r="A8082" s="344" t="s">
        <v>12430</v>
      </c>
      <c r="B8082" s="345" t="s">
        <v>12431</v>
      </c>
    </row>
    <row r="8083" spans="1:2" ht="15.75" x14ac:dyDescent="0.25">
      <c r="A8083" s="344" t="s">
        <v>12432</v>
      </c>
      <c r="B8083" s="345" t="s">
        <v>12433</v>
      </c>
    </row>
    <row r="8084" spans="1:2" ht="15.75" x14ac:dyDescent="0.25">
      <c r="A8084" s="344" t="s">
        <v>12434</v>
      </c>
      <c r="B8084" s="345" t="s">
        <v>12435</v>
      </c>
    </row>
    <row r="8085" spans="1:2" ht="15.75" x14ac:dyDescent="0.25">
      <c r="A8085" s="344" t="s">
        <v>12436</v>
      </c>
      <c r="B8085" s="345" t="s">
        <v>12437</v>
      </c>
    </row>
    <row r="8086" spans="1:2" ht="15.75" x14ac:dyDescent="0.25">
      <c r="A8086" s="344" t="s">
        <v>12438</v>
      </c>
      <c r="B8086" s="345" t="s">
        <v>12439</v>
      </c>
    </row>
    <row r="8087" spans="1:2" ht="15.75" x14ac:dyDescent="0.25">
      <c r="A8087" s="344" t="s">
        <v>12440</v>
      </c>
      <c r="B8087" s="345" t="s">
        <v>12441</v>
      </c>
    </row>
    <row r="8088" spans="1:2" ht="15.75" x14ac:dyDescent="0.25">
      <c r="A8088" s="344" t="s">
        <v>12442</v>
      </c>
      <c r="B8088" s="345" t="s">
        <v>12443</v>
      </c>
    </row>
    <row r="8089" spans="1:2" ht="15.75" x14ac:dyDescent="0.25">
      <c r="A8089" s="344" t="s">
        <v>12444</v>
      </c>
      <c r="B8089" s="345" t="s">
        <v>12445</v>
      </c>
    </row>
    <row r="8090" spans="1:2" ht="15.75" x14ac:dyDescent="0.25">
      <c r="A8090" s="344" t="s">
        <v>12446</v>
      </c>
      <c r="B8090" s="345" t="s">
        <v>12447</v>
      </c>
    </row>
    <row r="8091" spans="1:2" ht="15.75" x14ac:dyDescent="0.25">
      <c r="A8091" s="344" t="s">
        <v>12448</v>
      </c>
      <c r="B8091" s="345" t="s">
        <v>12449</v>
      </c>
    </row>
    <row r="8092" spans="1:2" ht="15.75" x14ac:dyDescent="0.25">
      <c r="A8092" s="344" t="s">
        <v>12450</v>
      </c>
      <c r="B8092" s="345" t="s">
        <v>12451</v>
      </c>
    </row>
    <row r="8093" spans="1:2" ht="15.75" x14ac:dyDescent="0.25">
      <c r="A8093" s="344" t="s">
        <v>12452</v>
      </c>
      <c r="B8093" s="345" t="s">
        <v>12453</v>
      </c>
    </row>
    <row r="8094" spans="1:2" ht="15.75" x14ac:dyDescent="0.25">
      <c r="A8094" s="344" t="s">
        <v>12454</v>
      </c>
      <c r="B8094" s="345" t="s">
        <v>12455</v>
      </c>
    </row>
    <row r="8095" spans="1:2" ht="15.75" x14ac:dyDescent="0.25">
      <c r="A8095" s="344" t="s">
        <v>12456</v>
      </c>
      <c r="B8095" s="345" t="s">
        <v>12457</v>
      </c>
    </row>
    <row r="8096" spans="1:2" ht="15.75" x14ac:dyDescent="0.25">
      <c r="A8096" s="344" t="s">
        <v>12458</v>
      </c>
      <c r="B8096" s="345" t="s">
        <v>12459</v>
      </c>
    </row>
    <row r="8097" spans="1:2" ht="15.75" x14ac:dyDescent="0.25">
      <c r="A8097" s="344" t="s">
        <v>12460</v>
      </c>
      <c r="B8097" s="345" t="s">
        <v>12461</v>
      </c>
    </row>
    <row r="8098" spans="1:2" ht="15.75" x14ac:dyDescent="0.25">
      <c r="A8098" s="344" t="s">
        <v>12462</v>
      </c>
      <c r="B8098" s="345" t="s">
        <v>12463</v>
      </c>
    </row>
    <row r="8099" spans="1:2" ht="15.75" x14ac:dyDescent="0.25">
      <c r="A8099" s="344" t="s">
        <v>12464</v>
      </c>
      <c r="B8099" s="345" t="s">
        <v>12465</v>
      </c>
    </row>
    <row r="8100" spans="1:2" ht="15.75" x14ac:dyDescent="0.25">
      <c r="A8100" s="344" t="s">
        <v>12466</v>
      </c>
      <c r="B8100" s="345" t="s">
        <v>12467</v>
      </c>
    </row>
    <row r="8101" spans="1:2" ht="15.75" x14ac:dyDescent="0.25">
      <c r="A8101" s="344" t="s">
        <v>12468</v>
      </c>
      <c r="B8101" s="345" t="s">
        <v>12469</v>
      </c>
    </row>
    <row r="8102" spans="1:2" ht="15.75" x14ac:dyDescent="0.25">
      <c r="A8102" s="344" t="s">
        <v>12470</v>
      </c>
      <c r="B8102" s="345" t="s">
        <v>12471</v>
      </c>
    </row>
    <row r="8103" spans="1:2" ht="15.75" x14ac:dyDescent="0.25">
      <c r="A8103" s="344" t="s">
        <v>12472</v>
      </c>
      <c r="B8103" s="345" t="s">
        <v>12473</v>
      </c>
    </row>
    <row r="8104" spans="1:2" ht="15.75" x14ac:dyDescent="0.25">
      <c r="A8104" s="344" t="s">
        <v>12474</v>
      </c>
      <c r="B8104" s="345" t="s">
        <v>12475</v>
      </c>
    </row>
    <row r="8105" spans="1:2" ht="15.75" x14ac:dyDescent="0.25">
      <c r="A8105" s="344" t="s">
        <v>12476</v>
      </c>
      <c r="B8105" s="345" t="s">
        <v>12477</v>
      </c>
    </row>
    <row r="8106" spans="1:2" ht="15.75" x14ac:dyDescent="0.25">
      <c r="A8106" s="344" t="s">
        <v>12478</v>
      </c>
      <c r="B8106" s="345" t="s">
        <v>12479</v>
      </c>
    </row>
    <row r="8107" spans="1:2" ht="15.75" x14ac:dyDescent="0.25">
      <c r="A8107" s="344" t="s">
        <v>12480</v>
      </c>
      <c r="B8107" s="345" t="s">
        <v>12481</v>
      </c>
    </row>
    <row r="8108" spans="1:2" ht="15.75" x14ac:dyDescent="0.25">
      <c r="A8108" s="344" t="s">
        <v>12482</v>
      </c>
      <c r="B8108" s="345" t="s">
        <v>12483</v>
      </c>
    </row>
    <row r="8109" spans="1:2" ht="15.75" x14ac:dyDescent="0.25">
      <c r="A8109" s="344" t="s">
        <v>12484</v>
      </c>
      <c r="B8109" s="345" t="s">
        <v>12485</v>
      </c>
    </row>
    <row r="8110" spans="1:2" ht="15.75" x14ac:dyDescent="0.25">
      <c r="A8110" s="344" t="s">
        <v>12486</v>
      </c>
      <c r="B8110" s="345" t="s">
        <v>12487</v>
      </c>
    </row>
    <row r="8111" spans="1:2" ht="15.75" x14ac:dyDescent="0.25">
      <c r="A8111" s="344" t="s">
        <v>12488</v>
      </c>
      <c r="B8111" s="345" t="s">
        <v>12489</v>
      </c>
    </row>
    <row r="8112" spans="1:2" ht="15.75" x14ac:dyDescent="0.25">
      <c r="A8112" s="344" t="s">
        <v>12490</v>
      </c>
      <c r="B8112" s="345" t="s">
        <v>12491</v>
      </c>
    </row>
    <row r="8113" spans="1:2" ht="15.75" x14ac:dyDescent="0.25">
      <c r="A8113" s="344" t="s">
        <v>12492</v>
      </c>
      <c r="B8113" s="345" t="s">
        <v>12493</v>
      </c>
    </row>
    <row r="8114" spans="1:2" ht="15.75" x14ac:dyDescent="0.25">
      <c r="A8114" s="344" t="s">
        <v>12494</v>
      </c>
      <c r="B8114" s="345" t="s">
        <v>12495</v>
      </c>
    </row>
    <row r="8115" spans="1:2" ht="15.75" x14ac:dyDescent="0.25">
      <c r="A8115" s="344" t="s">
        <v>12496</v>
      </c>
      <c r="B8115" s="345" t="s">
        <v>12497</v>
      </c>
    </row>
    <row r="8116" spans="1:2" ht="15.75" x14ac:dyDescent="0.25">
      <c r="A8116" s="344" t="s">
        <v>12498</v>
      </c>
      <c r="B8116" s="345" t="s">
        <v>12499</v>
      </c>
    </row>
    <row r="8117" spans="1:2" ht="15.75" x14ac:dyDescent="0.25">
      <c r="A8117" s="344" t="s">
        <v>12500</v>
      </c>
      <c r="B8117" s="345" t="s">
        <v>12501</v>
      </c>
    </row>
    <row r="8118" spans="1:2" ht="15.75" x14ac:dyDescent="0.25">
      <c r="A8118" s="344" t="s">
        <v>12502</v>
      </c>
      <c r="B8118" s="345" t="s">
        <v>12503</v>
      </c>
    </row>
    <row r="8119" spans="1:2" ht="15.75" x14ac:dyDescent="0.25">
      <c r="A8119" s="344" t="s">
        <v>12504</v>
      </c>
      <c r="B8119" s="345" t="s">
        <v>12505</v>
      </c>
    </row>
    <row r="8120" spans="1:2" ht="15.75" x14ac:dyDescent="0.25">
      <c r="A8120" s="344" t="s">
        <v>12506</v>
      </c>
      <c r="B8120" s="345" t="s">
        <v>4423</v>
      </c>
    </row>
    <row r="8121" spans="1:2" ht="15.75" x14ac:dyDescent="0.25">
      <c r="A8121" s="344" t="s">
        <v>12507</v>
      </c>
      <c r="B8121" s="345" t="s">
        <v>4424</v>
      </c>
    </row>
    <row r="8122" spans="1:2" ht="15.75" x14ac:dyDescent="0.25">
      <c r="A8122" s="344" t="s">
        <v>1702</v>
      </c>
      <c r="B8122" s="345" t="s">
        <v>1703</v>
      </c>
    </row>
    <row r="8123" spans="1:2" ht="15.75" x14ac:dyDescent="0.25">
      <c r="A8123" s="344" t="s">
        <v>12508</v>
      </c>
      <c r="B8123" s="345" t="s">
        <v>4425</v>
      </c>
    </row>
    <row r="8124" spans="1:2" ht="15.75" x14ac:dyDescent="0.25">
      <c r="A8124" s="344" t="s">
        <v>12509</v>
      </c>
      <c r="B8124" s="345" t="s">
        <v>4426</v>
      </c>
    </row>
    <row r="8125" spans="1:2" ht="15.75" x14ac:dyDescent="0.25">
      <c r="A8125" s="344" t="s">
        <v>12510</v>
      </c>
      <c r="B8125" s="345" t="s">
        <v>4427</v>
      </c>
    </row>
    <row r="8126" spans="1:2" ht="15.75" x14ac:dyDescent="0.25">
      <c r="A8126" s="344" t="s">
        <v>12511</v>
      </c>
      <c r="B8126" s="345" t="s">
        <v>4428</v>
      </c>
    </row>
    <row r="8127" spans="1:2" ht="15.75" x14ac:dyDescent="0.25">
      <c r="A8127" s="344" t="s">
        <v>12512</v>
      </c>
      <c r="B8127" s="345" t="s">
        <v>4429</v>
      </c>
    </row>
    <row r="8128" spans="1:2" ht="15.75" x14ac:dyDescent="0.25">
      <c r="A8128" s="344" t="s">
        <v>12513</v>
      </c>
      <c r="B8128" s="345" t="s">
        <v>12514</v>
      </c>
    </row>
    <row r="8129" spans="1:2" ht="15.75" x14ac:dyDescent="0.25">
      <c r="A8129" s="344" t="s">
        <v>12515</v>
      </c>
      <c r="B8129" s="345" t="s">
        <v>4430</v>
      </c>
    </row>
    <row r="8130" spans="1:2" ht="15.75" x14ac:dyDescent="0.25">
      <c r="A8130" s="344" t="s">
        <v>12516</v>
      </c>
      <c r="B8130" s="345" t="s">
        <v>3933</v>
      </c>
    </row>
    <row r="8131" spans="1:2" ht="15.75" x14ac:dyDescent="0.25">
      <c r="A8131" s="344" t="s">
        <v>12517</v>
      </c>
      <c r="B8131" s="345" t="s">
        <v>3934</v>
      </c>
    </row>
    <row r="8132" spans="1:2" ht="15.75" x14ac:dyDescent="0.25">
      <c r="A8132" s="344" t="s">
        <v>12518</v>
      </c>
      <c r="B8132" s="345" t="s">
        <v>12519</v>
      </c>
    </row>
    <row r="8133" spans="1:2" ht="15.75" x14ac:dyDescent="0.25">
      <c r="A8133" s="344" t="s">
        <v>12520</v>
      </c>
      <c r="B8133" s="345" t="s">
        <v>4431</v>
      </c>
    </row>
    <row r="8134" spans="1:2" ht="15.75" x14ac:dyDescent="0.25">
      <c r="A8134" s="344" t="s">
        <v>12521</v>
      </c>
      <c r="B8134" s="345" t="s">
        <v>12522</v>
      </c>
    </row>
    <row r="8135" spans="1:2" ht="15.75" x14ac:dyDescent="0.25">
      <c r="A8135" s="344" t="s">
        <v>12523</v>
      </c>
      <c r="B8135" s="345" t="s">
        <v>4432</v>
      </c>
    </row>
    <row r="8136" spans="1:2" ht="15.75" x14ac:dyDescent="0.25">
      <c r="A8136" s="344" t="s">
        <v>12524</v>
      </c>
      <c r="B8136" s="345" t="s">
        <v>12525</v>
      </c>
    </row>
    <row r="8137" spans="1:2" ht="15.75" x14ac:dyDescent="0.25">
      <c r="A8137" s="344" t="s">
        <v>12526</v>
      </c>
      <c r="B8137" s="345" t="s">
        <v>4433</v>
      </c>
    </row>
    <row r="8138" spans="1:2" ht="15.75" x14ac:dyDescent="0.25">
      <c r="A8138" s="344" t="s">
        <v>12527</v>
      </c>
      <c r="B8138" s="345" t="s">
        <v>4434</v>
      </c>
    </row>
    <row r="8139" spans="1:2" ht="15.75" x14ac:dyDescent="0.25">
      <c r="A8139" s="344" t="s">
        <v>12528</v>
      </c>
      <c r="B8139" s="345" t="s">
        <v>4435</v>
      </c>
    </row>
    <row r="8140" spans="1:2" ht="15.75" x14ac:dyDescent="0.25">
      <c r="A8140" s="344" t="s">
        <v>1700</v>
      </c>
      <c r="B8140" s="345" t="s">
        <v>1701</v>
      </c>
    </row>
    <row r="8141" spans="1:2" ht="15.75" x14ac:dyDescent="0.25">
      <c r="A8141" s="344" t="s">
        <v>1716</v>
      </c>
      <c r="B8141" s="345" t="s">
        <v>1717</v>
      </c>
    </row>
    <row r="8142" spans="1:2" ht="15.75" x14ac:dyDescent="0.25">
      <c r="A8142" s="344" t="s">
        <v>12529</v>
      </c>
      <c r="B8142" s="345" t="s">
        <v>4436</v>
      </c>
    </row>
    <row r="8143" spans="1:2" ht="15.75" x14ac:dyDescent="0.25">
      <c r="A8143" s="344" t="s">
        <v>12530</v>
      </c>
      <c r="B8143" s="345" t="s">
        <v>4437</v>
      </c>
    </row>
    <row r="8144" spans="1:2" ht="15.75" x14ac:dyDescent="0.25">
      <c r="A8144" s="344" t="s">
        <v>12531</v>
      </c>
      <c r="B8144" s="345" t="s">
        <v>4438</v>
      </c>
    </row>
    <row r="8145" spans="1:2" ht="15.75" x14ac:dyDescent="0.25">
      <c r="A8145" s="344" t="s">
        <v>12532</v>
      </c>
      <c r="B8145" s="345" t="s">
        <v>4439</v>
      </c>
    </row>
    <row r="8146" spans="1:2" ht="15.75" x14ac:dyDescent="0.25">
      <c r="A8146" s="344" t="s">
        <v>12533</v>
      </c>
      <c r="B8146" s="345" t="s">
        <v>12534</v>
      </c>
    </row>
    <row r="8147" spans="1:2" ht="15.75" x14ac:dyDescent="0.25">
      <c r="A8147" s="344" t="s">
        <v>12535</v>
      </c>
      <c r="B8147" s="345" t="s">
        <v>11709</v>
      </c>
    </row>
    <row r="8148" spans="1:2" ht="15.75" x14ac:dyDescent="0.25">
      <c r="A8148" s="344" t="s">
        <v>111</v>
      </c>
      <c r="B8148" s="345" t="s">
        <v>4440</v>
      </c>
    </row>
    <row r="8149" spans="1:2" ht="15.75" x14ac:dyDescent="0.25">
      <c r="A8149" s="344" t="s">
        <v>12536</v>
      </c>
      <c r="B8149" s="345" t="s">
        <v>4441</v>
      </c>
    </row>
    <row r="8150" spans="1:2" ht="15.75" x14ac:dyDescent="0.25">
      <c r="A8150" s="344" t="s">
        <v>12537</v>
      </c>
      <c r="B8150" s="345" t="s">
        <v>4442</v>
      </c>
    </row>
    <row r="8151" spans="1:2" ht="15.75" x14ac:dyDescent="0.25">
      <c r="A8151" s="344" t="s">
        <v>12538</v>
      </c>
      <c r="B8151" s="345" t="s">
        <v>4443</v>
      </c>
    </row>
    <row r="8152" spans="1:2" ht="15.75" x14ac:dyDescent="0.25">
      <c r="A8152" s="344" t="s">
        <v>12539</v>
      </c>
      <c r="B8152" s="345" t="s">
        <v>12540</v>
      </c>
    </row>
    <row r="8153" spans="1:2" ht="15.75" x14ac:dyDescent="0.25">
      <c r="A8153" s="344" t="s">
        <v>12541</v>
      </c>
      <c r="B8153" s="345" t="s">
        <v>4444</v>
      </c>
    </row>
    <row r="8154" spans="1:2" ht="15.75" x14ac:dyDescent="0.25">
      <c r="A8154" s="344" t="s">
        <v>12542</v>
      </c>
      <c r="B8154" s="345" t="s">
        <v>4445</v>
      </c>
    </row>
    <row r="8155" spans="1:2" ht="15.75" x14ac:dyDescent="0.25">
      <c r="A8155" s="344" t="s">
        <v>12543</v>
      </c>
      <c r="B8155" s="345" t="s">
        <v>4446</v>
      </c>
    </row>
    <row r="8156" spans="1:2" ht="15.75" x14ac:dyDescent="0.25">
      <c r="A8156" s="344" t="s">
        <v>12544</v>
      </c>
      <c r="B8156" s="345" t="s">
        <v>4447</v>
      </c>
    </row>
    <row r="8157" spans="1:2" ht="15.75" x14ac:dyDescent="0.25">
      <c r="A8157" s="344" t="s">
        <v>12545</v>
      </c>
      <c r="B8157" s="345" t="s">
        <v>4448</v>
      </c>
    </row>
    <row r="8158" spans="1:2" ht="15.75" x14ac:dyDescent="0.25">
      <c r="A8158" s="344" t="s">
        <v>12546</v>
      </c>
      <c r="B8158" s="345" t="s">
        <v>4449</v>
      </c>
    </row>
    <row r="8159" spans="1:2" ht="15.75" x14ac:dyDescent="0.25">
      <c r="A8159" s="344" t="s">
        <v>12547</v>
      </c>
      <c r="B8159" s="345" t="s">
        <v>4450</v>
      </c>
    </row>
    <row r="8160" spans="1:2" ht="15.75" x14ac:dyDescent="0.25">
      <c r="A8160" s="344" t="s">
        <v>12548</v>
      </c>
      <c r="B8160" s="345" t="s">
        <v>4451</v>
      </c>
    </row>
    <row r="8161" spans="1:2" ht="15.75" x14ac:dyDescent="0.25">
      <c r="A8161" s="344" t="s">
        <v>12549</v>
      </c>
      <c r="B8161" s="345" t="s">
        <v>4452</v>
      </c>
    </row>
    <row r="8162" spans="1:2" ht="15.75" x14ac:dyDescent="0.25">
      <c r="A8162" s="344" t="s">
        <v>12550</v>
      </c>
      <c r="B8162" s="345" t="s">
        <v>4453</v>
      </c>
    </row>
    <row r="8163" spans="1:2" ht="15.75" x14ac:dyDescent="0.25">
      <c r="A8163" s="344" t="s">
        <v>12551</v>
      </c>
      <c r="B8163" s="345" t="s">
        <v>4454</v>
      </c>
    </row>
    <row r="8164" spans="1:2" ht="15.75" x14ac:dyDescent="0.25">
      <c r="A8164" s="344" t="s">
        <v>12552</v>
      </c>
      <c r="B8164" s="345" t="s">
        <v>4455</v>
      </c>
    </row>
    <row r="8165" spans="1:2" ht="15.75" x14ac:dyDescent="0.25">
      <c r="A8165" s="344" t="s">
        <v>12553</v>
      </c>
      <c r="B8165" s="345" t="s">
        <v>4456</v>
      </c>
    </row>
    <row r="8166" spans="1:2" ht="15.75" x14ac:dyDescent="0.25">
      <c r="A8166" s="344" t="s">
        <v>12554</v>
      </c>
      <c r="B8166" s="345" t="s">
        <v>4457</v>
      </c>
    </row>
    <row r="8167" spans="1:2" ht="15.75" x14ac:dyDescent="0.25">
      <c r="A8167" s="344" t="s">
        <v>12555</v>
      </c>
      <c r="B8167" s="345" t="s">
        <v>4458</v>
      </c>
    </row>
    <row r="8168" spans="1:2" ht="15.75" x14ac:dyDescent="0.25">
      <c r="A8168" s="344" t="s">
        <v>12556</v>
      </c>
      <c r="B8168" s="345" t="s">
        <v>4459</v>
      </c>
    </row>
    <row r="8169" spans="1:2" ht="15.75" x14ac:dyDescent="0.25">
      <c r="A8169" s="344" t="s">
        <v>12557</v>
      </c>
      <c r="B8169" s="345" t="s">
        <v>4460</v>
      </c>
    </row>
    <row r="8170" spans="1:2" ht="15.75" x14ac:dyDescent="0.25">
      <c r="A8170" s="344" t="s">
        <v>12558</v>
      </c>
      <c r="B8170" s="345" t="s">
        <v>4461</v>
      </c>
    </row>
    <row r="8171" spans="1:2" ht="15.75" x14ac:dyDescent="0.25">
      <c r="A8171" s="344" t="s">
        <v>12559</v>
      </c>
      <c r="B8171" s="345" t="s">
        <v>12560</v>
      </c>
    </row>
    <row r="8172" spans="1:2" ht="15.75" x14ac:dyDescent="0.25">
      <c r="A8172" s="344" t="s">
        <v>12561</v>
      </c>
      <c r="B8172" s="345" t="s">
        <v>4462</v>
      </c>
    </row>
    <row r="8173" spans="1:2" ht="15.75" x14ac:dyDescent="0.25">
      <c r="A8173" s="344" t="s">
        <v>12562</v>
      </c>
      <c r="B8173" s="345" t="s">
        <v>12563</v>
      </c>
    </row>
    <row r="8174" spans="1:2" ht="15.75" x14ac:dyDescent="0.25">
      <c r="A8174" s="344" t="s">
        <v>12564</v>
      </c>
      <c r="B8174" s="345" t="s">
        <v>12565</v>
      </c>
    </row>
    <row r="8175" spans="1:2" ht="15.75" x14ac:dyDescent="0.25">
      <c r="A8175" s="344" t="s">
        <v>12566</v>
      </c>
      <c r="B8175" s="345" t="s">
        <v>12567</v>
      </c>
    </row>
    <row r="8176" spans="1:2" ht="15.75" x14ac:dyDescent="0.25">
      <c r="A8176" s="344" t="s">
        <v>12568</v>
      </c>
      <c r="B8176" s="345" t="s">
        <v>4463</v>
      </c>
    </row>
    <row r="8177" spans="1:2" ht="15.75" x14ac:dyDescent="0.25">
      <c r="A8177" s="344" t="s">
        <v>12569</v>
      </c>
      <c r="B8177" s="345" t="s">
        <v>12570</v>
      </c>
    </row>
    <row r="8178" spans="1:2" ht="15.75" x14ac:dyDescent="0.25">
      <c r="A8178" s="344" t="s">
        <v>12571</v>
      </c>
      <c r="B8178" s="345" t="s">
        <v>4464</v>
      </c>
    </row>
    <row r="8179" spans="1:2" ht="15.75" x14ac:dyDescent="0.25">
      <c r="A8179" s="344" t="s">
        <v>12572</v>
      </c>
      <c r="B8179" s="345" t="s">
        <v>12573</v>
      </c>
    </row>
    <row r="8180" spans="1:2" ht="15.75" x14ac:dyDescent="0.25">
      <c r="A8180" s="344" t="s">
        <v>12574</v>
      </c>
      <c r="B8180" s="345" t="s">
        <v>4465</v>
      </c>
    </row>
    <row r="8181" spans="1:2" ht="15.75" x14ac:dyDescent="0.25">
      <c r="A8181" s="344" t="s">
        <v>12575</v>
      </c>
      <c r="B8181" s="345" t="s">
        <v>12576</v>
      </c>
    </row>
    <row r="8182" spans="1:2" ht="15.75" x14ac:dyDescent="0.25">
      <c r="A8182" s="344" t="s">
        <v>12577</v>
      </c>
      <c r="B8182" s="345" t="s">
        <v>4466</v>
      </c>
    </row>
    <row r="8183" spans="1:2" ht="15.75" x14ac:dyDescent="0.25">
      <c r="A8183" s="344" t="s">
        <v>12578</v>
      </c>
      <c r="B8183" s="345" t="s">
        <v>12579</v>
      </c>
    </row>
    <row r="8184" spans="1:2" ht="15.75" x14ac:dyDescent="0.25">
      <c r="A8184" s="344" t="s">
        <v>12580</v>
      </c>
      <c r="B8184" s="345" t="s">
        <v>4467</v>
      </c>
    </row>
    <row r="8185" spans="1:2" ht="15.75" x14ac:dyDescent="0.25">
      <c r="A8185" s="344" t="s">
        <v>12581</v>
      </c>
      <c r="B8185" s="345" t="s">
        <v>12582</v>
      </c>
    </row>
    <row r="8186" spans="1:2" ht="15.75" x14ac:dyDescent="0.25">
      <c r="A8186" s="344" t="s">
        <v>1721</v>
      </c>
      <c r="B8186" s="345" t="s">
        <v>1722</v>
      </c>
    </row>
    <row r="8187" spans="1:2" ht="15.75" x14ac:dyDescent="0.25">
      <c r="A8187" s="344" t="s">
        <v>12583</v>
      </c>
      <c r="B8187" s="345" t="s">
        <v>12584</v>
      </c>
    </row>
    <row r="8188" spans="1:2" ht="15.75" x14ac:dyDescent="0.25">
      <c r="A8188" s="344" t="s">
        <v>12585</v>
      </c>
      <c r="B8188" s="345" t="s">
        <v>12586</v>
      </c>
    </row>
    <row r="8189" spans="1:2" ht="15.75" x14ac:dyDescent="0.25">
      <c r="A8189" s="344" t="s">
        <v>12587</v>
      </c>
      <c r="B8189" s="345" t="s">
        <v>12588</v>
      </c>
    </row>
    <row r="8190" spans="1:2" ht="15.75" x14ac:dyDescent="0.25">
      <c r="A8190" s="344" t="s">
        <v>12589</v>
      </c>
      <c r="B8190" s="345" t="s">
        <v>4468</v>
      </c>
    </row>
    <row r="8191" spans="1:2" ht="15.75" x14ac:dyDescent="0.25">
      <c r="A8191" s="344" t="s">
        <v>12590</v>
      </c>
      <c r="B8191" s="345" t="s">
        <v>12591</v>
      </c>
    </row>
    <row r="8192" spans="1:2" ht="15.75" x14ac:dyDescent="0.25">
      <c r="A8192" s="344" t="s">
        <v>12592</v>
      </c>
      <c r="B8192" s="345" t="s">
        <v>12593</v>
      </c>
    </row>
    <row r="8193" spans="1:2" ht="15.75" x14ac:dyDescent="0.25">
      <c r="A8193" s="344" t="s">
        <v>12594</v>
      </c>
      <c r="B8193" s="345" t="s">
        <v>12595</v>
      </c>
    </row>
    <row r="8194" spans="1:2" ht="15.75" x14ac:dyDescent="0.25">
      <c r="A8194" s="344" t="s">
        <v>12596</v>
      </c>
      <c r="B8194" s="345" t="s">
        <v>4469</v>
      </c>
    </row>
    <row r="8195" spans="1:2" ht="15.75" x14ac:dyDescent="0.25">
      <c r="A8195" s="344" t="s">
        <v>12597</v>
      </c>
      <c r="B8195" s="345" t="s">
        <v>4470</v>
      </c>
    </row>
    <row r="8196" spans="1:2" ht="15.75" x14ac:dyDescent="0.25">
      <c r="A8196" s="344" t="s">
        <v>12598</v>
      </c>
      <c r="B8196" s="345" t="s">
        <v>3931</v>
      </c>
    </row>
    <row r="8197" spans="1:2" ht="15.75" x14ac:dyDescent="0.25">
      <c r="A8197" s="344" t="s">
        <v>12599</v>
      </c>
      <c r="B8197" s="345" t="s">
        <v>12600</v>
      </c>
    </row>
    <row r="8198" spans="1:2" ht="15.75" x14ac:dyDescent="0.25">
      <c r="A8198" s="344" t="s">
        <v>12601</v>
      </c>
      <c r="B8198" s="345" t="s">
        <v>4471</v>
      </c>
    </row>
    <row r="8199" spans="1:2" ht="15.75" x14ac:dyDescent="0.25">
      <c r="A8199" s="344" t="s">
        <v>12602</v>
      </c>
      <c r="B8199" s="345" t="s">
        <v>4472</v>
      </c>
    </row>
    <row r="8200" spans="1:2" ht="15.75" x14ac:dyDescent="0.25">
      <c r="A8200" s="344" t="s">
        <v>12603</v>
      </c>
      <c r="B8200" s="345" t="s">
        <v>12604</v>
      </c>
    </row>
    <row r="8201" spans="1:2" ht="15.75" x14ac:dyDescent="0.25">
      <c r="A8201" s="344" t="s">
        <v>12605</v>
      </c>
      <c r="B8201" s="345" t="s">
        <v>4473</v>
      </c>
    </row>
    <row r="8202" spans="1:2" ht="15.75" x14ac:dyDescent="0.25">
      <c r="A8202" s="344" t="s">
        <v>12606</v>
      </c>
      <c r="B8202" s="345" t="s">
        <v>12607</v>
      </c>
    </row>
    <row r="8203" spans="1:2" ht="15.75" x14ac:dyDescent="0.25">
      <c r="A8203" s="344" t="s">
        <v>12608</v>
      </c>
      <c r="B8203" s="345" t="s">
        <v>4474</v>
      </c>
    </row>
    <row r="8204" spans="1:2" ht="15.75" x14ac:dyDescent="0.25">
      <c r="A8204" s="344" t="s">
        <v>12609</v>
      </c>
      <c r="B8204" s="345" t="s">
        <v>12610</v>
      </c>
    </row>
    <row r="8205" spans="1:2" ht="15.75" x14ac:dyDescent="0.25">
      <c r="A8205" s="344" t="s">
        <v>12611</v>
      </c>
      <c r="B8205" s="345" t="s">
        <v>4475</v>
      </c>
    </row>
    <row r="8206" spans="1:2" ht="15.75" x14ac:dyDescent="0.25">
      <c r="A8206" s="344" t="s">
        <v>12612</v>
      </c>
      <c r="B8206" s="345" t="s">
        <v>4476</v>
      </c>
    </row>
    <row r="8207" spans="1:2" ht="15.75" x14ac:dyDescent="0.25">
      <c r="A8207" s="344" t="s">
        <v>12613</v>
      </c>
      <c r="B8207" s="345" t="s">
        <v>4477</v>
      </c>
    </row>
    <row r="8208" spans="1:2" ht="15.75" x14ac:dyDescent="0.25">
      <c r="A8208" s="344" t="s">
        <v>12614</v>
      </c>
      <c r="B8208" s="345" t="s">
        <v>4478</v>
      </c>
    </row>
    <row r="8209" spans="1:2" ht="15.75" x14ac:dyDescent="0.25">
      <c r="A8209" s="344" t="s">
        <v>12615</v>
      </c>
      <c r="B8209" s="345" t="s">
        <v>12616</v>
      </c>
    </row>
    <row r="8210" spans="1:2" ht="15.75" x14ac:dyDescent="0.25">
      <c r="A8210" s="344" t="s">
        <v>12617</v>
      </c>
      <c r="B8210" s="345" t="s">
        <v>12618</v>
      </c>
    </row>
    <row r="8211" spans="1:2" ht="15.75" x14ac:dyDescent="0.25">
      <c r="A8211" s="344" t="s">
        <v>12619</v>
      </c>
      <c r="B8211" s="345" t="s">
        <v>3957</v>
      </c>
    </row>
    <row r="8212" spans="1:2" ht="15.75" x14ac:dyDescent="0.25">
      <c r="A8212" s="344" t="s">
        <v>12620</v>
      </c>
      <c r="B8212" s="345" t="s">
        <v>12621</v>
      </c>
    </row>
    <row r="8213" spans="1:2" ht="15.75" x14ac:dyDescent="0.25">
      <c r="A8213" s="344" t="s">
        <v>12622</v>
      </c>
      <c r="B8213" s="345" t="s">
        <v>4479</v>
      </c>
    </row>
    <row r="8214" spans="1:2" ht="15.75" x14ac:dyDescent="0.25">
      <c r="A8214" s="344" t="s">
        <v>12623</v>
      </c>
      <c r="B8214" s="345" t="s">
        <v>12624</v>
      </c>
    </row>
    <row r="8215" spans="1:2" ht="15.75" x14ac:dyDescent="0.25">
      <c r="A8215" s="344" t="s">
        <v>12625</v>
      </c>
      <c r="B8215" s="345" t="s">
        <v>4480</v>
      </c>
    </row>
    <row r="8216" spans="1:2" ht="15.75" x14ac:dyDescent="0.25">
      <c r="A8216" s="344" t="s">
        <v>91</v>
      </c>
      <c r="B8216" s="345" t="s">
        <v>4481</v>
      </c>
    </row>
    <row r="8217" spans="1:2" ht="15.75" x14ac:dyDescent="0.25">
      <c r="A8217" s="344" t="s">
        <v>12626</v>
      </c>
      <c r="B8217" s="345" t="s">
        <v>4482</v>
      </c>
    </row>
    <row r="8218" spans="1:2" ht="15.75" x14ac:dyDescent="0.25">
      <c r="A8218" s="344" t="s">
        <v>12627</v>
      </c>
      <c r="B8218" s="345" t="s">
        <v>12628</v>
      </c>
    </row>
    <row r="8219" spans="1:2" ht="15.75" x14ac:dyDescent="0.25">
      <c r="A8219" s="344" t="s">
        <v>12629</v>
      </c>
      <c r="B8219" s="345" t="s">
        <v>4483</v>
      </c>
    </row>
    <row r="8220" spans="1:2" ht="15.75" x14ac:dyDescent="0.25">
      <c r="A8220" s="344" t="s">
        <v>12630</v>
      </c>
      <c r="B8220" s="345" t="s">
        <v>4484</v>
      </c>
    </row>
    <row r="8221" spans="1:2" ht="15.75" x14ac:dyDescent="0.25">
      <c r="A8221" s="344" t="s">
        <v>12631</v>
      </c>
      <c r="B8221" s="345" t="s">
        <v>12632</v>
      </c>
    </row>
    <row r="8222" spans="1:2" ht="15.75" x14ac:dyDescent="0.25">
      <c r="A8222" s="344" t="s">
        <v>12633</v>
      </c>
      <c r="B8222" s="345" t="s">
        <v>12634</v>
      </c>
    </row>
    <row r="8223" spans="1:2" ht="15.75" x14ac:dyDescent="0.25">
      <c r="A8223" s="344" t="s">
        <v>1719</v>
      </c>
      <c r="B8223" s="345" t="s">
        <v>1720</v>
      </c>
    </row>
    <row r="8224" spans="1:2" ht="15.75" x14ac:dyDescent="0.25">
      <c r="A8224" s="344" t="s">
        <v>12635</v>
      </c>
      <c r="B8224" s="345" t="s">
        <v>12636</v>
      </c>
    </row>
    <row r="8225" spans="1:2" ht="15.75" x14ac:dyDescent="0.25">
      <c r="A8225" s="344" t="s">
        <v>12637</v>
      </c>
      <c r="B8225" s="345" t="s">
        <v>12638</v>
      </c>
    </row>
    <row r="8226" spans="1:2" ht="15.75" x14ac:dyDescent="0.25">
      <c r="A8226" s="344" t="s">
        <v>12639</v>
      </c>
      <c r="B8226" s="345" t="s">
        <v>4485</v>
      </c>
    </row>
    <row r="8227" spans="1:2" ht="15.75" x14ac:dyDescent="0.25">
      <c r="A8227" s="344" t="s">
        <v>12640</v>
      </c>
      <c r="B8227" s="345" t="s">
        <v>12641</v>
      </c>
    </row>
    <row r="8228" spans="1:2" ht="15.75" x14ac:dyDescent="0.25">
      <c r="A8228" s="344" t="s">
        <v>12642</v>
      </c>
      <c r="B8228" s="345" t="s">
        <v>4486</v>
      </c>
    </row>
    <row r="8229" spans="1:2" ht="15.75" x14ac:dyDescent="0.25">
      <c r="A8229" s="344" t="s">
        <v>12643</v>
      </c>
      <c r="B8229" s="345" t="s">
        <v>4373</v>
      </c>
    </row>
    <row r="8230" spans="1:2" ht="15.75" x14ac:dyDescent="0.25">
      <c r="A8230" s="344" t="s">
        <v>12644</v>
      </c>
      <c r="B8230" s="345" t="s">
        <v>12645</v>
      </c>
    </row>
    <row r="8231" spans="1:2" ht="15.75" x14ac:dyDescent="0.25">
      <c r="A8231" s="344" t="s">
        <v>12646</v>
      </c>
      <c r="B8231" s="345" t="s">
        <v>4487</v>
      </c>
    </row>
    <row r="8232" spans="1:2" ht="15.75" x14ac:dyDescent="0.25">
      <c r="A8232" s="344" t="s">
        <v>12647</v>
      </c>
      <c r="B8232" s="345" t="s">
        <v>4488</v>
      </c>
    </row>
    <row r="8233" spans="1:2" ht="15.75" x14ac:dyDescent="0.25">
      <c r="A8233" s="344" t="s">
        <v>12648</v>
      </c>
      <c r="B8233" s="345" t="s">
        <v>4489</v>
      </c>
    </row>
    <row r="8234" spans="1:2" ht="15.75" x14ac:dyDescent="0.25">
      <c r="A8234" s="344" t="s">
        <v>12649</v>
      </c>
      <c r="B8234" s="345" t="s">
        <v>12650</v>
      </c>
    </row>
    <row r="8235" spans="1:2" ht="15.75" x14ac:dyDescent="0.25">
      <c r="A8235" s="344" t="s">
        <v>12651</v>
      </c>
      <c r="B8235" s="345" t="s">
        <v>4490</v>
      </c>
    </row>
    <row r="8236" spans="1:2" ht="15.75" x14ac:dyDescent="0.25">
      <c r="A8236" s="344" t="s">
        <v>12652</v>
      </c>
      <c r="B8236" s="345" t="s">
        <v>12653</v>
      </c>
    </row>
    <row r="8237" spans="1:2" ht="15.75" x14ac:dyDescent="0.25">
      <c r="A8237" s="344" t="s">
        <v>12654</v>
      </c>
      <c r="B8237" s="345" t="s">
        <v>12655</v>
      </c>
    </row>
    <row r="8238" spans="1:2" ht="15.75" x14ac:dyDescent="0.25">
      <c r="A8238" s="344" t="s">
        <v>12656</v>
      </c>
      <c r="B8238" s="345" t="s">
        <v>12657</v>
      </c>
    </row>
    <row r="8239" spans="1:2" ht="15.75" x14ac:dyDescent="0.25">
      <c r="A8239" s="344" t="s">
        <v>12658</v>
      </c>
      <c r="B8239" s="345" t="s">
        <v>12659</v>
      </c>
    </row>
    <row r="8240" spans="1:2" ht="15.75" x14ac:dyDescent="0.25">
      <c r="A8240" s="344" t="s">
        <v>12660</v>
      </c>
      <c r="B8240" s="345" t="s">
        <v>4491</v>
      </c>
    </row>
    <row r="8241" spans="1:2" ht="15.75" x14ac:dyDescent="0.25">
      <c r="A8241" s="344" t="s">
        <v>12661</v>
      </c>
      <c r="B8241" s="345" t="s">
        <v>4492</v>
      </c>
    </row>
    <row r="8242" spans="1:2" ht="15.75" x14ac:dyDescent="0.25">
      <c r="A8242" s="344" t="s">
        <v>12662</v>
      </c>
      <c r="B8242" s="345" t="s">
        <v>4493</v>
      </c>
    </row>
    <row r="8243" spans="1:2" ht="15.75" x14ac:dyDescent="0.25">
      <c r="A8243" s="344" t="s">
        <v>12663</v>
      </c>
      <c r="B8243" s="345" t="s">
        <v>12664</v>
      </c>
    </row>
    <row r="8244" spans="1:2" ht="15.75" x14ac:dyDescent="0.25">
      <c r="A8244" s="344" t="s">
        <v>12665</v>
      </c>
      <c r="B8244" s="345" t="s">
        <v>12666</v>
      </c>
    </row>
    <row r="8245" spans="1:2" ht="15.75" x14ac:dyDescent="0.25">
      <c r="A8245" s="344" t="s">
        <v>12667</v>
      </c>
      <c r="B8245" s="345" t="s">
        <v>12668</v>
      </c>
    </row>
    <row r="8246" spans="1:2" ht="15.75" x14ac:dyDescent="0.25">
      <c r="A8246" s="344" t="s">
        <v>12669</v>
      </c>
      <c r="B8246" s="345" t="s">
        <v>12670</v>
      </c>
    </row>
    <row r="8247" spans="1:2" ht="15.75" x14ac:dyDescent="0.25">
      <c r="A8247" s="344" t="s">
        <v>12671</v>
      </c>
      <c r="B8247" s="345" t="s">
        <v>12672</v>
      </c>
    </row>
    <row r="8248" spans="1:2" ht="15.75" x14ac:dyDescent="0.25">
      <c r="A8248" s="344" t="s">
        <v>12673</v>
      </c>
      <c r="B8248" s="345" t="s">
        <v>4494</v>
      </c>
    </row>
    <row r="8249" spans="1:2" ht="15.75" x14ac:dyDescent="0.25">
      <c r="A8249" s="344" t="s">
        <v>12674</v>
      </c>
      <c r="B8249" s="345" t="s">
        <v>12675</v>
      </c>
    </row>
    <row r="8250" spans="1:2" ht="15.75" x14ac:dyDescent="0.25">
      <c r="A8250" s="344" t="s">
        <v>12676</v>
      </c>
      <c r="B8250" s="345" t="s">
        <v>12677</v>
      </c>
    </row>
    <row r="8251" spans="1:2" ht="15.75" x14ac:dyDescent="0.25">
      <c r="A8251" s="344" t="s">
        <v>12678</v>
      </c>
      <c r="B8251" s="345" t="s">
        <v>12679</v>
      </c>
    </row>
    <row r="8252" spans="1:2" ht="15.75" x14ac:dyDescent="0.25">
      <c r="A8252" s="344" t="s">
        <v>12680</v>
      </c>
      <c r="B8252" s="345" t="s">
        <v>12681</v>
      </c>
    </row>
    <row r="8253" spans="1:2" ht="15.75" x14ac:dyDescent="0.25">
      <c r="A8253" s="344" t="s">
        <v>12682</v>
      </c>
      <c r="B8253" s="345" t="s">
        <v>12683</v>
      </c>
    </row>
    <row r="8254" spans="1:2" ht="15.75" x14ac:dyDescent="0.25">
      <c r="A8254" s="344" t="s">
        <v>12684</v>
      </c>
      <c r="B8254" s="345" t="s">
        <v>12685</v>
      </c>
    </row>
    <row r="8255" spans="1:2" ht="15.75" x14ac:dyDescent="0.25">
      <c r="A8255" s="344" t="s">
        <v>12686</v>
      </c>
      <c r="B8255" s="345" t="s">
        <v>12687</v>
      </c>
    </row>
    <row r="8256" spans="1:2" ht="15.75" x14ac:dyDescent="0.25">
      <c r="A8256" s="344" t="s">
        <v>12688</v>
      </c>
      <c r="B8256" s="345" t="s">
        <v>12689</v>
      </c>
    </row>
    <row r="8257" spans="1:2" ht="15.75" x14ac:dyDescent="0.25">
      <c r="A8257" s="344" t="s">
        <v>12690</v>
      </c>
      <c r="B8257" s="345" t="s">
        <v>12691</v>
      </c>
    </row>
    <row r="8258" spans="1:2" ht="15.75" x14ac:dyDescent="0.25">
      <c r="A8258" s="344" t="s">
        <v>12692</v>
      </c>
      <c r="B8258" s="345" t="s">
        <v>4495</v>
      </c>
    </row>
    <row r="8259" spans="1:2" ht="15.75" x14ac:dyDescent="0.25">
      <c r="A8259" s="344" t="s">
        <v>12693</v>
      </c>
      <c r="B8259" s="345" t="s">
        <v>12694</v>
      </c>
    </row>
    <row r="8260" spans="1:2" ht="15.75" x14ac:dyDescent="0.25">
      <c r="A8260" s="344" t="s">
        <v>12695</v>
      </c>
      <c r="B8260" s="345" t="s">
        <v>12696</v>
      </c>
    </row>
    <row r="8261" spans="1:2" ht="15.75" x14ac:dyDescent="0.25">
      <c r="A8261" s="344" t="s">
        <v>12697</v>
      </c>
      <c r="B8261" s="345" t="s">
        <v>12698</v>
      </c>
    </row>
    <row r="8262" spans="1:2" ht="15.75" x14ac:dyDescent="0.25">
      <c r="A8262" s="344" t="s">
        <v>12699</v>
      </c>
      <c r="B8262" s="345" t="s">
        <v>4423</v>
      </c>
    </row>
    <row r="8263" spans="1:2" ht="15.75" x14ac:dyDescent="0.25">
      <c r="A8263" s="344" t="s">
        <v>12700</v>
      </c>
      <c r="B8263" s="345" t="s">
        <v>12701</v>
      </c>
    </row>
    <row r="8264" spans="1:2" ht="15.75" x14ac:dyDescent="0.25">
      <c r="A8264" s="344" t="s">
        <v>12702</v>
      </c>
      <c r="B8264" s="345" t="s">
        <v>12703</v>
      </c>
    </row>
    <row r="8265" spans="1:2" ht="15.75" x14ac:dyDescent="0.25">
      <c r="A8265" s="344" t="s">
        <v>12704</v>
      </c>
      <c r="B8265" s="345" t="s">
        <v>12705</v>
      </c>
    </row>
    <row r="8266" spans="1:2" ht="15.75" x14ac:dyDescent="0.25">
      <c r="A8266" s="344" t="s">
        <v>12706</v>
      </c>
      <c r="B8266" s="345" t="s">
        <v>12707</v>
      </c>
    </row>
    <row r="8267" spans="1:2" ht="15.75" x14ac:dyDescent="0.25">
      <c r="A8267" s="344" t="s">
        <v>12708</v>
      </c>
      <c r="B8267" s="345" t="s">
        <v>4452</v>
      </c>
    </row>
    <row r="8268" spans="1:2" ht="15.75" x14ac:dyDescent="0.25">
      <c r="A8268" s="344" t="s">
        <v>12709</v>
      </c>
      <c r="B8268" s="345" t="s">
        <v>12710</v>
      </c>
    </row>
    <row r="8269" spans="1:2" ht="15.75" x14ac:dyDescent="0.25">
      <c r="A8269" s="344" t="s">
        <v>12711</v>
      </c>
      <c r="B8269" s="345" t="s">
        <v>12712</v>
      </c>
    </row>
    <row r="8270" spans="1:2" ht="15.75" x14ac:dyDescent="0.25">
      <c r="A8270" s="344" t="s">
        <v>12713</v>
      </c>
      <c r="B8270" s="345" t="s">
        <v>4894</v>
      </c>
    </row>
    <row r="8271" spans="1:2" ht="15.75" x14ac:dyDescent="0.25">
      <c r="A8271" s="344" t="s">
        <v>12714</v>
      </c>
      <c r="B8271" s="345" t="s">
        <v>12715</v>
      </c>
    </row>
    <row r="8272" spans="1:2" ht="15.75" x14ac:dyDescent="0.25">
      <c r="A8272" s="344" t="s">
        <v>12716</v>
      </c>
      <c r="B8272" s="345" t="s">
        <v>12717</v>
      </c>
    </row>
    <row r="8273" spans="1:2" ht="15.75" x14ac:dyDescent="0.25">
      <c r="A8273" s="344" t="s">
        <v>12718</v>
      </c>
      <c r="B8273" s="345" t="s">
        <v>12719</v>
      </c>
    </row>
    <row r="8274" spans="1:2" ht="15.75" x14ac:dyDescent="0.25">
      <c r="A8274" s="344" t="s">
        <v>12720</v>
      </c>
      <c r="B8274" s="345" t="s">
        <v>12721</v>
      </c>
    </row>
    <row r="8275" spans="1:2" ht="15.75" x14ac:dyDescent="0.25">
      <c r="A8275" s="344" t="s">
        <v>12722</v>
      </c>
      <c r="B8275" s="345" t="s">
        <v>12723</v>
      </c>
    </row>
    <row r="8276" spans="1:2" ht="15.75" x14ac:dyDescent="0.25">
      <c r="A8276" s="344" t="s">
        <v>12724</v>
      </c>
      <c r="B8276" s="345" t="s">
        <v>12725</v>
      </c>
    </row>
    <row r="8277" spans="1:2" ht="15.75" x14ac:dyDescent="0.25">
      <c r="A8277" s="344" t="s">
        <v>12726</v>
      </c>
      <c r="B8277" s="345" t="s">
        <v>12727</v>
      </c>
    </row>
    <row r="8278" spans="1:2" ht="15.75" x14ac:dyDescent="0.25">
      <c r="A8278" s="344" t="s">
        <v>12728</v>
      </c>
      <c r="B8278" s="345" t="s">
        <v>12729</v>
      </c>
    </row>
    <row r="8279" spans="1:2" ht="15.75" x14ac:dyDescent="0.25">
      <c r="A8279" s="344" t="s">
        <v>12730</v>
      </c>
      <c r="B8279" s="345" t="s">
        <v>12731</v>
      </c>
    </row>
    <row r="8280" spans="1:2" ht="15.75" x14ac:dyDescent="0.25">
      <c r="A8280" s="344" t="s">
        <v>12732</v>
      </c>
      <c r="B8280" s="345" t="s">
        <v>12733</v>
      </c>
    </row>
    <row r="8281" spans="1:2" ht="15.75" x14ac:dyDescent="0.25">
      <c r="A8281" s="344" t="s">
        <v>12734</v>
      </c>
      <c r="B8281" s="345" t="s">
        <v>12735</v>
      </c>
    </row>
    <row r="8282" spans="1:2" ht="15.75" x14ac:dyDescent="0.25">
      <c r="A8282" s="344" t="s">
        <v>12736</v>
      </c>
      <c r="B8282" s="345" t="s">
        <v>12737</v>
      </c>
    </row>
    <row r="8283" spans="1:2" ht="15.75" x14ac:dyDescent="0.25">
      <c r="A8283" s="344" t="s">
        <v>12738</v>
      </c>
      <c r="B8283" s="345" t="s">
        <v>12739</v>
      </c>
    </row>
    <row r="8284" spans="1:2" ht="15.75" x14ac:dyDescent="0.25">
      <c r="A8284" s="344" t="s">
        <v>12740</v>
      </c>
      <c r="B8284" s="345" t="s">
        <v>12741</v>
      </c>
    </row>
    <row r="8285" spans="1:2" ht="15.75" x14ac:dyDescent="0.25">
      <c r="A8285" s="344" t="s">
        <v>12742</v>
      </c>
      <c r="B8285" s="345" t="s">
        <v>12743</v>
      </c>
    </row>
    <row r="8286" spans="1:2" ht="15.75" x14ac:dyDescent="0.25">
      <c r="A8286" s="344" t="s">
        <v>12744</v>
      </c>
      <c r="B8286" s="345" t="s">
        <v>12745</v>
      </c>
    </row>
    <row r="8287" spans="1:2" ht="15.75" x14ac:dyDescent="0.25">
      <c r="A8287" s="344" t="s">
        <v>12746</v>
      </c>
      <c r="B8287" s="345" t="s">
        <v>12747</v>
      </c>
    </row>
    <row r="8288" spans="1:2" ht="15.75" x14ac:dyDescent="0.25">
      <c r="A8288" s="344" t="s">
        <v>12748</v>
      </c>
      <c r="B8288" s="345" t="s">
        <v>12749</v>
      </c>
    </row>
    <row r="8289" spans="1:2" ht="15.75" x14ac:dyDescent="0.25">
      <c r="A8289" s="344" t="s">
        <v>12750</v>
      </c>
      <c r="B8289" s="345" t="s">
        <v>12751</v>
      </c>
    </row>
    <row r="8290" spans="1:2" ht="15.75" x14ac:dyDescent="0.25">
      <c r="A8290" s="344" t="s">
        <v>12752</v>
      </c>
      <c r="B8290" s="345" t="s">
        <v>12753</v>
      </c>
    </row>
    <row r="8291" spans="1:2" ht="15.75" x14ac:dyDescent="0.25">
      <c r="A8291" s="344" t="s">
        <v>12754</v>
      </c>
      <c r="B8291" s="345" t="s">
        <v>12755</v>
      </c>
    </row>
    <row r="8292" spans="1:2" ht="15.75" x14ac:dyDescent="0.25">
      <c r="A8292" s="344" t="s">
        <v>12756</v>
      </c>
      <c r="B8292" s="345" t="s">
        <v>12757</v>
      </c>
    </row>
    <row r="8293" spans="1:2" ht="15.75" x14ac:dyDescent="0.25">
      <c r="A8293" s="344" t="s">
        <v>12758</v>
      </c>
      <c r="B8293" s="345" t="s">
        <v>12759</v>
      </c>
    </row>
    <row r="8294" spans="1:2" ht="15.75" x14ac:dyDescent="0.25">
      <c r="A8294" s="344" t="s">
        <v>12760</v>
      </c>
      <c r="B8294" s="345" t="s">
        <v>12761</v>
      </c>
    </row>
    <row r="8295" spans="1:2" ht="15.75" x14ac:dyDescent="0.25">
      <c r="A8295" s="344" t="s">
        <v>12762</v>
      </c>
      <c r="B8295" s="345" t="s">
        <v>12763</v>
      </c>
    </row>
    <row r="8296" spans="1:2" ht="15.75" x14ac:dyDescent="0.25">
      <c r="A8296" s="344" t="s">
        <v>12764</v>
      </c>
      <c r="B8296" s="345" t="s">
        <v>12765</v>
      </c>
    </row>
    <row r="8297" spans="1:2" ht="15.75" x14ac:dyDescent="0.25">
      <c r="A8297" s="344" t="s">
        <v>12766</v>
      </c>
      <c r="B8297" s="345" t="s">
        <v>12767</v>
      </c>
    </row>
    <row r="8298" spans="1:2" ht="15.75" x14ac:dyDescent="0.25">
      <c r="A8298" s="344" t="s">
        <v>12768</v>
      </c>
      <c r="B8298" s="345" t="s">
        <v>4433</v>
      </c>
    </row>
    <row r="8299" spans="1:2" ht="15.75" x14ac:dyDescent="0.25">
      <c r="A8299" s="344" t="s">
        <v>12769</v>
      </c>
      <c r="B8299" s="345" t="s">
        <v>12770</v>
      </c>
    </row>
    <row r="8300" spans="1:2" ht="15.75" x14ac:dyDescent="0.25">
      <c r="A8300" s="344" t="s">
        <v>12771</v>
      </c>
      <c r="B8300" s="345" t="s">
        <v>12772</v>
      </c>
    </row>
    <row r="8301" spans="1:2" ht="15.75" x14ac:dyDescent="0.25">
      <c r="A8301" s="344" t="s">
        <v>12773</v>
      </c>
      <c r="B8301" s="345" t="s">
        <v>12774</v>
      </c>
    </row>
    <row r="8302" spans="1:2" ht="15.75" x14ac:dyDescent="0.25">
      <c r="A8302" s="344" t="s">
        <v>12775</v>
      </c>
      <c r="B8302" s="345" t="s">
        <v>12776</v>
      </c>
    </row>
    <row r="8303" spans="1:2" ht="15.75" x14ac:dyDescent="0.25">
      <c r="A8303" s="344" t="s">
        <v>12777</v>
      </c>
      <c r="B8303" s="345" t="s">
        <v>12778</v>
      </c>
    </row>
    <row r="8304" spans="1:2" ht="15.75" x14ac:dyDescent="0.25">
      <c r="A8304" s="344" t="s">
        <v>12779</v>
      </c>
      <c r="B8304" s="345" t="s">
        <v>12780</v>
      </c>
    </row>
    <row r="8305" spans="1:2" ht="15.75" x14ac:dyDescent="0.25">
      <c r="A8305" s="344" t="s">
        <v>12781</v>
      </c>
      <c r="B8305" s="345" t="s">
        <v>12782</v>
      </c>
    </row>
    <row r="8306" spans="1:2" ht="15.75" x14ac:dyDescent="0.25">
      <c r="A8306" s="344" t="s">
        <v>12783</v>
      </c>
      <c r="B8306" s="345" t="s">
        <v>12784</v>
      </c>
    </row>
    <row r="8307" spans="1:2" ht="15.75" x14ac:dyDescent="0.25">
      <c r="A8307" s="344" t="s">
        <v>12785</v>
      </c>
      <c r="B8307" s="345" t="s">
        <v>12786</v>
      </c>
    </row>
    <row r="8308" spans="1:2" ht="15.75" x14ac:dyDescent="0.25">
      <c r="A8308" s="344" t="s">
        <v>12787</v>
      </c>
      <c r="B8308" s="345" t="s">
        <v>12788</v>
      </c>
    </row>
    <row r="8309" spans="1:2" ht="15.75" x14ac:dyDescent="0.25">
      <c r="A8309" s="344" t="s">
        <v>12789</v>
      </c>
      <c r="B8309" s="345" t="s">
        <v>12790</v>
      </c>
    </row>
    <row r="8310" spans="1:2" ht="15.75" x14ac:dyDescent="0.25">
      <c r="A8310" s="344" t="s">
        <v>12791</v>
      </c>
      <c r="B8310" s="345" t="s">
        <v>12792</v>
      </c>
    </row>
    <row r="8311" spans="1:2" ht="15.75" x14ac:dyDescent="0.25">
      <c r="A8311" s="344" t="s">
        <v>12793</v>
      </c>
      <c r="B8311" s="345" t="s">
        <v>12794</v>
      </c>
    </row>
    <row r="8312" spans="1:2" ht="15.75" x14ac:dyDescent="0.25">
      <c r="A8312" s="344" t="s">
        <v>12795</v>
      </c>
      <c r="B8312" s="345" t="s">
        <v>12796</v>
      </c>
    </row>
    <row r="8313" spans="1:2" ht="15.75" x14ac:dyDescent="0.25">
      <c r="A8313" s="344" t="s">
        <v>12797</v>
      </c>
      <c r="B8313" s="345" t="s">
        <v>12798</v>
      </c>
    </row>
    <row r="8314" spans="1:2" ht="15.75" x14ac:dyDescent="0.25">
      <c r="A8314" s="344" t="s">
        <v>12799</v>
      </c>
      <c r="B8314" s="345" t="s">
        <v>1640</v>
      </c>
    </row>
    <row r="8315" spans="1:2" ht="15.75" x14ac:dyDescent="0.25">
      <c r="A8315" s="344" t="s">
        <v>12800</v>
      </c>
      <c r="B8315" s="345" t="s">
        <v>12801</v>
      </c>
    </row>
    <row r="8316" spans="1:2" ht="15.75" x14ac:dyDescent="0.25">
      <c r="A8316" s="344" t="s">
        <v>12802</v>
      </c>
      <c r="B8316" s="345" t="s">
        <v>12803</v>
      </c>
    </row>
    <row r="8317" spans="1:2" ht="15.75" x14ac:dyDescent="0.25">
      <c r="A8317" s="344" t="s">
        <v>12804</v>
      </c>
      <c r="B8317" s="345" t="s">
        <v>12805</v>
      </c>
    </row>
    <row r="8318" spans="1:2" ht="15.75" x14ac:dyDescent="0.25">
      <c r="A8318" s="344" t="s">
        <v>12806</v>
      </c>
      <c r="B8318" s="345" t="s">
        <v>12807</v>
      </c>
    </row>
    <row r="8319" spans="1:2" ht="15.75" x14ac:dyDescent="0.25">
      <c r="A8319" s="344" t="s">
        <v>12808</v>
      </c>
      <c r="B8319" s="345" t="s">
        <v>12809</v>
      </c>
    </row>
    <row r="8320" spans="1:2" ht="15.75" x14ac:dyDescent="0.25">
      <c r="A8320" s="344" t="s">
        <v>12810</v>
      </c>
      <c r="B8320" s="345" t="s">
        <v>12811</v>
      </c>
    </row>
    <row r="8321" spans="1:2" ht="15.75" x14ac:dyDescent="0.25">
      <c r="A8321" s="344" t="s">
        <v>12812</v>
      </c>
      <c r="B8321" s="345" t="s">
        <v>12813</v>
      </c>
    </row>
    <row r="8322" spans="1:2" ht="15.75" x14ac:dyDescent="0.25">
      <c r="A8322" s="344" t="s">
        <v>12814</v>
      </c>
      <c r="B8322" s="345" t="s">
        <v>12815</v>
      </c>
    </row>
    <row r="8323" spans="1:2" ht="15.75" x14ac:dyDescent="0.25">
      <c r="A8323" s="344" t="s">
        <v>12816</v>
      </c>
      <c r="B8323" s="345" t="s">
        <v>12817</v>
      </c>
    </row>
    <row r="8324" spans="1:2" ht="15.75" x14ac:dyDescent="0.25">
      <c r="A8324" s="344" t="s">
        <v>12818</v>
      </c>
      <c r="B8324" s="345" t="s">
        <v>12819</v>
      </c>
    </row>
    <row r="8325" spans="1:2" ht="15.75" x14ac:dyDescent="0.25">
      <c r="A8325" s="344" t="s">
        <v>12820</v>
      </c>
      <c r="B8325" s="345" t="s">
        <v>12821</v>
      </c>
    </row>
    <row r="8326" spans="1:2" ht="15.75" x14ac:dyDescent="0.25">
      <c r="A8326" s="344" t="s">
        <v>12822</v>
      </c>
      <c r="B8326" s="345" t="s">
        <v>12823</v>
      </c>
    </row>
    <row r="8327" spans="1:2" ht="15.75" x14ac:dyDescent="0.25">
      <c r="A8327" s="344" t="s">
        <v>12824</v>
      </c>
      <c r="B8327" s="345" t="s">
        <v>12825</v>
      </c>
    </row>
    <row r="8328" spans="1:2" ht="15.75" x14ac:dyDescent="0.25">
      <c r="A8328" s="344" t="s">
        <v>12826</v>
      </c>
      <c r="B8328" s="345" t="s">
        <v>12827</v>
      </c>
    </row>
    <row r="8329" spans="1:2" ht="15.75" x14ac:dyDescent="0.25">
      <c r="A8329" s="344" t="s">
        <v>12828</v>
      </c>
      <c r="B8329" s="345" t="s">
        <v>12829</v>
      </c>
    </row>
    <row r="8330" spans="1:2" ht="15.75" x14ac:dyDescent="0.25">
      <c r="A8330" s="344" t="s">
        <v>12830</v>
      </c>
      <c r="B8330" s="345" t="s">
        <v>12831</v>
      </c>
    </row>
    <row r="8331" spans="1:2" ht="15.75" x14ac:dyDescent="0.25">
      <c r="A8331" s="344" t="s">
        <v>12832</v>
      </c>
      <c r="B8331" s="345" t="s">
        <v>12833</v>
      </c>
    </row>
    <row r="8332" spans="1:2" ht="15.75" x14ac:dyDescent="0.25">
      <c r="A8332" s="344" t="s">
        <v>12834</v>
      </c>
      <c r="B8332" s="345" t="s">
        <v>12835</v>
      </c>
    </row>
    <row r="8333" spans="1:2" ht="15.75" x14ac:dyDescent="0.25">
      <c r="A8333" s="344" t="s">
        <v>12836</v>
      </c>
      <c r="B8333" s="345" t="s">
        <v>12698</v>
      </c>
    </row>
    <row r="8334" spans="1:2" ht="15.75" x14ac:dyDescent="0.25">
      <c r="A8334" s="344" t="s">
        <v>12837</v>
      </c>
      <c r="B8334" s="345" t="s">
        <v>4496</v>
      </c>
    </row>
    <row r="8335" spans="1:2" ht="15.75" x14ac:dyDescent="0.25">
      <c r="A8335" s="344" t="s">
        <v>12838</v>
      </c>
      <c r="B8335" s="345" t="s">
        <v>4497</v>
      </c>
    </row>
    <row r="8336" spans="1:2" ht="15.75" x14ac:dyDescent="0.25">
      <c r="A8336" s="344" t="s">
        <v>1704</v>
      </c>
      <c r="B8336" s="345" t="s">
        <v>1705</v>
      </c>
    </row>
    <row r="8337" spans="1:2" ht="15.75" x14ac:dyDescent="0.25">
      <c r="A8337" s="344" t="s">
        <v>12839</v>
      </c>
      <c r="B8337" s="345" t="s">
        <v>4498</v>
      </c>
    </row>
    <row r="8338" spans="1:2" ht="15.75" x14ac:dyDescent="0.25">
      <c r="A8338" s="344" t="s">
        <v>12840</v>
      </c>
      <c r="B8338" s="345" t="s">
        <v>4499</v>
      </c>
    </row>
    <row r="8339" spans="1:2" ht="15.75" x14ac:dyDescent="0.25">
      <c r="A8339" s="344" t="s">
        <v>12841</v>
      </c>
      <c r="B8339" s="345" t="s">
        <v>4500</v>
      </c>
    </row>
    <row r="8340" spans="1:2" ht="15.75" x14ac:dyDescent="0.25">
      <c r="A8340" s="344" t="s">
        <v>12842</v>
      </c>
      <c r="B8340" s="345" t="s">
        <v>4501</v>
      </c>
    </row>
    <row r="8341" spans="1:2" ht="15.75" x14ac:dyDescent="0.25">
      <c r="A8341" s="344" t="s">
        <v>12843</v>
      </c>
      <c r="B8341" s="345" t="s">
        <v>4502</v>
      </c>
    </row>
    <row r="8342" spans="1:2" ht="15.75" x14ac:dyDescent="0.25">
      <c r="A8342" s="344" t="s">
        <v>12844</v>
      </c>
      <c r="B8342" s="345" t="s">
        <v>4503</v>
      </c>
    </row>
    <row r="8343" spans="1:2" ht="15.75" x14ac:dyDescent="0.25">
      <c r="A8343" s="344" t="s">
        <v>12845</v>
      </c>
      <c r="B8343" s="345" t="s">
        <v>4001</v>
      </c>
    </row>
    <row r="8344" spans="1:2" ht="15.75" x14ac:dyDescent="0.25">
      <c r="A8344" s="344" t="s">
        <v>12846</v>
      </c>
      <c r="B8344" s="345" t="s">
        <v>4504</v>
      </c>
    </row>
    <row r="8345" spans="1:2" ht="15.75" x14ac:dyDescent="0.25">
      <c r="A8345" s="344" t="s">
        <v>12847</v>
      </c>
      <c r="B8345" s="345" t="s">
        <v>12848</v>
      </c>
    </row>
    <row r="8346" spans="1:2" ht="15.75" x14ac:dyDescent="0.25">
      <c r="A8346" s="344" t="s">
        <v>12849</v>
      </c>
      <c r="B8346" s="345" t="s">
        <v>12850</v>
      </c>
    </row>
    <row r="8347" spans="1:2" ht="15.75" x14ac:dyDescent="0.25">
      <c r="A8347" s="344" t="s">
        <v>12851</v>
      </c>
      <c r="B8347" s="345" t="s">
        <v>12852</v>
      </c>
    </row>
    <row r="8348" spans="1:2" ht="15.75" x14ac:dyDescent="0.25">
      <c r="A8348" s="344" t="s">
        <v>1706</v>
      </c>
      <c r="B8348" s="345" t="s">
        <v>1707</v>
      </c>
    </row>
    <row r="8349" spans="1:2" ht="15.75" x14ac:dyDescent="0.25">
      <c r="A8349" s="344" t="s">
        <v>12853</v>
      </c>
      <c r="B8349" s="345" t="s">
        <v>4505</v>
      </c>
    </row>
    <row r="8350" spans="1:2" ht="15.75" x14ac:dyDescent="0.25">
      <c r="A8350" s="344" t="s">
        <v>12854</v>
      </c>
      <c r="B8350" s="345" t="s">
        <v>4506</v>
      </c>
    </row>
    <row r="8351" spans="1:2" ht="15.75" x14ac:dyDescent="0.25">
      <c r="A8351" s="344" t="s">
        <v>12855</v>
      </c>
      <c r="B8351" s="345" t="s">
        <v>4507</v>
      </c>
    </row>
    <row r="8352" spans="1:2" ht="15.75" x14ac:dyDescent="0.25">
      <c r="A8352" s="344" t="s">
        <v>12856</v>
      </c>
      <c r="B8352" s="345" t="s">
        <v>4508</v>
      </c>
    </row>
    <row r="8353" spans="1:2" ht="15.75" x14ac:dyDescent="0.25">
      <c r="A8353" s="344" t="s">
        <v>12857</v>
      </c>
      <c r="B8353" s="345" t="s">
        <v>4509</v>
      </c>
    </row>
    <row r="8354" spans="1:2" ht="15.75" x14ac:dyDescent="0.25">
      <c r="A8354" s="344" t="s">
        <v>12858</v>
      </c>
      <c r="B8354" s="345" t="s">
        <v>4002</v>
      </c>
    </row>
    <row r="8355" spans="1:2" ht="15.75" x14ac:dyDescent="0.25">
      <c r="A8355" s="344" t="s">
        <v>12859</v>
      </c>
      <c r="B8355" s="345" t="s">
        <v>4510</v>
      </c>
    </row>
    <row r="8356" spans="1:2" ht="15.75" x14ac:dyDescent="0.25">
      <c r="A8356" s="344" t="s">
        <v>12860</v>
      </c>
      <c r="B8356" s="345" t="s">
        <v>12861</v>
      </c>
    </row>
    <row r="8357" spans="1:2" ht="15.75" x14ac:dyDescent="0.25">
      <c r="A8357" s="344" t="s">
        <v>12862</v>
      </c>
      <c r="B8357" s="345" t="s">
        <v>4511</v>
      </c>
    </row>
    <row r="8358" spans="1:2" ht="15.75" x14ac:dyDescent="0.25">
      <c r="A8358" s="344" t="s">
        <v>12863</v>
      </c>
      <c r="B8358" s="345" t="s">
        <v>4512</v>
      </c>
    </row>
    <row r="8359" spans="1:2" ht="15.75" x14ac:dyDescent="0.25">
      <c r="A8359" s="344" t="s">
        <v>12864</v>
      </c>
      <c r="B8359" s="345" t="s">
        <v>4513</v>
      </c>
    </row>
    <row r="8360" spans="1:2" ht="15.75" x14ac:dyDescent="0.25">
      <c r="A8360" s="344" t="s">
        <v>1708</v>
      </c>
      <c r="B8360" s="345" t="s">
        <v>1709</v>
      </c>
    </row>
    <row r="8361" spans="1:2" ht="15.75" x14ac:dyDescent="0.25">
      <c r="A8361" s="344" t="s">
        <v>12865</v>
      </c>
      <c r="B8361" s="345" t="s">
        <v>4514</v>
      </c>
    </row>
    <row r="8362" spans="1:2" ht="15.75" x14ac:dyDescent="0.25">
      <c r="A8362" s="344" t="s">
        <v>12866</v>
      </c>
      <c r="B8362" s="345" t="s">
        <v>4514</v>
      </c>
    </row>
    <row r="8363" spans="1:2" ht="15.75" x14ac:dyDescent="0.25">
      <c r="A8363" s="344" t="s">
        <v>12867</v>
      </c>
      <c r="B8363" s="345" t="s">
        <v>4515</v>
      </c>
    </row>
    <row r="8364" spans="1:2" ht="15.75" x14ac:dyDescent="0.25">
      <c r="A8364" s="344" t="s">
        <v>12868</v>
      </c>
      <c r="B8364" s="345" t="s">
        <v>12869</v>
      </c>
    </row>
    <row r="8365" spans="1:2" ht="15.75" x14ac:dyDescent="0.25">
      <c r="A8365" s="344" t="s">
        <v>12870</v>
      </c>
      <c r="B8365" s="345" t="s">
        <v>12871</v>
      </c>
    </row>
    <row r="8366" spans="1:2" ht="15.75" x14ac:dyDescent="0.25">
      <c r="A8366" s="344" t="s">
        <v>1710</v>
      </c>
      <c r="B8366" s="345" t="s">
        <v>1711</v>
      </c>
    </row>
    <row r="8367" spans="1:2" ht="15.75" x14ac:dyDescent="0.25">
      <c r="A8367" s="344" t="s">
        <v>12872</v>
      </c>
      <c r="B8367" s="345" t="s">
        <v>4516</v>
      </c>
    </row>
    <row r="8368" spans="1:2" ht="15.75" x14ac:dyDescent="0.25">
      <c r="A8368" s="344" t="s">
        <v>12873</v>
      </c>
      <c r="B8368" s="345" t="s">
        <v>12874</v>
      </c>
    </row>
    <row r="8369" spans="1:2" ht="15.75" x14ac:dyDescent="0.25">
      <c r="A8369" s="344" t="s">
        <v>12875</v>
      </c>
      <c r="B8369" s="345" t="s">
        <v>4517</v>
      </c>
    </row>
    <row r="8370" spans="1:2" ht="15.75" x14ac:dyDescent="0.25">
      <c r="A8370" s="344" t="s">
        <v>12876</v>
      </c>
      <c r="B8370" s="345" t="s">
        <v>4518</v>
      </c>
    </row>
    <row r="8371" spans="1:2" ht="15.75" x14ac:dyDescent="0.25">
      <c r="A8371" s="344" t="s">
        <v>12877</v>
      </c>
      <c r="B8371" s="345" t="s">
        <v>12878</v>
      </c>
    </row>
    <row r="8372" spans="1:2" ht="15.75" x14ac:dyDescent="0.25">
      <c r="A8372" s="344" t="s">
        <v>12879</v>
      </c>
      <c r="B8372" s="345" t="s">
        <v>4519</v>
      </c>
    </row>
    <row r="8373" spans="1:2" ht="15.75" x14ac:dyDescent="0.25">
      <c r="A8373" s="344" t="s">
        <v>12880</v>
      </c>
      <c r="B8373" s="345" t="s">
        <v>12881</v>
      </c>
    </row>
    <row r="8374" spans="1:2" ht="15.75" x14ac:dyDescent="0.25">
      <c r="A8374" s="344" t="s">
        <v>12882</v>
      </c>
      <c r="B8374" s="345" t="s">
        <v>12883</v>
      </c>
    </row>
    <row r="8375" spans="1:2" ht="15.75" x14ac:dyDescent="0.25">
      <c r="A8375" s="344" t="s">
        <v>12884</v>
      </c>
      <c r="B8375" s="345" t="s">
        <v>4520</v>
      </c>
    </row>
    <row r="8376" spans="1:2" ht="15.75" x14ac:dyDescent="0.25">
      <c r="A8376" s="344" t="s">
        <v>12885</v>
      </c>
      <c r="B8376" s="345" t="s">
        <v>4521</v>
      </c>
    </row>
    <row r="8377" spans="1:2" ht="15.75" x14ac:dyDescent="0.25">
      <c r="A8377" s="344" t="s">
        <v>12886</v>
      </c>
      <c r="B8377" s="345" t="s">
        <v>4522</v>
      </c>
    </row>
    <row r="8378" spans="1:2" ht="15.75" x14ac:dyDescent="0.25">
      <c r="A8378" s="344" t="s">
        <v>12887</v>
      </c>
      <c r="B8378" s="345" t="s">
        <v>4523</v>
      </c>
    </row>
    <row r="8379" spans="1:2" ht="15.75" x14ac:dyDescent="0.25">
      <c r="A8379" s="344" t="s">
        <v>12888</v>
      </c>
      <c r="B8379" s="345" t="s">
        <v>12889</v>
      </c>
    </row>
    <row r="8380" spans="1:2" ht="15.75" x14ac:dyDescent="0.25">
      <c r="A8380" s="344" t="s">
        <v>12890</v>
      </c>
      <c r="B8380" s="345" t="s">
        <v>12891</v>
      </c>
    </row>
    <row r="8381" spans="1:2" ht="15.75" x14ac:dyDescent="0.25">
      <c r="A8381" s="344" t="s">
        <v>12892</v>
      </c>
      <c r="B8381" s="345" t="s">
        <v>12893</v>
      </c>
    </row>
    <row r="8382" spans="1:2" ht="15.75" x14ac:dyDescent="0.25">
      <c r="A8382" s="344" t="s">
        <v>12894</v>
      </c>
      <c r="B8382" s="345" t="s">
        <v>4524</v>
      </c>
    </row>
    <row r="8383" spans="1:2" ht="15.75" x14ac:dyDescent="0.25">
      <c r="A8383" s="344" t="s">
        <v>12895</v>
      </c>
      <c r="B8383" s="345" t="s">
        <v>4525</v>
      </c>
    </row>
    <row r="8384" spans="1:2" ht="15.75" x14ac:dyDescent="0.25">
      <c r="A8384" s="344" t="s">
        <v>12896</v>
      </c>
      <c r="B8384" s="345" t="s">
        <v>12897</v>
      </c>
    </row>
    <row r="8385" spans="1:2" ht="15.75" x14ac:dyDescent="0.25">
      <c r="A8385" s="344" t="s">
        <v>12898</v>
      </c>
      <c r="B8385" s="345" t="s">
        <v>4526</v>
      </c>
    </row>
    <row r="8386" spans="1:2" ht="15.75" x14ac:dyDescent="0.25">
      <c r="A8386" s="344" t="s">
        <v>12899</v>
      </c>
      <c r="B8386" s="345" t="s">
        <v>4527</v>
      </c>
    </row>
    <row r="8387" spans="1:2" ht="15.75" x14ac:dyDescent="0.25">
      <c r="A8387" s="344" t="s">
        <v>12900</v>
      </c>
      <c r="B8387" s="345" t="s">
        <v>4528</v>
      </c>
    </row>
    <row r="8388" spans="1:2" ht="15.75" x14ac:dyDescent="0.25">
      <c r="A8388" s="344" t="s">
        <v>12901</v>
      </c>
      <c r="B8388" s="345" t="s">
        <v>4529</v>
      </c>
    </row>
    <row r="8389" spans="1:2" ht="15.75" x14ac:dyDescent="0.25">
      <c r="A8389" s="344" t="s">
        <v>12902</v>
      </c>
      <c r="B8389" s="345" t="s">
        <v>4530</v>
      </c>
    </row>
    <row r="8390" spans="1:2" ht="15.75" x14ac:dyDescent="0.25">
      <c r="A8390" s="344" t="s">
        <v>12903</v>
      </c>
      <c r="B8390" s="345" t="s">
        <v>4531</v>
      </c>
    </row>
    <row r="8391" spans="1:2" ht="15.75" x14ac:dyDescent="0.25">
      <c r="A8391" s="344" t="s">
        <v>12904</v>
      </c>
      <c r="B8391" s="345" t="s">
        <v>4526</v>
      </c>
    </row>
    <row r="8392" spans="1:2" ht="15.75" x14ac:dyDescent="0.25">
      <c r="A8392" s="344" t="s">
        <v>12905</v>
      </c>
      <c r="B8392" s="345" t="s">
        <v>12906</v>
      </c>
    </row>
    <row r="8393" spans="1:2" ht="15.75" x14ac:dyDescent="0.25">
      <c r="A8393" s="344" t="s">
        <v>12907</v>
      </c>
      <c r="B8393" s="345" t="s">
        <v>4532</v>
      </c>
    </row>
    <row r="8394" spans="1:2" ht="15.75" x14ac:dyDescent="0.25">
      <c r="A8394" s="344" t="s">
        <v>12908</v>
      </c>
      <c r="B8394" s="345" t="s">
        <v>4533</v>
      </c>
    </row>
    <row r="8395" spans="1:2" ht="15.75" x14ac:dyDescent="0.25">
      <c r="A8395" s="344" t="s">
        <v>12909</v>
      </c>
      <c r="B8395" s="345" t="s">
        <v>4534</v>
      </c>
    </row>
    <row r="8396" spans="1:2" ht="15.75" x14ac:dyDescent="0.25">
      <c r="A8396" s="344" t="s">
        <v>12910</v>
      </c>
      <c r="B8396" s="345" t="s">
        <v>4535</v>
      </c>
    </row>
    <row r="8397" spans="1:2" ht="15.75" x14ac:dyDescent="0.25">
      <c r="A8397" s="344" t="s">
        <v>12911</v>
      </c>
      <c r="B8397" s="345" t="s">
        <v>12912</v>
      </c>
    </row>
    <row r="8398" spans="1:2" ht="15.75" x14ac:dyDescent="0.25">
      <c r="A8398" s="344" t="s">
        <v>12913</v>
      </c>
      <c r="B8398" s="345" t="s">
        <v>12914</v>
      </c>
    </row>
    <row r="8399" spans="1:2" ht="15.75" x14ac:dyDescent="0.25">
      <c r="A8399" s="344" t="s">
        <v>12915</v>
      </c>
      <c r="B8399" s="345" t="s">
        <v>2025</v>
      </c>
    </row>
    <row r="8400" spans="1:2" ht="15.75" x14ac:dyDescent="0.25">
      <c r="A8400" s="344" t="s">
        <v>147</v>
      </c>
      <c r="B8400" s="345" t="s">
        <v>148</v>
      </c>
    </row>
    <row r="8401" spans="1:2" ht="15.75" x14ac:dyDescent="0.25">
      <c r="A8401" s="344" t="s">
        <v>12916</v>
      </c>
      <c r="B8401" s="345" t="s">
        <v>12917</v>
      </c>
    </row>
    <row r="8402" spans="1:2" ht="15.75" x14ac:dyDescent="0.25">
      <c r="A8402" s="344" t="s">
        <v>12918</v>
      </c>
      <c r="B8402" s="345" t="s">
        <v>12919</v>
      </c>
    </row>
    <row r="8403" spans="1:2" ht="15.75" x14ac:dyDescent="0.25">
      <c r="A8403" s="344" t="s">
        <v>12920</v>
      </c>
      <c r="B8403" s="345" t="s">
        <v>12921</v>
      </c>
    </row>
    <row r="8404" spans="1:2" ht="15.75" x14ac:dyDescent="0.25">
      <c r="A8404" s="344" t="s">
        <v>12922</v>
      </c>
      <c r="B8404" s="345" t="s">
        <v>12923</v>
      </c>
    </row>
    <row r="8405" spans="1:2" ht="15.75" x14ac:dyDescent="0.25">
      <c r="A8405" s="344" t="s">
        <v>12924</v>
      </c>
      <c r="B8405" s="345" t="s">
        <v>4536</v>
      </c>
    </row>
    <row r="8406" spans="1:2" ht="15.75" x14ac:dyDescent="0.25">
      <c r="A8406" s="344" t="s">
        <v>12925</v>
      </c>
      <c r="B8406" s="345" t="s">
        <v>4537</v>
      </c>
    </row>
    <row r="8407" spans="1:2" ht="15.75" x14ac:dyDescent="0.25">
      <c r="A8407" s="344" t="s">
        <v>12926</v>
      </c>
      <c r="B8407" s="345" t="s">
        <v>4538</v>
      </c>
    </row>
    <row r="8408" spans="1:2" ht="15.75" x14ac:dyDescent="0.25">
      <c r="A8408" s="344" t="s">
        <v>12927</v>
      </c>
      <c r="B8408" s="345" t="s">
        <v>12928</v>
      </c>
    </row>
    <row r="8409" spans="1:2" ht="15.75" x14ac:dyDescent="0.25">
      <c r="A8409" s="344" t="s">
        <v>12929</v>
      </c>
      <c r="B8409" s="345" t="s">
        <v>4539</v>
      </c>
    </row>
    <row r="8410" spans="1:2" ht="15.75" x14ac:dyDescent="0.25">
      <c r="A8410" s="344" t="s">
        <v>12930</v>
      </c>
      <c r="B8410" s="345" t="s">
        <v>12931</v>
      </c>
    </row>
    <row r="8411" spans="1:2" ht="15.75" x14ac:dyDescent="0.25">
      <c r="A8411" s="344" t="s">
        <v>12932</v>
      </c>
      <c r="B8411" s="345" t="s">
        <v>4540</v>
      </c>
    </row>
    <row r="8412" spans="1:2" ht="15.75" x14ac:dyDescent="0.25">
      <c r="A8412" s="344" t="s">
        <v>12933</v>
      </c>
      <c r="B8412" s="345" t="s">
        <v>12934</v>
      </c>
    </row>
    <row r="8413" spans="1:2" ht="15.75" x14ac:dyDescent="0.25">
      <c r="A8413" s="344" t="s">
        <v>12935</v>
      </c>
      <c r="B8413" s="345" t="s">
        <v>4541</v>
      </c>
    </row>
    <row r="8414" spans="1:2" ht="15.75" x14ac:dyDescent="0.25">
      <c r="A8414" s="344" t="s">
        <v>12936</v>
      </c>
      <c r="B8414" s="345" t="s">
        <v>12937</v>
      </c>
    </row>
    <row r="8415" spans="1:2" ht="15.75" x14ac:dyDescent="0.25">
      <c r="A8415" s="344" t="s">
        <v>150</v>
      </c>
      <c r="B8415" s="345" t="s">
        <v>4542</v>
      </c>
    </row>
    <row r="8416" spans="1:2" ht="15.75" x14ac:dyDescent="0.25">
      <c r="A8416" s="344" t="s">
        <v>12938</v>
      </c>
      <c r="B8416" s="345" t="s">
        <v>4543</v>
      </c>
    </row>
    <row r="8417" spans="1:2" ht="15.75" x14ac:dyDescent="0.25">
      <c r="A8417" s="344" t="s">
        <v>12939</v>
      </c>
      <c r="B8417" s="345" t="s">
        <v>4544</v>
      </c>
    </row>
    <row r="8418" spans="1:2" ht="15.75" x14ac:dyDescent="0.25">
      <c r="A8418" s="344" t="s">
        <v>12940</v>
      </c>
      <c r="B8418" s="345" t="s">
        <v>4545</v>
      </c>
    </row>
    <row r="8419" spans="1:2" ht="15.75" x14ac:dyDescent="0.25">
      <c r="A8419" s="344" t="s">
        <v>12941</v>
      </c>
      <c r="B8419" s="345" t="s">
        <v>12942</v>
      </c>
    </row>
    <row r="8420" spans="1:2" ht="15.75" x14ac:dyDescent="0.25">
      <c r="A8420" s="344" t="s">
        <v>12943</v>
      </c>
      <c r="B8420" s="345" t="s">
        <v>12944</v>
      </c>
    </row>
    <row r="8421" spans="1:2" ht="15.75" x14ac:dyDescent="0.25">
      <c r="A8421" s="344" t="s">
        <v>12945</v>
      </c>
      <c r="B8421" s="345" t="s">
        <v>12946</v>
      </c>
    </row>
    <row r="8422" spans="1:2" ht="15.75" x14ac:dyDescent="0.25">
      <c r="A8422" s="344" t="s">
        <v>12947</v>
      </c>
      <c r="B8422" s="345" t="s">
        <v>4546</v>
      </c>
    </row>
    <row r="8423" spans="1:2" ht="15.75" x14ac:dyDescent="0.25">
      <c r="A8423" s="344" t="s">
        <v>12948</v>
      </c>
      <c r="B8423" s="345" t="s">
        <v>12949</v>
      </c>
    </row>
    <row r="8424" spans="1:2" ht="15.75" x14ac:dyDescent="0.25">
      <c r="A8424" s="344" t="s">
        <v>12950</v>
      </c>
      <c r="B8424" s="345" t="s">
        <v>2026</v>
      </c>
    </row>
    <row r="8425" spans="1:2" ht="15.75" x14ac:dyDescent="0.25">
      <c r="A8425" s="344" t="s">
        <v>246</v>
      </c>
      <c r="B8425" s="345" t="s">
        <v>4547</v>
      </c>
    </row>
    <row r="8426" spans="1:2" ht="15.75" x14ac:dyDescent="0.25">
      <c r="A8426" s="344" t="s">
        <v>12951</v>
      </c>
      <c r="B8426" s="345" t="s">
        <v>12952</v>
      </c>
    </row>
    <row r="8427" spans="1:2" ht="15.75" x14ac:dyDescent="0.25">
      <c r="A8427" s="344" t="s">
        <v>12953</v>
      </c>
      <c r="B8427" s="345" t="s">
        <v>12954</v>
      </c>
    </row>
    <row r="8428" spans="1:2" ht="15.75" x14ac:dyDescent="0.25">
      <c r="A8428" s="344" t="s">
        <v>12955</v>
      </c>
      <c r="B8428" s="345" t="s">
        <v>4548</v>
      </c>
    </row>
    <row r="8429" spans="1:2" ht="15.75" x14ac:dyDescent="0.25">
      <c r="A8429" s="344" t="s">
        <v>12956</v>
      </c>
      <c r="B8429" s="345" t="s">
        <v>4549</v>
      </c>
    </row>
    <row r="8430" spans="1:2" ht="15.75" x14ac:dyDescent="0.25">
      <c r="A8430" s="344" t="s">
        <v>12957</v>
      </c>
      <c r="B8430" s="345" t="s">
        <v>4550</v>
      </c>
    </row>
    <row r="8431" spans="1:2" ht="15.75" x14ac:dyDescent="0.25">
      <c r="A8431" s="344" t="s">
        <v>12958</v>
      </c>
      <c r="B8431" s="345" t="s">
        <v>4551</v>
      </c>
    </row>
    <row r="8432" spans="1:2" ht="15.75" x14ac:dyDescent="0.25">
      <c r="A8432" s="344" t="s">
        <v>12959</v>
      </c>
      <c r="B8432" s="345" t="s">
        <v>4552</v>
      </c>
    </row>
    <row r="8433" spans="1:2" ht="15.75" x14ac:dyDescent="0.25">
      <c r="A8433" s="344" t="s">
        <v>12960</v>
      </c>
      <c r="B8433" s="345" t="s">
        <v>4553</v>
      </c>
    </row>
    <row r="8434" spans="1:2" ht="15.75" x14ac:dyDescent="0.25">
      <c r="A8434" s="344" t="s">
        <v>12961</v>
      </c>
      <c r="B8434" s="345" t="s">
        <v>4554</v>
      </c>
    </row>
    <row r="8435" spans="1:2" ht="15.75" x14ac:dyDescent="0.25">
      <c r="A8435" s="344" t="s">
        <v>12962</v>
      </c>
      <c r="B8435" s="345" t="s">
        <v>4555</v>
      </c>
    </row>
    <row r="8436" spans="1:2" ht="15.75" x14ac:dyDescent="0.25">
      <c r="A8436" s="344" t="s">
        <v>12963</v>
      </c>
      <c r="B8436" s="345" t="s">
        <v>4556</v>
      </c>
    </row>
    <row r="8437" spans="1:2" ht="15.75" x14ac:dyDescent="0.25">
      <c r="A8437" s="344" t="s">
        <v>12964</v>
      </c>
      <c r="B8437" s="345" t="s">
        <v>4557</v>
      </c>
    </row>
    <row r="8438" spans="1:2" ht="15.75" x14ac:dyDescent="0.25">
      <c r="A8438" s="344" t="s">
        <v>12965</v>
      </c>
      <c r="B8438" s="345" t="s">
        <v>4558</v>
      </c>
    </row>
    <row r="8439" spans="1:2" ht="15.75" x14ac:dyDescent="0.25">
      <c r="A8439" s="344" t="s">
        <v>12966</v>
      </c>
      <c r="B8439" s="345" t="s">
        <v>4559</v>
      </c>
    </row>
    <row r="8440" spans="1:2" ht="15.75" x14ac:dyDescent="0.25">
      <c r="A8440" s="344" t="s">
        <v>12967</v>
      </c>
      <c r="B8440" s="345" t="s">
        <v>4560</v>
      </c>
    </row>
    <row r="8441" spans="1:2" ht="15.75" x14ac:dyDescent="0.25">
      <c r="A8441" s="344" t="s">
        <v>12968</v>
      </c>
      <c r="B8441" s="345" t="s">
        <v>4561</v>
      </c>
    </row>
    <row r="8442" spans="1:2" ht="15.75" x14ac:dyDescent="0.25">
      <c r="A8442" s="344" t="s">
        <v>12969</v>
      </c>
      <c r="B8442" s="345" t="s">
        <v>12970</v>
      </c>
    </row>
    <row r="8443" spans="1:2" ht="15.75" x14ac:dyDescent="0.25">
      <c r="A8443" s="344" t="s">
        <v>12971</v>
      </c>
      <c r="B8443" s="345" t="s">
        <v>12972</v>
      </c>
    </row>
    <row r="8444" spans="1:2" ht="15.75" x14ac:dyDescent="0.25">
      <c r="A8444" s="344" t="s">
        <v>12973</v>
      </c>
      <c r="B8444" s="345" t="s">
        <v>12974</v>
      </c>
    </row>
    <row r="8445" spans="1:2" ht="15.75" x14ac:dyDescent="0.25">
      <c r="A8445" s="344" t="s">
        <v>12975</v>
      </c>
      <c r="B8445" s="345" t="s">
        <v>12976</v>
      </c>
    </row>
    <row r="8446" spans="1:2" ht="15.75" x14ac:dyDescent="0.25">
      <c r="A8446" s="344" t="s">
        <v>12977</v>
      </c>
      <c r="B8446" s="345" t="s">
        <v>12978</v>
      </c>
    </row>
    <row r="8447" spans="1:2" ht="15.75" x14ac:dyDescent="0.25">
      <c r="A8447" s="344" t="s">
        <v>12979</v>
      </c>
      <c r="B8447" s="345" t="s">
        <v>12980</v>
      </c>
    </row>
    <row r="8448" spans="1:2" ht="15.75" x14ac:dyDescent="0.25">
      <c r="A8448" s="344" t="s">
        <v>12981</v>
      </c>
      <c r="B8448" s="345" t="s">
        <v>12982</v>
      </c>
    </row>
    <row r="8449" spans="1:2" ht="15.75" x14ac:dyDescent="0.25">
      <c r="A8449" s="344" t="s">
        <v>12983</v>
      </c>
      <c r="B8449" s="345" t="s">
        <v>12984</v>
      </c>
    </row>
    <row r="8450" spans="1:2" ht="15.75" x14ac:dyDescent="0.25">
      <c r="A8450" s="344" t="s">
        <v>12985</v>
      </c>
      <c r="B8450" s="345" t="s">
        <v>12986</v>
      </c>
    </row>
    <row r="8451" spans="1:2" ht="15.75" x14ac:dyDescent="0.25">
      <c r="A8451" s="344" t="s">
        <v>12987</v>
      </c>
      <c r="B8451" s="345" t="s">
        <v>12988</v>
      </c>
    </row>
    <row r="8452" spans="1:2" ht="15.75" x14ac:dyDescent="0.25">
      <c r="A8452" s="344" t="s">
        <v>12989</v>
      </c>
      <c r="B8452" s="345" t="s">
        <v>12990</v>
      </c>
    </row>
    <row r="8453" spans="1:2" ht="15.75" x14ac:dyDescent="0.25">
      <c r="A8453" s="344" t="s">
        <v>12991</v>
      </c>
      <c r="B8453" s="345" t="s">
        <v>12992</v>
      </c>
    </row>
    <row r="8454" spans="1:2" ht="15.75" x14ac:dyDescent="0.25">
      <c r="A8454" s="344" t="s">
        <v>12993</v>
      </c>
      <c r="B8454" s="345" t="s">
        <v>12994</v>
      </c>
    </row>
    <row r="8455" spans="1:2" ht="15.75" x14ac:dyDescent="0.25">
      <c r="A8455" s="344" t="s">
        <v>12995</v>
      </c>
      <c r="B8455" s="345" t="s">
        <v>12996</v>
      </c>
    </row>
    <row r="8456" spans="1:2" ht="15.75" x14ac:dyDescent="0.25">
      <c r="A8456" s="344" t="s">
        <v>12997</v>
      </c>
      <c r="B8456" s="345" t="s">
        <v>12998</v>
      </c>
    </row>
    <row r="8457" spans="1:2" ht="15.75" x14ac:dyDescent="0.25">
      <c r="A8457" s="344" t="s">
        <v>12999</v>
      </c>
      <c r="B8457" s="345" t="s">
        <v>13000</v>
      </c>
    </row>
    <row r="8458" spans="1:2" ht="15.75" x14ac:dyDescent="0.25">
      <c r="A8458" s="344" t="s">
        <v>13001</v>
      </c>
      <c r="B8458" s="345" t="s">
        <v>13002</v>
      </c>
    </row>
    <row r="8459" spans="1:2" ht="15.75" x14ac:dyDescent="0.25">
      <c r="A8459" s="344" t="s">
        <v>13003</v>
      </c>
      <c r="B8459" s="345" t="s">
        <v>13004</v>
      </c>
    </row>
    <row r="8460" spans="1:2" ht="15.75" x14ac:dyDescent="0.25">
      <c r="A8460" s="344" t="s">
        <v>13005</v>
      </c>
      <c r="B8460" s="345" t="s">
        <v>13006</v>
      </c>
    </row>
    <row r="8461" spans="1:2" ht="15.75" x14ac:dyDescent="0.25">
      <c r="A8461" s="344" t="s">
        <v>13007</v>
      </c>
      <c r="B8461" s="345" t="s">
        <v>13008</v>
      </c>
    </row>
    <row r="8462" spans="1:2" ht="15.75" x14ac:dyDescent="0.25">
      <c r="A8462" s="344" t="s">
        <v>13009</v>
      </c>
      <c r="B8462" s="345" t="s">
        <v>13010</v>
      </c>
    </row>
    <row r="8463" spans="1:2" ht="15.75" x14ac:dyDescent="0.25">
      <c r="A8463" s="344" t="s">
        <v>13011</v>
      </c>
      <c r="B8463" s="345" t="s">
        <v>13012</v>
      </c>
    </row>
    <row r="8464" spans="1:2" ht="15.75" x14ac:dyDescent="0.25">
      <c r="A8464" s="344" t="s">
        <v>13013</v>
      </c>
      <c r="B8464" s="345" t="s">
        <v>13014</v>
      </c>
    </row>
    <row r="8465" spans="1:2" ht="15.75" x14ac:dyDescent="0.25">
      <c r="A8465" s="344" t="s">
        <v>13015</v>
      </c>
      <c r="B8465" s="345" t="s">
        <v>13016</v>
      </c>
    </row>
    <row r="8466" spans="1:2" ht="15.75" x14ac:dyDescent="0.25">
      <c r="A8466" s="344" t="s">
        <v>13017</v>
      </c>
      <c r="B8466" s="345" t="s">
        <v>4794</v>
      </c>
    </row>
    <row r="8467" spans="1:2" ht="15.75" x14ac:dyDescent="0.25">
      <c r="A8467" s="344" t="s">
        <v>13018</v>
      </c>
      <c r="B8467" s="345" t="s">
        <v>13019</v>
      </c>
    </row>
    <row r="8468" spans="1:2" ht="15.75" x14ac:dyDescent="0.25">
      <c r="A8468" s="344" t="s">
        <v>13020</v>
      </c>
      <c r="B8468" s="345" t="s">
        <v>4773</v>
      </c>
    </row>
    <row r="8469" spans="1:2" ht="15.75" x14ac:dyDescent="0.25">
      <c r="A8469" s="344" t="s">
        <v>13021</v>
      </c>
      <c r="B8469" s="345" t="s">
        <v>13022</v>
      </c>
    </row>
    <row r="8470" spans="1:2" ht="15.75" x14ac:dyDescent="0.25">
      <c r="A8470" s="344" t="s">
        <v>13023</v>
      </c>
      <c r="B8470" s="345" t="s">
        <v>13024</v>
      </c>
    </row>
    <row r="8471" spans="1:2" ht="15.75" x14ac:dyDescent="0.25">
      <c r="A8471" s="344" t="s">
        <v>13025</v>
      </c>
      <c r="B8471" s="345" t="s">
        <v>12731</v>
      </c>
    </row>
    <row r="8472" spans="1:2" ht="15.75" x14ac:dyDescent="0.25">
      <c r="A8472" s="344" t="s">
        <v>13026</v>
      </c>
      <c r="B8472" s="345" t="s">
        <v>13027</v>
      </c>
    </row>
    <row r="8473" spans="1:2" ht="15.75" x14ac:dyDescent="0.25">
      <c r="A8473" s="344" t="s">
        <v>13028</v>
      </c>
      <c r="B8473" s="345" t="s">
        <v>13029</v>
      </c>
    </row>
    <row r="8474" spans="1:2" ht="15.75" x14ac:dyDescent="0.25">
      <c r="A8474" s="344" t="s">
        <v>13030</v>
      </c>
      <c r="B8474" s="345" t="s">
        <v>13031</v>
      </c>
    </row>
    <row r="8475" spans="1:2" ht="15.75" x14ac:dyDescent="0.25">
      <c r="A8475" s="344" t="s">
        <v>13032</v>
      </c>
      <c r="B8475" s="345" t="s">
        <v>12400</v>
      </c>
    </row>
    <row r="8476" spans="1:2" ht="15.75" x14ac:dyDescent="0.25">
      <c r="A8476" s="344" t="s">
        <v>13033</v>
      </c>
      <c r="B8476" s="345" t="s">
        <v>13034</v>
      </c>
    </row>
    <row r="8477" spans="1:2" ht="15.75" x14ac:dyDescent="0.25">
      <c r="A8477" s="344" t="s">
        <v>13035</v>
      </c>
      <c r="B8477" s="345" t="s">
        <v>13036</v>
      </c>
    </row>
    <row r="8478" spans="1:2" ht="15.75" x14ac:dyDescent="0.25">
      <c r="A8478" s="344" t="s">
        <v>13037</v>
      </c>
      <c r="B8478" s="345" t="s">
        <v>13038</v>
      </c>
    </row>
    <row r="8479" spans="1:2" ht="15.75" x14ac:dyDescent="0.25">
      <c r="A8479" s="344" t="s">
        <v>13039</v>
      </c>
      <c r="B8479" s="345" t="s">
        <v>13040</v>
      </c>
    </row>
    <row r="8480" spans="1:2" ht="15.75" x14ac:dyDescent="0.25">
      <c r="A8480" s="344" t="s">
        <v>13041</v>
      </c>
      <c r="B8480" s="345" t="s">
        <v>13042</v>
      </c>
    </row>
    <row r="8481" spans="1:2" ht="15.75" x14ac:dyDescent="0.25">
      <c r="A8481" s="344" t="s">
        <v>13043</v>
      </c>
      <c r="B8481" s="345" t="s">
        <v>13044</v>
      </c>
    </row>
    <row r="8482" spans="1:2" ht="15.75" x14ac:dyDescent="0.25">
      <c r="A8482" s="344" t="s">
        <v>13045</v>
      </c>
      <c r="B8482" s="345" t="s">
        <v>13046</v>
      </c>
    </row>
    <row r="8483" spans="1:2" ht="15.75" x14ac:dyDescent="0.25">
      <c r="A8483" s="344" t="s">
        <v>13047</v>
      </c>
      <c r="B8483" s="345" t="s">
        <v>13048</v>
      </c>
    </row>
    <row r="8484" spans="1:2" ht="15.75" x14ac:dyDescent="0.25">
      <c r="A8484" s="344" t="s">
        <v>13049</v>
      </c>
      <c r="B8484" s="345" t="s">
        <v>4527</v>
      </c>
    </row>
    <row r="8485" spans="1:2" ht="15.75" x14ac:dyDescent="0.25">
      <c r="A8485" s="344" t="s">
        <v>13050</v>
      </c>
      <c r="B8485" s="345" t="s">
        <v>13051</v>
      </c>
    </row>
    <row r="8486" spans="1:2" ht="15.75" x14ac:dyDescent="0.25">
      <c r="A8486" s="344" t="s">
        <v>13052</v>
      </c>
      <c r="B8486" s="345" t="s">
        <v>13053</v>
      </c>
    </row>
    <row r="8487" spans="1:2" ht="15.75" x14ac:dyDescent="0.25">
      <c r="A8487" s="344" t="s">
        <v>13054</v>
      </c>
      <c r="B8487" s="345" t="s">
        <v>13055</v>
      </c>
    </row>
    <row r="8488" spans="1:2" ht="15.75" x14ac:dyDescent="0.25">
      <c r="A8488" s="344" t="s">
        <v>13056</v>
      </c>
      <c r="B8488" s="345" t="s">
        <v>13057</v>
      </c>
    </row>
    <row r="8489" spans="1:2" ht="15.75" x14ac:dyDescent="0.25">
      <c r="A8489" s="344" t="s">
        <v>13058</v>
      </c>
      <c r="B8489" s="345" t="s">
        <v>13059</v>
      </c>
    </row>
    <row r="8490" spans="1:2" ht="15.75" x14ac:dyDescent="0.25">
      <c r="A8490" s="344" t="s">
        <v>13060</v>
      </c>
      <c r="B8490" s="345" t="s">
        <v>13061</v>
      </c>
    </row>
    <row r="8491" spans="1:2" ht="15.75" x14ac:dyDescent="0.25">
      <c r="A8491" s="344" t="s">
        <v>13062</v>
      </c>
      <c r="B8491" s="345" t="s">
        <v>13063</v>
      </c>
    </row>
    <row r="8492" spans="1:2" ht="15.75" x14ac:dyDescent="0.25">
      <c r="A8492" s="344" t="s">
        <v>13064</v>
      </c>
      <c r="B8492" s="345" t="s">
        <v>13065</v>
      </c>
    </row>
    <row r="8493" spans="1:2" ht="15.75" x14ac:dyDescent="0.25">
      <c r="A8493" s="344" t="s">
        <v>13066</v>
      </c>
      <c r="B8493" s="345" t="s">
        <v>13067</v>
      </c>
    </row>
    <row r="8494" spans="1:2" ht="15.75" x14ac:dyDescent="0.25">
      <c r="A8494" s="344" t="s">
        <v>13068</v>
      </c>
      <c r="B8494" s="345" t="s">
        <v>4562</v>
      </c>
    </row>
    <row r="8495" spans="1:2" ht="15.75" x14ac:dyDescent="0.25">
      <c r="A8495" s="344" t="s">
        <v>13069</v>
      </c>
      <c r="B8495" s="345" t="s">
        <v>4563</v>
      </c>
    </row>
    <row r="8496" spans="1:2" ht="15.75" x14ac:dyDescent="0.25">
      <c r="A8496" s="344" t="s">
        <v>13070</v>
      </c>
      <c r="B8496" s="345" t="s">
        <v>4564</v>
      </c>
    </row>
    <row r="8497" spans="1:2" ht="15.75" x14ac:dyDescent="0.25">
      <c r="A8497" s="344" t="s">
        <v>13071</v>
      </c>
      <c r="B8497" s="345" t="s">
        <v>4565</v>
      </c>
    </row>
    <row r="8498" spans="1:2" ht="15.75" x14ac:dyDescent="0.25">
      <c r="A8498" s="344" t="s">
        <v>13072</v>
      </c>
      <c r="B8498" s="345" t="s">
        <v>4566</v>
      </c>
    </row>
    <row r="8499" spans="1:2" ht="15.75" x14ac:dyDescent="0.25">
      <c r="A8499" s="344" t="s">
        <v>13073</v>
      </c>
      <c r="B8499" s="345" t="s">
        <v>4567</v>
      </c>
    </row>
    <row r="8500" spans="1:2" ht="15.75" x14ac:dyDescent="0.25">
      <c r="A8500" s="344" t="s">
        <v>13074</v>
      </c>
      <c r="B8500" s="345" t="s">
        <v>4568</v>
      </c>
    </row>
    <row r="8501" spans="1:2" ht="15.75" x14ac:dyDescent="0.25">
      <c r="A8501" s="344" t="s">
        <v>13075</v>
      </c>
      <c r="B8501" s="345" t="s">
        <v>4569</v>
      </c>
    </row>
    <row r="8502" spans="1:2" ht="15.75" x14ac:dyDescent="0.25">
      <c r="A8502" s="344" t="s">
        <v>13076</v>
      </c>
      <c r="B8502" s="345" t="s">
        <v>4570</v>
      </c>
    </row>
    <row r="8503" spans="1:2" ht="15.75" x14ac:dyDescent="0.25">
      <c r="A8503" s="344" t="s">
        <v>13077</v>
      </c>
      <c r="B8503" s="345" t="s">
        <v>4571</v>
      </c>
    </row>
    <row r="8504" spans="1:2" ht="15.75" x14ac:dyDescent="0.25">
      <c r="A8504" s="344" t="s">
        <v>13078</v>
      </c>
      <c r="B8504" s="345" t="s">
        <v>4572</v>
      </c>
    </row>
    <row r="8505" spans="1:2" ht="15.75" x14ac:dyDescent="0.25">
      <c r="A8505" s="344" t="s">
        <v>13079</v>
      </c>
      <c r="B8505" s="345" t="s">
        <v>4573</v>
      </c>
    </row>
    <row r="8506" spans="1:2" ht="15.75" x14ac:dyDescent="0.25">
      <c r="A8506" s="344" t="s">
        <v>13080</v>
      </c>
      <c r="B8506" s="345" t="s">
        <v>4574</v>
      </c>
    </row>
    <row r="8507" spans="1:2" ht="15.75" x14ac:dyDescent="0.25">
      <c r="A8507" s="344" t="s">
        <v>13081</v>
      </c>
      <c r="B8507" s="345" t="s">
        <v>4575</v>
      </c>
    </row>
    <row r="8508" spans="1:2" ht="15.75" x14ac:dyDescent="0.25">
      <c r="A8508" s="344" t="s">
        <v>13082</v>
      </c>
      <c r="B8508" s="345" t="s">
        <v>4576</v>
      </c>
    </row>
    <row r="8509" spans="1:2" ht="15.75" x14ac:dyDescent="0.25">
      <c r="A8509" s="344" t="s">
        <v>13083</v>
      </c>
      <c r="B8509" s="345" t="s">
        <v>4577</v>
      </c>
    </row>
    <row r="8510" spans="1:2" ht="15.75" x14ac:dyDescent="0.25">
      <c r="A8510" s="344" t="s">
        <v>13084</v>
      </c>
      <c r="B8510" s="345" t="s">
        <v>4578</v>
      </c>
    </row>
    <row r="8511" spans="1:2" ht="15.75" x14ac:dyDescent="0.25">
      <c r="A8511" s="344" t="s">
        <v>13085</v>
      </c>
      <c r="B8511" s="345" t="s">
        <v>4579</v>
      </c>
    </row>
    <row r="8512" spans="1:2" ht="15.75" x14ac:dyDescent="0.25">
      <c r="A8512" s="344" t="s">
        <v>13086</v>
      </c>
      <c r="B8512" s="345" t="s">
        <v>4580</v>
      </c>
    </row>
    <row r="8513" spans="1:2" ht="15.75" x14ac:dyDescent="0.25">
      <c r="A8513" s="344" t="s">
        <v>13087</v>
      </c>
      <c r="B8513" s="345" t="s">
        <v>4581</v>
      </c>
    </row>
    <row r="8514" spans="1:2" ht="15.75" x14ac:dyDescent="0.25">
      <c r="A8514" s="344" t="s">
        <v>13088</v>
      </c>
      <c r="B8514" s="345" t="s">
        <v>4582</v>
      </c>
    </row>
    <row r="8515" spans="1:2" ht="15.75" x14ac:dyDescent="0.25">
      <c r="A8515" s="344" t="s">
        <v>13089</v>
      </c>
      <c r="B8515" s="345" t="s">
        <v>4583</v>
      </c>
    </row>
    <row r="8516" spans="1:2" ht="15.75" x14ac:dyDescent="0.25">
      <c r="A8516" s="344" t="s">
        <v>13090</v>
      </c>
      <c r="B8516" s="345" t="s">
        <v>4584</v>
      </c>
    </row>
    <row r="8517" spans="1:2" ht="15.75" x14ac:dyDescent="0.25">
      <c r="A8517" s="344" t="s">
        <v>13091</v>
      </c>
      <c r="B8517" s="345" t="s">
        <v>13092</v>
      </c>
    </row>
    <row r="8518" spans="1:2" ht="15.75" x14ac:dyDescent="0.25">
      <c r="A8518" s="344" t="s">
        <v>13093</v>
      </c>
      <c r="B8518" s="345" t="s">
        <v>4585</v>
      </c>
    </row>
    <row r="8519" spans="1:2" ht="15.75" x14ac:dyDescent="0.25">
      <c r="A8519" s="344" t="s">
        <v>13094</v>
      </c>
      <c r="B8519" s="345" t="s">
        <v>4586</v>
      </c>
    </row>
    <row r="8520" spans="1:2" ht="15.75" x14ac:dyDescent="0.25">
      <c r="A8520" s="344" t="s">
        <v>13095</v>
      </c>
      <c r="B8520" s="345" t="s">
        <v>4587</v>
      </c>
    </row>
    <row r="8521" spans="1:2" ht="15.75" x14ac:dyDescent="0.25">
      <c r="A8521" s="344" t="s">
        <v>13096</v>
      </c>
      <c r="B8521" s="345" t="s">
        <v>4588</v>
      </c>
    </row>
    <row r="8522" spans="1:2" ht="15.75" x14ac:dyDescent="0.25">
      <c r="A8522" s="344" t="s">
        <v>13097</v>
      </c>
      <c r="B8522" s="345" t="s">
        <v>4589</v>
      </c>
    </row>
    <row r="8523" spans="1:2" ht="15.75" x14ac:dyDescent="0.25">
      <c r="A8523" s="344" t="s">
        <v>13098</v>
      </c>
      <c r="B8523" s="345" t="s">
        <v>4590</v>
      </c>
    </row>
    <row r="8524" spans="1:2" ht="15.75" x14ac:dyDescent="0.25">
      <c r="A8524" s="344" t="s">
        <v>13099</v>
      </c>
      <c r="B8524" s="345" t="s">
        <v>4591</v>
      </c>
    </row>
    <row r="8525" spans="1:2" ht="15.75" x14ac:dyDescent="0.25">
      <c r="A8525" s="344" t="s">
        <v>13100</v>
      </c>
      <c r="B8525" s="345" t="s">
        <v>4592</v>
      </c>
    </row>
    <row r="8526" spans="1:2" ht="15.75" x14ac:dyDescent="0.25">
      <c r="A8526" s="344" t="s">
        <v>13101</v>
      </c>
      <c r="B8526" s="345" t="s">
        <v>4593</v>
      </c>
    </row>
    <row r="8527" spans="1:2" ht="15.75" x14ac:dyDescent="0.25">
      <c r="A8527" s="344" t="s">
        <v>13102</v>
      </c>
      <c r="B8527" s="345" t="s">
        <v>4594</v>
      </c>
    </row>
    <row r="8528" spans="1:2" ht="15.75" x14ac:dyDescent="0.25">
      <c r="A8528" s="344" t="s">
        <v>13103</v>
      </c>
      <c r="B8528" s="345" t="s">
        <v>4595</v>
      </c>
    </row>
    <row r="8529" spans="1:2" ht="15.75" x14ac:dyDescent="0.25">
      <c r="A8529" s="344" t="s">
        <v>13104</v>
      </c>
      <c r="B8529" s="345" t="s">
        <v>4596</v>
      </c>
    </row>
    <row r="8530" spans="1:2" ht="15.75" x14ac:dyDescent="0.25">
      <c r="A8530" s="344" t="s">
        <v>13105</v>
      </c>
      <c r="B8530" s="345" t="s">
        <v>4597</v>
      </c>
    </row>
    <row r="8531" spans="1:2" ht="15.75" x14ac:dyDescent="0.25">
      <c r="A8531" s="344" t="s">
        <v>13106</v>
      </c>
      <c r="B8531" s="345" t="s">
        <v>4598</v>
      </c>
    </row>
    <row r="8532" spans="1:2" ht="15.75" x14ac:dyDescent="0.25">
      <c r="A8532" s="344" t="s">
        <v>13107</v>
      </c>
      <c r="B8532" s="345" t="s">
        <v>4599</v>
      </c>
    </row>
    <row r="8533" spans="1:2" ht="15.75" x14ac:dyDescent="0.25">
      <c r="A8533" s="344" t="s">
        <v>13108</v>
      </c>
      <c r="B8533" s="345" t="s">
        <v>4600</v>
      </c>
    </row>
    <row r="8534" spans="1:2" ht="15.75" x14ac:dyDescent="0.25">
      <c r="A8534" s="344" t="s">
        <v>13109</v>
      </c>
      <c r="B8534" s="345" t="s">
        <v>4601</v>
      </c>
    </row>
    <row r="8535" spans="1:2" ht="15.75" x14ac:dyDescent="0.25">
      <c r="A8535" s="344" t="s">
        <v>13110</v>
      </c>
      <c r="B8535" s="345" t="s">
        <v>4602</v>
      </c>
    </row>
    <row r="8536" spans="1:2" ht="15.75" x14ac:dyDescent="0.25">
      <c r="A8536" s="344" t="s">
        <v>13111</v>
      </c>
      <c r="B8536" s="345" t="s">
        <v>4603</v>
      </c>
    </row>
    <row r="8537" spans="1:2" ht="15.75" x14ac:dyDescent="0.25">
      <c r="A8537" s="344" t="s">
        <v>13112</v>
      </c>
      <c r="B8537" s="345" t="s">
        <v>4604</v>
      </c>
    </row>
    <row r="8538" spans="1:2" ht="15.75" x14ac:dyDescent="0.25">
      <c r="A8538" s="344" t="s">
        <v>13113</v>
      </c>
      <c r="B8538" s="345" t="s">
        <v>4605</v>
      </c>
    </row>
    <row r="8539" spans="1:2" ht="15.75" x14ac:dyDescent="0.25">
      <c r="A8539" s="344" t="s">
        <v>13114</v>
      </c>
      <c r="B8539" s="345" t="s">
        <v>4606</v>
      </c>
    </row>
    <row r="8540" spans="1:2" ht="15.75" x14ac:dyDescent="0.25">
      <c r="A8540" s="344" t="s">
        <v>13115</v>
      </c>
      <c r="B8540" s="345" t="s">
        <v>4607</v>
      </c>
    </row>
    <row r="8541" spans="1:2" ht="15.75" x14ac:dyDescent="0.25">
      <c r="A8541" s="344" t="s">
        <v>13116</v>
      </c>
      <c r="B8541" s="345" t="s">
        <v>13117</v>
      </c>
    </row>
    <row r="8542" spans="1:2" ht="15.75" x14ac:dyDescent="0.25">
      <c r="A8542" s="344" t="s">
        <v>13118</v>
      </c>
      <c r="B8542" s="345" t="s">
        <v>4608</v>
      </c>
    </row>
    <row r="8543" spans="1:2" ht="15.75" x14ac:dyDescent="0.25">
      <c r="A8543" s="344" t="s">
        <v>13119</v>
      </c>
      <c r="B8543" s="345" t="s">
        <v>4609</v>
      </c>
    </row>
    <row r="8544" spans="1:2" ht="15.75" x14ac:dyDescent="0.25">
      <c r="A8544" s="344" t="s">
        <v>13120</v>
      </c>
      <c r="B8544" s="345" t="s">
        <v>4610</v>
      </c>
    </row>
    <row r="8545" spans="1:2" ht="15.75" x14ac:dyDescent="0.25">
      <c r="A8545" s="344" t="s">
        <v>13121</v>
      </c>
      <c r="B8545" s="345" t="s">
        <v>4611</v>
      </c>
    </row>
    <row r="8546" spans="1:2" ht="15.75" x14ac:dyDescent="0.25">
      <c r="A8546" s="344" t="s">
        <v>13122</v>
      </c>
      <c r="B8546" s="345" t="s">
        <v>4612</v>
      </c>
    </row>
    <row r="8547" spans="1:2" ht="15.75" x14ac:dyDescent="0.25">
      <c r="A8547" s="344" t="s">
        <v>13123</v>
      </c>
      <c r="B8547" s="345" t="s">
        <v>4613</v>
      </c>
    </row>
    <row r="8548" spans="1:2" ht="15.75" x14ac:dyDescent="0.25">
      <c r="A8548" s="344" t="s">
        <v>13124</v>
      </c>
      <c r="B8548" s="345" t="s">
        <v>4614</v>
      </c>
    </row>
    <row r="8549" spans="1:2" ht="15.75" x14ac:dyDescent="0.25">
      <c r="A8549" s="344" t="s">
        <v>13125</v>
      </c>
      <c r="B8549" s="345" t="s">
        <v>4615</v>
      </c>
    </row>
    <row r="8550" spans="1:2" ht="15.75" x14ac:dyDescent="0.25">
      <c r="A8550" s="344" t="s">
        <v>13126</v>
      </c>
      <c r="B8550" s="345" t="s">
        <v>4616</v>
      </c>
    </row>
    <row r="8551" spans="1:2" ht="15.75" x14ac:dyDescent="0.25">
      <c r="A8551" s="344" t="s">
        <v>13127</v>
      </c>
      <c r="B8551" s="345" t="s">
        <v>13128</v>
      </c>
    </row>
    <row r="8552" spans="1:2" ht="15.75" x14ac:dyDescent="0.25">
      <c r="A8552" s="344" t="s">
        <v>13129</v>
      </c>
      <c r="B8552" s="345" t="s">
        <v>13130</v>
      </c>
    </row>
    <row r="8553" spans="1:2" ht="15.75" x14ac:dyDescent="0.25">
      <c r="A8553" s="344" t="s">
        <v>13131</v>
      </c>
      <c r="B8553" s="345" t="s">
        <v>4617</v>
      </c>
    </row>
    <row r="8554" spans="1:2" ht="15.75" x14ac:dyDescent="0.25">
      <c r="A8554" s="344" t="s">
        <v>13132</v>
      </c>
      <c r="B8554" s="345" t="s">
        <v>4618</v>
      </c>
    </row>
    <row r="8555" spans="1:2" ht="15.75" x14ac:dyDescent="0.25">
      <c r="A8555" s="344" t="s">
        <v>13133</v>
      </c>
      <c r="B8555" s="345" t="s">
        <v>4619</v>
      </c>
    </row>
    <row r="8556" spans="1:2" ht="15.75" x14ac:dyDescent="0.25">
      <c r="A8556" s="344" t="s">
        <v>13134</v>
      </c>
      <c r="B8556" s="345" t="s">
        <v>4620</v>
      </c>
    </row>
    <row r="8557" spans="1:2" ht="15.75" x14ac:dyDescent="0.25">
      <c r="A8557" s="344" t="s">
        <v>13135</v>
      </c>
      <c r="B8557" s="345" t="s">
        <v>4621</v>
      </c>
    </row>
    <row r="8558" spans="1:2" ht="15.75" x14ac:dyDescent="0.25">
      <c r="A8558" s="344" t="s">
        <v>13136</v>
      </c>
      <c r="B8558" s="345" t="s">
        <v>4622</v>
      </c>
    </row>
    <row r="8559" spans="1:2" ht="15.75" x14ac:dyDescent="0.25">
      <c r="A8559" s="344" t="s">
        <v>13137</v>
      </c>
      <c r="B8559" s="345" t="s">
        <v>4623</v>
      </c>
    </row>
    <row r="8560" spans="1:2" ht="15.75" x14ac:dyDescent="0.25">
      <c r="A8560" s="344" t="s">
        <v>13138</v>
      </c>
      <c r="B8560" s="345" t="s">
        <v>4624</v>
      </c>
    </row>
    <row r="8561" spans="1:2" ht="15.75" x14ac:dyDescent="0.25">
      <c r="A8561" s="344" t="s">
        <v>13139</v>
      </c>
      <c r="B8561" s="345" t="s">
        <v>4625</v>
      </c>
    </row>
    <row r="8562" spans="1:2" ht="15.75" x14ac:dyDescent="0.25">
      <c r="A8562" s="344" t="s">
        <v>13140</v>
      </c>
      <c r="B8562" s="345" t="s">
        <v>4626</v>
      </c>
    </row>
    <row r="8563" spans="1:2" ht="15.75" x14ac:dyDescent="0.25">
      <c r="A8563" s="344" t="s">
        <v>13141</v>
      </c>
      <c r="B8563" s="345" t="s">
        <v>4627</v>
      </c>
    </row>
    <row r="8564" spans="1:2" ht="15.75" x14ac:dyDescent="0.25">
      <c r="A8564" s="344" t="s">
        <v>13142</v>
      </c>
      <c r="B8564" s="345" t="s">
        <v>4628</v>
      </c>
    </row>
    <row r="8565" spans="1:2" ht="15.75" x14ac:dyDescent="0.25">
      <c r="A8565" s="344" t="s">
        <v>13143</v>
      </c>
      <c r="B8565" s="345" t="s">
        <v>4629</v>
      </c>
    </row>
    <row r="8566" spans="1:2" ht="15.75" x14ac:dyDescent="0.25">
      <c r="A8566" s="344" t="s">
        <v>13144</v>
      </c>
      <c r="B8566" s="345" t="s">
        <v>4630</v>
      </c>
    </row>
    <row r="8567" spans="1:2" ht="15.75" x14ac:dyDescent="0.25">
      <c r="A8567" s="344" t="s">
        <v>13145</v>
      </c>
      <c r="B8567" s="345" t="s">
        <v>13146</v>
      </c>
    </row>
    <row r="8568" spans="1:2" ht="15.75" x14ac:dyDescent="0.25">
      <c r="A8568" s="344" t="s">
        <v>13147</v>
      </c>
      <c r="B8568" s="345" t="s">
        <v>4631</v>
      </c>
    </row>
    <row r="8569" spans="1:2" ht="15.75" x14ac:dyDescent="0.25">
      <c r="A8569" s="344" t="s">
        <v>13148</v>
      </c>
      <c r="B8569" s="345" t="s">
        <v>4632</v>
      </c>
    </row>
    <row r="8570" spans="1:2" ht="15.75" x14ac:dyDescent="0.25">
      <c r="A8570" s="344" t="s">
        <v>13149</v>
      </c>
      <c r="B8570" s="345" t="s">
        <v>4633</v>
      </c>
    </row>
    <row r="8571" spans="1:2" ht="15.75" x14ac:dyDescent="0.25">
      <c r="A8571" s="344" t="s">
        <v>13150</v>
      </c>
      <c r="B8571" s="345" t="s">
        <v>4634</v>
      </c>
    </row>
    <row r="8572" spans="1:2" ht="15.75" x14ac:dyDescent="0.25">
      <c r="A8572" s="344" t="s">
        <v>13151</v>
      </c>
      <c r="B8572" s="345" t="s">
        <v>4635</v>
      </c>
    </row>
    <row r="8573" spans="1:2" ht="15.75" x14ac:dyDescent="0.25">
      <c r="A8573" s="344" t="s">
        <v>13152</v>
      </c>
      <c r="B8573" s="345" t="s">
        <v>4636</v>
      </c>
    </row>
    <row r="8574" spans="1:2" ht="15.75" x14ac:dyDescent="0.25">
      <c r="A8574" s="344" t="s">
        <v>13153</v>
      </c>
      <c r="B8574" s="345" t="s">
        <v>4637</v>
      </c>
    </row>
    <row r="8575" spans="1:2" ht="15.75" x14ac:dyDescent="0.25">
      <c r="A8575" s="344" t="s">
        <v>13154</v>
      </c>
      <c r="B8575" s="345" t="s">
        <v>4638</v>
      </c>
    </row>
    <row r="8576" spans="1:2" ht="15.75" x14ac:dyDescent="0.25">
      <c r="A8576" s="344" t="s">
        <v>13155</v>
      </c>
      <c r="B8576" s="345" t="s">
        <v>4639</v>
      </c>
    </row>
    <row r="8577" spans="1:2" ht="15.75" x14ac:dyDescent="0.25">
      <c r="A8577" s="344" t="s">
        <v>13156</v>
      </c>
      <c r="B8577" s="345" t="s">
        <v>4640</v>
      </c>
    </row>
    <row r="8578" spans="1:2" ht="15.75" x14ac:dyDescent="0.25">
      <c r="A8578" s="344" t="s">
        <v>13157</v>
      </c>
      <c r="B8578" s="345" t="s">
        <v>4641</v>
      </c>
    </row>
    <row r="8579" spans="1:2" ht="15.75" x14ac:dyDescent="0.25">
      <c r="A8579" s="344" t="s">
        <v>13158</v>
      </c>
      <c r="B8579" s="345" t="s">
        <v>4642</v>
      </c>
    </row>
    <row r="8580" spans="1:2" ht="15.75" x14ac:dyDescent="0.25">
      <c r="A8580" s="344" t="s">
        <v>13159</v>
      </c>
      <c r="B8580" s="345" t="s">
        <v>4643</v>
      </c>
    </row>
    <row r="8581" spans="1:2" ht="15.75" x14ac:dyDescent="0.25">
      <c r="A8581" s="344" t="s">
        <v>13160</v>
      </c>
      <c r="B8581" s="345" t="s">
        <v>4644</v>
      </c>
    </row>
    <row r="8582" spans="1:2" ht="15.75" x14ac:dyDescent="0.25">
      <c r="A8582" s="344" t="s">
        <v>13161</v>
      </c>
      <c r="B8582" s="345" t="s">
        <v>4645</v>
      </c>
    </row>
    <row r="8583" spans="1:2" ht="15.75" x14ac:dyDescent="0.25">
      <c r="A8583" s="344" t="s">
        <v>13162</v>
      </c>
      <c r="B8583" s="345" t="s">
        <v>4646</v>
      </c>
    </row>
    <row r="8584" spans="1:2" ht="15.75" x14ac:dyDescent="0.25">
      <c r="A8584" s="344" t="s">
        <v>13163</v>
      </c>
      <c r="B8584" s="345" t="s">
        <v>4647</v>
      </c>
    </row>
    <row r="8585" spans="1:2" ht="15.75" x14ac:dyDescent="0.25">
      <c r="A8585" s="344" t="s">
        <v>13164</v>
      </c>
      <c r="B8585" s="345" t="s">
        <v>4648</v>
      </c>
    </row>
    <row r="8586" spans="1:2" ht="15.75" x14ac:dyDescent="0.25">
      <c r="A8586" s="344" t="s">
        <v>13165</v>
      </c>
      <c r="B8586" s="345" t="s">
        <v>4649</v>
      </c>
    </row>
    <row r="8587" spans="1:2" ht="15.75" x14ac:dyDescent="0.25">
      <c r="A8587" s="344" t="s">
        <v>13166</v>
      </c>
      <c r="B8587" s="345" t="s">
        <v>4650</v>
      </c>
    </row>
    <row r="8588" spans="1:2" ht="15.75" x14ac:dyDescent="0.25">
      <c r="A8588" s="344" t="s">
        <v>13167</v>
      </c>
      <c r="B8588" s="345" t="s">
        <v>4651</v>
      </c>
    </row>
    <row r="8589" spans="1:2" ht="15.75" x14ac:dyDescent="0.25">
      <c r="A8589" s="344" t="s">
        <v>13168</v>
      </c>
      <c r="B8589" s="345" t="s">
        <v>4652</v>
      </c>
    </row>
    <row r="8590" spans="1:2" ht="15.75" x14ac:dyDescent="0.25">
      <c r="A8590" s="344" t="s">
        <v>13169</v>
      </c>
      <c r="B8590" s="345" t="s">
        <v>4653</v>
      </c>
    </row>
    <row r="8591" spans="1:2" ht="15.75" x14ac:dyDescent="0.25">
      <c r="A8591" s="344" t="s">
        <v>13170</v>
      </c>
      <c r="B8591" s="345" t="s">
        <v>4654</v>
      </c>
    </row>
    <row r="8592" spans="1:2" ht="15.75" x14ac:dyDescent="0.25">
      <c r="A8592" s="344" t="s">
        <v>13171</v>
      </c>
      <c r="B8592" s="345" t="s">
        <v>4655</v>
      </c>
    </row>
    <row r="8593" spans="1:2" ht="15.75" x14ac:dyDescent="0.25">
      <c r="A8593" s="344" t="s">
        <v>13172</v>
      </c>
      <c r="B8593" s="345" t="s">
        <v>4656</v>
      </c>
    </row>
    <row r="8594" spans="1:2" ht="15.75" x14ac:dyDescent="0.25">
      <c r="A8594" s="344" t="s">
        <v>13173</v>
      </c>
      <c r="B8594" s="345" t="s">
        <v>4657</v>
      </c>
    </row>
    <row r="8595" spans="1:2" ht="15.75" x14ac:dyDescent="0.25">
      <c r="A8595" s="344" t="s">
        <v>13174</v>
      </c>
      <c r="B8595" s="345" t="s">
        <v>4658</v>
      </c>
    </row>
    <row r="8596" spans="1:2" ht="15.75" x14ac:dyDescent="0.25">
      <c r="A8596" s="344" t="s">
        <v>13175</v>
      </c>
      <c r="B8596" s="345" t="s">
        <v>4659</v>
      </c>
    </row>
    <row r="8597" spans="1:2" ht="15.75" x14ac:dyDescent="0.25">
      <c r="A8597" s="344" t="s">
        <v>13176</v>
      </c>
      <c r="B8597" s="345" t="s">
        <v>4660</v>
      </c>
    </row>
    <row r="8598" spans="1:2" ht="15.75" x14ac:dyDescent="0.25">
      <c r="A8598" s="344" t="s">
        <v>13177</v>
      </c>
      <c r="B8598" s="345" t="s">
        <v>4661</v>
      </c>
    </row>
    <row r="8599" spans="1:2" ht="15.75" x14ac:dyDescent="0.25">
      <c r="A8599" s="344" t="s">
        <v>13178</v>
      </c>
      <c r="B8599" s="345" t="s">
        <v>4662</v>
      </c>
    </row>
    <row r="8600" spans="1:2" ht="15.75" x14ac:dyDescent="0.25">
      <c r="A8600" s="344" t="s">
        <v>13179</v>
      </c>
      <c r="B8600" s="345" t="s">
        <v>4663</v>
      </c>
    </row>
    <row r="8601" spans="1:2" ht="15.75" x14ac:dyDescent="0.25">
      <c r="A8601" s="344" t="s">
        <v>13180</v>
      </c>
      <c r="B8601" s="345" t="s">
        <v>4664</v>
      </c>
    </row>
    <row r="8602" spans="1:2" ht="15.75" x14ac:dyDescent="0.25">
      <c r="A8602" s="344" t="s">
        <v>13181</v>
      </c>
      <c r="B8602" s="345" t="s">
        <v>4665</v>
      </c>
    </row>
    <row r="8603" spans="1:2" ht="15.75" x14ac:dyDescent="0.25">
      <c r="A8603" s="344" t="s">
        <v>13182</v>
      </c>
      <c r="B8603" s="345" t="s">
        <v>4666</v>
      </c>
    </row>
    <row r="8604" spans="1:2" ht="15.75" x14ac:dyDescent="0.25">
      <c r="A8604" s="344" t="s">
        <v>13183</v>
      </c>
      <c r="B8604" s="345" t="s">
        <v>4667</v>
      </c>
    </row>
    <row r="8605" spans="1:2" ht="15.75" x14ac:dyDescent="0.25">
      <c r="A8605" s="344" t="s">
        <v>13184</v>
      </c>
      <c r="B8605" s="345" t="s">
        <v>4668</v>
      </c>
    </row>
    <row r="8606" spans="1:2" ht="15.75" x14ac:dyDescent="0.25">
      <c r="A8606" s="344" t="s">
        <v>13185</v>
      </c>
      <c r="B8606" s="345" t="s">
        <v>4669</v>
      </c>
    </row>
    <row r="8607" spans="1:2" ht="15.75" x14ac:dyDescent="0.25">
      <c r="A8607" s="344" t="s">
        <v>13186</v>
      </c>
      <c r="B8607" s="345" t="s">
        <v>13187</v>
      </c>
    </row>
    <row r="8608" spans="1:2" ht="15.75" x14ac:dyDescent="0.25">
      <c r="A8608" s="344" t="s">
        <v>13188</v>
      </c>
      <c r="B8608" s="345" t="s">
        <v>13189</v>
      </c>
    </row>
    <row r="8609" spans="1:2" ht="15.75" x14ac:dyDescent="0.25">
      <c r="A8609" s="344" t="s">
        <v>13190</v>
      </c>
      <c r="B8609" s="345" t="s">
        <v>4670</v>
      </c>
    </row>
    <row r="8610" spans="1:2" ht="15.75" x14ac:dyDescent="0.25">
      <c r="A8610" s="344" t="s">
        <v>13191</v>
      </c>
      <c r="B8610" s="345" t="s">
        <v>4671</v>
      </c>
    </row>
    <row r="8611" spans="1:2" ht="15.75" x14ac:dyDescent="0.25">
      <c r="A8611" s="344" t="s">
        <v>13192</v>
      </c>
      <c r="B8611" s="345" t="s">
        <v>4672</v>
      </c>
    </row>
    <row r="8612" spans="1:2" ht="15.75" x14ac:dyDescent="0.25">
      <c r="A8612" s="344" t="s">
        <v>13193</v>
      </c>
      <c r="B8612" s="345" t="s">
        <v>4673</v>
      </c>
    </row>
    <row r="8613" spans="1:2" ht="15.75" x14ac:dyDescent="0.25">
      <c r="A8613" s="344" t="s">
        <v>13194</v>
      </c>
      <c r="B8613" s="345" t="s">
        <v>4674</v>
      </c>
    </row>
    <row r="8614" spans="1:2" ht="15.75" x14ac:dyDescent="0.25">
      <c r="A8614" s="344" t="s">
        <v>13195</v>
      </c>
      <c r="B8614" s="345" t="s">
        <v>4675</v>
      </c>
    </row>
    <row r="8615" spans="1:2" ht="15.75" x14ac:dyDescent="0.25">
      <c r="A8615" s="344" t="s">
        <v>13196</v>
      </c>
      <c r="B8615" s="345" t="s">
        <v>4676</v>
      </c>
    </row>
    <row r="8616" spans="1:2" ht="15.75" x14ac:dyDescent="0.25">
      <c r="A8616" s="344" t="s">
        <v>13197</v>
      </c>
      <c r="B8616" s="345" t="s">
        <v>4677</v>
      </c>
    </row>
    <row r="8617" spans="1:2" ht="15.75" x14ac:dyDescent="0.25">
      <c r="A8617" s="344" t="s">
        <v>13198</v>
      </c>
      <c r="B8617" s="345" t="s">
        <v>4678</v>
      </c>
    </row>
    <row r="8618" spans="1:2" ht="15.75" x14ac:dyDescent="0.25">
      <c r="A8618" s="344" t="s">
        <v>13199</v>
      </c>
      <c r="B8618" s="345" t="s">
        <v>4679</v>
      </c>
    </row>
    <row r="8619" spans="1:2" ht="15.75" x14ac:dyDescent="0.25">
      <c r="A8619" s="344" t="s">
        <v>13200</v>
      </c>
      <c r="B8619" s="345" t="s">
        <v>4680</v>
      </c>
    </row>
    <row r="8620" spans="1:2" ht="15.75" x14ac:dyDescent="0.25">
      <c r="A8620" s="344" t="s">
        <v>13201</v>
      </c>
      <c r="B8620" s="345" t="s">
        <v>4681</v>
      </c>
    </row>
    <row r="8621" spans="1:2" ht="15.75" x14ac:dyDescent="0.25">
      <c r="A8621" s="344" t="s">
        <v>13202</v>
      </c>
      <c r="B8621" s="345" t="s">
        <v>4682</v>
      </c>
    </row>
    <row r="8622" spans="1:2" ht="15.75" x14ac:dyDescent="0.25">
      <c r="A8622" s="344" t="s">
        <v>13203</v>
      </c>
      <c r="B8622" s="345" t="s">
        <v>4683</v>
      </c>
    </row>
    <row r="8623" spans="1:2" ht="15.75" x14ac:dyDescent="0.25">
      <c r="A8623" s="344" t="s">
        <v>13204</v>
      </c>
      <c r="B8623" s="345" t="s">
        <v>4684</v>
      </c>
    </row>
    <row r="8624" spans="1:2" ht="15.75" x14ac:dyDescent="0.25">
      <c r="A8624" s="344" t="s">
        <v>13205</v>
      </c>
      <c r="B8624" s="345" t="s">
        <v>4685</v>
      </c>
    </row>
    <row r="8625" spans="1:2" ht="15.75" x14ac:dyDescent="0.25">
      <c r="A8625" s="344" t="s">
        <v>13206</v>
      </c>
      <c r="B8625" s="345" t="s">
        <v>13207</v>
      </c>
    </row>
    <row r="8626" spans="1:2" ht="15.75" x14ac:dyDescent="0.25">
      <c r="A8626" s="344" t="s">
        <v>13208</v>
      </c>
      <c r="B8626" s="345" t="s">
        <v>4686</v>
      </c>
    </row>
    <row r="8627" spans="1:2" ht="15.75" x14ac:dyDescent="0.25">
      <c r="A8627" s="344" t="s">
        <v>13209</v>
      </c>
      <c r="B8627" s="345" t="s">
        <v>4687</v>
      </c>
    </row>
    <row r="8628" spans="1:2" ht="15.75" x14ac:dyDescent="0.25">
      <c r="A8628" s="344" t="s">
        <v>13210</v>
      </c>
      <c r="B8628" s="345" t="s">
        <v>4688</v>
      </c>
    </row>
    <row r="8629" spans="1:2" ht="15.75" x14ac:dyDescent="0.25">
      <c r="A8629" s="344" t="s">
        <v>13211</v>
      </c>
      <c r="B8629" s="345" t="s">
        <v>4689</v>
      </c>
    </row>
    <row r="8630" spans="1:2" ht="15.75" x14ac:dyDescent="0.25">
      <c r="A8630" s="344" t="s">
        <v>13212</v>
      </c>
      <c r="B8630" s="345" t="s">
        <v>4690</v>
      </c>
    </row>
    <row r="8631" spans="1:2" ht="15.75" x14ac:dyDescent="0.25">
      <c r="A8631" s="344" t="s">
        <v>13213</v>
      </c>
      <c r="B8631" s="345" t="s">
        <v>4691</v>
      </c>
    </row>
    <row r="8632" spans="1:2" ht="15.75" x14ac:dyDescent="0.25">
      <c r="A8632" s="344" t="s">
        <v>13214</v>
      </c>
      <c r="B8632" s="345" t="s">
        <v>13215</v>
      </c>
    </row>
    <row r="8633" spans="1:2" ht="15.75" x14ac:dyDescent="0.25">
      <c r="A8633" s="344" t="s">
        <v>13216</v>
      </c>
      <c r="B8633" s="345" t="s">
        <v>4692</v>
      </c>
    </row>
    <row r="8634" spans="1:2" ht="15.75" x14ac:dyDescent="0.25">
      <c r="A8634" s="344" t="s">
        <v>13217</v>
      </c>
      <c r="B8634" s="345" t="s">
        <v>4693</v>
      </c>
    </row>
    <row r="8635" spans="1:2" ht="15.75" x14ac:dyDescent="0.25">
      <c r="A8635" s="344" t="s">
        <v>13218</v>
      </c>
      <c r="B8635" s="345" t="s">
        <v>4694</v>
      </c>
    </row>
    <row r="8636" spans="1:2" ht="15.75" x14ac:dyDescent="0.25">
      <c r="A8636" s="344" t="s">
        <v>13219</v>
      </c>
      <c r="B8636" s="345" t="s">
        <v>4695</v>
      </c>
    </row>
    <row r="8637" spans="1:2" ht="15.75" x14ac:dyDescent="0.25">
      <c r="A8637" s="344" t="s">
        <v>13220</v>
      </c>
      <c r="B8637" s="345" t="s">
        <v>4696</v>
      </c>
    </row>
    <row r="8638" spans="1:2" ht="15.75" x14ac:dyDescent="0.25">
      <c r="A8638" s="344" t="s">
        <v>13221</v>
      </c>
      <c r="B8638" s="345" t="s">
        <v>4697</v>
      </c>
    </row>
    <row r="8639" spans="1:2" ht="15.75" x14ac:dyDescent="0.25">
      <c r="A8639" s="344" t="s">
        <v>13222</v>
      </c>
      <c r="B8639" s="345" t="s">
        <v>4698</v>
      </c>
    </row>
    <row r="8640" spans="1:2" ht="15.75" x14ac:dyDescent="0.25">
      <c r="A8640" s="344" t="s">
        <v>13223</v>
      </c>
      <c r="B8640" s="345" t="s">
        <v>4699</v>
      </c>
    </row>
    <row r="8641" spans="1:2" ht="15.75" x14ac:dyDescent="0.25">
      <c r="A8641" s="344" t="s">
        <v>13224</v>
      </c>
      <c r="B8641" s="345" t="s">
        <v>4700</v>
      </c>
    </row>
    <row r="8642" spans="1:2" ht="15.75" x14ac:dyDescent="0.25">
      <c r="A8642" s="344" t="s">
        <v>13225</v>
      </c>
      <c r="B8642" s="345" t="s">
        <v>4701</v>
      </c>
    </row>
    <row r="8643" spans="1:2" ht="15.75" x14ac:dyDescent="0.25">
      <c r="A8643" s="344" t="s">
        <v>13226</v>
      </c>
      <c r="B8643" s="345" t="s">
        <v>4702</v>
      </c>
    </row>
    <row r="8644" spans="1:2" ht="15.75" x14ac:dyDescent="0.25">
      <c r="A8644" s="344" t="s">
        <v>13227</v>
      </c>
      <c r="B8644" s="345" t="s">
        <v>4703</v>
      </c>
    </row>
    <row r="8645" spans="1:2" ht="15.75" x14ac:dyDescent="0.25">
      <c r="A8645" s="344" t="s">
        <v>13228</v>
      </c>
      <c r="B8645" s="345" t="s">
        <v>4704</v>
      </c>
    </row>
    <row r="8646" spans="1:2" ht="15.75" x14ac:dyDescent="0.25">
      <c r="A8646" s="344" t="s">
        <v>13229</v>
      </c>
      <c r="B8646" s="345" t="s">
        <v>4705</v>
      </c>
    </row>
    <row r="8647" spans="1:2" ht="15.75" x14ac:dyDescent="0.25">
      <c r="A8647" s="344" t="s">
        <v>13230</v>
      </c>
      <c r="B8647" s="345" t="s">
        <v>4706</v>
      </c>
    </row>
    <row r="8648" spans="1:2" ht="15.75" x14ac:dyDescent="0.25">
      <c r="A8648" s="344" t="s">
        <v>13231</v>
      </c>
      <c r="B8648" s="345" t="s">
        <v>4707</v>
      </c>
    </row>
    <row r="8649" spans="1:2" ht="15.75" x14ac:dyDescent="0.25">
      <c r="A8649" s="344" t="s">
        <v>13232</v>
      </c>
      <c r="B8649" s="345" t="s">
        <v>4708</v>
      </c>
    </row>
    <row r="8650" spans="1:2" ht="15.75" x14ac:dyDescent="0.25">
      <c r="A8650" s="344" t="s">
        <v>13233</v>
      </c>
      <c r="B8650" s="345" t="s">
        <v>4709</v>
      </c>
    </row>
    <row r="8651" spans="1:2" ht="15.75" x14ac:dyDescent="0.25">
      <c r="A8651" s="344" t="s">
        <v>13234</v>
      </c>
      <c r="B8651" s="345" t="s">
        <v>4710</v>
      </c>
    </row>
    <row r="8652" spans="1:2" ht="15.75" x14ac:dyDescent="0.25">
      <c r="A8652" s="344" t="s">
        <v>13235</v>
      </c>
      <c r="B8652" s="345" t="s">
        <v>4711</v>
      </c>
    </row>
    <row r="8653" spans="1:2" ht="15.75" x14ac:dyDescent="0.25">
      <c r="A8653" s="344" t="s">
        <v>13236</v>
      </c>
      <c r="B8653" s="345" t="s">
        <v>4712</v>
      </c>
    </row>
    <row r="8654" spans="1:2" ht="15.75" x14ac:dyDescent="0.25">
      <c r="A8654" s="344" t="s">
        <v>13237</v>
      </c>
      <c r="B8654" s="345" t="s">
        <v>4713</v>
      </c>
    </row>
    <row r="8655" spans="1:2" ht="15.75" x14ac:dyDescent="0.25">
      <c r="A8655" s="344" t="s">
        <v>13238</v>
      </c>
      <c r="B8655" s="345" t="s">
        <v>4714</v>
      </c>
    </row>
    <row r="8656" spans="1:2" ht="15.75" x14ac:dyDescent="0.25">
      <c r="A8656" s="344" t="s">
        <v>13239</v>
      </c>
      <c r="B8656" s="345" t="s">
        <v>4715</v>
      </c>
    </row>
    <row r="8657" spans="1:2" ht="15.75" x14ac:dyDescent="0.25">
      <c r="A8657" s="344" t="s">
        <v>13240</v>
      </c>
      <c r="B8657" s="345" t="s">
        <v>4716</v>
      </c>
    </row>
    <row r="8658" spans="1:2" ht="15.75" x14ac:dyDescent="0.25">
      <c r="A8658" s="344" t="s">
        <v>13241</v>
      </c>
      <c r="B8658" s="345" t="s">
        <v>4717</v>
      </c>
    </row>
    <row r="8659" spans="1:2" ht="15.75" x14ac:dyDescent="0.25">
      <c r="A8659" s="344" t="s">
        <v>13242</v>
      </c>
      <c r="B8659" s="345" t="s">
        <v>4718</v>
      </c>
    </row>
    <row r="8660" spans="1:2" ht="15.75" x14ac:dyDescent="0.25">
      <c r="A8660" s="344" t="s">
        <v>13243</v>
      </c>
      <c r="B8660" s="345" t="s">
        <v>4719</v>
      </c>
    </row>
    <row r="8661" spans="1:2" ht="15.75" x14ac:dyDescent="0.25">
      <c r="A8661" s="344" t="s">
        <v>13244</v>
      </c>
      <c r="B8661" s="345" t="s">
        <v>4720</v>
      </c>
    </row>
    <row r="8662" spans="1:2" ht="15.75" x14ac:dyDescent="0.25">
      <c r="A8662" s="344" t="s">
        <v>13245</v>
      </c>
      <c r="B8662" s="345" t="s">
        <v>4721</v>
      </c>
    </row>
    <row r="8663" spans="1:2" ht="15.75" x14ac:dyDescent="0.25">
      <c r="A8663" s="344" t="s">
        <v>13246</v>
      </c>
      <c r="B8663" s="345" t="s">
        <v>13247</v>
      </c>
    </row>
    <row r="8664" spans="1:2" ht="15.75" x14ac:dyDescent="0.25">
      <c r="A8664" s="344" t="s">
        <v>13248</v>
      </c>
      <c r="B8664" s="345" t="s">
        <v>4722</v>
      </c>
    </row>
    <row r="8665" spans="1:2" ht="15.75" x14ac:dyDescent="0.25">
      <c r="A8665" s="344" t="s">
        <v>13249</v>
      </c>
      <c r="B8665" s="345" t="s">
        <v>4723</v>
      </c>
    </row>
    <row r="8666" spans="1:2" ht="15.75" x14ac:dyDescent="0.25">
      <c r="A8666" s="344" t="s">
        <v>13250</v>
      </c>
      <c r="B8666" s="345" t="s">
        <v>4724</v>
      </c>
    </row>
    <row r="8667" spans="1:2" ht="15.75" x14ac:dyDescent="0.25">
      <c r="A8667" s="344" t="s">
        <v>13251</v>
      </c>
      <c r="B8667" s="345" t="s">
        <v>13252</v>
      </c>
    </row>
    <row r="8668" spans="1:2" ht="15.75" x14ac:dyDescent="0.25">
      <c r="A8668" s="344" t="s">
        <v>13253</v>
      </c>
      <c r="B8668" s="345" t="s">
        <v>4725</v>
      </c>
    </row>
    <row r="8669" spans="1:2" ht="15.75" x14ac:dyDescent="0.25">
      <c r="A8669" s="344" t="s">
        <v>13254</v>
      </c>
      <c r="B8669" s="345" t="s">
        <v>4726</v>
      </c>
    </row>
    <row r="8670" spans="1:2" ht="15.75" x14ac:dyDescent="0.25">
      <c r="A8670" s="344" t="s">
        <v>13255</v>
      </c>
      <c r="B8670" s="345" t="s">
        <v>4727</v>
      </c>
    </row>
    <row r="8671" spans="1:2" ht="15.75" x14ac:dyDescent="0.25">
      <c r="A8671" s="344" t="s">
        <v>13256</v>
      </c>
      <c r="B8671" s="345" t="s">
        <v>4728</v>
      </c>
    </row>
    <row r="8672" spans="1:2" ht="15.75" x14ac:dyDescent="0.25">
      <c r="A8672" s="344" t="s">
        <v>13257</v>
      </c>
      <c r="B8672" s="345" t="s">
        <v>4729</v>
      </c>
    </row>
    <row r="8673" spans="1:2" ht="15.75" x14ac:dyDescent="0.25">
      <c r="A8673" s="344" t="s">
        <v>13258</v>
      </c>
      <c r="B8673" s="345" t="s">
        <v>13259</v>
      </c>
    </row>
    <row r="8674" spans="1:2" ht="15.75" x14ac:dyDescent="0.25">
      <c r="A8674" s="344" t="s">
        <v>13260</v>
      </c>
      <c r="B8674" s="345" t="s">
        <v>13261</v>
      </c>
    </row>
    <row r="8675" spans="1:2" ht="15.75" x14ac:dyDescent="0.25">
      <c r="A8675" s="344" t="s">
        <v>13262</v>
      </c>
      <c r="B8675" s="345" t="s">
        <v>13263</v>
      </c>
    </row>
    <row r="8676" spans="1:2" ht="15.75" x14ac:dyDescent="0.25">
      <c r="A8676" s="344" t="s">
        <v>13264</v>
      </c>
      <c r="B8676" s="345" t="s">
        <v>13265</v>
      </c>
    </row>
    <row r="8677" spans="1:2" ht="15.75" x14ac:dyDescent="0.25">
      <c r="A8677" s="344" t="s">
        <v>13266</v>
      </c>
      <c r="B8677" s="345" t="s">
        <v>13267</v>
      </c>
    </row>
    <row r="8678" spans="1:2" ht="15.75" x14ac:dyDescent="0.25">
      <c r="A8678" s="344" t="s">
        <v>13268</v>
      </c>
      <c r="B8678" s="345" t="s">
        <v>4730</v>
      </c>
    </row>
    <row r="8679" spans="1:2" ht="15.75" x14ac:dyDescent="0.25">
      <c r="A8679" s="344" t="s">
        <v>13269</v>
      </c>
      <c r="B8679" s="345" t="s">
        <v>2360</v>
      </c>
    </row>
    <row r="8680" spans="1:2" ht="15.75" x14ac:dyDescent="0.25">
      <c r="A8680" s="344" t="s">
        <v>13270</v>
      </c>
      <c r="B8680" s="345" t="s">
        <v>2387</v>
      </c>
    </row>
    <row r="8681" spans="1:2" ht="15.75" x14ac:dyDescent="0.25">
      <c r="A8681" s="344" t="s">
        <v>13271</v>
      </c>
      <c r="B8681" s="345" t="s">
        <v>4731</v>
      </c>
    </row>
    <row r="8682" spans="1:2" ht="15.75" x14ac:dyDescent="0.25">
      <c r="A8682" s="344" t="s">
        <v>13272</v>
      </c>
      <c r="B8682" s="345" t="s">
        <v>2385</v>
      </c>
    </row>
    <row r="8683" spans="1:2" ht="15.75" x14ac:dyDescent="0.25">
      <c r="A8683" s="344" t="s">
        <v>13273</v>
      </c>
      <c r="B8683" s="345" t="s">
        <v>4732</v>
      </c>
    </row>
    <row r="8684" spans="1:2" ht="15.75" x14ac:dyDescent="0.25">
      <c r="A8684" s="344" t="s">
        <v>13274</v>
      </c>
      <c r="B8684" s="345" t="s">
        <v>2389</v>
      </c>
    </row>
    <row r="8685" spans="1:2" ht="15.75" x14ac:dyDescent="0.25">
      <c r="A8685" s="344" t="s">
        <v>13275</v>
      </c>
      <c r="B8685" s="345" t="s">
        <v>2388</v>
      </c>
    </row>
    <row r="8686" spans="1:2" ht="15.75" x14ac:dyDescent="0.25">
      <c r="A8686" s="344" t="s">
        <v>13276</v>
      </c>
      <c r="B8686" s="345" t="s">
        <v>2362</v>
      </c>
    </row>
    <row r="8687" spans="1:2" ht="15.75" x14ac:dyDescent="0.25">
      <c r="A8687" s="344" t="s">
        <v>13277</v>
      </c>
      <c r="B8687" s="345" t="s">
        <v>4198</v>
      </c>
    </row>
    <row r="8688" spans="1:2" ht="15.75" x14ac:dyDescent="0.25">
      <c r="A8688" s="344" t="s">
        <v>13278</v>
      </c>
      <c r="B8688" s="345" t="s">
        <v>4733</v>
      </c>
    </row>
    <row r="8689" spans="1:2" ht="15.75" x14ac:dyDescent="0.25">
      <c r="A8689" s="344" t="s">
        <v>13279</v>
      </c>
      <c r="B8689" s="345" t="s">
        <v>2412</v>
      </c>
    </row>
    <row r="8690" spans="1:2" ht="15.75" x14ac:dyDescent="0.25">
      <c r="A8690" s="344" t="s">
        <v>13280</v>
      </c>
      <c r="B8690" s="345" t="s">
        <v>4734</v>
      </c>
    </row>
    <row r="8691" spans="1:2" ht="15.75" x14ac:dyDescent="0.25">
      <c r="A8691" s="344" t="s">
        <v>13281</v>
      </c>
      <c r="B8691" s="345" t="s">
        <v>4735</v>
      </c>
    </row>
    <row r="8692" spans="1:2" ht="15.75" x14ac:dyDescent="0.25">
      <c r="A8692" s="344" t="s">
        <v>13282</v>
      </c>
      <c r="B8692" s="345" t="s">
        <v>4736</v>
      </c>
    </row>
    <row r="8693" spans="1:2" ht="15.75" x14ac:dyDescent="0.25">
      <c r="A8693" s="344" t="s">
        <v>13283</v>
      </c>
      <c r="B8693" s="345" t="s">
        <v>2415</v>
      </c>
    </row>
    <row r="8694" spans="1:2" ht="15.75" x14ac:dyDescent="0.25">
      <c r="A8694" s="344" t="s">
        <v>13284</v>
      </c>
      <c r="B8694" s="345" t="s">
        <v>4737</v>
      </c>
    </row>
    <row r="8695" spans="1:2" ht="15.75" x14ac:dyDescent="0.25">
      <c r="A8695" s="344" t="s">
        <v>13285</v>
      </c>
      <c r="B8695" s="345" t="s">
        <v>4738</v>
      </c>
    </row>
    <row r="8696" spans="1:2" ht="15.75" x14ac:dyDescent="0.25">
      <c r="A8696" s="344" t="s">
        <v>13286</v>
      </c>
      <c r="B8696" s="345" t="s">
        <v>4739</v>
      </c>
    </row>
    <row r="8697" spans="1:2" ht="15.75" x14ac:dyDescent="0.25">
      <c r="A8697" s="344" t="s">
        <v>13287</v>
      </c>
      <c r="B8697" s="345" t="s">
        <v>4740</v>
      </c>
    </row>
    <row r="8698" spans="1:2" ht="15.75" x14ac:dyDescent="0.25">
      <c r="A8698" s="344" t="s">
        <v>13288</v>
      </c>
      <c r="B8698" s="345" t="s">
        <v>4741</v>
      </c>
    </row>
    <row r="8699" spans="1:2" ht="15.75" x14ac:dyDescent="0.25">
      <c r="A8699" s="344" t="s">
        <v>13289</v>
      </c>
      <c r="B8699" s="345" t="s">
        <v>4742</v>
      </c>
    </row>
    <row r="8700" spans="1:2" ht="15.75" x14ac:dyDescent="0.25">
      <c r="A8700" s="344" t="s">
        <v>13290</v>
      </c>
      <c r="B8700" s="345" t="s">
        <v>4743</v>
      </c>
    </row>
    <row r="8701" spans="1:2" ht="15.75" x14ac:dyDescent="0.25">
      <c r="A8701" s="344" t="s">
        <v>13291</v>
      </c>
      <c r="B8701" s="345" t="s">
        <v>4744</v>
      </c>
    </row>
    <row r="8702" spans="1:2" ht="15.75" x14ac:dyDescent="0.25">
      <c r="A8702" s="344" t="s">
        <v>13292</v>
      </c>
      <c r="B8702" s="345" t="s">
        <v>2418</v>
      </c>
    </row>
    <row r="8703" spans="1:2" ht="15.75" x14ac:dyDescent="0.25">
      <c r="A8703" s="344" t="s">
        <v>13293</v>
      </c>
      <c r="B8703" s="345" t="s">
        <v>4745</v>
      </c>
    </row>
    <row r="8704" spans="1:2" ht="15.75" x14ac:dyDescent="0.25">
      <c r="A8704" s="344" t="s">
        <v>13294</v>
      </c>
      <c r="B8704" s="345" t="s">
        <v>4746</v>
      </c>
    </row>
    <row r="8705" spans="1:2" ht="15.75" x14ac:dyDescent="0.25">
      <c r="A8705" s="344" t="s">
        <v>13295</v>
      </c>
      <c r="B8705" s="345" t="s">
        <v>4747</v>
      </c>
    </row>
    <row r="8706" spans="1:2" ht="15.75" x14ac:dyDescent="0.25">
      <c r="A8706" s="344" t="s">
        <v>13296</v>
      </c>
      <c r="B8706" s="345" t="s">
        <v>4748</v>
      </c>
    </row>
    <row r="8707" spans="1:2" ht="15.75" x14ac:dyDescent="0.25">
      <c r="A8707" s="344" t="s">
        <v>13297</v>
      </c>
      <c r="B8707" s="345" t="s">
        <v>4749</v>
      </c>
    </row>
    <row r="8708" spans="1:2" ht="15.75" x14ac:dyDescent="0.25">
      <c r="A8708" s="344" t="s">
        <v>13298</v>
      </c>
      <c r="B8708" s="345" t="s">
        <v>4750</v>
      </c>
    </row>
    <row r="8709" spans="1:2" ht="15.75" x14ac:dyDescent="0.25">
      <c r="A8709" s="344" t="s">
        <v>13299</v>
      </c>
      <c r="B8709" s="345" t="s">
        <v>4751</v>
      </c>
    </row>
    <row r="8710" spans="1:2" ht="15.75" x14ac:dyDescent="0.25">
      <c r="A8710" s="344" t="s">
        <v>13300</v>
      </c>
      <c r="B8710" s="345" t="s">
        <v>4752</v>
      </c>
    </row>
    <row r="8711" spans="1:2" ht="15.75" x14ac:dyDescent="0.25">
      <c r="A8711" s="344" t="s">
        <v>13301</v>
      </c>
      <c r="B8711" s="345" t="s">
        <v>4753</v>
      </c>
    </row>
    <row r="8712" spans="1:2" ht="15.75" x14ac:dyDescent="0.25">
      <c r="A8712" s="344" t="s">
        <v>13302</v>
      </c>
      <c r="B8712" s="345" t="s">
        <v>4754</v>
      </c>
    </row>
    <row r="8713" spans="1:2" ht="15.75" x14ac:dyDescent="0.25">
      <c r="A8713" s="344" t="s">
        <v>13303</v>
      </c>
      <c r="B8713" s="345" t="s">
        <v>4755</v>
      </c>
    </row>
    <row r="8714" spans="1:2" ht="15.75" x14ac:dyDescent="0.25">
      <c r="A8714" s="344" t="s">
        <v>13304</v>
      </c>
      <c r="B8714" s="345" t="s">
        <v>4756</v>
      </c>
    </row>
    <row r="8715" spans="1:2" ht="15.75" x14ac:dyDescent="0.25">
      <c r="A8715" s="344" t="s">
        <v>13305</v>
      </c>
      <c r="B8715" s="345" t="s">
        <v>4757</v>
      </c>
    </row>
    <row r="8716" spans="1:2" ht="15.75" x14ac:dyDescent="0.25">
      <c r="A8716" s="344" t="s">
        <v>13306</v>
      </c>
      <c r="B8716" s="345" t="s">
        <v>4758</v>
      </c>
    </row>
    <row r="8717" spans="1:2" ht="15.75" x14ac:dyDescent="0.25">
      <c r="A8717" s="344" t="s">
        <v>13307</v>
      </c>
      <c r="B8717" s="345" t="s">
        <v>4759</v>
      </c>
    </row>
    <row r="8718" spans="1:2" ht="15.75" x14ac:dyDescent="0.25">
      <c r="A8718" s="344" t="s">
        <v>13308</v>
      </c>
      <c r="B8718" s="345" t="s">
        <v>4760</v>
      </c>
    </row>
    <row r="8719" spans="1:2" ht="15.75" x14ac:dyDescent="0.25">
      <c r="A8719" s="344" t="s">
        <v>13309</v>
      </c>
      <c r="B8719" s="345" t="s">
        <v>4761</v>
      </c>
    </row>
    <row r="8720" spans="1:2" ht="15.75" x14ac:dyDescent="0.25">
      <c r="A8720" s="344" t="s">
        <v>13310</v>
      </c>
      <c r="B8720" s="345" t="s">
        <v>4762</v>
      </c>
    </row>
    <row r="8721" spans="1:2" ht="15.75" x14ac:dyDescent="0.25">
      <c r="A8721" s="344" t="s">
        <v>13311</v>
      </c>
      <c r="B8721" s="345" t="s">
        <v>2374</v>
      </c>
    </row>
    <row r="8722" spans="1:2" ht="15.75" x14ac:dyDescent="0.25">
      <c r="A8722" s="344" t="s">
        <v>13312</v>
      </c>
      <c r="B8722" s="345" t="s">
        <v>4763</v>
      </c>
    </row>
    <row r="8723" spans="1:2" ht="15.75" x14ac:dyDescent="0.25">
      <c r="A8723" s="344" t="s">
        <v>13313</v>
      </c>
      <c r="B8723" s="345" t="s">
        <v>4764</v>
      </c>
    </row>
    <row r="8724" spans="1:2" ht="15.75" x14ac:dyDescent="0.25">
      <c r="A8724" s="344" t="s">
        <v>13314</v>
      </c>
      <c r="B8724" s="345" t="s">
        <v>13315</v>
      </c>
    </row>
    <row r="8725" spans="1:2" ht="15.75" x14ac:dyDescent="0.25">
      <c r="A8725" s="344" t="s">
        <v>13316</v>
      </c>
      <c r="B8725" s="345" t="s">
        <v>13317</v>
      </c>
    </row>
    <row r="8726" spans="1:2" ht="15.75" x14ac:dyDescent="0.25">
      <c r="A8726" s="344" t="s">
        <v>13318</v>
      </c>
      <c r="B8726" s="345" t="s">
        <v>4765</v>
      </c>
    </row>
    <row r="8727" spans="1:2" ht="15.75" x14ac:dyDescent="0.25">
      <c r="A8727" s="344" t="s">
        <v>13319</v>
      </c>
      <c r="B8727" s="345" t="s">
        <v>4766</v>
      </c>
    </row>
    <row r="8728" spans="1:2" ht="15.75" x14ac:dyDescent="0.25">
      <c r="A8728" s="344" t="s">
        <v>13320</v>
      </c>
      <c r="B8728" s="345" t="s">
        <v>4767</v>
      </c>
    </row>
    <row r="8729" spans="1:2" ht="15.75" x14ac:dyDescent="0.25">
      <c r="A8729" s="344" t="s">
        <v>13321</v>
      </c>
      <c r="B8729" s="345" t="s">
        <v>4768</v>
      </c>
    </row>
    <row r="8730" spans="1:2" ht="15.75" x14ac:dyDescent="0.25">
      <c r="A8730" s="344" t="s">
        <v>13322</v>
      </c>
      <c r="B8730" s="345" t="s">
        <v>4769</v>
      </c>
    </row>
    <row r="8731" spans="1:2" ht="15.75" x14ac:dyDescent="0.25">
      <c r="A8731" s="344" t="s">
        <v>13323</v>
      </c>
      <c r="B8731" s="345" t="s">
        <v>13324</v>
      </c>
    </row>
    <row r="8732" spans="1:2" ht="15.75" x14ac:dyDescent="0.25">
      <c r="A8732" s="344" t="s">
        <v>13325</v>
      </c>
      <c r="B8732" s="345" t="s">
        <v>4770</v>
      </c>
    </row>
    <row r="8733" spans="1:2" ht="15.75" x14ac:dyDescent="0.25">
      <c r="A8733" s="344" t="s">
        <v>13326</v>
      </c>
      <c r="B8733" s="345" t="s">
        <v>2358</v>
      </c>
    </row>
    <row r="8734" spans="1:2" ht="15.75" x14ac:dyDescent="0.25">
      <c r="A8734" s="344" t="s">
        <v>13327</v>
      </c>
      <c r="B8734" s="345" t="s">
        <v>2360</v>
      </c>
    </row>
    <row r="8735" spans="1:2" ht="15.75" x14ac:dyDescent="0.25">
      <c r="A8735" s="344" t="s">
        <v>13328</v>
      </c>
      <c r="B8735" s="345" t="s">
        <v>2387</v>
      </c>
    </row>
    <row r="8736" spans="1:2" ht="15.75" x14ac:dyDescent="0.25">
      <c r="A8736" s="344" t="s">
        <v>13329</v>
      </c>
      <c r="B8736" s="345" t="s">
        <v>4731</v>
      </c>
    </row>
    <row r="8737" spans="1:2" ht="15.75" x14ac:dyDescent="0.25">
      <c r="A8737" s="344" t="s">
        <v>13330</v>
      </c>
      <c r="B8737" s="345" t="s">
        <v>2385</v>
      </c>
    </row>
    <row r="8738" spans="1:2" ht="15.75" x14ac:dyDescent="0.25">
      <c r="A8738" s="344" t="s">
        <v>13331</v>
      </c>
      <c r="B8738" s="345" t="s">
        <v>2386</v>
      </c>
    </row>
    <row r="8739" spans="1:2" ht="15.75" x14ac:dyDescent="0.25">
      <c r="A8739" s="344" t="s">
        <v>13332</v>
      </c>
      <c r="B8739" s="345" t="s">
        <v>2389</v>
      </c>
    </row>
    <row r="8740" spans="1:2" ht="15.75" x14ac:dyDescent="0.25">
      <c r="A8740" s="344" t="s">
        <v>13333</v>
      </c>
      <c r="B8740" s="345" t="s">
        <v>2388</v>
      </c>
    </row>
    <row r="8741" spans="1:2" ht="15.75" x14ac:dyDescent="0.25">
      <c r="A8741" s="344" t="s">
        <v>13334</v>
      </c>
      <c r="B8741" s="345" t="s">
        <v>2393</v>
      </c>
    </row>
    <row r="8742" spans="1:2" ht="15.75" x14ac:dyDescent="0.25">
      <c r="A8742" s="344" t="s">
        <v>13335</v>
      </c>
      <c r="B8742" s="345" t="s">
        <v>4771</v>
      </c>
    </row>
    <row r="8743" spans="1:2" ht="15.75" x14ac:dyDescent="0.25">
      <c r="A8743" s="344" t="s">
        <v>13336</v>
      </c>
      <c r="B8743" s="345" t="s">
        <v>4772</v>
      </c>
    </row>
    <row r="8744" spans="1:2" ht="15.75" x14ac:dyDescent="0.25">
      <c r="A8744" s="344" t="s">
        <v>13337</v>
      </c>
      <c r="B8744" s="345" t="s">
        <v>4773</v>
      </c>
    </row>
    <row r="8745" spans="1:2" ht="15.75" x14ac:dyDescent="0.25">
      <c r="A8745" s="344" t="s">
        <v>13338</v>
      </c>
      <c r="B8745" s="345" t="s">
        <v>4774</v>
      </c>
    </row>
    <row r="8746" spans="1:2" ht="15.75" x14ac:dyDescent="0.25">
      <c r="A8746" s="344" t="s">
        <v>13339</v>
      </c>
      <c r="B8746" s="345" t="s">
        <v>4775</v>
      </c>
    </row>
    <row r="8747" spans="1:2" ht="15.75" x14ac:dyDescent="0.25">
      <c r="A8747" s="344" t="s">
        <v>13340</v>
      </c>
      <c r="B8747" s="345" t="s">
        <v>4776</v>
      </c>
    </row>
    <row r="8748" spans="1:2" ht="15.75" x14ac:dyDescent="0.25">
      <c r="A8748" s="344" t="s">
        <v>13341</v>
      </c>
      <c r="B8748" s="345" t="s">
        <v>2394</v>
      </c>
    </row>
    <row r="8749" spans="1:2" ht="15.75" x14ac:dyDescent="0.25">
      <c r="A8749" s="344" t="s">
        <v>13342</v>
      </c>
      <c r="B8749" s="345" t="s">
        <v>2395</v>
      </c>
    </row>
    <row r="8750" spans="1:2" ht="15.75" x14ac:dyDescent="0.25">
      <c r="A8750" s="344" t="s">
        <v>13343</v>
      </c>
      <c r="B8750" s="345" t="s">
        <v>2400</v>
      </c>
    </row>
    <row r="8751" spans="1:2" ht="15.75" x14ac:dyDescent="0.25">
      <c r="A8751" s="344" t="s">
        <v>13344</v>
      </c>
      <c r="B8751" s="345" t="s">
        <v>2401</v>
      </c>
    </row>
    <row r="8752" spans="1:2" ht="15.75" x14ac:dyDescent="0.25">
      <c r="A8752" s="344" t="s">
        <v>13345</v>
      </c>
      <c r="B8752" s="345" t="s">
        <v>4777</v>
      </c>
    </row>
    <row r="8753" spans="1:2" ht="15.75" x14ac:dyDescent="0.25">
      <c r="A8753" s="344" t="s">
        <v>13346</v>
      </c>
      <c r="B8753" s="345" t="s">
        <v>4778</v>
      </c>
    </row>
    <row r="8754" spans="1:2" ht="15.75" x14ac:dyDescent="0.25">
      <c r="A8754" s="344" t="s">
        <v>13347</v>
      </c>
      <c r="B8754" s="345" t="s">
        <v>2407</v>
      </c>
    </row>
    <row r="8755" spans="1:2" ht="15.75" x14ac:dyDescent="0.25">
      <c r="A8755" s="344" t="s">
        <v>13348</v>
      </c>
      <c r="B8755" s="345" t="s">
        <v>4198</v>
      </c>
    </row>
    <row r="8756" spans="1:2" ht="15.75" x14ac:dyDescent="0.25">
      <c r="A8756" s="344" t="s">
        <v>13349</v>
      </c>
      <c r="B8756" s="345" t="s">
        <v>2410</v>
      </c>
    </row>
    <row r="8757" spans="1:2" ht="15.75" x14ac:dyDescent="0.25">
      <c r="A8757" s="344" t="s">
        <v>13350</v>
      </c>
      <c r="B8757" s="345" t="s">
        <v>4779</v>
      </c>
    </row>
    <row r="8758" spans="1:2" ht="15.75" x14ac:dyDescent="0.25">
      <c r="A8758" s="344" t="s">
        <v>13351</v>
      </c>
      <c r="B8758" s="345" t="s">
        <v>4780</v>
      </c>
    </row>
    <row r="8759" spans="1:2" ht="15.75" x14ac:dyDescent="0.25">
      <c r="A8759" s="344" t="s">
        <v>13352</v>
      </c>
      <c r="B8759" s="345" t="s">
        <v>2403</v>
      </c>
    </row>
    <row r="8760" spans="1:2" ht="15.75" x14ac:dyDescent="0.25">
      <c r="A8760" s="344" t="s">
        <v>13353</v>
      </c>
      <c r="B8760" s="345" t="s">
        <v>2352</v>
      </c>
    </row>
    <row r="8761" spans="1:2" ht="15.75" x14ac:dyDescent="0.25">
      <c r="A8761" s="344" t="s">
        <v>13354</v>
      </c>
      <c r="B8761" s="345" t="s">
        <v>2350</v>
      </c>
    </row>
    <row r="8762" spans="1:2" ht="15.75" x14ac:dyDescent="0.25">
      <c r="A8762" s="344" t="s">
        <v>13355</v>
      </c>
      <c r="B8762" s="345" t="s">
        <v>4781</v>
      </c>
    </row>
    <row r="8763" spans="1:2" ht="15.75" x14ac:dyDescent="0.25">
      <c r="A8763" s="344" t="s">
        <v>13356</v>
      </c>
      <c r="B8763" s="345" t="s">
        <v>4782</v>
      </c>
    </row>
    <row r="8764" spans="1:2" ht="15.75" x14ac:dyDescent="0.25">
      <c r="A8764" s="344" t="s">
        <v>13357</v>
      </c>
      <c r="B8764" s="345" t="s">
        <v>2413</v>
      </c>
    </row>
    <row r="8765" spans="1:2" ht="15.75" x14ac:dyDescent="0.25">
      <c r="A8765" s="344" t="s">
        <v>13358</v>
      </c>
      <c r="B8765" s="345" t="s">
        <v>2412</v>
      </c>
    </row>
    <row r="8766" spans="1:2" ht="15.75" x14ac:dyDescent="0.25">
      <c r="A8766" s="344" t="s">
        <v>13359</v>
      </c>
      <c r="B8766" s="345" t="s">
        <v>4734</v>
      </c>
    </row>
    <row r="8767" spans="1:2" ht="15.75" x14ac:dyDescent="0.25">
      <c r="A8767" s="344" t="s">
        <v>13360</v>
      </c>
      <c r="B8767" s="345" t="s">
        <v>4783</v>
      </c>
    </row>
    <row r="8768" spans="1:2" ht="15.75" x14ac:dyDescent="0.25">
      <c r="A8768" s="344" t="s">
        <v>13361</v>
      </c>
      <c r="B8768" s="345" t="s">
        <v>2414</v>
      </c>
    </row>
    <row r="8769" spans="1:2" ht="15.75" x14ac:dyDescent="0.25">
      <c r="A8769" s="344" t="s">
        <v>13362</v>
      </c>
      <c r="B8769" s="345" t="s">
        <v>2415</v>
      </c>
    </row>
    <row r="8770" spans="1:2" ht="15.75" x14ac:dyDescent="0.25">
      <c r="A8770" s="344" t="s">
        <v>13363</v>
      </c>
      <c r="B8770" s="345" t="s">
        <v>2322</v>
      </c>
    </row>
    <row r="8771" spans="1:2" ht="15.75" x14ac:dyDescent="0.25">
      <c r="A8771" s="344" t="s">
        <v>13364</v>
      </c>
      <c r="B8771" s="345" t="s">
        <v>2390</v>
      </c>
    </row>
    <row r="8772" spans="1:2" ht="15.75" x14ac:dyDescent="0.25">
      <c r="A8772" s="344" t="s">
        <v>13365</v>
      </c>
      <c r="B8772" s="345" t="s">
        <v>4784</v>
      </c>
    </row>
    <row r="8773" spans="1:2" ht="15.75" x14ac:dyDescent="0.25">
      <c r="A8773" s="344" t="s">
        <v>13366</v>
      </c>
      <c r="B8773" s="345" t="s">
        <v>2417</v>
      </c>
    </row>
    <row r="8774" spans="1:2" ht="15.75" x14ac:dyDescent="0.25">
      <c r="A8774" s="344" t="s">
        <v>13367</v>
      </c>
      <c r="B8774" s="345" t="s">
        <v>4785</v>
      </c>
    </row>
    <row r="8775" spans="1:2" ht="15.75" x14ac:dyDescent="0.25">
      <c r="A8775" s="344" t="s">
        <v>13368</v>
      </c>
      <c r="B8775" s="345" t="s">
        <v>4741</v>
      </c>
    </row>
    <row r="8776" spans="1:2" ht="15.75" x14ac:dyDescent="0.25">
      <c r="A8776" s="344" t="s">
        <v>13369</v>
      </c>
      <c r="B8776" s="345" t="s">
        <v>4786</v>
      </c>
    </row>
    <row r="8777" spans="1:2" ht="15.75" x14ac:dyDescent="0.25">
      <c r="A8777" s="344" t="s">
        <v>13370</v>
      </c>
      <c r="B8777" s="345" t="s">
        <v>2416</v>
      </c>
    </row>
    <row r="8778" spans="1:2" ht="15.75" x14ac:dyDescent="0.25">
      <c r="A8778" s="344" t="s">
        <v>13371</v>
      </c>
      <c r="B8778" s="345" t="s">
        <v>4787</v>
      </c>
    </row>
    <row r="8779" spans="1:2" ht="15.75" x14ac:dyDescent="0.25">
      <c r="A8779" s="344" t="s">
        <v>13372</v>
      </c>
      <c r="B8779" s="345" t="s">
        <v>4788</v>
      </c>
    </row>
    <row r="8780" spans="1:2" ht="15.75" x14ac:dyDescent="0.25">
      <c r="A8780" s="344" t="s">
        <v>13373</v>
      </c>
      <c r="B8780" s="345" t="s">
        <v>4789</v>
      </c>
    </row>
    <row r="8781" spans="1:2" ht="15.75" x14ac:dyDescent="0.25">
      <c r="A8781" s="344" t="s">
        <v>13374</v>
      </c>
      <c r="B8781" s="345" t="s">
        <v>4112</v>
      </c>
    </row>
    <row r="8782" spans="1:2" ht="15.75" x14ac:dyDescent="0.25">
      <c r="A8782" s="344" t="s">
        <v>13375</v>
      </c>
      <c r="B8782" s="345" t="s">
        <v>4790</v>
      </c>
    </row>
    <row r="8783" spans="1:2" ht="15.75" x14ac:dyDescent="0.25">
      <c r="A8783" s="344" t="s">
        <v>13376</v>
      </c>
      <c r="B8783" s="345" t="s">
        <v>2418</v>
      </c>
    </row>
    <row r="8784" spans="1:2" ht="15.75" x14ac:dyDescent="0.25">
      <c r="A8784" s="344" t="s">
        <v>13377</v>
      </c>
      <c r="B8784" s="345" t="s">
        <v>4791</v>
      </c>
    </row>
    <row r="8785" spans="1:2" ht="15.75" x14ac:dyDescent="0.25">
      <c r="A8785" s="344" t="s">
        <v>13378</v>
      </c>
      <c r="B8785" s="345" t="s">
        <v>4792</v>
      </c>
    </row>
    <row r="8786" spans="1:2" ht="15.75" x14ac:dyDescent="0.25">
      <c r="A8786" s="344" t="s">
        <v>13379</v>
      </c>
      <c r="B8786" s="345" t="s">
        <v>2419</v>
      </c>
    </row>
    <row r="8787" spans="1:2" ht="15.75" x14ac:dyDescent="0.25">
      <c r="A8787" s="344" t="s">
        <v>13380</v>
      </c>
      <c r="B8787" s="345" t="s">
        <v>4793</v>
      </c>
    </row>
    <row r="8788" spans="1:2" ht="15.75" x14ac:dyDescent="0.25">
      <c r="A8788" s="344" t="s">
        <v>13381</v>
      </c>
      <c r="B8788" s="345" t="s">
        <v>4794</v>
      </c>
    </row>
    <row r="8789" spans="1:2" ht="15.75" x14ac:dyDescent="0.25">
      <c r="A8789" s="344" t="s">
        <v>13382</v>
      </c>
      <c r="B8789" s="345" t="s">
        <v>4750</v>
      </c>
    </row>
    <row r="8790" spans="1:2" ht="15.75" x14ac:dyDescent="0.25">
      <c r="A8790" s="344" t="s">
        <v>13383</v>
      </c>
      <c r="B8790" s="345" t="s">
        <v>2424</v>
      </c>
    </row>
    <row r="8791" spans="1:2" ht="15.75" x14ac:dyDescent="0.25">
      <c r="A8791" s="344" t="s">
        <v>13384</v>
      </c>
      <c r="B8791" s="345" t="s">
        <v>4795</v>
      </c>
    </row>
    <row r="8792" spans="1:2" ht="15.75" x14ac:dyDescent="0.25">
      <c r="A8792" s="344" t="s">
        <v>13385</v>
      </c>
      <c r="B8792" s="345" t="s">
        <v>2425</v>
      </c>
    </row>
    <row r="8793" spans="1:2" ht="15.75" x14ac:dyDescent="0.25">
      <c r="A8793" s="344" t="s">
        <v>13386</v>
      </c>
      <c r="B8793" s="345" t="s">
        <v>2426</v>
      </c>
    </row>
    <row r="8794" spans="1:2" ht="15.75" x14ac:dyDescent="0.25">
      <c r="A8794" s="344" t="s">
        <v>13387</v>
      </c>
      <c r="B8794" s="345" t="s">
        <v>2427</v>
      </c>
    </row>
    <row r="8795" spans="1:2" ht="15.75" x14ac:dyDescent="0.25">
      <c r="A8795" s="344" t="s">
        <v>13388</v>
      </c>
      <c r="B8795" s="345" t="s">
        <v>2428</v>
      </c>
    </row>
    <row r="8796" spans="1:2" ht="15.75" x14ac:dyDescent="0.25">
      <c r="A8796" s="344" t="s">
        <v>13389</v>
      </c>
      <c r="B8796" s="345" t="s">
        <v>4796</v>
      </c>
    </row>
    <row r="8797" spans="1:2" ht="15.75" x14ac:dyDescent="0.25">
      <c r="A8797" s="344" t="s">
        <v>13390</v>
      </c>
      <c r="B8797" s="345" t="s">
        <v>4797</v>
      </c>
    </row>
    <row r="8798" spans="1:2" ht="15.75" x14ac:dyDescent="0.25">
      <c r="A8798" s="344" t="s">
        <v>13391</v>
      </c>
      <c r="B8798" s="345" t="s">
        <v>2433</v>
      </c>
    </row>
    <row r="8799" spans="1:2" ht="15.75" x14ac:dyDescent="0.25">
      <c r="A8799" s="344" t="s">
        <v>13392</v>
      </c>
      <c r="B8799" s="345" t="s">
        <v>2434</v>
      </c>
    </row>
    <row r="8800" spans="1:2" ht="15.75" x14ac:dyDescent="0.25">
      <c r="A8800" s="344" t="s">
        <v>13393</v>
      </c>
      <c r="B8800" s="345" t="s">
        <v>4798</v>
      </c>
    </row>
    <row r="8801" spans="1:2" ht="15.75" x14ac:dyDescent="0.25">
      <c r="A8801" s="344" t="s">
        <v>13394</v>
      </c>
      <c r="B8801" s="345" t="s">
        <v>2440</v>
      </c>
    </row>
    <row r="8802" spans="1:2" ht="15.75" x14ac:dyDescent="0.25">
      <c r="A8802" s="344" t="s">
        <v>13395</v>
      </c>
      <c r="B8802" s="345" t="s">
        <v>2374</v>
      </c>
    </row>
    <row r="8803" spans="1:2" ht="15.75" x14ac:dyDescent="0.25">
      <c r="A8803" s="344" t="s">
        <v>13396</v>
      </c>
      <c r="B8803" s="345" t="s">
        <v>4799</v>
      </c>
    </row>
    <row r="8804" spans="1:2" ht="15.75" x14ac:dyDescent="0.25">
      <c r="A8804" s="344" t="s">
        <v>13397</v>
      </c>
      <c r="B8804" s="345" t="s">
        <v>4800</v>
      </c>
    </row>
    <row r="8805" spans="1:2" ht="15.75" x14ac:dyDescent="0.25">
      <c r="A8805" s="344" t="s">
        <v>13398</v>
      </c>
      <c r="B8805" s="345" t="s">
        <v>2447</v>
      </c>
    </row>
    <row r="8806" spans="1:2" ht="15.75" x14ac:dyDescent="0.25">
      <c r="A8806" s="344" t="s">
        <v>13399</v>
      </c>
      <c r="B8806" s="345" t="s">
        <v>4801</v>
      </c>
    </row>
    <row r="8807" spans="1:2" ht="15.75" x14ac:dyDescent="0.25">
      <c r="A8807" s="344" t="s">
        <v>13400</v>
      </c>
      <c r="B8807" s="345" t="s">
        <v>4764</v>
      </c>
    </row>
    <row r="8808" spans="1:2" ht="15.75" x14ac:dyDescent="0.25">
      <c r="A8808" s="344" t="s">
        <v>13401</v>
      </c>
      <c r="B8808" s="345" t="s">
        <v>4802</v>
      </c>
    </row>
    <row r="8809" spans="1:2" ht="15.75" x14ac:dyDescent="0.25">
      <c r="A8809" s="344" t="s">
        <v>13402</v>
      </c>
      <c r="B8809" s="345" t="s">
        <v>4803</v>
      </c>
    </row>
    <row r="8810" spans="1:2" ht="15.75" x14ac:dyDescent="0.25">
      <c r="A8810" s="344" t="s">
        <v>13403</v>
      </c>
      <c r="B8810" s="345" t="s">
        <v>4804</v>
      </c>
    </row>
    <row r="8811" spans="1:2" ht="15.75" x14ac:dyDescent="0.25">
      <c r="A8811" s="344" t="s">
        <v>13404</v>
      </c>
      <c r="B8811" s="345" t="s">
        <v>4805</v>
      </c>
    </row>
    <row r="8812" spans="1:2" ht="15.75" x14ac:dyDescent="0.25">
      <c r="A8812" s="344" t="s">
        <v>13405</v>
      </c>
      <c r="B8812" s="345" t="s">
        <v>2404</v>
      </c>
    </row>
    <row r="8813" spans="1:2" ht="15.75" x14ac:dyDescent="0.25">
      <c r="A8813" s="344" t="s">
        <v>13406</v>
      </c>
      <c r="B8813" s="345" t="s">
        <v>4806</v>
      </c>
    </row>
    <row r="8814" spans="1:2" ht="15.75" x14ac:dyDescent="0.25">
      <c r="A8814" s="344" t="s">
        <v>13407</v>
      </c>
      <c r="B8814" s="345" t="s">
        <v>4758</v>
      </c>
    </row>
    <row r="8815" spans="1:2" ht="15.75" x14ac:dyDescent="0.25">
      <c r="A8815" s="344" t="s">
        <v>13408</v>
      </c>
      <c r="B8815" s="345" t="s">
        <v>4807</v>
      </c>
    </row>
    <row r="8816" spans="1:2" ht="15.75" x14ac:dyDescent="0.25">
      <c r="A8816" s="344" t="s">
        <v>13409</v>
      </c>
      <c r="B8816" s="345" t="s">
        <v>2421</v>
      </c>
    </row>
    <row r="8817" spans="1:2" ht="15.75" x14ac:dyDescent="0.25">
      <c r="A8817" s="344" t="s">
        <v>13410</v>
      </c>
      <c r="B8817" s="345" t="s">
        <v>4808</v>
      </c>
    </row>
    <row r="8818" spans="1:2" ht="15.75" x14ac:dyDescent="0.25">
      <c r="A8818" s="344" t="s">
        <v>13411</v>
      </c>
      <c r="B8818" s="345" t="s">
        <v>4809</v>
      </c>
    </row>
    <row r="8819" spans="1:2" ht="15.75" x14ac:dyDescent="0.25">
      <c r="A8819" s="344" t="s">
        <v>13412</v>
      </c>
      <c r="B8819" s="345" t="s">
        <v>3200</v>
      </c>
    </row>
    <row r="8820" spans="1:2" ht="15.75" x14ac:dyDescent="0.25">
      <c r="A8820" s="344" t="s">
        <v>13413</v>
      </c>
      <c r="B8820" s="345" t="s">
        <v>4810</v>
      </c>
    </row>
    <row r="8821" spans="1:2" ht="15.75" x14ac:dyDescent="0.25">
      <c r="A8821" s="344" t="s">
        <v>13414</v>
      </c>
      <c r="B8821" s="345" t="s">
        <v>13415</v>
      </c>
    </row>
    <row r="8822" spans="1:2" ht="15.75" x14ac:dyDescent="0.25">
      <c r="A8822" s="344" t="s">
        <v>13416</v>
      </c>
      <c r="B8822" s="345" t="s">
        <v>13417</v>
      </c>
    </row>
    <row r="8823" spans="1:2" ht="15.75" x14ac:dyDescent="0.25">
      <c r="A8823" s="344" t="s">
        <v>13418</v>
      </c>
      <c r="B8823" s="345" t="s">
        <v>4841</v>
      </c>
    </row>
    <row r="8824" spans="1:2" ht="15.75" x14ac:dyDescent="0.25">
      <c r="A8824" s="344" t="s">
        <v>13419</v>
      </c>
      <c r="B8824" s="345" t="s">
        <v>13420</v>
      </c>
    </row>
    <row r="8825" spans="1:2" ht="15.75" x14ac:dyDescent="0.25">
      <c r="A8825" s="344" t="s">
        <v>13421</v>
      </c>
      <c r="B8825" s="345" t="s">
        <v>13422</v>
      </c>
    </row>
    <row r="8826" spans="1:2" ht="15.75" x14ac:dyDescent="0.25">
      <c r="A8826" s="344" t="s">
        <v>13423</v>
      </c>
      <c r="B8826" s="345" t="s">
        <v>13424</v>
      </c>
    </row>
    <row r="8827" spans="1:2" ht="15.75" x14ac:dyDescent="0.25">
      <c r="A8827" s="344" t="s">
        <v>13425</v>
      </c>
      <c r="B8827" s="345" t="s">
        <v>13426</v>
      </c>
    </row>
    <row r="8828" spans="1:2" ht="15.75" x14ac:dyDescent="0.25">
      <c r="A8828" s="344" t="s">
        <v>13427</v>
      </c>
      <c r="B8828" s="345" t="s">
        <v>4980</v>
      </c>
    </row>
    <row r="8829" spans="1:2" ht="15.75" x14ac:dyDescent="0.25">
      <c r="A8829" s="344" t="s">
        <v>13428</v>
      </c>
      <c r="B8829" s="345" t="s">
        <v>13429</v>
      </c>
    </row>
    <row r="8830" spans="1:2" ht="15.75" x14ac:dyDescent="0.25">
      <c r="A8830" s="344" t="s">
        <v>13430</v>
      </c>
      <c r="B8830" s="345" t="s">
        <v>4929</v>
      </c>
    </row>
    <row r="8831" spans="1:2" ht="15.75" x14ac:dyDescent="0.25">
      <c r="A8831" s="344" t="s">
        <v>13431</v>
      </c>
      <c r="B8831" s="345" t="s">
        <v>13432</v>
      </c>
    </row>
    <row r="8832" spans="1:2" ht="15.75" x14ac:dyDescent="0.25">
      <c r="A8832" s="344" t="s">
        <v>13433</v>
      </c>
      <c r="B8832" s="345" t="s">
        <v>13434</v>
      </c>
    </row>
    <row r="8833" spans="1:2" ht="15.75" x14ac:dyDescent="0.25">
      <c r="A8833" s="344" t="s">
        <v>13435</v>
      </c>
      <c r="B8833" s="345" t="s">
        <v>4811</v>
      </c>
    </row>
    <row r="8834" spans="1:2" ht="15.75" x14ac:dyDescent="0.25">
      <c r="A8834" s="344" t="s">
        <v>13436</v>
      </c>
      <c r="B8834" s="345" t="s">
        <v>4812</v>
      </c>
    </row>
    <row r="8835" spans="1:2" ht="15.75" x14ac:dyDescent="0.25">
      <c r="A8835" s="344" t="s">
        <v>13437</v>
      </c>
      <c r="B8835" s="345" t="s">
        <v>4813</v>
      </c>
    </row>
    <row r="8836" spans="1:2" ht="15.75" x14ac:dyDescent="0.25">
      <c r="A8836" s="344" t="s">
        <v>13438</v>
      </c>
      <c r="B8836" s="345" t="s">
        <v>4814</v>
      </c>
    </row>
    <row r="8837" spans="1:2" ht="15.75" x14ac:dyDescent="0.25">
      <c r="A8837" s="344" t="s">
        <v>13439</v>
      </c>
      <c r="B8837" s="345" t="s">
        <v>4815</v>
      </c>
    </row>
    <row r="8838" spans="1:2" ht="15.75" x14ac:dyDescent="0.25">
      <c r="A8838" s="344" t="s">
        <v>13440</v>
      </c>
      <c r="B8838" s="345" t="s">
        <v>4816</v>
      </c>
    </row>
    <row r="8839" spans="1:2" ht="15.75" x14ac:dyDescent="0.25">
      <c r="A8839" s="344" t="s">
        <v>13441</v>
      </c>
      <c r="B8839" s="345" t="s">
        <v>4817</v>
      </c>
    </row>
    <row r="8840" spans="1:2" ht="15.75" x14ac:dyDescent="0.25">
      <c r="A8840" s="344" t="s">
        <v>13442</v>
      </c>
      <c r="B8840" s="345" t="s">
        <v>4921</v>
      </c>
    </row>
    <row r="8841" spans="1:2" ht="15.75" x14ac:dyDescent="0.25">
      <c r="A8841" s="344" t="s">
        <v>13443</v>
      </c>
      <c r="B8841" s="345" t="s">
        <v>4818</v>
      </c>
    </row>
    <row r="8842" spans="1:2" ht="15.75" x14ac:dyDescent="0.25">
      <c r="A8842" s="344" t="s">
        <v>13444</v>
      </c>
      <c r="B8842" s="345" t="s">
        <v>13445</v>
      </c>
    </row>
    <row r="8843" spans="1:2" ht="15.75" x14ac:dyDescent="0.25">
      <c r="A8843" s="344" t="s">
        <v>13446</v>
      </c>
      <c r="B8843" s="345" t="s">
        <v>4819</v>
      </c>
    </row>
    <row r="8844" spans="1:2" ht="15.75" x14ac:dyDescent="0.25">
      <c r="A8844" s="344" t="s">
        <v>13447</v>
      </c>
      <c r="B8844" s="345" t="s">
        <v>13448</v>
      </c>
    </row>
    <row r="8845" spans="1:2" ht="15.75" x14ac:dyDescent="0.25">
      <c r="A8845" s="344" t="s">
        <v>13449</v>
      </c>
      <c r="B8845" s="345" t="s">
        <v>4820</v>
      </c>
    </row>
    <row r="8846" spans="1:2" ht="15.75" x14ac:dyDescent="0.25">
      <c r="A8846" s="344" t="s">
        <v>13450</v>
      </c>
      <c r="B8846" s="345" t="s">
        <v>13451</v>
      </c>
    </row>
    <row r="8847" spans="1:2" ht="15.75" x14ac:dyDescent="0.25">
      <c r="A8847" s="344" t="s">
        <v>13452</v>
      </c>
      <c r="B8847" s="345" t="s">
        <v>4821</v>
      </c>
    </row>
    <row r="8848" spans="1:2" ht="15.75" x14ac:dyDescent="0.25">
      <c r="A8848" s="344" t="s">
        <v>13453</v>
      </c>
      <c r="B8848" s="345" t="s">
        <v>13454</v>
      </c>
    </row>
    <row r="8849" spans="1:2" ht="15.75" x14ac:dyDescent="0.25">
      <c r="A8849" s="344" t="s">
        <v>13455</v>
      </c>
      <c r="B8849" s="345" t="s">
        <v>4822</v>
      </c>
    </row>
    <row r="8850" spans="1:2" ht="15.75" x14ac:dyDescent="0.25">
      <c r="A8850" s="344" t="s">
        <v>13456</v>
      </c>
      <c r="B8850" s="345" t="s">
        <v>13457</v>
      </c>
    </row>
    <row r="8851" spans="1:2" ht="15.75" x14ac:dyDescent="0.25">
      <c r="A8851" s="344" t="s">
        <v>13458</v>
      </c>
      <c r="B8851" s="345" t="s">
        <v>4823</v>
      </c>
    </row>
    <row r="8852" spans="1:2" ht="15.75" x14ac:dyDescent="0.25">
      <c r="A8852" s="344" t="s">
        <v>13459</v>
      </c>
      <c r="B8852" s="345" t="s">
        <v>4824</v>
      </c>
    </row>
    <row r="8853" spans="1:2" ht="15.75" x14ac:dyDescent="0.25">
      <c r="A8853" s="344" t="s">
        <v>13460</v>
      </c>
      <c r="B8853" s="345" t="s">
        <v>4825</v>
      </c>
    </row>
    <row r="8854" spans="1:2" ht="15.75" x14ac:dyDescent="0.25">
      <c r="A8854" s="344" t="s">
        <v>13461</v>
      </c>
      <c r="B8854" s="345" t="s">
        <v>4826</v>
      </c>
    </row>
    <row r="8855" spans="1:2" ht="15.75" x14ac:dyDescent="0.25">
      <c r="A8855" s="344" t="s">
        <v>13462</v>
      </c>
      <c r="B8855" s="345" t="s">
        <v>4827</v>
      </c>
    </row>
    <row r="8856" spans="1:2" ht="15.75" x14ac:dyDescent="0.25">
      <c r="A8856" s="344" t="s">
        <v>13463</v>
      </c>
      <c r="B8856" s="345" t="s">
        <v>4828</v>
      </c>
    </row>
    <row r="8857" spans="1:2" ht="15.75" x14ac:dyDescent="0.25">
      <c r="A8857" s="344" t="s">
        <v>13464</v>
      </c>
      <c r="B8857" s="345" t="s">
        <v>4829</v>
      </c>
    </row>
    <row r="8858" spans="1:2" ht="15.75" x14ac:dyDescent="0.25">
      <c r="A8858" s="344" t="s">
        <v>13465</v>
      </c>
      <c r="B8858" s="345" t="s">
        <v>4830</v>
      </c>
    </row>
    <row r="8859" spans="1:2" ht="15.75" x14ac:dyDescent="0.25">
      <c r="A8859" s="344" t="s">
        <v>13466</v>
      </c>
      <c r="B8859" s="345" t="s">
        <v>13467</v>
      </c>
    </row>
    <row r="8860" spans="1:2" ht="15.75" x14ac:dyDescent="0.25">
      <c r="A8860" s="344" t="s">
        <v>13468</v>
      </c>
      <c r="B8860" s="345" t="s">
        <v>13469</v>
      </c>
    </row>
    <row r="8861" spans="1:2" ht="15.75" x14ac:dyDescent="0.25">
      <c r="A8861" s="344" t="s">
        <v>13470</v>
      </c>
      <c r="B8861" s="345" t="s">
        <v>13471</v>
      </c>
    </row>
    <row r="8862" spans="1:2" ht="15.75" x14ac:dyDescent="0.25">
      <c r="A8862" s="344" t="s">
        <v>13472</v>
      </c>
      <c r="B8862" s="345" t="s">
        <v>13063</v>
      </c>
    </row>
    <row r="8863" spans="1:2" ht="15.75" x14ac:dyDescent="0.25">
      <c r="A8863" s="344" t="s">
        <v>13473</v>
      </c>
      <c r="B8863" s="345" t="s">
        <v>13474</v>
      </c>
    </row>
    <row r="8864" spans="1:2" ht="15.75" x14ac:dyDescent="0.25">
      <c r="A8864" s="344" t="s">
        <v>13475</v>
      </c>
      <c r="B8864" s="345" t="s">
        <v>4831</v>
      </c>
    </row>
    <row r="8865" spans="1:2" ht="15.75" x14ac:dyDescent="0.25">
      <c r="A8865" s="344" t="s">
        <v>13476</v>
      </c>
      <c r="B8865" s="345" t="s">
        <v>4832</v>
      </c>
    </row>
    <row r="8866" spans="1:2" ht="15.75" x14ac:dyDescent="0.25">
      <c r="A8866" s="344" t="s">
        <v>13477</v>
      </c>
      <c r="B8866" s="345" t="s">
        <v>4833</v>
      </c>
    </row>
    <row r="8867" spans="1:2" ht="15.75" x14ac:dyDescent="0.25">
      <c r="A8867" s="344" t="s">
        <v>13478</v>
      </c>
      <c r="B8867" s="345" t="s">
        <v>4834</v>
      </c>
    </row>
    <row r="8868" spans="1:2" ht="15.75" x14ac:dyDescent="0.25">
      <c r="A8868" s="344" t="s">
        <v>13479</v>
      </c>
      <c r="B8868" s="345" t="s">
        <v>4835</v>
      </c>
    </row>
    <row r="8869" spans="1:2" ht="15.75" x14ac:dyDescent="0.25">
      <c r="A8869" s="344" t="s">
        <v>13480</v>
      </c>
      <c r="B8869" s="345" t="s">
        <v>4836</v>
      </c>
    </row>
    <row r="8870" spans="1:2" ht="15.75" x14ac:dyDescent="0.25">
      <c r="A8870" s="344" t="s">
        <v>13481</v>
      </c>
      <c r="B8870" s="345" t="s">
        <v>4837</v>
      </c>
    </row>
    <row r="8871" spans="1:2" ht="15.75" x14ac:dyDescent="0.25">
      <c r="A8871" s="344" t="s">
        <v>13482</v>
      </c>
      <c r="B8871" s="345" t="s">
        <v>4838</v>
      </c>
    </row>
    <row r="8872" spans="1:2" ht="15.75" x14ac:dyDescent="0.25">
      <c r="A8872" s="344" t="s">
        <v>13483</v>
      </c>
      <c r="B8872" s="345" t="s">
        <v>4839</v>
      </c>
    </row>
    <row r="8873" spans="1:2" ht="15.75" x14ac:dyDescent="0.25">
      <c r="A8873" s="344" t="s">
        <v>13484</v>
      </c>
      <c r="B8873" s="345" t="s">
        <v>4840</v>
      </c>
    </row>
    <row r="8874" spans="1:2" ht="15.75" x14ac:dyDescent="0.25">
      <c r="A8874" s="344" t="s">
        <v>13485</v>
      </c>
      <c r="B8874" s="345" t="s">
        <v>13486</v>
      </c>
    </row>
    <row r="8875" spans="1:2" ht="15.75" x14ac:dyDescent="0.25">
      <c r="A8875" s="344" t="s">
        <v>13487</v>
      </c>
      <c r="B8875" s="345" t="s">
        <v>13488</v>
      </c>
    </row>
    <row r="8876" spans="1:2" ht="15.75" x14ac:dyDescent="0.25">
      <c r="A8876" s="344" t="s">
        <v>13489</v>
      </c>
      <c r="B8876" s="345" t="s">
        <v>13490</v>
      </c>
    </row>
    <row r="8877" spans="1:2" ht="15.75" x14ac:dyDescent="0.25">
      <c r="A8877" s="344" t="s">
        <v>13491</v>
      </c>
      <c r="B8877" s="345" t="s">
        <v>13492</v>
      </c>
    </row>
    <row r="8878" spans="1:2" ht="15.75" x14ac:dyDescent="0.25">
      <c r="A8878" s="344" t="s">
        <v>13493</v>
      </c>
      <c r="B8878" s="345" t="s">
        <v>13494</v>
      </c>
    </row>
    <row r="8879" spans="1:2" ht="15.75" x14ac:dyDescent="0.25">
      <c r="A8879" s="344" t="s">
        <v>13495</v>
      </c>
      <c r="B8879" s="345" t="s">
        <v>13496</v>
      </c>
    </row>
    <row r="8880" spans="1:2" ht="15.75" x14ac:dyDescent="0.25">
      <c r="A8880" s="344" t="s">
        <v>13497</v>
      </c>
      <c r="B8880" s="345" t="s">
        <v>13498</v>
      </c>
    </row>
    <row r="8881" spans="1:2" ht="15.75" x14ac:dyDescent="0.25">
      <c r="A8881" s="344" t="s">
        <v>13499</v>
      </c>
      <c r="B8881" s="345" t="s">
        <v>13500</v>
      </c>
    </row>
    <row r="8882" spans="1:2" ht="15.75" x14ac:dyDescent="0.25">
      <c r="A8882" s="344" t="s">
        <v>13501</v>
      </c>
      <c r="B8882" s="345" t="s">
        <v>13502</v>
      </c>
    </row>
    <row r="8883" spans="1:2" ht="15.75" x14ac:dyDescent="0.25">
      <c r="A8883" s="344" t="s">
        <v>13503</v>
      </c>
      <c r="B8883" s="345" t="s">
        <v>13504</v>
      </c>
    </row>
    <row r="8884" spans="1:2" ht="15.75" x14ac:dyDescent="0.25">
      <c r="A8884" s="344" t="s">
        <v>13505</v>
      </c>
      <c r="B8884" s="345" t="s">
        <v>13506</v>
      </c>
    </row>
    <row r="8885" spans="1:2" ht="15.75" x14ac:dyDescent="0.25">
      <c r="A8885" s="344" t="s">
        <v>13507</v>
      </c>
      <c r="B8885" s="345" t="s">
        <v>13508</v>
      </c>
    </row>
    <row r="8886" spans="1:2" ht="15.75" x14ac:dyDescent="0.25">
      <c r="A8886" s="344" t="s">
        <v>13509</v>
      </c>
      <c r="B8886" s="345" t="s">
        <v>13510</v>
      </c>
    </row>
    <row r="8887" spans="1:2" ht="15.75" x14ac:dyDescent="0.25">
      <c r="A8887" s="344" t="s">
        <v>13511</v>
      </c>
      <c r="B8887" s="345" t="s">
        <v>13512</v>
      </c>
    </row>
    <row r="8888" spans="1:2" ht="15.75" x14ac:dyDescent="0.25">
      <c r="A8888" s="344" t="s">
        <v>13513</v>
      </c>
      <c r="B8888" s="345" t="s">
        <v>13514</v>
      </c>
    </row>
    <row r="8889" spans="1:2" ht="15.75" x14ac:dyDescent="0.25">
      <c r="A8889" s="344" t="s">
        <v>13515</v>
      </c>
      <c r="B8889" s="345" t="s">
        <v>13516</v>
      </c>
    </row>
    <row r="8890" spans="1:2" ht="15.75" x14ac:dyDescent="0.25">
      <c r="A8890" s="344" t="s">
        <v>13517</v>
      </c>
      <c r="B8890" s="345" t="s">
        <v>13518</v>
      </c>
    </row>
    <row r="8891" spans="1:2" ht="15.75" x14ac:dyDescent="0.25">
      <c r="A8891" s="344" t="s">
        <v>13519</v>
      </c>
      <c r="B8891" s="345" t="s">
        <v>13520</v>
      </c>
    </row>
    <row r="8892" spans="1:2" ht="15.75" x14ac:dyDescent="0.25">
      <c r="A8892" s="344" t="s">
        <v>13521</v>
      </c>
      <c r="B8892" s="345" t="s">
        <v>13522</v>
      </c>
    </row>
    <row r="8893" spans="1:2" ht="15.75" x14ac:dyDescent="0.25">
      <c r="A8893" s="344" t="s">
        <v>13523</v>
      </c>
      <c r="B8893" s="345" t="s">
        <v>13524</v>
      </c>
    </row>
    <row r="8894" spans="1:2" ht="15.75" x14ac:dyDescent="0.25">
      <c r="A8894" s="344" t="s">
        <v>13525</v>
      </c>
      <c r="B8894" s="345" t="s">
        <v>13526</v>
      </c>
    </row>
    <row r="8895" spans="1:2" ht="15.75" x14ac:dyDescent="0.25">
      <c r="A8895" s="344" t="s">
        <v>13527</v>
      </c>
      <c r="B8895" s="345" t="s">
        <v>13528</v>
      </c>
    </row>
    <row r="8896" spans="1:2" ht="15.75" x14ac:dyDescent="0.25">
      <c r="A8896" s="344" t="s">
        <v>13529</v>
      </c>
      <c r="B8896" s="345" t="s">
        <v>13530</v>
      </c>
    </row>
    <row r="8897" spans="1:2" ht="15.75" x14ac:dyDescent="0.25">
      <c r="A8897" s="344" t="s">
        <v>13531</v>
      </c>
      <c r="B8897" s="345" t="s">
        <v>13532</v>
      </c>
    </row>
    <row r="8898" spans="1:2" ht="15.75" x14ac:dyDescent="0.25">
      <c r="A8898" s="344" t="s">
        <v>13533</v>
      </c>
      <c r="B8898" s="345" t="s">
        <v>13534</v>
      </c>
    </row>
    <row r="8899" spans="1:2" ht="15.75" x14ac:dyDescent="0.25">
      <c r="A8899" s="344" t="s">
        <v>13535</v>
      </c>
      <c r="B8899" s="345" t="s">
        <v>13536</v>
      </c>
    </row>
    <row r="8900" spans="1:2" ht="15.75" x14ac:dyDescent="0.25">
      <c r="A8900" s="344" t="s">
        <v>13537</v>
      </c>
      <c r="B8900" s="345" t="s">
        <v>13538</v>
      </c>
    </row>
    <row r="8901" spans="1:2" ht="15.75" x14ac:dyDescent="0.25">
      <c r="A8901" s="344" t="s">
        <v>13539</v>
      </c>
      <c r="B8901" s="345" t="s">
        <v>13540</v>
      </c>
    </row>
    <row r="8902" spans="1:2" ht="15.75" x14ac:dyDescent="0.25">
      <c r="A8902" s="344" t="s">
        <v>13541</v>
      </c>
      <c r="B8902" s="345" t="s">
        <v>13542</v>
      </c>
    </row>
    <row r="8903" spans="1:2" ht="15.75" x14ac:dyDescent="0.25">
      <c r="A8903" s="344" t="s">
        <v>13543</v>
      </c>
      <c r="B8903" s="345" t="s">
        <v>13544</v>
      </c>
    </row>
    <row r="8904" spans="1:2" ht="15.75" x14ac:dyDescent="0.25">
      <c r="A8904" s="344" t="s">
        <v>13545</v>
      </c>
      <c r="B8904" s="345" t="s">
        <v>13546</v>
      </c>
    </row>
    <row r="8905" spans="1:2" ht="15.75" x14ac:dyDescent="0.25">
      <c r="A8905" s="344" t="s">
        <v>13547</v>
      </c>
      <c r="B8905" s="345" t="s">
        <v>13548</v>
      </c>
    </row>
    <row r="8906" spans="1:2" ht="15.75" x14ac:dyDescent="0.25">
      <c r="A8906" s="344" t="s">
        <v>13549</v>
      </c>
      <c r="B8906" s="345" t="s">
        <v>13550</v>
      </c>
    </row>
    <row r="8907" spans="1:2" ht="15.75" x14ac:dyDescent="0.25">
      <c r="A8907" s="344" t="s">
        <v>13551</v>
      </c>
      <c r="B8907" s="345" t="s">
        <v>13552</v>
      </c>
    </row>
    <row r="8908" spans="1:2" ht="15.75" x14ac:dyDescent="0.25">
      <c r="A8908" s="344" t="s">
        <v>13553</v>
      </c>
      <c r="B8908" s="345" t="s">
        <v>13554</v>
      </c>
    </row>
    <row r="8909" spans="1:2" ht="15.75" x14ac:dyDescent="0.25">
      <c r="A8909" s="344" t="s">
        <v>13555</v>
      </c>
      <c r="B8909" s="345" t="s">
        <v>13556</v>
      </c>
    </row>
    <row r="8910" spans="1:2" ht="15.75" x14ac:dyDescent="0.25">
      <c r="A8910" s="344" t="s">
        <v>13557</v>
      </c>
      <c r="B8910" s="345" t="s">
        <v>13558</v>
      </c>
    </row>
    <row r="8911" spans="1:2" ht="15.75" x14ac:dyDescent="0.25">
      <c r="A8911" s="344" t="s">
        <v>13559</v>
      </c>
      <c r="B8911" s="345" t="s">
        <v>13560</v>
      </c>
    </row>
    <row r="8912" spans="1:2" ht="15.75" x14ac:dyDescent="0.25">
      <c r="A8912" s="344" t="s">
        <v>13561</v>
      </c>
      <c r="B8912" s="345" t="s">
        <v>13562</v>
      </c>
    </row>
    <row r="8913" spans="1:2" ht="15.75" x14ac:dyDescent="0.25">
      <c r="A8913" s="344" t="s">
        <v>13563</v>
      </c>
      <c r="B8913" s="345" t="s">
        <v>13564</v>
      </c>
    </row>
    <row r="8914" spans="1:2" ht="15.75" x14ac:dyDescent="0.25">
      <c r="A8914" s="344" t="s">
        <v>13565</v>
      </c>
      <c r="B8914" s="345" t="s">
        <v>13566</v>
      </c>
    </row>
    <row r="8915" spans="1:2" ht="15.75" x14ac:dyDescent="0.25">
      <c r="A8915" s="344" t="s">
        <v>13567</v>
      </c>
      <c r="B8915" s="345" t="s">
        <v>13568</v>
      </c>
    </row>
    <row r="8916" spans="1:2" ht="15.75" x14ac:dyDescent="0.25">
      <c r="A8916" s="344" t="s">
        <v>13569</v>
      </c>
      <c r="B8916" s="345" t="s">
        <v>13570</v>
      </c>
    </row>
    <row r="8917" spans="1:2" ht="15.75" x14ac:dyDescent="0.25">
      <c r="A8917" s="344" t="s">
        <v>13571</v>
      </c>
      <c r="B8917" s="345" t="s">
        <v>13572</v>
      </c>
    </row>
    <row r="8918" spans="1:2" ht="15.75" x14ac:dyDescent="0.25">
      <c r="A8918" s="344" t="s">
        <v>13573</v>
      </c>
      <c r="B8918" s="345" t="s">
        <v>13574</v>
      </c>
    </row>
    <row r="8919" spans="1:2" ht="15.75" x14ac:dyDescent="0.25">
      <c r="A8919" s="344" t="s">
        <v>13575</v>
      </c>
      <c r="B8919" s="345" t="s">
        <v>13576</v>
      </c>
    </row>
    <row r="8920" spans="1:2" ht="15.75" x14ac:dyDescent="0.25">
      <c r="A8920" s="344" t="s">
        <v>13577</v>
      </c>
      <c r="B8920" s="345" t="s">
        <v>13578</v>
      </c>
    </row>
    <row r="8921" spans="1:2" ht="15.75" x14ac:dyDescent="0.25">
      <c r="A8921" s="344" t="s">
        <v>13579</v>
      </c>
      <c r="B8921" s="345" t="s">
        <v>13580</v>
      </c>
    </row>
    <row r="8922" spans="1:2" ht="15.75" x14ac:dyDescent="0.25">
      <c r="A8922" s="344" t="s">
        <v>13581</v>
      </c>
      <c r="B8922" s="345" t="s">
        <v>13582</v>
      </c>
    </row>
    <row r="8923" spans="1:2" ht="15.75" x14ac:dyDescent="0.25">
      <c r="A8923" s="344" t="s">
        <v>13583</v>
      </c>
      <c r="B8923" s="345" t="s">
        <v>13584</v>
      </c>
    </row>
    <row r="8924" spans="1:2" ht="15.75" x14ac:dyDescent="0.25">
      <c r="A8924" s="344" t="s">
        <v>13585</v>
      </c>
      <c r="B8924" s="345" t="s">
        <v>13586</v>
      </c>
    </row>
    <row r="8925" spans="1:2" ht="15.75" x14ac:dyDescent="0.25">
      <c r="A8925" s="344" t="s">
        <v>13587</v>
      </c>
      <c r="B8925" s="345" t="s">
        <v>13588</v>
      </c>
    </row>
    <row r="8926" spans="1:2" ht="15.75" x14ac:dyDescent="0.25">
      <c r="A8926" s="344" t="s">
        <v>13589</v>
      </c>
      <c r="B8926" s="345" t="s">
        <v>13590</v>
      </c>
    </row>
    <row r="8927" spans="1:2" ht="15.75" x14ac:dyDescent="0.25">
      <c r="A8927" s="344" t="s">
        <v>13591</v>
      </c>
      <c r="B8927" s="345" t="s">
        <v>13592</v>
      </c>
    </row>
    <row r="8928" spans="1:2" ht="15.75" x14ac:dyDescent="0.25">
      <c r="A8928" s="344" t="s">
        <v>13593</v>
      </c>
      <c r="B8928" s="345" t="s">
        <v>13594</v>
      </c>
    </row>
    <row r="8929" spans="1:2" ht="15.75" x14ac:dyDescent="0.25">
      <c r="A8929" s="344" t="s">
        <v>13595</v>
      </c>
      <c r="B8929" s="345" t="s">
        <v>13596</v>
      </c>
    </row>
    <row r="8930" spans="1:2" ht="15.75" x14ac:dyDescent="0.25">
      <c r="A8930" s="344" t="s">
        <v>13597</v>
      </c>
      <c r="B8930" s="345" t="s">
        <v>13598</v>
      </c>
    </row>
    <row r="8931" spans="1:2" ht="15.75" x14ac:dyDescent="0.25">
      <c r="A8931" s="344" t="s">
        <v>13599</v>
      </c>
      <c r="B8931" s="345" t="s">
        <v>13600</v>
      </c>
    </row>
    <row r="8932" spans="1:2" ht="15.75" x14ac:dyDescent="0.25">
      <c r="A8932" s="344" t="s">
        <v>13601</v>
      </c>
      <c r="B8932" s="345" t="s">
        <v>13602</v>
      </c>
    </row>
    <row r="8933" spans="1:2" ht="15.75" x14ac:dyDescent="0.25">
      <c r="A8933" s="344" t="s">
        <v>13603</v>
      </c>
      <c r="B8933" s="345" t="s">
        <v>13604</v>
      </c>
    </row>
    <row r="8934" spans="1:2" ht="15.75" x14ac:dyDescent="0.25">
      <c r="A8934" s="344" t="s">
        <v>13605</v>
      </c>
      <c r="B8934" s="345" t="s">
        <v>13606</v>
      </c>
    </row>
    <row r="8935" spans="1:2" ht="15.75" x14ac:dyDescent="0.25">
      <c r="A8935" s="344" t="s">
        <v>13607</v>
      </c>
      <c r="B8935" s="345" t="s">
        <v>13608</v>
      </c>
    </row>
    <row r="8936" spans="1:2" ht="15.75" x14ac:dyDescent="0.25">
      <c r="A8936" s="344" t="s">
        <v>13609</v>
      </c>
      <c r="B8936" s="345" t="s">
        <v>13610</v>
      </c>
    </row>
    <row r="8937" spans="1:2" ht="15.75" x14ac:dyDescent="0.25">
      <c r="A8937" s="344" t="s">
        <v>13611</v>
      </c>
      <c r="B8937" s="345" t="s">
        <v>13612</v>
      </c>
    </row>
    <row r="8938" spans="1:2" ht="15.75" x14ac:dyDescent="0.25">
      <c r="A8938" s="344" t="s">
        <v>13613</v>
      </c>
      <c r="B8938" s="345" t="s">
        <v>13614</v>
      </c>
    </row>
    <row r="8939" spans="1:2" ht="15.75" x14ac:dyDescent="0.25">
      <c r="A8939" s="344" t="s">
        <v>13615</v>
      </c>
      <c r="B8939" s="345" t="s">
        <v>13616</v>
      </c>
    </row>
    <row r="8940" spans="1:2" ht="15.75" x14ac:dyDescent="0.25">
      <c r="A8940" s="344" t="s">
        <v>13617</v>
      </c>
      <c r="B8940" s="345" t="s">
        <v>13618</v>
      </c>
    </row>
    <row r="8941" spans="1:2" ht="15.75" x14ac:dyDescent="0.25">
      <c r="A8941" s="344" t="s">
        <v>13619</v>
      </c>
      <c r="B8941" s="345" t="s">
        <v>13620</v>
      </c>
    </row>
    <row r="8942" spans="1:2" ht="15.75" x14ac:dyDescent="0.25">
      <c r="A8942" s="344" t="s">
        <v>13621</v>
      </c>
      <c r="B8942" s="345" t="s">
        <v>13622</v>
      </c>
    </row>
    <row r="8943" spans="1:2" ht="15.75" x14ac:dyDescent="0.25">
      <c r="A8943" s="344" t="s">
        <v>13623</v>
      </c>
      <c r="B8943" s="345" t="s">
        <v>13624</v>
      </c>
    </row>
    <row r="8944" spans="1:2" ht="15.75" x14ac:dyDescent="0.25">
      <c r="A8944" s="344" t="s">
        <v>13625</v>
      </c>
      <c r="B8944" s="345" t="s">
        <v>13626</v>
      </c>
    </row>
    <row r="8945" spans="1:2" ht="15.75" x14ac:dyDescent="0.25">
      <c r="A8945" s="344" t="s">
        <v>13627</v>
      </c>
      <c r="B8945" s="345" t="s">
        <v>13628</v>
      </c>
    </row>
    <row r="8946" spans="1:2" ht="15.75" x14ac:dyDescent="0.25">
      <c r="A8946" s="344" t="s">
        <v>13629</v>
      </c>
      <c r="B8946" s="345" t="s">
        <v>13630</v>
      </c>
    </row>
    <row r="8947" spans="1:2" ht="15.75" x14ac:dyDescent="0.25">
      <c r="A8947" s="344" t="s">
        <v>13631</v>
      </c>
      <c r="B8947" s="345" t="s">
        <v>13632</v>
      </c>
    </row>
    <row r="8948" spans="1:2" ht="15.75" x14ac:dyDescent="0.25">
      <c r="A8948" s="344" t="s">
        <v>13633</v>
      </c>
      <c r="B8948" s="345" t="s">
        <v>13634</v>
      </c>
    </row>
    <row r="8949" spans="1:2" ht="15.75" x14ac:dyDescent="0.25">
      <c r="A8949" s="344" t="s">
        <v>13635</v>
      </c>
      <c r="B8949" s="345" t="s">
        <v>13636</v>
      </c>
    </row>
    <row r="8950" spans="1:2" ht="15.75" x14ac:dyDescent="0.25">
      <c r="A8950" s="344" t="s">
        <v>13637</v>
      </c>
      <c r="B8950" s="345" t="s">
        <v>13638</v>
      </c>
    </row>
    <row r="8951" spans="1:2" ht="15.75" x14ac:dyDescent="0.25">
      <c r="A8951" s="344" t="s">
        <v>13639</v>
      </c>
      <c r="B8951" s="345" t="s">
        <v>13640</v>
      </c>
    </row>
    <row r="8952" spans="1:2" ht="15.75" x14ac:dyDescent="0.25">
      <c r="A8952" s="344" t="s">
        <v>13641</v>
      </c>
      <c r="B8952" s="345" t="s">
        <v>13642</v>
      </c>
    </row>
    <row r="8953" spans="1:2" ht="15.75" x14ac:dyDescent="0.25">
      <c r="A8953" s="344" t="s">
        <v>13643</v>
      </c>
      <c r="B8953" s="345" t="s">
        <v>13644</v>
      </c>
    </row>
    <row r="8954" spans="1:2" ht="15.75" x14ac:dyDescent="0.25">
      <c r="A8954" s="344" t="s">
        <v>13645</v>
      </c>
      <c r="B8954" s="345" t="s">
        <v>13646</v>
      </c>
    </row>
    <row r="8955" spans="1:2" ht="15.75" x14ac:dyDescent="0.25">
      <c r="A8955" s="344" t="s">
        <v>13647</v>
      </c>
      <c r="B8955" s="345" t="s">
        <v>13648</v>
      </c>
    </row>
    <row r="8956" spans="1:2" ht="15.75" x14ac:dyDescent="0.25">
      <c r="A8956" s="344" t="s">
        <v>13649</v>
      </c>
      <c r="B8956" s="345" t="s">
        <v>13650</v>
      </c>
    </row>
    <row r="8957" spans="1:2" ht="15.75" x14ac:dyDescent="0.25">
      <c r="A8957" s="344" t="s">
        <v>13651</v>
      </c>
      <c r="B8957" s="345" t="s">
        <v>13652</v>
      </c>
    </row>
    <row r="8958" spans="1:2" ht="15.75" x14ac:dyDescent="0.25">
      <c r="A8958" s="344" t="s">
        <v>13653</v>
      </c>
      <c r="B8958" s="345" t="s">
        <v>13654</v>
      </c>
    </row>
    <row r="8959" spans="1:2" ht="15.75" x14ac:dyDescent="0.25">
      <c r="A8959" s="344" t="s">
        <v>13655</v>
      </c>
      <c r="B8959" s="345" t="s">
        <v>13656</v>
      </c>
    </row>
    <row r="8960" spans="1:2" ht="15.75" x14ac:dyDescent="0.25">
      <c r="A8960" s="344" t="s">
        <v>13657</v>
      </c>
      <c r="B8960" s="345" t="s">
        <v>13658</v>
      </c>
    </row>
    <row r="8961" spans="1:2" ht="15.75" x14ac:dyDescent="0.25">
      <c r="A8961" s="344" t="s">
        <v>13659</v>
      </c>
      <c r="B8961" s="345" t="s">
        <v>13660</v>
      </c>
    </row>
    <row r="8962" spans="1:2" ht="15.75" x14ac:dyDescent="0.25">
      <c r="A8962" s="344" t="s">
        <v>13661</v>
      </c>
      <c r="B8962" s="345" t="s">
        <v>13662</v>
      </c>
    </row>
    <row r="8963" spans="1:2" ht="15.75" x14ac:dyDescent="0.25">
      <c r="A8963" s="344" t="s">
        <v>13663</v>
      </c>
      <c r="B8963" s="345" t="s">
        <v>13664</v>
      </c>
    </row>
    <row r="8964" spans="1:2" ht="15.75" x14ac:dyDescent="0.25">
      <c r="A8964" s="344" t="s">
        <v>13665</v>
      </c>
      <c r="B8964" s="345" t="s">
        <v>13666</v>
      </c>
    </row>
    <row r="8965" spans="1:2" ht="15.75" x14ac:dyDescent="0.25">
      <c r="A8965" s="344" t="s">
        <v>13667</v>
      </c>
      <c r="B8965" s="345" t="s">
        <v>13668</v>
      </c>
    </row>
    <row r="8966" spans="1:2" ht="15.75" x14ac:dyDescent="0.25">
      <c r="A8966" s="344" t="s">
        <v>13669</v>
      </c>
      <c r="B8966" s="345" t="s">
        <v>13670</v>
      </c>
    </row>
    <row r="8967" spans="1:2" ht="15.75" x14ac:dyDescent="0.25">
      <c r="A8967" s="344" t="s">
        <v>13671</v>
      </c>
      <c r="B8967" s="345" t="s">
        <v>13672</v>
      </c>
    </row>
    <row r="8968" spans="1:2" ht="15.75" x14ac:dyDescent="0.25">
      <c r="A8968" s="344" t="s">
        <v>13673</v>
      </c>
      <c r="B8968" s="345" t="s">
        <v>13674</v>
      </c>
    </row>
    <row r="8969" spans="1:2" ht="15.75" x14ac:dyDescent="0.25">
      <c r="A8969" s="344" t="s">
        <v>13675</v>
      </c>
      <c r="B8969" s="345" t="s">
        <v>13676</v>
      </c>
    </row>
    <row r="8970" spans="1:2" ht="15.75" x14ac:dyDescent="0.25">
      <c r="A8970" s="344" t="s">
        <v>13677</v>
      </c>
      <c r="B8970" s="345" t="s">
        <v>4841</v>
      </c>
    </row>
    <row r="8971" spans="1:2" ht="15.75" x14ac:dyDescent="0.25">
      <c r="A8971" s="344" t="s">
        <v>13678</v>
      </c>
      <c r="B8971" s="345" t="s">
        <v>4842</v>
      </c>
    </row>
    <row r="8972" spans="1:2" ht="15.75" x14ac:dyDescent="0.25">
      <c r="A8972" s="344" t="s">
        <v>13679</v>
      </c>
      <c r="B8972" s="345" t="s">
        <v>4843</v>
      </c>
    </row>
    <row r="8973" spans="1:2" ht="15.75" x14ac:dyDescent="0.25">
      <c r="A8973" s="344" t="s">
        <v>13680</v>
      </c>
      <c r="B8973" s="345" t="s">
        <v>4844</v>
      </c>
    </row>
    <row r="8974" spans="1:2" ht="15.75" x14ac:dyDescent="0.25">
      <c r="A8974" s="344" t="s">
        <v>13681</v>
      </c>
      <c r="B8974" s="345" t="s">
        <v>4845</v>
      </c>
    </row>
    <row r="8975" spans="1:2" ht="15.75" x14ac:dyDescent="0.25">
      <c r="A8975" s="344" t="s">
        <v>13682</v>
      </c>
      <c r="B8975" s="345" t="s">
        <v>4846</v>
      </c>
    </row>
    <row r="8976" spans="1:2" ht="15.75" x14ac:dyDescent="0.25">
      <c r="A8976" s="344" t="s">
        <v>13683</v>
      </c>
      <c r="B8976" s="345" t="s">
        <v>4847</v>
      </c>
    </row>
    <row r="8977" spans="1:2" ht="15.75" x14ac:dyDescent="0.25">
      <c r="A8977" s="344" t="s">
        <v>13684</v>
      </c>
      <c r="B8977" s="345" t="s">
        <v>4848</v>
      </c>
    </row>
    <row r="8978" spans="1:2" ht="15.75" x14ac:dyDescent="0.25">
      <c r="A8978" s="344" t="s">
        <v>13685</v>
      </c>
      <c r="B8978" s="345" t="s">
        <v>4849</v>
      </c>
    </row>
    <row r="8979" spans="1:2" ht="15.75" x14ac:dyDescent="0.25">
      <c r="A8979" s="344" t="s">
        <v>13686</v>
      </c>
      <c r="B8979" s="345" t="s">
        <v>4850</v>
      </c>
    </row>
    <row r="8980" spans="1:2" ht="15.75" x14ac:dyDescent="0.25">
      <c r="A8980" s="344" t="s">
        <v>13687</v>
      </c>
      <c r="B8980" s="345" t="s">
        <v>4851</v>
      </c>
    </row>
    <row r="8981" spans="1:2" ht="15.75" x14ac:dyDescent="0.25">
      <c r="A8981" s="344" t="s">
        <v>13688</v>
      </c>
      <c r="B8981" s="345" t="s">
        <v>4852</v>
      </c>
    </row>
    <row r="8982" spans="1:2" ht="15.75" x14ac:dyDescent="0.25">
      <c r="A8982" s="344" t="s">
        <v>13689</v>
      </c>
      <c r="B8982" s="345" t="s">
        <v>4853</v>
      </c>
    </row>
    <row r="8983" spans="1:2" ht="15.75" x14ac:dyDescent="0.25">
      <c r="A8983" s="344" t="s">
        <v>13690</v>
      </c>
      <c r="B8983" s="345" t="s">
        <v>4854</v>
      </c>
    </row>
    <row r="8984" spans="1:2" ht="15.75" x14ac:dyDescent="0.25">
      <c r="A8984" s="344" t="s">
        <v>13691</v>
      </c>
      <c r="B8984" s="345" t="s">
        <v>4855</v>
      </c>
    </row>
    <row r="8985" spans="1:2" ht="15.75" x14ac:dyDescent="0.25">
      <c r="A8985" s="344" t="s">
        <v>13692</v>
      </c>
      <c r="B8985" s="345" t="s">
        <v>4856</v>
      </c>
    </row>
    <row r="8986" spans="1:2" ht="15.75" x14ac:dyDescent="0.25">
      <c r="A8986" s="344" t="s">
        <v>13693</v>
      </c>
      <c r="B8986" s="345" t="s">
        <v>4857</v>
      </c>
    </row>
    <row r="8987" spans="1:2" ht="15.75" x14ac:dyDescent="0.25">
      <c r="A8987" s="344" t="s">
        <v>13694</v>
      </c>
      <c r="B8987" s="345" t="s">
        <v>4858</v>
      </c>
    </row>
    <row r="8988" spans="1:2" ht="15.75" x14ac:dyDescent="0.25">
      <c r="A8988" s="344" t="s">
        <v>13695</v>
      </c>
      <c r="B8988" s="345" t="s">
        <v>4859</v>
      </c>
    </row>
    <row r="8989" spans="1:2" ht="15.75" x14ac:dyDescent="0.25">
      <c r="A8989" s="344" t="s">
        <v>13696</v>
      </c>
      <c r="B8989" s="345" t="s">
        <v>4860</v>
      </c>
    </row>
    <row r="8990" spans="1:2" ht="15.75" x14ac:dyDescent="0.25">
      <c r="A8990" s="344" t="s">
        <v>13697</v>
      </c>
      <c r="B8990" s="345" t="s">
        <v>4861</v>
      </c>
    </row>
    <row r="8991" spans="1:2" ht="15.75" x14ac:dyDescent="0.25">
      <c r="A8991" s="344" t="s">
        <v>13698</v>
      </c>
      <c r="B8991" s="345" t="s">
        <v>4862</v>
      </c>
    </row>
    <row r="8992" spans="1:2" ht="15.75" x14ac:dyDescent="0.25">
      <c r="A8992" s="344" t="s">
        <v>13699</v>
      </c>
      <c r="B8992" s="345" t="s">
        <v>4863</v>
      </c>
    </row>
    <row r="8993" spans="1:2" ht="15.75" x14ac:dyDescent="0.25">
      <c r="A8993" s="344" t="s">
        <v>13700</v>
      </c>
      <c r="B8993" s="345" t="s">
        <v>4864</v>
      </c>
    </row>
    <row r="8994" spans="1:2" ht="15.75" x14ac:dyDescent="0.25">
      <c r="A8994" s="344" t="s">
        <v>13701</v>
      </c>
      <c r="B8994" s="345" t="s">
        <v>13702</v>
      </c>
    </row>
    <row r="8995" spans="1:2" ht="15.75" x14ac:dyDescent="0.25">
      <c r="A8995" s="344" t="s">
        <v>13703</v>
      </c>
      <c r="B8995" s="345" t="s">
        <v>4865</v>
      </c>
    </row>
    <row r="8996" spans="1:2" ht="15.75" x14ac:dyDescent="0.25">
      <c r="A8996" s="344" t="s">
        <v>13704</v>
      </c>
      <c r="B8996" s="345" t="s">
        <v>4866</v>
      </c>
    </row>
    <row r="8997" spans="1:2" ht="15.75" x14ac:dyDescent="0.25">
      <c r="A8997" s="344" t="s">
        <v>13705</v>
      </c>
      <c r="B8997" s="345" t="s">
        <v>4867</v>
      </c>
    </row>
    <row r="8998" spans="1:2" ht="15.75" x14ac:dyDescent="0.25">
      <c r="A8998" s="344" t="s">
        <v>13706</v>
      </c>
      <c r="B8998" s="345" t="s">
        <v>4868</v>
      </c>
    </row>
    <row r="8999" spans="1:2" ht="15.75" x14ac:dyDescent="0.25">
      <c r="A8999" s="344" t="s">
        <v>13707</v>
      </c>
      <c r="B8999" s="345" t="s">
        <v>4869</v>
      </c>
    </row>
    <row r="9000" spans="1:2" ht="15.75" x14ac:dyDescent="0.25">
      <c r="A9000" s="344" t="s">
        <v>13708</v>
      </c>
      <c r="B9000" s="345" t="s">
        <v>4870</v>
      </c>
    </row>
    <row r="9001" spans="1:2" ht="15.75" x14ac:dyDescent="0.25">
      <c r="A9001" s="344" t="s">
        <v>13709</v>
      </c>
      <c r="B9001" s="345" t="s">
        <v>4871</v>
      </c>
    </row>
    <row r="9002" spans="1:2" ht="15.75" x14ac:dyDescent="0.25">
      <c r="A9002" s="344" t="s">
        <v>13710</v>
      </c>
      <c r="B9002" s="345" t="s">
        <v>4872</v>
      </c>
    </row>
    <row r="9003" spans="1:2" ht="15.75" x14ac:dyDescent="0.25">
      <c r="A9003" s="344" t="s">
        <v>13711</v>
      </c>
      <c r="B9003" s="345" t="s">
        <v>4873</v>
      </c>
    </row>
    <row r="9004" spans="1:2" ht="15.75" x14ac:dyDescent="0.25">
      <c r="A9004" s="344" t="s">
        <v>13712</v>
      </c>
      <c r="B9004" s="345" t="s">
        <v>4874</v>
      </c>
    </row>
    <row r="9005" spans="1:2" ht="15.75" x14ac:dyDescent="0.25">
      <c r="A9005" s="344" t="s">
        <v>13713</v>
      </c>
      <c r="B9005" s="345" t="s">
        <v>4875</v>
      </c>
    </row>
    <row r="9006" spans="1:2" ht="15.75" x14ac:dyDescent="0.25">
      <c r="A9006" s="344" t="s">
        <v>13714</v>
      </c>
      <c r="B9006" s="345" t="s">
        <v>13715</v>
      </c>
    </row>
    <row r="9007" spans="1:2" ht="15.75" x14ac:dyDescent="0.25">
      <c r="A9007" s="344" t="s">
        <v>13716</v>
      </c>
      <c r="B9007" s="345" t="s">
        <v>4876</v>
      </c>
    </row>
    <row r="9008" spans="1:2" ht="15.75" x14ac:dyDescent="0.25">
      <c r="A9008" s="344" t="s">
        <v>13717</v>
      </c>
      <c r="B9008" s="345" t="s">
        <v>4877</v>
      </c>
    </row>
    <row r="9009" spans="1:2" ht="15.75" x14ac:dyDescent="0.25">
      <c r="A9009" s="344" t="s">
        <v>13718</v>
      </c>
      <c r="B9009" s="345" t="s">
        <v>4878</v>
      </c>
    </row>
    <row r="9010" spans="1:2" ht="15.75" x14ac:dyDescent="0.25">
      <c r="A9010" s="344" t="s">
        <v>13719</v>
      </c>
      <c r="B9010" s="345" t="s">
        <v>4879</v>
      </c>
    </row>
    <row r="9011" spans="1:2" ht="15.75" x14ac:dyDescent="0.25">
      <c r="A9011" s="344" t="s">
        <v>13720</v>
      </c>
      <c r="B9011" s="345" t="s">
        <v>4880</v>
      </c>
    </row>
    <row r="9012" spans="1:2" ht="15.75" x14ac:dyDescent="0.25">
      <c r="A9012" s="344" t="s">
        <v>13721</v>
      </c>
      <c r="B9012" s="345" t="s">
        <v>4881</v>
      </c>
    </row>
    <row r="9013" spans="1:2" ht="15.75" x14ac:dyDescent="0.25">
      <c r="A9013" s="344" t="s">
        <v>13722</v>
      </c>
      <c r="B9013" s="345" t="s">
        <v>4882</v>
      </c>
    </row>
    <row r="9014" spans="1:2" ht="15.75" x14ac:dyDescent="0.25">
      <c r="A9014" s="344" t="s">
        <v>13723</v>
      </c>
      <c r="B9014" s="345" t="s">
        <v>4883</v>
      </c>
    </row>
    <row r="9015" spans="1:2" ht="15.75" x14ac:dyDescent="0.25">
      <c r="A9015" s="344" t="s">
        <v>13724</v>
      </c>
      <c r="B9015" s="345" t="s">
        <v>4884</v>
      </c>
    </row>
    <row r="9016" spans="1:2" ht="15.75" x14ac:dyDescent="0.25">
      <c r="A9016" s="344" t="s">
        <v>13725</v>
      </c>
      <c r="B9016" s="345" t="s">
        <v>4885</v>
      </c>
    </row>
    <row r="9017" spans="1:2" ht="15.75" x14ac:dyDescent="0.25">
      <c r="A9017" s="344" t="s">
        <v>13726</v>
      </c>
      <c r="B9017" s="345" t="s">
        <v>4886</v>
      </c>
    </row>
    <row r="9018" spans="1:2" ht="15.75" x14ac:dyDescent="0.25">
      <c r="A9018" s="344" t="s">
        <v>13727</v>
      </c>
      <c r="B9018" s="345" t="s">
        <v>4887</v>
      </c>
    </row>
    <row r="9019" spans="1:2" ht="15.75" x14ac:dyDescent="0.25">
      <c r="A9019" s="344" t="s">
        <v>13728</v>
      </c>
      <c r="B9019" s="345" t="s">
        <v>13729</v>
      </c>
    </row>
    <row r="9020" spans="1:2" ht="15.75" x14ac:dyDescent="0.25">
      <c r="A9020" s="344" t="s">
        <v>13730</v>
      </c>
      <c r="B9020" s="345" t="s">
        <v>4888</v>
      </c>
    </row>
    <row r="9021" spans="1:2" ht="15.75" x14ac:dyDescent="0.25">
      <c r="A9021" s="344" t="s">
        <v>13731</v>
      </c>
      <c r="B9021" s="345" t="s">
        <v>4889</v>
      </c>
    </row>
    <row r="9022" spans="1:2" ht="15.75" x14ac:dyDescent="0.25">
      <c r="A9022" s="344" t="s">
        <v>13732</v>
      </c>
      <c r="B9022" s="345" t="s">
        <v>2346</v>
      </c>
    </row>
    <row r="9023" spans="1:2" ht="15.75" x14ac:dyDescent="0.25">
      <c r="A9023" s="344" t="s">
        <v>13733</v>
      </c>
      <c r="B9023" s="345" t="s">
        <v>2340</v>
      </c>
    </row>
    <row r="9024" spans="1:2" ht="15.75" x14ac:dyDescent="0.25">
      <c r="A9024" s="344" t="s">
        <v>13734</v>
      </c>
      <c r="B9024" s="345" t="s">
        <v>4464</v>
      </c>
    </row>
    <row r="9025" spans="1:2" ht="15.75" x14ac:dyDescent="0.25">
      <c r="A9025" s="344" t="s">
        <v>13735</v>
      </c>
      <c r="B9025" s="345" t="s">
        <v>13736</v>
      </c>
    </row>
    <row r="9026" spans="1:2" ht="15.75" x14ac:dyDescent="0.25">
      <c r="A9026" s="344" t="s">
        <v>13737</v>
      </c>
      <c r="B9026" s="345" t="s">
        <v>4890</v>
      </c>
    </row>
    <row r="9027" spans="1:2" ht="15.75" x14ac:dyDescent="0.25">
      <c r="A9027" s="344" t="s">
        <v>13738</v>
      </c>
      <c r="B9027" s="345" t="s">
        <v>4768</v>
      </c>
    </row>
    <row r="9028" spans="1:2" ht="15.75" x14ac:dyDescent="0.25">
      <c r="A9028" s="344" t="s">
        <v>13739</v>
      </c>
      <c r="B9028" s="345" t="s">
        <v>12650</v>
      </c>
    </row>
    <row r="9029" spans="1:2" ht="15.75" x14ac:dyDescent="0.25">
      <c r="A9029" s="344" t="s">
        <v>13740</v>
      </c>
      <c r="B9029" s="345" t="s">
        <v>4891</v>
      </c>
    </row>
    <row r="9030" spans="1:2" ht="15.75" x14ac:dyDescent="0.25">
      <c r="A9030" s="344" t="s">
        <v>13741</v>
      </c>
      <c r="B9030" s="345" t="s">
        <v>4892</v>
      </c>
    </row>
    <row r="9031" spans="1:2" ht="15.75" x14ac:dyDescent="0.25">
      <c r="A9031" s="344" t="s">
        <v>13742</v>
      </c>
      <c r="B9031" s="345" t="s">
        <v>4893</v>
      </c>
    </row>
    <row r="9032" spans="1:2" ht="15.75" x14ac:dyDescent="0.25">
      <c r="A9032" s="344" t="s">
        <v>13743</v>
      </c>
      <c r="B9032" s="345" t="s">
        <v>4527</v>
      </c>
    </row>
    <row r="9033" spans="1:2" ht="15.75" x14ac:dyDescent="0.25">
      <c r="A9033" s="344" t="s">
        <v>13744</v>
      </c>
      <c r="B9033" s="345" t="s">
        <v>13745</v>
      </c>
    </row>
    <row r="9034" spans="1:2" ht="15.75" x14ac:dyDescent="0.25">
      <c r="A9034" s="344" t="s">
        <v>13746</v>
      </c>
      <c r="B9034" s="345" t="s">
        <v>4827</v>
      </c>
    </row>
    <row r="9035" spans="1:2" ht="15.75" x14ac:dyDescent="0.25">
      <c r="A9035" s="344" t="s">
        <v>13747</v>
      </c>
      <c r="B9035" s="345" t="s">
        <v>2319</v>
      </c>
    </row>
    <row r="9036" spans="1:2" ht="15.75" x14ac:dyDescent="0.25">
      <c r="A9036" s="344" t="s">
        <v>13748</v>
      </c>
      <c r="B9036" s="345" t="s">
        <v>13749</v>
      </c>
    </row>
    <row r="9037" spans="1:2" ht="15.75" x14ac:dyDescent="0.25">
      <c r="A9037" s="344" t="s">
        <v>13750</v>
      </c>
      <c r="B9037" s="345" t="s">
        <v>12712</v>
      </c>
    </row>
    <row r="9038" spans="1:2" ht="15.75" x14ac:dyDescent="0.25">
      <c r="A9038" s="344" t="s">
        <v>13751</v>
      </c>
      <c r="B9038" s="345" t="s">
        <v>12712</v>
      </c>
    </row>
    <row r="9039" spans="1:2" ht="15.75" x14ac:dyDescent="0.25">
      <c r="A9039" s="344" t="s">
        <v>13752</v>
      </c>
      <c r="B9039" s="345" t="s">
        <v>4894</v>
      </c>
    </row>
    <row r="9040" spans="1:2" ht="15.75" x14ac:dyDescent="0.25">
      <c r="A9040" s="344" t="s">
        <v>13753</v>
      </c>
      <c r="B9040" s="345" t="s">
        <v>13754</v>
      </c>
    </row>
    <row r="9041" spans="1:2" ht="15.75" x14ac:dyDescent="0.25">
      <c r="A9041" s="344" t="s">
        <v>13755</v>
      </c>
      <c r="B9041" s="345" t="s">
        <v>4895</v>
      </c>
    </row>
    <row r="9042" spans="1:2" ht="15.75" x14ac:dyDescent="0.25">
      <c r="A9042" s="344" t="s">
        <v>13756</v>
      </c>
      <c r="B9042" s="345" t="s">
        <v>4896</v>
      </c>
    </row>
    <row r="9043" spans="1:2" ht="15.75" x14ac:dyDescent="0.25">
      <c r="A9043" s="344" t="s">
        <v>13757</v>
      </c>
      <c r="B9043" s="345" t="s">
        <v>12600</v>
      </c>
    </row>
    <row r="9044" spans="1:2" ht="15.75" x14ac:dyDescent="0.25">
      <c r="A9044" s="344" t="s">
        <v>13758</v>
      </c>
      <c r="B9044" s="345" t="s">
        <v>4897</v>
      </c>
    </row>
    <row r="9045" spans="1:2" ht="15.75" x14ac:dyDescent="0.25">
      <c r="A9045" s="344" t="s">
        <v>13759</v>
      </c>
      <c r="B9045" s="345" t="s">
        <v>4898</v>
      </c>
    </row>
    <row r="9046" spans="1:2" ht="15.75" x14ac:dyDescent="0.25">
      <c r="A9046" s="344" t="s">
        <v>13760</v>
      </c>
      <c r="B9046" s="345" t="s">
        <v>4899</v>
      </c>
    </row>
    <row r="9047" spans="1:2" ht="15.75" x14ac:dyDescent="0.25">
      <c r="A9047" s="344" t="s">
        <v>13761</v>
      </c>
      <c r="B9047" s="345" t="s">
        <v>4900</v>
      </c>
    </row>
    <row r="9048" spans="1:2" ht="15.75" x14ac:dyDescent="0.25">
      <c r="A9048" s="344" t="s">
        <v>13762</v>
      </c>
      <c r="B9048" s="345" t="s">
        <v>4901</v>
      </c>
    </row>
    <row r="9049" spans="1:2" ht="15.75" x14ac:dyDescent="0.25">
      <c r="A9049" s="344" t="s">
        <v>13763</v>
      </c>
      <c r="B9049" s="345" t="s">
        <v>13764</v>
      </c>
    </row>
    <row r="9050" spans="1:2" ht="15.75" x14ac:dyDescent="0.25">
      <c r="A9050" s="344" t="s">
        <v>13765</v>
      </c>
      <c r="B9050" s="345" t="s">
        <v>4902</v>
      </c>
    </row>
    <row r="9051" spans="1:2" ht="15.75" x14ac:dyDescent="0.25">
      <c r="A9051" s="344" t="s">
        <v>13766</v>
      </c>
      <c r="B9051" s="345" t="s">
        <v>4903</v>
      </c>
    </row>
    <row r="9052" spans="1:2" ht="15.75" x14ac:dyDescent="0.25">
      <c r="A9052" s="344" t="s">
        <v>13767</v>
      </c>
      <c r="B9052" s="345" t="s">
        <v>4904</v>
      </c>
    </row>
    <row r="9053" spans="1:2" ht="15.75" x14ac:dyDescent="0.25">
      <c r="A9053" s="344" t="s">
        <v>13768</v>
      </c>
      <c r="B9053" s="345" t="s">
        <v>3947</v>
      </c>
    </row>
    <row r="9054" spans="1:2" ht="15.75" x14ac:dyDescent="0.25">
      <c r="A9054" s="344" t="s">
        <v>13769</v>
      </c>
      <c r="B9054" s="345" t="s">
        <v>12952</v>
      </c>
    </row>
    <row r="9055" spans="1:2" ht="15.75" x14ac:dyDescent="0.25">
      <c r="A9055" s="344" t="s">
        <v>13770</v>
      </c>
      <c r="B9055" s="345" t="s">
        <v>4905</v>
      </c>
    </row>
    <row r="9056" spans="1:2" ht="15.75" x14ac:dyDescent="0.25">
      <c r="A9056" s="344" t="s">
        <v>13771</v>
      </c>
      <c r="B9056" s="345" t="s">
        <v>4906</v>
      </c>
    </row>
    <row r="9057" spans="1:2" ht="15.75" x14ac:dyDescent="0.25">
      <c r="A9057" s="344" t="s">
        <v>13772</v>
      </c>
      <c r="B9057" s="345" t="s">
        <v>13773</v>
      </c>
    </row>
    <row r="9058" spans="1:2" ht="15.75" x14ac:dyDescent="0.25">
      <c r="A9058" s="344" t="s">
        <v>13774</v>
      </c>
      <c r="B9058" s="345" t="s">
        <v>4907</v>
      </c>
    </row>
    <row r="9059" spans="1:2" ht="15.75" x14ac:dyDescent="0.25">
      <c r="A9059" s="344" t="s">
        <v>13775</v>
      </c>
      <c r="B9059" s="345" t="s">
        <v>4908</v>
      </c>
    </row>
    <row r="9060" spans="1:2" ht="15.75" x14ac:dyDescent="0.25">
      <c r="A9060" s="344" t="s">
        <v>13776</v>
      </c>
      <c r="B9060" s="345" t="s">
        <v>3088</v>
      </c>
    </row>
    <row r="9061" spans="1:2" ht="15.75" x14ac:dyDescent="0.25">
      <c r="A9061" s="344" t="s">
        <v>13777</v>
      </c>
      <c r="B9061" s="345" t="s">
        <v>4909</v>
      </c>
    </row>
    <row r="9062" spans="1:2" ht="15.75" x14ac:dyDescent="0.25">
      <c r="A9062" s="344" t="s">
        <v>13778</v>
      </c>
      <c r="B9062" s="345" t="s">
        <v>4910</v>
      </c>
    </row>
    <row r="9063" spans="1:2" ht="15.75" x14ac:dyDescent="0.25">
      <c r="A9063" s="344" t="s">
        <v>13779</v>
      </c>
      <c r="B9063" s="345" t="s">
        <v>4911</v>
      </c>
    </row>
    <row r="9064" spans="1:2" ht="15.75" x14ac:dyDescent="0.25">
      <c r="A9064" s="344" t="s">
        <v>13780</v>
      </c>
      <c r="B9064" s="345" t="s">
        <v>4912</v>
      </c>
    </row>
    <row r="9065" spans="1:2" ht="15.75" x14ac:dyDescent="0.25">
      <c r="A9065" s="344" t="s">
        <v>13781</v>
      </c>
      <c r="B9065" s="345" t="s">
        <v>4913</v>
      </c>
    </row>
    <row r="9066" spans="1:2" ht="15.75" x14ac:dyDescent="0.25">
      <c r="A9066" s="344" t="s">
        <v>13782</v>
      </c>
      <c r="B9066" s="345" t="s">
        <v>4914</v>
      </c>
    </row>
    <row r="9067" spans="1:2" ht="15.75" x14ac:dyDescent="0.25">
      <c r="A9067" s="344" t="s">
        <v>13783</v>
      </c>
      <c r="B9067" s="345" t="s">
        <v>13784</v>
      </c>
    </row>
    <row r="9068" spans="1:2" ht="15.75" x14ac:dyDescent="0.25">
      <c r="A9068" s="344" t="s">
        <v>13785</v>
      </c>
      <c r="B9068" s="345" t="s">
        <v>4915</v>
      </c>
    </row>
    <row r="9069" spans="1:2" ht="15.75" x14ac:dyDescent="0.25">
      <c r="A9069" s="344" t="s">
        <v>13786</v>
      </c>
      <c r="B9069" s="345" t="s">
        <v>4916</v>
      </c>
    </row>
    <row r="9070" spans="1:2" ht="15.75" x14ac:dyDescent="0.25">
      <c r="A9070" s="344" t="s">
        <v>13787</v>
      </c>
      <c r="B9070" s="345" t="s">
        <v>4917</v>
      </c>
    </row>
    <row r="9071" spans="1:2" ht="15.75" x14ac:dyDescent="0.25">
      <c r="A9071" s="344" t="s">
        <v>13788</v>
      </c>
      <c r="B9071" s="345" t="s">
        <v>13789</v>
      </c>
    </row>
    <row r="9072" spans="1:2" ht="15.75" x14ac:dyDescent="0.25">
      <c r="A9072" s="344" t="s">
        <v>13790</v>
      </c>
      <c r="B9072" s="345" t="s">
        <v>13791</v>
      </c>
    </row>
    <row r="9073" spans="1:2" ht="15.75" x14ac:dyDescent="0.25">
      <c r="A9073" s="344" t="s">
        <v>13792</v>
      </c>
      <c r="B9073" s="345" t="s">
        <v>13793</v>
      </c>
    </row>
    <row r="9074" spans="1:2" ht="15.75" x14ac:dyDescent="0.25">
      <c r="A9074" s="344" t="s">
        <v>13794</v>
      </c>
      <c r="B9074" s="345" t="s">
        <v>13795</v>
      </c>
    </row>
    <row r="9075" spans="1:2" ht="15.75" x14ac:dyDescent="0.25">
      <c r="A9075" s="344" t="s">
        <v>13796</v>
      </c>
      <c r="B9075" s="345" t="s">
        <v>4918</v>
      </c>
    </row>
    <row r="9076" spans="1:2" ht="15.75" x14ac:dyDescent="0.25">
      <c r="A9076" s="344" t="s">
        <v>13797</v>
      </c>
      <c r="B9076" s="345" t="s">
        <v>4919</v>
      </c>
    </row>
    <row r="9077" spans="1:2" ht="15.75" x14ac:dyDescent="0.25">
      <c r="A9077" s="344" t="s">
        <v>13798</v>
      </c>
      <c r="B9077" s="345" t="s">
        <v>4920</v>
      </c>
    </row>
    <row r="9078" spans="1:2" ht="15.75" x14ac:dyDescent="0.25">
      <c r="A9078" s="344" t="s">
        <v>13799</v>
      </c>
      <c r="B9078" s="345" t="s">
        <v>4920</v>
      </c>
    </row>
    <row r="9079" spans="1:2" ht="15.75" x14ac:dyDescent="0.25">
      <c r="A9079" s="344" t="s">
        <v>13800</v>
      </c>
      <c r="B9079" s="345" t="s">
        <v>4921</v>
      </c>
    </row>
    <row r="9080" spans="1:2" ht="15.75" x14ac:dyDescent="0.25">
      <c r="A9080" s="344" t="s">
        <v>13801</v>
      </c>
      <c r="B9080" s="345" t="s">
        <v>4922</v>
      </c>
    </row>
    <row r="9081" spans="1:2" ht="15.75" x14ac:dyDescent="0.25">
      <c r="A9081" s="344" t="s">
        <v>13802</v>
      </c>
      <c r="B9081" s="345" t="s">
        <v>4923</v>
      </c>
    </row>
    <row r="9082" spans="1:2" ht="15.75" x14ac:dyDescent="0.25">
      <c r="A9082" s="344" t="s">
        <v>13803</v>
      </c>
      <c r="B9082" s="345" t="s">
        <v>4924</v>
      </c>
    </row>
    <row r="9083" spans="1:2" ht="15.75" x14ac:dyDescent="0.25">
      <c r="A9083" s="344" t="s">
        <v>13804</v>
      </c>
      <c r="B9083" s="345" t="s">
        <v>4529</v>
      </c>
    </row>
    <row r="9084" spans="1:2" ht="15.75" x14ac:dyDescent="0.25">
      <c r="A9084" s="344" t="s">
        <v>13805</v>
      </c>
      <c r="B9084" s="345" t="s">
        <v>4925</v>
      </c>
    </row>
    <row r="9085" spans="1:2" ht="15.75" x14ac:dyDescent="0.25">
      <c r="A9085" s="344" t="s">
        <v>13806</v>
      </c>
      <c r="B9085" s="345" t="s">
        <v>4926</v>
      </c>
    </row>
    <row r="9086" spans="1:2" ht="15.75" x14ac:dyDescent="0.25">
      <c r="A9086" s="344" t="s">
        <v>13807</v>
      </c>
      <c r="B9086" s="345" t="s">
        <v>4496</v>
      </c>
    </row>
    <row r="9087" spans="1:2" ht="15.75" x14ac:dyDescent="0.25">
      <c r="A9087" s="344" t="s">
        <v>13808</v>
      </c>
      <c r="B9087" s="345" t="s">
        <v>4927</v>
      </c>
    </row>
    <row r="9088" spans="1:2" ht="15.75" x14ac:dyDescent="0.25">
      <c r="A9088" s="344" t="s">
        <v>13809</v>
      </c>
      <c r="B9088" s="345" t="s">
        <v>4928</v>
      </c>
    </row>
    <row r="9089" spans="1:2" ht="15.75" x14ac:dyDescent="0.25">
      <c r="A9089" s="344" t="s">
        <v>13810</v>
      </c>
      <c r="B9089" s="345" t="s">
        <v>13811</v>
      </c>
    </row>
    <row r="9090" spans="1:2" ht="15.75" x14ac:dyDescent="0.25">
      <c r="A9090" s="344" t="s">
        <v>13812</v>
      </c>
      <c r="B9090" s="345" t="s">
        <v>4426</v>
      </c>
    </row>
    <row r="9091" spans="1:2" ht="15.75" x14ac:dyDescent="0.25">
      <c r="A9091" s="344" t="s">
        <v>13813</v>
      </c>
      <c r="B9091" s="345" t="s">
        <v>4929</v>
      </c>
    </row>
    <row r="9092" spans="1:2" ht="15.75" x14ac:dyDescent="0.25">
      <c r="A9092" s="344" t="s">
        <v>13814</v>
      </c>
      <c r="B9092" s="345" t="s">
        <v>4929</v>
      </c>
    </row>
    <row r="9093" spans="1:2" ht="15.75" x14ac:dyDescent="0.25">
      <c r="A9093" s="344" t="s">
        <v>13815</v>
      </c>
      <c r="B9093" s="345" t="s">
        <v>13816</v>
      </c>
    </row>
    <row r="9094" spans="1:2" ht="15.75" x14ac:dyDescent="0.25">
      <c r="A9094" s="344" t="s">
        <v>13817</v>
      </c>
      <c r="B9094" s="345" t="s">
        <v>4930</v>
      </c>
    </row>
    <row r="9095" spans="1:2" ht="15.75" x14ac:dyDescent="0.25">
      <c r="A9095" s="344" t="s">
        <v>13818</v>
      </c>
      <c r="B9095" s="345" t="s">
        <v>4931</v>
      </c>
    </row>
    <row r="9096" spans="1:2" ht="15.75" x14ac:dyDescent="0.25">
      <c r="A9096" s="344" t="s">
        <v>13819</v>
      </c>
      <c r="B9096" s="345" t="s">
        <v>13820</v>
      </c>
    </row>
    <row r="9097" spans="1:2" ht="15.75" x14ac:dyDescent="0.25">
      <c r="A9097" s="344" t="s">
        <v>13821</v>
      </c>
      <c r="B9097" s="345" t="s">
        <v>12659</v>
      </c>
    </row>
    <row r="9098" spans="1:2" ht="15.75" x14ac:dyDescent="0.25">
      <c r="A9098" s="344" t="s">
        <v>13822</v>
      </c>
      <c r="B9098" s="345" t="s">
        <v>4932</v>
      </c>
    </row>
    <row r="9099" spans="1:2" ht="15.75" x14ac:dyDescent="0.25">
      <c r="A9099" s="344" t="s">
        <v>13823</v>
      </c>
      <c r="B9099" s="345" t="s">
        <v>4933</v>
      </c>
    </row>
    <row r="9100" spans="1:2" ht="15.75" x14ac:dyDescent="0.25">
      <c r="A9100" s="344" t="s">
        <v>13824</v>
      </c>
      <c r="B9100" s="345" t="s">
        <v>4934</v>
      </c>
    </row>
    <row r="9101" spans="1:2" ht="15.75" x14ac:dyDescent="0.25">
      <c r="A9101" s="344" t="s">
        <v>13825</v>
      </c>
      <c r="B9101" s="345" t="s">
        <v>4935</v>
      </c>
    </row>
    <row r="9102" spans="1:2" ht="15.75" x14ac:dyDescent="0.25">
      <c r="A9102" s="344" t="s">
        <v>13826</v>
      </c>
      <c r="B9102" s="345" t="s">
        <v>4936</v>
      </c>
    </row>
    <row r="9103" spans="1:2" ht="15.75" x14ac:dyDescent="0.25">
      <c r="A9103" s="344" t="s">
        <v>13827</v>
      </c>
      <c r="B9103" s="345" t="s">
        <v>4937</v>
      </c>
    </row>
    <row r="9104" spans="1:2" ht="15.75" x14ac:dyDescent="0.25">
      <c r="A9104" s="344" t="s">
        <v>13828</v>
      </c>
      <c r="B9104" s="345" t="s">
        <v>13829</v>
      </c>
    </row>
    <row r="9105" spans="1:2" ht="15.75" x14ac:dyDescent="0.25">
      <c r="A9105" s="344" t="s">
        <v>13830</v>
      </c>
      <c r="B9105" s="345" t="s">
        <v>4938</v>
      </c>
    </row>
    <row r="9106" spans="1:2" ht="15.75" x14ac:dyDescent="0.25">
      <c r="A9106" s="344" t="s">
        <v>13831</v>
      </c>
      <c r="B9106" s="345" t="s">
        <v>12809</v>
      </c>
    </row>
    <row r="9107" spans="1:2" ht="15.75" x14ac:dyDescent="0.25">
      <c r="A9107" s="344" t="s">
        <v>13832</v>
      </c>
      <c r="B9107" s="345" t="s">
        <v>4939</v>
      </c>
    </row>
    <row r="9108" spans="1:2" ht="15.75" x14ac:dyDescent="0.25">
      <c r="A9108" s="344" t="s">
        <v>13833</v>
      </c>
      <c r="B9108" s="345" t="s">
        <v>4940</v>
      </c>
    </row>
    <row r="9109" spans="1:2" ht="15.75" x14ac:dyDescent="0.25">
      <c r="A9109" s="344" t="s">
        <v>13834</v>
      </c>
      <c r="B9109" s="345" t="s">
        <v>4941</v>
      </c>
    </row>
    <row r="9110" spans="1:2" ht="15.75" x14ac:dyDescent="0.25">
      <c r="A9110" s="344" t="s">
        <v>13835</v>
      </c>
      <c r="B9110" s="345" t="s">
        <v>13836</v>
      </c>
    </row>
    <row r="9111" spans="1:2" ht="15.75" x14ac:dyDescent="0.25">
      <c r="A9111" s="344" t="s">
        <v>13837</v>
      </c>
      <c r="B9111" s="345" t="s">
        <v>13838</v>
      </c>
    </row>
    <row r="9112" spans="1:2" ht="15.75" x14ac:dyDescent="0.25">
      <c r="A9112" s="344" t="s">
        <v>13839</v>
      </c>
      <c r="B9112" s="345" t="s">
        <v>13840</v>
      </c>
    </row>
    <row r="9113" spans="1:2" ht="15.75" x14ac:dyDescent="0.25">
      <c r="A9113" s="344" t="s">
        <v>13841</v>
      </c>
      <c r="B9113" s="345" t="s">
        <v>13842</v>
      </c>
    </row>
    <row r="9114" spans="1:2" ht="15.75" x14ac:dyDescent="0.25">
      <c r="A9114" s="344" t="s">
        <v>13843</v>
      </c>
      <c r="B9114" s="345" t="s">
        <v>13844</v>
      </c>
    </row>
    <row r="9115" spans="1:2" ht="15.75" x14ac:dyDescent="0.25">
      <c r="A9115" s="344" t="s">
        <v>13845</v>
      </c>
      <c r="B9115" s="345" t="s">
        <v>13846</v>
      </c>
    </row>
    <row r="9116" spans="1:2" ht="15.75" x14ac:dyDescent="0.25">
      <c r="A9116" s="344" t="s">
        <v>13847</v>
      </c>
      <c r="B9116" s="345" t="s">
        <v>13848</v>
      </c>
    </row>
    <row r="9117" spans="1:2" ht="15.75" x14ac:dyDescent="0.25">
      <c r="A9117" s="344" t="s">
        <v>13849</v>
      </c>
      <c r="B9117" s="345" t="s">
        <v>4942</v>
      </c>
    </row>
    <row r="9118" spans="1:2" ht="15.75" x14ac:dyDescent="0.25">
      <c r="A9118" s="344" t="s">
        <v>13850</v>
      </c>
      <c r="B9118" s="345" t="s">
        <v>4452</v>
      </c>
    </row>
    <row r="9119" spans="1:2" ht="15.75" x14ac:dyDescent="0.25">
      <c r="A9119" s="344" t="s">
        <v>13851</v>
      </c>
      <c r="B9119" s="345" t="s">
        <v>4943</v>
      </c>
    </row>
    <row r="9120" spans="1:2" ht="15.75" x14ac:dyDescent="0.25">
      <c r="A9120" s="344" t="s">
        <v>13852</v>
      </c>
      <c r="B9120" s="345" t="s">
        <v>4829</v>
      </c>
    </row>
    <row r="9121" spans="1:2" ht="15.75" x14ac:dyDescent="0.25">
      <c r="A9121" s="344" t="s">
        <v>13853</v>
      </c>
      <c r="B9121" s="345" t="s">
        <v>4944</v>
      </c>
    </row>
    <row r="9122" spans="1:2" ht="15.75" x14ac:dyDescent="0.25">
      <c r="A9122" s="344" t="s">
        <v>13854</v>
      </c>
      <c r="B9122" s="345" t="s">
        <v>4945</v>
      </c>
    </row>
    <row r="9123" spans="1:2" ht="15.75" x14ac:dyDescent="0.25">
      <c r="A9123" s="344" t="s">
        <v>13855</v>
      </c>
      <c r="B9123" s="345" t="s">
        <v>4561</v>
      </c>
    </row>
    <row r="9124" spans="1:2" ht="15.75" x14ac:dyDescent="0.25">
      <c r="A9124" s="344" t="s">
        <v>13856</v>
      </c>
      <c r="B9124" s="345" t="s">
        <v>4946</v>
      </c>
    </row>
    <row r="9125" spans="1:2" ht="15.75" x14ac:dyDescent="0.25">
      <c r="A9125" s="344" t="s">
        <v>13857</v>
      </c>
      <c r="B9125" s="345" t="s">
        <v>4947</v>
      </c>
    </row>
    <row r="9126" spans="1:2" ht="15.75" x14ac:dyDescent="0.25">
      <c r="A9126" s="344" t="s">
        <v>13858</v>
      </c>
      <c r="B9126" s="345" t="s">
        <v>4948</v>
      </c>
    </row>
    <row r="9127" spans="1:2" ht="15.75" x14ac:dyDescent="0.25">
      <c r="A9127" s="344" t="s">
        <v>13859</v>
      </c>
      <c r="B9127" s="345" t="s">
        <v>4949</v>
      </c>
    </row>
    <row r="9128" spans="1:2" ht="15.75" x14ac:dyDescent="0.25">
      <c r="A9128" s="344" t="s">
        <v>13860</v>
      </c>
      <c r="B9128" s="345" t="s">
        <v>4950</v>
      </c>
    </row>
    <row r="9129" spans="1:2" ht="15.75" x14ac:dyDescent="0.25">
      <c r="A9129" s="344" t="s">
        <v>13861</v>
      </c>
      <c r="B9129" s="345" t="s">
        <v>4951</v>
      </c>
    </row>
    <row r="9130" spans="1:2" ht="15.75" x14ac:dyDescent="0.25">
      <c r="A9130" s="344" t="s">
        <v>13862</v>
      </c>
      <c r="B9130" s="345" t="s">
        <v>3947</v>
      </c>
    </row>
    <row r="9131" spans="1:2" ht="15.75" x14ac:dyDescent="0.25">
      <c r="A9131" s="344" t="s">
        <v>13863</v>
      </c>
      <c r="B9131" s="345" t="s">
        <v>13864</v>
      </c>
    </row>
    <row r="9132" spans="1:2" ht="15.75" x14ac:dyDescent="0.25">
      <c r="A9132" s="344" t="s">
        <v>13865</v>
      </c>
      <c r="B9132" s="345" t="s">
        <v>3088</v>
      </c>
    </row>
    <row r="9133" spans="1:2" ht="15.75" x14ac:dyDescent="0.25">
      <c r="A9133" s="344" t="s">
        <v>13866</v>
      </c>
      <c r="B9133" s="345" t="s">
        <v>4952</v>
      </c>
    </row>
    <row r="9134" spans="1:2" ht="15.75" x14ac:dyDescent="0.25">
      <c r="A9134" s="344" t="s">
        <v>13867</v>
      </c>
      <c r="B9134" s="345" t="s">
        <v>4953</v>
      </c>
    </row>
    <row r="9135" spans="1:2" ht="15.75" x14ac:dyDescent="0.25">
      <c r="A9135" s="344" t="s">
        <v>13868</v>
      </c>
      <c r="B9135" s="345" t="s">
        <v>4926</v>
      </c>
    </row>
    <row r="9136" spans="1:2" ht="15.75" x14ac:dyDescent="0.25">
      <c r="A9136" s="344" t="s">
        <v>13869</v>
      </c>
      <c r="B9136" s="345" t="s">
        <v>4954</v>
      </c>
    </row>
    <row r="9137" spans="1:2" ht="15.75" x14ac:dyDescent="0.25">
      <c r="A9137" s="344" t="s">
        <v>13870</v>
      </c>
      <c r="B9137" s="345" t="s">
        <v>4955</v>
      </c>
    </row>
    <row r="9138" spans="1:2" ht="15.75" x14ac:dyDescent="0.25">
      <c r="A9138" s="344" t="s">
        <v>13871</v>
      </c>
      <c r="B9138" s="345" t="s">
        <v>4956</v>
      </c>
    </row>
    <row r="9139" spans="1:2" ht="15.75" x14ac:dyDescent="0.25">
      <c r="A9139" s="344" t="s">
        <v>13872</v>
      </c>
      <c r="B9139" s="345" t="s">
        <v>4957</v>
      </c>
    </row>
    <row r="9140" spans="1:2" ht="15.75" x14ac:dyDescent="0.25">
      <c r="A9140" s="344" t="s">
        <v>13873</v>
      </c>
      <c r="B9140" s="345" t="s">
        <v>4958</v>
      </c>
    </row>
    <row r="9141" spans="1:2" ht="15.75" x14ac:dyDescent="0.25">
      <c r="A9141" s="344" t="s">
        <v>13874</v>
      </c>
      <c r="B9141" s="345" t="s">
        <v>4959</v>
      </c>
    </row>
    <row r="9142" spans="1:2" ht="15.75" x14ac:dyDescent="0.25">
      <c r="A9142" s="344" t="s">
        <v>13875</v>
      </c>
      <c r="B9142" s="345" t="s">
        <v>4960</v>
      </c>
    </row>
    <row r="9143" spans="1:2" ht="15.75" x14ac:dyDescent="0.25">
      <c r="A9143" s="344" t="s">
        <v>13876</v>
      </c>
      <c r="B9143" s="345" t="s">
        <v>4961</v>
      </c>
    </row>
    <row r="9144" spans="1:2" ht="15.75" x14ac:dyDescent="0.25">
      <c r="A9144" s="344" t="s">
        <v>13877</v>
      </c>
      <c r="B9144" s="345" t="s">
        <v>4962</v>
      </c>
    </row>
    <row r="9145" spans="1:2" ht="15.75" x14ac:dyDescent="0.25">
      <c r="A9145" s="344" t="s">
        <v>13878</v>
      </c>
      <c r="B9145" s="345" t="s">
        <v>4963</v>
      </c>
    </row>
    <row r="9146" spans="1:2" ht="15.75" x14ac:dyDescent="0.25">
      <c r="A9146" s="344" t="s">
        <v>13879</v>
      </c>
      <c r="B9146" s="345" t="s">
        <v>4964</v>
      </c>
    </row>
    <row r="9147" spans="1:2" ht="15.75" x14ac:dyDescent="0.25">
      <c r="A9147" s="344" t="s">
        <v>13880</v>
      </c>
      <c r="B9147" s="345" t="s">
        <v>13881</v>
      </c>
    </row>
    <row r="9148" spans="1:2" ht="15.75" x14ac:dyDescent="0.25">
      <c r="A9148" s="344" t="s">
        <v>13882</v>
      </c>
      <c r="B9148" s="345" t="s">
        <v>4965</v>
      </c>
    </row>
    <row r="9149" spans="1:2" ht="15.75" x14ac:dyDescent="0.25">
      <c r="A9149" s="344" t="s">
        <v>13883</v>
      </c>
      <c r="B9149" s="345" t="s">
        <v>4966</v>
      </c>
    </row>
    <row r="9150" spans="1:2" ht="15.75" x14ac:dyDescent="0.25">
      <c r="A9150" s="344" t="s">
        <v>13884</v>
      </c>
      <c r="B9150" s="345" t="s">
        <v>4967</v>
      </c>
    </row>
    <row r="9151" spans="1:2" ht="15.75" x14ac:dyDescent="0.25">
      <c r="A9151" s="344" t="s">
        <v>13885</v>
      </c>
      <c r="B9151" s="345" t="s">
        <v>4968</v>
      </c>
    </row>
    <row r="9152" spans="1:2" ht="15.75" x14ac:dyDescent="0.25">
      <c r="A9152" s="344" t="s">
        <v>13886</v>
      </c>
      <c r="B9152" s="345" t="s">
        <v>4969</v>
      </c>
    </row>
    <row r="9153" spans="1:2" ht="15.75" x14ac:dyDescent="0.25">
      <c r="A9153" s="344" t="s">
        <v>13887</v>
      </c>
      <c r="B9153" s="345" t="s">
        <v>4970</v>
      </c>
    </row>
    <row r="9154" spans="1:2" ht="15.75" x14ac:dyDescent="0.25">
      <c r="A9154" s="344" t="s">
        <v>13888</v>
      </c>
      <c r="B9154" s="345" t="s">
        <v>4971</v>
      </c>
    </row>
    <row r="9155" spans="1:2" ht="15.75" x14ac:dyDescent="0.25">
      <c r="A9155" s="344" t="s">
        <v>13889</v>
      </c>
      <c r="B9155" s="345" t="s">
        <v>13890</v>
      </c>
    </row>
    <row r="9156" spans="1:2" ht="15.75" x14ac:dyDescent="0.25">
      <c r="A9156" s="344" t="s">
        <v>13891</v>
      </c>
      <c r="B9156" s="345" t="s">
        <v>4972</v>
      </c>
    </row>
    <row r="9157" spans="1:2" ht="15.75" x14ac:dyDescent="0.25">
      <c r="A9157" s="344" t="s">
        <v>13892</v>
      </c>
      <c r="B9157" s="345" t="s">
        <v>4973</v>
      </c>
    </row>
    <row r="9158" spans="1:2" ht="15.75" x14ac:dyDescent="0.25">
      <c r="A9158" s="344" t="s">
        <v>13893</v>
      </c>
      <c r="B9158" s="345" t="s">
        <v>4974</v>
      </c>
    </row>
    <row r="9159" spans="1:2" ht="15.75" x14ac:dyDescent="0.25">
      <c r="A9159" s="344" t="s">
        <v>13894</v>
      </c>
      <c r="B9159" s="345" t="s">
        <v>4975</v>
      </c>
    </row>
    <row r="9160" spans="1:2" ht="15.75" x14ac:dyDescent="0.25">
      <c r="A9160" s="344" t="s">
        <v>13895</v>
      </c>
      <c r="B9160" s="345" t="s">
        <v>4477</v>
      </c>
    </row>
    <row r="9161" spans="1:2" ht="15.75" x14ac:dyDescent="0.25">
      <c r="A9161" s="344" t="s">
        <v>13896</v>
      </c>
      <c r="B9161" s="345" t="s">
        <v>4976</v>
      </c>
    </row>
    <row r="9162" spans="1:2" ht="15.75" x14ac:dyDescent="0.25">
      <c r="A9162" s="344" t="s">
        <v>13897</v>
      </c>
      <c r="B9162" s="345" t="s">
        <v>4977</v>
      </c>
    </row>
    <row r="9163" spans="1:2" ht="15.75" x14ac:dyDescent="0.25">
      <c r="A9163" s="344" t="s">
        <v>13898</v>
      </c>
      <c r="B9163" s="345" t="s">
        <v>4978</v>
      </c>
    </row>
    <row r="9164" spans="1:2" ht="15.75" x14ac:dyDescent="0.25">
      <c r="A9164" s="344" t="s">
        <v>13899</v>
      </c>
      <c r="B9164" s="345" t="s">
        <v>13900</v>
      </c>
    </row>
    <row r="9165" spans="1:2" ht="15.75" x14ac:dyDescent="0.25">
      <c r="A9165" s="344" t="s">
        <v>13901</v>
      </c>
      <c r="B9165" s="345" t="s">
        <v>4979</v>
      </c>
    </row>
    <row r="9166" spans="1:2" ht="15.75" x14ac:dyDescent="0.25">
      <c r="A9166" s="344" t="s">
        <v>13902</v>
      </c>
      <c r="B9166" s="345" t="s">
        <v>4980</v>
      </c>
    </row>
    <row r="9167" spans="1:2" ht="15.75" x14ac:dyDescent="0.25">
      <c r="A9167" s="344" t="s">
        <v>13903</v>
      </c>
      <c r="B9167" s="345" t="s">
        <v>4981</v>
      </c>
    </row>
    <row r="9168" spans="1:2" ht="15.75" x14ac:dyDescent="0.25">
      <c r="A9168" s="344" t="s">
        <v>13904</v>
      </c>
      <c r="B9168" s="345" t="s">
        <v>4982</v>
      </c>
    </row>
    <row r="9169" spans="1:2" ht="15.75" x14ac:dyDescent="0.25">
      <c r="A9169" s="344" t="s">
        <v>13905</v>
      </c>
      <c r="B9169" s="345" t="s">
        <v>13906</v>
      </c>
    </row>
    <row r="9170" spans="1:2" ht="15.75" x14ac:dyDescent="0.25">
      <c r="A9170" s="344" t="s">
        <v>13907</v>
      </c>
      <c r="B9170" s="345" t="s">
        <v>4983</v>
      </c>
    </row>
    <row r="9171" spans="1:2" ht="15.75" x14ac:dyDescent="0.25">
      <c r="A9171" s="344" t="s">
        <v>13908</v>
      </c>
      <c r="B9171" s="345" t="s">
        <v>4984</v>
      </c>
    </row>
    <row r="9172" spans="1:2" ht="15.75" x14ac:dyDescent="0.25">
      <c r="A9172" s="344" t="s">
        <v>13909</v>
      </c>
      <c r="B9172" s="345" t="s">
        <v>4985</v>
      </c>
    </row>
    <row r="9173" spans="1:2" ht="15.75" x14ac:dyDescent="0.25">
      <c r="A9173" s="344" t="s">
        <v>13910</v>
      </c>
      <c r="B9173" s="345" t="s">
        <v>3295</v>
      </c>
    </row>
    <row r="9174" spans="1:2" ht="15.75" x14ac:dyDescent="0.25">
      <c r="A9174" s="344" t="s">
        <v>13911</v>
      </c>
      <c r="B9174" s="345" t="s">
        <v>3297</v>
      </c>
    </row>
    <row r="9175" spans="1:2" ht="15.75" x14ac:dyDescent="0.25">
      <c r="A9175" s="344" t="s">
        <v>13912</v>
      </c>
      <c r="B9175" s="345" t="s">
        <v>3299</v>
      </c>
    </row>
    <row r="9176" spans="1:2" ht="15.75" x14ac:dyDescent="0.25">
      <c r="A9176" s="344" t="s">
        <v>13913</v>
      </c>
      <c r="B9176" s="345" t="s">
        <v>4986</v>
      </c>
    </row>
    <row r="9177" spans="1:2" ht="15.75" x14ac:dyDescent="0.25">
      <c r="A9177" s="344" t="s">
        <v>13914</v>
      </c>
      <c r="B9177" s="345" t="s">
        <v>4987</v>
      </c>
    </row>
    <row r="9178" spans="1:2" ht="15.75" x14ac:dyDescent="0.25">
      <c r="A9178" s="344" t="s">
        <v>13915</v>
      </c>
      <c r="B9178" s="345" t="s">
        <v>4988</v>
      </c>
    </row>
    <row r="9179" spans="1:2" ht="15.75" x14ac:dyDescent="0.25">
      <c r="A9179" s="344" t="s">
        <v>13916</v>
      </c>
      <c r="B9179" s="345" t="s">
        <v>4989</v>
      </c>
    </row>
    <row r="9180" spans="1:2" ht="15.75" x14ac:dyDescent="0.25">
      <c r="A9180" s="344" t="s">
        <v>13917</v>
      </c>
      <c r="B9180" s="345" t="s">
        <v>2144</v>
      </c>
    </row>
    <row r="9181" spans="1:2" ht="15.75" x14ac:dyDescent="0.25">
      <c r="A9181" s="344" t="s">
        <v>13918</v>
      </c>
      <c r="B9181" s="345" t="s">
        <v>2146</v>
      </c>
    </row>
    <row r="9182" spans="1:2" ht="15.75" x14ac:dyDescent="0.25">
      <c r="A9182" s="344" t="s">
        <v>13919</v>
      </c>
      <c r="B9182" s="345" t="s">
        <v>4990</v>
      </c>
    </row>
    <row r="9183" spans="1:2" ht="15.75" x14ac:dyDescent="0.25">
      <c r="A9183" s="344" t="s">
        <v>13920</v>
      </c>
      <c r="B9183" s="345" t="s">
        <v>4991</v>
      </c>
    </row>
    <row r="9184" spans="1:2" ht="15.75" x14ac:dyDescent="0.25">
      <c r="A9184" s="344" t="s">
        <v>13921</v>
      </c>
      <c r="B9184" s="345" t="s">
        <v>4992</v>
      </c>
    </row>
    <row r="9185" spans="1:2" ht="15.75" x14ac:dyDescent="0.25">
      <c r="A9185" s="344" t="s">
        <v>13922</v>
      </c>
      <c r="B9185" s="345" t="s">
        <v>4993</v>
      </c>
    </row>
    <row r="9186" spans="1:2" ht="15.75" x14ac:dyDescent="0.25">
      <c r="A9186" s="344" t="s">
        <v>13923</v>
      </c>
      <c r="B9186" s="345" t="s">
        <v>4994</v>
      </c>
    </row>
    <row r="9187" spans="1:2" ht="15.75" x14ac:dyDescent="0.25">
      <c r="A9187" s="344" t="s">
        <v>13924</v>
      </c>
      <c r="B9187" s="345" t="s">
        <v>4995</v>
      </c>
    </row>
    <row r="9188" spans="1:2" ht="15.75" x14ac:dyDescent="0.25">
      <c r="A9188" s="344" t="s">
        <v>13925</v>
      </c>
      <c r="B9188" s="345" t="s">
        <v>4996</v>
      </c>
    </row>
    <row r="9189" spans="1:2" ht="15.75" x14ac:dyDescent="0.25">
      <c r="A9189" s="344" t="s">
        <v>13926</v>
      </c>
      <c r="B9189" s="345" t="s">
        <v>4997</v>
      </c>
    </row>
    <row r="9190" spans="1:2" ht="15.75" x14ac:dyDescent="0.25">
      <c r="A9190" s="344" t="s">
        <v>13927</v>
      </c>
      <c r="B9190" s="345" t="s">
        <v>4998</v>
      </c>
    </row>
    <row r="9191" spans="1:2" ht="15.75" x14ac:dyDescent="0.25">
      <c r="A9191" s="344" t="s">
        <v>13928</v>
      </c>
      <c r="B9191" s="345" t="s">
        <v>13929</v>
      </c>
    </row>
    <row r="9192" spans="1:2" ht="15.75" x14ac:dyDescent="0.25">
      <c r="A9192" s="344" t="s">
        <v>13930</v>
      </c>
      <c r="B9192" s="345" t="s">
        <v>4999</v>
      </c>
    </row>
    <row r="9193" spans="1:2" ht="15.75" x14ac:dyDescent="0.25">
      <c r="A9193" s="344" t="s">
        <v>13931</v>
      </c>
      <c r="B9193" s="345" t="s">
        <v>5000</v>
      </c>
    </row>
    <row r="9194" spans="1:2" ht="15.75" x14ac:dyDescent="0.25">
      <c r="A9194" s="344" t="s">
        <v>13932</v>
      </c>
      <c r="B9194" s="345" t="s">
        <v>5001</v>
      </c>
    </row>
    <row r="9195" spans="1:2" ht="15.75" x14ac:dyDescent="0.25">
      <c r="A9195" s="344" t="s">
        <v>13933</v>
      </c>
      <c r="B9195" s="345" t="s">
        <v>4829</v>
      </c>
    </row>
    <row r="9196" spans="1:2" ht="15.75" x14ac:dyDescent="0.25">
      <c r="A9196" s="344" t="s">
        <v>13934</v>
      </c>
      <c r="B9196" s="345" t="s">
        <v>13935</v>
      </c>
    </row>
    <row r="9197" spans="1:2" ht="15.75" x14ac:dyDescent="0.25">
      <c r="A9197" s="344" t="s">
        <v>13936</v>
      </c>
      <c r="B9197" s="345" t="s">
        <v>13937</v>
      </c>
    </row>
    <row r="9198" spans="1:2" ht="15.75" x14ac:dyDescent="0.25">
      <c r="A9198" s="344" t="s">
        <v>13938</v>
      </c>
      <c r="B9198" s="345" t="s">
        <v>13939</v>
      </c>
    </row>
    <row r="9199" spans="1:2" ht="15.75" x14ac:dyDescent="0.25">
      <c r="A9199" s="344" t="s">
        <v>13940</v>
      </c>
      <c r="B9199" s="345" t="s">
        <v>5002</v>
      </c>
    </row>
    <row r="9200" spans="1:2" ht="15.75" x14ac:dyDescent="0.25">
      <c r="A9200" s="344" t="s">
        <v>13941</v>
      </c>
      <c r="B9200" s="345" t="s">
        <v>13942</v>
      </c>
    </row>
    <row r="9201" spans="1:2" ht="15.75" x14ac:dyDescent="0.25">
      <c r="A9201" s="344" t="s">
        <v>13943</v>
      </c>
      <c r="B9201" s="345" t="s">
        <v>5003</v>
      </c>
    </row>
    <row r="9202" spans="1:2" ht="15.75" x14ac:dyDescent="0.25">
      <c r="A9202" s="344" t="s">
        <v>13944</v>
      </c>
      <c r="B9202" s="345" t="s">
        <v>5004</v>
      </c>
    </row>
    <row r="9203" spans="1:2" ht="15.75" x14ac:dyDescent="0.25">
      <c r="A9203" s="344" t="s">
        <v>13945</v>
      </c>
      <c r="B9203" s="345" t="s">
        <v>5005</v>
      </c>
    </row>
    <row r="9204" spans="1:2" ht="15.75" x14ac:dyDescent="0.25">
      <c r="A9204" s="344" t="s">
        <v>13946</v>
      </c>
      <c r="B9204" s="345" t="s">
        <v>5006</v>
      </c>
    </row>
    <row r="9205" spans="1:2" ht="15.75" x14ac:dyDescent="0.25">
      <c r="A9205" s="344" t="s">
        <v>13947</v>
      </c>
      <c r="B9205" s="345" t="s">
        <v>13948</v>
      </c>
    </row>
    <row r="9206" spans="1:2" ht="15.75" x14ac:dyDescent="0.25">
      <c r="A9206" s="344" t="s">
        <v>13949</v>
      </c>
      <c r="B9206" s="345" t="s">
        <v>13950</v>
      </c>
    </row>
    <row r="9207" spans="1:2" ht="15.75" x14ac:dyDescent="0.25">
      <c r="A9207" s="344" t="s">
        <v>13951</v>
      </c>
      <c r="B9207" s="345" t="s">
        <v>13952</v>
      </c>
    </row>
    <row r="9208" spans="1:2" ht="15.75" x14ac:dyDescent="0.25">
      <c r="A9208" s="344" t="s">
        <v>13953</v>
      </c>
      <c r="B9208" s="345" t="s">
        <v>13954</v>
      </c>
    </row>
    <row r="9209" spans="1:2" ht="15.75" x14ac:dyDescent="0.25">
      <c r="A9209" s="344" t="s">
        <v>13955</v>
      </c>
      <c r="B9209" s="345" t="s">
        <v>13956</v>
      </c>
    </row>
    <row r="9210" spans="1:2" ht="15.75" x14ac:dyDescent="0.25">
      <c r="A9210" s="344" t="s">
        <v>13957</v>
      </c>
      <c r="B9210" s="345" t="s">
        <v>13958</v>
      </c>
    </row>
    <row r="9211" spans="1:2" ht="15.75" x14ac:dyDescent="0.25">
      <c r="A9211" s="344" t="s">
        <v>13959</v>
      </c>
      <c r="B9211" s="345" t="s">
        <v>13960</v>
      </c>
    </row>
    <row r="9212" spans="1:2" ht="15.75" x14ac:dyDescent="0.25">
      <c r="A9212" s="344" t="s">
        <v>13961</v>
      </c>
      <c r="B9212" s="345" t="s">
        <v>13962</v>
      </c>
    </row>
    <row r="9213" spans="1:2" ht="15.75" x14ac:dyDescent="0.25">
      <c r="A9213" s="344" t="s">
        <v>13963</v>
      </c>
      <c r="B9213" s="345" t="s">
        <v>13964</v>
      </c>
    </row>
    <row r="9214" spans="1:2" ht="15.75" x14ac:dyDescent="0.25">
      <c r="A9214" s="344" t="s">
        <v>13965</v>
      </c>
      <c r="B9214" s="345" t="s">
        <v>13966</v>
      </c>
    </row>
    <row r="9215" spans="1:2" ht="15.75" x14ac:dyDescent="0.25">
      <c r="A9215" s="344" t="s">
        <v>13967</v>
      </c>
      <c r="B9215" s="345" t="s">
        <v>13968</v>
      </c>
    </row>
    <row r="9216" spans="1:2" ht="15.75" x14ac:dyDescent="0.25">
      <c r="A9216" s="344" t="s">
        <v>13969</v>
      </c>
      <c r="B9216" s="345" t="s">
        <v>13970</v>
      </c>
    </row>
    <row r="9217" spans="1:2" ht="15.75" x14ac:dyDescent="0.25">
      <c r="A9217" s="344" t="s">
        <v>13971</v>
      </c>
      <c r="B9217" s="345" t="s">
        <v>13972</v>
      </c>
    </row>
    <row r="9218" spans="1:2" ht="15.75" x14ac:dyDescent="0.25">
      <c r="A9218" s="344" t="s">
        <v>13973</v>
      </c>
      <c r="B9218" s="345" t="s">
        <v>13974</v>
      </c>
    </row>
    <row r="9219" spans="1:2" ht="15.75" x14ac:dyDescent="0.25">
      <c r="A9219" s="344" t="s">
        <v>13975</v>
      </c>
      <c r="B9219" s="345" t="s">
        <v>13976</v>
      </c>
    </row>
    <row r="9220" spans="1:2" ht="15.75" x14ac:dyDescent="0.25">
      <c r="A9220" s="344" t="s">
        <v>13977</v>
      </c>
      <c r="B9220" s="345" t="s">
        <v>13978</v>
      </c>
    </row>
    <row r="9221" spans="1:2" ht="15.75" x14ac:dyDescent="0.25">
      <c r="A9221" s="344" t="s">
        <v>13979</v>
      </c>
      <c r="B9221" s="345" t="s">
        <v>13980</v>
      </c>
    </row>
    <row r="9222" spans="1:2" ht="15.75" x14ac:dyDescent="0.25">
      <c r="A9222" s="344" t="s">
        <v>13981</v>
      </c>
      <c r="B9222" s="345" t="s">
        <v>13982</v>
      </c>
    </row>
    <row r="9223" spans="1:2" ht="15.75" x14ac:dyDescent="0.25">
      <c r="A9223" s="344" t="s">
        <v>13983</v>
      </c>
      <c r="B9223" s="345" t="s">
        <v>13984</v>
      </c>
    </row>
    <row r="9224" spans="1:2" ht="15.75" x14ac:dyDescent="0.25">
      <c r="A9224" s="344" t="s">
        <v>13985</v>
      </c>
      <c r="B9224" s="345" t="s">
        <v>13986</v>
      </c>
    </row>
    <row r="9225" spans="1:2" ht="15.75" x14ac:dyDescent="0.25">
      <c r="A9225" s="344" t="s">
        <v>13987</v>
      </c>
      <c r="B9225" s="345" t="s">
        <v>13988</v>
      </c>
    </row>
    <row r="9226" spans="1:2" ht="15.75" x14ac:dyDescent="0.25">
      <c r="A9226" s="344" t="s">
        <v>13989</v>
      </c>
      <c r="B9226" s="345" t="s">
        <v>13990</v>
      </c>
    </row>
    <row r="9227" spans="1:2" ht="15.75" x14ac:dyDescent="0.25">
      <c r="A9227" s="344" t="s">
        <v>13991</v>
      </c>
      <c r="B9227" s="345" t="s">
        <v>13992</v>
      </c>
    </row>
    <row r="9228" spans="1:2" ht="15.75" x14ac:dyDescent="0.25">
      <c r="A9228" s="344" t="s">
        <v>13993</v>
      </c>
      <c r="B9228" s="345" t="s">
        <v>13994</v>
      </c>
    </row>
    <row r="9229" spans="1:2" ht="15.75" x14ac:dyDescent="0.25">
      <c r="A9229" s="344" t="s">
        <v>13995</v>
      </c>
      <c r="B9229" s="345" t="s">
        <v>13996</v>
      </c>
    </row>
    <row r="9230" spans="1:2" ht="15.75" x14ac:dyDescent="0.25">
      <c r="A9230" s="344" t="s">
        <v>13997</v>
      </c>
      <c r="B9230" s="345" t="s">
        <v>13998</v>
      </c>
    </row>
    <row r="9231" spans="1:2" ht="15.75" x14ac:dyDescent="0.25">
      <c r="A9231" s="344" t="s">
        <v>13999</v>
      </c>
      <c r="B9231" s="345" t="s">
        <v>5007</v>
      </c>
    </row>
    <row r="9232" spans="1:2" ht="15.75" x14ac:dyDescent="0.25">
      <c r="A9232" s="344" t="s">
        <v>14000</v>
      </c>
      <c r="B9232" s="345" t="s">
        <v>14001</v>
      </c>
    </row>
    <row r="9233" spans="1:2" ht="15.75" x14ac:dyDescent="0.25">
      <c r="A9233" s="344" t="s">
        <v>14002</v>
      </c>
      <c r="B9233" s="345" t="s">
        <v>14003</v>
      </c>
    </row>
    <row r="9234" spans="1:2" ht="15.75" x14ac:dyDescent="0.25">
      <c r="A9234" s="344" t="s">
        <v>14004</v>
      </c>
      <c r="B9234" s="345" t="s">
        <v>14005</v>
      </c>
    </row>
    <row r="9235" spans="1:2" ht="15.75" x14ac:dyDescent="0.25">
      <c r="A9235" s="344" t="s">
        <v>14006</v>
      </c>
      <c r="B9235" s="345" t="s">
        <v>14007</v>
      </c>
    </row>
    <row r="9236" spans="1:2" ht="15.75" x14ac:dyDescent="0.25">
      <c r="A9236" s="344" t="s">
        <v>14008</v>
      </c>
      <c r="B9236" s="345" t="s">
        <v>14009</v>
      </c>
    </row>
    <row r="9237" spans="1:2" ht="15.75" x14ac:dyDescent="0.25">
      <c r="A9237" s="344" t="s">
        <v>14010</v>
      </c>
      <c r="B9237" s="345" t="s">
        <v>14011</v>
      </c>
    </row>
    <row r="9238" spans="1:2" ht="15.75" x14ac:dyDescent="0.25">
      <c r="A9238" s="344" t="s">
        <v>14012</v>
      </c>
      <c r="B9238" s="345" t="s">
        <v>14013</v>
      </c>
    </row>
    <row r="9239" spans="1:2" ht="15.75" x14ac:dyDescent="0.25">
      <c r="A9239" s="344" t="s">
        <v>14014</v>
      </c>
      <c r="B9239" s="345" t="s">
        <v>14015</v>
      </c>
    </row>
    <row r="9240" spans="1:2" ht="15.75" x14ac:dyDescent="0.25">
      <c r="A9240" s="344" t="s">
        <v>14016</v>
      </c>
      <c r="B9240" s="345" t="s">
        <v>14017</v>
      </c>
    </row>
    <row r="9241" spans="1:2" ht="15.75" x14ac:dyDescent="0.25">
      <c r="A9241" s="344" t="s">
        <v>14018</v>
      </c>
      <c r="B9241" s="345" t="s">
        <v>14019</v>
      </c>
    </row>
    <row r="9242" spans="1:2" ht="15.75" x14ac:dyDescent="0.25">
      <c r="A9242" s="344" t="s">
        <v>14020</v>
      </c>
      <c r="B9242" s="345" t="s">
        <v>14021</v>
      </c>
    </row>
    <row r="9243" spans="1:2" ht="15.75" x14ac:dyDescent="0.25">
      <c r="A9243" s="344" t="s">
        <v>14022</v>
      </c>
      <c r="B9243" s="345" t="s">
        <v>14023</v>
      </c>
    </row>
    <row r="9244" spans="1:2" ht="15.75" x14ac:dyDescent="0.25">
      <c r="A9244" s="344" t="s">
        <v>14024</v>
      </c>
      <c r="B9244" s="345" t="s">
        <v>14025</v>
      </c>
    </row>
    <row r="9245" spans="1:2" ht="15.75" x14ac:dyDescent="0.25">
      <c r="A9245" s="344" t="s">
        <v>14026</v>
      </c>
      <c r="B9245" s="345" t="s">
        <v>14027</v>
      </c>
    </row>
    <row r="9246" spans="1:2" ht="15.75" x14ac:dyDescent="0.25">
      <c r="A9246" s="344" t="s">
        <v>14028</v>
      </c>
      <c r="B9246" s="345" t="s">
        <v>14029</v>
      </c>
    </row>
    <row r="9247" spans="1:2" ht="15.75" x14ac:dyDescent="0.25">
      <c r="A9247" s="344" t="s">
        <v>14030</v>
      </c>
      <c r="B9247" s="345" t="s">
        <v>14031</v>
      </c>
    </row>
    <row r="9248" spans="1:2" ht="15.75" x14ac:dyDescent="0.25">
      <c r="A9248" s="344" t="s">
        <v>14032</v>
      </c>
      <c r="B9248" s="345" t="s">
        <v>14033</v>
      </c>
    </row>
    <row r="9249" spans="1:2" ht="15.75" x14ac:dyDescent="0.25">
      <c r="A9249" s="344" t="s">
        <v>14034</v>
      </c>
      <c r="B9249" s="345" t="s">
        <v>14035</v>
      </c>
    </row>
    <row r="9250" spans="1:2" ht="15.75" x14ac:dyDescent="0.25">
      <c r="A9250" s="344" t="s">
        <v>14036</v>
      </c>
      <c r="B9250" s="345" t="s">
        <v>14037</v>
      </c>
    </row>
    <row r="9251" spans="1:2" ht="15.75" x14ac:dyDescent="0.25">
      <c r="A9251" s="344" t="s">
        <v>14038</v>
      </c>
      <c r="B9251" s="345" t="s">
        <v>14039</v>
      </c>
    </row>
    <row r="9252" spans="1:2" ht="15.75" x14ac:dyDescent="0.25">
      <c r="A9252" s="344" t="s">
        <v>14040</v>
      </c>
      <c r="B9252" s="345" t="s">
        <v>14041</v>
      </c>
    </row>
    <row r="9253" spans="1:2" ht="15.75" x14ac:dyDescent="0.25">
      <c r="A9253" s="344" t="s">
        <v>14042</v>
      </c>
      <c r="B9253" s="345" t="s">
        <v>5003</v>
      </c>
    </row>
    <row r="9254" spans="1:2" ht="15.75" x14ac:dyDescent="0.25">
      <c r="A9254" s="344" t="s">
        <v>14043</v>
      </c>
      <c r="B9254" s="345" t="s">
        <v>14044</v>
      </c>
    </row>
    <row r="9255" spans="1:2" ht="15.75" x14ac:dyDescent="0.25">
      <c r="A9255" s="344" t="s">
        <v>14045</v>
      </c>
      <c r="B9255" s="345" t="s">
        <v>14046</v>
      </c>
    </row>
    <row r="9256" spans="1:2" ht="15.75" x14ac:dyDescent="0.25">
      <c r="A9256" s="344" t="s">
        <v>14047</v>
      </c>
      <c r="B9256" s="345" t="s">
        <v>14048</v>
      </c>
    </row>
    <row r="9257" spans="1:2" ht="15.75" x14ac:dyDescent="0.25">
      <c r="A9257" s="344" t="s">
        <v>14049</v>
      </c>
      <c r="B9257" s="345" t="s">
        <v>14050</v>
      </c>
    </row>
    <row r="9258" spans="1:2" ht="15.75" x14ac:dyDescent="0.25">
      <c r="A9258" s="344" t="s">
        <v>14051</v>
      </c>
      <c r="B9258" s="345" t="s">
        <v>14052</v>
      </c>
    </row>
    <row r="9259" spans="1:2" ht="15.75" x14ac:dyDescent="0.25">
      <c r="A9259" s="344" t="s">
        <v>14053</v>
      </c>
      <c r="B9259" s="345" t="s">
        <v>14054</v>
      </c>
    </row>
    <row r="9260" spans="1:2" ht="15.75" x14ac:dyDescent="0.25">
      <c r="A9260" s="344" t="s">
        <v>14055</v>
      </c>
      <c r="B9260" s="345" t="s">
        <v>14056</v>
      </c>
    </row>
    <row r="9261" spans="1:2" ht="15.75" x14ac:dyDescent="0.25">
      <c r="A9261" s="344" t="s">
        <v>14057</v>
      </c>
      <c r="B9261" s="345" t="s">
        <v>14058</v>
      </c>
    </row>
    <row r="9262" spans="1:2" ht="15.75" x14ac:dyDescent="0.25">
      <c r="A9262" s="344" t="s">
        <v>14059</v>
      </c>
      <c r="B9262" s="345" t="s">
        <v>14060</v>
      </c>
    </row>
    <row r="9263" spans="1:2" ht="15.75" x14ac:dyDescent="0.25">
      <c r="A9263" s="344" t="s">
        <v>14061</v>
      </c>
      <c r="B9263" s="345" t="s">
        <v>14062</v>
      </c>
    </row>
    <row r="9264" spans="1:2" ht="15.75" x14ac:dyDescent="0.25">
      <c r="A9264" s="344" t="s">
        <v>14063</v>
      </c>
      <c r="B9264" s="345" t="s">
        <v>14064</v>
      </c>
    </row>
    <row r="9265" spans="1:2" ht="15.75" x14ac:dyDescent="0.25">
      <c r="A9265" s="344" t="s">
        <v>14065</v>
      </c>
      <c r="B9265" s="345" t="s">
        <v>14066</v>
      </c>
    </row>
    <row r="9266" spans="1:2" ht="15.75" x14ac:dyDescent="0.25">
      <c r="A9266" s="344" t="s">
        <v>14067</v>
      </c>
      <c r="B9266" s="345" t="s">
        <v>14068</v>
      </c>
    </row>
    <row r="9267" spans="1:2" ht="15.75" x14ac:dyDescent="0.25">
      <c r="A9267" s="344" t="s">
        <v>14069</v>
      </c>
      <c r="B9267" s="345" t="s">
        <v>14070</v>
      </c>
    </row>
    <row r="9268" spans="1:2" ht="15.75" x14ac:dyDescent="0.25">
      <c r="A9268" s="344" t="s">
        <v>14071</v>
      </c>
      <c r="B9268" s="345" t="s">
        <v>4937</v>
      </c>
    </row>
    <row r="9269" spans="1:2" ht="15.75" x14ac:dyDescent="0.25">
      <c r="A9269" s="344" t="s">
        <v>14072</v>
      </c>
      <c r="B9269" s="345" t="s">
        <v>14073</v>
      </c>
    </row>
    <row r="9270" spans="1:2" ht="15.75" x14ac:dyDescent="0.25">
      <c r="A9270" s="344" t="s">
        <v>14074</v>
      </c>
      <c r="B9270" s="345" t="s">
        <v>14075</v>
      </c>
    </row>
    <row r="9271" spans="1:2" ht="15.75" x14ac:dyDescent="0.25">
      <c r="A9271" s="344" t="s">
        <v>14076</v>
      </c>
      <c r="B9271" s="345" t="s">
        <v>14039</v>
      </c>
    </row>
    <row r="9272" spans="1:2" ht="15.75" x14ac:dyDescent="0.25">
      <c r="A9272" s="344" t="s">
        <v>14077</v>
      </c>
      <c r="B9272" s="345" t="s">
        <v>5008</v>
      </c>
    </row>
    <row r="9273" spans="1:2" ht="15.75" x14ac:dyDescent="0.25">
      <c r="A9273" s="344" t="s">
        <v>14078</v>
      </c>
      <c r="B9273" s="345" t="s">
        <v>5009</v>
      </c>
    </row>
    <row r="9274" spans="1:2" ht="15.75" x14ac:dyDescent="0.25">
      <c r="A9274" s="344" t="s">
        <v>14079</v>
      </c>
      <c r="B9274" s="345" t="s">
        <v>14080</v>
      </c>
    </row>
    <row r="9275" spans="1:2" ht="15.75" x14ac:dyDescent="0.25">
      <c r="A9275" s="344" t="s">
        <v>14081</v>
      </c>
      <c r="B9275" s="345" t="s">
        <v>14082</v>
      </c>
    </row>
    <row r="9276" spans="1:2" ht="15.75" x14ac:dyDescent="0.25">
      <c r="A9276" s="344" t="s">
        <v>14083</v>
      </c>
      <c r="B9276" s="345" t="s">
        <v>5010</v>
      </c>
    </row>
    <row r="9277" spans="1:2" ht="15.75" x14ac:dyDescent="0.25">
      <c r="A9277" s="344" t="s">
        <v>14084</v>
      </c>
      <c r="B9277" s="345" t="s">
        <v>5011</v>
      </c>
    </row>
    <row r="9278" spans="1:2" ht="15.75" x14ac:dyDescent="0.25">
      <c r="A9278" s="344" t="s">
        <v>14085</v>
      </c>
      <c r="B9278" s="345" t="s">
        <v>5012</v>
      </c>
    </row>
    <row r="9279" spans="1:2" ht="15.75" x14ac:dyDescent="0.25">
      <c r="A9279" s="344" t="s">
        <v>14086</v>
      </c>
      <c r="B9279" s="345" t="s">
        <v>5013</v>
      </c>
    </row>
    <row r="9280" spans="1:2" ht="15.75" x14ac:dyDescent="0.25">
      <c r="A9280" s="344" t="s">
        <v>14087</v>
      </c>
      <c r="B9280" s="345" t="s">
        <v>5014</v>
      </c>
    </row>
    <row r="9281" spans="1:2" ht="15.75" x14ac:dyDescent="0.25">
      <c r="A9281" s="344" t="s">
        <v>14088</v>
      </c>
      <c r="B9281" s="345" t="s">
        <v>14089</v>
      </c>
    </row>
    <row r="9282" spans="1:2" ht="15.75" x14ac:dyDescent="0.25">
      <c r="A9282" s="344" t="s">
        <v>14090</v>
      </c>
      <c r="B9282" s="345" t="s">
        <v>5015</v>
      </c>
    </row>
    <row r="9283" spans="1:2" ht="15.75" x14ac:dyDescent="0.25">
      <c r="A9283" s="344" t="s">
        <v>14091</v>
      </c>
      <c r="B9283" s="345" t="s">
        <v>5016</v>
      </c>
    </row>
    <row r="9284" spans="1:2" ht="15.75" x14ac:dyDescent="0.25">
      <c r="A9284" s="344" t="s">
        <v>14092</v>
      </c>
      <c r="B9284" s="345" t="s">
        <v>14093</v>
      </c>
    </row>
    <row r="9285" spans="1:2" ht="15.75" x14ac:dyDescent="0.25">
      <c r="A9285" s="344" t="s">
        <v>14094</v>
      </c>
      <c r="B9285" s="345" t="s">
        <v>14095</v>
      </c>
    </row>
    <row r="9286" spans="1:2" ht="15.75" x14ac:dyDescent="0.25">
      <c r="A9286" s="344" t="s">
        <v>14096</v>
      </c>
      <c r="B9286" s="345" t="s">
        <v>5017</v>
      </c>
    </row>
    <row r="9287" spans="1:2" ht="15.75" x14ac:dyDescent="0.25">
      <c r="A9287" s="344" t="s">
        <v>14097</v>
      </c>
      <c r="B9287" s="345" t="s">
        <v>5018</v>
      </c>
    </row>
    <row r="9288" spans="1:2" ht="15.75" x14ac:dyDescent="0.25">
      <c r="A9288" s="344" t="s">
        <v>14098</v>
      </c>
      <c r="B9288" s="345" t="s">
        <v>14099</v>
      </c>
    </row>
    <row r="9289" spans="1:2" ht="15.75" x14ac:dyDescent="0.25">
      <c r="A9289" s="344" t="s">
        <v>14100</v>
      </c>
      <c r="B9289" s="345" t="s">
        <v>5021</v>
      </c>
    </row>
    <row r="9290" spans="1:2" ht="15.75" x14ac:dyDescent="0.25">
      <c r="A9290" s="344" t="s">
        <v>14101</v>
      </c>
      <c r="B9290" s="345" t="s">
        <v>14102</v>
      </c>
    </row>
    <row r="9291" spans="1:2" ht="15.75" x14ac:dyDescent="0.25">
      <c r="A9291" s="344" t="s">
        <v>14103</v>
      </c>
      <c r="B9291" s="345" t="s">
        <v>14104</v>
      </c>
    </row>
    <row r="9292" spans="1:2" ht="15.75" x14ac:dyDescent="0.25">
      <c r="A9292" s="344" t="s">
        <v>14105</v>
      </c>
      <c r="B9292" s="345" t="s">
        <v>5019</v>
      </c>
    </row>
    <row r="9293" spans="1:2" ht="15.75" x14ac:dyDescent="0.25">
      <c r="A9293" s="344" t="s">
        <v>14106</v>
      </c>
      <c r="B9293" s="345" t="s">
        <v>5020</v>
      </c>
    </row>
    <row r="9294" spans="1:2" ht="15.75" x14ac:dyDescent="0.25">
      <c r="A9294" s="344" t="s">
        <v>14107</v>
      </c>
      <c r="B9294" s="345" t="s">
        <v>14108</v>
      </c>
    </row>
    <row r="9295" spans="1:2" ht="15.75" x14ac:dyDescent="0.25">
      <c r="A9295" s="344" t="s">
        <v>14109</v>
      </c>
      <c r="B9295" s="345" t="s">
        <v>14110</v>
      </c>
    </row>
    <row r="9296" spans="1:2" ht="15.75" x14ac:dyDescent="0.25">
      <c r="A9296" s="344" t="s">
        <v>14111</v>
      </c>
      <c r="B9296" s="345" t="s">
        <v>14112</v>
      </c>
    </row>
    <row r="9297" spans="1:2" ht="15.75" x14ac:dyDescent="0.25">
      <c r="A9297" s="344" t="s">
        <v>14113</v>
      </c>
      <c r="B9297" s="345" t="s">
        <v>14114</v>
      </c>
    </row>
    <row r="9298" spans="1:2" ht="15.75" x14ac:dyDescent="0.25">
      <c r="A9298" s="344" t="s">
        <v>14115</v>
      </c>
      <c r="B9298" s="345" t="s">
        <v>14116</v>
      </c>
    </row>
    <row r="9299" spans="1:2" ht="15.75" x14ac:dyDescent="0.25">
      <c r="A9299" s="344" t="s">
        <v>14117</v>
      </c>
      <c r="B9299" s="345" t="s">
        <v>5021</v>
      </c>
    </row>
    <row r="9300" spans="1:2" ht="15.75" x14ac:dyDescent="0.25">
      <c r="A9300" s="344" t="s">
        <v>14118</v>
      </c>
      <c r="B9300" s="345" t="s">
        <v>14119</v>
      </c>
    </row>
    <row r="9301" spans="1:2" ht="15.75" x14ac:dyDescent="0.25">
      <c r="A9301" s="344" t="s">
        <v>14120</v>
      </c>
      <c r="B9301" s="345" t="s">
        <v>4937</v>
      </c>
    </row>
  </sheetData>
  <conditionalFormatting sqref="A2:A9301">
    <cfRule type="duplicateValues" dxfId="2" priority="1"/>
  </conditionalFormatting>
  <pageMargins left="0.7" right="0.7" top="0.75" bottom="0.75" header="0.3" footer="0.3"/>
  <pageSetup orientation="landscape" horizontalDpi="1200" verticalDpi="1200" r:id="rId1"/>
  <headerFooter>
    <oddFooter>&amp;LWednesday, November 09, 2022&amp;RPage &amp;P of &amp;N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9B033-839F-4EA7-A29A-858DA2C2B35C}">
  <sheetPr codeName="Sheet12"/>
  <dimension ref="A1"/>
  <sheetViews>
    <sheetView workbookViewId="0">
      <selection activeCell="A2" sqref="A2"/>
    </sheetView>
  </sheetViews>
  <sheetFormatPr defaultRowHeight="15" x14ac:dyDescent="0.25"/>
  <cols>
    <col min="1" max="1" width="9.5703125" bestFit="1" customWidth="1"/>
  </cols>
  <sheetData>
    <row r="1" spans="1:1" x14ac:dyDescent="0.25">
      <c r="A1" s="260">
        <v>46034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E7665-18BA-4193-942F-FAFF44A7E5AA}">
  <sheetPr codeName="Sheet16">
    <tabColor rgb="FFC00000"/>
  </sheetPr>
  <dimension ref="A1:P4"/>
  <sheetViews>
    <sheetView workbookViewId="0">
      <pane ySplit="4" topLeftCell="A5" activePane="bottomLeft" state="frozen"/>
      <selection pane="bottomLeft" activeCell="C9" sqref="C9"/>
    </sheetView>
  </sheetViews>
  <sheetFormatPr defaultRowHeight="15" x14ac:dyDescent="0.25"/>
  <cols>
    <col min="1" max="1" width="33.85546875" customWidth="1"/>
    <col min="2" max="2" width="57.42578125" customWidth="1"/>
    <col min="3" max="3" width="30" customWidth="1"/>
    <col min="4" max="4" width="71.42578125" customWidth="1"/>
    <col min="16" max="16" width="12.5703125" hidden="1" customWidth="1"/>
  </cols>
  <sheetData>
    <row r="1" spans="1:16" ht="24" thickBot="1" x14ac:dyDescent="0.4">
      <c r="A1" s="724" t="s">
        <v>14121</v>
      </c>
      <c r="B1" s="724"/>
      <c r="C1" s="724"/>
      <c r="D1" s="724"/>
    </row>
    <row r="2" spans="1:16" ht="18" x14ac:dyDescent="0.25">
      <c r="A2" s="725" t="s">
        <v>14122</v>
      </c>
      <c r="B2" s="726"/>
      <c r="C2" s="727" t="s">
        <v>1863</v>
      </c>
      <c r="D2" s="728"/>
      <c r="P2" t="str">
        <f>A2</f>
        <v>Chart of Accounts A</v>
      </c>
    </row>
    <row r="3" spans="1:16" ht="21" customHeight="1" x14ac:dyDescent="0.25">
      <c r="A3" s="403"/>
      <c r="B3" s="404"/>
      <c r="C3" s="405"/>
      <c r="D3" s="406"/>
      <c r="P3" t="str">
        <f>C2</f>
        <v>Chart of Accounts B</v>
      </c>
    </row>
    <row r="4" spans="1:16" ht="15.75" thickBot="1" x14ac:dyDescent="0.3">
      <c r="A4" s="407" t="s">
        <v>14123</v>
      </c>
      <c r="B4" s="408" t="s">
        <v>14124</v>
      </c>
      <c r="C4" s="407" t="s">
        <v>14123</v>
      </c>
      <c r="D4" s="408" t="s">
        <v>14124</v>
      </c>
    </row>
  </sheetData>
  <mergeCells count="3">
    <mergeCell ref="A1:D1"/>
    <mergeCell ref="A2:B2"/>
    <mergeCell ref="C2:D2"/>
  </mergeCells>
  <conditionalFormatting sqref="A2:A3">
    <cfRule type="duplicateValues" dxfId="1" priority="2"/>
  </conditionalFormatting>
  <conditionalFormatting sqref="A4">
    <cfRule type="duplicateValues" dxfId="0" priority="1"/>
  </conditionalFormatting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2C5F47EAF4A0F4F9CA5901C0C00B403" ma:contentTypeVersion="4" ma:contentTypeDescription="Create a new document." ma:contentTypeScope="" ma:versionID="0622dcab38a9700d47eef2cff00aaac1">
  <xsd:schema xmlns:xsd="http://www.w3.org/2001/XMLSchema" xmlns:xs="http://www.w3.org/2001/XMLSchema" xmlns:p="http://schemas.microsoft.com/office/2006/metadata/properties" xmlns:ns2="e44135eb-6a74-4cc9-8d7a-06bab8e653a0" targetNamespace="http://schemas.microsoft.com/office/2006/metadata/properties" ma:root="true" ma:fieldsID="20a0ebd463fb0e0f9192c08dad79f98a" ns2:_="">
    <xsd:import namespace="e44135eb-6a74-4cc9-8d7a-06bab8e65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4135eb-6a74-4cc9-8d7a-06bab8e653a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C70A91A-B20B-452C-A908-987FE45EC4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4135eb-6a74-4cc9-8d7a-06bab8e65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B420F6C-C149-4D16-97C2-C9670DE6423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0197163-99DE-4928-8AC3-65927CF495AD}">
  <ds:schemaRefs>
    <ds:schemaRef ds:uri="http://schemas.microsoft.com/office/2006/documentManagement/types"/>
    <ds:schemaRef ds:uri="http://purl.org/dc/elements/1.1/"/>
    <ds:schemaRef ds:uri="e44135eb-6a74-4cc9-8d7a-06bab8e653a0"/>
    <ds:schemaRef ds:uri="http://schemas.microsoft.com/office/2006/metadata/properties"/>
    <ds:schemaRef ds:uri="http://purl.org/dc/dcmitype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28</vt:i4>
      </vt:variant>
    </vt:vector>
  </HeadingPairs>
  <TitlesOfParts>
    <vt:vector size="50" baseType="lpstr">
      <vt:lpstr>Input-Instructions</vt:lpstr>
      <vt:lpstr>CY</vt:lpstr>
      <vt:lpstr>Prepaid Other</vt:lpstr>
      <vt:lpstr>Real Estate Taxes</vt:lpstr>
      <vt:lpstr>Property Insurance</vt:lpstr>
      <vt:lpstr>Hidden</vt:lpstr>
      <vt:lpstr>State Details</vt:lpstr>
      <vt:lpstr>SD Interest True Up</vt:lpstr>
      <vt:lpstr>Accrued Expenses</vt:lpstr>
      <vt:lpstr>Seller Settlement</vt:lpstr>
      <vt:lpstr>Insurance Claim</vt:lpstr>
      <vt:lpstr>Unclaimed Property</vt:lpstr>
      <vt:lpstr>CapEx</vt:lpstr>
      <vt:lpstr>Upload Setup</vt:lpstr>
      <vt:lpstr>Yardi</vt:lpstr>
      <vt:lpstr>Entrata</vt:lpstr>
      <vt:lpstr>OneSite</vt:lpstr>
      <vt:lpstr>MRI</vt:lpstr>
      <vt:lpstr>HUD</vt:lpstr>
      <vt:lpstr>COA</vt:lpstr>
      <vt:lpstr>File Version</vt:lpstr>
      <vt:lpstr>Mapped COA</vt:lpstr>
      <vt:lpstr>'Accrued Expenses'!Print_Area</vt:lpstr>
      <vt:lpstr>CapEx!Print_Area</vt:lpstr>
      <vt:lpstr>CY!Print_Area</vt:lpstr>
      <vt:lpstr>HUD!Print_Area</vt:lpstr>
      <vt:lpstr>'Input-Instructions'!Print_Area</vt:lpstr>
      <vt:lpstr>'Insurance Claim'!Print_Area</vt:lpstr>
      <vt:lpstr>'Prepaid Other'!Print_Area</vt:lpstr>
      <vt:lpstr>'Property Insurance'!Print_Area</vt:lpstr>
      <vt:lpstr>'Real Estate Taxes'!Print_Area</vt:lpstr>
      <vt:lpstr>'Seller Settlement'!Print_Area</vt:lpstr>
      <vt:lpstr>'Unclaimed Property'!Print_Area</vt:lpstr>
      <vt:lpstr>'Accrued Expenses'!Print_Titles</vt:lpstr>
      <vt:lpstr>CapEx!Print_Titles</vt:lpstr>
      <vt:lpstr>COA!Print_Titles</vt:lpstr>
      <vt:lpstr>CY!Print_Titles</vt:lpstr>
      <vt:lpstr>Hidden!Print_Titles</vt:lpstr>
      <vt:lpstr>HUD!Print_Titles</vt:lpstr>
      <vt:lpstr>'Input-Instructions'!Print_Titles</vt:lpstr>
      <vt:lpstr>'Insurance Claim'!Print_Titles</vt:lpstr>
      <vt:lpstr>'Prepaid Other'!Print_Titles</vt:lpstr>
      <vt:lpstr>'Property Insurance'!Print_Titles</vt:lpstr>
      <vt:lpstr>'Real Estate Taxes'!Print_Titles</vt:lpstr>
      <vt:lpstr>'SD Interest True Up'!Print_Titles</vt:lpstr>
      <vt:lpstr>'Seller Settlement'!Print_Titles</vt:lpstr>
      <vt:lpstr>'State Details'!Print_Titles</vt:lpstr>
      <vt:lpstr>'Unclaimed Property'!Print_Titles</vt:lpstr>
      <vt:lpstr>'Upload Setup'!Print_Titles</vt:lpstr>
      <vt:lpstr>Yardi!Print_Titles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ryan.johnson@greystar.com</dc:creator>
  <cp:keywords/>
  <dc:description/>
  <cp:lastModifiedBy>Rowena Chen</cp:lastModifiedBy>
  <cp:revision/>
  <dcterms:created xsi:type="dcterms:W3CDTF">2019-11-25T22:36:54Z</dcterms:created>
  <dcterms:modified xsi:type="dcterms:W3CDTF">2026-08-18T04:28:46Z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0x01010002C5F47EAF4A0F4F9CA5901C0C00B403</vt:lpwstr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SV_HIDDEN_GRID_QUERY_LIST_4F35BF76-6C0D-4D9B-82B2-816C12CF3733">
    <vt:lpwstr>empty_477D106A-C0D6-4607-AEBD-E2C9D60EA279</vt:lpwstr>
  </property>
  <property fmtid="{D5CDD505-2E9C-101B-9397-08002B2CF9AE}" pid="5" name="MediaServiceImageTags">
    <vt:lpwstr/>
  </property>
</Properties>
</file>