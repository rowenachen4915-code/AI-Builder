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23" documentId="11_05839EC3B49AFBC5FF8C1DCCF151F43C0AF76844" xr6:coauthVersionLast="47" xr6:coauthVersionMax="47" xr10:uidLastSave="{37C5CA97-CC41-417D-B16E-2F5ECD11EB86}"/>
  <bookViews>
    <workbookView xWindow="0" yWindow="0" windowWidth="16384" windowHeight="8192" tabRatio="500" xr2:uid="{00000000-000D-0000-FFFF-FFFF00000000}"/>
  </bookViews>
  <sheets>
    <sheet name="Executive Summary" sheetId="1" r:id="rId1"/>
    <sheet name="Setup" sheetId="2" state="hidden" r:id="rId2"/>
    <sheet name="Exceptions" sheetId="3" r:id="rId3"/>
    <sheet name="Warnings" sheetId="4" r:id="rId4"/>
    <sheet name="Reviewed_Monitor" sheetId="5" r:id="rId5"/>
    <sheet name="Passed Controls" sheetId="6" r:id="rId6"/>
    <sheet name="Source Validation" sheetId="7" r:id="rId7"/>
    <sheet name="Changes Since Last Review" sheetId="8" r:id="rId8"/>
    <sheet name="Review History" sheetId="9" r:id="rId9"/>
    <sheet name="Rule Library" sheetId="10" state="hidden" r:id="rId10"/>
    <sheet name="All Results" sheetId="11" r:id="rId11"/>
  </sheets>
  <definedNames>
    <definedName name="FindingType">Setup!$B$2:$F$2</definedName>
    <definedName name="OverallStatus">Setup!$B$4:$E$4</definedName>
    <definedName name="_xlnm.Print_Area" localSheetId="0">'Executive Summary'!$A$1:$H$26</definedName>
    <definedName name="SourceStatus">Setup!$B$3:$E$3</definedName>
    <definedName name="StatusOptions">Setup!$B$1:$G$1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  <c r="C14" i="1"/>
  <c r="C15" i="1" s="1"/>
  <c r="G10" i="1"/>
  <c r="E10" i="1"/>
  <c r="C10" i="1"/>
  <c r="A10" i="1"/>
  <c r="D7" i="1"/>
</calcChain>
</file>

<file path=xl/sharedStrings.xml><?xml version="1.0" encoding="utf-8"?>
<sst xmlns="http://schemas.openxmlformats.org/spreadsheetml/2006/main" count="4235" uniqueCount="841">
  <si>
    <t>ACCOUNTING INTERNAL REVIEW REPORT</t>
  </si>
  <si>
    <t>Created by Rowena Chen and Thai Phan</t>
  </si>
  <si>
    <t>Property Code</t>
  </si>
  <si>
    <t>mn610wes</t>
  </si>
  <si>
    <t>Review Attempt</t>
  </si>
  <si>
    <t>R2</t>
  </si>
  <si>
    <t>Property Name</t>
  </si>
  <si>
    <t>610 West</t>
  </si>
  <si>
    <t>Submission Type</t>
  </si>
  <si>
    <t>Re-review</t>
  </si>
  <si>
    <t>Review Period</t>
  </si>
  <si>
    <t>Review Date</t>
  </si>
  <si>
    <t>OVERALL REVIEW STATUS</t>
  </si>
  <si>
    <t>Exceptions</t>
  </si>
  <si>
    <t>Warnings</t>
  </si>
  <si>
    <t>Reviewed / Monitor</t>
  </si>
  <si>
    <t>Passed</t>
  </si>
  <si>
    <t>SOURCE COMPLETENESS</t>
  </si>
  <si>
    <t>Required Sources Found</t>
  </si>
  <si>
    <t>Required Sources</t>
  </si>
  <si>
    <t>Completeness</t>
  </si>
  <si>
    <t>MANAGER CONCLUSION</t>
  </si>
  <si>
    <t>Conclusion / Key Matters:</t>
  </si>
  <si>
    <t>Manager Sign-off:</t>
  </si>
  <si>
    <t>Date:</t>
  </si>
  <si>
    <t>StatusOptions</t>
  </si>
  <si>
    <t>Not Reviewed</t>
  </si>
  <si>
    <t>Pass</t>
  </si>
  <si>
    <t>Warning</t>
  </si>
  <si>
    <t>Exception</t>
  </si>
  <si>
    <t>N/A</t>
  </si>
  <si>
    <t>FindingType</t>
  </si>
  <si>
    <t>New</t>
  </si>
  <si>
    <t>Unresolved</t>
  </si>
  <si>
    <t>Resolved</t>
  </si>
  <si>
    <t>SourceStatus</t>
  </si>
  <si>
    <t>Found</t>
  </si>
  <si>
    <t>Missing</t>
  </si>
  <si>
    <t>Multiple Versions</t>
  </si>
  <si>
    <t>Not Applicable</t>
  </si>
  <si>
    <t>OverallStatus</t>
  </si>
  <si>
    <t>Not Started</t>
  </si>
  <si>
    <t>Not Ready</t>
  </si>
  <si>
    <t>Ready With Comments</t>
  </si>
  <si>
    <t>Ready for Release</t>
  </si>
  <si>
    <t>EXCEPTIONS</t>
  </si>
  <si>
    <t>Result ID</t>
  </si>
  <si>
    <t>Rule ID</t>
  </si>
  <si>
    <t>Finding Type</t>
  </si>
  <si>
    <t>Category</t>
  </si>
  <si>
    <t>Account / Item</t>
  </si>
  <si>
    <t>Test Performed</t>
  </si>
  <si>
    <t>Status</t>
  </si>
  <si>
    <t>Source 1</t>
  </si>
  <si>
    <t>Source 2</t>
  </si>
  <si>
    <t>Source Value</t>
  </si>
  <si>
    <t>Comparison Value</t>
  </si>
  <si>
    <t>Difference / Variance / Age</t>
  </si>
  <si>
    <t>Finding</t>
  </si>
  <si>
    <t>Required Action</t>
  </si>
  <si>
    <t>mn610wes_07-2026_R2_0054</t>
  </si>
  <si>
    <t>BS-01</t>
  </si>
  <si>
    <t>07-2026</t>
  </si>
  <si>
    <t>Balance Sheet</t>
  </si>
  <si>
    <t>22010-000 Accrued Expense</t>
  </si>
  <si>
    <t>Balance Sheet balance = TB ending balance</t>
  </si>
  <si>
    <t>Trial Balance</t>
  </si>
  <si>
    <t>Balance Sheet does not agree to the TB - the reports were run at different times.</t>
  </si>
  <si>
    <t>Re-run the Balance Sheet after the final entry and replace the file.</t>
  </si>
  <si>
    <t>mn610wes_07-2026_R2_0055</t>
  </si>
  <si>
    <t>BS-02</t>
  </si>
  <si>
    <t>34010-000 Current Year Earnings</t>
  </si>
  <si>
    <t>Current year earnings = net income per the TB</t>
  </si>
  <si>
    <t>Trial Balance (income and expense accounts)</t>
  </si>
  <si>
    <t>Current year earnings on the Balance Sheet do not agree to the TB - the Balance Sheet was run before the final entries.</t>
  </si>
  <si>
    <t>mn610wes_07-2026_R2_0056</t>
  </si>
  <si>
    <t>CASH-00</t>
  </si>
  <si>
    <t>Cash</t>
  </si>
  <si>
    <t>610 West - Operating (x2790)</t>
  </si>
  <si>
    <t>PDF read check: the reconciliation foots and the listed items add to their subtotals</t>
  </si>
  <si>
    <t>Bank Rec PDF</t>
  </si>
  <si>
    <t>The values read from the PDF do not foot. Do not rely on the cash tests below.</t>
  </si>
  <si>
    <t>Review this bank rec manually; send the PDF to the tool owner.</t>
  </si>
  <si>
    <t>WARNINGS</t>
  </si>
  <si>
    <t>mn610wes_07-2026_R2_0059</t>
  </si>
  <si>
    <t>CASH-03</t>
  </si>
  <si>
    <t>610 West - Operating (x2790) - Reconciling item  05/26 American Bankers Credit</t>
  </si>
  <si>
    <t>Reconciling item age &lt;= 60 days</t>
  </si>
  <si>
    <t>Bank Rec</t>
  </si>
  <si>
    <t>91 days</t>
  </si>
  <si>
    <t>Reconciling item dated 2026-05-01 is 91 days old at period end.</t>
  </si>
  <si>
    <t>Research and clear, void/reissue, or document why it remains.</t>
  </si>
  <si>
    <t>mn610wes_07-2026_R2_0111</t>
  </si>
  <si>
    <t>T12-02</t>
  </si>
  <si>
    <t>T12</t>
  </si>
  <si>
    <t>41000-000 Market Rent</t>
  </si>
  <si>
    <t>Current month within 15% and $5000 of the recent trend</t>
  </si>
  <si>
    <t>T12 Jul 2026</t>
  </si>
  <si>
    <t>Prior 3-month average</t>
  </si>
  <si>
    <t>28102.00 (2.7%)</t>
  </si>
  <si>
    <t>Moved 28102.00 (2.7%) from its recent average.</t>
  </si>
  <si>
    <t>Review the GL detail and explain or correct.</t>
  </si>
  <si>
    <t>mn610wes_07-2026_R2_0112</t>
  </si>
  <si>
    <t>41010-000 Gain / Loss To Lease</t>
  </si>
  <si>
    <t>-18751.61 (17.8%)</t>
  </si>
  <si>
    <t>Moved -18751.61 (17.8%) from its recent average.</t>
  </si>
  <si>
    <t>mn610wes_07-2026_R2_0113</t>
  </si>
  <si>
    <t>41100-000 Vacancy Loss</t>
  </si>
  <si>
    <t>5501.07 (8%)</t>
  </si>
  <si>
    <t>Moved 5501.07 (8%) from its recent average.</t>
  </si>
  <si>
    <t>mn610wes_07-2026_R2_0114</t>
  </si>
  <si>
    <t>41150-000 Bad Debt - Rent</t>
  </si>
  <si>
    <t>-2050.74 (47.3%)</t>
  </si>
  <si>
    <t>Moved -2050.74 (47.3%) from its recent average.</t>
  </si>
  <si>
    <t>mn610wes_07-2026_R2_0115</t>
  </si>
  <si>
    <t>41155-000 Bad Debt Recovery - Rent</t>
  </si>
  <si>
    <t>1078.99 (74.7%)</t>
  </si>
  <si>
    <t>Moved 1078.99 (74.7%) from its recent average.</t>
  </si>
  <si>
    <t>mn610wes_07-2026_R2_0116</t>
  </si>
  <si>
    <t>43080-000 Damages</t>
  </si>
  <si>
    <t>-3193.67 (58.5%)</t>
  </si>
  <si>
    <t>Moved -3193.67 (58.5%) from its recent average.</t>
  </si>
  <si>
    <t>mn610wes_07-2026_R2_0117</t>
  </si>
  <si>
    <t>43097-000 Eviction Fees</t>
  </si>
  <si>
    <t>-4273.71 (130.6%)</t>
  </si>
  <si>
    <t>Moved -4273.71 (130.6%) from its recent average.</t>
  </si>
  <si>
    <t>mn610wes_07-2026_R2_0118</t>
  </si>
  <si>
    <t>43130-000 Interest Paid - Security Deposits</t>
  </si>
  <si>
    <t>3243.06 (772.5%)</t>
  </si>
  <si>
    <t>Moved 3243.06 (772.5%) from its recent average.</t>
  </si>
  <si>
    <t>mn610wes_07-2026_R2_0119</t>
  </si>
  <si>
    <t>43145-000 Lease Cancellation Fee</t>
  </si>
  <si>
    <t>-1670.06 (28.9%)</t>
  </si>
  <si>
    <t>Moved -1670.06 (28.9%) from its recent average.</t>
  </si>
  <si>
    <t>mn610wes_07-2026_R2_0120</t>
  </si>
  <si>
    <t>43262-000 Trash Rebill</t>
  </si>
  <si>
    <t>2771.23 (34.1%)</t>
  </si>
  <si>
    <t>Moved 2771.23 (34.1%) from its recent average.</t>
  </si>
  <si>
    <t>mn610wes_07-2026_R2_0121</t>
  </si>
  <si>
    <t>51010-000 Management - Salaries</t>
  </si>
  <si>
    <t>-4151.19 (26.4%)</t>
  </si>
  <si>
    <t>Moved -4151.19 (26.4%) from its recent average.</t>
  </si>
  <si>
    <t>mn610wes_07-2026_R2_0122</t>
  </si>
  <si>
    <t>51025-000 Concierge - Salaries</t>
  </si>
  <si>
    <t>-1043.38 (21.8%)</t>
  </si>
  <si>
    <t>Moved -1043.38 (21.8%) from its recent average.</t>
  </si>
  <si>
    <t>mn610wes_07-2026_R2_0123</t>
  </si>
  <si>
    <t>51030-000 Bonuses</t>
  </si>
  <si>
    <t>-10663.67 (102.3%)</t>
  </si>
  <si>
    <t>Moved -10663.67 (102.3%) from its recent average.</t>
  </si>
  <si>
    <t>mn610wes_07-2026_R2_0124</t>
  </si>
  <si>
    <t>51030-001 Quarterly Bonuses</t>
  </si>
  <si>
    <t>-2670.81 (100%)</t>
  </si>
  <si>
    <t>Moved -2670.81 (100%) from its recent average.</t>
  </si>
  <si>
    <t>mn610wes_07-2026_R2_0125</t>
  </si>
  <si>
    <t>51070-000 Payroll Taxes</t>
  </si>
  <si>
    <t>-1225.45 (15.4%)</t>
  </si>
  <si>
    <t>Moved -1225.45 (15.4%) from its recent average.</t>
  </si>
  <si>
    <t>mn610wes_07-2026_R2_0126</t>
  </si>
  <si>
    <t>T12-01</t>
  </si>
  <si>
    <t>52040-000 Building - Exterior</t>
  </si>
  <si>
    <t>Account active 6+ of the prior 12 months has a current-month amount</t>
  </si>
  <si>
    <t>Active 8 of 11 prior months</t>
  </si>
  <si>
    <t>Recurring activity is missing this month.</t>
  </si>
  <si>
    <t>Confirm nothing was missed, or accrue.</t>
  </si>
  <si>
    <t>mn610wes_07-2026_R2_0127</t>
  </si>
  <si>
    <t>52080-000 Elevator Repairs</t>
  </si>
  <si>
    <t>1071.82 (77.3%)</t>
  </si>
  <si>
    <t>Moved 1071.82 (77.3%) from its recent average.</t>
  </si>
  <si>
    <t>mn610wes_07-2026_R2_0128</t>
  </si>
  <si>
    <t>52090-000 Garage Repairs &amp; Maintenance</t>
  </si>
  <si>
    <t>Active 6 of 11 prior months</t>
  </si>
  <si>
    <t>mn610wes_07-2026_R2_0129</t>
  </si>
  <si>
    <t>52140-000 Locks &amp; Keys</t>
  </si>
  <si>
    <t>Active 7 of 11 prior months</t>
  </si>
  <si>
    <t>mn610wes_07-2026_R2_0130</t>
  </si>
  <si>
    <t>52190-000 Plumbing Supplies / Repairs</t>
  </si>
  <si>
    <t>1671.35 (155.9%)</t>
  </si>
  <si>
    <t>Moved 1671.35 (155.9%) from its recent average.</t>
  </si>
  <si>
    <t>mn610wes_07-2026_R2_0131</t>
  </si>
  <si>
    <t>52240-000 Sprinkler / Irrigation Supplies / Repairs</t>
  </si>
  <si>
    <t>-2801.83 (60.2%)</t>
  </si>
  <si>
    <t>Moved -2801.83 (60.2%) from its recent average.</t>
  </si>
  <si>
    <t>mn610wes_07-2026_R2_0132</t>
  </si>
  <si>
    <t>52650-000 Housekeeper / Cleaning Service</t>
  </si>
  <si>
    <t>1508.16 (65.7%)</t>
  </si>
  <si>
    <t>Moved 1508.16 (65.7%) from its recent average.</t>
  </si>
  <si>
    <t>mn610wes_07-2026_R2_0133</t>
  </si>
  <si>
    <t>52660-000 Paint Contractor</t>
  </si>
  <si>
    <t>2967.08 (87.2%)</t>
  </si>
  <si>
    <t>Moved 2967.08 (87.2%) from its recent average.</t>
  </si>
  <si>
    <t>mn610wes_07-2026_R2_0134</t>
  </si>
  <si>
    <t>CONT-03</t>
  </si>
  <si>
    <t>Recurring Contracts</t>
  </si>
  <si>
    <t>53030-000 Cable TV Contract</t>
  </si>
  <si>
    <t>1268.57 (476%)</t>
  </si>
  <si>
    <t>Contract cost moved 1268.57 (476%) from its recent average.</t>
  </si>
  <si>
    <t>Confirm against the contract or invoice.</t>
  </si>
  <si>
    <t>mn610wes_07-2026_R2_0135</t>
  </si>
  <si>
    <t>CONT-02</t>
  </si>
  <si>
    <t>53070-000 Fire Protection / Life Safety Contract</t>
  </si>
  <si>
    <t>Contract active 6+ of the prior 12 months has a current-month amount</t>
  </si>
  <si>
    <t>Active 10 of 11 prior months</t>
  </si>
  <si>
    <t>Recurring contract has no current-month activity.</t>
  </si>
  <si>
    <t>Confirm the invoice was received, or accrue.</t>
  </si>
  <si>
    <t>mn610wes_07-2026_R2_0136</t>
  </si>
  <si>
    <t>53100-000 Landscape - Seasonal Contract</t>
  </si>
  <si>
    <t>-15009.73 (264.1%)</t>
  </si>
  <si>
    <t>Contract cost moved -15009.73 (264.1%) from its recent average.</t>
  </si>
  <si>
    <t>mn610wes_07-2026_R2_0137</t>
  </si>
  <si>
    <t>53105-000 Landscape Maintenance Contract</t>
  </si>
  <si>
    <t>-25495.36 (213.4%)</t>
  </si>
  <si>
    <t>Contract cost moved -25495.36 (213.4%) from its recent average.</t>
  </si>
  <si>
    <t>mn610wes_07-2026_R2_0138</t>
  </si>
  <si>
    <t>53150-000 Pool &amp; Spa Contract</t>
  </si>
  <si>
    <t>-2295.05 (42.9%)</t>
  </si>
  <si>
    <t>Contract cost moved -2295.05 (42.9%) from its recent average.</t>
  </si>
  <si>
    <t>mn610wes_07-2026_R2_0139</t>
  </si>
  <si>
    <t>53180-000 Trash Removal Contract</t>
  </si>
  <si>
    <t>-5076.75 (36.7%)</t>
  </si>
  <si>
    <t>Contract cost moved -5076.75 (36.7%) from its recent average.</t>
  </si>
  <si>
    <t>mn610wes_07-2026_R2_0140</t>
  </si>
  <si>
    <t>53220-000 Water Conditioner / Softener Contract</t>
  </si>
  <si>
    <t>2472.46 (87.4%)</t>
  </si>
  <si>
    <t>Contract cost moved 2472.46 (87.4%) from its recent average.</t>
  </si>
  <si>
    <t>mn610wes_07-2026_R2_0141</t>
  </si>
  <si>
    <t>54010-000 Search Engine Marketing Campaigns</t>
  </si>
  <si>
    <t>-3627.06 (49.3%)</t>
  </si>
  <si>
    <t>Moved -3627.06 (49.3%) from its recent average.</t>
  </si>
  <si>
    <t>mn610wes_07-2026_R2_0142</t>
  </si>
  <si>
    <t>54110-000 Resident Activities</t>
  </si>
  <si>
    <t>-1269.90 (194.3%)</t>
  </si>
  <si>
    <t>Moved -1269.90 (194.3%) from its recent average.</t>
  </si>
  <si>
    <t>mn610wes_07-2026_R2_0143</t>
  </si>
  <si>
    <t>58260-000 Eviction Fees</t>
  </si>
  <si>
    <t>-2776.67 (54%)</t>
  </si>
  <si>
    <t>Moved -2776.67 (54%) from its recent average.</t>
  </si>
  <si>
    <t>mn610wes_07-2026_R2_0144</t>
  </si>
  <si>
    <t>58280-000 Licenses / Fees / Permits</t>
  </si>
  <si>
    <t>-6835.00 (97.8%)</t>
  </si>
  <si>
    <t>Moved -6835.00 (97.8%) from its recent average.</t>
  </si>
  <si>
    <t>mn610wes_07-2026_R2_0145</t>
  </si>
  <si>
    <t>58320-000 Miscellaneous General / Admin</t>
  </si>
  <si>
    <t>mn610wes_07-2026_R2_0146</t>
  </si>
  <si>
    <t>UTIL-01</t>
  </si>
  <si>
    <t>Utilities</t>
  </si>
  <si>
    <t>59020-000 Electric - Common Areas</t>
  </si>
  <si>
    <t>Current month within 20% of the recent trend</t>
  </si>
  <si>
    <t>7303.80 (313.9%)</t>
  </si>
  <si>
    <t>Utility is 313.9% above its recent average.</t>
  </si>
  <si>
    <t>Confirm against the bill; check for a missed or doubled invoice.</t>
  </si>
  <si>
    <t>mn610wes_07-2026_R2_0147</t>
  </si>
  <si>
    <t>59040-000 Electric - Vacant Units</t>
  </si>
  <si>
    <t>1378.97 (92.7%)</t>
  </si>
  <si>
    <t>Utility is 92.7% above its recent average.</t>
  </si>
  <si>
    <t>mn610wes_07-2026_R2_0148</t>
  </si>
  <si>
    <t>59070-000 Gas - Common Areas</t>
  </si>
  <si>
    <t>-1368.29 (25.3%)</t>
  </si>
  <si>
    <t>Utility is 25.3% below its recent average.</t>
  </si>
  <si>
    <t>mn610wes_07-2026_R2_0149</t>
  </si>
  <si>
    <t>59110-000 Water / Sewer</t>
  </si>
  <si>
    <t>6324.81 (68.7%)</t>
  </si>
  <si>
    <t>Utility is 68.7% above its recent average.</t>
  </si>
  <si>
    <t>REVIEWED_MONITOR</t>
  </si>
  <si>
    <t>mn610wes_07-2026_R2_0031</t>
  </si>
  <si>
    <t>BSSS-02</t>
  </si>
  <si>
    <t>BSSS</t>
  </si>
  <si>
    <t>11020-000 Cash - Operating</t>
  </si>
  <si>
    <t>Balance sheet account with a balance has support</t>
  </si>
  <si>
    <t>Bank reconciliation</t>
  </si>
  <si>
    <t>Supported outside the BSSS: Bank reconciliation.</t>
  </si>
  <si>
    <t>mn610wes_07-2026_R2_0032</t>
  </si>
  <si>
    <t>11040-000 Cash - Security Deposit</t>
  </si>
  <si>
    <t>mn610wes_07-2026_R2_0033</t>
  </si>
  <si>
    <t>11720-000 Tax Escrow</t>
  </si>
  <si>
    <t>Mortgage statement escrow balances</t>
  </si>
  <si>
    <t>Supported outside the BSSS: Mortgage statement escrow balances.</t>
  </si>
  <si>
    <t>mn610wes_07-2026_R2_0034</t>
  </si>
  <si>
    <t>11725-000 Insurance Escrow</t>
  </si>
  <si>
    <t>mn610wes_07-2026_R2_0035</t>
  </si>
  <si>
    <t>11740-000 Replacement / Rehab Escrow</t>
  </si>
  <si>
    <t>mn610wes_07-2026_R2_0036</t>
  </si>
  <si>
    <t>12010-000 Accounts Receivable</t>
  </si>
  <si>
    <t>AR aging</t>
  </si>
  <si>
    <t>Supported outside the BSSS: AR aging.</t>
  </si>
  <si>
    <t>mn610wes_07-2026_R2_0037</t>
  </si>
  <si>
    <t>14020-000 Land</t>
  </si>
  <si>
    <t>Fixed asset / CapEx rollforward</t>
  </si>
  <si>
    <t>Supported outside the BSSS: Fixed asset / CapEx rollforward.</t>
  </si>
  <si>
    <t>mn610wes_07-2026_R2_0038</t>
  </si>
  <si>
    <t>14065-000 Buildings</t>
  </si>
  <si>
    <t>mn610wes_07-2026_R2_0039</t>
  </si>
  <si>
    <t>14121-700 BI-Site Improvements</t>
  </si>
  <si>
    <t>mn610wes_07-2026_R2_0040</t>
  </si>
  <si>
    <t>14205-000 Computer Hardware</t>
  </si>
  <si>
    <t>mn610wes_07-2026_R2_0041</t>
  </si>
  <si>
    <t>14290-000 Carpet</t>
  </si>
  <si>
    <t>mn610wes_07-2026_R2_0042</t>
  </si>
  <si>
    <t>14347-700 Acquisition-Personal Property</t>
  </si>
  <si>
    <t>mn610wes_07-2026_R2_0043</t>
  </si>
  <si>
    <t>14740-000 Furniture</t>
  </si>
  <si>
    <t>mn610wes_07-2026_R2_0044</t>
  </si>
  <si>
    <t>17100-000 Loan Costs</t>
  </si>
  <si>
    <t>Amortization schedule</t>
  </si>
  <si>
    <t>Supported outside the BSSS: Amortization schedule.</t>
  </si>
  <si>
    <t>mn610wes_07-2026_R2_0045</t>
  </si>
  <si>
    <t>17160-000 Acquisition Cost</t>
  </si>
  <si>
    <t>mn610wes_07-2026_R2_0046</t>
  </si>
  <si>
    <t>17190-600 Tax Abatement Asset</t>
  </si>
  <si>
    <t>mn610wes_07-2026_R2_0047</t>
  </si>
  <si>
    <t>21010-000 Trade Accounts Payable</t>
  </si>
  <si>
    <t>AP aging</t>
  </si>
  <si>
    <t>Supported outside the BSSS: AP aging.</t>
  </si>
  <si>
    <t>mn610wes_07-2026_R2_0048</t>
  </si>
  <si>
    <t>23010-000 Prepaid Rent</t>
  </si>
  <si>
    <t>Prepaid rent report</t>
  </si>
  <si>
    <t>Supported outside the BSSS: Prepaid rent report.</t>
  </si>
  <si>
    <t>mn610wes_07-2026_R2_0049</t>
  </si>
  <si>
    <t>23030-000 Security Deposits</t>
  </si>
  <si>
    <t>Security deposit ledger</t>
  </si>
  <si>
    <t>Supported outside the BSSS: Security deposit ledger.</t>
  </si>
  <si>
    <t>mn610wes_07-2026_R2_0050</t>
  </si>
  <si>
    <t>23045-000 Pet Deposits</t>
  </si>
  <si>
    <t>mn610wes_07-2026_R2_0051</t>
  </si>
  <si>
    <t>24010-000 1st Mortgage Payable</t>
  </si>
  <si>
    <t>Mortgage statement</t>
  </si>
  <si>
    <t>Supported outside the BSSS: Mortgage statement.</t>
  </si>
  <si>
    <t>mn610wes_07-2026_R2_0075</t>
  </si>
  <si>
    <t>GL-02</t>
  </si>
  <si>
    <t>General Ledger</t>
  </si>
  <si>
    <t>11020-000 2026-07-06 J-100808081</t>
  </si>
  <si>
    <t>Manual journal entries listed for review (over $25000 or round thousands)</t>
  </si>
  <si>
    <t>07.26 Debt Payment - Manual journal entry of 588501.15.</t>
  </si>
  <si>
    <t>mn610wes_07-2026_R2_0076</t>
  </si>
  <si>
    <t>11020-000 2026-07-07 J-100727270</t>
  </si>
  <si>
    <t>P/R 07/10/2026 - Manual journal entry of 31694.64.</t>
  </si>
  <si>
    <t>mn610wes_07-2026_R2_0077</t>
  </si>
  <si>
    <t>11020-000 2026-07-09 J-100773240</t>
  </si>
  <si>
    <t>Support Fee -7/09 - Manual journal entry of 25159.67.</t>
  </si>
  <si>
    <t>mn610wes_07-2026_R2_0078</t>
  </si>
  <si>
    <t>11020-000 2026-07-21 J-100953004</t>
  </si>
  <si>
    <t>P/R 07/24/2026 - Manual journal entry of 51052.17.</t>
  </si>
  <si>
    <t>mn610wes_07-2026_R2_0079</t>
  </si>
  <si>
    <t>11720-000 2026-07-06 J-100808081</t>
  </si>
  <si>
    <t>07.26 Debt Payment - Manual journal entry of 183791.55.</t>
  </si>
  <si>
    <t>mn610wes_07-2026_R2_0080</t>
  </si>
  <si>
    <t>11725-000 2026-07-06 J-100808081</t>
  </si>
  <si>
    <t>07.26 Debt Payment - Manual journal entry of 27314.27.</t>
  </si>
  <si>
    <t>mn610wes_07-2026_R2_0081</t>
  </si>
  <si>
    <t>11740-000 2026-07-06 J-100808081</t>
  </si>
  <si>
    <t>07.26 Debt Payment - Manual round-thousand entry.</t>
  </si>
  <si>
    <t>mn610wes_07-2026_R2_0082</t>
  </si>
  <si>
    <t>13050-000 2026-07-01 J-100940538</t>
  </si>
  <si>
    <t>Balance Sheet Entries - Manual journal entry of 25117.34.</t>
  </si>
  <si>
    <t>mn610wes_07-2026_R2_0083</t>
  </si>
  <si>
    <t>22020-000 2026-07-01 J-101297104</t>
  </si>
  <si>
    <t>Balance Sheet Entries - Manual journal entry of 166963.42.</t>
  </si>
  <si>
    <t>mn610wes_07-2026_R2_0084</t>
  </si>
  <si>
    <t>41000-000 2026-07-24 J-101016449</t>
  </si>
  <si>
    <t>:PostMRent function generated JE, based on Datamart GPR report. - Manual journal entry of 808022.59.</t>
  </si>
  <si>
    <t>mn610wes_07-2026_R2_0085</t>
  </si>
  <si>
    <t>:PostMRent function generated JE, based on Datamart GPR report. - Manual journal entry of 1061771.00.</t>
  </si>
  <si>
    <t>mn610wes_07-2026_R2_0086</t>
  </si>
  <si>
    <t>41006-000 2026-07-24 J-101016449</t>
  </si>
  <si>
    <t>:PostMRent function generated JE, based on Datamart GPR report. - Manual journal entry of 62049.00.</t>
  </si>
  <si>
    <t>mn610wes_07-2026_R2_0087</t>
  </si>
  <si>
    <t>41010-000 2026-07-24 J-101016449</t>
  </si>
  <si>
    <t>:PostMRent function generated JE, based on Datamart GPR report. - Manual journal entry of 123879.10.</t>
  </si>
  <si>
    <t>mn610wes_07-2026_R2_0088</t>
  </si>
  <si>
    <t>41100-000 2026-07-24 J-101016449</t>
  </si>
  <si>
    <t>:PostMRent function generated JE, based on Datamart GPR report. - Manual journal entry of 63145.31.</t>
  </si>
  <si>
    <t>mn610wes_07-2026_R2_0089</t>
  </si>
  <si>
    <t>51030-000 2026-07-21 J-100953004</t>
  </si>
  <si>
    <t>P/R 07/24/2026 - Manual round-thousand entry.</t>
  </si>
  <si>
    <t>mn610wes_07-2026_R2_0090</t>
  </si>
  <si>
    <t>62010-000 2026-07-01 J-101297104</t>
  </si>
  <si>
    <t>mn610wes_07-2026_R2_0091</t>
  </si>
  <si>
    <t>63010-000 2026-07-01 J-100940538</t>
  </si>
  <si>
    <t>mn610wes_07-2026_R2_0092</t>
  </si>
  <si>
    <t>82010-000 2026-07-06 J-100808081</t>
  </si>
  <si>
    <t>07.26 Debt Payment - Manual journal entry of 368395.33.</t>
  </si>
  <si>
    <t>mn610wes_07-2026_R2_0103</t>
  </si>
  <si>
    <t>BC-02</t>
  </si>
  <si>
    <t>Budget Comparison</t>
  </si>
  <si>
    <t>Large PTD budget variances listed for manager review</t>
  </si>
  <si>
    <t>Budget Comparison PTD Actual</t>
  </si>
  <si>
    <t>PTD Budget</t>
  </si>
  <si>
    <t>PTD variance of -90570.02 to budget.</t>
  </si>
  <si>
    <t>mn610wes_07-2026_R2_0104</t>
  </si>
  <si>
    <t>PTD variance of -21863.00 to budget.</t>
  </si>
  <si>
    <t>mn610wes_07-2026_R2_0105</t>
  </si>
  <si>
    <t>PTD variance of -18562.85 to budget.</t>
  </si>
  <si>
    <t>mn610wes_07-2026_R2_0106</t>
  </si>
  <si>
    <t>43225-000 Satellite / Internet</t>
  </si>
  <si>
    <t>PTD variance of -11655.00 to budget.</t>
  </si>
  <si>
    <t>mn610wes_07-2026_R2_0107</t>
  </si>
  <si>
    <t>PTD variance of -9325.55 to budget.</t>
  </si>
  <si>
    <t>mn610wes_07-2026_R2_0108</t>
  </si>
  <si>
    <t>PTD variance of -8419.00 to budget.</t>
  </si>
  <si>
    <t>mn610wes_07-2026_R2_0109</t>
  </si>
  <si>
    <t>53155-000 Satellite / Internet Expense Contract</t>
  </si>
  <si>
    <t>PTD variance of -5944.05 to budget.</t>
  </si>
  <si>
    <t>mn610wes_07-2026_R2_0110</t>
  </si>
  <si>
    <t>43010-000 Administrative Fees</t>
  </si>
  <si>
    <t>PTD variance of -5600.00 to budget.</t>
  </si>
  <si>
    <t>PASSED CONTROLS</t>
  </si>
  <si>
    <t>mn610wes_07-2026_R2_0001</t>
  </si>
  <si>
    <t>SRC-02</t>
  </si>
  <si>
    <t>Source Validation</t>
  </si>
  <si>
    <t>Balance Sheet Support Schedule</t>
  </si>
  <si>
    <t>File is for the requested property and period</t>
  </si>
  <si>
    <t>Review request</t>
  </si>
  <si>
    <t>mn610wes 07-2026</t>
  </si>
  <si>
    <t>Correct property and period.</t>
  </si>
  <si>
    <t>mn610wes_07-2026_R2_0002</t>
  </si>
  <si>
    <t>mn610wes_07-2026_R2_0003</t>
  </si>
  <si>
    <t>General Ledger Detail</t>
  </si>
  <si>
    <t>mn610wes_07-2026_R2_0004</t>
  </si>
  <si>
    <t>mn610wes_07-2026_R2_0005</t>
  </si>
  <si>
    <t>mn610wes_07-2026_R2_0006</t>
  </si>
  <si>
    <t>Bank Reconciliation</t>
  </si>
  <si>
    <t>Found. Property and period are not machine-checked for this file type.</t>
  </si>
  <si>
    <t>mn610wes_07-2026_R2_0007</t>
  </si>
  <si>
    <t>Mortgage Statement</t>
  </si>
  <si>
    <t>mn610wes_07-2026_R2_0008</t>
  </si>
  <si>
    <t>TB-01</t>
  </si>
  <si>
    <t>All accounts</t>
  </si>
  <si>
    <t>Ending balances sum to $0.00</t>
  </si>
  <si>
    <t>Trial Balance is in balance.</t>
  </si>
  <si>
    <t>mn610wes_07-2026_R2_0009</t>
  </si>
  <si>
    <t>BSSS-01</t>
  </si>
  <si>
    <t>11086-000 P-Card Reserve</t>
  </si>
  <si>
    <t>Schedule total = TB ending balance</t>
  </si>
  <si>
    <t>BSSS CY!G12</t>
  </si>
  <si>
    <t>BSSS ties to the TB.</t>
  </si>
  <si>
    <t>mn610wes_07-2026_R2_0010</t>
  </si>
  <si>
    <t>12013-000 HAP Overpayment</t>
  </si>
  <si>
    <t>BSSS CY!G19</t>
  </si>
  <si>
    <t>not on TB</t>
  </si>
  <si>
    <t>No balance on the BSSS and the account is not on the TB.</t>
  </si>
  <si>
    <t>mn610wes_07-2026_R2_0011</t>
  </si>
  <si>
    <t>12035-000 A/R - Related Parties</t>
  </si>
  <si>
    <t>BSSS CY!G24</t>
  </si>
  <si>
    <t>mn610wes_07-2026_R2_0012</t>
  </si>
  <si>
    <t>12075-000 A/R - Other</t>
  </si>
  <si>
    <t>BSSS CY!G30</t>
  </si>
  <si>
    <t>mn610wes_07-2026_R2_0013</t>
  </si>
  <si>
    <t>12125-000 Allowance for Doubtful Accounts</t>
  </si>
  <si>
    <t>BSSS CY!G36</t>
  </si>
  <si>
    <t>mn610wes_07-2026_R2_0014</t>
  </si>
  <si>
    <t>21065-000 A/P - Other</t>
  </si>
  <si>
    <t>BSSS CY!G42</t>
  </si>
  <si>
    <t>mn610wes_07-2026_R2_0015</t>
  </si>
  <si>
    <t>22005-000 Accrued Management Fees</t>
  </si>
  <si>
    <t>BSSS CY!G48</t>
  </si>
  <si>
    <t>mn610wes_07-2026_R2_0016</t>
  </si>
  <si>
    <t>22006-000 Accrued Expenses - Asset Management</t>
  </si>
  <si>
    <t>BSSS CY!G54</t>
  </si>
  <si>
    <t>mn610wes_07-2026_R2_0017</t>
  </si>
  <si>
    <t>22030-000 Accrued Payroll</t>
  </si>
  <si>
    <t>BSSS CY!G60</t>
  </si>
  <si>
    <t>mn610wes_07-2026_R2_0018</t>
  </si>
  <si>
    <t>22080-000 Accrued Interest Expense</t>
  </si>
  <si>
    <t>BSSS CY!G66</t>
  </si>
  <si>
    <t>mn610wes_07-2026_R2_0019</t>
  </si>
  <si>
    <t>23035-000 Security Deposits - Interest</t>
  </si>
  <si>
    <t>BSSS CY!G87</t>
  </si>
  <si>
    <t>mn610wes_07-2026_R2_0020</t>
  </si>
  <si>
    <t>31010-000 Common Stock</t>
  </si>
  <si>
    <t>BSSS CY!G93</t>
  </si>
  <si>
    <t>mn610wes_07-2026_R2_0021</t>
  </si>
  <si>
    <t>31012-000 Preferred SH - Non-Controlling Interest</t>
  </si>
  <si>
    <t>BSSS CY!G109</t>
  </si>
  <si>
    <t>mn610wes_07-2026_R2_0022</t>
  </si>
  <si>
    <t>32000-000 Contributions</t>
  </si>
  <si>
    <t>BSSS CY!G117</t>
  </si>
  <si>
    <t>mn610wes_07-2026_R2_0023</t>
  </si>
  <si>
    <t>33000-000 Distributions</t>
  </si>
  <si>
    <t>BSSS CY!G138</t>
  </si>
  <si>
    <t>mn610wes_07-2026_R2_0024</t>
  </si>
  <si>
    <t>13085-000 Prepaid - Other</t>
  </si>
  <si>
    <t>BSSS Prepaid Other!K62</t>
  </si>
  <si>
    <t>mn610wes_07-2026_R2_0025</t>
  </si>
  <si>
    <t>13070-000 Prepaid Taxes</t>
  </si>
  <si>
    <t>BSSS Real Estate Taxes!K16</t>
  </si>
  <si>
    <t>mn610wes_07-2026_R2_0026</t>
  </si>
  <si>
    <t>22020-000 Accrued Real Property Taxes</t>
  </si>
  <si>
    <t>BSSS Real Estate Taxes!K27</t>
  </si>
  <si>
    <t>mn610wes_07-2026_R2_0027</t>
  </si>
  <si>
    <t>13050-000 Prepaid Insurance</t>
  </si>
  <si>
    <t>BSSS Property Insurance!N20</t>
  </si>
  <si>
    <t>mn610wes_07-2026_R2_0028</t>
  </si>
  <si>
    <t>22025-000 Accrued Insurance</t>
  </si>
  <si>
    <t>BSSS Property Insurance!N35</t>
  </si>
  <si>
    <t>mn610wes_07-2026_R2_0029</t>
  </si>
  <si>
    <t>BSSS Accrued Expenses!G153</t>
  </si>
  <si>
    <t>mn610wes_07-2026_R2_0030</t>
  </si>
  <si>
    <t>22018-000 Accrued Capital Asset</t>
  </si>
  <si>
    <t>BSSS Accrued Expenses!G251</t>
  </si>
  <si>
    <t>mn610wes_07-2026_R2_0052</t>
  </si>
  <si>
    <t>AR-01</t>
  </si>
  <si>
    <t>AR Other</t>
  </si>
  <si>
    <t>12075 (0 open item(s))</t>
  </si>
  <si>
    <t>Open item age &lt;= 30 days</t>
  </si>
  <si>
    <t>BSSS CY</t>
  </si>
  <si>
    <t>No open items.</t>
  </si>
  <si>
    <t>mn610wes_07-2026_R2_0053</t>
  </si>
  <si>
    <t>AP-01</t>
  </si>
  <si>
    <t>AP Other</t>
  </si>
  <si>
    <t>21065 (0 open item(s))</t>
  </si>
  <si>
    <t>mn610wes_07-2026_R2_0057</t>
  </si>
  <si>
    <t>CASH-01</t>
  </si>
  <si>
    <t>Bank rec GL balance = TB cash; reconciled difference = $0.00</t>
  </si>
  <si>
    <t>Bank Rec 610 West - Operating (x2790)</t>
  </si>
  <si>
    <t>Bank rec ties to the TB with no unreconciled difference.</t>
  </si>
  <si>
    <t>mn610wes_07-2026_R2_0058</t>
  </si>
  <si>
    <t>CASH-02</t>
  </si>
  <si>
    <t>610 West - Operating (x2790) - 12 outstanding check(s)</t>
  </si>
  <si>
    <t>Outstanding check age &lt;= 60 days</t>
  </si>
  <si>
    <t>None over the limit.</t>
  </si>
  <si>
    <t>mn610wes_07-2026_R2_0060</t>
  </si>
  <si>
    <t>610 West- Security Deposit (x2816)</t>
  </si>
  <si>
    <t>PDF values were read completely.</t>
  </si>
  <si>
    <t>mn610wes_07-2026_R2_0061</t>
  </si>
  <si>
    <t>Bank Rec 610 West- Security Deposit (x2816)</t>
  </si>
  <si>
    <t>mn610wes_07-2026_R2_0062</t>
  </si>
  <si>
    <t>610 West- Security Deposit (x2816) - 0 outstanding check(s)</t>
  </si>
  <si>
    <t>mn610wes_07-2026_R2_0063</t>
  </si>
  <si>
    <t>610 West- Security Deposit (x2816) - 1 reconciling item(s)</t>
  </si>
  <si>
    <t>mn610wes_07-2026_R2_0064</t>
  </si>
  <si>
    <t>DEBT-01</t>
  </si>
  <si>
    <t>Mortgage</t>
  </si>
  <si>
    <t>24010-000</t>
  </si>
  <si>
    <t>Statement principal = TB mortgage payable</t>
  </si>
  <si>
    <t>Mortgage statement JLL x4190</t>
  </si>
  <si>
    <t>Principal ties to the TB.</t>
  </si>
  <si>
    <t>mn610wes_07-2026_R2_0065</t>
  </si>
  <si>
    <t>DEBT-02</t>
  </si>
  <si>
    <t>11720-000</t>
  </si>
  <si>
    <t>Tax escrow per statement = TB</t>
  </si>
  <si>
    <t>Tax escrow ties to the TB.</t>
  </si>
  <si>
    <t>mn610wes_07-2026_R2_0066</t>
  </si>
  <si>
    <t>11725-000</t>
  </si>
  <si>
    <t>Insurance escrow per statement = TB</t>
  </si>
  <si>
    <t>Insurance escrow ties to the TB.</t>
  </si>
  <si>
    <t>mn610wes_07-2026_R2_0067</t>
  </si>
  <si>
    <t>11740-000</t>
  </si>
  <si>
    <t>Replacement reserve escrow per statement = TB</t>
  </si>
  <si>
    <t>Replacement reserve escrow ties to the TB.</t>
  </si>
  <si>
    <t>mn610wes_07-2026_R2_0068</t>
  </si>
  <si>
    <t>DEBT-03</t>
  </si>
  <si>
    <t>22080-000</t>
  </si>
  <si>
    <t>Interest due on the next payment = accrued interest on the TB</t>
  </si>
  <si>
    <t>Accrued interest agrees to the statement.</t>
  </si>
  <si>
    <t>mn610wes_07-2026_R2_0069</t>
  </si>
  <si>
    <t>GL-01</t>
  </si>
  <si>
    <t>210 accounts, 9687 entries</t>
  </si>
  <si>
    <t>Every GL account section agrees to the TB (beginning, activity, ending)</t>
  </si>
  <si>
    <t>Every GL account agrees to the TB.</t>
  </si>
  <si>
    <t>mn610wes_07-2026_R2_0070</t>
  </si>
  <si>
    <t>GL-03</t>
  </si>
  <si>
    <t>9687 entries</t>
  </si>
  <si>
    <t>Every entry is posted to the review period</t>
  </si>
  <si>
    <t>All entries are posted to the review period.</t>
  </si>
  <si>
    <t>mn610wes_07-2026_R2_0071</t>
  </si>
  <si>
    <t>ACCR-01</t>
  </si>
  <si>
    <t>Accruals</t>
  </si>
  <si>
    <t>Prior accrual clears to $0.00 before the new accrual is posted</t>
  </si>
  <si>
    <t>Prior accrual reversed in full before the new accrual was posted.</t>
  </si>
  <si>
    <t>mn610wes_07-2026_R2_0072</t>
  </si>
  <si>
    <t>mn610wes_07-2026_R2_0073</t>
  </si>
  <si>
    <t>mn610wes_07-2026_R2_0074</t>
  </si>
  <si>
    <t>mn610wes_07-2026_R2_0093</t>
  </si>
  <si>
    <t>BC-01</t>
  </si>
  <si>
    <t>173 accounts</t>
  </si>
  <si>
    <t>BC actuals = TB activity (PTD and YTD)</t>
  </si>
  <si>
    <t>Every Budget Comparison account agrees to the TB.</t>
  </si>
  <si>
    <t>mn610wes_07-2026_R2_0094</t>
  </si>
  <si>
    <t>T12-00</t>
  </si>
  <si>
    <t>224 accounts</t>
  </si>
  <si>
    <t>T12 current month = TB period activity</t>
  </si>
  <si>
    <t>Every T12 account agrees to the TB for the month.</t>
  </si>
  <si>
    <t>mn610wes_07-2026_R2_0095</t>
  </si>
  <si>
    <t>MAJOR-01</t>
  </si>
  <si>
    <t>Major Expenses</t>
  </si>
  <si>
    <t>Mortgage interest</t>
  </si>
  <si>
    <t>Expected monthly expense is recorded</t>
  </si>
  <si>
    <t>Expense is recorded.</t>
  </si>
  <si>
    <t>mn610wes_07-2026_R2_0096</t>
  </si>
  <si>
    <t>MAJOR-02</t>
  </si>
  <si>
    <t>Actual vs budget within 15% and $5000</t>
  </si>
  <si>
    <t>0.18 (0%)</t>
  </si>
  <si>
    <t>Within threshold.</t>
  </si>
  <si>
    <t>mn610wes_07-2026_R2_0097</t>
  </si>
  <si>
    <t>Property tax</t>
  </si>
  <si>
    <t>mn610wes_07-2026_R2_0098</t>
  </si>
  <si>
    <t>-3351.58 (2%)</t>
  </si>
  <si>
    <t>mn610wes_07-2026_R2_0099</t>
  </si>
  <si>
    <t>Insurance</t>
  </si>
  <si>
    <t>mn610wes_07-2026_R2_0100</t>
  </si>
  <si>
    <t>-3562.66 (12.4%)</t>
  </si>
  <si>
    <t>mn610wes_07-2026_R2_0101</t>
  </si>
  <si>
    <t>Management fee</t>
  </si>
  <si>
    <t>mn610wes_07-2026_R2_0102</t>
  </si>
  <si>
    <t>1241.66 (5.8%)</t>
  </si>
  <si>
    <t>mn610wes_07-2026_R2_0150</t>
  </si>
  <si>
    <t>UTIL-02</t>
  </si>
  <si>
    <t>9 accounts</t>
  </si>
  <si>
    <t>Expected activity present</t>
  </si>
  <si>
    <t>No accounts outside the threshold.</t>
  </si>
  <si>
    <t>SOURCE VALIDATION</t>
  </si>
  <si>
    <t>Document Type</t>
  </si>
  <si>
    <t>Requirement</t>
  </si>
  <si>
    <t>Detected File</t>
  </si>
  <si>
    <t>Property Match</t>
  </si>
  <si>
    <t>Period Match</t>
  </si>
  <si>
    <t>Accepted Filename Text</t>
  </si>
  <si>
    <t>Notes</t>
  </si>
  <si>
    <t>Required</t>
  </si>
  <si>
    <t>07.2026 BS Support Schedule  - 610 West.xlsm</t>
  </si>
  <si>
    <t>Yes</t>
  </si>
  <si>
    <t>BS Support Schedule or BSSS</t>
  </si>
  <si>
    <t>Prepared by Vanessa Perez</t>
  </si>
  <si>
    <t>Trial_Balance_mn610wes_accrual.xlsx</t>
  </si>
  <si>
    <t>trial_balance or TB</t>
  </si>
  <si>
    <t>Book: Accrual</t>
  </si>
  <si>
    <t>General_Ledger_mn610wes_accrual.xlsx</t>
  </si>
  <si>
    <t>General_Ledger or GL</t>
  </si>
  <si>
    <t>12_Month_Statement_mn610wes_accrual (3).xlsx</t>
  </si>
  <si>
    <t>12_month_statement</t>
  </si>
  <si>
    <t>Budget_Comparison_mn610wes_accrual.xlsx</t>
  </si>
  <si>
    <t>budget_comparison or BC</t>
  </si>
  <si>
    <t>Conditional</t>
  </si>
  <si>
    <t>07.26 610 West Bank Reconciliation Package - COMBINED.pdf</t>
  </si>
  <si>
    <t>Not checked</t>
  </si>
  <si>
    <t>bank reconciliation or bank rec</t>
  </si>
  <si>
    <t>Required: 2 cash account(s) on the TB</t>
  </si>
  <si>
    <t>610 West 08.26 Mortgage Statement.pdf</t>
  </si>
  <si>
    <t>mortgage statement or mortgage</t>
  </si>
  <si>
    <t>Required: mortgage payable on the TB</t>
  </si>
  <si>
    <t>CHANGES SINCE LAST REVIEW</t>
  </si>
  <si>
    <t>Resolved Findings</t>
  </si>
  <si>
    <t>Prior Finding</t>
  </si>
  <si>
    <t>Prior Attempt</t>
  </si>
  <si>
    <t>Current Status</t>
  </si>
  <si>
    <t>Resolution</t>
  </si>
  <si>
    <t>Unresolved Findings</t>
  </si>
  <si>
    <t>First Identified</t>
  </si>
  <si>
    <t>Current Attempt</t>
  </si>
  <si>
    <t>New Findings</t>
  </si>
  <si>
    <t>REVIEW HISTORY</t>
  </si>
  <si>
    <t>Overall Status</t>
  </si>
  <si>
    <t>Report Filename</t>
  </si>
  <si>
    <t>mn610wes_07.2026_Internal_Review_R2.xlsx</t>
  </si>
  <si>
    <t>INTERNAL REVIEW RULE LIBRARY</t>
  </si>
  <si>
    <t>Review Procedure</t>
  </si>
  <si>
    <t>Source</t>
  </si>
  <si>
    <t>Threshold / Condition</t>
  </si>
  <si>
    <t>Default Result</t>
  </si>
  <si>
    <t>SRC-01</t>
  </si>
  <si>
    <t>Missing required source</t>
  </si>
  <si>
    <t>Internal Review folder</t>
  </si>
  <si>
    <t>Bank Rec GL ties to TB cash</t>
  </si>
  <si>
    <t>Bank Rec + TB</t>
  </si>
  <si>
    <t>Difference = $0.00</t>
  </si>
  <si>
    <t>Outstanding checks</t>
  </si>
  <si>
    <t>Age &gt; 60 days</t>
  </si>
  <si>
    <t>Other reconciling items</t>
  </si>
  <si>
    <t>Every schedule ties to TB</t>
  </si>
  <si>
    <t>BSSS + TB</t>
  </si>
  <si>
    <t>Aged open items</t>
  </si>
  <si>
    <t>BSSS + GL</t>
  </si>
  <si>
    <t>Age &gt; 30 days</t>
  </si>
  <si>
    <t>Principal ties to TB liability</t>
  </si>
  <si>
    <t>Mortgage + TB</t>
  </si>
  <si>
    <t>Prior accruals clear before new items</t>
  </si>
  <si>
    <t>GL Detail</t>
  </si>
  <si>
    <t>Running balance = $0.00</t>
  </si>
  <si>
    <t>Expected expense present</t>
  </si>
  <si>
    <t>BC + GL</t>
  </si>
  <si>
    <t>Missing one month</t>
  </si>
  <si>
    <t>Reasonableness</t>
  </si>
  <si>
    <t>Invoice/history/budget</t>
  </si>
  <si>
    <t>&gt;15% OR &gt;$5,000</t>
  </si>
  <si>
    <t>Reasonableness vs trend</t>
  </si>
  <si>
    <t>T12 + GL</t>
  </si>
  <si>
    <t>&gt;20% change</t>
  </si>
  <si>
    <t>History and current = $0</t>
  </si>
  <si>
    <t>Material trend</t>
  </si>
  <si>
    <t>Missing current activity</t>
  </si>
  <si>
    <t>6+ months and current = $0</t>
  </si>
  <si>
    <t>FindingKey</t>
  </si>
  <si>
    <t>mn610wes|07-2026|SRC-02|Balance Sheet Support Schedule</t>
  </si>
  <si>
    <t>mn610wes|07-2026|SRC-02|Trial Balance</t>
  </si>
  <si>
    <t>mn610wes|07-2026|SRC-02|General Ledger Detail</t>
  </si>
  <si>
    <t>mn610wes|07-2026|SRC-02|T12</t>
  </si>
  <si>
    <t>mn610wes|07-2026|SRC-02|Budget Comparison</t>
  </si>
  <si>
    <t>mn610wes|07-2026|SRC-02|Bank Reconciliation</t>
  </si>
  <si>
    <t>mn610wes|07-2026|SRC-02|Mortgage Statement</t>
  </si>
  <si>
    <t>mn610wes|07-2026|TB-01|All accounts</t>
  </si>
  <si>
    <t>mn610wes|07-2026|BSSS-01|11086-000 P-Card Reserve</t>
  </si>
  <si>
    <t>mn610wes|07-2026|BSSS-01|12013-000 HAP Overpayment</t>
  </si>
  <si>
    <t>mn610wes|07-2026|BSSS-01|12035-000 A/R - Related Parties</t>
  </si>
  <si>
    <t>mn610wes|07-2026|BSSS-01|12075-000 A/R - Other</t>
  </si>
  <si>
    <t>mn610wes|07-2026|BSSS-01|12125-000 Allowance for Doubtful Accounts</t>
  </si>
  <si>
    <t>mn610wes|07-2026|BSSS-01|21065-000 A/P - Other</t>
  </si>
  <si>
    <t>mn610wes|07-2026|BSSS-01|22005-000 Accrued Management Fees</t>
  </si>
  <si>
    <t>mn610wes|07-2026|BSSS-01|22006-000 Accrued Expenses - Asset Management</t>
  </si>
  <si>
    <t>mn610wes|07-2026|BSSS-01|22030-000 Accrued Payroll</t>
  </si>
  <si>
    <t>mn610wes|07-2026|BSSS-01|22080-000 Accrued Interest Expense</t>
  </si>
  <si>
    <t>mn610wes|07-2026|BSSS-01|23035-000 Security Deposits - Interest</t>
  </si>
  <si>
    <t>mn610wes|07-2026|BSSS-01|31010-000 Common Stock</t>
  </si>
  <si>
    <t>mn610wes|07-2026|BSSS-01|31012-000 Preferred SH - Non-Controlling Interest</t>
  </si>
  <si>
    <t>mn610wes|07-2026|BSSS-01|32000-000 Contributions</t>
  </si>
  <si>
    <t>mn610wes|07-2026|BSSS-01|33000-000 Distributions</t>
  </si>
  <si>
    <t>mn610wes|07-2026|BSSS-01|13085-000 Prepaid - Other</t>
  </si>
  <si>
    <t>mn610wes|07-2026|BSSS-01|13070-000 Prepaid Taxes</t>
  </si>
  <si>
    <t>mn610wes|07-2026|BSSS-01|22020-000 Accrued Real Property Taxes</t>
  </si>
  <si>
    <t>mn610wes|07-2026|BSSS-01|13050-000 Prepaid Insurance</t>
  </si>
  <si>
    <t>mn610wes|07-2026|BSSS-01|22025-000 Accrued Insurance</t>
  </si>
  <si>
    <t>mn610wes|07-2026|BSSS-01|22010-000 Accrued Expense</t>
  </si>
  <si>
    <t>mn610wes|07-2026|BSSS-01|22018-000 Accrued Capital Asset</t>
  </si>
  <si>
    <t>mn610wes|07-2026|BSSS-02|11020-000 Cash - Operating</t>
  </si>
  <si>
    <t>mn610wes|07-2026|BSSS-02|11040-000 Cash - Security Deposit</t>
  </si>
  <si>
    <t>mn610wes|07-2026|BSSS-02|11720-000 Tax Escrow</t>
  </si>
  <si>
    <t>mn610wes|07-2026|BSSS-02|11725-000 Insurance Escrow</t>
  </si>
  <si>
    <t>mn610wes|07-2026|BSSS-02|11740-000 Replacement / Rehab Escrow</t>
  </si>
  <si>
    <t>mn610wes|07-2026|BSSS-02|12010-000 Accounts Receivable</t>
  </si>
  <si>
    <t>mn610wes|07-2026|BSSS-02|14020-000 Land</t>
  </si>
  <si>
    <t>mn610wes|07-2026|BSSS-02|14065-000 Buildings</t>
  </si>
  <si>
    <t>mn610wes|07-2026|BSSS-02|14121-700 BI-Site Improvements</t>
  </si>
  <si>
    <t>mn610wes|07-2026|BSSS-02|14205-000 Computer Hardware</t>
  </si>
  <si>
    <t>mn610wes|07-2026|BSSS-02|14290-000 Carpet</t>
  </si>
  <si>
    <t>mn610wes|07-2026|BSSS-02|14347-700 Acquisition-Personal Property</t>
  </si>
  <si>
    <t>mn610wes|07-2026|BSSS-02|14740-000 Furniture</t>
  </si>
  <si>
    <t>mn610wes|07-2026|BSSS-02|17100-000 Loan Costs</t>
  </si>
  <si>
    <t>mn610wes|07-2026|BSSS-02|17160-000 Acquisition Cost</t>
  </si>
  <si>
    <t>mn610wes|07-2026|BSSS-02|17190-600 Tax Abatement Asset</t>
  </si>
  <si>
    <t>mn610wes|07-2026|BSSS-02|21010-000 Trade Accounts Payable</t>
  </si>
  <si>
    <t>mn610wes|07-2026|BSSS-02|23010-000 Prepaid Rent</t>
  </si>
  <si>
    <t>mn610wes|07-2026|BSSS-02|23030-000 Security Deposits</t>
  </si>
  <si>
    <t>mn610wes|07-2026|BSSS-02|23045-000 Pet Deposits</t>
  </si>
  <si>
    <t>mn610wes|07-2026|BSSS-02|24010-000 1st Mortgage Payable</t>
  </si>
  <si>
    <t>mn610wes|07-2026|AR-01|12075 (0 open item(s))</t>
  </si>
  <si>
    <t>mn610wes|07-2026|AP-01|21065 (0 open item(s))</t>
  </si>
  <si>
    <t>mn610wes|07-2026|BS-01|22010-000 Accrued Expense</t>
  </si>
  <si>
    <t>mn610wes|07-2026|BS-02|34010-000 Current Year Earnings</t>
  </si>
  <si>
    <t>mn610wes|07-2026|CASH-00|610 West - Operating (x2790)</t>
  </si>
  <si>
    <t>mn610wes|07-2026|CASH-01|11020-000 Cash - Operating</t>
  </si>
  <si>
    <t>mn610wes|07-2026|CASH-02|610 West - Operating (x2790) - 12 outstanding check(s)</t>
  </si>
  <si>
    <t>mn610wes|07-2026|CASH-03|610 West - Operating (x2790) - Reconciling item  05/26 American Bankers Credit</t>
  </si>
  <si>
    <t>mn610wes|07-2026|CASH-00|610 West- Security Deposit (x2816)</t>
  </si>
  <si>
    <t>mn610wes|07-2026|CASH-01|11040-000 Cash - Security Deposit</t>
  </si>
  <si>
    <t>mn610wes|07-2026|CASH-02|610 West- Security Deposit (x2816) - 0 outstanding check(s)</t>
  </si>
  <si>
    <t>mn610wes|07-2026|CASH-03|610 West- Security Deposit (x2816) - 1 reconciling item(s)</t>
  </si>
  <si>
    <t>mn610wes|07-2026|DEBT-01|24010-000</t>
  </si>
  <si>
    <t>mn610wes|07-2026|DEBT-02|11720-000</t>
  </si>
  <si>
    <t>mn610wes|07-2026|DEBT-02|11725-000</t>
  </si>
  <si>
    <t>mn610wes|07-2026|DEBT-02|11740-000</t>
  </si>
  <si>
    <t>mn610wes|07-2026|DEBT-03|22080-000</t>
  </si>
  <si>
    <t>mn610wes|07-2026|GL-01|210 accounts, 9687 entries</t>
  </si>
  <si>
    <t>mn610wes|07-2026|GL-03|9687 entries</t>
  </si>
  <si>
    <t>mn610wes|07-2026|ACCR-01|22005-000 Accrued Management Fees</t>
  </si>
  <si>
    <t>mn610wes|07-2026|ACCR-01|22010-000 Accrued Expense</t>
  </si>
  <si>
    <t>mn610wes|07-2026|ACCR-01|22020-000 Accrued Real Property Taxes</t>
  </si>
  <si>
    <t>mn610wes|07-2026|ACCR-01|22080-000 Accrued Interest Expense</t>
  </si>
  <si>
    <t>mn610wes|07-2026|GL-02|11020-000 2026-07-06 J-100808081</t>
  </si>
  <si>
    <t>mn610wes|07-2026|GL-02|11020-000 2026-07-07 J-100727270</t>
  </si>
  <si>
    <t>mn610wes|07-2026|GL-02|11020-000 2026-07-09 J-100773240</t>
  </si>
  <si>
    <t>mn610wes|07-2026|GL-02|11020-000 2026-07-21 J-100953004</t>
  </si>
  <si>
    <t>mn610wes|07-2026|GL-02|11720-000 2026-07-06 J-100808081</t>
  </si>
  <si>
    <t>mn610wes|07-2026|GL-02|11725-000 2026-07-06 J-100808081</t>
  </si>
  <si>
    <t>mn610wes|07-2026|GL-02|11740-000 2026-07-06 J-100808081</t>
  </si>
  <si>
    <t>mn610wes|07-2026|GL-02|13050-000 2026-07-01 J-100940538</t>
  </si>
  <si>
    <t>mn610wes|07-2026|GL-02|22020-000 2026-07-01 J-101297104</t>
  </si>
  <si>
    <t>mn610wes|07-2026|GL-02|41000-000 2026-07-24 J-101016449</t>
  </si>
  <si>
    <t>mn610wes|07-2026|GL-02|41006-000 2026-07-24 J-101016449</t>
  </si>
  <si>
    <t>mn610wes|07-2026|GL-02|41010-000 2026-07-24 J-101016449</t>
  </si>
  <si>
    <t>mn610wes|07-2026|GL-02|41100-000 2026-07-24 J-101016449</t>
  </si>
  <si>
    <t>mn610wes|07-2026|GL-02|51030-000 2026-07-21 J-100953004</t>
  </si>
  <si>
    <t>mn610wes|07-2026|GL-02|62010-000 2026-07-01 J-101297104</t>
  </si>
  <si>
    <t>mn610wes|07-2026|GL-02|63010-000 2026-07-01 J-100940538</t>
  </si>
  <si>
    <t>mn610wes|07-2026|GL-02|82010-000 2026-07-06 J-100808081</t>
  </si>
  <si>
    <t>mn610wes|07-2026|BC-01|173 accounts</t>
  </si>
  <si>
    <t>mn610wes|07-2026|T12-00|224 accounts</t>
  </si>
  <si>
    <t>mn610wes|07-2026|MAJOR-01|Mortgage interest</t>
  </si>
  <si>
    <t>mn610wes|07-2026|MAJOR-02|Mortgage interest</t>
  </si>
  <si>
    <t>mn610wes|07-2026|MAJOR-01|Property tax</t>
  </si>
  <si>
    <t>mn610wes|07-2026|MAJOR-02|Property tax</t>
  </si>
  <si>
    <t>mn610wes|07-2026|MAJOR-01|Insurance</t>
  </si>
  <si>
    <t>mn610wes|07-2026|MAJOR-02|Insurance</t>
  </si>
  <si>
    <t>mn610wes|07-2026|MAJOR-01|Management fee</t>
  </si>
  <si>
    <t>mn610wes|07-2026|MAJOR-02|Management fee</t>
  </si>
  <si>
    <t>mn610wes|07-2026|BC-02|41010-000 Gain / Loss To Lease</t>
  </si>
  <si>
    <t>mn610wes|07-2026|BC-02|51030-000 Bonuses</t>
  </si>
  <si>
    <t>mn610wes|07-2026|BC-02|53105-000 Landscape Maintenance Contract</t>
  </si>
  <si>
    <t>mn610wes|07-2026|BC-02|43225-000 Satellite / Internet</t>
  </si>
  <si>
    <t>mn610wes|07-2026|BC-02|53100-000 Landscape - Seasonal Contract</t>
  </si>
  <si>
    <t>mn610wes|07-2026|BC-02|51030-001 Quarterly Bonuses</t>
  </si>
  <si>
    <t>mn610wes|07-2026|BC-02|53155-000 Satellite / Internet Expense Contract</t>
  </si>
  <si>
    <t>mn610wes|07-2026|BC-02|43010-000 Administrative Fees</t>
  </si>
  <si>
    <t>mn610wes|07-2026|T12-02|41000-000 Market Rent</t>
  </si>
  <si>
    <t>mn610wes|07-2026|T12-02|41010-000 Gain / Loss To Lease</t>
  </si>
  <si>
    <t>mn610wes|07-2026|T12-02|41100-000 Vacancy Loss</t>
  </si>
  <si>
    <t>mn610wes|07-2026|T12-02|41150-000 Bad Debt - Rent</t>
  </si>
  <si>
    <t>mn610wes|07-2026|T12-02|41155-000 Bad Debt Recovery - Rent</t>
  </si>
  <si>
    <t>mn610wes|07-2026|T12-02|43080-000 Damages</t>
  </si>
  <si>
    <t>mn610wes|07-2026|T12-02|43097-000 Eviction Fees</t>
  </si>
  <si>
    <t>mn610wes|07-2026|T12-02|43130-000 Interest Paid - Security Deposits</t>
  </si>
  <si>
    <t>mn610wes|07-2026|T12-02|43145-000 Lease Cancellation Fee</t>
  </si>
  <si>
    <t>mn610wes|07-2026|T12-02|43262-000 Trash Rebill</t>
  </si>
  <si>
    <t>mn610wes|07-2026|T12-02|51010-000 Management - Salaries</t>
  </si>
  <si>
    <t>mn610wes|07-2026|T12-02|51025-000 Concierge - Salaries</t>
  </si>
  <si>
    <t>mn610wes|07-2026|T12-02|51030-000 Bonuses</t>
  </si>
  <si>
    <t>mn610wes|07-2026|T12-02|51030-001 Quarterly Bonuses</t>
  </si>
  <si>
    <t>mn610wes|07-2026|T12-02|51070-000 Payroll Taxes</t>
  </si>
  <si>
    <t>mn610wes|07-2026|T12-01|52040-000 Building - Exterior</t>
  </si>
  <si>
    <t>mn610wes|07-2026|T12-02|52080-000 Elevator Repairs</t>
  </si>
  <si>
    <t>mn610wes|07-2026|T12-01|52090-000 Garage Repairs &amp; Maintenance</t>
  </si>
  <si>
    <t>mn610wes|07-2026|T12-01|52140-000 Locks &amp; Keys</t>
  </si>
  <si>
    <t>mn610wes|07-2026|T12-02|52190-000 Plumbing Supplies / Repairs</t>
  </si>
  <si>
    <t>mn610wes|07-2026|T12-02|52240-000 Sprinkler / Irrigation Supplies / Repairs</t>
  </si>
  <si>
    <t>mn610wes|07-2026|T12-02|52650-000 Housekeeper / Cleaning Service</t>
  </si>
  <si>
    <t>mn610wes|07-2026|T12-02|52660-000 Paint Contractor</t>
  </si>
  <si>
    <t>mn610wes|07-2026|CONT-03|53030-000 Cable TV Contract</t>
  </si>
  <si>
    <t>mn610wes|07-2026|CONT-02|53070-000 Fire Protection / Life Safety Contract</t>
  </si>
  <si>
    <t>mn610wes|07-2026|CONT-03|53100-000 Landscape - Seasonal Contract</t>
  </si>
  <si>
    <t>mn610wes|07-2026|CONT-03|53105-000 Landscape Maintenance Contract</t>
  </si>
  <si>
    <t>mn610wes|07-2026|CONT-03|53150-000 Pool &amp; Spa Contract</t>
  </si>
  <si>
    <t>mn610wes|07-2026|CONT-03|53180-000 Trash Removal Contract</t>
  </si>
  <si>
    <t>mn610wes|07-2026|CONT-03|53220-000 Water Conditioner / Softener Contract</t>
  </si>
  <si>
    <t>mn610wes|07-2026|T12-02|54010-000 Search Engine Marketing Campaigns</t>
  </si>
  <si>
    <t>mn610wes|07-2026|T12-02|54110-000 Resident Activities</t>
  </si>
  <si>
    <t>mn610wes|07-2026|T12-02|58260-000 Eviction Fees</t>
  </si>
  <si>
    <t>mn610wes|07-2026|T12-02|58280-000 Licenses / Fees / Permits</t>
  </si>
  <si>
    <t>mn610wes|07-2026|T12-01|58320-000 Miscellaneous General / Admin</t>
  </si>
  <si>
    <t>mn610wes|07-2026|UTIL-01|59020-000 Electric - Common Areas</t>
  </si>
  <si>
    <t>mn610wes|07-2026|UTIL-01|59040-000 Electric - Vacant Units</t>
  </si>
  <si>
    <t>mn610wes|07-2026|UTIL-01|59070-000 Gas - Common Areas</t>
  </si>
  <si>
    <t>mn610wes|07-2026|UTIL-01|59110-000 Water / Sewer</t>
  </si>
  <si>
    <t>mn610wes|07-2026|UTIL-02|9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</si>
</sst>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;[Red]&quot;($&quot;#,##0.00\);\-"/>
  </numFmts>
  <fonts count="18">
    <font>
      <sz val="11"/>
      <color theme="1"/>
      <name val="Calibri"/>
      <family val="2"/>
      <charset val="1"/>
    </font>
    <font>
      <b/>
      <sz val="20"/>
      <color rgb="FFFFFFFF"/>
      <name val="Calibri"/>
      <family val="2"/>
      <charset val="1"/>
    </font>
    <font>
      <i/>
      <sz val="8"/>
      <color rgb="FF808080"/>
      <name val="Calibri"/>
      <family val="2"/>
      <charset val="1"/>
    </font>
    <font>
      <b/>
      <sz val="11"/>
      <color rgb="FF666666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C00000"/>
      <name val="Calibri"/>
      <family val="2"/>
      <charset val="1"/>
    </font>
    <font>
      <b/>
      <sz val="11"/>
      <color rgb="FFC65911"/>
      <name val="Calibri"/>
      <family val="2"/>
      <charset val="1"/>
    </font>
    <font>
      <b/>
      <sz val="11"/>
      <color rgb="FF17365D"/>
      <name val="Calibri"/>
      <family val="2"/>
      <charset val="1"/>
    </font>
    <font>
      <b/>
      <sz val="11"/>
      <color rgb="FF548235"/>
      <name val="Calibri"/>
      <family val="2"/>
      <charset val="1"/>
    </font>
    <font>
      <b/>
      <sz val="20"/>
      <color rgb="FFC00000"/>
      <name val="Calibri"/>
      <family val="2"/>
      <charset val="1"/>
    </font>
    <font>
      <b/>
      <sz val="20"/>
      <color rgb="FFC65911"/>
      <name val="Calibri"/>
      <family val="2"/>
      <charset val="1"/>
    </font>
    <font>
      <b/>
      <sz val="20"/>
      <color rgb="FF17365D"/>
      <name val="Calibri"/>
      <family val="2"/>
      <charset val="1"/>
    </font>
    <font>
      <b/>
      <sz val="20"/>
      <color rgb="FF548235"/>
      <name val="Calibri"/>
      <family val="2"/>
      <charset val="1"/>
    </font>
    <font>
      <sz val="11"/>
      <color rgb="FF66666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E2F0D9"/>
      </patternFill>
    </fill>
    <fill>
      <patternFill patternType="solid">
        <fgColor rgb="FF0F6B78"/>
        <bgColor rgb="FF008080"/>
      </patternFill>
    </fill>
    <fill>
      <patternFill patternType="solid">
        <fgColor rgb="FFF4CCCC"/>
        <bgColor rgb="FFD9E1F2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D9EAF7"/>
      </patternFill>
    </fill>
    <fill>
      <patternFill patternType="solid">
        <fgColor rgb="FF4472C4"/>
        <bgColor rgb="FF6666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1" xfId="0" applyFont="1" applyFill="1" applyBorder="1" applyAlignment="1">
      <alignment wrapText="1"/>
    </xf>
    <xf numFmtId="0" fontId="14" fillId="7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wrapText="1"/>
    </xf>
    <xf numFmtId="0" fontId="15" fillId="0" borderId="0" xfId="0" applyFont="1" applyAlignment="1">
      <alignment vertical="top" wrapText="1"/>
    </xf>
    <xf numFmtId="164" fontId="0" fillId="0" borderId="0" xfId="0" applyNumberFormat="1" applyAlignment="1">
      <alignment wrapText="1"/>
    </xf>
    <xf numFmtId="0" fontId="16" fillId="0" borderId="0" xfId="0" applyFont="1"/>
    <xf numFmtId="165" fontId="0" fillId="0" borderId="0" xfId="0" applyNumberFormat="1" applyAlignment="1">
      <alignment vertical="top" wrapText="1"/>
    </xf>
    <xf numFmtId="0" fontId="16" fillId="7" borderId="0" xfId="0" applyFont="1" applyFill="1"/>
    <xf numFmtId="0" fontId="5" fillId="8" borderId="0" xfId="0" applyFont="1" applyFill="1" applyAlignment="1">
      <alignment vertical="center" wrapText="1"/>
    </xf>
    <xf numFmtId="0" fontId="16" fillId="5" borderId="0" xfId="0" applyFont="1" applyFill="1"/>
    <xf numFmtId="0" fontId="16" fillId="3" borderId="0" xfId="0" applyFont="1" applyFill="1"/>
    <xf numFmtId="17" fontId="4" fillId="3" borderId="1" xfId="0" applyNumberFormat="1" applyFont="1" applyFill="1" applyBorder="1" applyAlignment="1">
      <alignment wrapText="1"/>
    </xf>
    <xf numFmtId="14" fontId="4" fillId="3" borderId="1" xfId="0" applyNumberFormat="1" applyFont="1" applyFill="1" applyBorder="1" applyAlignment="1">
      <alignment wrapText="1"/>
    </xf>
    <xf numFmtId="49" fontId="0" fillId="0" borderId="0" xfId="0" applyNumberFormat="1"/>
    <xf numFmtId="14" fontId="0" fillId="0" borderId="0" xfId="0" applyNumberFormat="1"/>
    <xf numFmtId="0" fontId="5" fillId="2" borderId="0" xfId="0" applyFont="1" applyFill="1" applyAlignment="1"/>
    <xf numFmtId="0" fontId="17" fillId="5" borderId="0" xfId="0" applyFont="1" applyFill="1" applyAlignment="1"/>
    <xf numFmtId="0" fontId="17" fillId="3" borderId="0" xfId="0" applyFont="1" applyFill="1" applyAlignment="1"/>
    <xf numFmtId="0" fontId="17" fillId="6" borderId="0" xfId="0" applyFont="1" applyFill="1" applyAlignment="1"/>
    <xf numFmtId="0" fontId="17" fillId="7" borderId="0" xfId="0" applyFont="1" applyFill="1" applyAlignmen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F6B78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xceptions" displayName="tblExceptions" ref="A3:P103" totalsRowShown="0">
  <autoFilter ref="A3:P103" xr:uid="{00000000-0009-0000-0100-000001000000}"/>
  <tableColumns count="16">
    <tableColumn id="1" xr3:uid="{00000000-0010-0000-0000-000001000000}" name="Result ID"/>
    <tableColumn id="2" xr3:uid="{00000000-0010-0000-0000-000002000000}" name="Rule ID"/>
    <tableColumn id="3" xr3:uid="{00000000-0010-0000-0000-000003000000}" name="Finding Type"/>
    <tableColumn id="4" xr3:uid="{00000000-0010-0000-0000-000004000000}" name="Property Code"/>
    <tableColumn id="5" xr3:uid="{00000000-0010-0000-0000-000005000000}" name="Review Period"/>
    <tableColumn id="6" xr3:uid="{00000000-0010-0000-0000-000006000000}" name="Category"/>
    <tableColumn id="7" xr3:uid="{00000000-0010-0000-0000-000007000000}" name="Account / Item"/>
    <tableColumn id="8" xr3:uid="{00000000-0010-0000-0000-000008000000}" name="Test Performed"/>
    <tableColumn id="9" xr3:uid="{00000000-0010-0000-0000-000009000000}" name="Status"/>
    <tableColumn id="10" xr3:uid="{00000000-0010-0000-0000-00000A000000}" name="Source 1"/>
    <tableColumn id="11" xr3:uid="{00000000-0010-0000-0000-00000B000000}" name="Source 2"/>
    <tableColumn id="12" xr3:uid="{00000000-0010-0000-0000-00000C000000}" name="Source Value"/>
    <tableColumn id="13" xr3:uid="{00000000-0010-0000-0000-00000D000000}" name="Comparison Value"/>
    <tableColumn id="14" xr3:uid="{00000000-0010-0000-0000-00000E000000}" name="Difference / Variance / Age"/>
    <tableColumn id="15" xr3:uid="{00000000-0010-0000-0000-00000F000000}" name="Finding"/>
    <tableColumn id="16" xr3:uid="{00000000-0010-0000-0000-000010000000}" name="Required Ac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blWarnings" displayName="tblWarnings" ref="A3:P103" totalsRowShown="0">
  <autoFilter ref="A3:P103" xr:uid="{00000000-0009-0000-0100-000007000000}"/>
  <tableColumns count="16">
    <tableColumn id="1" xr3:uid="{00000000-0010-0000-0100-000001000000}" name="Result ID"/>
    <tableColumn id="2" xr3:uid="{00000000-0010-0000-0100-000002000000}" name="Rule ID"/>
    <tableColumn id="3" xr3:uid="{00000000-0010-0000-0100-000003000000}" name="Finding Type"/>
    <tableColumn id="4" xr3:uid="{00000000-0010-0000-0100-000004000000}" name="Property Code"/>
    <tableColumn id="5" xr3:uid="{00000000-0010-0000-0100-000005000000}" name="Review Period"/>
    <tableColumn id="6" xr3:uid="{00000000-0010-0000-0100-000006000000}" name="Category"/>
    <tableColumn id="7" xr3:uid="{00000000-0010-0000-0100-000007000000}" name="Account / Item"/>
    <tableColumn id="8" xr3:uid="{00000000-0010-0000-0100-000008000000}" name="Test Performed"/>
    <tableColumn id="9" xr3:uid="{00000000-0010-0000-0100-000009000000}" name="Status"/>
    <tableColumn id="10" xr3:uid="{00000000-0010-0000-0100-00000A000000}" name="Source 1"/>
    <tableColumn id="11" xr3:uid="{00000000-0010-0000-0100-00000B000000}" name="Source 2"/>
    <tableColumn id="12" xr3:uid="{00000000-0010-0000-0100-00000C000000}" name="Source Value"/>
    <tableColumn id="13" xr3:uid="{00000000-0010-0000-0100-00000D000000}" name="Comparison Value"/>
    <tableColumn id="14" xr3:uid="{00000000-0010-0000-0100-00000E000000}" name="Difference / Variance / Age"/>
    <tableColumn id="15" xr3:uid="{00000000-0010-0000-0100-00000F000000}" name="Finding"/>
    <tableColumn id="16" xr3:uid="{00000000-0010-0000-0100-000010000000}" name="Required Actio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Monitor" displayName="tblMonitor" ref="A3:P103" totalsRowShown="0">
  <autoFilter ref="A3:P103" xr:uid="{00000000-0009-0000-0100-000002000000}"/>
  <tableColumns count="16">
    <tableColumn id="1" xr3:uid="{00000000-0010-0000-0200-000001000000}" name="Result ID"/>
    <tableColumn id="2" xr3:uid="{00000000-0010-0000-0200-000002000000}" name="Rule ID"/>
    <tableColumn id="3" xr3:uid="{00000000-0010-0000-0200-000003000000}" name="Finding Type"/>
    <tableColumn id="4" xr3:uid="{00000000-0010-0000-0200-000004000000}" name="Property Code"/>
    <tableColumn id="5" xr3:uid="{00000000-0010-0000-0200-000005000000}" name="Review Period"/>
    <tableColumn id="6" xr3:uid="{00000000-0010-0000-0200-000006000000}" name="Category"/>
    <tableColumn id="7" xr3:uid="{00000000-0010-0000-0200-000007000000}" name="Account / Item"/>
    <tableColumn id="8" xr3:uid="{00000000-0010-0000-0200-000008000000}" name="Test Performed"/>
    <tableColumn id="9" xr3:uid="{00000000-0010-0000-0200-000009000000}" name="Status"/>
    <tableColumn id="10" xr3:uid="{00000000-0010-0000-0200-00000A000000}" name="Source 1"/>
    <tableColumn id="11" xr3:uid="{00000000-0010-0000-0200-00000B000000}" name="Source 2"/>
    <tableColumn id="12" xr3:uid="{00000000-0010-0000-0200-00000C000000}" name="Source Value"/>
    <tableColumn id="13" xr3:uid="{00000000-0010-0000-0200-00000D000000}" name="Comparison Value"/>
    <tableColumn id="14" xr3:uid="{00000000-0010-0000-0200-00000E000000}" name="Difference / Variance / Age"/>
    <tableColumn id="15" xr3:uid="{00000000-0010-0000-0200-00000F000000}" name="Finding"/>
    <tableColumn id="16" xr3:uid="{00000000-0010-0000-0200-000010000000}" name="Required Act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Passed" displayName="tblPassed" ref="A3:P103" totalsRowShown="0">
  <autoFilter ref="A3:P103" xr:uid="{00000000-0009-0000-0100-000003000000}"/>
  <tableColumns count="16">
    <tableColumn id="1" xr3:uid="{00000000-0010-0000-0300-000001000000}" name="Result ID"/>
    <tableColumn id="2" xr3:uid="{00000000-0010-0000-0300-000002000000}" name="Rule ID"/>
    <tableColumn id="3" xr3:uid="{00000000-0010-0000-0300-000003000000}" name="Finding Type"/>
    <tableColumn id="4" xr3:uid="{00000000-0010-0000-0300-000004000000}" name="Property Code"/>
    <tableColumn id="5" xr3:uid="{00000000-0010-0000-0300-000005000000}" name="Review Period"/>
    <tableColumn id="6" xr3:uid="{00000000-0010-0000-0300-000006000000}" name="Category"/>
    <tableColumn id="7" xr3:uid="{00000000-0010-0000-0300-000007000000}" name="Account / Item"/>
    <tableColumn id="8" xr3:uid="{00000000-0010-0000-0300-000008000000}" name="Test Performed"/>
    <tableColumn id="9" xr3:uid="{00000000-0010-0000-0300-000009000000}" name="Status"/>
    <tableColumn id="10" xr3:uid="{00000000-0010-0000-0300-00000A000000}" name="Source 1"/>
    <tableColumn id="11" xr3:uid="{00000000-0010-0000-0300-00000B000000}" name="Source 2"/>
    <tableColumn id="12" xr3:uid="{00000000-0010-0000-0300-00000C000000}" name="Source Value"/>
    <tableColumn id="13" xr3:uid="{00000000-0010-0000-0300-00000D000000}" name="Comparison Value"/>
    <tableColumn id="14" xr3:uid="{00000000-0010-0000-0300-00000E000000}" name="Difference / Variance / Age"/>
    <tableColumn id="15" xr3:uid="{00000000-0010-0000-0300-00000F000000}" name="Finding"/>
    <tableColumn id="16" xr3:uid="{00000000-0010-0000-0300-000010000000}" name="Required Ac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blSourceValidation" displayName="tblSourceValidation" ref="A3:H10" totalsRowShown="0">
  <autoFilter ref="A3:H10" xr:uid="{00000000-0009-0000-0100-000006000000}"/>
  <tableColumns count="8">
    <tableColumn id="1" xr3:uid="{00000000-0010-0000-0400-000001000000}" name="Document Type"/>
    <tableColumn id="2" xr3:uid="{00000000-0010-0000-0400-000002000000}" name="Requirement"/>
    <tableColumn id="3" xr3:uid="{00000000-0010-0000-0400-000003000000}" name="Detected File"/>
    <tableColumn id="4" xr3:uid="{00000000-0010-0000-0400-000004000000}" name="Property Match"/>
    <tableColumn id="5" xr3:uid="{00000000-0010-0000-0400-000005000000}" name="Period Match"/>
    <tableColumn id="6" xr3:uid="{00000000-0010-0000-0400-000006000000}" name="Status"/>
    <tableColumn id="7" xr3:uid="{00000000-0010-0000-0400-000007000000}" name="Accepted Filename Text"/>
    <tableColumn id="8" xr3:uid="{00000000-0010-0000-0400-000008000000}" name="Not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blReviewHistory" displayName="tblReviewHistory" ref="A3:H53" totalsRowShown="0">
  <autoFilter ref="A3:H53" xr:uid="{00000000-0009-0000-0100-000004000000}"/>
  <tableColumns count="8">
    <tableColumn id="1" xr3:uid="{00000000-0010-0000-0500-000001000000}" name="Review Attempt"/>
    <tableColumn id="2" xr3:uid="{00000000-0010-0000-0500-000002000000}" name="Submission Type"/>
    <tableColumn id="3" xr3:uid="{00000000-0010-0000-0500-000003000000}" name="Review Date"/>
    <tableColumn id="4" xr3:uid="{00000000-0010-0000-0500-000004000000}" name="Overall Status"/>
    <tableColumn id="5" xr3:uid="{00000000-0010-0000-0500-000005000000}" name="Exceptions"/>
    <tableColumn id="6" xr3:uid="{00000000-0010-0000-0500-000006000000}" name="Warnings"/>
    <tableColumn id="7" xr3:uid="{00000000-0010-0000-0500-000007000000}" name="Reviewed / Monitor"/>
    <tableColumn id="8" xr3:uid="{00000000-0010-0000-0500-000008000000}" name="Report Filenam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blRules" displayName="tblRules" ref="A3:F18" totalsRowShown="0">
  <autoFilter ref="A3:F18" xr:uid="{00000000-0009-0000-0100-000005000000}"/>
  <tableColumns count="6">
    <tableColumn id="1" xr3:uid="{00000000-0010-0000-0600-000001000000}" name="Rule ID"/>
    <tableColumn id="2" xr3:uid="{00000000-0010-0000-0600-000002000000}" name="Category"/>
    <tableColumn id="3" xr3:uid="{00000000-0010-0000-0600-000003000000}" name="Review Procedure"/>
    <tableColumn id="4" xr3:uid="{00000000-0010-0000-0600-000004000000}" name="Source"/>
    <tableColumn id="5" xr3:uid="{00000000-0010-0000-0600-000005000000}" name="Threshold / Condition"/>
    <tableColumn id="6" xr3:uid="{00000000-0010-0000-0600-000006000000}" name="Default Resul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974D78-7B13-4269-93C5-017A2477303D}" name="tblAllResults" displayName="tblAllResults" ref="A1:Q151" totalsRowShown="0">
  <autoFilter ref="A1:Q151" xr:uid="{33974D78-7B13-4269-93C5-017A2477303D}"/>
  <tableColumns count="17">
    <tableColumn id="1" xr3:uid="{E953B585-D7C5-4ECE-99B4-B95684D18209}" name="FindingKey"/>
    <tableColumn id="2" xr3:uid="{EABE65E1-7CFA-42C3-BFF4-107D9776564B}" name="Result ID"/>
    <tableColumn id="3" xr3:uid="{93D46A8D-522E-49BA-A585-6D59F3CF2877}" name="Rule ID"/>
    <tableColumn id="4" xr3:uid="{6C22C9F9-8ACD-4F48-8029-1648A991DB59}" name="Finding Type"/>
    <tableColumn id="5" xr3:uid="{44D79587-C2FE-476C-B4AF-5C9368F3E0F8}" name="Property Code"/>
    <tableColumn id="6" xr3:uid="{35265160-B14D-43F1-888B-B9204BF5E88E}" name="Review Period" dataDxfId="0"/>
    <tableColumn id="7" xr3:uid="{EC6965A7-CB9C-4A61-A3D0-59FE4BA206DD}" name="Category"/>
    <tableColumn id="8" xr3:uid="{88E4D0E8-9FF8-490C-8090-740060EB4B47}" name="Account / Item"/>
    <tableColumn id="9" xr3:uid="{612FEF06-0046-4B61-964C-56ADD4E99BC6}" name="Test Performed"/>
    <tableColumn id="10" xr3:uid="{9F5E3E65-62A1-4D4D-BBA0-4F6550529482}" name="Status"/>
    <tableColumn id="11" xr3:uid="{FF187934-B8EF-4442-8BE2-42C7CA366285}" name="Source 1"/>
    <tableColumn id="12" xr3:uid="{D6F6F2C6-02AF-45B0-8F40-BACEDF8A32A6}" name="Source 2"/>
    <tableColumn id="13" xr3:uid="{515DF109-15C4-4047-81E0-0D6ED7F11D46}" name="Source Value"/>
    <tableColumn id="14" xr3:uid="{111181FC-1ADC-4681-AE34-81051ACF1143}" name="Comparison Value"/>
    <tableColumn id="15" xr3:uid="{5F498AB5-038A-4936-9BF2-4719E02EC719}" name="Difference / Variance / Age"/>
    <tableColumn id="16" xr3:uid="{ABEF969A-DC3A-4292-AD76-AAA1097D7B7D}" name="Finding"/>
    <tableColumn id="17" xr3:uid="{13695DEC-10DF-4F7B-AF23-CE39FFE66A8F}" name="Requir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showGridLines="0" zoomScaleNormal="100" workbookViewId="0"/>
  </sheetViews>
  <sheetFormatPr defaultColWidth="8.7109375" defaultRowHeight="15"/>
  <cols>
    <col min="1" max="1" width="26.7109375" customWidth="1"/>
    <col min="2" max="2" width="13.7109375" customWidth="1"/>
    <col min="3" max="4" width="14.7109375" customWidth="1"/>
    <col min="5" max="5" width="20.7109375" customWidth="1"/>
    <col min="6" max="8" width="18.7109375" customWidth="1"/>
  </cols>
  <sheetData>
    <row r="1" spans="1:8" ht="30" customHeight="1">
      <c r="A1" s="11" t="s">
        <v>0</v>
      </c>
      <c r="B1" s="11"/>
      <c r="C1" s="11"/>
      <c r="D1" s="11"/>
      <c r="E1" s="11"/>
      <c r="F1" s="11"/>
      <c r="G1" s="11"/>
      <c r="H1" s="11"/>
    </row>
    <row r="2" spans="1:8">
      <c r="H2" s="12" t="s">
        <v>1</v>
      </c>
    </row>
    <row r="3" spans="1:8">
      <c r="A3" s="13" t="s">
        <v>2</v>
      </c>
      <c r="C3" s="14" t="s">
        <v>3</v>
      </c>
      <c r="E3" s="13" t="s">
        <v>4</v>
      </c>
      <c r="G3" s="14" t="s">
        <v>5</v>
      </c>
    </row>
    <row r="4" spans="1:8">
      <c r="A4" s="13" t="s">
        <v>6</v>
      </c>
      <c r="C4" s="14" t="s">
        <v>7</v>
      </c>
      <c r="E4" s="13" t="s">
        <v>8</v>
      </c>
      <c r="G4" s="14" t="s">
        <v>9</v>
      </c>
    </row>
    <row r="5" spans="1:8">
      <c r="A5" s="13" t="s">
        <v>10</v>
      </c>
      <c r="C5" s="23">
        <v>46204</v>
      </c>
      <c r="E5" s="13" t="s">
        <v>11</v>
      </c>
      <c r="G5" s="24">
        <v>46284</v>
      </c>
    </row>
    <row r="7" spans="1:8" ht="17.45">
      <c r="A7" s="27" t="s">
        <v>12</v>
      </c>
      <c r="B7" s="27"/>
      <c r="C7" s="27"/>
      <c r="D7" s="10" t="str">
        <f>IF(COUNTIF(Exceptions!$I$4:$I$103,"Exception")&gt;0,"NOT READY",IF(OR(COUNTIF(Warnings!$I$4:$I$103,"Warning")&gt;0,COUNTIF(Reviewed_Monitor!$I$4:$I$103,"Reviewed / Monitor")&gt;0),"READY WITH COMMENTS",IF(COUNTIF('Passed Controls'!$I$4:$I$103,"Pass")&gt;0,"READY FOR RELEASE","NOT STARTED")))</f>
        <v>NOT READY</v>
      </c>
      <c r="E7" s="10"/>
      <c r="F7" s="10"/>
      <c r="G7" s="10"/>
      <c r="H7" s="10"/>
    </row>
    <row r="9" spans="1:8">
      <c r="A9" s="9" t="s">
        <v>13</v>
      </c>
      <c r="B9" s="9"/>
      <c r="C9" s="8" t="s">
        <v>14</v>
      </c>
      <c r="D9" s="8"/>
      <c r="E9" s="7" t="s">
        <v>15</v>
      </c>
      <c r="F9" s="7"/>
      <c r="G9" s="6" t="s">
        <v>16</v>
      </c>
      <c r="H9" s="6"/>
    </row>
    <row r="10" spans="1:8">
      <c r="A10" s="5">
        <f>COUNTIF(Exceptions!$I$4:$I$103,"Exception")</f>
        <v>3</v>
      </c>
      <c r="B10" s="5"/>
      <c r="C10" s="4">
        <f>COUNTIF(Warnings!$I$4:$I$103,"Warning")</f>
        <v>40</v>
      </c>
      <c r="D10" s="4"/>
      <c r="E10" s="3">
        <f>COUNTIF(Reviewed_Monitor!$I$4:$I$103,"Reviewed / Monitor")</f>
        <v>47</v>
      </c>
      <c r="F10" s="3"/>
      <c r="G10" s="2">
        <f>COUNTIF('Passed Controls'!$I$4:$I$103,"Pass")</f>
        <v>60</v>
      </c>
      <c r="H10" s="2"/>
    </row>
    <row r="11" spans="1:8">
      <c r="A11" s="5"/>
      <c r="B11" s="5"/>
      <c r="C11" s="4"/>
      <c r="D11" s="4"/>
      <c r="E11" s="3"/>
      <c r="F11" s="3"/>
      <c r="G11" s="2"/>
      <c r="H11" s="2"/>
    </row>
    <row r="13" spans="1:8">
      <c r="A13" s="27" t="s">
        <v>17</v>
      </c>
      <c r="B13" s="27"/>
      <c r="C13" s="27"/>
      <c r="D13" s="27"/>
      <c r="E13" s="27"/>
      <c r="F13" s="27"/>
      <c r="G13" s="27"/>
      <c r="H13" s="27"/>
    </row>
    <row r="14" spans="1:8">
      <c r="A14" s="15" t="s">
        <v>18</v>
      </c>
      <c r="C14">
        <f>COUNTIFS('Source Validation'!$B$4:$B$10,"Required",'Source Validation'!$F$4:$F$10,"Found")</f>
        <v>5</v>
      </c>
      <c r="E14" s="15" t="s">
        <v>19</v>
      </c>
      <c r="G14">
        <f>COUNTIF('Source Validation'!$B$4:$B$10,"Required")</f>
        <v>5</v>
      </c>
    </row>
    <row r="15" spans="1:8">
      <c r="A15" s="15" t="s">
        <v>20</v>
      </c>
      <c r="C15" s="16">
        <f>IFERROR(C14/G14,0)</f>
        <v>1</v>
      </c>
    </row>
    <row r="17" spans="1:8">
      <c r="A17" s="27" t="s">
        <v>21</v>
      </c>
      <c r="B17" s="27"/>
      <c r="C17" s="27"/>
      <c r="D17" s="27"/>
      <c r="E17" s="27"/>
      <c r="F17" s="27"/>
      <c r="G17" s="27"/>
      <c r="H17" s="27"/>
    </row>
    <row r="18" spans="1:8">
      <c r="A18" s="13" t="s">
        <v>22</v>
      </c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5" spans="1:8">
      <c r="A25" s="17" t="s">
        <v>23</v>
      </c>
      <c r="C25" s="1"/>
      <c r="D25" s="1"/>
      <c r="E25" s="1"/>
      <c r="F25" s="17" t="s">
        <v>24</v>
      </c>
      <c r="G25" s="1"/>
      <c r="H25" s="1"/>
    </row>
  </sheetData>
  <mergeCells count="16">
    <mergeCell ref="A17:H17"/>
    <mergeCell ref="A19:H23"/>
    <mergeCell ref="C25:E25"/>
    <mergeCell ref="G25:H25"/>
    <mergeCell ref="A10:B11"/>
    <mergeCell ref="C10:D11"/>
    <mergeCell ref="E10:F11"/>
    <mergeCell ref="G10:H11"/>
    <mergeCell ref="A13:H13"/>
    <mergeCell ref="A1:H1"/>
    <mergeCell ref="A7:C7"/>
    <mergeCell ref="D7:H7"/>
    <mergeCell ref="A9:B9"/>
    <mergeCell ref="C9:D9"/>
    <mergeCell ref="E9:F9"/>
    <mergeCell ref="G9:H9"/>
  </mergeCells>
  <pageMargins left="0.7" right="0.7" top="0.75" bottom="0.75" header="0.511811023622047" footer="0.3"/>
  <pageSetup orientation="landscape" horizontalDpi="300" verticalDpi="300"/>
  <headerFooter>
    <oddFooter>&amp;CGreystar Internal Review Agent v1.1 | Created by Rowena Chen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zoomScaleNormal="100" workbookViewId="0"/>
  </sheetViews>
  <sheetFormatPr defaultColWidth="8.7109375" defaultRowHeight="15"/>
  <sheetData>
    <row r="1" spans="1:7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15</v>
      </c>
      <c r="G1" t="s">
        <v>30</v>
      </c>
    </row>
    <row r="2" spans="1:7">
      <c r="A2" t="s">
        <v>31</v>
      </c>
      <c r="B2" t="s">
        <v>32</v>
      </c>
      <c r="C2" t="s">
        <v>33</v>
      </c>
      <c r="D2" t="s">
        <v>34</v>
      </c>
      <c r="E2" t="s">
        <v>15</v>
      </c>
      <c r="F2" t="s">
        <v>30</v>
      </c>
    </row>
    <row r="3" spans="1:7">
      <c r="A3" t="s">
        <v>35</v>
      </c>
      <c r="B3" t="s">
        <v>36</v>
      </c>
      <c r="C3" t="s">
        <v>37</v>
      </c>
      <c r="D3" t="s">
        <v>38</v>
      </c>
      <c r="E3" t="s">
        <v>39</v>
      </c>
    </row>
    <row r="4" spans="1:7">
      <c r="A4" t="s">
        <v>40</v>
      </c>
      <c r="B4" t="s">
        <v>41</v>
      </c>
      <c r="C4" t="s">
        <v>42</v>
      </c>
      <c r="D4" t="s">
        <v>43</v>
      </c>
      <c r="E4" t="s">
        <v>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12.7109375" customWidth="1"/>
    <col min="3" max="3" width="18.7109375" customWidth="1"/>
    <col min="4" max="4" width="16.7109375" customWidth="1"/>
    <col min="5" max="5" width="14.7109375" customWidth="1"/>
    <col min="6" max="6" width="22.7109375" customWidth="1"/>
    <col min="7" max="7" width="24.7109375" customWidth="1"/>
    <col min="8" max="8" width="42.7109375" customWidth="1"/>
    <col min="9" max="9" width="20.7109375" customWidth="1"/>
    <col min="10" max="11" width="28.7109375" customWidth="1"/>
    <col min="12" max="13" width="18.7109375" style="18" customWidth="1"/>
    <col min="14" max="14" width="20.7109375" customWidth="1"/>
    <col min="15" max="15" width="50.7109375" customWidth="1"/>
    <col min="16" max="16" width="45.7109375" customWidth="1"/>
  </cols>
  <sheetData>
    <row r="1" spans="1:16" ht="22.15">
      <c r="A1" s="28" t="s">
        <v>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>
      <c r="P2" s="12" t="s">
        <v>1</v>
      </c>
    </row>
    <row r="3" spans="1:16">
      <c r="A3" t="s">
        <v>46</v>
      </c>
      <c r="B3" t="s">
        <v>47</v>
      </c>
      <c r="C3" t="s">
        <v>48</v>
      </c>
      <c r="D3" t="s">
        <v>2</v>
      </c>
      <c r="E3" t="s">
        <v>10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s="18" t="s">
        <v>55</v>
      </c>
      <c r="M3" s="18" t="s">
        <v>56</v>
      </c>
      <c r="N3" t="s">
        <v>57</v>
      </c>
      <c r="O3" t="s">
        <v>58</v>
      </c>
      <c r="P3" t="s">
        <v>59</v>
      </c>
    </row>
    <row r="4" spans="1:16">
      <c r="A4" t="s">
        <v>60</v>
      </c>
      <c r="B4" t="s">
        <v>61</v>
      </c>
      <c r="C4" t="s">
        <v>32</v>
      </c>
      <c r="D4" s="25" t="s">
        <v>3</v>
      </c>
      <c r="E4" s="25" t="s">
        <v>62</v>
      </c>
      <c r="F4" t="s">
        <v>63</v>
      </c>
      <c r="G4" t="s">
        <v>64</v>
      </c>
      <c r="H4" t="s">
        <v>65</v>
      </c>
      <c r="I4" t="s">
        <v>29</v>
      </c>
      <c r="J4" t="s">
        <v>63</v>
      </c>
      <c r="K4" t="s">
        <v>66</v>
      </c>
      <c r="L4" s="18">
        <v>-112327.91</v>
      </c>
      <c r="M4" s="18">
        <v>-85745.35</v>
      </c>
      <c r="N4">
        <v>-26582.560000000001</v>
      </c>
      <c r="O4" t="s">
        <v>67</v>
      </c>
      <c r="P4" t="s">
        <v>68</v>
      </c>
    </row>
    <row r="5" spans="1:16">
      <c r="A5" t="s">
        <v>69</v>
      </c>
      <c r="B5" t="s">
        <v>70</v>
      </c>
      <c r="C5" t="s">
        <v>32</v>
      </c>
      <c r="D5" s="25" t="s">
        <v>3</v>
      </c>
      <c r="E5" s="25" t="s">
        <v>62</v>
      </c>
      <c r="F5" t="s">
        <v>63</v>
      </c>
      <c r="G5" t="s">
        <v>71</v>
      </c>
      <c r="H5" t="s">
        <v>72</v>
      </c>
      <c r="I5" t="s">
        <v>29</v>
      </c>
      <c r="J5" t="s">
        <v>63</v>
      </c>
      <c r="K5" t="s">
        <v>73</v>
      </c>
      <c r="L5" s="18">
        <v>652838.39</v>
      </c>
      <c r="M5" s="18">
        <v>679420.95</v>
      </c>
      <c r="N5">
        <v>-26582.560000000001</v>
      </c>
      <c r="O5" t="s">
        <v>74</v>
      </c>
      <c r="P5" t="s">
        <v>68</v>
      </c>
    </row>
    <row r="6" spans="1:16">
      <c r="A6" t="s">
        <v>75</v>
      </c>
      <c r="B6" t="s">
        <v>76</v>
      </c>
      <c r="C6" t="s">
        <v>32</v>
      </c>
      <c r="D6" s="25" t="s">
        <v>3</v>
      </c>
      <c r="E6" s="25" t="s">
        <v>62</v>
      </c>
      <c r="F6" t="s">
        <v>77</v>
      </c>
      <c r="G6" t="s">
        <v>78</v>
      </c>
      <c r="H6" t="s">
        <v>79</v>
      </c>
      <c r="I6" t="s">
        <v>29</v>
      </c>
      <c r="J6" t="s">
        <v>80</v>
      </c>
      <c r="L6" s="18">
        <v>284746.15000000002</v>
      </c>
      <c r="M6" s="18">
        <v>284746.15000000002</v>
      </c>
      <c r="N6">
        <v>0</v>
      </c>
      <c r="O6" t="s">
        <v>81</v>
      </c>
      <c r="P6" t="s">
        <v>82</v>
      </c>
    </row>
  </sheetData>
  <mergeCells count="1">
    <mergeCell ref="A1:P1"/>
  </mergeCells>
  <dataValidations count="2">
    <dataValidation type="list" allowBlank="1" showInputMessage="1" showErrorMessage="1" sqref="C4:C103" xr:uid="{00000000-0002-0000-0200-000000000000}">
      <formula1>FindingType</formula1>
      <formula2>0</formula2>
    </dataValidation>
    <dataValidation type="list" allowBlank="1" showInputMessage="1" showErrorMessage="1" sqref="I4:I103" xr:uid="{00000000-0002-0000-0200-000001000000}">
      <formula1>StatusOptions</formula1>
      <formula2>0</formula2>
    </dataValidation>
  </dataValidation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12.7109375" customWidth="1"/>
    <col min="3" max="3" width="18.7109375" customWidth="1"/>
    <col min="4" max="4" width="16.7109375" customWidth="1"/>
    <col min="5" max="5" width="14.7109375" customWidth="1"/>
    <col min="6" max="6" width="22.7109375" customWidth="1"/>
    <col min="7" max="7" width="24.7109375" customWidth="1"/>
    <col min="8" max="8" width="42.7109375" customWidth="1"/>
    <col min="9" max="9" width="20.7109375" customWidth="1"/>
    <col min="10" max="11" width="28.7109375" customWidth="1"/>
    <col min="12" max="13" width="18.7109375" style="18" customWidth="1"/>
    <col min="14" max="14" width="20.7109375" customWidth="1"/>
    <col min="15" max="15" width="50.7109375" customWidth="1"/>
    <col min="16" max="16" width="45.7109375" customWidth="1"/>
  </cols>
  <sheetData>
    <row r="1" spans="1:16" ht="22.15">
      <c r="A1" s="29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>
      <c r="P2" s="12" t="s">
        <v>1</v>
      </c>
    </row>
    <row r="3" spans="1:16">
      <c r="A3" t="s">
        <v>46</v>
      </c>
      <c r="B3" t="s">
        <v>47</v>
      </c>
      <c r="C3" t="s">
        <v>48</v>
      </c>
      <c r="D3" t="s">
        <v>2</v>
      </c>
      <c r="E3" t="s">
        <v>10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s="18" t="s">
        <v>55</v>
      </c>
      <c r="M3" s="18" t="s">
        <v>56</v>
      </c>
      <c r="N3" t="s">
        <v>57</v>
      </c>
      <c r="O3" t="s">
        <v>58</v>
      </c>
      <c r="P3" t="s">
        <v>59</v>
      </c>
    </row>
    <row r="4" spans="1:16">
      <c r="A4" t="s">
        <v>84</v>
      </c>
      <c r="B4" t="s">
        <v>85</v>
      </c>
      <c r="C4" t="s">
        <v>32</v>
      </c>
      <c r="D4" s="25" t="s">
        <v>3</v>
      </c>
      <c r="E4" s="25" t="s">
        <v>62</v>
      </c>
      <c r="F4" t="s">
        <v>77</v>
      </c>
      <c r="G4" t="s">
        <v>86</v>
      </c>
      <c r="H4" t="s">
        <v>87</v>
      </c>
      <c r="I4" t="s">
        <v>28</v>
      </c>
      <c r="J4" t="s">
        <v>88</v>
      </c>
      <c r="L4" s="18">
        <v>-1402.22</v>
      </c>
      <c r="M4" s="18">
        <v>46143</v>
      </c>
      <c r="N4" t="s">
        <v>89</v>
      </c>
      <c r="O4" t="s">
        <v>90</v>
      </c>
      <c r="P4" t="s">
        <v>91</v>
      </c>
    </row>
    <row r="5" spans="1:16">
      <c r="A5" t="s">
        <v>92</v>
      </c>
      <c r="B5" t="s">
        <v>93</v>
      </c>
      <c r="C5" t="s">
        <v>32</v>
      </c>
      <c r="D5" s="25" t="s">
        <v>3</v>
      </c>
      <c r="E5" s="25" t="s">
        <v>62</v>
      </c>
      <c r="F5" t="s">
        <v>94</v>
      </c>
      <c r="G5" t="s">
        <v>95</v>
      </c>
      <c r="H5" t="s">
        <v>96</v>
      </c>
      <c r="I5" t="s">
        <v>28</v>
      </c>
      <c r="J5" t="s">
        <v>97</v>
      </c>
      <c r="K5" t="s">
        <v>98</v>
      </c>
      <c r="L5" s="18">
        <v>1061771</v>
      </c>
      <c r="M5" s="18">
        <v>1033669</v>
      </c>
      <c r="N5" t="s">
        <v>99</v>
      </c>
      <c r="O5" t="s">
        <v>100</v>
      </c>
      <c r="P5" t="s">
        <v>101</v>
      </c>
    </row>
    <row r="6" spans="1:16">
      <c r="A6" t="s">
        <v>102</v>
      </c>
      <c r="B6" t="s">
        <v>93</v>
      </c>
      <c r="C6" t="s">
        <v>32</v>
      </c>
      <c r="D6" s="25" t="s">
        <v>3</v>
      </c>
      <c r="E6" s="25" t="s">
        <v>62</v>
      </c>
      <c r="F6" t="s">
        <v>94</v>
      </c>
      <c r="G6" t="s">
        <v>103</v>
      </c>
      <c r="H6" t="s">
        <v>96</v>
      </c>
      <c r="I6" t="s">
        <v>28</v>
      </c>
      <c r="J6" t="s">
        <v>97</v>
      </c>
      <c r="K6" t="s">
        <v>98</v>
      </c>
      <c r="L6" s="18">
        <v>-123879.1</v>
      </c>
      <c r="M6" s="18">
        <v>-105127.49</v>
      </c>
      <c r="N6" t="s">
        <v>104</v>
      </c>
      <c r="O6" t="s">
        <v>105</v>
      </c>
      <c r="P6" t="s">
        <v>101</v>
      </c>
    </row>
    <row r="7" spans="1:16">
      <c r="A7" t="s">
        <v>106</v>
      </c>
      <c r="B7" t="s">
        <v>93</v>
      </c>
      <c r="C7" t="s">
        <v>32</v>
      </c>
      <c r="D7" s="25" t="s">
        <v>3</v>
      </c>
      <c r="E7" s="25" t="s">
        <v>62</v>
      </c>
      <c r="F7" t="s">
        <v>94</v>
      </c>
      <c r="G7" t="s">
        <v>107</v>
      </c>
      <c r="H7" t="s">
        <v>96</v>
      </c>
      <c r="I7" t="s">
        <v>28</v>
      </c>
      <c r="J7" t="s">
        <v>97</v>
      </c>
      <c r="K7" t="s">
        <v>98</v>
      </c>
      <c r="L7" s="18">
        <v>-63145.31</v>
      </c>
      <c r="M7" s="18">
        <v>-68646.38</v>
      </c>
      <c r="N7" t="s">
        <v>108</v>
      </c>
      <c r="O7" t="s">
        <v>109</v>
      </c>
      <c r="P7" t="s">
        <v>101</v>
      </c>
    </row>
    <row r="8" spans="1:16">
      <c r="A8" t="s">
        <v>110</v>
      </c>
      <c r="B8" t="s">
        <v>93</v>
      </c>
      <c r="C8" t="s">
        <v>32</v>
      </c>
      <c r="D8" s="25" t="s">
        <v>3</v>
      </c>
      <c r="E8" s="25" t="s">
        <v>62</v>
      </c>
      <c r="F8" t="s">
        <v>94</v>
      </c>
      <c r="G8" t="s">
        <v>111</v>
      </c>
      <c r="H8" t="s">
        <v>96</v>
      </c>
      <c r="I8" t="s">
        <v>28</v>
      </c>
      <c r="J8" t="s">
        <v>97</v>
      </c>
      <c r="K8" t="s">
        <v>98</v>
      </c>
      <c r="L8" s="18">
        <v>-6388.07</v>
      </c>
      <c r="M8" s="18">
        <v>-4337.33</v>
      </c>
      <c r="N8" t="s">
        <v>112</v>
      </c>
      <c r="O8" t="s">
        <v>113</v>
      </c>
      <c r="P8" t="s">
        <v>101</v>
      </c>
    </row>
    <row r="9" spans="1:16">
      <c r="A9" t="s">
        <v>114</v>
      </c>
      <c r="B9" t="s">
        <v>93</v>
      </c>
      <c r="C9" t="s">
        <v>32</v>
      </c>
      <c r="D9" s="25" t="s">
        <v>3</v>
      </c>
      <c r="E9" s="25" t="s">
        <v>62</v>
      </c>
      <c r="F9" t="s">
        <v>94</v>
      </c>
      <c r="G9" t="s">
        <v>115</v>
      </c>
      <c r="H9" t="s">
        <v>96</v>
      </c>
      <c r="I9" t="s">
        <v>28</v>
      </c>
      <c r="J9" t="s">
        <v>97</v>
      </c>
      <c r="K9" t="s">
        <v>98</v>
      </c>
      <c r="L9" s="18">
        <v>2523.7800000000002</v>
      </c>
      <c r="M9" s="18">
        <v>1444.79</v>
      </c>
      <c r="N9" t="s">
        <v>116</v>
      </c>
      <c r="O9" t="s">
        <v>117</v>
      </c>
      <c r="P9" t="s">
        <v>101</v>
      </c>
    </row>
    <row r="10" spans="1:16">
      <c r="A10" t="s">
        <v>118</v>
      </c>
      <c r="B10" t="s">
        <v>93</v>
      </c>
      <c r="C10" t="s">
        <v>32</v>
      </c>
      <c r="D10" s="25" t="s">
        <v>3</v>
      </c>
      <c r="E10" s="25" t="s">
        <v>62</v>
      </c>
      <c r="F10" t="s">
        <v>94</v>
      </c>
      <c r="G10" t="s">
        <v>119</v>
      </c>
      <c r="H10" t="s">
        <v>96</v>
      </c>
      <c r="I10" t="s">
        <v>28</v>
      </c>
      <c r="J10" t="s">
        <v>97</v>
      </c>
      <c r="K10" t="s">
        <v>98</v>
      </c>
      <c r="L10" s="18">
        <v>2269.58</v>
      </c>
      <c r="M10" s="18">
        <v>5463.25</v>
      </c>
      <c r="N10" t="s">
        <v>120</v>
      </c>
      <c r="O10" t="s">
        <v>121</v>
      </c>
      <c r="P10" t="s">
        <v>101</v>
      </c>
    </row>
    <row r="11" spans="1:16">
      <c r="A11" t="s">
        <v>122</v>
      </c>
      <c r="B11" t="s">
        <v>93</v>
      </c>
      <c r="C11" t="s">
        <v>32</v>
      </c>
      <c r="D11" s="25" t="s">
        <v>3</v>
      </c>
      <c r="E11" s="25" t="s">
        <v>62</v>
      </c>
      <c r="F11" t="s">
        <v>94</v>
      </c>
      <c r="G11" t="s">
        <v>123</v>
      </c>
      <c r="H11" t="s">
        <v>96</v>
      </c>
      <c r="I11" t="s">
        <v>28</v>
      </c>
      <c r="J11" t="s">
        <v>97</v>
      </c>
      <c r="K11" t="s">
        <v>98</v>
      </c>
      <c r="L11" s="18">
        <v>-1002.38</v>
      </c>
      <c r="M11" s="18">
        <v>3271.33</v>
      </c>
      <c r="N11" t="s">
        <v>124</v>
      </c>
      <c r="O11" t="s">
        <v>125</v>
      </c>
      <c r="P11" t="s">
        <v>101</v>
      </c>
    </row>
    <row r="12" spans="1:16">
      <c r="A12" t="s">
        <v>126</v>
      </c>
      <c r="B12" t="s">
        <v>93</v>
      </c>
      <c r="C12" t="s">
        <v>32</v>
      </c>
      <c r="D12" s="25" t="s">
        <v>3</v>
      </c>
      <c r="E12" s="25" t="s">
        <v>62</v>
      </c>
      <c r="F12" t="s">
        <v>94</v>
      </c>
      <c r="G12" t="s">
        <v>127</v>
      </c>
      <c r="H12" t="s">
        <v>96</v>
      </c>
      <c r="I12" t="s">
        <v>28</v>
      </c>
      <c r="J12" t="s">
        <v>97</v>
      </c>
      <c r="K12" t="s">
        <v>98</v>
      </c>
      <c r="L12" s="18">
        <v>2823.25</v>
      </c>
      <c r="M12" s="18">
        <v>-419.81</v>
      </c>
      <c r="N12" t="s">
        <v>128</v>
      </c>
      <c r="O12" t="s">
        <v>129</v>
      </c>
      <c r="P12" t="s">
        <v>101</v>
      </c>
    </row>
    <row r="13" spans="1:16">
      <c r="A13" t="s">
        <v>130</v>
      </c>
      <c r="B13" t="s">
        <v>93</v>
      </c>
      <c r="C13" t="s">
        <v>32</v>
      </c>
      <c r="D13" s="25" t="s">
        <v>3</v>
      </c>
      <c r="E13" s="25" t="s">
        <v>62</v>
      </c>
      <c r="F13" t="s">
        <v>94</v>
      </c>
      <c r="G13" t="s">
        <v>131</v>
      </c>
      <c r="H13" t="s">
        <v>96</v>
      </c>
      <c r="I13" t="s">
        <v>28</v>
      </c>
      <c r="J13" t="s">
        <v>97</v>
      </c>
      <c r="K13" t="s">
        <v>98</v>
      </c>
      <c r="L13" s="18">
        <v>4104</v>
      </c>
      <c r="M13" s="18">
        <v>5774.06</v>
      </c>
      <c r="N13" t="s">
        <v>132</v>
      </c>
      <c r="O13" t="s">
        <v>133</v>
      </c>
      <c r="P13" t="s">
        <v>101</v>
      </c>
    </row>
    <row r="14" spans="1:16">
      <c r="A14" t="s">
        <v>134</v>
      </c>
      <c r="B14" t="s">
        <v>93</v>
      </c>
      <c r="C14" t="s">
        <v>32</v>
      </c>
      <c r="D14" s="25" t="s">
        <v>3</v>
      </c>
      <c r="E14" s="25" t="s">
        <v>62</v>
      </c>
      <c r="F14" t="s">
        <v>94</v>
      </c>
      <c r="G14" t="s">
        <v>135</v>
      </c>
      <c r="H14" t="s">
        <v>96</v>
      </c>
      <c r="I14" t="s">
        <v>28</v>
      </c>
      <c r="J14" t="s">
        <v>97</v>
      </c>
      <c r="K14" t="s">
        <v>98</v>
      </c>
      <c r="L14" s="18">
        <v>10902.76</v>
      </c>
      <c r="M14" s="18">
        <v>8131.53</v>
      </c>
      <c r="N14" t="s">
        <v>136</v>
      </c>
      <c r="O14" t="s">
        <v>137</v>
      </c>
      <c r="P14" t="s">
        <v>101</v>
      </c>
    </row>
    <row r="15" spans="1:16">
      <c r="A15" t="s">
        <v>138</v>
      </c>
      <c r="B15" t="s">
        <v>93</v>
      </c>
      <c r="C15" t="s">
        <v>32</v>
      </c>
      <c r="D15" s="25" t="s">
        <v>3</v>
      </c>
      <c r="E15" s="25" t="s">
        <v>62</v>
      </c>
      <c r="F15" t="s">
        <v>94</v>
      </c>
      <c r="G15" t="s">
        <v>139</v>
      </c>
      <c r="H15" t="s">
        <v>96</v>
      </c>
      <c r="I15" t="s">
        <v>28</v>
      </c>
      <c r="J15" t="s">
        <v>97</v>
      </c>
      <c r="K15" t="s">
        <v>98</v>
      </c>
      <c r="L15" s="18">
        <v>11553.16</v>
      </c>
      <c r="M15" s="18">
        <v>15704.35</v>
      </c>
      <c r="N15" t="s">
        <v>140</v>
      </c>
      <c r="O15" t="s">
        <v>141</v>
      </c>
      <c r="P15" t="s">
        <v>101</v>
      </c>
    </row>
    <row r="16" spans="1:16">
      <c r="A16" t="s">
        <v>142</v>
      </c>
      <c r="B16" t="s">
        <v>93</v>
      </c>
      <c r="C16" t="s">
        <v>32</v>
      </c>
      <c r="D16" s="25" t="s">
        <v>3</v>
      </c>
      <c r="E16" s="25" t="s">
        <v>62</v>
      </c>
      <c r="F16" t="s">
        <v>94</v>
      </c>
      <c r="G16" t="s">
        <v>143</v>
      </c>
      <c r="H16" t="s">
        <v>96</v>
      </c>
      <c r="I16" t="s">
        <v>28</v>
      </c>
      <c r="J16" t="s">
        <v>97</v>
      </c>
      <c r="K16" t="s">
        <v>98</v>
      </c>
      <c r="L16" s="18">
        <v>3740.21</v>
      </c>
      <c r="M16" s="18">
        <v>4783.59</v>
      </c>
      <c r="N16" t="s">
        <v>144</v>
      </c>
      <c r="O16" t="s">
        <v>145</v>
      </c>
      <c r="P16" t="s">
        <v>101</v>
      </c>
    </row>
    <row r="17" spans="1:16">
      <c r="A17" t="s">
        <v>146</v>
      </c>
      <c r="B17" t="s">
        <v>93</v>
      </c>
      <c r="C17" t="s">
        <v>32</v>
      </c>
      <c r="D17" s="25" t="s">
        <v>3</v>
      </c>
      <c r="E17" s="25" t="s">
        <v>62</v>
      </c>
      <c r="F17" t="s">
        <v>94</v>
      </c>
      <c r="G17" t="s">
        <v>147</v>
      </c>
      <c r="H17" t="s">
        <v>96</v>
      </c>
      <c r="I17" t="s">
        <v>28</v>
      </c>
      <c r="J17" t="s">
        <v>97</v>
      </c>
      <c r="K17" t="s">
        <v>98</v>
      </c>
      <c r="L17" s="18">
        <v>-244</v>
      </c>
      <c r="M17" s="18">
        <v>10419.67</v>
      </c>
      <c r="N17" t="s">
        <v>148</v>
      </c>
      <c r="O17" t="s">
        <v>149</v>
      </c>
      <c r="P17" t="s">
        <v>101</v>
      </c>
    </row>
    <row r="18" spans="1:16">
      <c r="A18" t="s">
        <v>150</v>
      </c>
      <c r="B18" t="s">
        <v>93</v>
      </c>
      <c r="C18" t="s">
        <v>32</v>
      </c>
      <c r="D18" s="25" t="s">
        <v>3</v>
      </c>
      <c r="E18" s="25" t="s">
        <v>62</v>
      </c>
      <c r="F18" t="s">
        <v>94</v>
      </c>
      <c r="G18" t="s">
        <v>151</v>
      </c>
      <c r="H18" t="s">
        <v>96</v>
      </c>
      <c r="I18" t="s">
        <v>28</v>
      </c>
      <c r="J18" t="s">
        <v>97</v>
      </c>
      <c r="K18" t="s">
        <v>98</v>
      </c>
      <c r="L18" s="18">
        <v>0</v>
      </c>
      <c r="M18" s="18">
        <v>2670.81</v>
      </c>
      <c r="N18" t="s">
        <v>152</v>
      </c>
      <c r="O18" t="s">
        <v>153</v>
      </c>
      <c r="P18" t="s">
        <v>101</v>
      </c>
    </row>
    <row r="19" spans="1:16">
      <c r="A19" t="s">
        <v>154</v>
      </c>
      <c r="B19" t="s">
        <v>93</v>
      </c>
      <c r="C19" t="s">
        <v>32</v>
      </c>
      <c r="D19" s="25" t="s">
        <v>3</v>
      </c>
      <c r="E19" s="25" t="s">
        <v>62</v>
      </c>
      <c r="F19" t="s">
        <v>94</v>
      </c>
      <c r="G19" t="s">
        <v>155</v>
      </c>
      <c r="H19" t="s">
        <v>96</v>
      </c>
      <c r="I19" t="s">
        <v>28</v>
      </c>
      <c r="J19" t="s">
        <v>97</v>
      </c>
      <c r="K19" t="s">
        <v>98</v>
      </c>
      <c r="L19" s="18">
        <v>6720.04</v>
      </c>
      <c r="M19" s="18">
        <v>7945.49</v>
      </c>
      <c r="N19" t="s">
        <v>156</v>
      </c>
      <c r="O19" t="s">
        <v>157</v>
      </c>
      <c r="P19" t="s">
        <v>101</v>
      </c>
    </row>
    <row r="20" spans="1:16">
      <c r="A20" t="s">
        <v>158</v>
      </c>
      <c r="B20" t="s">
        <v>159</v>
      </c>
      <c r="C20" t="s">
        <v>32</v>
      </c>
      <c r="D20" s="25" t="s">
        <v>3</v>
      </c>
      <c r="E20" s="25" t="s">
        <v>62</v>
      </c>
      <c r="F20" t="s">
        <v>94</v>
      </c>
      <c r="G20" t="s">
        <v>160</v>
      </c>
      <c r="H20" t="s">
        <v>161</v>
      </c>
      <c r="I20" t="s">
        <v>28</v>
      </c>
      <c r="J20" t="s">
        <v>97</v>
      </c>
      <c r="K20" t="s">
        <v>162</v>
      </c>
      <c r="L20" s="18">
        <v>0</v>
      </c>
      <c r="M20" s="18">
        <v>384.39</v>
      </c>
      <c r="N20">
        <v>-384.39</v>
      </c>
      <c r="O20" t="s">
        <v>163</v>
      </c>
      <c r="P20" t="s">
        <v>164</v>
      </c>
    </row>
    <row r="21" spans="1:16">
      <c r="A21" t="s">
        <v>165</v>
      </c>
      <c r="B21" t="s">
        <v>93</v>
      </c>
      <c r="C21" t="s">
        <v>32</v>
      </c>
      <c r="D21" s="25" t="s">
        <v>3</v>
      </c>
      <c r="E21" s="25" t="s">
        <v>62</v>
      </c>
      <c r="F21" t="s">
        <v>94</v>
      </c>
      <c r="G21" t="s">
        <v>166</v>
      </c>
      <c r="H21" t="s">
        <v>96</v>
      </c>
      <c r="I21" t="s">
        <v>28</v>
      </c>
      <c r="J21" t="s">
        <v>97</v>
      </c>
      <c r="K21" t="s">
        <v>98</v>
      </c>
      <c r="L21" s="18">
        <v>2458.9299999999998</v>
      </c>
      <c r="M21" s="18">
        <v>1387.11</v>
      </c>
      <c r="N21" t="s">
        <v>167</v>
      </c>
      <c r="O21" t="s">
        <v>168</v>
      </c>
      <c r="P21" t="s">
        <v>101</v>
      </c>
    </row>
    <row r="22" spans="1:16">
      <c r="A22" t="s">
        <v>169</v>
      </c>
      <c r="B22" t="s">
        <v>159</v>
      </c>
      <c r="C22" t="s">
        <v>32</v>
      </c>
      <c r="D22" s="25" t="s">
        <v>3</v>
      </c>
      <c r="E22" s="25" t="s">
        <v>62</v>
      </c>
      <c r="F22" t="s">
        <v>94</v>
      </c>
      <c r="G22" t="s">
        <v>170</v>
      </c>
      <c r="H22" t="s">
        <v>161</v>
      </c>
      <c r="I22" t="s">
        <v>28</v>
      </c>
      <c r="J22" t="s">
        <v>97</v>
      </c>
      <c r="K22" t="s">
        <v>171</v>
      </c>
      <c r="L22" s="18">
        <v>0</v>
      </c>
      <c r="M22" s="18">
        <v>1761.67</v>
      </c>
      <c r="N22">
        <v>-1761.67</v>
      </c>
      <c r="O22" t="s">
        <v>163</v>
      </c>
      <c r="P22" t="s">
        <v>164</v>
      </c>
    </row>
    <row r="23" spans="1:16">
      <c r="A23" t="s">
        <v>172</v>
      </c>
      <c r="B23" t="s">
        <v>159</v>
      </c>
      <c r="C23" t="s">
        <v>32</v>
      </c>
      <c r="D23" s="25" t="s">
        <v>3</v>
      </c>
      <c r="E23" s="25" t="s">
        <v>62</v>
      </c>
      <c r="F23" t="s">
        <v>94</v>
      </c>
      <c r="G23" t="s">
        <v>173</v>
      </c>
      <c r="H23" t="s">
        <v>161</v>
      </c>
      <c r="I23" t="s">
        <v>28</v>
      </c>
      <c r="J23" t="s">
        <v>97</v>
      </c>
      <c r="K23" t="s">
        <v>174</v>
      </c>
      <c r="L23" s="18">
        <v>0</v>
      </c>
      <c r="M23" s="18">
        <v>817.79</v>
      </c>
      <c r="N23">
        <v>-817.79</v>
      </c>
      <c r="O23" t="s">
        <v>163</v>
      </c>
      <c r="P23" t="s">
        <v>164</v>
      </c>
    </row>
    <row r="24" spans="1:16">
      <c r="A24" t="s">
        <v>175</v>
      </c>
      <c r="B24" t="s">
        <v>93</v>
      </c>
      <c r="C24" t="s">
        <v>32</v>
      </c>
      <c r="D24" s="25" t="s">
        <v>3</v>
      </c>
      <c r="E24" s="25" t="s">
        <v>62</v>
      </c>
      <c r="F24" t="s">
        <v>94</v>
      </c>
      <c r="G24" t="s">
        <v>176</v>
      </c>
      <c r="H24" t="s">
        <v>96</v>
      </c>
      <c r="I24" t="s">
        <v>28</v>
      </c>
      <c r="J24" t="s">
        <v>97</v>
      </c>
      <c r="K24" t="s">
        <v>98</v>
      </c>
      <c r="L24" s="18">
        <v>2743.47</v>
      </c>
      <c r="M24" s="18">
        <v>1072.1199999999999</v>
      </c>
      <c r="N24" t="s">
        <v>177</v>
      </c>
      <c r="O24" t="s">
        <v>178</v>
      </c>
      <c r="P24" t="s">
        <v>101</v>
      </c>
    </row>
    <row r="25" spans="1:16">
      <c r="A25" t="s">
        <v>179</v>
      </c>
      <c r="B25" t="s">
        <v>93</v>
      </c>
      <c r="C25" t="s">
        <v>32</v>
      </c>
      <c r="D25" s="25" t="s">
        <v>3</v>
      </c>
      <c r="E25" s="25" t="s">
        <v>62</v>
      </c>
      <c r="F25" t="s">
        <v>94</v>
      </c>
      <c r="G25" t="s">
        <v>180</v>
      </c>
      <c r="H25" t="s">
        <v>96</v>
      </c>
      <c r="I25" t="s">
        <v>28</v>
      </c>
      <c r="J25" t="s">
        <v>97</v>
      </c>
      <c r="K25" t="s">
        <v>98</v>
      </c>
      <c r="L25" s="18">
        <v>1850</v>
      </c>
      <c r="M25" s="18">
        <v>4651.83</v>
      </c>
      <c r="N25" t="s">
        <v>181</v>
      </c>
      <c r="O25" t="s">
        <v>182</v>
      </c>
      <c r="P25" t="s">
        <v>101</v>
      </c>
    </row>
    <row r="26" spans="1:16">
      <c r="A26" t="s">
        <v>183</v>
      </c>
      <c r="B26" t="s">
        <v>93</v>
      </c>
      <c r="C26" t="s">
        <v>32</v>
      </c>
      <c r="D26" s="25" t="s">
        <v>3</v>
      </c>
      <c r="E26" s="25" t="s">
        <v>62</v>
      </c>
      <c r="F26" t="s">
        <v>94</v>
      </c>
      <c r="G26" t="s">
        <v>184</v>
      </c>
      <c r="H26" t="s">
        <v>96</v>
      </c>
      <c r="I26" t="s">
        <v>28</v>
      </c>
      <c r="J26" t="s">
        <v>97</v>
      </c>
      <c r="K26" t="s">
        <v>98</v>
      </c>
      <c r="L26" s="18">
        <v>3805.4</v>
      </c>
      <c r="M26" s="18">
        <v>2297.2399999999998</v>
      </c>
      <c r="N26" t="s">
        <v>185</v>
      </c>
      <c r="O26" t="s">
        <v>186</v>
      </c>
      <c r="P26" t="s">
        <v>101</v>
      </c>
    </row>
    <row r="27" spans="1:16">
      <c r="A27" t="s">
        <v>187</v>
      </c>
      <c r="B27" t="s">
        <v>93</v>
      </c>
      <c r="C27" t="s">
        <v>32</v>
      </c>
      <c r="D27" s="25" t="s">
        <v>3</v>
      </c>
      <c r="E27" s="25" t="s">
        <v>62</v>
      </c>
      <c r="F27" t="s">
        <v>94</v>
      </c>
      <c r="G27" t="s">
        <v>188</v>
      </c>
      <c r="H27" t="s">
        <v>96</v>
      </c>
      <c r="I27" t="s">
        <v>28</v>
      </c>
      <c r="J27" t="s">
        <v>97</v>
      </c>
      <c r="K27" t="s">
        <v>98</v>
      </c>
      <c r="L27" s="18">
        <v>6368.75</v>
      </c>
      <c r="M27" s="18">
        <v>3401.67</v>
      </c>
      <c r="N27" t="s">
        <v>189</v>
      </c>
      <c r="O27" t="s">
        <v>190</v>
      </c>
      <c r="P27" t="s">
        <v>101</v>
      </c>
    </row>
    <row r="28" spans="1:16">
      <c r="A28" t="s">
        <v>191</v>
      </c>
      <c r="B28" t="s">
        <v>192</v>
      </c>
      <c r="C28" t="s">
        <v>32</v>
      </c>
      <c r="D28" s="25" t="s">
        <v>3</v>
      </c>
      <c r="E28" s="25" t="s">
        <v>62</v>
      </c>
      <c r="F28" t="s">
        <v>193</v>
      </c>
      <c r="G28" t="s">
        <v>194</v>
      </c>
      <c r="H28" t="s">
        <v>96</v>
      </c>
      <c r="I28" t="s">
        <v>28</v>
      </c>
      <c r="J28" t="s">
        <v>97</v>
      </c>
      <c r="K28" t="s">
        <v>98</v>
      </c>
      <c r="L28" s="18">
        <v>1535.08</v>
      </c>
      <c r="M28" s="18">
        <v>266.51</v>
      </c>
      <c r="N28" t="s">
        <v>195</v>
      </c>
      <c r="O28" t="s">
        <v>196</v>
      </c>
      <c r="P28" t="s">
        <v>197</v>
      </c>
    </row>
    <row r="29" spans="1:16">
      <c r="A29" t="s">
        <v>198</v>
      </c>
      <c r="B29" t="s">
        <v>199</v>
      </c>
      <c r="C29" t="s">
        <v>32</v>
      </c>
      <c r="D29" s="25" t="s">
        <v>3</v>
      </c>
      <c r="E29" s="25" t="s">
        <v>62</v>
      </c>
      <c r="F29" t="s">
        <v>193</v>
      </c>
      <c r="G29" t="s">
        <v>200</v>
      </c>
      <c r="H29" t="s">
        <v>201</v>
      </c>
      <c r="I29" t="s">
        <v>28</v>
      </c>
      <c r="J29" t="s">
        <v>97</v>
      </c>
      <c r="K29" t="s">
        <v>202</v>
      </c>
      <c r="L29" s="18">
        <v>0</v>
      </c>
      <c r="M29" s="18">
        <v>5939.1</v>
      </c>
      <c r="N29">
        <v>-5939.1</v>
      </c>
      <c r="O29" t="s">
        <v>203</v>
      </c>
      <c r="P29" t="s">
        <v>204</v>
      </c>
    </row>
    <row r="30" spans="1:16">
      <c r="A30" t="s">
        <v>205</v>
      </c>
      <c r="B30" t="s">
        <v>192</v>
      </c>
      <c r="C30" t="s">
        <v>32</v>
      </c>
      <c r="D30" s="25" t="s">
        <v>3</v>
      </c>
      <c r="E30" s="25" t="s">
        <v>62</v>
      </c>
      <c r="F30" t="s">
        <v>193</v>
      </c>
      <c r="G30" t="s">
        <v>206</v>
      </c>
      <c r="H30" t="s">
        <v>96</v>
      </c>
      <c r="I30" t="s">
        <v>28</v>
      </c>
      <c r="J30" t="s">
        <v>97</v>
      </c>
      <c r="K30" t="s">
        <v>98</v>
      </c>
      <c r="L30" s="18">
        <v>-9325.5499999999993</v>
      </c>
      <c r="M30" s="18">
        <v>5684.18</v>
      </c>
      <c r="N30" t="s">
        <v>207</v>
      </c>
      <c r="O30" t="s">
        <v>208</v>
      </c>
      <c r="P30" t="s">
        <v>197</v>
      </c>
    </row>
    <row r="31" spans="1:16">
      <c r="A31" t="s">
        <v>209</v>
      </c>
      <c r="B31" t="s">
        <v>192</v>
      </c>
      <c r="C31" t="s">
        <v>32</v>
      </c>
      <c r="D31" s="25" t="s">
        <v>3</v>
      </c>
      <c r="E31" s="25" t="s">
        <v>62</v>
      </c>
      <c r="F31" t="s">
        <v>193</v>
      </c>
      <c r="G31" t="s">
        <v>210</v>
      </c>
      <c r="H31" t="s">
        <v>96</v>
      </c>
      <c r="I31" t="s">
        <v>28</v>
      </c>
      <c r="J31" t="s">
        <v>97</v>
      </c>
      <c r="K31" t="s">
        <v>98</v>
      </c>
      <c r="L31" s="18">
        <v>-13545.85</v>
      </c>
      <c r="M31" s="18">
        <v>11949.51</v>
      </c>
      <c r="N31" t="s">
        <v>211</v>
      </c>
      <c r="O31" t="s">
        <v>212</v>
      </c>
      <c r="P31" t="s">
        <v>197</v>
      </c>
    </row>
    <row r="32" spans="1:16">
      <c r="A32" t="s">
        <v>213</v>
      </c>
      <c r="B32" t="s">
        <v>192</v>
      </c>
      <c r="C32" t="s">
        <v>32</v>
      </c>
      <c r="D32" s="25" t="s">
        <v>3</v>
      </c>
      <c r="E32" s="25" t="s">
        <v>62</v>
      </c>
      <c r="F32" t="s">
        <v>193</v>
      </c>
      <c r="G32" t="s">
        <v>214</v>
      </c>
      <c r="H32" t="s">
        <v>96</v>
      </c>
      <c r="I32" t="s">
        <v>28</v>
      </c>
      <c r="J32" t="s">
        <v>97</v>
      </c>
      <c r="K32" t="s">
        <v>98</v>
      </c>
      <c r="L32" s="18">
        <v>3053.21</v>
      </c>
      <c r="M32" s="18">
        <v>5348.26</v>
      </c>
      <c r="N32" t="s">
        <v>215</v>
      </c>
      <c r="O32" t="s">
        <v>216</v>
      </c>
      <c r="P32" t="s">
        <v>197</v>
      </c>
    </row>
    <row r="33" spans="1:16">
      <c r="A33" t="s">
        <v>217</v>
      </c>
      <c r="B33" t="s">
        <v>192</v>
      </c>
      <c r="C33" t="s">
        <v>32</v>
      </c>
      <c r="D33" s="25" t="s">
        <v>3</v>
      </c>
      <c r="E33" s="25" t="s">
        <v>62</v>
      </c>
      <c r="F33" t="s">
        <v>193</v>
      </c>
      <c r="G33" t="s">
        <v>218</v>
      </c>
      <c r="H33" t="s">
        <v>96</v>
      </c>
      <c r="I33" t="s">
        <v>28</v>
      </c>
      <c r="J33" t="s">
        <v>97</v>
      </c>
      <c r="K33" t="s">
        <v>98</v>
      </c>
      <c r="L33" s="18">
        <v>8768.85</v>
      </c>
      <c r="M33" s="18">
        <v>13845.6</v>
      </c>
      <c r="N33" t="s">
        <v>219</v>
      </c>
      <c r="O33" t="s">
        <v>220</v>
      </c>
      <c r="P33" t="s">
        <v>197</v>
      </c>
    </row>
    <row r="34" spans="1:16">
      <c r="A34" t="s">
        <v>221</v>
      </c>
      <c r="B34" t="s">
        <v>192</v>
      </c>
      <c r="C34" t="s">
        <v>32</v>
      </c>
      <c r="D34" s="25" t="s">
        <v>3</v>
      </c>
      <c r="E34" s="25" t="s">
        <v>62</v>
      </c>
      <c r="F34" t="s">
        <v>193</v>
      </c>
      <c r="G34" t="s">
        <v>222</v>
      </c>
      <c r="H34" t="s">
        <v>96</v>
      </c>
      <c r="I34" t="s">
        <v>28</v>
      </c>
      <c r="J34" t="s">
        <v>97</v>
      </c>
      <c r="K34" t="s">
        <v>98</v>
      </c>
      <c r="L34" s="18">
        <v>5300.87</v>
      </c>
      <c r="M34" s="18">
        <v>2828.41</v>
      </c>
      <c r="N34" t="s">
        <v>223</v>
      </c>
      <c r="O34" t="s">
        <v>224</v>
      </c>
      <c r="P34" t="s">
        <v>197</v>
      </c>
    </row>
    <row r="35" spans="1:16">
      <c r="A35" t="s">
        <v>225</v>
      </c>
      <c r="B35" t="s">
        <v>93</v>
      </c>
      <c r="C35" t="s">
        <v>32</v>
      </c>
      <c r="D35" s="25" t="s">
        <v>3</v>
      </c>
      <c r="E35" s="25" t="s">
        <v>62</v>
      </c>
      <c r="F35" t="s">
        <v>94</v>
      </c>
      <c r="G35" t="s">
        <v>226</v>
      </c>
      <c r="H35" t="s">
        <v>96</v>
      </c>
      <c r="I35" t="s">
        <v>28</v>
      </c>
      <c r="J35" t="s">
        <v>97</v>
      </c>
      <c r="K35" t="s">
        <v>98</v>
      </c>
      <c r="L35" s="18">
        <v>3726.07</v>
      </c>
      <c r="M35" s="18">
        <v>7353.13</v>
      </c>
      <c r="N35" t="s">
        <v>227</v>
      </c>
      <c r="O35" t="s">
        <v>228</v>
      </c>
      <c r="P35" t="s">
        <v>101</v>
      </c>
    </row>
    <row r="36" spans="1:16">
      <c r="A36" t="s">
        <v>229</v>
      </c>
      <c r="B36" t="s">
        <v>93</v>
      </c>
      <c r="C36" t="s">
        <v>32</v>
      </c>
      <c r="D36" s="25" t="s">
        <v>3</v>
      </c>
      <c r="E36" s="25" t="s">
        <v>62</v>
      </c>
      <c r="F36" t="s">
        <v>94</v>
      </c>
      <c r="G36" t="s">
        <v>230</v>
      </c>
      <c r="H36" t="s">
        <v>96</v>
      </c>
      <c r="I36" t="s">
        <v>28</v>
      </c>
      <c r="J36" t="s">
        <v>97</v>
      </c>
      <c r="K36" t="s">
        <v>98</v>
      </c>
      <c r="L36" s="18">
        <v>-616.45000000000005</v>
      </c>
      <c r="M36" s="18">
        <v>653.45000000000005</v>
      </c>
      <c r="N36" t="s">
        <v>231</v>
      </c>
      <c r="O36" t="s">
        <v>232</v>
      </c>
      <c r="P36" t="s">
        <v>101</v>
      </c>
    </row>
    <row r="37" spans="1:16">
      <c r="A37" t="s">
        <v>233</v>
      </c>
      <c r="B37" t="s">
        <v>93</v>
      </c>
      <c r="C37" t="s">
        <v>32</v>
      </c>
      <c r="D37" s="25" t="s">
        <v>3</v>
      </c>
      <c r="E37" s="25" t="s">
        <v>62</v>
      </c>
      <c r="F37" t="s">
        <v>94</v>
      </c>
      <c r="G37" t="s">
        <v>234</v>
      </c>
      <c r="H37" t="s">
        <v>96</v>
      </c>
      <c r="I37" t="s">
        <v>28</v>
      </c>
      <c r="J37" t="s">
        <v>97</v>
      </c>
      <c r="K37" t="s">
        <v>98</v>
      </c>
      <c r="L37" s="18">
        <v>2361</v>
      </c>
      <c r="M37" s="18">
        <v>5137.67</v>
      </c>
      <c r="N37" t="s">
        <v>235</v>
      </c>
      <c r="O37" t="s">
        <v>236</v>
      </c>
      <c r="P37" t="s">
        <v>101</v>
      </c>
    </row>
    <row r="38" spans="1:16">
      <c r="A38" t="s">
        <v>237</v>
      </c>
      <c r="B38" t="s">
        <v>93</v>
      </c>
      <c r="C38" t="s">
        <v>32</v>
      </c>
      <c r="D38" s="25" t="s">
        <v>3</v>
      </c>
      <c r="E38" s="25" t="s">
        <v>62</v>
      </c>
      <c r="F38" t="s">
        <v>94</v>
      </c>
      <c r="G38" t="s">
        <v>238</v>
      </c>
      <c r="H38" t="s">
        <v>96</v>
      </c>
      <c r="I38" t="s">
        <v>28</v>
      </c>
      <c r="J38" t="s">
        <v>97</v>
      </c>
      <c r="K38" t="s">
        <v>98</v>
      </c>
      <c r="L38" s="18">
        <v>154.53</v>
      </c>
      <c r="M38" s="18">
        <v>6989.53</v>
      </c>
      <c r="N38" t="s">
        <v>239</v>
      </c>
      <c r="O38" t="s">
        <v>240</v>
      </c>
      <c r="P38" t="s">
        <v>101</v>
      </c>
    </row>
    <row r="39" spans="1:16">
      <c r="A39" t="s">
        <v>241</v>
      </c>
      <c r="B39" t="s">
        <v>159</v>
      </c>
      <c r="C39" t="s">
        <v>32</v>
      </c>
      <c r="D39" s="25" t="s">
        <v>3</v>
      </c>
      <c r="E39" s="25" t="s">
        <v>62</v>
      </c>
      <c r="F39" t="s">
        <v>94</v>
      </c>
      <c r="G39" t="s">
        <v>242</v>
      </c>
      <c r="H39" t="s">
        <v>161</v>
      </c>
      <c r="I39" t="s">
        <v>28</v>
      </c>
      <c r="J39" t="s">
        <v>97</v>
      </c>
      <c r="K39" t="s">
        <v>162</v>
      </c>
      <c r="L39" s="18">
        <v>0</v>
      </c>
      <c r="M39" s="18">
        <v>-67.180000000000007</v>
      </c>
      <c r="N39">
        <v>67.180000000000007</v>
      </c>
      <c r="O39" t="s">
        <v>163</v>
      </c>
      <c r="P39" t="s">
        <v>164</v>
      </c>
    </row>
    <row r="40" spans="1:16">
      <c r="A40" t="s">
        <v>243</v>
      </c>
      <c r="B40" t="s">
        <v>244</v>
      </c>
      <c r="C40" t="s">
        <v>32</v>
      </c>
      <c r="D40" s="25" t="s">
        <v>3</v>
      </c>
      <c r="E40" s="25" t="s">
        <v>62</v>
      </c>
      <c r="F40" t="s">
        <v>245</v>
      </c>
      <c r="G40" t="s">
        <v>246</v>
      </c>
      <c r="H40" t="s">
        <v>247</v>
      </c>
      <c r="I40" t="s">
        <v>28</v>
      </c>
      <c r="J40" t="s">
        <v>97</v>
      </c>
      <c r="K40" t="s">
        <v>98</v>
      </c>
      <c r="L40" s="18">
        <v>9630.7800000000007</v>
      </c>
      <c r="M40" s="18">
        <v>2326.98</v>
      </c>
      <c r="N40" t="s">
        <v>248</v>
      </c>
      <c r="O40" t="s">
        <v>249</v>
      </c>
      <c r="P40" t="s">
        <v>250</v>
      </c>
    </row>
    <row r="41" spans="1:16">
      <c r="A41" t="s">
        <v>251</v>
      </c>
      <c r="B41" t="s">
        <v>244</v>
      </c>
      <c r="C41" t="s">
        <v>32</v>
      </c>
      <c r="D41" s="25" t="s">
        <v>3</v>
      </c>
      <c r="E41" s="25" t="s">
        <v>62</v>
      </c>
      <c r="F41" t="s">
        <v>245</v>
      </c>
      <c r="G41" t="s">
        <v>252</v>
      </c>
      <c r="H41" t="s">
        <v>247</v>
      </c>
      <c r="I41" t="s">
        <v>28</v>
      </c>
      <c r="J41" t="s">
        <v>97</v>
      </c>
      <c r="K41" t="s">
        <v>98</v>
      </c>
      <c r="L41" s="18">
        <v>2867.29</v>
      </c>
      <c r="M41" s="18">
        <v>1488.32</v>
      </c>
      <c r="N41" t="s">
        <v>253</v>
      </c>
      <c r="O41" t="s">
        <v>254</v>
      </c>
      <c r="P41" t="s">
        <v>250</v>
      </c>
    </row>
    <row r="42" spans="1:16">
      <c r="A42" t="s">
        <v>255</v>
      </c>
      <c r="B42" t="s">
        <v>244</v>
      </c>
      <c r="C42" t="s">
        <v>32</v>
      </c>
      <c r="D42" s="25" t="s">
        <v>3</v>
      </c>
      <c r="E42" s="25" t="s">
        <v>62</v>
      </c>
      <c r="F42" t="s">
        <v>245</v>
      </c>
      <c r="G42" t="s">
        <v>256</v>
      </c>
      <c r="H42" t="s">
        <v>247</v>
      </c>
      <c r="I42" t="s">
        <v>28</v>
      </c>
      <c r="J42" t="s">
        <v>97</v>
      </c>
      <c r="K42" t="s">
        <v>98</v>
      </c>
      <c r="L42" s="18">
        <v>4042</v>
      </c>
      <c r="M42" s="18">
        <v>5410.29</v>
      </c>
      <c r="N42" t="s">
        <v>257</v>
      </c>
      <c r="O42" t="s">
        <v>258</v>
      </c>
      <c r="P42" t="s">
        <v>250</v>
      </c>
    </row>
    <row r="43" spans="1:16">
      <c r="A43" t="s">
        <v>259</v>
      </c>
      <c r="B43" t="s">
        <v>244</v>
      </c>
      <c r="C43" t="s">
        <v>32</v>
      </c>
      <c r="D43" s="25" t="s">
        <v>3</v>
      </c>
      <c r="E43" s="25" t="s">
        <v>62</v>
      </c>
      <c r="F43" t="s">
        <v>245</v>
      </c>
      <c r="G43" t="s">
        <v>260</v>
      </c>
      <c r="H43" t="s">
        <v>247</v>
      </c>
      <c r="I43" t="s">
        <v>28</v>
      </c>
      <c r="J43" t="s">
        <v>97</v>
      </c>
      <c r="K43" t="s">
        <v>98</v>
      </c>
      <c r="L43" s="18">
        <v>15527.1</v>
      </c>
      <c r="M43" s="18">
        <v>9202.2900000000009</v>
      </c>
      <c r="N43" t="s">
        <v>261</v>
      </c>
      <c r="O43" t="s">
        <v>262</v>
      </c>
      <c r="P43" t="s">
        <v>250</v>
      </c>
    </row>
  </sheetData>
  <mergeCells count="1">
    <mergeCell ref="A1:P1"/>
  </mergeCells>
  <dataValidations count="2">
    <dataValidation type="list" allowBlank="1" showInputMessage="1" showErrorMessage="1" sqref="C4:C103" xr:uid="{00000000-0002-0000-0300-000000000000}">
      <formula1>FindingType</formula1>
      <formula2>0</formula2>
    </dataValidation>
    <dataValidation type="list" allowBlank="1" showInputMessage="1" showErrorMessage="1" sqref="I4:I103" xr:uid="{00000000-0002-0000-0300-000001000000}">
      <formula1>StatusOptions</formula1>
      <formula2>0</formula2>
    </dataValidation>
  </dataValidation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12.7109375" customWidth="1"/>
    <col min="3" max="3" width="18.7109375" customWidth="1"/>
    <col min="4" max="4" width="16.7109375" customWidth="1"/>
    <col min="5" max="5" width="14.7109375" customWidth="1"/>
    <col min="6" max="6" width="22.7109375" customWidth="1"/>
    <col min="7" max="7" width="24.7109375" customWidth="1"/>
    <col min="8" max="8" width="42.7109375" customWidth="1"/>
    <col min="9" max="9" width="20.7109375" customWidth="1"/>
    <col min="10" max="11" width="28.7109375" customWidth="1"/>
    <col min="12" max="13" width="18.7109375" style="18" customWidth="1"/>
    <col min="14" max="14" width="20.7109375" customWidth="1"/>
    <col min="15" max="15" width="50.7109375" customWidth="1"/>
    <col min="16" max="16" width="45.7109375" customWidth="1"/>
  </cols>
  <sheetData>
    <row r="1" spans="1:16" ht="22.15">
      <c r="A1" s="30" t="s">
        <v>263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>
      <c r="P2" s="12" t="s">
        <v>1</v>
      </c>
    </row>
    <row r="3" spans="1:16">
      <c r="A3" t="s">
        <v>46</v>
      </c>
      <c r="B3" t="s">
        <v>47</v>
      </c>
      <c r="C3" t="s">
        <v>48</v>
      </c>
      <c r="D3" t="s">
        <v>2</v>
      </c>
      <c r="E3" t="s">
        <v>10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s="18" t="s">
        <v>55</v>
      </c>
      <c r="M3" s="18" t="s">
        <v>56</v>
      </c>
      <c r="N3" t="s">
        <v>57</v>
      </c>
      <c r="O3" t="s">
        <v>58</v>
      </c>
      <c r="P3" t="s">
        <v>59</v>
      </c>
    </row>
    <row r="4" spans="1:16">
      <c r="A4" t="s">
        <v>264</v>
      </c>
      <c r="B4" t="s">
        <v>265</v>
      </c>
      <c r="C4" t="s">
        <v>15</v>
      </c>
      <c r="D4" s="25" t="s">
        <v>3</v>
      </c>
      <c r="E4" s="25" t="s">
        <v>62</v>
      </c>
      <c r="F4" t="s">
        <v>266</v>
      </c>
      <c r="G4" t="s">
        <v>267</v>
      </c>
      <c r="H4" t="s">
        <v>268</v>
      </c>
      <c r="I4" t="s">
        <v>15</v>
      </c>
      <c r="J4" t="s">
        <v>66</v>
      </c>
      <c r="K4" t="s">
        <v>269</v>
      </c>
      <c r="L4" s="18">
        <v>284746.15000000002</v>
      </c>
      <c r="O4" t="s">
        <v>270</v>
      </c>
    </row>
    <row r="5" spans="1:16">
      <c r="A5" t="s">
        <v>271</v>
      </c>
      <c r="B5" t="s">
        <v>265</v>
      </c>
      <c r="C5" t="s">
        <v>15</v>
      </c>
      <c r="D5" s="25" t="s">
        <v>3</v>
      </c>
      <c r="E5" s="25" t="s">
        <v>62</v>
      </c>
      <c r="F5" t="s">
        <v>266</v>
      </c>
      <c r="G5" t="s">
        <v>272</v>
      </c>
      <c r="H5" t="s">
        <v>268</v>
      </c>
      <c r="I5" t="s">
        <v>15</v>
      </c>
      <c r="J5" t="s">
        <v>66</v>
      </c>
      <c r="K5" t="s">
        <v>269</v>
      </c>
      <c r="L5" s="18">
        <v>353796.91</v>
      </c>
      <c r="O5" t="s">
        <v>270</v>
      </c>
    </row>
    <row r="6" spans="1:16">
      <c r="A6" t="s">
        <v>273</v>
      </c>
      <c r="B6" t="s">
        <v>265</v>
      </c>
      <c r="C6" t="s">
        <v>15</v>
      </c>
      <c r="D6" s="25" t="s">
        <v>3</v>
      </c>
      <c r="E6" s="25" t="s">
        <v>62</v>
      </c>
      <c r="F6" t="s">
        <v>266</v>
      </c>
      <c r="G6" t="s">
        <v>274</v>
      </c>
      <c r="H6" t="s">
        <v>268</v>
      </c>
      <c r="I6" t="s">
        <v>15</v>
      </c>
      <c r="J6" t="s">
        <v>66</v>
      </c>
      <c r="K6" t="s">
        <v>275</v>
      </c>
      <c r="L6" s="18">
        <v>787827.63</v>
      </c>
      <c r="O6" t="s">
        <v>276</v>
      </c>
    </row>
    <row r="7" spans="1:16">
      <c r="A7" t="s">
        <v>277</v>
      </c>
      <c r="B7" t="s">
        <v>265</v>
      </c>
      <c r="C7" t="s">
        <v>15</v>
      </c>
      <c r="D7" s="25" t="s">
        <v>3</v>
      </c>
      <c r="E7" s="25" t="s">
        <v>62</v>
      </c>
      <c r="F7" t="s">
        <v>266</v>
      </c>
      <c r="G7" t="s">
        <v>278</v>
      </c>
      <c r="H7" t="s">
        <v>268</v>
      </c>
      <c r="I7" t="s">
        <v>15</v>
      </c>
      <c r="J7" t="s">
        <v>66</v>
      </c>
      <c r="K7" t="s">
        <v>275</v>
      </c>
      <c r="L7" s="18">
        <v>190248.4</v>
      </c>
      <c r="O7" t="s">
        <v>276</v>
      </c>
    </row>
    <row r="8" spans="1:16">
      <c r="A8" t="s">
        <v>279</v>
      </c>
      <c r="B8" t="s">
        <v>265</v>
      </c>
      <c r="C8" t="s">
        <v>15</v>
      </c>
      <c r="D8" s="25" t="s">
        <v>3</v>
      </c>
      <c r="E8" s="25" t="s">
        <v>62</v>
      </c>
      <c r="F8" t="s">
        <v>266</v>
      </c>
      <c r="G8" t="s">
        <v>280</v>
      </c>
      <c r="H8" t="s">
        <v>268</v>
      </c>
      <c r="I8" t="s">
        <v>15</v>
      </c>
      <c r="J8" t="s">
        <v>66</v>
      </c>
      <c r="K8" t="s">
        <v>275</v>
      </c>
      <c r="L8" s="18">
        <v>153000</v>
      </c>
      <c r="O8" t="s">
        <v>276</v>
      </c>
    </row>
    <row r="9" spans="1:16">
      <c r="A9" t="s">
        <v>281</v>
      </c>
      <c r="B9" t="s">
        <v>265</v>
      </c>
      <c r="C9" t="s">
        <v>15</v>
      </c>
      <c r="D9" s="25" t="s">
        <v>3</v>
      </c>
      <c r="E9" s="25" t="s">
        <v>62</v>
      </c>
      <c r="F9" t="s">
        <v>266</v>
      </c>
      <c r="G9" t="s">
        <v>282</v>
      </c>
      <c r="H9" t="s">
        <v>268</v>
      </c>
      <c r="I9" t="s">
        <v>15</v>
      </c>
      <c r="J9" t="s">
        <v>66</v>
      </c>
      <c r="K9" t="s">
        <v>283</v>
      </c>
      <c r="L9" s="18">
        <v>132014.96</v>
      </c>
      <c r="O9" t="s">
        <v>284</v>
      </c>
    </row>
    <row r="10" spans="1:16">
      <c r="A10" t="s">
        <v>285</v>
      </c>
      <c r="B10" t="s">
        <v>265</v>
      </c>
      <c r="C10" t="s">
        <v>15</v>
      </c>
      <c r="D10" s="25" t="s">
        <v>3</v>
      </c>
      <c r="E10" s="25" t="s">
        <v>62</v>
      </c>
      <c r="F10" t="s">
        <v>266</v>
      </c>
      <c r="G10" t="s">
        <v>286</v>
      </c>
      <c r="H10" t="s">
        <v>268</v>
      </c>
      <c r="I10" t="s">
        <v>15</v>
      </c>
      <c r="J10" t="s">
        <v>66</v>
      </c>
      <c r="K10" t="s">
        <v>287</v>
      </c>
      <c r="L10" s="18">
        <v>1250000</v>
      </c>
      <c r="O10" t="s">
        <v>288</v>
      </c>
    </row>
    <row r="11" spans="1:16">
      <c r="A11" t="s">
        <v>289</v>
      </c>
      <c r="B11" t="s">
        <v>265</v>
      </c>
      <c r="C11" t="s">
        <v>15</v>
      </c>
      <c r="D11" s="25" t="s">
        <v>3</v>
      </c>
      <c r="E11" s="25" t="s">
        <v>62</v>
      </c>
      <c r="F11" t="s">
        <v>266</v>
      </c>
      <c r="G11" t="s">
        <v>290</v>
      </c>
      <c r="H11" t="s">
        <v>268</v>
      </c>
      <c r="I11" t="s">
        <v>15</v>
      </c>
      <c r="J11" t="s">
        <v>66</v>
      </c>
      <c r="K11" t="s">
        <v>287</v>
      </c>
      <c r="L11" s="18">
        <v>108836870.78</v>
      </c>
      <c r="O11" t="s">
        <v>288</v>
      </c>
    </row>
    <row r="12" spans="1:16">
      <c r="A12" t="s">
        <v>291</v>
      </c>
      <c r="B12" t="s">
        <v>265</v>
      </c>
      <c r="C12" t="s">
        <v>15</v>
      </c>
      <c r="D12" s="25" t="s">
        <v>3</v>
      </c>
      <c r="E12" s="25" t="s">
        <v>62</v>
      </c>
      <c r="F12" t="s">
        <v>266</v>
      </c>
      <c r="G12" t="s">
        <v>292</v>
      </c>
      <c r="H12" t="s">
        <v>268</v>
      </c>
      <c r="I12" t="s">
        <v>15</v>
      </c>
      <c r="J12" t="s">
        <v>66</v>
      </c>
      <c r="K12" t="s">
        <v>287</v>
      </c>
      <c r="L12" s="18">
        <v>4174.1400000000003</v>
      </c>
      <c r="O12" t="s">
        <v>288</v>
      </c>
    </row>
    <row r="13" spans="1:16">
      <c r="A13" t="s">
        <v>293</v>
      </c>
      <c r="B13" t="s">
        <v>265</v>
      </c>
      <c r="C13" t="s">
        <v>15</v>
      </c>
      <c r="D13" s="25" t="s">
        <v>3</v>
      </c>
      <c r="E13" s="25" t="s">
        <v>62</v>
      </c>
      <c r="F13" t="s">
        <v>266</v>
      </c>
      <c r="G13" t="s">
        <v>294</v>
      </c>
      <c r="H13" t="s">
        <v>268</v>
      </c>
      <c r="I13" t="s">
        <v>15</v>
      </c>
      <c r="J13" t="s">
        <v>66</v>
      </c>
      <c r="K13" t="s">
        <v>287</v>
      </c>
      <c r="L13" s="18">
        <v>8913</v>
      </c>
      <c r="O13" t="s">
        <v>288</v>
      </c>
    </row>
    <row r="14" spans="1:16">
      <c r="A14" t="s">
        <v>295</v>
      </c>
      <c r="B14" t="s">
        <v>265</v>
      </c>
      <c r="C14" t="s">
        <v>15</v>
      </c>
      <c r="D14" s="25" t="s">
        <v>3</v>
      </c>
      <c r="E14" s="25" t="s">
        <v>62</v>
      </c>
      <c r="F14" t="s">
        <v>266</v>
      </c>
      <c r="G14" t="s">
        <v>296</v>
      </c>
      <c r="H14" t="s">
        <v>268</v>
      </c>
      <c r="I14" t="s">
        <v>15</v>
      </c>
      <c r="J14" t="s">
        <v>66</v>
      </c>
      <c r="K14" t="s">
        <v>287</v>
      </c>
      <c r="L14" s="18">
        <v>10372.450000000001</v>
      </c>
      <c r="O14" t="s">
        <v>288</v>
      </c>
    </row>
    <row r="15" spans="1:16">
      <c r="A15" t="s">
        <v>297</v>
      </c>
      <c r="B15" t="s">
        <v>265</v>
      </c>
      <c r="C15" t="s">
        <v>15</v>
      </c>
      <c r="D15" s="25" t="s">
        <v>3</v>
      </c>
      <c r="E15" s="25" t="s">
        <v>62</v>
      </c>
      <c r="F15" t="s">
        <v>266</v>
      </c>
      <c r="G15" t="s">
        <v>298</v>
      </c>
      <c r="H15" t="s">
        <v>268</v>
      </c>
      <c r="I15" t="s">
        <v>15</v>
      </c>
      <c r="J15" t="s">
        <v>66</v>
      </c>
      <c r="K15" t="s">
        <v>287</v>
      </c>
      <c r="L15" s="18">
        <v>700000</v>
      </c>
      <c r="O15" t="s">
        <v>288</v>
      </c>
    </row>
    <row r="16" spans="1:16">
      <c r="A16" t="s">
        <v>299</v>
      </c>
      <c r="B16" t="s">
        <v>265</v>
      </c>
      <c r="C16" t="s">
        <v>15</v>
      </c>
      <c r="D16" s="25" t="s">
        <v>3</v>
      </c>
      <c r="E16" s="25" t="s">
        <v>62</v>
      </c>
      <c r="F16" t="s">
        <v>266</v>
      </c>
      <c r="G16" t="s">
        <v>300</v>
      </c>
      <c r="H16" t="s">
        <v>268</v>
      </c>
      <c r="I16" t="s">
        <v>15</v>
      </c>
      <c r="J16" t="s">
        <v>66</v>
      </c>
      <c r="K16" t="s">
        <v>287</v>
      </c>
      <c r="L16" s="18">
        <v>115979.68</v>
      </c>
      <c r="O16" t="s">
        <v>288</v>
      </c>
    </row>
    <row r="17" spans="1:15">
      <c r="A17" t="s">
        <v>301</v>
      </c>
      <c r="B17" t="s">
        <v>265</v>
      </c>
      <c r="C17" t="s">
        <v>15</v>
      </c>
      <c r="D17" s="25" t="s">
        <v>3</v>
      </c>
      <c r="E17" s="25" t="s">
        <v>62</v>
      </c>
      <c r="F17" t="s">
        <v>266</v>
      </c>
      <c r="G17" t="s">
        <v>302</v>
      </c>
      <c r="H17" t="s">
        <v>268</v>
      </c>
      <c r="I17" t="s">
        <v>15</v>
      </c>
      <c r="J17" t="s">
        <v>66</v>
      </c>
      <c r="K17" t="s">
        <v>303</v>
      </c>
      <c r="L17" s="18">
        <v>343941.1</v>
      </c>
      <c r="O17" t="s">
        <v>304</v>
      </c>
    </row>
    <row r="18" spans="1:15">
      <c r="A18" t="s">
        <v>305</v>
      </c>
      <c r="B18" t="s">
        <v>265</v>
      </c>
      <c r="C18" t="s">
        <v>15</v>
      </c>
      <c r="D18" s="25" t="s">
        <v>3</v>
      </c>
      <c r="E18" s="25" t="s">
        <v>62</v>
      </c>
      <c r="F18" t="s">
        <v>266</v>
      </c>
      <c r="G18" t="s">
        <v>306</v>
      </c>
      <c r="H18" t="s">
        <v>268</v>
      </c>
      <c r="I18" t="s">
        <v>15</v>
      </c>
      <c r="J18" t="s">
        <v>66</v>
      </c>
      <c r="K18" t="s">
        <v>303</v>
      </c>
      <c r="L18" s="18">
        <v>10977056.619999999</v>
      </c>
      <c r="O18" t="s">
        <v>304</v>
      </c>
    </row>
    <row r="19" spans="1:15">
      <c r="A19" t="s">
        <v>307</v>
      </c>
      <c r="B19" t="s">
        <v>265</v>
      </c>
      <c r="C19" t="s">
        <v>15</v>
      </c>
      <c r="D19" s="25" t="s">
        <v>3</v>
      </c>
      <c r="E19" s="25" t="s">
        <v>62</v>
      </c>
      <c r="F19" t="s">
        <v>266</v>
      </c>
      <c r="G19" t="s">
        <v>308</v>
      </c>
      <c r="H19" t="s">
        <v>268</v>
      </c>
      <c r="I19" t="s">
        <v>15</v>
      </c>
      <c r="J19" t="s">
        <v>66</v>
      </c>
      <c r="K19" t="s">
        <v>303</v>
      </c>
      <c r="L19" s="18">
        <v>2113129.2200000002</v>
      </c>
      <c r="O19" t="s">
        <v>304</v>
      </c>
    </row>
    <row r="20" spans="1:15">
      <c r="A20" t="s">
        <v>309</v>
      </c>
      <c r="B20" t="s">
        <v>265</v>
      </c>
      <c r="C20" t="s">
        <v>15</v>
      </c>
      <c r="D20" s="25" t="s">
        <v>3</v>
      </c>
      <c r="E20" s="25" t="s">
        <v>62</v>
      </c>
      <c r="F20" t="s">
        <v>266</v>
      </c>
      <c r="G20" t="s">
        <v>310</v>
      </c>
      <c r="H20" t="s">
        <v>268</v>
      </c>
      <c r="I20" t="s">
        <v>15</v>
      </c>
      <c r="J20" t="s">
        <v>66</v>
      </c>
      <c r="K20" t="s">
        <v>311</v>
      </c>
      <c r="L20" s="18">
        <v>-76728.899999999994</v>
      </c>
      <c r="O20" t="s">
        <v>312</v>
      </c>
    </row>
    <row r="21" spans="1:15">
      <c r="A21" t="s">
        <v>313</v>
      </c>
      <c r="B21" t="s">
        <v>265</v>
      </c>
      <c r="C21" t="s">
        <v>15</v>
      </c>
      <c r="D21" s="25" t="s">
        <v>3</v>
      </c>
      <c r="E21" s="25" t="s">
        <v>62</v>
      </c>
      <c r="F21" t="s">
        <v>266</v>
      </c>
      <c r="G21" t="s">
        <v>314</v>
      </c>
      <c r="H21" t="s">
        <v>268</v>
      </c>
      <c r="I21" t="s">
        <v>15</v>
      </c>
      <c r="J21" t="s">
        <v>66</v>
      </c>
      <c r="K21" t="s">
        <v>315</v>
      </c>
      <c r="L21" s="18">
        <v>-25733.24</v>
      </c>
      <c r="O21" t="s">
        <v>316</v>
      </c>
    </row>
    <row r="22" spans="1:15">
      <c r="A22" t="s">
        <v>317</v>
      </c>
      <c r="B22" t="s">
        <v>265</v>
      </c>
      <c r="C22" t="s">
        <v>15</v>
      </c>
      <c r="D22" s="25" t="s">
        <v>3</v>
      </c>
      <c r="E22" s="25" t="s">
        <v>62</v>
      </c>
      <c r="F22" t="s">
        <v>266</v>
      </c>
      <c r="G22" t="s">
        <v>318</v>
      </c>
      <c r="H22" t="s">
        <v>268</v>
      </c>
      <c r="I22" t="s">
        <v>15</v>
      </c>
      <c r="J22" t="s">
        <v>66</v>
      </c>
      <c r="K22" t="s">
        <v>319</v>
      </c>
      <c r="L22" s="18">
        <v>-331454.28999999998</v>
      </c>
      <c r="O22" t="s">
        <v>320</v>
      </c>
    </row>
    <row r="23" spans="1:15">
      <c r="A23" t="s">
        <v>321</v>
      </c>
      <c r="B23" t="s">
        <v>265</v>
      </c>
      <c r="C23" t="s">
        <v>15</v>
      </c>
      <c r="D23" s="25" t="s">
        <v>3</v>
      </c>
      <c r="E23" s="25" t="s">
        <v>62</v>
      </c>
      <c r="F23" t="s">
        <v>266</v>
      </c>
      <c r="G23" t="s">
        <v>322</v>
      </c>
      <c r="H23" t="s">
        <v>268</v>
      </c>
      <c r="I23" t="s">
        <v>15</v>
      </c>
      <c r="J23" t="s">
        <v>66</v>
      </c>
      <c r="K23" t="s">
        <v>319</v>
      </c>
      <c r="L23" s="18">
        <v>-350</v>
      </c>
      <c r="O23" t="s">
        <v>320</v>
      </c>
    </row>
    <row r="24" spans="1:15">
      <c r="A24" t="s">
        <v>323</v>
      </c>
      <c r="B24" t="s">
        <v>265</v>
      </c>
      <c r="C24" t="s">
        <v>15</v>
      </c>
      <c r="D24" s="25" t="s">
        <v>3</v>
      </c>
      <c r="E24" s="25" t="s">
        <v>62</v>
      </c>
      <c r="F24" t="s">
        <v>266</v>
      </c>
      <c r="G24" t="s">
        <v>324</v>
      </c>
      <c r="H24" t="s">
        <v>268</v>
      </c>
      <c r="I24" t="s">
        <v>15</v>
      </c>
      <c r="J24" t="s">
        <v>66</v>
      </c>
      <c r="K24" t="s">
        <v>325</v>
      </c>
      <c r="L24" s="18">
        <v>-77830000</v>
      </c>
      <c r="O24" t="s">
        <v>326</v>
      </c>
    </row>
    <row r="25" spans="1:15">
      <c r="A25" t="s">
        <v>327</v>
      </c>
      <c r="B25" t="s">
        <v>328</v>
      </c>
      <c r="C25" t="s">
        <v>15</v>
      </c>
      <c r="D25" s="25" t="s">
        <v>3</v>
      </c>
      <c r="E25" s="25" t="s">
        <v>62</v>
      </c>
      <c r="F25" t="s">
        <v>329</v>
      </c>
      <c r="G25" t="s">
        <v>330</v>
      </c>
      <c r="H25" t="s">
        <v>331</v>
      </c>
      <c r="I25" t="s">
        <v>15</v>
      </c>
      <c r="J25" t="s">
        <v>329</v>
      </c>
      <c r="L25" s="18">
        <v>-588501.15</v>
      </c>
      <c r="O25" t="s">
        <v>332</v>
      </c>
    </row>
    <row r="26" spans="1:15">
      <c r="A26" t="s">
        <v>333</v>
      </c>
      <c r="B26" t="s">
        <v>328</v>
      </c>
      <c r="C26" t="s">
        <v>15</v>
      </c>
      <c r="D26" s="25" t="s">
        <v>3</v>
      </c>
      <c r="E26" s="25" t="s">
        <v>62</v>
      </c>
      <c r="F26" t="s">
        <v>329</v>
      </c>
      <c r="G26" t="s">
        <v>334</v>
      </c>
      <c r="H26" t="s">
        <v>331</v>
      </c>
      <c r="I26" t="s">
        <v>15</v>
      </c>
      <c r="J26" t="s">
        <v>329</v>
      </c>
      <c r="L26" s="18">
        <v>-31694.639999999999</v>
      </c>
      <c r="O26" t="s">
        <v>335</v>
      </c>
    </row>
    <row r="27" spans="1:15">
      <c r="A27" t="s">
        <v>336</v>
      </c>
      <c r="B27" t="s">
        <v>328</v>
      </c>
      <c r="C27" t="s">
        <v>15</v>
      </c>
      <c r="D27" s="25" t="s">
        <v>3</v>
      </c>
      <c r="E27" s="25" t="s">
        <v>62</v>
      </c>
      <c r="F27" t="s">
        <v>329</v>
      </c>
      <c r="G27" t="s">
        <v>337</v>
      </c>
      <c r="H27" t="s">
        <v>331</v>
      </c>
      <c r="I27" t="s">
        <v>15</v>
      </c>
      <c r="J27" t="s">
        <v>329</v>
      </c>
      <c r="L27" s="18">
        <v>-25159.67</v>
      </c>
      <c r="O27" t="s">
        <v>338</v>
      </c>
    </row>
    <row r="28" spans="1:15">
      <c r="A28" t="s">
        <v>339</v>
      </c>
      <c r="B28" t="s">
        <v>328</v>
      </c>
      <c r="C28" t="s">
        <v>15</v>
      </c>
      <c r="D28" s="25" t="s">
        <v>3</v>
      </c>
      <c r="E28" s="25" t="s">
        <v>62</v>
      </c>
      <c r="F28" t="s">
        <v>329</v>
      </c>
      <c r="G28" t="s">
        <v>340</v>
      </c>
      <c r="H28" t="s">
        <v>331</v>
      </c>
      <c r="I28" t="s">
        <v>15</v>
      </c>
      <c r="J28" t="s">
        <v>329</v>
      </c>
      <c r="L28" s="18">
        <v>-51052.17</v>
      </c>
      <c r="O28" t="s">
        <v>341</v>
      </c>
    </row>
    <row r="29" spans="1:15">
      <c r="A29" t="s">
        <v>342</v>
      </c>
      <c r="B29" t="s">
        <v>328</v>
      </c>
      <c r="C29" t="s">
        <v>15</v>
      </c>
      <c r="D29" s="25" t="s">
        <v>3</v>
      </c>
      <c r="E29" s="25" t="s">
        <v>62</v>
      </c>
      <c r="F29" t="s">
        <v>329</v>
      </c>
      <c r="G29" t="s">
        <v>343</v>
      </c>
      <c r="H29" t="s">
        <v>331</v>
      </c>
      <c r="I29" t="s">
        <v>15</v>
      </c>
      <c r="J29" t="s">
        <v>329</v>
      </c>
      <c r="L29" s="18">
        <v>183791.55</v>
      </c>
      <c r="O29" t="s">
        <v>344</v>
      </c>
    </row>
    <row r="30" spans="1:15">
      <c r="A30" t="s">
        <v>345</v>
      </c>
      <c r="B30" t="s">
        <v>328</v>
      </c>
      <c r="C30" t="s">
        <v>15</v>
      </c>
      <c r="D30" s="25" t="s">
        <v>3</v>
      </c>
      <c r="E30" s="25" t="s">
        <v>62</v>
      </c>
      <c r="F30" t="s">
        <v>329</v>
      </c>
      <c r="G30" t="s">
        <v>346</v>
      </c>
      <c r="H30" t="s">
        <v>331</v>
      </c>
      <c r="I30" t="s">
        <v>15</v>
      </c>
      <c r="J30" t="s">
        <v>329</v>
      </c>
      <c r="L30" s="18">
        <v>27314.27</v>
      </c>
      <c r="O30" t="s">
        <v>347</v>
      </c>
    </row>
    <row r="31" spans="1:15">
      <c r="A31" t="s">
        <v>348</v>
      </c>
      <c r="B31" t="s">
        <v>328</v>
      </c>
      <c r="C31" t="s">
        <v>15</v>
      </c>
      <c r="D31" s="25" t="s">
        <v>3</v>
      </c>
      <c r="E31" s="25" t="s">
        <v>62</v>
      </c>
      <c r="F31" t="s">
        <v>329</v>
      </c>
      <c r="G31" t="s">
        <v>349</v>
      </c>
      <c r="H31" t="s">
        <v>331</v>
      </c>
      <c r="I31" t="s">
        <v>15</v>
      </c>
      <c r="J31" t="s">
        <v>329</v>
      </c>
      <c r="L31" s="18">
        <v>9000</v>
      </c>
      <c r="O31" t="s">
        <v>350</v>
      </c>
    </row>
    <row r="32" spans="1:15">
      <c r="A32" t="s">
        <v>351</v>
      </c>
      <c r="B32" t="s">
        <v>328</v>
      </c>
      <c r="C32" t="s">
        <v>15</v>
      </c>
      <c r="D32" s="25" t="s">
        <v>3</v>
      </c>
      <c r="E32" s="25" t="s">
        <v>62</v>
      </c>
      <c r="F32" t="s">
        <v>329</v>
      </c>
      <c r="G32" t="s">
        <v>352</v>
      </c>
      <c r="H32" t="s">
        <v>331</v>
      </c>
      <c r="I32" t="s">
        <v>15</v>
      </c>
      <c r="J32" t="s">
        <v>329</v>
      </c>
      <c r="L32" s="18">
        <v>-25117.34</v>
      </c>
      <c r="O32" t="s">
        <v>353</v>
      </c>
    </row>
    <row r="33" spans="1:15">
      <c r="A33" t="s">
        <v>354</v>
      </c>
      <c r="B33" t="s">
        <v>328</v>
      </c>
      <c r="C33" t="s">
        <v>15</v>
      </c>
      <c r="D33" s="25" t="s">
        <v>3</v>
      </c>
      <c r="E33" s="25" t="s">
        <v>62</v>
      </c>
      <c r="F33" t="s">
        <v>329</v>
      </c>
      <c r="G33" t="s">
        <v>355</v>
      </c>
      <c r="H33" t="s">
        <v>331</v>
      </c>
      <c r="I33" t="s">
        <v>15</v>
      </c>
      <c r="J33" t="s">
        <v>329</v>
      </c>
      <c r="L33" s="18">
        <v>-166963.42000000001</v>
      </c>
      <c r="O33" t="s">
        <v>356</v>
      </c>
    </row>
    <row r="34" spans="1:15">
      <c r="A34" t="s">
        <v>357</v>
      </c>
      <c r="B34" t="s">
        <v>328</v>
      </c>
      <c r="C34" t="s">
        <v>15</v>
      </c>
      <c r="D34" s="25" t="s">
        <v>3</v>
      </c>
      <c r="E34" s="25" t="s">
        <v>62</v>
      </c>
      <c r="F34" t="s">
        <v>329</v>
      </c>
      <c r="G34" t="s">
        <v>358</v>
      </c>
      <c r="H34" t="s">
        <v>331</v>
      </c>
      <c r="I34" t="s">
        <v>15</v>
      </c>
      <c r="J34" t="s">
        <v>329</v>
      </c>
      <c r="L34" s="18">
        <v>808022.59</v>
      </c>
      <c r="O34" t="s">
        <v>359</v>
      </c>
    </row>
    <row r="35" spans="1:15">
      <c r="A35" t="s">
        <v>360</v>
      </c>
      <c r="B35" t="s">
        <v>328</v>
      </c>
      <c r="C35" t="s">
        <v>15</v>
      </c>
      <c r="D35" s="25" t="s">
        <v>3</v>
      </c>
      <c r="E35" s="25" t="s">
        <v>62</v>
      </c>
      <c r="F35" t="s">
        <v>329</v>
      </c>
      <c r="G35" t="s">
        <v>358</v>
      </c>
      <c r="H35" t="s">
        <v>331</v>
      </c>
      <c r="I35" t="s">
        <v>15</v>
      </c>
      <c r="J35" t="s">
        <v>329</v>
      </c>
      <c r="L35" s="18">
        <v>-1061771</v>
      </c>
      <c r="O35" t="s">
        <v>361</v>
      </c>
    </row>
    <row r="36" spans="1:15">
      <c r="A36" t="s">
        <v>362</v>
      </c>
      <c r="B36" t="s">
        <v>328</v>
      </c>
      <c r="C36" t="s">
        <v>15</v>
      </c>
      <c r="D36" s="25" t="s">
        <v>3</v>
      </c>
      <c r="E36" s="25" t="s">
        <v>62</v>
      </c>
      <c r="F36" t="s">
        <v>329</v>
      </c>
      <c r="G36" t="s">
        <v>363</v>
      </c>
      <c r="H36" t="s">
        <v>331</v>
      </c>
      <c r="I36" t="s">
        <v>15</v>
      </c>
      <c r="J36" t="s">
        <v>329</v>
      </c>
      <c r="L36" s="18">
        <v>62049</v>
      </c>
      <c r="O36" t="s">
        <v>364</v>
      </c>
    </row>
    <row r="37" spans="1:15">
      <c r="A37" t="s">
        <v>365</v>
      </c>
      <c r="B37" t="s">
        <v>328</v>
      </c>
      <c r="C37" t="s">
        <v>15</v>
      </c>
      <c r="D37" s="25" t="s">
        <v>3</v>
      </c>
      <c r="E37" s="25" t="s">
        <v>62</v>
      </c>
      <c r="F37" t="s">
        <v>329</v>
      </c>
      <c r="G37" t="s">
        <v>366</v>
      </c>
      <c r="H37" t="s">
        <v>331</v>
      </c>
      <c r="I37" t="s">
        <v>15</v>
      </c>
      <c r="J37" t="s">
        <v>329</v>
      </c>
      <c r="L37" s="18">
        <v>123879.1</v>
      </c>
      <c r="O37" t="s">
        <v>367</v>
      </c>
    </row>
    <row r="38" spans="1:15">
      <c r="A38" t="s">
        <v>368</v>
      </c>
      <c r="B38" t="s">
        <v>328</v>
      </c>
      <c r="C38" t="s">
        <v>15</v>
      </c>
      <c r="D38" s="25" t="s">
        <v>3</v>
      </c>
      <c r="E38" s="25" t="s">
        <v>62</v>
      </c>
      <c r="F38" t="s">
        <v>329</v>
      </c>
      <c r="G38" t="s">
        <v>369</v>
      </c>
      <c r="H38" t="s">
        <v>331</v>
      </c>
      <c r="I38" t="s">
        <v>15</v>
      </c>
      <c r="J38" t="s">
        <v>329</v>
      </c>
      <c r="L38" s="18">
        <v>63145.31</v>
      </c>
      <c r="O38" t="s">
        <v>370</v>
      </c>
    </row>
    <row r="39" spans="1:15">
      <c r="A39" t="s">
        <v>371</v>
      </c>
      <c r="B39" t="s">
        <v>328</v>
      </c>
      <c r="C39" t="s">
        <v>15</v>
      </c>
      <c r="D39" s="25" t="s">
        <v>3</v>
      </c>
      <c r="E39" s="25" t="s">
        <v>62</v>
      </c>
      <c r="F39" t="s">
        <v>329</v>
      </c>
      <c r="G39" t="s">
        <v>372</v>
      </c>
      <c r="H39" t="s">
        <v>331</v>
      </c>
      <c r="I39" t="s">
        <v>15</v>
      </c>
      <c r="J39" t="s">
        <v>329</v>
      </c>
      <c r="L39" s="18">
        <v>1000</v>
      </c>
      <c r="O39" t="s">
        <v>373</v>
      </c>
    </row>
    <row r="40" spans="1:15">
      <c r="A40" t="s">
        <v>374</v>
      </c>
      <c r="B40" t="s">
        <v>328</v>
      </c>
      <c r="C40" t="s">
        <v>15</v>
      </c>
      <c r="D40" s="25" t="s">
        <v>3</v>
      </c>
      <c r="E40" s="25" t="s">
        <v>62</v>
      </c>
      <c r="F40" t="s">
        <v>329</v>
      </c>
      <c r="G40" t="s">
        <v>375</v>
      </c>
      <c r="H40" t="s">
        <v>331</v>
      </c>
      <c r="I40" t="s">
        <v>15</v>
      </c>
      <c r="J40" t="s">
        <v>329</v>
      </c>
      <c r="L40" s="18">
        <v>166963.42000000001</v>
      </c>
      <c r="O40" t="s">
        <v>356</v>
      </c>
    </row>
    <row r="41" spans="1:15">
      <c r="A41" t="s">
        <v>376</v>
      </c>
      <c r="B41" t="s">
        <v>328</v>
      </c>
      <c r="C41" t="s">
        <v>15</v>
      </c>
      <c r="D41" s="25" t="s">
        <v>3</v>
      </c>
      <c r="E41" s="25" t="s">
        <v>62</v>
      </c>
      <c r="F41" t="s">
        <v>329</v>
      </c>
      <c r="G41" t="s">
        <v>377</v>
      </c>
      <c r="H41" t="s">
        <v>331</v>
      </c>
      <c r="I41" t="s">
        <v>15</v>
      </c>
      <c r="J41" t="s">
        <v>329</v>
      </c>
      <c r="L41" s="18">
        <v>25117.34</v>
      </c>
      <c r="O41" t="s">
        <v>353</v>
      </c>
    </row>
    <row r="42" spans="1:15">
      <c r="A42" t="s">
        <v>378</v>
      </c>
      <c r="B42" t="s">
        <v>328</v>
      </c>
      <c r="C42" t="s">
        <v>15</v>
      </c>
      <c r="D42" s="25" t="s">
        <v>3</v>
      </c>
      <c r="E42" s="25" t="s">
        <v>62</v>
      </c>
      <c r="F42" t="s">
        <v>329</v>
      </c>
      <c r="G42" t="s">
        <v>379</v>
      </c>
      <c r="H42" t="s">
        <v>331</v>
      </c>
      <c r="I42" t="s">
        <v>15</v>
      </c>
      <c r="J42" t="s">
        <v>329</v>
      </c>
      <c r="L42" s="18">
        <v>368395.33</v>
      </c>
      <c r="O42" t="s">
        <v>380</v>
      </c>
    </row>
    <row r="43" spans="1:15">
      <c r="A43" t="s">
        <v>381</v>
      </c>
      <c r="B43" t="s">
        <v>382</v>
      </c>
      <c r="C43" t="s">
        <v>15</v>
      </c>
      <c r="D43" s="25" t="s">
        <v>3</v>
      </c>
      <c r="E43" s="25" t="s">
        <v>62</v>
      </c>
      <c r="F43" t="s">
        <v>383</v>
      </c>
      <c r="G43" t="s">
        <v>103</v>
      </c>
      <c r="H43" t="s">
        <v>384</v>
      </c>
      <c r="I43" t="s">
        <v>15</v>
      </c>
      <c r="J43" t="s">
        <v>385</v>
      </c>
      <c r="K43" t="s">
        <v>386</v>
      </c>
      <c r="L43" s="18">
        <v>-123879.1</v>
      </c>
      <c r="M43" s="18">
        <v>-33309.08</v>
      </c>
      <c r="N43">
        <v>-90570.02</v>
      </c>
      <c r="O43" t="s">
        <v>387</v>
      </c>
    </row>
    <row r="44" spans="1:15">
      <c r="A44" t="s">
        <v>388</v>
      </c>
      <c r="B44" t="s">
        <v>382</v>
      </c>
      <c r="C44" t="s">
        <v>15</v>
      </c>
      <c r="D44" s="25" t="s">
        <v>3</v>
      </c>
      <c r="E44" s="25" t="s">
        <v>62</v>
      </c>
      <c r="F44" t="s">
        <v>383</v>
      </c>
      <c r="G44" t="s">
        <v>147</v>
      </c>
      <c r="H44" t="s">
        <v>384</v>
      </c>
      <c r="I44" t="s">
        <v>15</v>
      </c>
      <c r="J44" t="s">
        <v>385</v>
      </c>
      <c r="K44" t="s">
        <v>386</v>
      </c>
      <c r="L44" s="18">
        <v>-244</v>
      </c>
      <c r="M44" s="18">
        <v>21619</v>
      </c>
      <c r="N44">
        <v>-21863</v>
      </c>
      <c r="O44" t="s">
        <v>389</v>
      </c>
    </row>
    <row r="45" spans="1:15">
      <c r="A45" t="s">
        <v>390</v>
      </c>
      <c r="B45" t="s">
        <v>382</v>
      </c>
      <c r="C45" t="s">
        <v>15</v>
      </c>
      <c r="D45" s="25" t="s">
        <v>3</v>
      </c>
      <c r="E45" s="25" t="s">
        <v>62</v>
      </c>
      <c r="F45" t="s">
        <v>383</v>
      </c>
      <c r="G45" t="s">
        <v>210</v>
      </c>
      <c r="H45" t="s">
        <v>384</v>
      </c>
      <c r="I45" t="s">
        <v>15</v>
      </c>
      <c r="J45" t="s">
        <v>385</v>
      </c>
      <c r="K45" t="s">
        <v>386</v>
      </c>
      <c r="L45" s="18">
        <v>-13545.85</v>
      </c>
      <c r="M45" s="18">
        <v>5017</v>
      </c>
      <c r="N45">
        <v>-18562.849999999999</v>
      </c>
      <c r="O45" t="s">
        <v>391</v>
      </c>
    </row>
    <row r="46" spans="1:15">
      <c r="A46" t="s">
        <v>392</v>
      </c>
      <c r="B46" t="s">
        <v>382</v>
      </c>
      <c r="C46" t="s">
        <v>15</v>
      </c>
      <c r="D46" s="25" t="s">
        <v>3</v>
      </c>
      <c r="E46" s="25" t="s">
        <v>62</v>
      </c>
      <c r="F46" t="s">
        <v>383</v>
      </c>
      <c r="G46" t="s">
        <v>393</v>
      </c>
      <c r="H46" t="s">
        <v>384</v>
      </c>
      <c r="I46" t="s">
        <v>15</v>
      </c>
      <c r="J46" t="s">
        <v>385</v>
      </c>
      <c r="K46" t="s">
        <v>386</v>
      </c>
      <c r="L46" s="18">
        <v>0</v>
      </c>
      <c r="M46" s="18">
        <v>11655</v>
      </c>
      <c r="N46">
        <v>-11655</v>
      </c>
      <c r="O46" t="s">
        <v>394</v>
      </c>
    </row>
    <row r="47" spans="1:15">
      <c r="A47" t="s">
        <v>395</v>
      </c>
      <c r="B47" t="s">
        <v>382</v>
      </c>
      <c r="C47" t="s">
        <v>15</v>
      </c>
      <c r="D47" s="25" t="s">
        <v>3</v>
      </c>
      <c r="E47" s="25" t="s">
        <v>62</v>
      </c>
      <c r="F47" t="s">
        <v>383</v>
      </c>
      <c r="G47" t="s">
        <v>206</v>
      </c>
      <c r="H47" t="s">
        <v>384</v>
      </c>
      <c r="I47" t="s">
        <v>15</v>
      </c>
      <c r="J47" t="s">
        <v>385</v>
      </c>
      <c r="K47" t="s">
        <v>386</v>
      </c>
      <c r="L47" s="18">
        <v>-9325.5499999999993</v>
      </c>
      <c r="M47" s="18">
        <v>0</v>
      </c>
      <c r="N47">
        <v>-9325.5499999999993</v>
      </c>
      <c r="O47" t="s">
        <v>396</v>
      </c>
    </row>
    <row r="48" spans="1:15">
      <c r="A48" t="s">
        <v>397</v>
      </c>
      <c r="B48" t="s">
        <v>382</v>
      </c>
      <c r="C48" t="s">
        <v>15</v>
      </c>
      <c r="D48" s="25" t="s">
        <v>3</v>
      </c>
      <c r="E48" s="25" t="s">
        <v>62</v>
      </c>
      <c r="F48" t="s">
        <v>383</v>
      </c>
      <c r="G48" t="s">
        <v>151</v>
      </c>
      <c r="H48" t="s">
        <v>384</v>
      </c>
      <c r="I48" t="s">
        <v>15</v>
      </c>
      <c r="J48" t="s">
        <v>385</v>
      </c>
      <c r="K48" t="s">
        <v>386</v>
      </c>
      <c r="L48" s="18">
        <v>0</v>
      </c>
      <c r="M48" s="18">
        <v>8419</v>
      </c>
      <c r="N48">
        <v>-8419</v>
      </c>
      <c r="O48" t="s">
        <v>398</v>
      </c>
    </row>
    <row r="49" spans="1:15">
      <c r="A49" t="s">
        <v>399</v>
      </c>
      <c r="B49" t="s">
        <v>382</v>
      </c>
      <c r="C49" t="s">
        <v>15</v>
      </c>
      <c r="D49" s="25" t="s">
        <v>3</v>
      </c>
      <c r="E49" s="25" t="s">
        <v>62</v>
      </c>
      <c r="F49" t="s">
        <v>383</v>
      </c>
      <c r="G49" t="s">
        <v>400</v>
      </c>
      <c r="H49" t="s">
        <v>384</v>
      </c>
      <c r="I49" t="s">
        <v>15</v>
      </c>
      <c r="J49" t="s">
        <v>385</v>
      </c>
      <c r="K49" t="s">
        <v>386</v>
      </c>
      <c r="L49" s="18">
        <v>0</v>
      </c>
      <c r="M49" s="18">
        <v>5944.05</v>
      </c>
      <c r="N49">
        <v>-5944.05</v>
      </c>
      <c r="O49" t="s">
        <v>401</v>
      </c>
    </row>
    <row r="50" spans="1:15">
      <c r="A50" t="s">
        <v>402</v>
      </c>
      <c r="B50" t="s">
        <v>382</v>
      </c>
      <c r="C50" t="s">
        <v>15</v>
      </c>
      <c r="D50" s="25" t="s">
        <v>3</v>
      </c>
      <c r="E50" s="25" t="s">
        <v>62</v>
      </c>
      <c r="F50" t="s">
        <v>383</v>
      </c>
      <c r="G50" t="s">
        <v>403</v>
      </c>
      <c r="H50" t="s">
        <v>384</v>
      </c>
      <c r="I50" t="s">
        <v>15</v>
      </c>
      <c r="J50" t="s">
        <v>385</v>
      </c>
      <c r="K50" t="s">
        <v>386</v>
      </c>
      <c r="L50" s="18">
        <v>-600</v>
      </c>
      <c r="M50" s="18">
        <v>5000</v>
      </c>
      <c r="N50">
        <v>-5600</v>
      </c>
      <c r="O50" t="s">
        <v>404</v>
      </c>
    </row>
  </sheetData>
  <mergeCells count="1">
    <mergeCell ref="A1:P1"/>
  </mergeCells>
  <dataValidations count="2">
    <dataValidation type="list" allowBlank="1" showInputMessage="1" showErrorMessage="1" sqref="C4:C103" xr:uid="{00000000-0002-0000-0400-000000000000}">
      <formula1>FindingType</formula1>
      <formula2>0</formula2>
    </dataValidation>
    <dataValidation type="list" allowBlank="1" showInputMessage="1" showErrorMessage="1" sqref="I4:I103" xr:uid="{00000000-0002-0000-0400-000001000000}">
      <formula1>StatusOptions</formula1>
      <formula2>0</formula2>
    </dataValidation>
  </dataValidation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12.7109375" customWidth="1"/>
    <col min="3" max="3" width="18.7109375" customWidth="1"/>
    <col min="4" max="4" width="16.7109375" customWidth="1"/>
    <col min="5" max="5" width="14.7109375" customWidth="1"/>
    <col min="6" max="6" width="22.7109375" customWidth="1"/>
    <col min="7" max="7" width="24.7109375" customWidth="1"/>
    <col min="8" max="8" width="42.7109375" customWidth="1"/>
    <col min="9" max="9" width="20.7109375" customWidth="1"/>
    <col min="10" max="11" width="28.7109375" customWidth="1"/>
    <col min="12" max="13" width="18.7109375" style="18" customWidth="1"/>
    <col min="14" max="14" width="20.7109375" customWidth="1"/>
    <col min="15" max="15" width="50.7109375" customWidth="1"/>
    <col min="16" max="16" width="45.7109375" customWidth="1"/>
  </cols>
  <sheetData>
    <row r="1" spans="1:16" ht="22.15">
      <c r="A1" s="31" t="s">
        <v>405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>
      <c r="P2" s="12" t="s">
        <v>1</v>
      </c>
    </row>
    <row r="3" spans="1:16">
      <c r="A3" t="s">
        <v>46</v>
      </c>
      <c r="B3" t="s">
        <v>47</v>
      </c>
      <c r="C3" t="s">
        <v>48</v>
      </c>
      <c r="D3" t="s">
        <v>2</v>
      </c>
      <c r="E3" t="s">
        <v>10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s="18" t="s">
        <v>55</v>
      </c>
      <c r="M3" s="18" t="s">
        <v>56</v>
      </c>
      <c r="N3" t="s">
        <v>57</v>
      </c>
      <c r="O3" t="s">
        <v>58</v>
      </c>
      <c r="P3" t="s">
        <v>59</v>
      </c>
    </row>
    <row r="4" spans="1:16">
      <c r="A4" t="s">
        <v>406</v>
      </c>
      <c r="B4" t="s">
        <v>407</v>
      </c>
      <c r="C4" t="s">
        <v>30</v>
      </c>
      <c r="D4" s="25" t="s">
        <v>3</v>
      </c>
      <c r="E4" s="25" t="s">
        <v>62</v>
      </c>
      <c r="F4" t="s">
        <v>408</v>
      </c>
      <c r="G4" t="s">
        <v>409</v>
      </c>
      <c r="H4" t="s">
        <v>410</v>
      </c>
      <c r="I4" t="s">
        <v>27</v>
      </c>
      <c r="J4" t="s">
        <v>409</v>
      </c>
      <c r="K4" t="s">
        <v>411</v>
      </c>
      <c r="L4" s="18" t="s">
        <v>412</v>
      </c>
      <c r="M4" s="18" t="s">
        <v>412</v>
      </c>
      <c r="O4" t="s">
        <v>413</v>
      </c>
    </row>
    <row r="5" spans="1:16">
      <c r="A5" t="s">
        <v>414</v>
      </c>
      <c r="B5" t="s">
        <v>407</v>
      </c>
      <c r="C5" t="s">
        <v>30</v>
      </c>
      <c r="D5" s="25" t="s">
        <v>3</v>
      </c>
      <c r="E5" s="25" t="s">
        <v>62</v>
      </c>
      <c r="F5" t="s">
        <v>408</v>
      </c>
      <c r="G5" t="s">
        <v>66</v>
      </c>
      <c r="H5" t="s">
        <v>410</v>
      </c>
      <c r="I5" t="s">
        <v>27</v>
      </c>
      <c r="J5" t="s">
        <v>66</v>
      </c>
      <c r="K5" t="s">
        <v>411</v>
      </c>
      <c r="L5" s="18" t="s">
        <v>412</v>
      </c>
      <c r="M5" s="18" t="s">
        <v>412</v>
      </c>
      <c r="O5" t="s">
        <v>413</v>
      </c>
    </row>
    <row r="6" spans="1:16">
      <c r="A6" t="s">
        <v>415</v>
      </c>
      <c r="B6" t="s">
        <v>407</v>
      </c>
      <c r="C6" t="s">
        <v>30</v>
      </c>
      <c r="D6" s="25" t="s">
        <v>3</v>
      </c>
      <c r="E6" s="25" t="s">
        <v>62</v>
      </c>
      <c r="F6" t="s">
        <v>408</v>
      </c>
      <c r="G6" t="s">
        <v>416</v>
      </c>
      <c r="H6" t="s">
        <v>410</v>
      </c>
      <c r="I6" t="s">
        <v>27</v>
      </c>
      <c r="J6" t="s">
        <v>416</v>
      </c>
      <c r="K6" t="s">
        <v>411</v>
      </c>
      <c r="L6" s="18" t="s">
        <v>412</v>
      </c>
      <c r="M6" s="18" t="s">
        <v>412</v>
      </c>
      <c r="O6" t="s">
        <v>413</v>
      </c>
    </row>
    <row r="7" spans="1:16">
      <c r="A7" t="s">
        <v>417</v>
      </c>
      <c r="B7" t="s">
        <v>407</v>
      </c>
      <c r="C7" t="s">
        <v>30</v>
      </c>
      <c r="D7" s="25" t="s">
        <v>3</v>
      </c>
      <c r="E7" s="25" t="s">
        <v>62</v>
      </c>
      <c r="F7" t="s">
        <v>408</v>
      </c>
      <c r="G7" t="s">
        <v>94</v>
      </c>
      <c r="H7" t="s">
        <v>410</v>
      </c>
      <c r="I7" t="s">
        <v>27</v>
      </c>
      <c r="J7" t="s">
        <v>94</v>
      </c>
      <c r="K7" t="s">
        <v>411</v>
      </c>
      <c r="L7" s="18" t="s">
        <v>412</v>
      </c>
      <c r="M7" s="18" t="s">
        <v>412</v>
      </c>
      <c r="O7" t="s">
        <v>413</v>
      </c>
    </row>
    <row r="8" spans="1:16">
      <c r="A8" t="s">
        <v>418</v>
      </c>
      <c r="B8" t="s">
        <v>407</v>
      </c>
      <c r="C8" t="s">
        <v>30</v>
      </c>
      <c r="D8" s="25" t="s">
        <v>3</v>
      </c>
      <c r="E8" s="25" t="s">
        <v>62</v>
      </c>
      <c r="F8" t="s">
        <v>408</v>
      </c>
      <c r="G8" t="s">
        <v>383</v>
      </c>
      <c r="H8" t="s">
        <v>410</v>
      </c>
      <c r="I8" t="s">
        <v>27</v>
      </c>
      <c r="J8" t="s">
        <v>383</v>
      </c>
      <c r="K8" t="s">
        <v>411</v>
      </c>
      <c r="L8" s="18" t="s">
        <v>412</v>
      </c>
      <c r="M8" s="18" t="s">
        <v>412</v>
      </c>
      <c r="O8" t="s">
        <v>413</v>
      </c>
    </row>
    <row r="9" spans="1:16">
      <c r="A9" t="s">
        <v>419</v>
      </c>
      <c r="B9" t="s">
        <v>407</v>
      </c>
      <c r="C9" t="s">
        <v>30</v>
      </c>
      <c r="D9" s="25" t="s">
        <v>3</v>
      </c>
      <c r="E9" s="25" t="s">
        <v>62</v>
      </c>
      <c r="F9" t="s">
        <v>408</v>
      </c>
      <c r="G9" t="s">
        <v>420</v>
      </c>
      <c r="H9" t="s">
        <v>410</v>
      </c>
      <c r="I9" t="s">
        <v>27</v>
      </c>
      <c r="J9" t="s">
        <v>420</v>
      </c>
      <c r="K9" t="s">
        <v>411</v>
      </c>
      <c r="M9" s="18" t="s">
        <v>412</v>
      </c>
      <c r="O9" t="s">
        <v>421</v>
      </c>
    </row>
    <row r="10" spans="1:16">
      <c r="A10" t="s">
        <v>422</v>
      </c>
      <c r="B10" t="s">
        <v>407</v>
      </c>
      <c r="C10" t="s">
        <v>30</v>
      </c>
      <c r="D10" s="25" t="s">
        <v>3</v>
      </c>
      <c r="E10" s="25" t="s">
        <v>62</v>
      </c>
      <c r="F10" t="s">
        <v>408</v>
      </c>
      <c r="G10" t="s">
        <v>423</v>
      </c>
      <c r="H10" t="s">
        <v>410</v>
      </c>
      <c r="I10" t="s">
        <v>27</v>
      </c>
      <c r="J10" t="s">
        <v>423</v>
      </c>
      <c r="K10" t="s">
        <v>411</v>
      </c>
      <c r="M10" s="18" t="s">
        <v>412</v>
      </c>
      <c r="O10" t="s">
        <v>421</v>
      </c>
    </row>
    <row r="11" spans="1:16">
      <c r="A11" t="s">
        <v>424</v>
      </c>
      <c r="B11" t="s">
        <v>425</v>
      </c>
      <c r="C11" t="s">
        <v>30</v>
      </c>
      <c r="D11" s="25" t="s">
        <v>3</v>
      </c>
      <c r="E11" s="25" t="s">
        <v>62</v>
      </c>
      <c r="F11" t="s">
        <v>66</v>
      </c>
      <c r="G11" t="s">
        <v>426</v>
      </c>
      <c r="H11" t="s">
        <v>427</v>
      </c>
      <c r="I11" t="s">
        <v>27</v>
      </c>
      <c r="J11" t="s">
        <v>66</v>
      </c>
      <c r="L11" s="18">
        <v>0</v>
      </c>
      <c r="M11" s="18">
        <v>0</v>
      </c>
      <c r="N11">
        <v>0</v>
      </c>
      <c r="O11" t="s">
        <v>428</v>
      </c>
    </row>
    <row r="12" spans="1:16">
      <c r="A12" t="s">
        <v>429</v>
      </c>
      <c r="B12" t="s">
        <v>430</v>
      </c>
      <c r="C12" t="s">
        <v>30</v>
      </c>
      <c r="D12" s="25" t="s">
        <v>3</v>
      </c>
      <c r="E12" s="25" t="s">
        <v>62</v>
      </c>
      <c r="F12" t="s">
        <v>266</v>
      </c>
      <c r="G12" t="s">
        <v>431</v>
      </c>
      <c r="H12" t="s">
        <v>432</v>
      </c>
      <c r="I12" t="s">
        <v>27</v>
      </c>
      <c r="J12" t="s">
        <v>433</v>
      </c>
      <c r="K12" t="s">
        <v>66</v>
      </c>
      <c r="L12" s="18">
        <v>5000</v>
      </c>
      <c r="M12" s="18">
        <v>5000</v>
      </c>
      <c r="N12">
        <v>0</v>
      </c>
      <c r="O12" t="s">
        <v>434</v>
      </c>
    </row>
    <row r="13" spans="1:16">
      <c r="A13" t="s">
        <v>435</v>
      </c>
      <c r="B13" t="s">
        <v>430</v>
      </c>
      <c r="C13" t="s">
        <v>30</v>
      </c>
      <c r="D13" s="25" t="s">
        <v>3</v>
      </c>
      <c r="E13" s="25" t="s">
        <v>62</v>
      </c>
      <c r="F13" t="s">
        <v>266</v>
      </c>
      <c r="G13" t="s">
        <v>436</v>
      </c>
      <c r="H13" t="s">
        <v>432</v>
      </c>
      <c r="I13" t="s">
        <v>27</v>
      </c>
      <c r="J13" t="s">
        <v>437</v>
      </c>
      <c r="K13" t="s">
        <v>66</v>
      </c>
      <c r="L13" s="18">
        <v>0</v>
      </c>
      <c r="M13" s="18" t="s">
        <v>438</v>
      </c>
      <c r="N13">
        <v>0</v>
      </c>
      <c r="O13" t="s">
        <v>439</v>
      </c>
    </row>
    <row r="14" spans="1:16">
      <c r="A14" t="s">
        <v>440</v>
      </c>
      <c r="B14" t="s">
        <v>430</v>
      </c>
      <c r="C14" t="s">
        <v>30</v>
      </c>
      <c r="D14" s="25" t="s">
        <v>3</v>
      </c>
      <c r="E14" s="25" t="s">
        <v>62</v>
      </c>
      <c r="F14" t="s">
        <v>266</v>
      </c>
      <c r="G14" t="s">
        <v>441</v>
      </c>
      <c r="H14" t="s">
        <v>432</v>
      </c>
      <c r="I14" t="s">
        <v>27</v>
      </c>
      <c r="J14" t="s">
        <v>442</v>
      </c>
      <c r="K14" t="s">
        <v>66</v>
      </c>
      <c r="L14" s="18">
        <v>0</v>
      </c>
      <c r="M14" s="18" t="s">
        <v>438</v>
      </c>
      <c r="N14">
        <v>0</v>
      </c>
      <c r="O14" t="s">
        <v>439</v>
      </c>
    </row>
    <row r="15" spans="1:16">
      <c r="A15" t="s">
        <v>443</v>
      </c>
      <c r="B15" t="s">
        <v>430</v>
      </c>
      <c r="C15" t="s">
        <v>30</v>
      </c>
      <c r="D15" s="25" t="s">
        <v>3</v>
      </c>
      <c r="E15" s="25" t="s">
        <v>62</v>
      </c>
      <c r="F15" t="s">
        <v>266</v>
      </c>
      <c r="G15" t="s">
        <v>444</v>
      </c>
      <c r="H15" t="s">
        <v>432</v>
      </c>
      <c r="I15" t="s">
        <v>27</v>
      </c>
      <c r="J15" t="s">
        <v>445</v>
      </c>
      <c r="K15" t="s">
        <v>66</v>
      </c>
      <c r="L15" s="18">
        <v>0</v>
      </c>
      <c r="M15" s="18" t="s">
        <v>438</v>
      </c>
      <c r="N15">
        <v>0</v>
      </c>
      <c r="O15" t="s">
        <v>439</v>
      </c>
    </row>
    <row r="16" spans="1:16">
      <c r="A16" t="s">
        <v>446</v>
      </c>
      <c r="B16" t="s">
        <v>430</v>
      </c>
      <c r="C16" t="s">
        <v>30</v>
      </c>
      <c r="D16" s="25" t="s">
        <v>3</v>
      </c>
      <c r="E16" s="25" t="s">
        <v>62</v>
      </c>
      <c r="F16" t="s">
        <v>266</v>
      </c>
      <c r="G16" t="s">
        <v>447</v>
      </c>
      <c r="H16" t="s">
        <v>432</v>
      </c>
      <c r="I16" t="s">
        <v>27</v>
      </c>
      <c r="J16" t="s">
        <v>448</v>
      </c>
      <c r="K16" t="s">
        <v>66</v>
      </c>
      <c r="L16" s="18">
        <v>0</v>
      </c>
      <c r="M16" s="18" t="s">
        <v>438</v>
      </c>
      <c r="N16">
        <v>0</v>
      </c>
      <c r="O16" t="s">
        <v>439</v>
      </c>
    </row>
    <row r="17" spans="1:15">
      <c r="A17" t="s">
        <v>449</v>
      </c>
      <c r="B17" t="s">
        <v>430</v>
      </c>
      <c r="C17" t="s">
        <v>30</v>
      </c>
      <c r="D17" s="25" t="s">
        <v>3</v>
      </c>
      <c r="E17" s="25" t="s">
        <v>62</v>
      </c>
      <c r="F17" t="s">
        <v>266</v>
      </c>
      <c r="G17" t="s">
        <v>450</v>
      </c>
      <c r="H17" t="s">
        <v>432</v>
      </c>
      <c r="I17" t="s">
        <v>27</v>
      </c>
      <c r="J17" t="s">
        <v>451</v>
      </c>
      <c r="K17" t="s">
        <v>66</v>
      </c>
      <c r="L17" s="18">
        <v>0</v>
      </c>
      <c r="M17" s="18" t="s">
        <v>438</v>
      </c>
      <c r="N17">
        <v>0</v>
      </c>
      <c r="O17" t="s">
        <v>439</v>
      </c>
    </row>
    <row r="18" spans="1:15">
      <c r="A18" t="s">
        <v>452</v>
      </c>
      <c r="B18" t="s">
        <v>430</v>
      </c>
      <c r="C18" t="s">
        <v>30</v>
      </c>
      <c r="D18" s="25" t="s">
        <v>3</v>
      </c>
      <c r="E18" s="25" t="s">
        <v>62</v>
      </c>
      <c r="F18" t="s">
        <v>266</v>
      </c>
      <c r="G18" t="s">
        <v>453</v>
      </c>
      <c r="H18" t="s">
        <v>432</v>
      </c>
      <c r="I18" t="s">
        <v>27</v>
      </c>
      <c r="J18" t="s">
        <v>454</v>
      </c>
      <c r="K18" t="s">
        <v>66</v>
      </c>
      <c r="L18" s="18">
        <v>-22786.57</v>
      </c>
      <c r="M18" s="18">
        <v>-22786.57</v>
      </c>
      <c r="N18">
        <v>0</v>
      </c>
      <c r="O18" t="s">
        <v>434</v>
      </c>
    </row>
    <row r="19" spans="1:15">
      <c r="A19" t="s">
        <v>455</v>
      </c>
      <c r="B19" t="s">
        <v>430</v>
      </c>
      <c r="C19" t="s">
        <v>30</v>
      </c>
      <c r="D19" s="25" t="s">
        <v>3</v>
      </c>
      <c r="E19" s="25" t="s">
        <v>62</v>
      </c>
      <c r="F19" t="s">
        <v>266</v>
      </c>
      <c r="G19" t="s">
        <v>456</v>
      </c>
      <c r="H19" t="s">
        <v>432</v>
      </c>
      <c r="I19" t="s">
        <v>27</v>
      </c>
      <c r="J19" t="s">
        <v>457</v>
      </c>
      <c r="K19" t="s">
        <v>66</v>
      </c>
      <c r="L19" s="18">
        <v>0</v>
      </c>
      <c r="M19" s="18" t="s">
        <v>438</v>
      </c>
      <c r="N19">
        <v>0</v>
      </c>
      <c r="O19" t="s">
        <v>439</v>
      </c>
    </row>
    <row r="20" spans="1:15">
      <c r="A20" t="s">
        <v>458</v>
      </c>
      <c r="B20" t="s">
        <v>430</v>
      </c>
      <c r="C20" t="s">
        <v>30</v>
      </c>
      <c r="D20" s="25" t="s">
        <v>3</v>
      </c>
      <c r="E20" s="25" t="s">
        <v>62</v>
      </c>
      <c r="F20" t="s">
        <v>266</v>
      </c>
      <c r="G20" t="s">
        <v>459</v>
      </c>
      <c r="H20" t="s">
        <v>432</v>
      </c>
      <c r="I20" t="s">
        <v>27</v>
      </c>
      <c r="J20" t="s">
        <v>460</v>
      </c>
      <c r="K20" t="s">
        <v>66</v>
      </c>
      <c r="L20" s="18">
        <v>0</v>
      </c>
      <c r="M20" s="18" t="s">
        <v>438</v>
      </c>
      <c r="N20">
        <v>0</v>
      </c>
      <c r="O20" t="s">
        <v>439</v>
      </c>
    </row>
    <row r="21" spans="1:15">
      <c r="A21" t="s">
        <v>461</v>
      </c>
      <c r="B21" t="s">
        <v>430</v>
      </c>
      <c r="C21" t="s">
        <v>30</v>
      </c>
      <c r="D21" s="25" t="s">
        <v>3</v>
      </c>
      <c r="E21" s="25" t="s">
        <v>62</v>
      </c>
      <c r="F21" t="s">
        <v>266</v>
      </c>
      <c r="G21" t="s">
        <v>462</v>
      </c>
      <c r="H21" t="s">
        <v>432</v>
      </c>
      <c r="I21" t="s">
        <v>27</v>
      </c>
      <c r="J21" t="s">
        <v>463</v>
      </c>
      <c r="K21" t="s">
        <v>66</v>
      </c>
      <c r="L21" s="18">
        <v>-380675.18</v>
      </c>
      <c r="M21" s="18">
        <v>-380675.18</v>
      </c>
      <c r="N21">
        <v>0</v>
      </c>
      <c r="O21" t="s">
        <v>434</v>
      </c>
    </row>
    <row r="22" spans="1:15">
      <c r="A22" t="s">
        <v>464</v>
      </c>
      <c r="B22" t="s">
        <v>430</v>
      </c>
      <c r="C22" t="s">
        <v>30</v>
      </c>
      <c r="D22" s="25" t="s">
        <v>3</v>
      </c>
      <c r="E22" s="25" t="s">
        <v>62</v>
      </c>
      <c r="F22" t="s">
        <v>266</v>
      </c>
      <c r="G22" t="s">
        <v>465</v>
      </c>
      <c r="H22" t="s">
        <v>432</v>
      </c>
      <c r="I22" t="s">
        <v>27</v>
      </c>
      <c r="J22" t="s">
        <v>466</v>
      </c>
      <c r="K22" t="s">
        <v>66</v>
      </c>
      <c r="L22" s="18">
        <v>-19169.37</v>
      </c>
      <c r="M22" s="18">
        <v>-19169.37</v>
      </c>
      <c r="N22">
        <v>0</v>
      </c>
      <c r="O22" t="s">
        <v>434</v>
      </c>
    </row>
    <row r="23" spans="1:15">
      <c r="A23" t="s">
        <v>467</v>
      </c>
      <c r="B23" t="s">
        <v>430</v>
      </c>
      <c r="C23" t="s">
        <v>30</v>
      </c>
      <c r="D23" s="25" t="s">
        <v>3</v>
      </c>
      <c r="E23" s="25" t="s">
        <v>62</v>
      </c>
      <c r="F23" t="s">
        <v>266</v>
      </c>
      <c r="G23" t="s">
        <v>468</v>
      </c>
      <c r="H23" t="s">
        <v>432</v>
      </c>
      <c r="I23" t="s">
        <v>27</v>
      </c>
      <c r="J23" t="s">
        <v>469</v>
      </c>
      <c r="K23" t="s">
        <v>66</v>
      </c>
      <c r="L23" s="18">
        <v>-38200000</v>
      </c>
      <c r="M23" s="18">
        <v>-38200000</v>
      </c>
      <c r="N23">
        <v>0</v>
      </c>
      <c r="O23" t="s">
        <v>434</v>
      </c>
    </row>
    <row r="24" spans="1:15">
      <c r="A24" t="s">
        <v>470</v>
      </c>
      <c r="B24" t="s">
        <v>430</v>
      </c>
      <c r="C24" t="s">
        <v>30</v>
      </c>
      <c r="D24" s="25" t="s">
        <v>3</v>
      </c>
      <c r="E24" s="25" t="s">
        <v>62</v>
      </c>
      <c r="F24" t="s">
        <v>266</v>
      </c>
      <c r="G24" t="s">
        <v>471</v>
      </c>
      <c r="H24" t="s">
        <v>432</v>
      </c>
      <c r="I24" t="s">
        <v>27</v>
      </c>
      <c r="J24" t="s">
        <v>472</v>
      </c>
      <c r="K24" t="s">
        <v>66</v>
      </c>
      <c r="L24" s="18">
        <v>-7015519.4900000002</v>
      </c>
      <c r="M24" s="18">
        <v>-7015519.4900000002</v>
      </c>
      <c r="N24">
        <v>0</v>
      </c>
      <c r="O24" t="s">
        <v>434</v>
      </c>
    </row>
    <row r="25" spans="1:15">
      <c r="A25" t="s">
        <v>473</v>
      </c>
      <c r="B25" t="s">
        <v>430</v>
      </c>
      <c r="C25" t="s">
        <v>30</v>
      </c>
      <c r="D25" s="25" t="s">
        <v>3</v>
      </c>
      <c r="E25" s="25" t="s">
        <v>62</v>
      </c>
      <c r="F25" t="s">
        <v>266</v>
      </c>
      <c r="G25" t="s">
        <v>474</v>
      </c>
      <c r="H25" t="s">
        <v>432</v>
      </c>
      <c r="I25" t="s">
        <v>27</v>
      </c>
      <c r="J25" t="s">
        <v>475</v>
      </c>
      <c r="K25" t="s">
        <v>66</v>
      </c>
      <c r="L25" s="18">
        <v>-14291187.24</v>
      </c>
      <c r="M25" s="18">
        <v>-14291187.24</v>
      </c>
      <c r="N25">
        <v>0</v>
      </c>
      <c r="O25" t="s">
        <v>434</v>
      </c>
    </row>
    <row r="26" spans="1:15">
      <c r="A26" t="s">
        <v>476</v>
      </c>
      <c r="B26" t="s">
        <v>430</v>
      </c>
      <c r="C26" t="s">
        <v>30</v>
      </c>
      <c r="D26" s="25" t="s">
        <v>3</v>
      </c>
      <c r="E26" s="25" t="s">
        <v>62</v>
      </c>
      <c r="F26" t="s">
        <v>266</v>
      </c>
      <c r="G26" t="s">
        <v>477</v>
      </c>
      <c r="H26" t="s">
        <v>432</v>
      </c>
      <c r="I26" t="s">
        <v>27</v>
      </c>
      <c r="J26" t="s">
        <v>478</v>
      </c>
      <c r="K26" t="s">
        <v>66</v>
      </c>
      <c r="L26" s="18">
        <v>10629039</v>
      </c>
      <c r="M26" s="18">
        <v>10629039</v>
      </c>
      <c r="N26">
        <v>0</v>
      </c>
      <c r="O26" t="s">
        <v>434</v>
      </c>
    </row>
    <row r="27" spans="1:15">
      <c r="A27" t="s">
        <v>479</v>
      </c>
      <c r="B27" t="s">
        <v>430</v>
      </c>
      <c r="C27" t="s">
        <v>30</v>
      </c>
      <c r="D27" s="25" t="s">
        <v>3</v>
      </c>
      <c r="E27" s="25" t="s">
        <v>62</v>
      </c>
      <c r="F27" t="s">
        <v>266</v>
      </c>
      <c r="G27" t="s">
        <v>480</v>
      </c>
      <c r="H27" t="s">
        <v>432</v>
      </c>
      <c r="I27" t="s">
        <v>27</v>
      </c>
      <c r="J27" t="s">
        <v>481</v>
      </c>
      <c r="K27" t="s">
        <v>66</v>
      </c>
      <c r="L27" s="18">
        <v>5981.99</v>
      </c>
      <c r="M27" s="18">
        <v>5981.99</v>
      </c>
      <c r="N27">
        <v>0</v>
      </c>
      <c r="O27" t="s">
        <v>434</v>
      </c>
    </row>
    <row r="28" spans="1:15">
      <c r="A28" t="s">
        <v>482</v>
      </c>
      <c r="B28" t="s">
        <v>430</v>
      </c>
      <c r="C28" t="s">
        <v>30</v>
      </c>
      <c r="D28" s="25" t="s">
        <v>3</v>
      </c>
      <c r="E28" s="25" t="s">
        <v>62</v>
      </c>
      <c r="F28" t="s">
        <v>266</v>
      </c>
      <c r="G28" t="s">
        <v>483</v>
      </c>
      <c r="H28" t="s">
        <v>432</v>
      </c>
      <c r="I28" t="s">
        <v>27</v>
      </c>
      <c r="J28" t="s">
        <v>484</v>
      </c>
      <c r="K28" t="s">
        <v>66</v>
      </c>
      <c r="L28" s="18">
        <v>0</v>
      </c>
      <c r="M28" s="18" t="s">
        <v>438</v>
      </c>
      <c r="N28">
        <v>0</v>
      </c>
      <c r="O28" t="s">
        <v>439</v>
      </c>
    </row>
    <row r="29" spans="1:15">
      <c r="A29" t="s">
        <v>485</v>
      </c>
      <c r="B29" t="s">
        <v>430</v>
      </c>
      <c r="C29" t="s">
        <v>30</v>
      </c>
      <c r="D29" s="25" t="s">
        <v>3</v>
      </c>
      <c r="E29" s="25" t="s">
        <v>62</v>
      </c>
      <c r="F29" t="s">
        <v>266</v>
      </c>
      <c r="G29" t="s">
        <v>486</v>
      </c>
      <c r="H29" t="s">
        <v>432</v>
      </c>
      <c r="I29" t="s">
        <v>27</v>
      </c>
      <c r="J29" t="s">
        <v>487</v>
      </c>
      <c r="K29" t="s">
        <v>66</v>
      </c>
      <c r="L29" s="18">
        <v>-166963.42000000001</v>
      </c>
      <c r="M29" s="18">
        <v>-166963.42000000001</v>
      </c>
      <c r="N29">
        <v>0</v>
      </c>
      <c r="O29" t="s">
        <v>434</v>
      </c>
    </row>
    <row r="30" spans="1:15">
      <c r="A30" t="s">
        <v>488</v>
      </c>
      <c r="B30" t="s">
        <v>430</v>
      </c>
      <c r="C30" t="s">
        <v>30</v>
      </c>
      <c r="D30" s="25" t="s">
        <v>3</v>
      </c>
      <c r="E30" s="25" t="s">
        <v>62</v>
      </c>
      <c r="F30" t="s">
        <v>266</v>
      </c>
      <c r="G30" t="s">
        <v>489</v>
      </c>
      <c r="H30" t="s">
        <v>432</v>
      </c>
      <c r="I30" t="s">
        <v>27</v>
      </c>
      <c r="J30" t="s">
        <v>490</v>
      </c>
      <c r="K30" t="s">
        <v>66</v>
      </c>
      <c r="L30" s="18">
        <v>175821.38</v>
      </c>
      <c r="M30" s="18">
        <v>175821.38</v>
      </c>
      <c r="N30">
        <v>0</v>
      </c>
      <c r="O30" t="s">
        <v>434</v>
      </c>
    </row>
    <row r="31" spans="1:15">
      <c r="A31" t="s">
        <v>491</v>
      </c>
      <c r="B31" t="s">
        <v>430</v>
      </c>
      <c r="C31" t="s">
        <v>30</v>
      </c>
      <c r="D31" s="25" t="s">
        <v>3</v>
      </c>
      <c r="E31" s="25" t="s">
        <v>62</v>
      </c>
      <c r="F31" t="s">
        <v>266</v>
      </c>
      <c r="G31" t="s">
        <v>492</v>
      </c>
      <c r="H31" t="s">
        <v>432</v>
      </c>
      <c r="I31" t="s">
        <v>27</v>
      </c>
      <c r="J31" t="s">
        <v>493</v>
      </c>
      <c r="K31" t="s">
        <v>66</v>
      </c>
      <c r="L31" s="18">
        <v>0</v>
      </c>
      <c r="M31" s="18" t="s">
        <v>438</v>
      </c>
      <c r="N31">
        <v>0</v>
      </c>
      <c r="O31" t="s">
        <v>439</v>
      </c>
    </row>
    <row r="32" spans="1:15">
      <c r="A32" t="s">
        <v>494</v>
      </c>
      <c r="B32" t="s">
        <v>430</v>
      </c>
      <c r="C32" t="s">
        <v>30</v>
      </c>
      <c r="D32" s="25" t="s">
        <v>3</v>
      </c>
      <c r="E32" s="25" t="s">
        <v>62</v>
      </c>
      <c r="F32" t="s">
        <v>266</v>
      </c>
      <c r="G32" t="s">
        <v>64</v>
      </c>
      <c r="H32" t="s">
        <v>432</v>
      </c>
      <c r="I32" t="s">
        <v>27</v>
      </c>
      <c r="J32" t="s">
        <v>495</v>
      </c>
      <c r="K32" t="s">
        <v>66</v>
      </c>
      <c r="L32" s="18">
        <v>-85745.35</v>
      </c>
      <c r="M32" s="18">
        <v>-85745.35</v>
      </c>
      <c r="N32">
        <v>0</v>
      </c>
      <c r="O32" t="s">
        <v>434</v>
      </c>
    </row>
    <row r="33" spans="1:15">
      <c r="A33" t="s">
        <v>496</v>
      </c>
      <c r="B33" t="s">
        <v>430</v>
      </c>
      <c r="C33" t="s">
        <v>30</v>
      </c>
      <c r="D33" s="25" t="s">
        <v>3</v>
      </c>
      <c r="E33" s="25" t="s">
        <v>62</v>
      </c>
      <c r="F33" t="s">
        <v>266</v>
      </c>
      <c r="G33" t="s">
        <v>497</v>
      </c>
      <c r="H33" t="s">
        <v>432</v>
      </c>
      <c r="I33" t="s">
        <v>27</v>
      </c>
      <c r="J33" t="s">
        <v>498</v>
      </c>
      <c r="K33" t="s">
        <v>66</v>
      </c>
      <c r="L33" s="18">
        <v>0</v>
      </c>
      <c r="M33" s="18" t="s">
        <v>438</v>
      </c>
      <c r="N33">
        <v>0</v>
      </c>
      <c r="O33" t="s">
        <v>439</v>
      </c>
    </row>
    <row r="34" spans="1:15">
      <c r="A34" t="s">
        <v>499</v>
      </c>
      <c r="B34" t="s">
        <v>500</v>
      </c>
      <c r="C34" t="s">
        <v>30</v>
      </c>
      <c r="D34" s="25" t="s">
        <v>3</v>
      </c>
      <c r="E34" s="25" t="s">
        <v>62</v>
      </c>
      <c r="F34" t="s">
        <v>501</v>
      </c>
      <c r="G34" t="s">
        <v>502</v>
      </c>
      <c r="H34" t="s">
        <v>503</v>
      </c>
      <c r="I34" t="s">
        <v>27</v>
      </c>
      <c r="J34" t="s">
        <v>504</v>
      </c>
      <c r="O34" t="s">
        <v>505</v>
      </c>
    </row>
    <row r="35" spans="1:15">
      <c r="A35" t="s">
        <v>506</v>
      </c>
      <c r="B35" t="s">
        <v>507</v>
      </c>
      <c r="C35" t="s">
        <v>30</v>
      </c>
      <c r="D35" s="25" t="s">
        <v>3</v>
      </c>
      <c r="E35" s="25" t="s">
        <v>62</v>
      </c>
      <c r="F35" t="s">
        <v>508</v>
      </c>
      <c r="G35" t="s">
        <v>509</v>
      </c>
      <c r="H35" t="s">
        <v>503</v>
      </c>
      <c r="I35" t="s">
        <v>27</v>
      </c>
      <c r="J35" t="s">
        <v>504</v>
      </c>
      <c r="O35" t="s">
        <v>505</v>
      </c>
    </row>
    <row r="36" spans="1:15">
      <c r="A36" t="s">
        <v>510</v>
      </c>
      <c r="B36" t="s">
        <v>511</v>
      </c>
      <c r="C36" t="s">
        <v>30</v>
      </c>
      <c r="D36" s="25" t="s">
        <v>3</v>
      </c>
      <c r="E36" s="25" t="s">
        <v>62</v>
      </c>
      <c r="F36" t="s">
        <v>77</v>
      </c>
      <c r="G36" t="s">
        <v>267</v>
      </c>
      <c r="H36" t="s">
        <v>512</v>
      </c>
      <c r="I36" t="s">
        <v>27</v>
      </c>
      <c r="J36" t="s">
        <v>513</v>
      </c>
      <c r="K36" t="s">
        <v>66</v>
      </c>
      <c r="L36" s="18">
        <v>284746.15000000002</v>
      </c>
      <c r="M36" s="18">
        <v>284746.15000000002</v>
      </c>
      <c r="N36">
        <v>0</v>
      </c>
      <c r="O36" t="s">
        <v>514</v>
      </c>
    </row>
    <row r="37" spans="1:15">
      <c r="A37" t="s">
        <v>515</v>
      </c>
      <c r="B37" t="s">
        <v>516</v>
      </c>
      <c r="C37" t="s">
        <v>30</v>
      </c>
      <c r="D37" s="25" t="s">
        <v>3</v>
      </c>
      <c r="E37" s="25" t="s">
        <v>62</v>
      </c>
      <c r="F37" t="s">
        <v>77</v>
      </c>
      <c r="G37" t="s">
        <v>517</v>
      </c>
      <c r="H37" t="s">
        <v>518</v>
      </c>
      <c r="I37" t="s">
        <v>27</v>
      </c>
      <c r="J37" t="s">
        <v>88</v>
      </c>
      <c r="O37" t="s">
        <v>519</v>
      </c>
    </row>
    <row r="38" spans="1:15">
      <c r="A38" t="s">
        <v>520</v>
      </c>
      <c r="B38" t="s">
        <v>76</v>
      </c>
      <c r="C38" t="s">
        <v>30</v>
      </c>
      <c r="D38" s="25" t="s">
        <v>3</v>
      </c>
      <c r="E38" s="25" t="s">
        <v>62</v>
      </c>
      <c r="F38" t="s">
        <v>77</v>
      </c>
      <c r="G38" t="s">
        <v>521</v>
      </c>
      <c r="H38" t="s">
        <v>79</v>
      </c>
      <c r="I38" t="s">
        <v>27</v>
      </c>
      <c r="J38" t="s">
        <v>80</v>
      </c>
      <c r="L38" s="18">
        <v>353796.91</v>
      </c>
      <c r="M38" s="18">
        <v>353796.91</v>
      </c>
      <c r="N38">
        <v>0</v>
      </c>
      <c r="O38" t="s">
        <v>522</v>
      </c>
    </row>
    <row r="39" spans="1:15">
      <c r="A39" t="s">
        <v>523</v>
      </c>
      <c r="B39" t="s">
        <v>511</v>
      </c>
      <c r="C39" t="s">
        <v>30</v>
      </c>
      <c r="D39" s="25" t="s">
        <v>3</v>
      </c>
      <c r="E39" s="25" t="s">
        <v>62</v>
      </c>
      <c r="F39" t="s">
        <v>77</v>
      </c>
      <c r="G39" t="s">
        <v>272</v>
      </c>
      <c r="H39" t="s">
        <v>512</v>
      </c>
      <c r="I39" t="s">
        <v>27</v>
      </c>
      <c r="J39" t="s">
        <v>524</v>
      </c>
      <c r="K39" t="s">
        <v>66</v>
      </c>
      <c r="L39" s="18">
        <v>353796.91</v>
      </c>
      <c r="M39" s="18">
        <v>353796.91</v>
      </c>
      <c r="N39">
        <v>0</v>
      </c>
      <c r="O39" t="s">
        <v>514</v>
      </c>
    </row>
    <row r="40" spans="1:15">
      <c r="A40" t="s">
        <v>525</v>
      </c>
      <c r="B40" t="s">
        <v>516</v>
      </c>
      <c r="C40" t="s">
        <v>30</v>
      </c>
      <c r="D40" s="25" t="s">
        <v>3</v>
      </c>
      <c r="E40" s="25" t="s">
        <v>62</v>
      </c>
      <c r="F40" t="s">
        <v>77</v>
      </c>
      <c r="G40" t="s">
        <v>526</v>
      </c>
      <c r="H40" t="s">
        <v>518</v>
      </c>
      <c r="I40" t="s">
        <v>27</v>
      </c>
      <c r="J40" t="s">
        <v>88</v>
      </c>
      <c r="O40" t="s">
        <v>519</v>
      </c>
    </row>
    <row r="41" spans="1:15">
      <c r="A41" t="s">
        <v>527</v>
      </c>
      <c r="B41" t="s">
        <v>85</v>
      </c>
      <c r="C41" t="s">
        <v>30</v>
      </c>
      <c r="D41" s="25" t="s">
        <v>3</v>
      </c>
      <c r="E41" s="25" t="s">
        <v>62</v>
      </c>
      <c r="F41" t="s">
        <v>77</v>
      </c>
      <c r="G41" t="s">
        <v>528</v>
      </c>
      <c r="H41" t="s">
        <v>87</v>
      </c>
      <c r="I41" t="s">
        <v>27</v>
      </c>
      <c r="J41" t="s">
        <v>88</v>
      </c>
      <c r="O41" t="s">
        <v>519</v>
      </c>
    </row>
    <row r="42" spans="1:15">
      <c r="A42" t="s">
        <v>529</v>
      </c>
      <c r="B42" t="s">
        <v>530</v>
      </c>
      <c r="C42" t="s">
        <v>30</v>
      </c>
      <c r="D42" s="25" t="s">
        <v>3</v>
      </c>
      <c r="E42" s="25" t="s">
        <v>62</v>
      </c>
      <c r="F42" t="s">
        <v>531</v>
      </c>
      <c r="G42" t="s">
        <v>532</v>
      </c>
      <c r="H42" t="s">
        <v>533</v>
      </c>
      <c r="I42" t="s">
        <v>27</v>
      </c>
      <c r="J42" t="s">
        <v>534</v>
      </c>
      <c r="K42" t="s">
        <v>66</v>
      </c>
      <c r="L42" s="18">
        <v>77830000</v>
      </c>
      <c r="M42" s="18">
        <v>77830000</v>
      </c>
      <c r="N42">
        <v>0</v>
      </c>
      <c r="O42" t="s">
        <v>535</v>
      </c>
    </row>
    <row r="43" spans="1:15">
      <c r="A43" t="s">
        <v>536</v>
      </c>
      <c r="B43" t="s">
        <v>537</v>
      </c>
      <c r="C43" t="s">
        <v>30</v>
      </c>
      <c r="D43" s="25" t="s">
        <v>3</v>
      </c>
      <c r="E43" s="25" t="s">
        <v>62</v>
      </c>
      <c r="F43" t="s">
        <v>531</v>
      </c>
      <c r="G43" t="s">
        <v>538</v>
      </c>
      <c r="H43" t="s">
        <v>539</v>
      </c>
      <c r="I43" t="s">
        <v>27</v>
      </c>
      <c r="J43" t="s">
        <v>534</v>
      </c>
      <c r="K43" t="s">
        <v>66</v>
      </c>
      <c r="L43" s="18">
        <v>787827.63</v>
      </c>
      <c r="M43" s="18">
        <v>787827.63</v>
      </c>
      <c r="N43">
        <v>0</v>
      </c>
      <c r="O43" t="s">
        <v>540</v>
      </c>
    </row>
    <row r="44" spans="1:15">
      <c r="A44" t="s">
        <v>541</v>
      </c>
      <c r="B44" t="s">
        <v>537</v>
      </c>
      <c r="C44" t="s">
        <v>30</v>
      </c>
      <c r="D44" s="25" t="s">
        <v>3</v>
      </c>
      <c r="E44" s="25" t="s">
        <v>62</v>
      </c>
      <c r="F44" t="s">
        <v>531</v>
      </c>
      <c r="G44" t="s">
        <v>542</v>
      </c>
      <c r="H44" t="s">
        <v>543</v>
      </c>
      <c r="I44" t="s">
        <v>27</v>
      </c>
      <c r="J44" t="s">
        <v>534</v>
      </c>
      <c r="K44" t="s">
        <v>66</v>
      </c>
      <c r="L44" s="18">
        <v>190248.4</v>
      </c>
      <c r="M44" s="18">
        <v>190248.4</v>
      </c>
      <c r="N44">
        <v>0</v>
      </c>
      <c r="O44" t="s">
        <v>544</v>
      </c>
    </row>
    <row r="45" spans="1:15">
      <c r="A45" t="s">
        <v>545</v>
      </c>
      <c r="B45" t="s">
        <v>537</v>
      </c>
      <c r="C45" t="s">
        <v>30</v>
      </c>
      <c r="D45" s="25" t="s">
        <v>3</v>
      </c>
      <c r="E45" s="25" t="s">
        <v>62</v>
      </c>
      <c r="F45" t="s">
        <v>531</v>
      </c>
      <c r="G45" t="s">
        <v>546</v>
      </c>
      <c r="H45" t="s">
        <v>547</v>
      </c>
      <c r="I45" t="s">
        <v>27</v>
      </c>
      <c r="J45" t="s">
        <v>534</v>
      </c>
      <c r="K45" t="s">
        <v>66</v>
      </c>
      <c r="L45" s="18">
        <v>153000</v>
      </c>
      <c r="M45" s="18">
        <v>153000</v>
      </c>
      <c r="N45">
        <v>0</v>
      </c>
      <c r="O45" t="s">
        <v>548</v>
      </c>
    </row>
    <row r="46" spans="1:15">
      <c r="A46" t="s">
        <v>549</v>
      </c>
      <c r="B46" t="s">
        <v>550</v>
      </c>
      <c r="C46" t="s">
        <v>30</v>
      </c>
      <c r="D46" s="25" t="s">
        <v>3</v>
      </c>
      <c r="E46" s="25" t="s">
        <v>62</v>
      </c>
      <c r="F46" t="s">
        <v>531</v>
      </c>
      <c r="G46" t="s">
        <v>551</v>
      </c>
      <c r="H46" t="s">
        <v>552</v>
      </c>
      <c r="I46" t="s">
        <v>27</v>
      </c>
      <c r="J46" t="s">
        <v>534</v>
      </c>
      <c r="K46" t="s">
        <v>66</v>
      </c>
      <c r="L46" s="18">
        <v>380675.18</v>
      </c>
      <c r="M46" s="18">
        <v>380675.18</v>
      </c>
      <c r="N46">
        <v>0</v>
      </c>
      <c r="O46" t="s">
        <v>553</v>
      </c>
    </row>
    <row r="47" spans="1:15">
      <c r="A47" t="s">
        <v>554</v>
      </c>
      <c r="B47" t="s">
        <v>555</v>
      </c>
      <c r="C47" t="s">
        <v>30</v>
      </c>
      <c r="D47" s="25" t="s">
        <v>3</v>
      </c>
      <c r="E47" s="25" t="s">
        <v>62</v>
      </c>
      <c r="F47" t="s">
        <v>329</v>
      </c>
      <c r="G47" t="s">
        <v>556</v>
      </c>
      <c r="H47" t="s">
        <v>557</v>
      </c>
      <c r="I47" t="s">
        <v>27</v>
      </c>
      <c r="J47" t="s">
        <v>329</v>
      </c>
      <c r="K47" t="s">
        <v>66</v>
      </c>
      <c r="N47">
        <v>0</v>
      </c>
      <c r="O47" t="s">
        <v>558</v>
      </c>
    </row>
    <row r="48" spans="1:15">
      <c r="A48" t="s">
        <v>559</v>
      </c>
      <c r="B48" t="s">
        <v>560</v>
      </c>
      <c r="C48" t="s">
        <v>30</v>
      </c>
      <c r="D48" s="25" t="s">
        <v>3</v>
      </c>
      <c r="E48" s="25" t="s">
        <v>62</v>
      </c>
      <c r="F48" t="s">
        <v>329</v>
      </c>
      <c r="G48" t="s">
        <v>561</v>
      </c>
      <c r="H48" t="s">
        <v>562</v>
      </c>
      <c r="I48" t="s">
        <v>27</v>
      </c>
      <c r="J48" t="s">
        <v>329</v>
      </c>
      <c r="K48" t="s">
        <v>411</v>
      </c>
      <c r="L48" s="18">
        <v>0</v>
      </c>
      <c r="M48" s="18">
        <v>0</v>
      </c>
      <c r="O48" t="s">
        <v>563</v>
      </c>
    </row>
    <row r="49" spans="1:15">
      <c r="A49" t="s">
        <v>564</v>
      </c>
      <c r="B49" t="s">
        <v>565</v>
      </c>
      <c r="C49" t="s">
        <v>30</v>
      </c>
      <c r="D49" s="25" t="s">
        <v>3</v>
      </c>
      <c r="E49" s="25" t="s">
        <v>62</v>
      </c>
      <c r="F49" t="s">
        <v>566</v>
      </c>
      <c r="G49" t="s">
        <v>453</v>
      </c>
      <c r="H49" t="s">
        <v>567</v>
      </c>
      <c r="I49" t="s">
        <v>27</v>
      </c>
      <c r="J49" t="s">
        <v>329</v>
      </c>
      <c r="L49" s="18">
        <v>24083.41</v>
      </c>
      <c r="M49" s="18">
        <v>22786.57</v>
      </c>
      <c r="N49">
        <v>0</v>
      </c>
      <c r="O49" t="s">
        <v>568</v>
      </c>
    </row>
    <row r="50" spans="1:15">
      <c r="A50" t="s">
        <v>569</v>
      </c>
      <c r="B50" t="s">
        <v>565</v>
      </c>
      <c r="C50" t="s">
        <v>30</v>
      </c>
      <c r="D50" s="25" t="s">
        <v>3</v>
      </c>
      <c r="E50" s="25" t="s">
        <v>62</v>
      </c>
      <c r="F50" t="s">
        <v>566</v>
      </c>
      <c r="G50" t="s">
        <v>64</v>
      </c>
      <c r="H50" t="s">
        <v>567</v>
      </c>
      <c r="I50" t="s">
        <v>27</v>
      </c>
      <c r="J50" t="s">
        <v>329</v>
      </c>
      <c r="L50" s="18">
        <v>106715.97</v>
      </c>
      <c r="M50" s="18">
        <v>85883.29</v>
      </c>
      <c r="N50">
        <v>0</v>
      </c>
      <c r="O50" t="s">
        <v>568</v>
      </c>
    </row>
    <row r="51" spans="1:15">
      <c r="A51" t="s">
        <v>570</v>
      </c>
      <c r="B51" t="s">
        <v>565</v>
      </c>
      <c r="C51" t="s">
        <v>30</v>
      </c>
      <c r="D51" s="25" t="s">
        <v>3</v>
      </c>
      <c r="E51" s="25" t="s">
        <v>62</v>
      </c>
      <c r="F51" t="s">
        <v>566</v>
      </c>
      <c r="G51" t="s">
        <v>486</v>
      </c>
      <c r="H51" t="s">
        <v>567</v>
      </c>
      <c r="I51" t="s">
        <v>27</v>
      </c>
      <c r="J51" t="s">
        <v>329</v>
      </c>
      <c r="L51" s="18">
        <v>0</v>
      </c>
      <c r="M51" s="18">
        <v>166963.42000000001</v>
      </c>
      <c r="N51">
        <v>0</v>
      </c>
      <c r="O51" t="s">
        <v>568</v>
      </c>
    </row>
    <row r="52" spans="1:15">
      <c r="A52" t="s">
        <v>571</v>
      </c>
      <c r="B52" t="s">
        <v>565</v>
      </c>
      <c r="C52" t="s">
        <v>30</v>
      </c>
      <c r="D52" s="25" t="s">
        <v>3</v>
      </c>
      <c r="E52" s="25" t="s">
        <v>62</v>
      </c>
      <c r="F52" t="s">
        <v>566</v>
      </c>
      <c r="G52" t="s">
        <v>462</v>
      </c>
      <c r="H52" t="s">
        <v>567</v>
      </c>
      <c r="I52" t="s">
        <v>27</v>
      </c>
      <c r="J52" t="s">
        <v>329</v>
      </c>
      <c r="L52" s="18">
        <v>368395.33</v>
      </c>
      <c r="M52" s="18">
        <v>380675.18</v>
      </c>
      <c r="N52">
        <v>0</v>
      </c>
      <c r="O52" t="s">
        <v>568</v>
      </c>
    </row>
    <row r="53" spans="1:15">
      <c r="A53" t="s">
        <v>572</v>
      </c>
      <c r="B53" t="s">
        <v>573</v>
      </c>
      <c r="C53" t="s">
        <v>30</v>
      </c>
      <c r="D53" s="25" t="s">
        <v>3</v>
      </c>
      <c r="E53" s="25" t="s">
        <v>62</v>
      </c>
      <c r="F53" t="s">
        <v>383</v>
      </c>
      <c r="G53" t="s">
        <v>574</v>
      </c>
      <c r="H53" t="s">
        <v>575</v>
      </c>
      <c r="I53" t="s">
        <v>27</v>
      </c>
      <c r="J53" t="s">
        <v>383</v>
      </c>
      <c r="K53" t="s">
        <v>66</v>
      </c>
      <c r="N53">
        <v>0</v>
      </c>
      <c r="O53" t="s">
        <v>576</v>
      </c>
    </row>
    <row r="54" spans="1:15">
      <c r="A54" t="s">
        <v>577</v>
      </c>
      <c r="B54" t="s">
        <v>578</v>
      </c>
      <c r="C54" t="s">
        <v>30</v>
      </c>
      <c r="D54" s="25" t="s">
        <v>3</v>
      </c>
      <c r="E54" s="25" t="s">
        <v>62</v>
      </c>
      <c r="F54" t="s">
        <v>94</v>
      </c>
      <c r="G54" t="s">
        <v>579</v>
      </c>
      <c r="H54" t="s">
        <v>580</v>
      </c>
      <c r="I54" t="s">
        <v>27</v>
      </c>
      <c r="J54" t="s">
        <v>94</v>
      </c>
      <c r="K54" t="s">
        <v>66</v>
      </c>
      <c r="N54">
        <v>0</v>
      </c>
      <c r="O54" t="s">
        <v>581</v>
      </c>
    </row>
    <row r="55" spans="1:15">
      <c r="A55" t="s">
        <v>582</v>
      </c>
      <c r="B55" t="s">
        <v>583</v>
      </c>
      <c r="C55" t="s">
        <v>30</v>
      </c>
      <c r="D55" s="25" t="s">
        <v>3</v>
      </c>
      <c r="E55" s="25" t="s">
        <v>62</v>
      </c>
      <c r="F55" t="s">
        <v>584</v>
      </c>
      <c r="G55" t="s">
        <v>585</v>
      </c>
      <c r="H55" t="s">
        <v>586</v>
      </c>
      <c r="I55" t="s">
        <v>27</v>
      </c>
      <c r="J55" t="s">
        <v>385</v>
      </c>
      <c r="K55" t="s">
        <v>386</v>
      </c>
      <c r="L55" s="18">
        <v>380675.18</v>
      </c>
      <c r="M55" s="18">
        <v>380675</v>
      </c>
      <c r="N55">
        <v>0.18</v>
      </c>
      <c r="O55" t="s">
        <v>587</v>
      </c>
    </row>
    <row r="56" spans="1:15">
      <c r="A56" t="s">
        <v>588</v>
      </c>
      <c r="B56" t="s">
        <v>589</v>
      </c>
      <c r="C56" t="s">
        <v>30</v>
      </c>
      <c r="D56" s="25" t="s">
        <v>3</v>
      </c>
      <c r="E56" s="25" t="s">
        <v>62</v>
      </c>
      <c r="F56" t="s">
        <v>584</v>
      </c>
      <c r="G56" t="s">
        <v>585</v>
      </c>
      <c r="H56" t="s">
        <v>590</v>
      </c>
      <c r="I56" t="s">
        <v>27</v>
      </c>
      <c r="J56" t="s">
        <v>385</v>
      </c>
      <c r="K56" t="s">
        <v>386</v>
      </c>
      <c r="L56" s="18">
        <v>380675.18</v>
      </c>
      <c r="M56" s="18">
        <v>380675</v>
      </c>
      <c r="N56" t="s">
        <v>591</v>
      </c>
      <c r="O56" t="s">
        <v>592</v>
      </c>
    </row>
    <row r="57" spans="1:15">
      <c r="A57" t="s">
        <v>593</v>
      </c>
      <c r="B57" t="s">
        <v>583</v>
      </c>
      <c r="C57" t="s">
        <v>30</v>
      </c>
      <c r="D57" s="25" t="s">
        <v>3</v>
      </c>
      <c r="E57" s="25" t="s">
        <v>62</v>
      </c>
      <c r="F57" t="s">
        <v>584</v>
      </c>
      <c r="G57" t="s">
        <v>594</v>
      </c>
      <c r="H57" t="s">
        <v>586</v>
      </c>
      <c r="I57" t="s">
        <v>27</v>
      </c>
      <c r="J57" t="s">
        <v>385</v>
      </c>
      <c r="K57" t="s">
        <v>386</v>
      </c>
      <c r="L57" s="18">
        <v>166963.42000000001</v>
      </c>
      <c r="M57" s="18">
        <v>170315</v>
      </c>
      <c r="N57">
        <v>-3351.58</v>
      </c>
      <c r="O57" t="s">
        <v>587</v>
      </c>
    </row>
    <row r="58" spans="1:15">
      <c r="A58" t="s">
        <v>595</v>
      </c>
      <c r="B58" t="s">
        <v>589</v>
      </c>
      <c r="C58" t="s">
        <v>30</v>
      </c>
      <c r="D58" s="25" t="s">
        <v>3</v>
      </c>
      <c r="E58" s="25" t="s">
        <v>62</v>
      </c>
      <c r="F58" t="s">
        <v>584</v>
      </c>
      <c r="G58" t="s">
        <v>594</v>
      </c>
      <c r="H58" t="s">
        <v>590</v>
      </c>
      <c r="I58" t="s">
        <v>27</v>
      </c>
      <c r="J58" t="s">
        <v>385</v>
      </c>
      <c r="K58" t="s">
        <v>386</v>
      </c>
      <c r="L58" s="18">
        <v>166963.42000000001</v>
      </c>
      <c r="M58" s="18">
        <v>170315</v>
      </c>
      <c r="N58" t="s">
        <v>596</v>
      </c>
      <c r="O58" t="s">
        <v>592</v>
      </c>
    </row>
    <row r="59" spans="1:15">
      <c r="A59" t="s">
        <v>597</v>
      </c>
      <c r="B59" t="s">
        <v>583</v>
      </c>
      <c r="C59" t="s">
        <v>30</v>
      </c>
      <c r="D59" s="25" t="s">
        <v>3</v>
      </c>
      <c r="E59" s="25" t="s">
        <v>62</v>
      </c>
      <c r="F59" t="s">
        <v>584</v>
      </c>
      <c r="G59" t="s">
        <v>598</v>
      </c>
      <c r="H59" t="s">
        <v>586</v>
      </c>
      <c r="I59" t="s">
        <v>27</v>
      </c>
      <c r="J59" t="s">
        <v>385</v>
      </c>
      <c r="K59" t="s">
        <v>386</v>
      </c>
      <c r="L59" s="18">
        <v>25117.34</v>
      </c>
      <c r="M59" s="18">
        <v>28680</v>
      </c>
      <c r="N59">
        <v>-3562.66</v>
      </c>
      <c r="O59" t="s">
        <v>587</v>
      </c>
    </row>
    <row r="60" spans="1:15">
      <c r="A60" t="s">
        <v>599</v>
      </c>
      <c r="B60" t="s">
        <v>589</v>
      </c>
      <c r="C60" t="s">
        <v>30</v>
      </c>
      <c r="D60" s="25" t="s">
        <v>3</v>
      </c>
      <c r="E60" s="25" t="s">
        <v>62</v>
      </c>
      <c r="F60" t="s">
        <v>584</v>
      </c>
      <c r="G60" t="s">
        <v>598</v>
      </c>
      <c r="H60" t="s">
        <v>590</v>
      </c>
      <c r="I60" t="s">
        <v>27</v>
      </c>
      <c r="J60" t="s">
        <v>385</v>
      </c>
      <c r="K60" t="s">
        <v>386</v>
      </c>
      <c r="L60" s="18">
        <v>25117.34</v>
      </c>
      <c r="M60" s="18">
        <v>28680</v>
      </c>
      <c r="N60" t="s">
        <v>600</v>
      </c>
      <c r="O60" t="s">
        <v>592</v>
      </c>
    </row>
    <row r="61" spans="1:15">
      <c r="A61" t="s">
        <v>601</v>
      </c>
      <c r="B61" t="s">
        <v>583</v>
      </c>
      <c r="C61" t="s">
        <v>30</v>
      </c>
      <c r="D61" s="25" t="s">
        <v>3</v>
      </c>
      <c r="E61" s="25" t="s">
        <v>62</v>
      </c>
      <c r="F61" t="s">
        <v>584</v>
      </c>
      <c r="G61" t="s">
        <v>602</v>
      </c>
      <c r="H61" t="s">
        <v>586</v>
      </c>
      <c r="I61" t="s">
        <v>27</v>
      </c>
      <c r="J61" t="s">
        <v>385</v>
      </c>
      <c r="K61" t="s">
        <v>386</v>
      </c>
      <c r="L61" s="18">
        <v>22786.57</v>
      </c>
      <c r="M61" s="18">
        <v>21544.91</v>
      </c>
      <c r="N61">
        <v>1241.6600000000001</v>
      </c>
      <c r="O61" t="s">
        <v>587</v>
      </c>
    </row>
    <row r="62" spans="1:15">
      <c r="A62" t="s">
        <v>603</v>
      </c>
      <c r="B62" t="s">
        <v>589</v>
      </c>
      <c r="C62" t="s">
        <v>30</v>
      </c>
      <c r="D62" s="25" t="s">
        <v>3</v>
      </c>
      <c r="E62" s="25" t="s">
        <v>62</v>
      </c>
      <c r="F62" t="s">
        <v>584</v>
      </c>
      <c r="G62" t="s">
        <v>602</v>
      </c>
      <c r="H62" t="s">
        <v>590</v>
      </c>
      <c r="I62" t="s">
        <v>27</v>
      </c>
      <c r="J62" t="s">
        <v>385</v>
      </c>
      <c r="K62" t="s">
        <v>386</v>
      </c>
      <c r="L62" s="18">
        <v>22786.57</v>
      </c>
      <c r="M62" s="18">
        <v>21544.91</v>
      </c>
      <c r="N62" t="s">
        <v>604</v>
      </c>
      <c r="O62" t="s">
        <v>592</v>
      </c>
    </row>
    <row r="63" spans="1:15">
      <c r="A63" t="s">
        <v>605</v>
      </c>
      <c r="B63" t="s">
        <v>606</v>
      </c>
      <c r="C63" t="s">
        <v>30</v>
      </c>
      <c r="D63" s="25" t="s">
        <v>3</v>
      </c>
      <c r="E63" s="25" t="s">
        <v>62</v>
      </c>
      <c r="F63" t="s">
        <v>245</v>
      </c>
      <c r="G63" t="s">
        <v>607</v>
      </c>
      <c r="H63" t="s">
        <v>608</v>
      </c>
      <c r="I63" t="s">
        <v>27</v>
      </c>
      <c r="J63" t="s">
        <v>94</v>
      </c>
      <c r="O63" t="s">
        <v>609</v>
      </c>
    </row>
  </sheetData>
  <mergeCells count="1">
    <mergeCell ref="A1:P1"/>
  </mergeCells>
  <dataValidations count="2">
    <dataValidation type="list" allowBlank="1" showInputMessage="1" showErrorMessage="1" sqref="C4:C103" xr:uid="{00000000-0002-0000-0500-000000000000}">
      <formula1>FindingType</formula1>
      <formula2>0</formula2>
    </dataValidation>
    <dataValidation type="list" allowBlank="1" showInputMessage="1" showErrorMessage="1" sqref="I4:I103" xr:uid="{00000000-0002-0000-0500-000001000000}">
      <formula1>StatusOptions</formula1>
      <formula2>0</formula2>
    </dataValidation>
  </dataValidation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8.7109375" customWidth="1"/>
    <col min="2" max="2" width="16.7109375" customWidth="1"/>
    <col min="3" max="3" width="46.7109375" customWidth="1"/>
    <col min="4" max="5" width="16.7109375" customWidth="1"/>
    <col min="6" max="6" width="20.7109375" customWidth="1"/>
    <col min="7" max="7" width="34.7109375" customWidth="1"/>
    <col min="8" max="8" width="40.7109375" customWidth="1"/>
  </cols>
  <sheetData>
    <row r="1" spans="1:8" ht="24.4">
      <c r="A1" s="11" t="s">
        <v>610</v>
      </c>
      <c r="B1" s="11"/>
      <c r="C1" s="11"/>
      <c r="D1" s="11"/>
      <c r="E1" s="11"/>
      <c r="F1" s="11"/>
      <c r="G1" s="11"/>
      <c r="H1" s="11"/>
    </row>
    <row r="2" spans="1:8">
      <c r="H2" s="12" t="s">
        <v>1</v>
      </c>
    </row>
    <row r="3" spans="1:8">
      <c r="A3" t="s">
        <v>611</v>
      </c>
      <c r="B3" t="s">
        <v>612</v>
      </c>
      <c r="C3" t="s">
        <v>613</v>
      </c>
      <c r="D3" t="s">
        <v>614</v>
      </c>
      <c r="E3" t="s">
        <v>615</v>
      </c>
      <c r="F3" t="s">
        <v>52</v>
      </c>
      <c r="G3" t="s">
        <v>616</v>
      </c>
      <c r="H3" t="s">
        <v>617</v>
      </c>
    </row>
    <row r="4" spans="1:8">
      <c r="A4" t="s">
        <v>409</v>
      </c>
      <c r="B4" t="s">
        <v>618</v>
      </c>
      <c r="C4" t="s">
        <v>619</v>
      </c>
      <c r="D4" t="s">
        <v>620</v>
      </c>
      <c r="E4" t="s">
        <v>620</v>
      </c>
      <c r="F4" t="s">
        <v>36</v>
      </c>
      <c r="G4" t="s">
        <v>621</v>
      </c>
      <c r="H4" t="s">
        <v>622</v>
      </c>
    </row>
    <row r="5" spans="1:8">
      <c r="A5" t="s">
        <v>66</v>
      </c>
      <c r="B5" t="s">
        <v>618</v>
      </c>
      <c r="C5" t="s">
        <v>623</v>
      </c>
      <c r="D5" t="s">
        <v>620</v>
      </c>
      <c r="E5" t="s">
        <v>620</v>
      </c>
      <c r="F5" t="s">
        <v>36</v>
      </c>
      <c r="G5" t="s">
        <v>624</v>
      </c>
      <c r="H5" t="s">
        <v>625</v>
      </c>
    </row>
    <row r="6" spans="1:8">
      <c r="A6" t="s">
        <v>416</v>
      </c>
      <c r="B6" t="s">
        <v>618</v>
      </c>
      <c r="C6" t="s">
        <v>626</v>
      </c>
      <c r="D6" t="s">
        <v>620</v>
      </c>
      <c r="E6" t="s">
        <v>620</v>
      </c>
      <c r="F6" t="s">
        <v>36</v>
      </c>
      <c r="G6" t="s">
        <v>627</v>
      </c>
      <c r="H6" t="s">
        <v>556</v>
      </c>
    </row>
    <row r="7" spans="1:8">
      <c r="A7" t="s">
        <v>94</v>
      </c>
      <c r="B7" t="s">
        <v>618</v>
      </c>
      <c r="C7" t="s">
        <v>628</v>
      </c>
      <c r="D7" t="s">
        <v>620</v>
      </c>
      <c r="E7" t="s">
        <v>620</v>
      </c>
      <c r="F7" t="s">
        <v>36</v>
      </c>
      <c r="G7" t="s">
        <v>629</v>
      </c>
    </row>
    <row r="8" spans="1:8">
      <c r="A8" t="s">
        <v>383</v>
      </c>
      <c r="B8" t="s">
        <v>618</v>
      </c>
      <c r="C8" t="s">
        <v>630</v>
      </c>
      <c r="D8" t="s">
        <v>620</v>
      </c>
      <c r="E8" t="s">
        <v>620</v>
      </c>
      <c r="F8" t="s">
        <v>36</v>
      </c>
      <c r="G8" t="s">
        <v>631</v>
      </c>
    </row>
    <row r="9" spans="1:8">
      <c r="A9" t="s">
        <v>420</v>
      </c>
      <c r="B9" t="s">
        <v>632</v>
      </c>
      <c r="C9" t="s">
        <v>633</v>
      </c>
      <c r="D9" t="s">
        <v>634</v>
      </c>
      <c r="E9" t="s">
        <v>634</v>
      </c>
      <c r="F9" t="s">
        <v>36</v>
      </c>
      <c r="G9" t="s">
        <v>635</v>
      </c>
      <c r="H9" t="s">
        <v>636</v>
      </c>
    </row>
    <row r="10" spans="1:8">
      <c r="A10" t="s">
        <v>423</v>
      </c>
      <c r="B10" t="s">
        <v>632</v>
      </c>
      <c r="C10" t="s">
        <v>637</v>
      </c>
      <c r="D10" t="s">
        <v>634</v>
      </c>
      <c r="E10" t="s">
        <v>634</v>
      </c>
      <c r="F10" t="s">
        <v>36</v>
      </c>
      <c r="G10" t="s">
        <v>638</v>
      </c>
      <c r="H10" t="s">
        <v>639</v>
      </c>
    </row>
  </sheetData>
  <mergeCells count="1">
    <mergeCell ref="A1:H1"/>
  </mergeCells>
  <dataValidations count="1">
    <dataValidation type="list" allowBlank="1" showInputMessage="1" showErrorMessage="1" sqref="F4:F51" xr:uid="{00000000-0002-0000-0600-000000000000}">
      <formula1>SourceStatus</formula1>
      <formula2>0</formula2>
    </dataValidation>
  </dataValidation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showGridLines="0" zoomScaleNormal="100" workbookViewId="0"/>
  </sheetViews>
  <sheetFormatPr defaultColWidth="8.7109375" defaultRowHeight="15"/>
  <cols>
    <col min="1" max="1" width="12.7109375" customWidth="1"/>
    <col min="2" max="2" width="22.7109375" customWidth="1"/>
    <col min="3" max="3" width="24.7109375" customWidth="1"/>
    <col min="4" max="4" width="45.7109375" customWidth="1"/>
    <col min="5" max="6" width="18.7109375" customWidth="1"/>
    <col min="7" max="7" width="34.7109375" customWidth="1"/>
    <col min="8" max="8" width="40.7109375" customWidth="1"/>
  </cols>
  <sheetData>
    <row r="1" spans="1:8" ht="24.4">
      <c r="A1" s="11" t="s">
        <v>640</v>
      </c>
      <c r="B1" s="11"/>
      <c r="C1" s="11"/>
      <c r="D1" s="11"/>
      <c r="E1" s="11"/>
      <c r="F1" s="11"/>
      <c r="G1" s="11"/>
      <c r="H1" s="11"/>
    </row>
    <row r="2" spans="1:8">
      <c r="H2" s="12" t="s">
        <v>1</v>
      </c>
    </row>
    <row r="3" spans="1:8">
      <c r="A3" s="19" t="s">
        <v>641</v>
      </c>
    </row>
    <row r="4" spans="1:8">
      <c r="A4" s="20" t="s">
        <v>47</v>
      </c>
      <c r="B4" s="20" t="s">
        <v>49</v>
      </c>
      <c r="C4" s="20" t="s">
        <v>50</v>
      </c>
      <c r="D4" s="20" t="s">
        <v>642</v>
      </c>
      <c r="E4" s="20" t="s">
        <v>643</v>
      </c>
      <c r="F4" s="20" t="s">
        <v>644</v>
      </c>
      <c r="G4" s="20" t="s">
        <v>645</v>
      </c>
      <c r="H4" s="20" t="s">
        <v>617</v>
      </c>
    </row>
    <row r="16" spans="1:8">
      <c r="A16" s="21" t="s">
        <v>646</v>
      </c>
    </row>
    <row r="17" spans="1:8">
      <c r="A17" s="20" t="s">
        <v>47</v>
      </c>
      <c r="B17" s="20" t="s">
        <v>49</v>
      </c>
      <c r="C17" s="20" t="s">
        <v>50</v>
      </c>
      <c r="D17" s="20" t="s">
        <v>58</v>
      </c>
      <c r="E17" s="20" t="s">
        <v>647</v>
      </c>
      <c r="F17" s="20" t="s">
        <v>648</v>
      </c>
      <c r="G17" s="20" t="s">
        <v>52</v>
      </c>
      <c r="H17" s="20" t="s">
        <v>59</v>
      </c>
    </row>
    <row r="29" spans="1:8">
      <c r="A29" s="22" t="s">
        <v>649</v>
      </c>
    </row>
    <row r="30" spans="1:8">
      <c r="A30" s="20" t="s">
        <v>47</v>
      </c>
      <c r="B30" s="20" t="s">
        <v>49</v>
      </c>
      <c r="C30" s="20" t="s">
        <v>50</v>
      </c>
      <c r="D30" s="20" t="s">
        <v>58</v>
      </c>
      <c r="E30" s="20" t="s">
        <v>648</v>
      </c>
      <c r="F30" s="20" t="s">
        <v>52</v>
      </c>
      <c r="G30" s="20" t="s">
        <v>59</v>
      </c>
      <c r="H30" s="20" t="s">
        <v>617</v>
      </c>
    </row>
  </sheetData>
  <mergeCells count="1">
    <mergeCell ref="A1:H1"/>
  </mergeCell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showGridLines="0" zoomScaleNormal="100" workbookViewId="0"/>
  </sheetViews>
  <sheetFormatPr defaultColWidth="8.7109375" defaultRowHeight="15"/>
  <cols>
    <col min="1" max="1" width="16.7109375" customWidth="1"/>
    <col min="2" max="2" width="24.7109375" customWidth="1"/>
    <col min="3" max="3" width="16.7109375" customWidth="1"/>
    <col min="4" max="4" width="22.7109375" customWidth="1"/>
    <col min="5" max="6" width="14.7109375" customWidth="1"/>
    <col min="7" max="7" width="20.7109375" customWidth="1"/>
    <col min="8" max="8" width="48.7109375" customWidth="1"/>
  </cols>
  <sheetData>
    <row r="1" spans="1:8" ht="24.4">
      <c r="A1" s="11" t="s">
        <v>650</v>
      </c>
      <c r="B1" s="11"/>
      <c r="C1" s="11"/>
      <c r="D1" s="11"/>
      <c r="E1" s="11"/>
      <c r="F1" s="11"/>
      <c r="G1" s="11"/>
      <c r="H1" s="11"/>
    </row>
    <row r="2" spans="1:8">
      <c r="H2" s="12" t="s">
        <v>1</v>
      </c>
    </row>
    <row r="3" spans="1:8">
      <c r="A3" t="s">
        <v>4</v>
      </c>
      <c r="B3" t="s">
        <v>8</v>
      </c>
      <c r="C3" t="s">
        <v>11</v>
      </c>
      <c r="D3" t="s">
        <v>651</v>
      </c>
      <c r="E3" t="s">
        <v>13</v>
      </c>
      <c r="F3" t="s">
        <v>14</v>
      </c>
      <c r="G3" t="s">
        <v>15</v>
      </c>
      <c r="H3" t="s">
        <v>652</v>
      </c>
    </row>
    <row r="4" spans="1:8">
      <c r="A4" t="s">
        <v>5</v>
      </c>
      <c r="B4" t="s">
        <v>9</v>
      </c>
      <c r="C4" s="26">
        <v>46284</v>
      </c>
      <c r="D4" t="s">
        <v>42</v>
      </c>
      <c r="E4">
        <v>3</v>
      </c>
      <c r="F4">
        <v>40</v>
      </c>
      <c r="G4">
        <v>47</v>
      </c>
      <c r="H4" t="s">
        <v>653</v>
      </c>
    </row>
  </sheetData>
  <mergeCells count="1">
    <mergeCell ref="A1:H1"/>
  </mergeCells>
  <dataValidations count="1">
    <dataValidation type="list" allowBlank="1" showInputMessage="1" showErrorMessage="1" sqref="D4:D53" xr:uid="{00000000-0002-0000-0800-000000000000}">
      <formula1>OverallStatus</formula1>
      <formula2>0</formula2>
    </dataValidation>
  </dataValidation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showGridLines="0" zoomScaleNormal="100" workbookViewId="0"/>
  </sheetViews>
  <sheetFormatPr defaultColWidth="8.7109375" defaultRowHeight="15"/>
  <cols>
    <col min="1" max="1" width="12.7109375" customWidth="1"/>
    <col min="2" max="2" width="22.7109375" customWidth="1"/>
    <col min="3" max="3" width="38.7109375" customWidth="1"/>
    <col min="4" max="4" width="24.7109375" customWidth="1"/>
    <col min="5" max="5" width="28.7109375" customWidth="1"/>
    <col min="6" max="6" width="18.7109375" customWidth="1"/>
  </cols>
  <sheetData>
    <row r="1" spans="1:6" ht="24.4">
      <c r="A1" s="11" t="s">
        <v>654</v>
      </c>
      <c r="B1" s="11"/>
      <c r="C1" s="11"/>
      <c r="D1" s="11"/>
      <c r="E1" s="11"/>
      <c r="F1" s="11"/>
    </row>
    <row r="3" spans="1:6">
      <c r="A3" t="s">
        <v>47</v>
      </c>
      <c r="B3" t="s">
        <v>49</v>
      </c>
      <c r="C3" t="s">
        <v>655</v>
      </c>
      <c r="D3" t="s">
        <v>656</v>
      </c>
      <c r="E3" t="s">
        <v>657</v>
      </c>
      <c r="F3" t="s">
        <v>658</v>
      </c>
    </row>
    <row r="4" spans="1:6">
      <c r="A4" t="s">
        <v>659</v>
      </c>
      <c r="B4" t="s">
        <v>408</v>
      </c>
      <c r="C4" t="s">
        <v>660</v>
      </c>
      <c r="D4" t="s">
        <v>661</v>
      </c>
      <c r="E4" t="s">
        <v>37</v>
      </c>
      <c r="F4" t="s">
        <v>29</v>
      </c>
    </row>
    <row r="5" spans="1:6">
      <c r="A5" t="s">
        <v>511</v>
      </c>
      <c r="B5" t="s">
        <v>77</v>
      </c>
      <c r="C5" t="s">
        <v>662</v>
      </c>
      <c r="D5" t="s">
        <v>663</v>
      </c>
      <c r="E5" t="s">
        <v>664</v>
      </c>
      <c r="F5" t="s">
        <v>29</v>
      </c>
    </row>
    <row r="6" spans="1:6">
      <c r="A6" t="s">
        <v>516</v>
      </c>
      <c r="B6" t="s">
        <v>77</v>
      </c>
      <c r="C6" t="s">
        <v>665</v>
      </c>
      <c r="D6" t="s">
        <v>88</v>
      </c>
      <c r="E6" t="s">
        <v>666</v>
      </c>
      <c r="F6" t="s">
        <v>28</v>
      </c>
    </row>
    <row r="7" spans="1:6">
      <c r="A7" t="s">
        <v>85</v>
      </c>
      <c r="B7" t="s">
        <v>77</v>
      </c>
      <c r="C7" t="s">
        <v>667</v>
      </c>
      <c r="D7" t="s">
        <v>88</v>
      </c>
      <c r="E7" t="s">
        <v>666</v>
      </c>
      <c r="F7" t="s">
        <v>28</v>
      </c>
    </row>
    <row r="8" spans="1:6">
      <c r="A8" t="s">
        <v>430</v>
      </c>
      <c r="B8" t="s">
        <v>266</v>
      </c>
      <c r="C8" t="s">
        <v>668</v>
      </c>
      <c r="D8" t="s">
        <v>669</v>
      </c>
      <c r="E8" t="s">
        <v>664</v>
      </c>
      <c r="F8" t="s">
        <v>29</v>
      </c>
    </row>
    <row r="9" spans="1:6">
      <c r="A9" t="s">
        <v>500</v>
      </c>
      <c r="B9" t="s">
        <v>501</v>
      </c>
      <c r="C9" t="s">
        <v>670</v>
      </c>
      <c r="D9" t="s">
        <v>671</v>
      </c>
      <c r="E9" t="s">
        <v>672</v>
      </c>
      <c r="F9" t="s">
        <v>29</v>
      </c>
    </row>
    <row r="10" spans="1:6">
      <c r="A10" t="s">
        <v>507</v>
      </c>
      <c r="B10" t="s">
        <v>508</v>
      </c>
      <c r="C10" t="s">
        <v>670</v>
      </c>
      <c r="D10" t="s">
        <v>671</v>
      </c>
      <c r="E10" t="s">
        <v>672</v>
      </c>
      <c r="F10" t="s">
        <v>29</v>
      </c>
    </row>
    <row r="11" spans="1:6">
      <c r="A11" t="s">
        <v>530</v>
      </c>
      <c r="B11" t="s">
        <v>531</v>
      </c>
      <c r="C11" t="s">
        <v>673</v>
      </c>
      <c r="D11" t="s">
        <v>674</v>
      </c>
      <c r="E11" t="s">
        <v>664</v>
      </c>
      <c r="F11" t="s">
        <v>29</v>
      </c>
    </row>
    <row r="12" spans="1:6">
      <c r="A12" t="s">
        <v>565</v>
      </c>
      <c r="B12" t="s">
        <v>566</v>
      </c>
      <c r="C12" t="s">
        <v>675</v>
      </c>
      <c r="D12" t="s">
        <v>676</v>
      </c>
      <c r="E12" t="s">
        <v>677</v>
      </c>
      <c r="F12" t="s">
        <v>29</v>
      </c>
    </row>
    <row r="13" spans="1:6">
      <c r="A13" t="s">
        <v>583</v>
      </c>
      <c r="B13" t="s">
        <v>584</v>
      </c>
      <c r="C13" t="s">
        <v>678</v>
      </c>
      <c r="D13" t="s">
        <v>679</v>
      </c>
      <c r="E13" t="s">
        <v>680</v>
      </c>
      <c r="F13" t="s">
        <v>29</v>
      </c>
    </row>
    <row r="14" spans="1:6">
      <c r="A14" t="s">
        <v>589</v>
      </c>
      <c r="B14" t="s">
        <v>584</v>
      </c>
      <c r="C14" t="s">
        <v>681</v>
      </c>
      <c r="D14" t="s">
        <v>682</v>
      </c>
      <c r="E14" t="s">
        <v>683</v>
      </c>
      <c r="F14" t="s">
        <v>28</v>
      </c>
    </row>
    <row r="15" spans="1:6">
      <c r="A15" t="s">
        <v>244</v>
      </c>
      <c r="B15" t="s">
        <v>245</v>
      </c>
      <c r="C15" t="s">
        <v>684</v>
      </c>
      <c r="D15" t="s">
        <v>685</v>
      </c>
      <c r="E15" t="s">
        <v>686</v>
      </c>
      <c r="F15" t="s">
        <v>28</v>
      </c>
    </row>
    <row r="16" spans="1:6">
      <c r="A16" t="s">
        <v>606</v>
      </c>
      <c r="B16" t="s">
        <v>245</v>
      </c>
      <c r="C16" t="s">
        <v>608</v>
      </c>
      <c r="D16" t="s">
        <v>685</v>
      </c>
      <c r="E16" t="s">
        <v>687</v>
      </c>
      <c r="F16" t="s">
        <v>29</v>
      </c>
    </row>
    <row r="17" spans="1:6">
      <c r="A17" t="s">
        <v>93</v>
      </c>
      <c r="B17" t="s">
        <v>94</v>
      </c>
      <c r="C17" t="s">
        <v>688</v>
      </c>
      <c r="D17" t="s">
        <v>94</v>
      </c>
      <c r="E17" t="s">
        <v>683</v>
      </c>
      <c r="F17" t="s">
        <v>28</v>
      </c>
    </row>
    <row r="18" spans="1:6">
      <c r="A18" t="s">
        <v>199</v>
      </c>
      <c r="B18" t="s">
        <v>193</v>
      </c>
      <c r="C18" t="s">
        <v>689</v>
      </c>
      <c r="D18" t="s">
        <v>685</v>
      </c>
      <c r="E18" t="s">
        <v>690</v>
      </c>
      <c r="F18" t="s">
        <v>28</v>
      </c>
    </row>
  </sheetData>
  <mergeCells count="1">
    <mergeCell ref="A1:F1"/>
  </mergeCell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EE9B-300F-48D0-A67E-8758B252B9D5}">
  <dimension ref="A1:Q151"/>
  <sheetViews>
    <sheetView workbookViewId="0"/>
  </sheetViews>
  <sheetFormatPr defaultRowHeight="15"/>
  <sheetData>
    <row r="1" spans="1:17">
      <c r="A1" t="s">
        <v>691</v>
      </c>
      <c r="B1" t="s">
        <v>46</v>
      </c>
      <c r="C1" t="s">
        <v>47</v>
      </c>
      <c r="D1" t="s">
        <v>48</v>
      </c>
      <c r="E1" t="s">
        <v>2</v>
      </c>
      <c r="F1" s="25" t="s">
        <v>10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</row>
    <row r="2" spans="1:17">
      <c r="A2" t="s">
        <v>692</v>
      </c>
      <c r="B2" t="s">
        <v>406</v>
      </c>
      <c r="C2" t="s">
        <v>407</v>
      </c>
      <c r="D2" t="s">
        <v>30</v>
      </c>
      <c r="E2" t="s">
        <v>3</v>
      </c>
      <c r="F2" s="25" t="s">
        <v>62</v>
      </c>
      <c r="G2" t="s">
        <v>408</v>
      </c>
      <c r="H2" t="s">
        <v>409</v>
      </c>
      <c r="I2" t="s">
        <v>410</v>
      </c>
      <c r="J2" t="s">
        <v>27</v>
      </c>
      <c r="K2" t="s">
        <v>409</v>
      </c>
      <c r="L2" t="s">
        <v>411</v>
      </c>
      <c r="M2" t="s">
        <v>412</v>
      </c>
      <c r="N2" t="s">
        <v>412</v>
      </c>
      <c r="P2" t="s">
        <v>413</v>
      </c>
    </row>
    <row r="3" spans="1:17">
      <c r="A3" t="s">
        <v>693</v>
      </c>
      <c r="B3" t="s">
        <v>414</v>
      </c>
      <c r="C3" t="s">
        <v>407</v>
      </c>
      <c r="D3" t="s">
        <v>30</v>
      </c>
      <c r="E3" t="s">
        <v>3</v>
      </c>
      <c r="F3" s="25" t="s">
        <v>62</v>
      </c>
      <c r="G3" t="s">
        <v>408</v>
      </c>
      <c r="H3" t="s">
        <v>66</v>
      </c>
      <c r="I3" t="s">
        <v>410</v>
      </c>
      <c r="J3" t="s">
        <v>27</v>
      </c>
      <c r="K3" t="s">
        <v>66</v>
      </c>
      <c r="L3" t="s">
        <v>411</v>
      </c>
      <c r="M3" t="s">
        <v>412</v>
      </c>
      <c r="N3" t="s">
        <v>412</v>
      </c>
      <c r="P3" t="s">
        <v>413</v>
      </c>
    </row>
    <row r="4" spans="1:17">
      <c r="A4" t="s">
        <v>694</v>
      </c>
      <c r="B4" t="s">
        <v>415</v>
      </c>
      <c r="C4" t="s">
        <v>407</v>
      </c>
      <c r="D4" t="s">
        <v>30</v>
      </c>
      <c r="E4" t="s">
        <v>3</v>
      </c>
      <c r="F4" s="25" t="s">
        <v>62</v>
      </c>
      <c r="G4" t="s">
        <v>408</v>
      </c>
      <c r="H4" t="s">
        <v>416</v>
      </c>
      <c r="I4" t="s">
        <v>410</v>
      </c>
      <c r="J4" t="s">
        <v>27</v>
      </c>
      <c r="K4" t="s">
        <v>416</v>
      </c>
      <c r="L4" t="s">
        <v>411</v>
      </c>
      <c r="M4" t="s">
        <v>412</v>
      </c>
      <c r="N4" t="s">
        <v>412</v>
      </c>
      <c r="P4" t="s">
        <v>413</v>
      </c>
    </row>
    <row r="5" spans="1:17">
      <c r="A5" t="s">
        <v>695</v>
      </c>
      <c r="B5" t="s">
        <v>417</v>
      </c>
      <c r="C5" t="s">
        <v>407</v>
      </c>
      <c r="D5" t="s">
        <v>30</v>
      </c>
      <c r="E5" t="s">
        <v>3</v>
      </c>
      <c r="F5" s="25" t="s">
        <v>62</v>
      </c>
      <c r="G5" t="s">
        <v>408</v>
      </c>
      <c r="H5" t="s">
        <v>94</v>
      </c>
      <c r="I5" t="s">
        <v>410</v>
      </c>
      <c r="J5" t="s">
        <v>27</v>
      </c>
      <c r="K5" t="s">
        <v>94</v>
      </c>
      <c r="L5" t="s">
        <v>411</v>
      </c>
      <c r="M5" t="s">
        <v>412</v>
      </c>
      <c r="N5" t="s">
        <v>412</v>
      </c>
      <c r="P5" t="s">
        <v>413</v>
      </c>
    </row>
    <row r="6" spans="1:17">
      <c r="A6" t="s">
        <v>696</v>
      </c>
      <c r="B6" t="s">
        <v>418</v>
      </c>
      <c r="C6" t="s">
        <v>407</v>
      </c>
      <c r="D6" t="s">
        <v>30</v>
      </c>
      <c r="E6" t="s">
        <v>3</v>
      </c>
      <c r="F6" s="25" t="s">
        <v>62</v>
      </c>
      <c r="G6" t="s">
        <v>408</v>
      </c>
      <c r="H6" t="s">
        <v>383</v>
      </c>
      <c r="I6" t="s">
        <v>410</v>
      </c>
      <c r="J6" t="s">
        <v>27</v>
      </c>
      <c r="K6" t="s">
        <v>383</v>
      </c>
      <c r="L6" t="s">
        <v>411</v>
      </c>
      <c r="M6" t="s">
        <v>412</v>
      </c>
      <c r="N6" t="s">
        <v>412</v>
      </c>
      <c r="P6" t="s">
        <v>413</v>
      </c>
    </row>
    <row r="7" spans="1:17">
      <c r="A7" t="s">
        <v>697</v>
      </c>
      <c r="B7" t="s">
        <v>419</v>
      </c>
      <c r="C7" t="s">
        <v>407</v>
      </c>
      <c r="D7" t="s">
        <v>30</v>
      </c>
      <c r="E7" t="s">
        <v>3</v>
      </c>
      <c r="F7" s="25" t="s">
        <v>62</v>
      </c>
      <c r="G7" t="s">
        <v>408</v>
      </c>
      <c r="H7" t="s">
        <v>420</v>
      </c>
      <c r="I7" t="s">
        <v>410</v>
      </c>
      <c r="J7" t="s">
        <v>27</v>
      </c>
      <c r="K7" t="s">
        <v>420</v>
      </c>
      <c r="L7" t="s">
        <v>411</v>
      </c>
      <c r="N7" t="s">
        <v>412</v>
      </c>
      <c r="P7" t="s">
        <v>421</v>
      </c>
    </row>
    <row r="8" spans="1:17">
      <c r="A8" t="s">
        <v>698</v>
      </c>
      <c r="B8" t="s">
        <v>422</v>
      </c>
      <c r="C8" t="s">
        <v>407</v>
      </c>
      <c r="D8" t="s">
        <v>30</v>
      </c>
      <c r="E8" t="s">
        <v>3</v>
      </c>
      <c r="F8" s="25" t="s">
        <v>62</v>
      </c>
      <c r="G8" t="s">
        <v>408</v>
      </c>
      <c r="H8" t="s">
        <v>423</v>
      </c>
      <c r="I8" t="s">
        <v>410</v>
      </c>
      <c r="J8" t="s">
        <v>27</v>
      </c>
      <c r="K8" t="s">
        <v>423</v>
      </c>
      <c r="L8" t="s">
        <v>411</v>
      </c>
      <c r="N8" t="s">
        <v>412</v>
      </c>
      <c r="P8" t="s">
        <v>421</v>
      </c>
    </row>
    <row r="9" spans="1:17">
      <c r="A9" t="s">
        <v>699</v>
      </c>
      <c r="B9" t="s">
        <v>424</v>
      </c>
      <c r="C9" t="s">
        <v>425</v>
      </c>
      <c r="D9" t="s">
        <v>30</v>
      </c>
      <c r="E9" t="s">
        <v>3</v>
      </c>
      <c r="F9" s="25" t="s">
        <v>62</v>
      </c>
      <c r="G9" t="s">
        <v>66</v>
      </c>
      <c r="H9" t="s">
        <v>426</v>
      </c>
      <c r="I9" t="s">
        <v>427</v>
      </c>
      <c r="J9" t="s">
        <v>27</v>
      </c>
      <c r="K9" t="s">
        <v>66</v>
      </c>
      <c r="M9">
        <v>0</v>
      </c>
      <c r="N9">
        <v>0</v>
      </c>
      <c r="O9">
        <v>0</v>
      </c>
      <c r="P9" t="s">
        <v>428</v>
      </c>
    </row>
    <row r="10" spans="1:17">
      <c r="A10" t="s">
        <v>700</v>
      </c>
      <c r="B10" t="s">
        <v>429</v>
      </c>
      <c r="C10" t="s">
        <v>430</v>
      </c>
      <c r="D10" t="s">
        <v>30</v>
      </c>
      <c r="E10" t="s">
        <v>3</v>
      </c>
      <c r="F10" s="25" t="s">
        <v>62</v>
      </c>
      <c r="G10" t="s">
        <v>266</v>
      </c>
      <c r="H10" t="s">
        <v>431</v>
      </c>
      <c r="I10" t="s">
        <v>432</v>
      </c>
      <c r="J10" t="s">
        <v>27</v>
      </c>
      <c r="K10" t="s">
        <v>433</v>
      </c>
      <c r="L10" t="s">
        <v>66</v>
      </c>
      <c r="M10">
        <v>5000</v>
      </c>
      <c r="N10">
        <v>5000</v>
      </c>
      <c r="O10">
        <v>0</v>
      </c>
      <c r="P10" t="s">
        <v>434</v>
      </c>
    </row>
    <row r="11" spans="1:17">
      <c r="A11" t="s">
        <v>701</v>
      </c>
      <c r="B11" t="s">
        <v>435</v>
      </c>
      <c r="C11" t="s">
        <v>430</v>
      </c>
      <c r="D11" t="s">
        <v>30</v>
      </c>
      <c r="E11" t="s">
        <v>3</v>
      </c>
      <c r="F11" s="25" t="s">
        <v>62</v>
      </c>
      <c r="G11" t="s">
        <v>266</v>
      </c>
      <c r="H11" t="s">
        <v>436</v>
      </c>
      <c r="I11" t="s">
        <v>432</v>
      </c>
      <c r="J11" t="s">
        <v>27</v>
      </c>
      <c r="K11" t="s">
        <v>437</v>
      </c>
      <c r="L11" t="s">
        <v>66</v>
      </c>
      <c r="M11">
        <v>0</v>
      </c>
      <c r="N11" t="s">
        <v>438</v>
      </c>
      <c r="O11">
        <v>0</v>
      </c>
      <c r="P11" t="s">
        <v>439</v>
      </c>
    </row>
    <row r="12" spans="1:17">
      <c r="A12" t="s">
        <v>702</v>
      </c>
      <c r="B12" t="s">
        <v>440</v>
      </c>
      <c r="C12" t="s">
        <v>430</v>
      </c>
      <c r="D12" t="s">
        <v>30</v>
      </c>
      <c r="E12" t="s">
        <v>3</v>
      </c>
      <c r="F12" s="25" t="s">
        <v>62</v>
      </c>
      <c r="G12" t="s">
        <v>266</v>
      </c>
      <c r="H12" t="s">
        <v>441</v>
      </c>
      <c r="I12" t="s">
        <v>432</v>
      </c>
      <c r="J12" t="s">
        <v>27</v>
      </c>
      <c r="K12" t="s">
        <v>442</v>
      </c>
      <c r="L12" t="s">
        <v>66</v>
      </c>
      <c r="M12">
        <v>0</v>
      </c>
      <c r="N12" t="s">
        <v>438</v>
      </c>
      <c r="O12">
        <v>0</v>
      </c>
      <c r="P12" t="s">
        <v>439</v>
      </c>
    </row>
    <row r="13" spans="1:17">
      <c r="A13" t="s">
        <v>703</v>
      </c>
      <c r="B13" t="s">
        <v>443</v>
      </c>
      <c r="C13" t="s">
        <v>430</v>
      </c>
      <c r="D13" t="s">
        <v>30</v>
      </c>
      <c r="E13" t="s">
        <v>3</v>
      </c>
      <c r="F13" s="25" t="s">
        <v>62</v>
      </c>
      <c r="G13" t="s">
        <v>266</v>
      </c>
      <c r="H13" t="s">
        <v>444</v>
      </c>
      <c r="I13" t="s">
        <v>432</v>
      </c>
      <c r="J13" t="s">
        <v>27</v>
      </c>
      <c r="K13" t="s">
        <v>445</v>
      </c>
      <c r="L13" t="s">
        <v>66</v>
      </c>
      <c r="M13">
        <v>0</v>
      </c>
      <c r="N13" t="s">
        <v>438</v>
      </c>
      <c r="O13">
        <v>0</v>
      </c>
      <c r="P13" t="s">
        <v>439</v>
      </c>
    </row>
    <row r="14" spans="1:17">
      <c r="A14" t="s">
        <v>704</v>
      </c>
      <c r="B14" t="s">
        <v>446</v>
      </c>
      <c r="C14" t="s">
        <v>430</v>
      </c>
      <c r="D14" t="s">
        <v>30</v>
      </c>
      <c r="E14" t="s">
        <v>3</v>
      </c>
      <c r="F14" s="25" t="s">
        <v>62</v>
      </c>
      <c r="G14" t="s">
        <v>266</v>
      </c>
      <c r="H14" t="s">
        <v>447</v>
      </c>
      <c r="I14" t="s">
        <v>432</v>
      </c>
      <c r="J14" t="s">
        <v>27</v>
      </c>
      <c r="K14" t="s">
        <v>448</v>
      </c>
      <c r="L14" t="s">
        <v>66</v>
      </c>
      <c r="M14">
        <v>0</v>
      </c>
      <c r="N14" t="s">
        <v>438</v>
      </c>
      <c r="O14">
        <v>0</v>
      </c>
      <c r="P14" t="s">
        <v>439</v>
      </c>
    </row>
    <row r="15" spans="1:17">
      <c r="A15" t="s">
        <v>705</v>
      </c>
      <c r="B15" t="s">
        <v>449</v>
      </c>
      <c r="C15" t="s">
        <v>430</v>
      </c>
      <c r="D15" t="s">
        <v>30</v>
      </c>
      <c r="E15" t="s">
        <v>3</v>
      </c>
      <c r="F15" s="25" t="s">
        <v>62</v>
      </c>
      <c r="G15" t="s">
        <v>266</v>
      </c>
      <c r="H15" t="s">
        <v>450</v>
      </c>
      <c r="I15" t="s">
        <v>432</v>
      </c>
      <c r="J15" t="s">
        <v>27</v>
      </c>
      <c r="K15" t="s">
        <v>451</v>
      </c>
      <c r="L15" t="s">
        <v>66</v>
      </c>
      <c r="M15">
        <v>0</v>
      </c>
      <c r="N15" t="s">
        <v>438</v>
      </c>
      <c r="O15">
        <v>0</v>
      </c>
      <c r="P15" t="s">
        <v>439</v>
      </c>
    </row>
    <row r="16" spans="1:17">
      <c r="A16" t="s">
        <v>706</v>
      </c>
      <c r="B16" t="s">
        <v>452</v>
      </c>
      <c r="C16" t="s">
        <v>430</v>
      </c>
      <c r="D16" t="s">
        <v>30</v>
      </c>
      <c r="E16" t="s">
        <v>3</v>
      </c>
      <c r="F16" s="25" t="s">
        <v>62</v>
      </c>
      <c r="G16" t="s">
        <v>266</v>
      </c>
      <c r="H16" t="s">
        <v>453</v>
      </c>
      <c r="I16" t="s">
        <v>432</v>
      </c>
      <c r="J16" t="s">
        <v>27</v>
      </c>
      <c r="K16" t="s">
        <v>454</v>
      </c>
      <c r="L16" t="s">
        <v>66</v>
      </c>
      <c r="M16">
        <v>-22786.57</v>
      </c>
      <c r="N16">
        <v>-22786.57</v>
      </c>
      <c r="O16">
        <v>0</v>
      </c>
      <c r="P16" t="s">
        <v>434</v>
      </c>
    </row>
    <row r="17" spans="1:16">
      <c r="A17" t="s">
        <v>707</v>
      </c>
      <c r="B17" t="s">
        <v>455</v>
      </c>
      <c r="C17" t="s">
        <v>430</v>
      </c>
      <c r="D17" t="s">
        <v>30</v>
      </c>
      <c r="E17" t="s">
        <v>3</v>
      </c>
      <c r="F17" s="25" t="s">
        <v>62</v>
      </c>
      <c r="G17" t="s">
        <v>266</v>
      </c>
      <c r="H17" t="s">
        <v>456</v>
      </c>
      <c r="I17" t="s">
        <v>432</v>
      </c>
      <c r="J17" t="s">
        <v>27</v>
      </c>
      <c r="K17" t="s">
        <v>457</v>
      </c>
      <c r="L17" t="s">
        <v>66</v>
      </c>
      <c r="M17">
        <v>0</v>
      </c>
      <c r="N17" t="s">
        <v>438</v>
      </c>
      <c r="O17">
        <v>0</v>
      </c>
      <c r="P17" t="s">
        <v>439</v>
      </c>
    </row>
    <row r="18" spans="1:16">
      <c r="A18" t="s">
        <v>708</v>
      </c>
      <c r="B18" t="s">
        <v>458</v>
      </c>
      <c r="C18" t="s">
        <v>430</v>
      </c>
      <c r="D18" t="s">
        <v>30</v>
      </c>
      <c r="E18" t="s">
        <v>3</v>
      </c>
      <c r="F18" s="25" t="s">
        <v>62</v>
      </c>
      <c r="G18" t="s">
        <v>266</v>
      </c>
      <c r="H18" t="s">
        <v>459</v>
      </c>
      <c r="I18" t="s">
        <v>432</v>
      </c>
      <c r="J18" t="s">
        <v>27</v>
      </c>
      <c r="K18" t="s">
        <v>460</v>
      </c>
      <c r="L18" t="s">
        <v>66</v>
      </c>
      <c r="M18">
        <v>0</v>
      </c>
      <c r="N18" t="s">
        <v>438</v>
      </c>
      <c r="O18">
        <v>0</v>
      </c>
      <c r="P18" t="s">
        <v>439</v>
      </c>
    </row>
    <row r="19" spans="1:16">
      <c r="A19" t="s">
        <v>709</v>
      </c>
      <c r="B19" t="s">
        <v>461</v>
      </c>
      <c r="C19" t="s">
        <v>430</v>
      </c>
      <c r="D19" t="s">
        <v>30</v>
      </c>
      <c r="E19" t="s">
        <v>3</v>
      </c>
      <c r="F19" s="25" t="s">
        <v>62</v>
      </c>
      <c r="G19" t="s">
        <v>266</v>
      </c>
      <c r="H19" t="s">
        <v>462</v>
      </c>
      <c r="I19" t="s">
        <v>432</v>
      </c>
      <c r="J19" t="s">
        <v>27</v>
      </c>
      <c r="K19" t="s">
        <v>463</v>
      </c>
      <c r="L19" t="s">
        <v>66</v>
      </c>
      <c r="M19">
        <v>-380675.18</v>
      </c>
      <c r="N19">
        <v>-380675.18</v>
      </c>
      <c r="O19">
        <v>0</v>
      </c>
      <c r="P19" t="s">
        <v>434</v>
      </c>
    </row>
    <row r="20" spans="1:16">
      <c r="A20" t="s">
        <v>710</v>
      </c>
      <c r="B20" t="s">
        <v>464</v>
      </c>
      <c r="C20" t="s">
        <v>430</v>
      </c>
      <c r="D20" t="s">
        <v>30</v>
      </c>
      <c r="E20" t="s">
        <v>3</v>
      </c>
      <c r="F20" s="25" t="s">
        <v>62</v>
      </c>
      <c r="G20" t="s">
        <v>266</v>
      </c>
      <c r="H20" t="s">
        <v>465</v>
      </c>
      <c r="I20" t="s">
        <v>432</v>
      </c>
      <c r="J20" t="s">
        <v>27</v>
      </c>
      <c r="K20" t="s">
        <v>466</v>
      </c>
      <c r="L20" t="s">
        <v>66</v>
      </c>
      <c r="M20">
        <v>-19169.37</v>
      </c>
      <c r="N20">
        <v>-19169.37</v>
      </c>
      <c r="O20">
        <v>0</v>
      </c>
      <c r="P20" t="s">
        <v>434</v>
      </c>
    </row>
    <row r="21" spans="1:16">
      <c r="A21" t="s">
        <v>711</v>
      </c>
      <c r="B21" t="s">
        <v>467</v>
      </c>
      <c r="C21" t="s">
        <v>430</v>
      </c>
      <c r="D21" t="s">
        <v>30</v>
      </c>
      <c r="E21" t="s">
        <v>3</v>
      </c>
      <c r="F21" s="25" t="s">
        <v>62</v>
      </c>
      <c r="G21" t="s">
        <v>266</v>
      </c>
      <c r="H21" t="s">
        <v>468</v>
      </c>
      <c r="I21" t="s">
        <v>432</v>
      </c>
      <c r="J21" t="s">
        <v>27</v>
      </c>
      <c r="K21" t="s">
        <v>469</v>
      </c>
      <c r="L21" t="s">
        <v>66</v>
      </c>
      <c r="M21">
        <v>-38200000</v>
      </c>
      <c r="N21">
        <v>-38200000</v>
      </c>
      <c r="O21">
        <v>0</v>
      </c>
      <c r="P21" t="s">
        <v>434</v>
      </c>
    </row>
    <row r="22" spans="1:16">
      <c r="A22" t="s">
        <v>712</v>
      </c>
      <c r="B22" t="s">
        <v>470</v>
      </c>
      <c r="C22" t="s">
        <v>430</v>
      </c>
      <c r="D22" t="s">
        <v>30</v>
      </c>
      <c r="E22" t="s">
        <v>3</v>
      </c>
      <c r="F22" s="25" t="s">
        <v>62</v>
      </c>
      <c r="G22" t="s">
        <v>266</v>
      </c>
      <c r="H22" t="s">
        <v>471</v>
      </c>
      <c r="I22" t="s">
        <v>432</v>
      </c>
      <c r="J22" t="s">
        <v>27</v>
      </c>
      <c r="K22" t="s">
        <v>472</v>
      </c>
      <c r="L22" t="s">
        <v>66</v>
      </c>
      <c r="M22">
        <v>-7015519.4900000002</v>
      </c>
      <c r="N22">
        <v>-7015519.4900000002</v>
      </c>
      <c r="O22">
        <v>0</v>
      </c>
      <c r="P22" t="s">
        <v>434</v>
      </c>
    </row>
    <row r="23" spans="1:16">
      <c r="A23" t="s">
        <v>713</v>
      </c>
      <c r="B23" t="s">
        <v>473</v>
      </c>
      <c r="C23" t="s">
        <v>430</v>
      </c>
      <c r="D23" t="s">
        <v>30</v>
      </c>
      <c r="E23" t="s">
        <v>3</v>
      </c>
      <c r="F23" s="25" t="s">
        <v>62</v>
      </c>
      <c r="G23" t="s">
        <v>266</v>
      </c>
      <c r="H23" t="s">
        <v>474</v>
      </c>
      <c r="I23" t="s">
        <v>432</v>
      </c>
      <c r="J23" t="s">
        <v>27</v>
      </c>
      <c r="K23" t="s">
        <v>475</v>
      </c>
      <c r="L23" t="s">
        <v>66</v>
      </c>
      <c r="M23">
        <v>-14291187.24</v>
      </c>
      <c r="N23">
        <v>-14291187.24</v>
      </c>
      <c r="O23">
        <v>0</v>
      </c>
      <c r="P23" t="s">
        <v>434</v>
      </c>
    </row>
    <row r="24" spans="1:16">
      <c r="A24" t="s">
        <v>714</v>
      </c>
      <c r="B24" t="s">
        <v>476</v>
      </c>
      <c r="C24" t="s">
        <v>430</v>
      </c>
      <c r="D24" t="s">
        <v>30</v>
      </c>
      <c r="E24" t="s">
        <v>3</v>
      </c>
      <c r="F24" s="25" t="s">
        <v>62</v>
      </c>
      <c r="G24" t="s">
        <v>266</v>
      </c>
      <c r="H24" t="s">
        <v>477</v>
      </c>
      <c r="I24" t="s">
        <v>432</v>
      </c>
      <c r="J24" t="s">
        <v>27</v>
      </c>
      <c r="K24" t="s">
        <v>478</v>
      </c>
      <c r="L24" t="s">
        <v>66</v>
      </c>
      <c r="M24">
        <v>10629039</v>
      </c>
      <c r="N24">
        <v>10629039</v>
      </c>
      <c r="O24">
        <v>0</v>
      </c>
      <c r="P24" t="s">
        <v>434</v>
      </c>
    </row>
    <row r="25" spans="1:16">
      <c r="A25" t="s">
        <v>715</v>
      </c>
      <c r="B25" t="s">
        <v>479</v>
      </c>
      <c r="C25" t="s">
        <v>430</v>
      </c>
      <c r="D25" t="s">
        <v>30</v>
      </c>
      <c r="E25" t="s">
        <v>3</v>
      </c>
      <c r="F25" s="25" t="s">
        <v>62</v>
      </c>
      <c r="G25" t="s">
        <v>266</v>
      </c>
      <c r="H25" t="s">
        <v>480</v>
      </c>
      <c r="I25" t="s">
        <v>432</v>
      </c>
      <c r="J25" t="s">
        <v>27</v>
      </c>
      <c r="K25" t="s">
        <v>481</v>
      </c>
      <c r="L25" t="s">
        <v>66</v>
      </c>
      <c r="M25">
        <v>5981.99</v>
      </c>
      <c r="N25">
        <v>5981.99</v>
      </c>
      <c r="O25">
        <v>0</v>
      </c>
      <c r="P25" t="s">
        <v>434</v>
      </c>
    </row>
    <row r="26" spans="1:16">
      <c r="A26" t="s">
        <v>716</v>
      </c>
      <c r="B26" t="s">
        <v>482</v>
      </c>
      <c r="C26" t="s">
        <v>430</v>
      </c>
      <c r="D26" t="s">
        <v>30</v>
      </c>
      <c r="E26" t="s">
        <v>3</v>
      </c>
      <c r="F26" s="25" t="s">
        <v>62</v>
      </c>
      <c r="G26" t="s">
        <v>266</v>
      </c>
      <c r="H26" t="s">
        <v>483</v>
      </c>
      <c r="I26" t="s">
        <v>432</v>
      </c>
      <c r="J26" t="s">
        <v>27</v>
      </c>
      <c r="K26" t="s">
        <v>484</v>
      </c>
      <c r="L26" t="s">
        <v>66</v>
      </c>
      <c r="M26">
        <v>0</v>
      </c>
      <c r="N26" t="s">
        <v>438</v>
      </c>
      <c r="O26">
        <v>0</v>
      </c>
      <c r="P26" t="s">
        <v>439</v>
      </c>
    </row>
    <row r="27" spans="1:16">
      <c r="A27" t="s">
        <v>717</v>
      </c>
      <c r="B27" t="s">
        <v>485</v>
      </c>
      <c r="C27" t="s">
        <v>430</v>
      </c>
      <c r="D27" t="s">
        <v>30</v>
      </c>
      <c r="E27" t="s">
        <v>3</v>
      </c>
      <c r="F27" s="25" t="s">
        <v>62</v>
      </c>
      <c r="G27" t="s">
        <v>266</v>
      </c>
      <c r="H27" t="s">
        <v>486</v>
      </c>
      <c r="I27" t="s">
        <v>432</v>
      </c>
      <c r="J27" t="s">
        <v>27</v>
      </c>
      <c r="K27" t="s">
        <v>487</v>
      </c>
      <c r="L27" t="s">
        <v>66</v>
      </c>
      <c r="M27">
        <v>-166963.42000000001</v>
      </c>
      <c r="N27">
        <v>-166963.42000000001</v>
      </c>
      <c r="O27">
        <v>0</v>
      </c>
      <c r="P27" t="s">
        <v>434</v>
      </c>
    </row>
    <row r="28" spans="1:16">
      <c r="A28" t="s">
        <v>718</v>
      </c>
      <c r="B28" t="s">
        <v>488</v>
      </c>
      <c r="C28" t="s">
        <v>430</v>
      </c>
      <c r="D28" t="s">
        <v>30</v>
      </c>
      <c r="E28" t="s">
        <v>3</v>
      </c>
      <c r="F28" s="25" t="s">
        <v>62</v>
      </c>
      <c r="G28" t="s">
        <v>266</v>
      </c>
      <c r="H28" t="s">
        <v>489</v>
      </c>
      <c r="I28" t="s">
        <v>432</v>
      </c>
      <c r="J28" t="s">
        <v>27</v>
      </c>
      <c r="K28" t="s">
        <v>490</v>
      </c>
      <c r="L28" t="s">
        <v>66</v>
      </c>
      <c r="M28">
        <v>175821.38</v>
      </c>
      <c r="N28">
        <v>175821.38</v>
      </c>
      <c r="O28">
        <v>0</v>
      </c>
      <c r="P28" t="s">
        <v>434</v>
      </c>
    </row>
    <row r="29" spans="1:16">
      <c r="A29" t="s">
        <v>719</v>
      </c>
      <c r="B29" t="s">
        <v>491</v>
      </c>
      <c r="C29" t="s">
        <v>430</v>
      </c>
      <c r="D29" t="s">
        <v>30</v>
      </c>
      <c r="E29" t="s">
        <v>3</v>
      </c>
      <c r="F29" s="25" t="s">
        <v>62</v>
      </c>
      <c r="G29" t="s">
        <v>266</v>
      </c>
      <c r="H29" t="s">
        <v>492</v>
      </c>
      <c r="I29" t="s">
        <v>432</v>
      </c>
      <c r="J29" t="s">
        <v>27</v>
      </c>
      <c r="K29" t="s">
        <v>493</v>
      </c>
      <c r="L29" t="s">
        <v>66</v>
      </c>
      <c r="M29">
        <v>0</v>
      </c>
      <c r="N29" t="s">
        <v>438</v>
      </c>
      <c r="O29">
        <v>0</v>
      </c>
      <c r="P29" t="s">
        <v>439</v>
      </c>
    </row>
    <row r="30" spans="1:16">
      <c r="A30" t="s">
        <v>720</v>
      </c>
      <c r="B30" t="s">
        <v>494</v>
      </c>
      <c r="C30" t="s">
        <v>430</v>
      </c>
      <c r="D30" t="s">
        <v>30</v>
      </c>
      <c r="E30" t="s">
        <v>3</v>
      </c>
      <c r="F30" s="25" t="s">
        <v>62</v>
      </c>
      <c r="G30" t="s">
        <v>266</v>
      </c>
      <c r="H30" t="s">
        <v>64</v>
      </c>
      <c r="I30" t="s">
        <v>432</v>
      </c>
      <c r="J30" t="s">
        <v>27</v>
      </c>
      <c r="K30" t="s">
        <v>495</v>
      </c>
      <c r="L30" t="s">
        <v>66</v>
      </c>
      <c r="M30">
        <v>-85745.35</v>
      </c>
      <c r="N30">
        <v>-85745.35</v>
      </c>
      <c r="O30">
        <v>0</v>
      </c>
      <c r="P30" t="s">
        <v>434</v>
      </c>
    </row>
    <row r="31" spans="1:16">
      <c r="A31" t="s">
        <v>721</v>
      </c>
      <c r="B31" t="s">
        <v>496</v>
      </c>
      <c r="C31" t="s">
        <v>430</v>
      </c>
      <c r="D31" t="s">
        <v>30</v>
      </c>
      <c r="E31" t="s">
        <v>3</v>
      </c>
      <c r="F31" s="25" t="s">
        <v>62</v>
      </c>
      <c r="G31" t="s">
        <v>266</v>
      </c>
      <c r="H31" t="s">
        <v>497</v>
      </c>
      <c r="I31" t="s">
        <v>432</v>
      </c>
      <c r="J31" t="s">
        <v>27</v>
      </c>
      <c r="K31" t="s">
        <v>498</v>
      </c>
      <c r="L31" t="s">
        <v>66</v>
      </c>
      <c r="M31">
        <v>0</v>
      </c>
      <c r="N31" t="s">
        <v>438</v>
      </c>
      <c r="O31">
        <v>0</v>
      </c>
      <c r="P31" t="s">
        <v>439</v>
      </c>
    </row>
    <row r="32" spans="1:16">
      <c r="A32" t="s">
        <v>722</v>
      </c>
      <c r="B32" t="s">
        <v>264</v>
      </c>
      <c r="C32" t="s">
        <v>265</v>
      </c>
      <c r="D32" t="s">
        <v>15</v>
      </c>
      <c r="E32" t="s">
        <v>3</v>
      </c>
      <c r="F32" s="25" t="s">
        <v>62</v>
      </c>
      <c r="G32" t="s">
        <v>266</v>
      </c>
      <c r="H32" t="s">
        <v>267</v>
      </c>
      <c r="I32" t="s">
        <v>268</v>
      </c>
      <c r="J32" t="s">
        <v>15</v>
      </c>
      <c r="K32" t="s">
        <v>66</v>
      </c>
      <c r="L32" t="s">
        <v>269</v>
      </c>
      <c r="M32">
        <v>284746.15000000002</v>
      </c>
      <c r="P32" t="s">
        <v>270</v>
      </c>
    </row>
    <row r="33" spans="1:16">
      <c r="A33" t="s">
        <v>723</v>
      </c>
      <c r="B33" t="s">
        <v>271</v>
      </c>
      <c r="C33" t="s">
        <v>265</v>
      </c>
      <c r="D33" t="s">
        <v>15</v>
      </c>
      <c r="E33" t="s">
        <v>3</v>
      </c>
      <c r="F33" s="25" t="s">
        <v>62</v>
      </c>
      <c r="G33" t="s">
        <v>266</v>
      </c>
      <c r="H33" t="s">
        <v>272</v>
      </c>
      <c r="I33" t="s">
        <v>268</v>
      </c>
      <c r="J33" t="s">
        <v>15</v>
      </c>
      <c r="K33" t="s">
        <v>66</v>
      </c>
      <c r="L33" t="s">
        <v>269</v>
      </c>
      <c r="M33">
        <v>353796.91</v>
      </c>
      <c r="P33" t="s">
        <v>270</v>
      </c>
    </row>
    <row r="34" spans="1:16">
      <c r="A34" t="s">
        <v>724</v>
      </c>
      <c r="B34" t="s">
        <v>273</v>
      </c>
      <c r="C34" t="s">
        <v>265</v>
      </c>
      <c r="D34" t="s">
        <v>15</v>
      </c>
      <c r="E34" t="s">
        <v>3</v>
      </c>
      <c r="F34" s="25" t="s">
        <v>62</v>
      </c>
      <c r="G34" t="s">
        <v>266</v>
      </c>
      <c r="H34" t="s">
        <v>274</v>
      </c>
      <c r="I34" t="s">
        <v>268</v>
      </c>
      <c r="J34" t="s">
        <v>15</v>
      </c>
      <c r="K34" t="s">
        <v>66</v>
      </c>
      <c r="L34" t="s">
        <v>275</v>
      </c>
      <c r="M34">
        <v>787827.63</v>
      </c>
      <c r="P34" t="s">
        <v>276</v>
      </c>
    </row>
    <row r="35" spans="1:16">
      <c r="A35" t="s">
        <v>725</v>
      </c>
      <c r="B35" t="s">
        <v>277</v>
      </c>
      <c r="C35" t="s">
        <v>265</v>
      </c>
      <c r="D35" t="s">
        <v>15</v>
      </c>
      <c r="E35" t="s">
        <v>3</v>
      </c>
      <c r="F35" s="25" t="s">
        <v>62</v>
      </c>
      <c r="G35" t="s">
        <v>266</v>
      </c>
      <c r="H35" t="s">
        <v>278</v>
      </c>
      <c r="I35" t="s">
        <v>268</v>
      </c>
      <c r="J35" t="s">
        <v>15</v>
      </c>
      <c r="K35" t="s">
        <v>66</v>
      </c>
      <c r="L35" t="s">
        <v>275</v>
      </c>
      <c r="M35">
        <v>190248.4</v>
      </c>
      <c r="P35" t="s">
        <v>276</v>
      </c>
    </row>
    <row r="36" spans="1:16">
      <c r="A36" t="s">
        <v>726</v>
      </c>
      <c r="B36" t="s">
        <v>279</v>
      </c>
      <c r="C36" t="s">
        <v>265</v>
      </c>
      <c r="D36" t="s">
        <v>15</v>
      </c>
      <c r="E36" t="s">
        <v>3</v>
      </c>
      <c r="F36" s="25" t="s">
        <v>62</v>
      </c>
      <c r="G36" t="s">
        <v>266</v>
      </c>
      <c r="H36" t="s">
        <v>280</v>
      </c>
      <c r="I36" t="s">
        <v>268</v>
      </c>
      <c r="J36" t="s">
        <v>15</v>
      </c>
      <c r="K36" t="s">
        <v>66</v>
      </c>
      <c r="L36" t="s">
        <v>275</v>
      </c>
      <c r="M36">
        <v>153000</v>
      </c>
      <c r="P36" t="s">
        <v>276</v>
      </c>
    </row>
    <row r="37" spans="1:16">
      <c r="A37" t="s">
        <v>727</v>
      </c>
      <c r="B37" t="s">
        <v>281</v>
      </c>
      <c r="C37" t="s">
        <v>265</v>
      </c>
      <c r="D37" t="s">
        <v>15</v>
      </c>
      <c r="E37" t="s">
        <v>3</v>
      </c>
      <c r="F37" s="25" t="s">
        <v>62</v>
      </c>
      <c r="G37" t="s">
        <v>266</v>
      </c>
      <c r="H37" t="s">
        <v>282</v>
      </c>
      <c r="I37" t="s">
        <v>268</v>
      </c>
      <c r="J37" t="s">
        <v>15</v>
      </c>
      <c r="K37" t="s">
        <v>66</v>
      </c>
      <c r="L37" t="s">
        <v>283</v>
      </c>
      <c r="M37">
        <v>132014.96</v>
      </c>
      <c r="P37" t="s">
        <v>284</v>
      </c>
    </row>
    <row r="38" spans="1:16">
      <c r="A38" t="s">
        <v>728</v>
      </c>
      <c r="B38" t="s">
        <v>285</v>
      </c>
      <c r="C38" t="s">
        <v>265</v>
      </c>
      <c r="D38" t="s">
        <v>15</v>
      </c>
      <c r="E38" t="s">
        <v>3</v>
      </c>
      <c r="F38" s="25" t="s">
        <v>62</v>
      </c>
      <c r="G38" t="s">
        <v>266</v>
      </c>
      <c r="H38" t="s">
        <v>286</v>
      </c>
      <c r="I38" t="s">
        <v>268</v>
      </c>
      <c r="J38" t="s">
        <v>15</v>
      </c>
      <c r="K38" t="s">
        <v>66</v>
      </c>
      <c r="L38" t="s">
        <v>287</v>
      </c>
      <c r="M38">
        <v>1250000</v>
      </c>
      <c r="P38" t="s">
        <v>288</v>
      </c>
    </row>
    <row r="39" spans="1:16">
      <c r="A39" t="s">
        <v>729</v>
      </c>
      <c r="B39" t="s">
        <v>289</v>
      </c>
      <c r="C39" t="s">
        <v>265</v>
      </c>
      <c r="D39" t="s">
        <v>15</v>
      </c>
      <c r="E39" t="s">
        <v>3</v>
      </c>
      <c r="F39" s="25" t="s">
        <v>62</v>
      </c>
      <c r="G39" t="s">
        <v>266</v>
      </c>
      <c r="H39" t="s">
        <v>290</v>
      </c>
      <c r="I39" t="s">
        <v>268</v>
      </c>
      <c r="J39" t="s">
        <v>15</v>
      </c>
      <c r="K39" t="s">
        <v>66</v>
      </c>
      <c r="L39" t="s">
        <v>287</v>
      </c>
      <c r="M39">
        <v>108836870.78</v>
      </c>
      <c r="P39" t="s">
        <v>288</v>
      </c>
    </row>
    <row r="40" spans="1:16">
      <c r="A40" t="s">
        <v>730</v>
      </c>
      <c r="B40" t="s">
        <v>291</v>
      </c>
      <c r="C40" t="s">
        <v>265</v>
      </c>
      <c r="D40" t="s">
        <v>15</v>
      </c>
      <c r="E40" t="s">
        <v>3</v>
      </c>
      <c r="F40" s="25" t="s">
        <v>62</v>
      </c>
      <c r="G40" t="s">
        <v>266</v>
      </c>
      <c r="H40" t="s">
        <v>292</v>
      </c>
      <c r="I40" t="s">
        <v>268</v>
      </c>
      <c r="J40" t="s">
        <v>15</v>
      </c>
      <c r="K40" t="s">
        <v>66</v>
      </c>
      <c r="L40" t="s">
        <v>287</v>
      </c>
      <c r="M40">
        <v>4174.1400000000003</v>
      </c>
      <c r="P40" t="s">
        <v>288</v>
      </c>
    </row>
    <row r="41" spans="1:16">
      <c r="A41" t="s">
        <v>731</v>
      </c>
      <c r="B41" t="s">
        <v>293</v>
      </c>
      <c r="C41" t="s">
        <v>265</v>
      </c>
      <c r="D41" t="s">
        <v>15</v>
      </c>
      <c r="E41" t="s">
        <v>3</v>
      </c>
      <c r="F41" s="25" t="s">
        <v>62</v>
      </c>
      <c r="G41" t="s">
        <v>266</v>
      </c>
      <c r="H41" t="s">
        <v>294</v>
      </c>
      <c r="I41" t="s">
        <v>268</v>
      </c>
      <c r="J41" t="s">
        <v>15</v>
      </c>
      <c r="K41" t="s">
        <v>66</v>
      </c>
      <c r="L41" t="s">
        <v>287</v>
      </c>
      <c r="M41">
        <v>8913</v>
      </c>
      <c r="P41" t="s">
        <v>288</v>
      </c>
    </row>
    <row r="42" spans="1:16">
      <c r="A42" t="s">
        <v>732</v>
      </c>
      <c r="B42" t="s">
        <v>295</v>
      </c>
      <c r="C42" t="s">
        <v>265</v>
      </c>
      <c r="D42" t="s">
        <v>15</v>
      </c>
      <c r="E42" t="s">
        <v>3</v>
      </c>
      <c r="F42" s="25" t="s">
        <v>62</v>
      </c>
      <c r="G42" t="s">
        <v>266</v>
      </c>
      <c r="H42" t="s">
        <v>296</v>
      </c>
      <c r="I42" t="s">
        <v>268</v>
      </c>
      <c r="J42" t="s">
        <v>15</v>
      </c>
      <c r="K42" t="s">
        <v>66</v>
      </c>
      <c r="L42" t="s">
        <v>287</v>
      </c>
      <c r="M42">
        <v>10372.450000000001</v>
      </c>
      <c r="P42" t="s">
        <v>288</v>
      </c>
    </row>
    <row r="43" spans="1:16">
      <c r="A43" t="s">
        <v>733</v>
      </c>
      <c r="B43" t="s">
        <v>297</v>
      </c>
      <c r="C43" t="s">
        <v>265</v>
      </c>
      <c r="D43" t="s">
        <v>15</v>
      </c>
      <c r="E43" t="s">
        <v>3</v>
      </c>
      <c r="F43" s="25" t="s">
        <v>62</v>
      </c>
      <c r="G43" t="s">
        <v>266</v>
      </c>
      <c r="H43" t="s">
        <v>298</v>
      </c>
      <c r="I43" t="s">
        <v>268</v>
      </c>
      <c r="J43" t="s">
        <v>15</v>
      </c>
      <c r="K43" t="s">
        <v>66</v>
      </c>
      <c r="L43" t="s">
        <v>287</v>
      </c>
      <c r="M43">
        <v>700000</v>
      </c>
      <c r="P43" t="s">
        <v>288</v>
      </c>
    </row>
    <row r="44" spans="1:16">
      <c r="A44" t="s">
        <v>734</v>
      </c>
      <c r="B44" t="s">
        <v>299</v>
      </c>
      <c r="C44" t="s">
        <v>265</v>
      </c>
      <c r="D44" t="s">
        <v>15</v>
      </c>
      <c r="E44" t="s">
        <v>3</v>
      </c>
      <c r="F44" s="25" t="s">
        <v>62</v>
      </c>
      <c r="G44" t="s">
        <v>266</v>
      </c>
      <c r="H44" t="s">
        <v>300</v>
      </c>
      <c r="I44" t="s">
        <v>268</v>
      </c>
      <c r="J44" t="s">
        <v>15</v>
      </c>
      <c r="K44" t="s">
        <v>66</v>
      </c>
      <c r="L44" t="s">
        <v>287</v>
      </c>
      <c r="M44">
        <v>115979.68</v>
      </c>
      <c r="P44" t="s">
        <v>288</v>
      </c>
    </row>
    <row r="45" spans="1:16">
      <c r="A45" t="s">
        <v>735</v>
      </c>
      <c r="B45" t="s">
        <v>301</v>
      </c>
      <c r="C45" t="s">
        <v>265</v>
      </c>
      <c r="D45" t="s">
        <v>15</v>
      </c>
      <c r="E45" t="s">
        <v>3</v>
      </c>
      <c r="F45" s="25" t="s">
        <v>62</v>
      </c>
      <c r="G45" t="s">
        <v>266</v>
      </c>
      <c r="H45" t="s">
        <v>302</v>
      </c>
      <c r="I45" t="s">
        <v>268</v>
      </c>
      <c r="J45" t="s">
        <v>15</v>
      </c>
      <c r="K45" t="s">
        <v>66</v>
      </c>
      <c r="L45" t="s">
        <v>303</v>
      </c>
      <c r="M45">
        <v>343941.1</v>
      </c>
      <c r="P45" t="s">
        <v>304</v>
      </c>
    </row>
    <row r="46" spans="1:16">
      <c r="A46" t="s">
        <v>736</v>
      </c>
      <c r="B46" t="s">
        <v>305</v>
      </c>
      <c r="C46" t="s">
        <v>265</v>
      </c>
      <c r="D46" t="s">
        <v>15</v>
      </c>
      <c r="E46" t="s">
        <v>3</v>
      </c>
      <c r="F46" s="25" t="s">
        <v>62</v>
      </c>
      <c r="G46" t="s">
        <v>266</v>
      </c>
      <c r="H46" t="s">
        <v>306</v>
      </c>
      <c r="I46" t="s">
        <v>268</v>
      </c>
      <c r="J46" t="s">
        <v>15</v>
      </c>
      <c r="K46" t="s">
        <v>66</v>
      </c>
      <c r="L46" t="s">
        <v>303</v>
      </c>
      <c r="M46">
        <v>10977056.619999999</v>
      </c>
      <c r="P46" t="s">
        <v>304</v>
      </c>
    </row>
    <row r="47" spans="1:16">
      <c r="A47" t="s">
        <v>737</v>
      </c>
      <c r="B47" t="s">
        <v>307</v>
      </c>
      <c r="C47" t="s">
        <v>265</v>
      </c>
      <c r="D47" t="s">
        <v>15</v>
      </c>
      <c r="E47" t="s">
        <v>3</v>
      </c>
      <c r="F47" s="25" t="s">
        <v>62</v>
      </c>
      <c r="G47" t="s">
        <v>266</v>
      </c>
      <c r="H47" t="s">
        <v>308</v>
      </c>
      <c r="I47" t="s">
        <v>268</v>
      </c>
      <c r="J47" t="s">
        <v>15</v>
      </c>
      <c r="K47" t="s">
        <v>66</v>
      </c>
      <c r="L47" t="s">
        <v>303</v>
      </c>
      <c r="M47">
        <v>2113129.2200000002</v>
      </c>
      <c r="P47" t="s">
        <v>304</v>
      </c>
    </row>
    <row r="48" spans="1:16">
      <c r="A48" t="s">
        <v>738</v>
      </c>
      <c r="B48" t="s">
        <v>309</v>
      </c>
      <c r="C48" t="s">
        <v>265</v>
      </c>
      <c r="D48" t="s">
        <v>15</v>
      </c>
      <c r="E48" t="s">
        <v>3</v>
      </c>
      <c r="F48" s="25" t="s">
        <v>62</v>
      </c>
      <c r="G48" t="s">
        <v>266</v>
      </c>
      <c r="H48" t="s">
        <v>310</v>
      </c>
      <c r="I48" t="s">
        <v>268</v>
      </c>
      <c r="J48" t="s">
        <v>15</v>
      </c>
      <c r="K48" t="s">
        <v>66</v>
      </c>
      <c r="L48" t="s">
        <v>311</v>
      </c>
      <c r="M48">
        <v>-76728.899999999994</v>
      </c>
      <c r="P48" t="s">
        <v>312</v>
      </c>
    </row>
    <row r="49" spans="1:17">
      <c r="A49" t="s">
        <v>739</v>
      </c>
      <c r="B49" t="s">
        <v>313</v>
      </c>
      <c r="C49" t="s">
        <v>265</v>
      </c>
      <c r="D49" t="s">
        <v>15</v>
      </c>
      <c r="E49" t="s">
        <v>3</v>
      </c>
      <c r="F49" s="25" t="s">
        <v>62</v>
      </c>
      <c r="G49" t="s">
        <v>266</v>
      </c>
      <c r="H49" t="s">
        <v>314</v>
      </c>
      <c r="I49" t="s">
        <v>268</v>
      </c>
      <c r="J49" t="s">
        <v>15</v>
      </c>
      <c r="K49" t="s">
        <v>66</v>
      </c>
      <c r="L49" t="s">
        <v>315</v>
      </c>
      <c r="M49">
        <v>-25733.24</v>
      </c>
      <c r="P49" t="s">
        <v>316</v>
      </c>
    </row>
    <row r="50" spans="1:17">
      <c r="A50" t="s">
        <v>740</v>
      </c>
      <c r="B50" t="s">
        <v>317</v>
      </c>
      <c r="C50" t="s">
        <v>265</v>
      </c>
      <c r="D50" t="s">
        <v>15</v>
      </c>
      <c r="E50" t="s">
        <v>3</v>
      </c>
      <c r="F50" s="25" t="s">
        <v>62</v>
      </c>
      <c r="G50" t="s">
        <v>266</v>
      </c>
      <c r="H50" t="s">
        <v>318</v>
      </c>
      <c r="I50" t="s">
        <v>268</v>
      </c>
      <c r="J50" t="s">
        <v>15</v>
      </c>
      <c r="K50" t="s">
        <v>66</v>
      </c>
      <c r="L50" t="s">
        <v>319</v>
      </c>
      <c r="M50">
        <v>-331454.28999999998</v>
      </c>
      <c r="P50" t="s">
        <v>320</v>
      </c>
    </row>
    <row r="51" spans="1:17">
      <c r="A51" t="s">
        <v>741</v>
      </c>
      <c r="B51" t="s">
        <v>321</v>
      </c>
      <c r="C51" t="s">
        <v>265</v>
      </c>
      <c r="D51" t="s">
        <v>15</v>
      </c>
      <c r="E51" t="s">
        <v>3</v>
      </c>
      <c r="F51" s="25" t="s">
        <v>62</v>
      </c>
      <c r="G51" t="s">
        <v>266</v>
      </c>
      <c r="H51" t="s">
        <v>322</v>
      </c>
      <c r="I51" t="s">
        <v>268</v>
      </c>
      <c r="J51" t="s">
        <v>15</v>
      </c>
      <c r="K51" t="s">
        <v>66</v>
      </c>
      <c r="L51" t="s">
        <v>319</v>
      </c>
      <c r="M51">
        <v>-350</v>
      </c>
      <c r="P51" t="s">
        <v>320</v>
      </c>
    </row>
    <row r="52" spans="1:17">
      <c r="A52" t="s">
        <v>742</v>
      </c>
      <c r="B52" t="s">
        <v>323</v>
      </c>
      <c r="C52" t="s">
        <v>265</v>
      </c>
      <c r="D52" t="s">
        <v>15</v>
      </c>
      <c r="E52" t="s">
        <v>3</v>
      </c>
      <c r="F52" s="25" t="s">
        <v>62</v>
      </c>
      <c r="G52" t="s">
        <v>266</v>
      </c>
      <c r="H52" t="s">
        <v>324</v>
      </c>
      <c r="I52" t="s">
        <v>268</v>
      </c>
      <c r="J52" t="s">
        <v>15</v>
      </c>
      <c r="K52" t="s">
        <v>66</v>
      </c>
      <c r="L52" t="s">
        <v>325</v>
      </c>
      <c r="M52">
        <v>-77830000</v>
      </c>
      <c r="P52" t="s">
        <v>326</v>
      </c>
    </row>
    <row r="53" spans="1:17">
      <c r="A53" t="s">
        <v>743</v>
      </c>
      <c r="B53" t="s">
        <v>499</v>
      </c>
      <c r="C53" t="s">
        <v>500</v>
      </c>
      <c r="D53" t="s">
        <v>30</v>
      </c>
      <c r="E53" t="s">
        <v>3</v>
      </c>
      <c r="F53" s="25" t="s">
        <v>62</v>
      </c>
      <c r="G53" t="s">
        <v>501</v>
      </c>
      <c r="H53" t="s">
        <v>502</v>
      </c>
      <c r="I53" t="s">
        <v>503</v>
      </c>
      <c r="J53" t="s">
        <v>27</v>
      </c>
      <c r="K53" t="s">
        <v>504</v>
      </c>
      <c r="P53" t="s">
        <v>505</v>
      </c>
    </row>
    <row r="54" spans="1:17">
      <c r="A54" t="s">
        <v>744</v>
      </c>
      <c r="B54" t="s">
        <v>506</v>
      </c>
      <c r="C54" t="s">
        <v>507</v>
      </c>
      <c r="D54" t="s">
        <v>30</v>
      </c>
      <c r="E54" t="s">
        <v>3</v>
      </c>
      <c r="F54" s="25" t="s">
        <v>62</v>
      </c>
      <c r="G54" t="s">
        <v>508</v>
      </c>
      <c r="H54" t="s">
        <v>509</v>
      </c>
      <c r="I54" t="s">
        <v>503</v>
      </c>
      <c r="J54" t="s">
        <v>27</v>
      </c>
      <c r="K54" t="s">
        <v>504</v>
      </c>
      <c r="P54" t="s">
        <v>505</v>
      </c>
    </row>
    <row r="55" spans="1:17">
      <c r="A55" t="s">
        <v>745</v>
      </c>
      <c r="B55" t="s">
        <v>60</v>
      </c>
      <c r="C55" t="s">
        <v>61</v>
      </c>
      <c r="D55" t="s">
        <v>32</v>
      </c>
      <c r="E55" t="s">
        <v>3</v>
      </c>
      <c r="F55" s="25" t="s">
        <v>62</v>
      </c>
      <c r="G55" t="s">
        <v>63</v>
      </c>
      <c r="H55" t="s">
        <v>64</v>
      </c>
      <c r="I55" t="s">
        <v>65</v>
      </c>
      <c r="J55" t="s">
        <v>29</v>
      </c>
      <c r="K55" t="s">
        <v>63</v>
      </c>
      <c r="L55" t="s">
        <v>66</v>
      </c>
      <c r="M55">
        <v>-112327.91</v>
      </c>
      <c r="N55">
        <v>-85745.35</v>
      </c>
      <c r="O55">
        <v>-26582.560000000001</v>
      </c>
      <c r="P55" t="s">
        <v>67</v>
      </c>
      <c r="Q55" t="s">
        <v>68</v>
      </c>
    </row>
    <row r="56" spans="1:17">
      <c r="A56" t="s">
        <v>746</v>
      </c>
      <c r="B56" t="s">
        <v>69</v>
      </c>
      <c r="C56" t="s">
        <v>70</v>
      </c>
      <c r="D56" t="s">
        <v>32</v>
      </c>
      <c r="E56" t="s">
        <v>3</v>
      </c>
      <c r="F56" s="25" t="s">
        <v>62</v>
      </c>
      <c r="G56" t="s">
        <v>63</v>
      </c>
      <c r="H56" t="s">
        <v>71</v>
      </c>
      <c r="I56" t="s">
        <v>72</v>
      </c>
      <c r="J56" t="s">
        <v>29</v>
      </c>
      <c r="K56" t="s">
        <v>63</v>
      </c>
      <c r="L56" t="s">
        <v>73</v>
      </c>
      <c r="M56">
        <v>652838.39</v>
      </c>
      <c r="N56">
        <v>679420.95</v>
      </c>
      <c r="O56">
        <v>-26582.560000000001</v>
      </c>
      <c r="P56" t="s">
        <v>74</v>
      </c>
      <c r="Q56" t="s">
        <v>68</v>
      </c>
    </row>
    <row r="57" spans="1:17">
      <c r="A57" t="s">
        <v>747</v>
      </c>
      <c r="B57" t="s">
        <v>75</v>
      </c>
      <c r="C57" t="s">
        <v>76</v>
      </c>
      <c r="D57" t="s">
        <v>32</v>
      </c>
      <c r="E57" t="s">
        <v>3</v>
      </c>
      <c r="F57" s="25" t="s">
        <v>62</v>
      </c>
      <c r="G57" t="s">
        <v>77</v>
      </c>
      <c r="H57" t="s">
        <v>78</v>
      </c>
      <c r="I57" t="s">
        <v>79</v>
      </c>
      <c r="J57" t="s">
        <v>29</v>
      </c>
      <c r="K57" t="s">
        <v>80</v>
      </c>
      <c r="M57">
        <v>284746.15000000002</v>
      </c>
      <c r="N57">
        <v>284746.15000000002</v>
      </c>
      <c r="O57">
        <v>0</v>
      </c>
      <c r="P57" t="s">
        <v>81</v>
      </c>
      <c r="Q57" t="s">
        <v>82</v>
      </c>
    </row>
    <row r="58" spans="1:17">
      <c r="A58" t="s">
        <v>748</v>
      </c>
      <c r="B58" t="s">
        <v>510</v>
      </c>
      <c r="C58" t="s">
        <v>511</v>
      </c>
      <c r="D58" t="s">
        <v>30</v>
      </c>
      <c r="E58" t="s">
        <v>3</v>
      </c>
      <c r="F58" s="25" t="s">
        <v>62</v>
      </c>
      <c r="G58" t="s">
        <v>77</v>
      </c>
      <c r="H58" t="s">
        <v>267</v>
      </c>
      <c r="I58" t="s">
        <v>512</v>
      </c>
      <c r="J58" t="s">
        <v>27</v>
      </c>
      <c r="K58" t="s">
        <v>513</v>
      </c>
      <c r="L58" t="s">
        <v>66</v>
      </c>
      <c r="M58">
        <v>284746.15000000002</v>
      </c>
      <c r="N58">
        <v>284746.15000000002</v>
      </c>
      <c r="O58">
        <v>0</v>
      </c>
      <c r="P58" t="s">
        <v>514</v>
      </c>
    </row>
    <row r="59" spans="1:17">
      <c r="A59" t="s">
        <v>749</v>
      </c>
      <c r="B59" t="s">
        <v>515</v>
      </c>
      <c r="C59" t="s">
        <v>516</v>
      </c>
      <c r="D59" t="s">
        <v>30</v>
      </c>
      <c r="E59" t="s">
        <v>3</v>
      </c>
      <c r="F59" s="25" t="s">
        <v>62</v>
      </c>
      <c r="G59" t="s">
        <v>77</v>
      </c>
      <c r="H59" t="s">
        <v>517</v>
      </c>
      <c r="I59" t="s">
        <v>518</v>
      </c>
      <c r="J59" t="s">
        <v>27</v>
      </c>
      <c r="K59" t="s">
        <v>88</v>
      </c>
      <c r="P59" t="s">
        <v>519</v>
      </c>
    </row>
    <row r="60" spans="1:17">
      <c r="A60" t="s">
        <v>750</v>
      </c>
      <c r="B60" t="s">
        <v>84</v>
      </c>
      <c r="C60" t="s">
        <v>85</v>
      </c>
      <c r="D60" t="s">
        <v>32</v>
      </c>
      <c r="E60" t="s">
        <v>3</v>
      </c>
      <c r="F60" s="25" t="s">
        <v>62</v>
      </c>
      <c r="G60" t="s">
        <v>77</v>
      </c>
      <c r="H60" t="s">
        <v>86</v>
      </c>
      <c r="I60" t="s">
        <v>87</v>
      </c>
      <c r="J60" t="s">
        <v>28</v>
      </c>
      <c r="K60" t="s">
        <v>88</v>
      </c>
      <c r="M60">
        <v>-1402.22</v>
      </c>
      <c r="N60" s="26">
        <v>46143</v>
      </c>
      <c r="O60" t="s">
        <v>89</v>
      </c>
      <c r="P60" t="s">
        <v>90</v>
      </c>
      <c r="Q60" t="s">
        <v>91</v>
      </c>
    </row>
    <row r="61" spans="1:17">
      <c r="A61" t="s">
        <v>751</v>
      </c>
      <c r="B61" t="s">
        <v>520</v>
      </c>
      <c r="C61" t="s">
        <v>76</v>
      </c>
      <c r="D61" t="s">
        <v>30</v>
      </c>
      <c r="E61" t="s">
        <v>3</v>
      </c>
      <c r="F61" s="25" t="s">
        <v>62</v>
      </c>
      <c r="G61" t="s">
        <v>77</v>
      </c>
      <c r="H61" t="s">
        <v>521</v>
      </c>
      <c r="I61" t="s">
        <v>79</v>
      </c>
      <c r="J61" t="s">
        <v>27</v>
      </c>
      <c r="K61" t="s">
        <v>80</v>
      </c>
      <c r="M61">
        <v>353796.91</v>
      </c>
      <c r="N61">
        <v>353796.91</v>
      </c>
      <c r="O61">
        <v>0</v>
      </c>
      <c r="P61" t="s">
        <v>522</v>
      </c>
    </row>
    <row r="62" spans="1:17">
      <c r="A62" t="s">
        <v>752</v>
      </c>
      <c r="B62" t="s">
        <v>523</v>
      </c>
      <c r="C62" t="s">
        <v>511</v>
      </c>
      <c r="D62" t="s">
        <v>30</v>
      </c>
      <c r="E62" t="s">
        <v>3</v>
      </c>
      <c r="F62" s="25" t="s">
        <v>62</v>
      </c>
      <c r="G62" t="s">
        <v>77</v>
      </c>
      <c r="H62" t="s">
        <v>272</v>
      </c>
      <c r="I62" t="s">
        <v>512</v>
      </c>
      <c r="J62" t="s">
        <v>27</v>
      </c>
      <c r="K62" t="s">
        <v>524</v>
      </c>
      <c r="L62" t="s">
        <v>66</v>
      </c>
      <c r="M62">
        <v>353796.91</v>
      </c>
      <c r="N62">
        <v>353796.91</v>
      </c>
      <c r="O62">
        <v>0</v>
      </c>
      <c r="P62" t="s">
        <v>514</v>
      </c>
    </row>
    <row r="63" spans="1:17">
      <c r="A63" t="s">
        <v>753</v>
      </c>
      <c r="B63" t="s">
        <v>525</v>
      </c>
      <c r="C63" t="s">
        <v>516</v>
      </c>
      <c r="D63" t="s">
        <v>30</v>
      </c>
      <c r="E63" t="s">
        <v>3</v>
      </c>
      <c r="F63" s="25" t="s">
        <v>62</v>
      </c>
      <c r="G63" t="s">
        <v>77</v>
      </c>
      <c r="H63" t="s">
        <v>526</v>
      </c>
      <c r="I63" t="s">
        <v>518</v>
      </c>
      <c r="J63" t="s">
        <v>27</v>
      </c>
      <c r="K63" t="s">
        <v>88</v>
      </c>
      <c r="P63" t="s">
        <v>519</v>
      </c>
    </row>
    <row r="64" spans="1:17">
      <c r="A64" t="s">
        <v>754</v>
      </c>
      <c r="B64" t="s">
        <v>527</v>
      </c>
      <c r="C64" t="s">
        <v>85</v>
      </c>
      <c r="D64" t="s">
        <v>30</v>
      </c>
      <c r="E64" t="s">
        <v>3</v>
      </c>
      <c r="F64" s="25" t="s">
        <v>62</v>
      </c>
      <c r="G64" t="s">
        <v>77</v>
      </c>
      <c r="H64" t="s">
        <v>528</v>
      </c>
      <c r="I64" t="s">
        <v>87</v>
      </c>
      <c r="J64" t="s">
        <v>27</v>
      </c>
      <c r="K64" t="s">
        <v>88</v>
      </c>
      <c r="P64" t="s">
        <v>519</v>
      </c>
    </row>
    <row r="65" spans="1:16">
      <c r="A65" t="s">
        <v>755</v>
      </c>
      <c r="B65" t="s">
        <v>529</v>
      </c>
      <c r="C65" t="s">
        <v>530</v>
      </c>
      <c r="D65" t="s">
        <v>30</v>
      </c>
      <c r="E65" t="s">
        <v>3</v>
      </c>
      <c r="F65" s="25" t="s">
        <v>62</v>
      </c>
      <c r="G65" t="s">
        <v>531</v>
      </c>
      <c r="H65" t="s">
        <v>532</v>
      </c>
      <c r="I65" t="s">
        <v>533</v>
      </c>
      <c r="J65" t="s">
        <v>27</v>
      </c>
      <c r="K65" t="s">
        <v>534</v>
      </c>
      <c r="L65" t="s">
        <v>66</v>
      </c>
      <c r="M65">
        <v>77830000</v>
      </c>
      <c r="N65">
        <v>77830000</v>
      </c>
      <c r="O65">
        <v>0</v>
      </c>
      <c r="P65" t="s">
        <v>535</v>
      </c>
    </row>
    <row r="66" spans="1:16">
      <c r="A66" t="s">
        <v>756</v>
      </c>
      <c r="B66" t="s">
        <v>536</v>
      </c>
      <c r="C66" t="s">
        <v>537</v>
      </c>
      <c r="D66" t="s">
        <v>30</v>
      </c>
      <c r="E66" t="s">
        <v>3</v>
      </c>
      <c r="F66" s="25" t="s">
        <v>62</v>
      </c>
      <c r="G66" t="s">
        <v>531</v>
      </c>
      <c r="H66" t="s">
        <v>538</v>
      </c>
      <c r="I66" t="s">
        <v>539</v>
      </c>
      <c r="J66" t="s">
        <v>27</v>
      </c>
      <c r="K66" t="s">
        <v>534</v>
      </c>
      <c r="L66" t="s">
        <v>66</v>
      </c>
      <c r="M66">
        <v>787827.63</v>
      </c>
      <c r="N66">
        <v>787827.63</v>
      </c>
      <c r="O66">
        <v>0</v>
      </c>
      <c r="P66" t="s">
        <v>540</v>
      </c>
    </row>
    <row r="67" spans="1:16">
      <c r="A67" t="s">
        <v>757</v>
      </c>
      <c r="B67" t="s">
        <v>541</v>
      </c>
      <c r="C67" t="s">
        <v>537</v>
      </c>
      <c r="D67" t="s">
        <v>30</v>
      </c>
      <c r="E67" t="s">
        <v>3</v>
      </c>
      <c r="F67" s="25" t="s">
        <v>62</v>
      </c>
      <c r="G67" t="s">
        <v>531</v>
      </c>
      <c r="H67" t="s">
        <v>542</v>
      </c>
      <c r="I67" t="s">
        <v>543</v>
      </c>
      <c r="J67" t="s">
        <v>27</v>
      </c>
      <c r="K67" t="s">
        <v>534</v>
      </c>
      <c r="L67" t="s">
        <v>66</v>
      </c>
      <c r="M67">
        <v>190248.4</v>
      </c>
      <c r="N67">
        <v>190248.4</v>
      </c>
      <c r="O67">
        <v>0</v>
      </c>
      <c r="P67" t="s">
        <v>544</v>
      </c>
    </row>
    <row r="68" spans="1:16">
      <c r="A68" t="s">
        <v>758</v>
      </c>
      <c r="B68" t="s">
        <v>545</v>
      </c>
      <c r="C68" t="s">
        <v>537</v>
      </c>
      <c r="D68" t="s">
        <v>30</v>
      </c>
      <c r="E68" t="s">
        <v>3</v>
      </c>
      <c r="F68" s="25" t="s">
        <v>62</v>
      </c>
      <c r="G68" t="s">
        <v>531</v>
      </c>
      <c r="H68" t="s">
        <v>546</v>
      </c>
      <c r="I68" t="s">
        <v>547</v>
      </c>
      <c r="J68" t="s">
        <v>27</v>
      </c>
      <c r="K68" t="s">
        <v>534</v>
      </c>
      <c r="L68" t="s">
        <v>66</v>
      </c>
      <c r="M68">
        <v>153000</v>
      </c>
      <c r="N68">
        <v>153000</v>
      </c>
      <c r="O68">
        <v>0</v>
      </c>
      <c r="P68" t="s">
        <v>548</v>
      </c>
    </row>
    <row r="69" spans="1:16">
      <c r="A69" t="s">
        <v>759</v>
      </c>
      <c r="B69" t="s">
        <v>549</v>
      </c>
      <c r="C69" t="s">
        <v>550</v>
      </c>
      <c r="D69" t="s">
        <v>30</v>
      </c>
      <c r="E69" t="s">
        <v>3</v>
      </c>
      <c r="F69" s="25" t="s">
        <v>62</v>
      </c>
      <c r="G69" t="s">
        <v>531</v>
      </c>
      <c r="H69" t="s">
        <v>551</v>
      </c>
      <c r="I69" t="s">
        <v>552</v>
      </c>
      <c r="J69" t="s">
        <v>27</v>
      </c>
      <c r="K69" t="s">
        <v>534</v>
      </c>
      <c r="L69" t="s">
        <v>66</v>
      </c>
      <c r="M69">
        <v>380675.18</v>
      </c>
      <c r="N69">
        <v>380675.18</v>
      </c>
      <c r="O69">
        <v>0</v>
      </c>
      <c r="P69" t="s">
        <v>553</v>
      </c>
    </row>
    <row r="70" spans="1:16">
      <c r="A70" t="s">
        <v>760</v>
      </c>
      <c r="B70" t="s">
        <v>554</v>
      </c>
      <c r="C70" t="s">
        <v>555</v>
      </c>
      <c r="D70" t="s">
        <v>30</v>
      </c>
      <c r="E70" t="s">
        <v>3</v>
      </c>
      <c r="F70" s="25" t="s">
        <v>62</v>
      </c>
      <c r="G70" t="s">
        <v>329</v>
      </c>
      <c r="H70" t="s">
        <v>556</v>
      </c>
      <c r="I70" t="s">
        <v>557</v>
      </c>
      <c r="J70" t="s">
        <v>27</v>
      </c>
      <c r="K70" t="s">
        <v>329</v>
      </c>
      <c r="L70" t="s">
        <v>66</v>
      </c>
      <c r="O70">
        <v>0</v>
      </c>
      <c r="P70" t="s">
        <v>558</v>
      </c>
    </row>
    <row r="71" spans="1:16">
      <c r="A71" t="s">
        <v>761</v>
      </c>
      <c r="B71" t="s">
        <v>559</v>
      </c>
      <c r="C71" t="s">
        <v>560</v>
      </c>
      <c r="D71" t="s">
        <v>30</v>
      </c>
      <c r="E71" t="s">
        <v>3</v>
      </c>
      <c r="F71" s="25" t="s">
        <v>62</v>
      </c>
      <c r="G71" t="s">
        <v>329</v>
      </c>
      <c r="H71" t="s">
        <v>561</v>
      </c>
      <c r="I71" t="s">
        <v>562</v>
      </c>
      <c r="J71" t="s">
        <v>27</v>
      </c>
      <c r="K71" t="s">
        <v>329</v>
      </c>
      <c r="L71" t="s">
        <v>411</v>
      </c>
      <c r="M71">
        <v>0</v>
      </c>
      <c r="N71">
        <v>0</v>
      </c>
      <c r="P71" t="s">
        <v>563</v>
      </c>
    </row>
    <row r="72" spans="1:16">
      <c r="A72" t="s">
        <v>762</v>
      </c>
      <c r="B72" t="s">
        <v>564</v>
      </c>
      <c r="C72" t="s">
        <v>565</v>
      </c>
      <c r="D72" t="s">
        <v>30</v>
      </c>
      <c r="E72" t="s">
        <v>3</v>
      </c>
      <c r="F72" s="25" t="s">
        <v>62</v>
      </c>
      <c r="G72" t="s">
        <v>566</v>
      </c>
      <c r="H72" t="s">
        <v>453</v>
      </c>
      <c r="I72" t="s">
        <v>567</v>
      </c>
      <c r="J72" t="s">
        <v>27</v>
      </c>
      <c r="K72" t="s">
        <v>329</v>
      </c>
      <c r="M72">
        <v>24083.41</v>
      </c>
      <c r="N72">
        <v>22786.57</v>
      </c>
      <c r="O72">
        <v>0</v>
      </c>
      <c r="P72" t="s">
        <v>568</v>
      </c>
    </row>
    <row r="73" spans="1:16">
      <c r="A73" t="s">
        <v>763</v>
      </c>
      <c r="B73" t="s">
        <v>569</v>
      </c>
      <c r="C73" t="s">
        <v>565</v>
      </c>
      <c r="D73" t="s">
        <v>30</v>
      </c>
      <c r="E73" t="s">
        <v>3</v>
      </c>
      <c r="F73" s="25" t="s">
        <v>62</v>
      </c>
      <c r="G73" t="s">
        <v>566</v>
      </c>
      <c r="H73" t="s">
        <v>64</v>
      </c>
      <c r="I73" t="s">
        <v>567</v>
      </c>
      <c r="J73" t="s">
        <v>27</v>
      </c>
      <c r="K73" t="s">
        <v>329</v>
      </c>
      <c r="M73">
        <v>106715.97</v>
      </c>
      <c r="N73">
        <v>85883.29</v>
      </c>
      <c r="O73">
        <v>0</v>
      </c>
      <c r="P73" t="s">
        <v>568</v>
      </c>
    </row>
    <row r="74" spans="1:16">
      <c r="A74" t="s">
        <v>764</v>
      </c>
      <c r="B74" t="s">
        <v>570</v>
      </c>
      <c r="C74" t="s">
        <v>565</v>
      </c>
      <c r="D74" t="s">
        <v>30</v>
      </c>
      <c r="E74" t="s">
        <v>3</v>
      </c>
      <c r="F74" s="25" t="s">
        <v>62</v>
      </c>
      <c r="G74" t="s">
        <v>566</v>
      </c>
      <c r="H74" t="s">
        <v>486</v>
      </c>
      <c r="I74" t="s">
        <v>567</v>
      </c>
      <c r="J74" t="s">
        <v>27</v>
      </c>
      <c r="K74" t="s">
        <v>329</v>
      </c>
      <c r="M74">
        <v>0</v>
      </c>
      <c r="N74">
        <v>166963.42000000001</v>
      </c>
      <c r="O74">
        <v>0</v>
      </c>
      <c r="P74" t="s">
        <v>568</v>
      </c>
    </row>
    <row r="75" spans="1:16">
      <c r="A75" t="s">
        <v>765</v>
      </c>
      <c r="B75" t="s">
        <v>571</v>
      </c>
      <c r="C75" t="s">
        <v>565</v>
      </c>
      <c r="D75" t="s">
        <v>30</v>
      </c>
      <c r="E75" t="s">
        <v>3</v>
      </c>
      <c r="F75" s="25" t="s">
        <v>62</v>
      </c>
      <c r="G75" t="s">
        <v>566</v>
      </c>
      <c r="H75" t="s">
        <v>462</v>
      </c>
      <c r="I75" t="s">
        <v>567</v>
      </c>
      <c r="J75" t="s">
        <v>27</v>
      </c>
      <c r="K75" t="s">
        <v>329</v>
      </c>
      <c r="M75">
        <v>368395.33</v>
      </c>
      <c r="N75">
        <v>380675.18</v>
      </c>
      <c r="O75">
        <v>0</v>
      </c>
      <c r="P75" t="s">
        <v>568</v>
      </c>
    </row>
    <row r="76" spans="1:16">
      <c r="A76" t="s">
        <v>766</v>
      </c>
      <c r="B76" t="s">
        <v>327</v>
      </c>
      <c r="C76" t="s">
        <v>328</v>
      </c>
      <c r="D76" t="s">
        <v>15</v>
      </c>
      <c r="E76" t="s">
        <v>3</v>
      </c>
      <c r="F76" s="25" t="s">
        <v>62</v>
      </c>
      <c r="G76" t="s">
        <v>329</v>
      </c>
      <c r="H76" t="s">
        <v>330</v>
      </c>
      <c r="I76" t="s">
        <v>331</v>
      </c>
      <c r="J76" t="s">
        <v>15</v>
      </c>
      <c r="K76" t="s">
        <v>329</v>
      </c>
      <c r="M76">
        <v>-588501.15</v>
      </c>
      <c r="P76" t="s">
        <v>332</v>
      </c>
    </row>
    <row r="77" spans="1:16">
      <c r="A77" t="s">
        <v>767</v>
      </c>
      <c r="B77" t="s">
        <v>333</v>
      </c>
      <c r="C77" t="s">
        <v>328</v>
      </c>
      <c r="D77" t="s">
        <v>15</v>
      </c>
      <c r="E77" t="s">
        <v>3</v>
      </c>
      <c r="F77" s="25" t="s">
        <v>62</v>
      </c>
      <c r="G77" t="s">
        <v>329</v>
      </c>
      <c r="H77" t="s">
        <v>334</v>
      </c>
      <c r="I77" t="s">
        <v>331</v>
      </c>
      <c r="J77" t="s">
        <v>15</v>
      </c>
      <c r="K77" t="s">
        <v>329</v>
      </c>
      <c r="M77">
        <v>-31694.639999999999</v>
      </c>
      <c r="P77" t="s">
        <v>335</v>
      </c>
    </row>
    <row r="78" spans="1:16">
      <c r="A78" t="s">
        <v>768</v>
      </c>
      <c r="B78" t="s">
        <v>336</v>
      </c>
      <c r="C78" t="s">
        <v>328</v>
      </c>
      <c r="D78" t="s">
        <v>15</v>
      </c>
      <c r="E78" t="s">
        <v>3</v>
      </c>
      <c r="F78" s="25" t="s">
        <v>62</v>
      </c>
      <c r="G78" t="s">
        <v>329</v>
      </c>
      <c r="H78" t="s">
        <v>337</v>
      </c>
      <c r="I78" t="s">
        <v>331</v>
      </c>
      <c r="J78" t="s">
        <v>15</v>
      </c>
      <c r="K78" t="s">
        <v>329</v>
      </c>
      <c r="M78">
        <v>-25159.67</v>
      </c>
      <c r="P78" t="s">
        <v>338</v>
      </c>
    </row>
    <row r="79" spans="1:16">
      <c r="A79" t="s">
        <v>769</v>
      </c>
      <c r="B79" t="s">
        <v>339</v>
      </c>
      <c r="C79" t="s">
        <v>328</v>
      </c>
      <c r="D79" t="s">
        <v>15</v>
      </c>
      <c r="E79" t="s">
        <v>3</v>
      </c>
      <c r="F79" s="25" t="s">
        <v>62</v>
      </c>
      <c r="G79" t="s">
        <v>329</v>
      </c>
      <c r="H79" t="s">
        <v>340</v>
      </c>
      <c r="I79" t="s">
        <v>331</v>
      </c>
      <c r="J79" t="s">
        <v>15</v>
      </c>
      <c r="K79" t="s">
        <v>329</v>
      </c>
      <c r="M79">
        <v>-51052.17</v>
      </c>
      <c r="P79" t="s">
        <v>341</v>
      </c>
    </row>
    <row r="80" spans="1:16">
      <c r="A80" t="s">
        <v>770</v>
      </c>
      <c r="B80" t="s">
        <v>342</v>
      </c>
      <c r="C80" t="s">
        <v>328</v>
      </c>
      <c r="D80" t="s">
        <v>15</v>
      </c>
      <c r="E80" t="s">
        <v>3</v>
      </c>
      <c r="F80" s="25" t="s">
        <v>62</v>
      </c>
      <c r="G80" t="s">
        <v>329</v>
      </c>
      <c r="H80" t="s">
        <v>343</v>
      </c>
      <c r="I80" t="s">
        <v>331</v>
      </c>
      <c r="J80" t="s">
        <v>15</v>
      </c>
      <c r="K80" t="s">
        <v>329</v>
      </c>
      <c r="M80">
        <v>183791.55</v>
      </c>
      <c r="P80" t="s">
        <v>344</v>
      </c>
    </row>
    <row r="81" spans="1:16">
      <c r="A81" t="s">
        <v>771</v>
      </c>
      <c r="B81" t="s">
        <v>345</v>
      </c>
      <c r="C81" t="s">
        <v>328</v>
      </c>
      <c r="D81" t="s">
        <v>15</v>
      </c>
      <c r="E81" t="s">
        <v>3</v>
      </c>
      <c r="F81" s="25" t="s">
        <v>62</v>
      </c>
      <c r="G81" t="s">
        <v>329</v>
      </c>
      <c r="H81" t="s">
        <v>346</v>
      </c>
      <c r="I81" t="s">
        <v>331</v>
      </c>
      <c r="J81" t="s">
        <v>15</v>
      </c>
      <c r="K81" t="s">
        <v>329</v>
      </c>
      <c r="M81">
        <v>27314.27</v>
      </c>
      <c r="P81" t="s">
        <v>347</v>
      </c>
    </row>
    <row r="82" spans="1:16">
      <c r="A82" t="s">
        <v>772</v>
      </c>
      <c r="B82" t="s">
        <v>348</v>
      </c>
      <c r="C82" t="s">
        <v>328</v>
      </c>
      <c r="D82" t="s">
        <v>15</v>
      </c>
      <c r="E82" t="s">
        <v>3</v>
      </c>
      <c r="F82" s="25" t="s">
        <v>62</v>
      </c>
      <c r="G82" t="s">
        <v>329</v>
      </c>
      <c r="H82" t="s">
        <v>349</v>
      </c>
      <c r="I82" t="s">
        <v>331</v>
      </c>
      <c r="J82" t="s">
        <v>15</v>
      </c>
      <c r="K82" t="s">
        <v>329</v>
      </c>
      <c r="M82">
        <v>9000</v>
      </c>
      <c r="P82" t="s">
        <v>350</v>
      </c>
    </row>
    <row r="83" spans="1:16">
      <c r="A83" t="s">
        <v>773</v>
      </c>
      <c r="B83" t="s">
        <v>351</v>
      </c>
      <c r="C83" t="s">
        <v>328</v>
      </c>
      <c r="D83" t="s">
        <v>15</v>
      </c>
      <c r="E83" t="s">
        <v>3</v>
      </c>
      <c r="F83" s="25" t="s">
        <v>62</v>
      </c>
      <c r="G83" t="s">
        <v>329</v>
      </c>
      <c r="H83" t="s">
        <v>352</v>
      </c>
      <c r="I83" t="s">
        <v>331</v>
      </c>
      <c r="J83" t="s">
        <v>15</v>
      </c>
      <c r="K83" t="s">
        <v>329</v>
      </c>
      <c r="M83">
        <v>-25117.34</v>
      </c>
      <c r="P83" t="s">
        <v>353</v>
      </c>
    </row>
    <row r="84" spans="1:16">
      <c r="A84" t="s">
        <v>774</v>
      </c>
      <c r="B84" t="s">
        <v>354</v>
      </c>
      <c r="C84" t="s">
        <v>328</v>
      </c>
      <c r="D84" t="s">
        <v>15</v>
      </c>
      <c r="E84" t="s">
        <v>3</v>
      </c>
      <c r="F84" s="25" t="s">
        <v>62</v>
      </c>
      <c r="G84" t="s">
        <v>329</v>
      </c>
      <c r="H84" t="s">
        <v>355</v>
      </c>
      <c r="I84" t="s">
        <v>331</v>
      </c>
      <c r="J84" t="s">
        <v>15</v>
      </c>
      <c r="K84" t="s">
        <v>329</v>
      </c>
      <c r="M84">
        <v>-166963.42000000001</v>
      </c>
      <c r="P84" t="s">
        <v>356</v>
      </c>
    </row>
    <row r="85" spans="1:16">
      <c r="A85" t="s">
        <v>775</v>
      </c>
      <c r="B85" t="s">
        <v>357</v>
      </c>
      <c r="C85" t="s">
        <v>328</v>
      </c>
      <c r="D85" t="s">
        <v>15</v>
      </c>
      <c r="E85" t="s">
        <v>3</v>
      </c>
      <c r="F85" s="25" t="s">
        <v>62</v>
      </c>
      <c r="G85" t="s">
        <v>329</v>
      </c>
      <c r="H85" t="s">
        <v>358</v>
      </c>
      <c r="I85" t="s">
        <v>331</v>
      </c>
      <c r="J85" t="s">
        <v>15</v>
      </c>
      <c r="K85" t="s">
        <v>329</v>
      </c>
      <c r="M85">
        <v>808022.59</v>
      </c>
      <c r="P85" t="s">
        <v>359</v>
      </c>
    </row>
    <row r="86" spans="1:16">
      <c r="A86" t="s">
        <v>775</v>
      </c>
      <c r="B86" t="s">
        <v>360</v>
      </c>
      <c r="C86" t="s">
        <v>328</v>
      </c>
      <c r="D86" t="s">
        <v>15</v>
      </c>
      <c r="E86" t="s">
        <v>3</v>
      </c>
      <c r="F86" s="25" t="s">
        <v>62</v>
      </c>
      <c r="G86" t="s">
        <v>329</v>
      </c>
      <c r="H86" t="s">
        <v>358</v>
      </c>
      <c r="I86" t="s">
        <v>331</v>
      </c>
      <c r="J86" t="s">
        <v>15</v>
      </c>
      <c r="K86" t="s">
        <v>329</v>
      </c>
      <c r="M86">
        <v>-1061771</v>
      </c>
      <c r="P86" t="s">
        <v>361</v>
      </c>
    </row>
    <row r="87" spans="1:16">
      <c r="A87" t="s">
        <v>776</v>
      </c>
      <c r="B87" t="s">
        <v>362</v>
      </c>
      <c r="C87" t="s">
        <v>328</v>
      </c>
      <c r="D87" t="s">
        <v>15</v>
      </c>
      <c r="E87" t="s">
        <v>3</v>
      </c>
      <c r="F87" s="25" t="s">
        <v>62</v>
      </c>
      <c r="G87" t="s">
        <v>329</v>
      </c>
      <c r="H87" t="s">
        <v>363</v>
      </c>
      <c r="I87" t="s">
        <v>331</v>
      </c>
      <c r="J87" t="s">
        <v>15</v>
      </c>
      <c r="K87" t="s">
        <v>329</v>
      </c>
      <c r="M87">
        <v>62049</v>
      </c>
      <c r="P87" t="s">
        <v>364</v>
      </c>
    </row>
    <row r="88" spans="1:16">
      <c r="A88" t="s">
        <v>777</v>
      </c>
      <c r="B88" t="s">
        <v>365</v>
      </c>
      <c r="C88" t="s">
        <v>328</v>
      </c>
      <c r="D88" t="s">
        <v>15</v>
      </c>
      <c r="E88" t="s">
        <v>3</v>
      </c>
      <c r="F88" s="25" t="s">
        <v>62</v>
      </c>
      <c r="G88" t="s">
        <v>329</v>
      </c>
      <c r="H88" t="s">
        <v>366</v>
      </c>
      <c r="I88" t="s">
        <v>331</v>
      </c>
      <c r="J88" t="s">
        <v>15</v>
      </c>
      <c r="K88" t="s">
        <v>329</v>
      </c>
      <c r="M88">
        <v>123879.1</v>
      </c>
      <c r="P88" t="s">
        <v>367</v>
      </c>
    </row>
    <row r="89" spans="1:16">
      <c r="A89" t="s">
        <v>778</v>
      </c>
      <c r="B89" t="s">
        <v>368</v>
      </c>
      <c r="C89" t="s">
        <v>328</v>
      </c>
      <c r="D89" t="s">
        <v>15</v>
      </c>
      <c r="E89" t="s">
        <v>3</v>
      </c>
      <c r="F89" s="25" t="s">
        <v>62</v>
      </c>
      <c r="G89" t="s">
        <v>329</v>
      </c>
      <c r="H89" t="s">
        <v>369</v>
      </c>
      <c r="I89" t="s">
        <v>331</v>
      </c>
      <c r="J89" t="s">
        <v>15</v>
      </c>
      <c r="K89" t="s">
        <v>329</v>
      </c>
      <c r="M89">
        <v>63145.31</v>
      </c>
      <c r="P89" t="s">
        <v>370</v>
      </c>
    </row>
    <row r="90" spans="1:16">
      <c r="A90" t="s">
        <v>779</v>
      </c>
      <c r="B90" t="s">
        <v>371</v>
      </c>
      <c r="C90" t="s">
        <v>328</v>
      </c>
      <c r="D90" t="s">
        <v>15</v>
      </c>
      <c r="E90" t="s">
        <v>3</v>
      </c>
      <c r="F90" s="25" t="s">
        <v>62</v>
      </c>
      <c r="G90" t="s">
        <v>329</v>
      </c>
      <c r="H90" t="s">
        <v>372</v>
      </c>
      <c r="I90" t="s">
        <v>331</v>
      </c>
      <c r="J90" t="s">
        <v>15</v>
      </c>
      <c r="K90" t="s">
        <v>329</v>
      </c>
      <c r="M90">
        <v>1000</v>
      </c>
      <c r="P90" t="s">
        <v>373</v>
      </c>
    </row>
    <row r="91" spans="1:16">
      <c r="A91" t="s">
        <v>780</v>
      </c>
      <c r="B91" t="s">
        <v>374</v>
      </c>
      <c r="C91" t="s">
        <v>328</v>
      </c>
      <c r="D91" t="s">
        <v>15</v>
      </c>
      <c r="E91" t="s">
        <v>3</v>
      </c>
      <c r="F91" s="25" t="s">
        <v>62</v>
      </c>
      <c r="G91" t="s">
        <v>329</v>
      </c>
      <c r="H91" t="s">
        <v>375</v>
      </c>
      <c r="I91" t="s">
        <v>331</v>
      </c>
      <c r="J91" t="s">
        <v>15</v>
      </c>
      <c r="K91" t="s">
        <v>329</v>
      </c>
      <c r="M91">
        <v>166963.42000000001</v>
      </c>
      <c r="P91" t="s">
        <v>356</v>
      </c>
    </row>
    <row r="92" spans="1:16">
      <c r="A92" t="s">
        <v>781</v>
      </c>
      <c r="B92" t="s">
        <v>376</v>
      </c>
      <c r="C92" t="s">
        <v>328</v>
      </c>
      <c r="D92" t="s">
        <v>15</v>
      </c>
      <c r="E92" t="s">
        <v>3</v>
      </c>
      <c r="F92" s="25" t="s">
        <v>62</v>
      </c>
      <c r="G92" t="s">
        <v>329</v>
      </c>
      <c r="H92" t="s">
        <v>377</v>
      </c>
      <c r="I92" t="s">
        <v>331</v>
      </c>
      <c r="J92" t="s">
        <v>15</v>
      </c>
      <c r="K92" t="s">
        <v>329</v>
      </c>
      <c r="M92">
        <v>25117.34</v>
      </c>
      <c r="P92" t="s">
        <v>353</v>
      </c>
    </row>
    <row r="93" spans="1:16">
      <c r="A93" t="s">
        <v>782</v>
      </c>
      <c r="B93" t="s">
        <v>378</v>
      </c>
      <c r="C93" t="s">
        <v>328</v>
      </c>
      <c r="D93" t="s">
        <v>15</v>
      </c>
      <c r="E93" t="s">
        <v>3</v>
      </c>
      <c r="F93" s="25" t="s">
        <v>62</v>
      </c>
      <c r="G93" t="s">
        <v>329</v>
      </c>
      <c r="H93" t="s">
        <v>379</v>
      </c>
      <c r="I93" t="s">
        <v>331</v>
      </c>
      <c r="J93" t="s">
        <v>15</v>
      </c>
      <c r="K93" t="s">
        <v>329</v>
      </c>
      <c r="M93">
        <v>368395.33</v>
      </c>
      <c r="P93" t="s">
        <v>380</v>
      </c>
    </row>
    <row r="94" spans="1:16">
      <c r="A94" t="s">
        <v>783</v>
      </c>
      <c r="B94" t="s">
        <v>572</v>
      </c>
      <c r="C94" t="s">
        <v>573</v>
      </c>
      <c r="D94" t="s">
        <v>30</v>
      </c>
      <c r="E94" t="s">
        <v>3</v>
      </c>
      <c r="F94" s="25" t="s">
        <v>62</v>
      </c>
      <c r="G94" t="s">
        <v>383</v>
      </c>
      <c r="H94" t="s">
        <v>574</v>
      </c>
      <c r="I94" t="s">
        <v>575</v>
      </c>
      <c r="J94" t="s">
        <v>27</v>
      </c>
      <c r="K94" t="s">
        <v>383</v>
      </c>
      <c r="L94" t="s">
        <v>66</v>
      </c>
      <c r="O94">
        <v>0</v>
      </c>
      <c r="P94" t="s">
        <v>576</v>
      </c>
    </row>
    <row r="95" spans="1:16">
      <c r="A95" t="s">
        <v>784</v>
      </c>
      <c r="B95" t="s">
        <v>577</v>
      </c>
      <c r="C95" t="s">
        <v>578</v>
      </c>
      <c r="D95" t="s">
        <v>30</v>
      </c>
      <c r="E95" t="s">
        <v>3</v>
      </c>
      <c r="F95" s="25" t="s">
        <v>62</v>
      </c>
      <c r="G95" t="s">
        <v>94</v>
      </c>
      <c r="H95" t="s">
        <v>579</v>
      </c>
      <c r="I95" t="s">
        <v>580</v>
      </c>
      <c r="J95" t="s">
        <v>27</v>
      </c>
      <c r="K95" t="s">
        <v>94</v>
      </c>
      <c r="L95" t="s">
        <v>66</v>
      </c>
      <c r="O95">
        <v>0</v>
      </c>
      <c r="P95" t="s">
        <v>581</v>
      </c>
    </row>
    <row r="96" spans="1:16">
      <c r="A96" t="s">
        <v>785</v>
      </c>
      <c r="B96" t="s">
        <v>582</v>
      </c>
      <c r="C96" t="s">
        <v>583</v>
      </c>
      <c r="D96" t="s">
        <v>30</v>
      </c>
      <c r="E96" t="s">
        <v>3</v>
      </c>
      <c r="F96" s="25" t="s">
        <v>62</v>
      </c>
      <c r="G96" t="s">
        <v>584</v>
      </c>
      <c r="H96" t="s">
        <v>585</v>
      </c>
      <c r="I96" t="s">
        <v>586</v>
      </c>
      <c r="J96" t="s">
        <v>27</v>
      </c>
      <c r="K96" t="s">
        <v>385</v>
      </c>
      <c r="L96" t="s">
        <v>386</v>
      </c>
      <c r="M96">
        <v>380675.18</v>
      </c>
      <c r="N96">
        <v>380675</v>
      </c>
      <c r="O96">
        <v>0.18</v>
      </c>
      <c r="P96" t="s">
        <v>587</v>
      </c>
    </row>
    <row r="97" spans="1:17">
      <c r="A97" t="s">
        <v>786</v>
      </c>
      <c r="B97" t="s">
        <v>588</v>
      </c>
      <c r="C97" t="s">
        <v>589</v>
      </c>
      <c r="D97" t="s">
        <v>30</v>
      </c>
      <c r="E97" t="s">
        <v>3</v>
      </c>
      <c r="F97" s="25" t="s">
        <v>62</v>
      </c>
      <c r="G97" t="s">
        <v>584</v>
      </c>
      <c r="H97" t="s">
        <v>585</v>
      </c>
      <c r="I97" t="s">
        <v>590</v>
      </c>
      <c r="J97" t="s">
        <v>27</v>
      </c>
      <c r="K97" t="s">
        <v>385</v>
      </c>
      <c r="L97" t="s">
        <v>386</v>
      </c>
      <c r="M97">
        <v>380675.18</v>
      </c>
      <c r="N97">
        <v>380675</v>
      </c>
      <c r="O97" t="s">
        <v>591</v>
      </c>
      <c r="P97" t="s">
        <v>592</v>
      </c>
    </row>
    <row r="98" spans="1:17">
      <c r="A98" t="s">
        <v>787</v>
      </c>
      <c r="B98" t="s">
        <v>593</v>
      </c>
      <c r="C98" t="s">
        <v>583</v>
      </c>
      <c r="D98" t="s">
        <v>30</v>
      </c>
      <c r="E98" t="s">
        <v>3</v>
      </c>
      <c r="F98" s="25" t="s">
        <v>62</v>
      </c>
      <c r="G98" t="s">
        <v>584</v>
      </c>
      <c r="H98" t="s">
        <v>594</v>
      </c>
      <c r="I98" t="s">
        <v>586</v>
      </c>
      <c r="J98" t="s">
        <v>27</v>
      </c>
      <c r="K98" t="s">
        <v>385</v>
      </c>
      <c r="L98" t="s">
        <v>386</v>
      </c>
      <c r="M98">
        <v>166963.42000000001</v>
      </c>
      <c r="N98">
        <v>170315</v>
      </c>
      <c r="O98">
        <v>-3351.58</v>
      </c>
      <c r="P98" t="s">
        <v>587</v>
      </c>
    </row>
    <row r="99" spans="1:17">
      <c r="A99" t="s">
        <v>788</v>
      </c>
      <c r="B99" t="s">
        <v>595</v>
      </c>
      <c r="C99" t="s">
        <v>589</v>
      </c>
      <c r="D99" t="s">
        <v>30</v>
      </c>
      <c r="E99" t="s">
        <v>3</v>
      </c>
      <c r="F99" s="25" t="s">
        <v>62</v>
      </c>
      <c r="G99" t="s">
        <v>584</v>
      </c>
      <c r="H99" t="s">
        <v>594</v>
      </c>
      <c r="I99" t="s">
        <v>590</v>
      </c>
      <c r="J99" t="s">
        <v>27</v>
      </c>
      <c r="K99" t="s">
        <v>385</v>
      </c>
      <c r="L99" t="s">
        <v>386</v>
      </c>
      <c r="M99">
        <v>166963.42000000001</v>
      </c>
      <c r="N99">
        <v>170315</v>
      </c>
      <c r="O99" t="s">
        <v>596</v>
      </c>
      <c r="P99" t="s">
        <v>592</v>
      </c>
    </row>
    <row r="100" spans="1:17">
      <c r="A100" t="s">
        <v>789</v>
      </c>
      <c r="B100" t="s">
        <v>597</v>
      </c>
      <c r="C100" t="s">
        <v>583</v>
      </c>
      <c r="D100" t="s">
        <v>30</v>
      </c>
      <c r="E100" t="s">
        <v>3</v>
      </c>
      <c r="F100" s="25" t="s">
        <v>62</v>
      </c>
      <c r="G100" t="s">
        <v>584</v>
      </c>
      <c r="H100" t="s">
        <v>598</v>
      </c>
      <c r="I100" t="s">
        <v>586</v>
      </c>
      <c r="J100" t="s">
        <v>27</v>
      </c>
      <c r="K100" t="s">
        <v>385</v>
      </c>
      <c r="L100" t="s">
        <v>386</v>
      </c>
      <c r="M100">
        <v>25117.34</v>
      </c>
      <c r="N100">
        <v>28680</v>
      </c>
      <c r="O100">
        <v>-3562.66</v>
      </c>
      <c r="P100" t="s">
        <v>587</v>
      </c>
    </row>
    <row r="101" spans="1:17">
      <c r="A101" t="s">
        <v>790</v>
      </c>
      <c r="B101" t="s">
        <v>599</v>
      </c>
      <c r="C101" t="s">
        <v>589</v>
      </c>
      <c r="D101" t="s">
        <v>30</v>
      </c>
      <c r="E101" t="s">
        <v>3</v>
      </c>
      <c r="F101" s="25" t="s">
        <v>62</v>
      </c>
      <c r="G101" t="s">
        <v>584</v>
      </c>
      <c r="H101" t="s">
        <v>598</v>
      </c>
      <c r="I101" t="s">
        <v>590</v>
      </c>
      <c r="J101" t="s">
        <v>27</v>
      </c>
      <c r="K101" t="s">
        <v>385</v>
      </c>
      <c r="L101" t="s">
        <v>386</v>
      </c>
      <c r="M101">
        <v>25117.34</v>
      </c>
      <c r="N101">
        <v>28680</v>
      </c>
      <c r="O101" t="s">
        <v>600</v>
      </c>
      <c r="P101" t="s">
        <v>592</v>
      </c>
    </row>
    <row r="102" spans="1:17">
      <c r="A102" t="s">
        <v>791</v>
      </c>
      <c r="B102" t="s">
        <v>601</v>
      </c>
      <c r="C102" t="s">
        <v>583</v>
      </c>
      <c r="D102" t="s">
        <v>30</v>
      </c>
      <c r="E102" t="s">
        <v>3</v>
      </c>
      <c r="F102" s="25" t="s">
        <v>62</v>
      </c>
      <c r="G102" t="s">
        <v>584</v>
      </c>
      <c r="H102" t="s">
        <v>602</v>
      </c>
      <c r="I102" t="s">
        <v>586</v>
      </c>
      <c r="J102" t="s">
        <v>27</v>
      </c>
      <c r="K102" t="s">
        <v>385</v>
      </c>
      <c r="L102" t="s">
        <v>386</v>
      </c>
      <c r="M102">
        <v>22786.57</v>
      </c>
      <c r="N102">
        <v>21544.91</v>
      </c>
      <c r="O102">
        <v>1241.6600000000001</v>
      </c>
      <c r="P102" t="s">
        <v>587</v>
      </c>
    </row>
    <row r="103" spans="1:17">
      <c r="A103" t="s">
        <v>792</v>
      </c>
      <c r="B103" t="s">
        <v>603</v>
      </c>
      <c r="C103" t="s">
        <v>589</v>
      </c>
      <c r="D103" t="s">
        <v>30</v>
      </c>
      <c r="E103" t="s">
        <v>3</v>
      </c>
      <c r="F103" s="25" t="s">
        <v>62</v>
      </c>
      <c r="G103" t="s">
        <v>584</v>
      </c>
      <c r="H103" t="s">
        <v>602</v>
      </c>
      <c r="I103" t="s">
        <v>590</v>
      </c>
      <c r="J103" t="s">
        <v>27</v>
      </c>
      <c r="K103" t="s">
        <v>385</v>
      </c>
      <c r="L103" t="s">
        <v>386</v>
      </c>
      <c r="M103">
        <v>22786.57</v>
      </c>
      <c r="N103">
        <v>21544.91</v>
      </c>
      <c r="O103" t="s">
        <v>604</v>
      </c>
      <c r="P103" t="s">
        <v>592</v>
      </c>
    </row>
    <row r="104" spans="1:17">
      <c r="A104" t="s">
        <v>793</v>
      </c>
      <c r="B104" t="s">
        <v>381</v>
      </c>
      <c r="C104" t="s">
        <v>382</v>
      </c>
      <c r="D104" t="s">
        <v>15</v>
      </c>
      <c r="E104" t="s">
        <v>3</v>
      </c>
      <c r="F104" s="25" t="s">
        <v>62</v>
      </c>
      <c r="G104" t="s">
        <v>383</v>
      </c>
      <c r="H104" t="s">
        <v>103</v>
      </c>
      <c r="I104" t="s">
        <v>384</v>
      </c>
      <c r="J104" t="s">
        <v>15</v>
      </c>
      <c r="K104" t="s">
        <v>385</v>
      </c>
      <c r="L104" t="s">
        <v>386</v>
      </c>
      <c r="M104">
        <v>-123879.1</v>
      </c>
      <c r="N104">
        <v>-33309.08</v>
      </c>
      <c r="O104">
        <v>-90570.02</v>
      </c>
      <c r="P104" t="s">
        <v>387</v>
      </c>
    </row>
    <row r="105" spans="1:17">
      <c r="A105" t="s">
        <v>794</v>
      </c>
      <c r="B105" t="s">
        <v>388</v>
      </c>
      <c r="C105" t="s">
        <v>382</v>
      </c>
      <c r="D105" t="s">
        <v>15</v>
      </c>
      <c r="E105" t="s">
        <v>3</v>
      </c>
      <c r="F105" s="25" t="s">
        <v>62</v>
      </c>
      <c r="G105" t="s">
        <v>383</v>
      </c>
      <c r="H105" t="s">
        <v>147</v>
      </c>
      <c r="I105" t="s">
        <v>384</v>
      </c>
      <c r="J105" t="s">
        <v>15</v>
      </c>
      <c r="K105" t="s">
        <v>385</v>
      </c>
      <c r="L105" t="s">
        <v>386</v>
      </c>
      <c r="M105">
        <v>-244</v>
      </c>
      <c r="N105">
        <v>21619</v>
      </c>
      <c r="O105">
        <v>-21863</v>
      </c>
      <c r="P105" t="s">
        <v>389</v>
      </c>
    </row>
    <row r="106" spans="1:17">
      <c r="A106" t="s">
        <v>795</v>
      </c>
      <c r="B106" t="s">
        <v>390</v>
      </c>
      <c r="C106" t="s">
        <v>382</v>
      </c>
      <c r="D106" t="s">
        <v>15</v>
      </c>
      <c r="E106" t="s">
        <v>3</v>
      </c>
      <c r="F106" s="25" t="s">
        <v>62</v>
      </c>
      <c r="G106" t="s">
        <v>383</v>
      </c>
      <c r="H106" t="s">
        <v>210</v>
      </c>
      <c r="I106" t="s">
        <v>384</v>
      </c>
      <c r="J106" t="s">
        <v>15</v>
      </c>
      <c r="K106" t="s">
        <v>385</v>
      </c>
      <c r="L106" t="s">
        <v>386</v>
      </c>
      <c r="M106">
        <v>-13545.85</v>
      </c>
      <c r="N106">
        <v>5017</v>
      </c>
      <c r="O106">
        <v>-18562.849999999999</v>
      </c>
      <c r="P106" t="s">
        <v>391</v>
      </c>
    </row>
    <row r="107" spans="1:17">
      <c r="A107" t="s">
        <v>796</v>
      </c>
      <c r="B107" t="s">
        <v>392</v>
      </c>
      <c r="C107" t="s">
        <v>382</v>
      </c>
      <c r="D107" t="s">
        <v>15</v>
      </c>
      <c r="E107" t="s">
        <v>3</v>
      </c>
      <c r="F107" s="25" t="s">
        <v>62</v>
      </c>
      <c r="G107" t="s">
        <v>383</v>
      </c>
      <c r="H107" t="s">
        <v>393</v>
      </c>
      <c r="I107" t="s">
        <v>384</v>
      </c>
      <c r="J107" t="s">
        <v>15</v>
      </c>
      <c r="K107" t="s">
        <v>385</v>
      </c>
      <c r="L107" t="s">
        <v>386</v>
      </c>
      <c r="M107">
        <v>0</v>
      </c>
      <c r="N107">
        <v>11655</v>
      </c>
      <c r="O107">
        <v>-11655</v>
      </c>
      <c r="P107" t="s">
        <v>394</v>
      </c>
    </row>
    <row r="108" spans="1:17">
      <c r="A108" t="s">
        <v>797</v>
      </c>
      <c r="B108" t="s">
        <v>395</v>
      </c>
      <c r="C108" t="s">
        <v>382</v>
      </c>
      <c r="D108" t="s">
        <v>15</v>
      </c>
      <c r="E108" t="s">
        <v>3</v>
      </c>
      <c r="F108" s="25" t="s">
        <v>62</v>
      </c>
      <c r="G108" t="s">
        <v>383</v>
      </c>
      <c r="H108" t="s">
        <v>206</v>
      </c>
      <c r="I108" t="s">
        <v>384</v>
      </c>
      <c r="J108" t="s">
        <v>15</v>
      </c>
      <c r="K108" t="s">
        <v>385</v>
      </c>
      <c r="L108" t="s">
        <v>386</v>
      </c>
      <c r="M108">
        <v>-9325.5499999999993</v>
      </c>
      <c r="N108">
        <v>0</v>
      </c>
      <c r="O108">
        <v>-9325.5499999999993</v>
      </c>
      <c r="P108" t="s">
        <v>396</v>
      </c>
    </row>
    <row r="109" spans="1:17">
      <c r="A109" t="s">
        <v>798</v>
      </c>
      <c r="B109" t="s">
        <v>397</v>
      </c>
      <c r="C109" t="s">
        <v>382</v>
      </c>
      <c r="D109" t="s">
        <v>15</v>
      </c>
      <c r="E109" t="s">
        <v>3</v>
      </c>
      <c r="F109" s="25" t="s">
        <v>62</v>
      </c>
      <c r="G109" t="s">
        <v>383</v>
      </c>
      <c r="H109" t="s">
        <v>151</v>
      </c>
      <c r="I109" t="s">
        <v>384</v>
      </c>
      <c r="J109" t="s">
        <v>15</v>
      </c>
      <c r="K109" t="s">
        <v>385</v>
      </c>
      <c r="L109" t="s">
        <v>386</v>
      </c>
      <c r="M109">
        <v>0</v>
      </c>
      <c r="N109">
        <v>8419</v>
      </c>
      <c r="O109">
        <v>-8419</v>
      </c>
      <c r="P109" t="s">
        <v>398</v>
      </c>
    </row>
    <row r="110" spans="1:17">
      <c r="A110" t="s">
        <v>799</v>
      </c>
      <c r="B110" t="s">
        <v>399</v>
      </c>
      <c r="C110" t="s">
        <v>382</v>
      </c>
      <c r="D110" t="s">
        <v>15</v>
      </c>
      <c r="E110" t="s">
        <v>3</v>
      </c>
      <c r="F110" s="25" t="s">
        <v>62</v>
      </c>
      <c r="G110" t="s">
        <v>383</v>
      </c>
      <c r="H110" t="s">
        <v>400</v>
      </c>
      <c r="I110" t="s">
        <v>384</v>
      </c>
      <c r="J110" t="s">
        <v>15</v>
      </c>
      <c r="K110" t="s">
        <v>385</v>
      </c>
      <c r="L110" t="s">
        <v>386</v>
      </c>
      <c r="M110">
        <v>0</v>
      </c>
      <c r="N110">
        <v>5944.05</v>
      </c>
      <c r="O110">
        <v>-5944.05</v>
      </c>
      <c r="P110" t="s">
        <v>401</v>
      </c>
    </row>
    <row r="111" spans="1:17">
      <c r="A111" t="s">
        <v>800</v>
      </c>
      <c r="B111" t="s">
        <v>402</v>
      </c>
      <c r="C111" t="s">
        <v>382</v>
      </c>
      <c r="D111" t="s">
        <v>15</v>
      </c>
      <c r="E111" t="s">
        <v>3</v>
      </c>
      <c r="F111" s="25" t="s">
        <v>62</v>
      </c>
      <c r="G111" t="s">
        <v>383</v>
      </c>
      <c r="H111" t="s">
        <v>403</v>
      </c>
      <c r="I111" t="s">
        <v>384</v>
      </c>
      <c r="J111" t="s">
        <v>15</v>
      </c>
      <c r="K111" t="s">
        <v>385</v>
      </c>
      <c r="L111" t="s">
        <v>386</v>
      </c>
      <c r="M111">
        <v>-600</v>
      </c>
      <c r="N111">
        <v>5000</v>
      </c>
      <c r="O111">
        <v>-5600</v>
      </c>
      <c r="P111" t="s">
        <v>404</v>
      </c>
    </row>
    <row r="112" spans="1:17">
      <c r="A112" t="s">
        <v>801</v>
      </c>
      <c r="B112" t="s">
        <v>92</v>
      </c>
      <c r="C112" t="s">
        <v>93</v>
      </c>
      <c r="D112" t="s">
        <v>32</v>
      </c>
      <c r="E112" t="s">
        <v>3</v>
      </c>
      <c r="F112" s="25" t="s">
        <v>62</v>
      </c>
      <c r="G112" t="s">
        <v>94</v>
      </c>
      <c r="H112" t="s">
        <v>95</v>
      </c>
      <c r="I112" t="s">
        <v>96</v>
      </c>
      <c r="J112" t="s">
        <v>28</v>
      </c>
      <c r="K112" t="s">
        <v>97</v>
      </c>
      <c r="L112" t="s">
        <v>98</v>
      </c>
      <c r="M112">
        <v>1061771</v>
      </c>
      <c r="N112">
        <v>1033669</v>
      </c>
      <c r="O112" t="s">
        <v>99</v>
      </c>
      <c r="P112" t="s">
        <v>100</v>
      </c>
      <c r="Q112" t="s">
        <v>101</v>
      </c>
    </row>
    <row r="113" spans="1:17">
      <c r="A113" t="s">
        <v>802</v>
      </c>
      <c r="B113" t="s">
        <v>102</v>
      </c>
      <c r="C113" t="s">
        <v>93</v>
      </c>
      <c r="D113" t="s">
        <v>32</v>
      </c>
      <c r="E113" t="s">
        <v>3</v>
      </c>
      <c r="F113" s="25" t="s">
        <v>62</v>
      </c>
      <c r="G113" t="s">
        <v>94</v>
      </c>
      <c r="H113" t="s">
        <v>103</v>
      </c>
      <c r="I113" t="s">
        <v>96</v>
      </c>
      <c r="J113" t="s">
        <v>28</v>
      </c>
      <c r="K113" t="s">
        <v>97</v>
      </c>
      <c r="L113" t="s">
        <v>98</v>
      </c>
      <c r="M113">
        <v>-123879.1</v>
      </c>
      <c r="N113">
        <v>-105127.49</v>
      </c>
      <c r="O113" t="s">
        <v>104</v>
      </c>
      <c r="P113" t="s">
        <v>105</v>
      </c>
      <c r="Q113" t="s">
        <v>101</v>
      </c>
    </row>
    <row r="114" spans="1:17">
      <c r="A114" t="s">
        <v>803</v>
      </c>
      <c r="B114" t="s">
        <v>106</v>
      </c>
      <c r="C114" t="s">
        <v>93</v>
      </c>
      <c r="D114" t="s">
        <v>32</v>
      </c>
      <c r="E114" t="s">
        <v>3</v>
      </c>
      <c r="F114" s="25" t="s">
        <v>62</v>
      </c>
      <c r="G114" t="s">
        <v>94</v>
      </c>
      <c r="H114" t="s">
        <v>107</v>
      </c>
      <c r="I114" t="s">
        <v>96</v>
      </c>
      <c r="J114" t="s">
        <v>28</v>
      </c>
      <c r="K114" t="s">
        <v>97</v>
      </c>
      <c r="L114" t="s">
        <v>98</v>
      </c>
      <c r="M114">
        <v>-63145.31</v>
      </c>
      <c r="N114">
        <v>-68646.38</v>
      </c>
      <c r="O114" t="s">
        <v>108</v>
      </c>
      <c r="P114" t="s">
        <v>109</v>
      </c>
      <c r="Q114" t="s">
        <v>101</v>
      </c>
    </row>
    <row r="115" spans="1:17">
      <c r="A115" t="s">
        <v>804</v>
      </c>
      <c r="B115" t="s">
        <v>110</v>
      </c>
      <c r="C115" t="s">
        <v>93</v>
      </c>
      <c r="D115" t="s">
        <v>32</v>
      </c>
      <c r="E115" t="s">
        <v>3</v>
      </c>
      <c r="F115" s="25" t="s">
        <v>62</v>
      </c>
      <c r="G115" t="s">
        <v>94</v>
      </c>
      <c r="H115" t="s">
        <v>111</v>
      </c>
      <c r="I115" t="s">
        <v>96</v>
      </c>
      <c r="J115" t="s">
        <v>28</v>
      </c>
      <c r="K115" t="s">
        <v>97</v>
      </c>
      <c r="L115" t="s">
        <v>98</v>
      </c>
      <c r="M115">
        <v>-6388.07</v>
      </c>
      <c r="N115">
        <v>-4337.33</v>
      </c>
      <c r="O115" t="s">
        <v>112</v>
      </c>
      <c r="P115" t="s">
        <v>113</v>
      </c>
      <c r="Q115" t="s">
        <v>101</v>
      </c>
    </row>
    <row r="116" spans="1:17">
      <c r="A116" t="s">
        <v>805</v>
      </c>
      <c r="B116" t="s">
        <v>114</v>
      </c>
      <c r="C116" t="s">
        <v>93</v>
      </c>
      <c r="D116" t="s">
        <v>32</v>
      </c>
      <c r="E116" t="s">
        <v>3</v>
      </c>
      <c r="F116" s="25" t="s">
        <v>62</v>
      </c>
      <c r="G116" t="s">
        <v>94</v>
      </c>
      <c r="H116" t="s">
        <v>115</v>
      </c>
      <c r="I116" t="s">
        <v>96</v>
      </c>
      <c r="J116" t="s">
        <v>28</v>
      </c>
      <c r="K116" t="s">
        <v>97</v>
      </c>
      <c r="L116" t="s">
        <v>98</v>
      </c>
      <c r="M116">
        <v>2523.7800000000002</v>
      </c>
      <c r="N116">
        <v>1444.79</v>
      </c>
      <c r="O116" t="s">
        <v>116</v>
      </c>
      <c r="P116" t="s">
        <v>117</v>
      </c>
      <c r="Q116" t="s">
        <v>101</v>
      </c>
    </row>
    <row r="117" spans="1:17">
      <c r="A117" t="s">
        <v>806</v>
      </c>
      <c r="B117" t="s">
        <v>118</v>
      </c>
      <c r="C117" t="s">
        <v>93</v>
      </c>
      <c r="D117" t="s">
        <v>32</v>
      </c>
      <c r="E117" t="s">
        <v>3</v>
      </c>
      <c r="F117" s="25" t="s">
        <v>62</v>
      </c>
      <c r="G117" t="s">
        <v>94</v>
      </c>
      <c r="H117" t="s">
        <v>119</v>
      </c>
      <c r="I117" t="s">
        <v>96</v>
      </c>
      <c r="J117" t="s">
        <v>28</v>
      </c>
      <c r="K117" t="s">
        <v>97</v>
      </c>
      <c r="L117" t="s">
        <v>98</v>
      </c>
      <c r="M117">
        <v>2269.58</v>
      </c>
      <c r="N117">
        <v>5463.25</v>
      </c>
      <c r="O117" t="s">
        <v>120</v>
      </c>
      <c r="P117" t="s">
        <v>121</v>
      </c>
      <c r="Q117" t="s">
        <v>101</v>
      </c>
    </row>
    <row r="118" spans="1:17">
      <c r="A118" t="s">
        <v>807</v>
      </c>
      <c r="B118" t="s">
        <v>122</v>
      </c>
      <c r="C118" t="s">
        <v>93</v>
      </c>
      <c r="D118" t="s">
        <v>32</v>
      </c>
      <c r="E118" t="s">
        <v>3</v>
      </c>
      <c r="F118" s="25" t="s">
        <v>62</v>
      </c>
      <c r="G118" t="s">
        <v>94</v>
      </c>
      <c r="H118" t="s">
        <v>123</v>
      </c>
      <c r="I118" t="s">
        <v>96</v>
      </c>
      <c r="J118" t="s">
        <v>28</v>
      </c>
      <c r="K118" t="s">
        <v>97</v>
      </c>
      <c r="L118" t="s">
        <v>98</v>
      </c>
      <c r="M118">
        <v>-1002.38</v>
      </c>
      <c r="N118">
        <v>3271.33</v>
      </c>
      <c r="O118" t="s">
        <v>124</v>
      </c>
      <c r="P118" t="s">
        <v>125</v>
      </c>
      <c r="Q118" t="s">
        <v>101</v>
      </c>
    </row>
    <row r="119" spans="1:17">
      <c r="A119" t="s">
        <v>808</v>
      </c>
      <c r="B119" t="s">
        <v>126</v>
      </c>
      <c r="C119" t="s">
        <v>93</v>
      </c>
      <c r="D119" t="s">
        <v>32</v>
      </c>
      <c r="E119" t="s">
        <v>3</v>
      </c>
      <c r="F119" s="25" t="s">
        <v>62</v>
      </c>
      <c r="G119" t="s">
        <v>94</v>
      </c>
      <c r="H119" t="s">
        <v>127</v>
      </c>
      <c r="I119" t="s">
        <v>96</v>
      </c>
      <c r="J119" t="s">
        <v>28</v>
      </c>
      <c r="K119" t="s">
        <v>97</v>
      </c>
      <c r="L119" t="s">
        <v>98</v>
      </c>
      <c r="M119">
        <v>2823.25</v>
      </c>
      <c r="N119">
        <v>-419.81</v>
      </c>
      <c r="O119" t="s">
        <v>128</v>
      </c>
      <c r="P119" t="s">
        <v>129</v>
      </c>
      <c r="Q119" t="s">
        <v>101</v>
      </c>
    </row>
    <row r="120" spans="1:17">
      <c r="A120" t="s">
        <v>809</v>
      </c>
      <c r="B120" t="s">
        <v>130</v>
      </c>
      <c r="C120" t="s">
        <v>93</v>
      </c>
      <c r="D120" t="s">
        <v>32</v>
      </c>
      <c r="E120" t="s">
        <v>3</v>
      </c>
      <c r="F120" s="25" t="s">
        <v>62</v>
      </c>
      <c r="G120" t="s">
        <v>94</v>
      </c>
      <c r="H120" t="s">
        <v>131</v>
      </c>
      <c r="I120" t="s">
        <v>96</v>
      </c>
      <c r="J120" t="s">
        <v>28</v>
      </c>
      <c r="K120" t="s">
        <v>97</v>
      </c>
      <c r="L120" t="s">
        <v>98</v>
      </c>
      <c r="M120">
        <v>4104</v>
      </c>
      <c r="N120">
        <v>5774.06</v>
      </c>
      <c r="O120" t="s">
        <v>132</v>
      </c>
      <c r="P120" t="s">
        <v>133</v>
      </c>
      <c r="Q120" t="s">
        <v>101</v>
      </c>
    </row>
    <row r="121" spans="1:17">
      <c r="A121" t="s">
        <v>810</v>
      </c>
      <c r="B121" t="s">
        <v>134</v>
      </c>
      <c r="C121" t="s">
        <v>93</v>
      </c>
      <c r="D121" t="s">
        <v>32</v>
      </c>
      <c r="E121" t="s">
        <v>3</v>
      </c>
      <c r="F121" s="25" t="s">
        <v>62</v>
      </c>
      <c r="G121" t="s">
        <v>94</v>
      </c>
      <c r="H121" t="s">
        <v>135</v>
      </c>
      <c r="I121" t="s">
        <v>96</v>
      </c>
      <c r="J121" t="s">
        <v>28</v>
      </c>
      <c r="K121" t="s">
        <v>97</v>
      </c>
      <c r="L121" t="s">
        <v>98</v>
      </c>
      <c r="M121">
        <v>10902.76</v>
      </c>
      <c r="N121">
        <v>8131.53</v>
      </c>
      <c r="O121" t="s">
        <v>136</v>
      </c>
      <c r="P121" t="s">
        <v>137</v>
      </c>
      <c r="Q121" t="s">
        <v>101</v>
      </c>
    </row>
    <row r="122" spans="1:17">
      <c r="A122" t="s">
        <v>811</v>
      </c>
      <c r="B122" t="s">
        <v>138</v>
      </c>
      <c r="C122" t="s">
        <v>93</v>
      </c>
      <c r="D122" t="s">
        <v>32</v>
      </c>
      <c r="E122" t="s">
        <v>3</v>
      </c>
      <c r="F122" s="25" t="s">
        <v>62</v>
      </c>
      <c r="G122" t="s">
        <v>94</v>
      </c>
      <c r="H122" t="s">
        <v>139</v>
      </c>
      <c r="I122" t="s">
        <v>96</v>
      </c>
      <c r="J122" t="s">
        <v>28</v>
      </c>
      <c r="K122" t="s">
        <v>97</v>
      </c>
      <c r="L122" t="s">
        <v>98</v>
      </c>
      <c r="M122">
        <v>11553.16</v>
      </c>
      <c r="N122">
        <v>15704.35</v>
      </c>
      <c r="O122" t="s">
        <v>140</v>
      </c>
      <c r="P122" t="s">
        <v>141</v>
      </c>
      <c r="Q122" t="s">
        <v>101</v>
      </c>
    </row>
    <row r="123" spans="1:17">
      <c r="A123" t="s">
        <v>812</v>
      </c>
      <c r="B123" t="s">
        <v>142</v>
      </c>
      <c r="C123" t="s">
        <v>93</v>
      </c>
      <c r="D123" t="s">
        <v>32</v>
      </c>
      <c r="E123" t="s">
        <v>3</v>
      </c>
      <c r="F123" s="25" t="s">
        <v>62</v>
      </c>
      <c r="G123" t="s">
        <v>94</v>
      </c>
      <c r="H123" t="s">
        <v>143</v>
      </c>
      <c r="I123" t="s">
        <v>96</v>
      </c>
      <c r="J123" t="s">
        <v>28</v>
      </c>
      <c r="K123" t="s">
        <v>97</v>
      </c>
      <c r="L123" t="s">
        <v>98</v>
      </c>
      <c r="M123">
        <v>3740.21</v>
      </c>
      <c r="N123">
        <v>4783.59</v>
      </c>
      <c r="O123" t="s">
        <v>144</v>
      </c>
      <c r="P123" t="s">
        <v>145</v>
      </c>
      <c r="Q123" t="s">
        <v>101</v>
      </c>
    </row>
    <row r="124" spans="1:17">
      <c r="A124" t="s">
        <v>813</v>
      </c>
      <c r="B124" t="s">
        <v>146</v>
      </c>
      <c r="C124" t="s">
        <v>93</v>
      </c>
      <c r="D124" t="s">
        <v>32</v>
      </c>
      <c r="E124" t="s">
        <v>3</v>
      </c>
      <c r="F124" s="25" t="s">
        <v>62</v>
      </c>
      <c r="G124" t="s">
        <v>94</v>
      </c>
      <c r="H124" t="s">
        <v>147</v>
      </c>
      <c r="I124" t="s">
        <v>96</v>
      </c>
      <c r="J124" t="s">
        <v>28</v>
      </c>
      <c r="K124" t="s">
        <v>97</v>
      </c>
      <c r="L124" t="s">
        <v>98</v>
      </c>
      <c r="M124">
        <v>-244</v>
      </c>
      <c r="N124">
        <v>10419.67</v>
      </c>
      <c r="O124" t="s">
        <v>148</v>
      </c>
      <c r="P124" t="s">
        <v>149</v>
      </c>
      <c r="Q124" t="s">
        <v>101</v>
      </c>
    </row>
    <row r="125" spans="1:17">
      <c r="A125" t="s">
        <v>814</v>
      </c>
      <c r="B125" t="s">
        <v>150</v>
      </c>
      <c r="C125" t="s">
        <v>93</v>
      </c>
      <c r="D125" t="s">
        <v>32</v>
      </c>
      <c r="E125" t="s">
        <v>3</v>
      </c>
      <c r="F125" s="25" t="s">
        <v>62</v>
      </c>
      <c r="G125" t="s">
        <v>94</v>
      </c>
      <c r="H125" t="s">
        <v>151</v>
      </c>
      <c r="I125" t="s">
        <v>96</v>
      </c>
      <c r="J125" t="s">
        <v>28</v>
      </c>
      <c r="K125" t="s">
        <v>97</v>
      </c>
      <c r="L125" t="s">
        <v>98</v>
      </c>
      <c r="M125">
        <v>0</v>
      </c>
      <c r="N125">
        <v>2670.81</v>
      </c>
      <c r="O125" t="s">
        <v>152</v>
      </c>
      <c r="P125" t="s">
        <v>153</v>
      </c>
      <c r="Q125" t="s">
        <v>101</v>
      </c>
    </row>
    <row r="126" spans="1:17">
      <c r="A126" t="s">
        <v>815</v>
      </c>
      <c r="B126" t="s">
        <v>154</v>
      </c>
      <c r="C126" t="s">
        <v>93</v>
      </c>
      <c r="D126" t="s">
        <v>32</v>
      </c>
      <c r="E126" t="s">
        <v>3</v>
      </c>
      <c r="F126" s="25" t="s">
        <v>62</v>
      </c>
      <c r="G126" t="s">
        <v>94</v>
      </c>
      <c r="H126" t="s">
        <v>155</v>
      </c>
      <c r="I126" t="s">
        <v>96</v>
      </c>
      <c r="J126" t="s">
        <v>28</v>
      </c>
      <c r="K126" t="s">
        <v>97</v>
      </c>
      <c r="L126" t="s">
        <v>98</v>
      </c>
      <c r="M126">
        <v>6720.04</v>
      </c>
      <c r="N126">
        <v>7945.49</v>
      </c>
      <c r="O126" t="s">
        <v>156</v>
      </c>
      <c r="P126" t="s">
        <v>157</v>
      </c>
      <c r="Q126" t="s">
        <v>101</v>
      </c>
    </row>
    <row r="127" spans="1:17">
      <c r="A127" t="s">
        <v>816</v>
      </c>
      <c r="B127" t="s">
        <v>158</v>
      </c>
      <c r="C127" t="s">
        <v>159</v>
      </c>
      <c r="D127" t="s">
        <v>32</v>
      </c>
      <c r="E127" t="s">
        <v>3</v>
      </c>
      <c r="F127" s="25" t="s">
        <v>62</v>
      </c>
      <c r="G127" t="s">
        <v>94</v>
      </c>
      <c r="H127" t="s">
        <v>160</v>
      </c>
      <c r="I127" t="s">
        <v>161</v>
      </c>
      <c r="J127" t="s">
        <v>28</v>
      </c>
      <c r="K127" t="s">
        <v>97</v>
      </c>
      <c r="L127" t="s">
        <v>162</v>
      </c>
      <c r="M127">
        <v>0</v>
      </c>
      <c r="N127">
        <v>384.39</v>
      </c>
      <c r="O127">
        <v>-384.39</v>
      </c>
      <c r="P127" t="s">
        <v>163</v>
      </c>
      <c r="Q127" t="s">
        <v>164</v>
      </c>
    </row>
    <row r="128" spans="1:17">
      <c r="A128" t="s">
        <v>817</v>
      </c>
      <c r="B128" t="s">
        <v>165</v>
      </c>
      <c r="C128" t="s">
        <v>93</v>
      </c>
      <c r="D128" t="s">
        <v>32</v>
      </c>
      <c r="E128" t="s">
        <v>3</v>
      </c>
      <c r="F128" s="25" t="s">
        <v>62</v>
      </c>
      <c r="G128" t="s">
        <v>94</v>
      </c>
      <c r="H128" t="s">
        <v>166</v>
      </c>
      <c r="I128" t="s">
        <v>96</v>
      </c>
      <c r="J128" t="s">
        <v>28</v>
      </c>
      <c r="K128" t="s">
        <v>97</v>
      </c>
      <c r="L128" t="s">
        <v>98</v>
      </c>
      <c r="M128">
        <v>2458.9299999999998</v>
      </c>
      <c r="N128">
        <v>1387.11</v>
      </c>
      <c r="O128" t="s">
        <v>167</v>
      </c>
      <c r="P128" t="s">
        <v>168</v>
      </c>
      <c r="Q128" t="s">
        <v>101</v>
      </c>
    </row>
    <row r="129" spans="1:17">
      <c r="A129" t="s">
        <v>818</v>
      </c>
      <c r="B129" t="s">
        <v>169</v>
      </c>
      <c r="C129" t="s">
        <v>159</v>
      </c>
      <c r="D129" t="s">
        <v>32</v>
      </c>
      <c r="E129" t="s">
        <v>3</v>
      </c>
      <c r="F129" s="25" t="s">
        <v>62</v>
      </c>
      <c r="G129" t="s">
        <v>94</v>
      </c>
      <c r="H129" t="s">
        <v>170</v>
      </c>
      <c r="I129" t="s">
        <v>161</v>
      </c>
      <c r="J129" t="s">
        <v>28</v>
      </c>
      <c r="K129" t="s">
        <v>97</v>
      </c>
      <c r="L129" t="s">
        <v>171</v>
      </c>
      <c r="M129">
        <v>0</v>
      </c>
      <c r="N129">
        <v>1761.67</v>
      </c>
      <c r="O129">
        <v>-1761.67</v>
      </c>
      <c r="P129" t="s">
        <v>163</v>
      </c>
      <c r="Q129" t="s">
        <v>164</v>
      </c>
    </row>
    <row r="130" spans="1:17">
      <c r="A130" t="s">
        <v>819</v>
      </c>
      <c r="B130" t="s">
        <v>172</v>
      </c>
      <c r="C130" t="s">
        <v>159</v>
      </c>
      <c r="D130" t="s">
        <v>32</v>
      </c>
      <c r="E130" t="s">
        <v>3</v>
      </c>
      <c r="F130" s="25" t="s">
        <v>62</v>
      </c>
      <c r="G130" t="s">
        <v>94</v>
      </c>
      <c r="H130" t="s">
        <v>173</v>
      </c>
      <c r="I130" t="s">
        <v>161</v>
      </c>
      <c r="J130" t="s">
        <v>28</v>
      </c>
      <c r="K130" t="s">
        <v>97</v>
      </c>
      <c r="L130" t="s">
        <v>174</v>
      </c>
      <c r="M130">
        <v>0</v>
      </c>
      <c r="N130">
        <v>817.79</v>
      </c>
      <c r="O130">
        <v>-817.79</v>
      </c>
      <c r="P130" t="s">
        <v>163</v>
      </c>
      <c r="Q130" t="s">
        <v>164</v>
      </c>
    </row>
    <row r="131" spans="1:17">
      <c r="A131" t="s">
        <v>820</v>
      </c>
      <c r="B131" t="s">
        <v>175</v>
      </c>
      <c r="C131" t="s">
        <v>93</v>
      </c>
      <c r="D131" t="s">
        <v>32</v>
      </c>
      <c r="E131" t="s">
        <v>3</v>
      </c>
      <c r="F131" s="25" t="s">
        <v>62</v>
      </c>
      <c r="G131" t="s">
        <v>94</v>
      </c>
      <c r="H131" t="s">
        <v>176</v>
      </c>
      <c r="I131" t="s">
        <v>96</v>
      </c>
      <c r="J131" t="s">
        <v>28</v>
      </c>
      <c r="K131" t="s">
        <v>97</v>
      </c>
      <c r="L131" t="s">
        <v>98</v>
      </c>
      <c r="M131">
        <v>2743.47</v>
      </c>
      <c r="N131">
        <v>1072.1199999999999</v>
      </c>
      <c r="O131" t="s">
        <v>177</v>
      </c>
      <c r="P131" t="s">
        <v>178</v>
      </c>
      <c r="Q131" t="s">
        <v>101</v>
      </c>
    </row>
    <row r="132" spans="1:17">
      <c r="A132" t="s">
        <v>821</v>
      </c>
      <c r="B132" t="s">
        <v>179</v>
      </c>
      <c r="C132" t="s">
        <v>93</v>
      </c>
      <c r="D132" t="s">
        <v>32</v>
      </c>
      <c r="E132" t="s">
        <v>3</v>
      </c>
      <c r="F132" s="25" t="s">
        <v>62</v>
      </c>
      <c r="G132" t="s">
        <v>94</v>
      </c>
      <c r="H132" t="s">
        <v>180</v>
      </c>
      <c r="I132" t="s">
        <v>96</v>
      </c>
      <c r="J132" t="s">
        <v>28</v>
      </c>
      <c r="K132" t="s">
        <v>97</v>
      </c>
      <c r="L132" t="s">
        <v>98</v>
      </c>
      <c r="M132">
        <v>1850</v>
      </c>
      <c r="N132">
        <v>4651.83</v>
      </c>
      <c r="O132" t="s">
        <v>181</v>
      </c>
      <c r="P132" t="s">
        <v>182</v>
      </c>
      <c r="Q132" t="s">
        <v>101</v>
      </c>
    </row>
    <row r="133" spans="1:17">
      <c r="A133" t="s">
        <v>822</v>
      </c>
      <c r="B133" t="s">
        <v>183</v>
      </c>
      <c r="C133" t="s">
        <v>93</v>
      </c>
      <c r="D133" t="s">
        <v>32</v>
      </c>
      <c r="E133" t="s">
        <v>3</v>
      </c>
      <c r="F133" s="25" t="s">
        <v>62</v>
      </c>
      <c r="G133" t="s">
        <v>94</v>
      </c>
      <c r="H133" t="s">
        <v>184</v>
      </c>
      <c r="I133" t="s">
        <v>96</v>
      </c>
      <c r="J133" t="s">
        <v>28</v>
      </c>
      <c r="K133" t="s">
        <v>97</v>
      </c>
      <c r="L133" t="s">
        <v>98</v>
      </c>
      <c r="M133">
        <v>3805.4</v>
      </c>
      <c r="N133">
        <v>2297.2399999999998</v>
      </c>
      <c r="O133" t="s">
        <v>185</v>
      </c>
      <c r="P133" t="s">
        <v>186</v>
      </c>
      <c r="Q133" t="s">
        <v>101</v>
      </c>
    </row>
    <row r="134" spans="1:17">
      <c r="A134" t="s">
        <v>823</v>
      </c>
      <c r="B134" t="s">
        <v>187</v>
      </c>
      <c r="C134" t="s">
        <v>93</v>
      </c>
      <c r="D134" t="s">
        <v>32</v>
      </c>
      <c r="E134" t="s">
        <v>3</v>
      </c>
      <c r="F134" s="25" t="s">
        <v>62</v>
      </c>
      <c r="G134" t="s">
        <v>94</v>
      </c>
      <c r="H134" t="s">
        <v>188</v>
      </c>
      <c r="I134" t="s">
        <v>96</v>
      </c>
      <c r="J134" t="s">
        <v>28</v>
      </c>
      <c r="K134" t="s">
        <v>97</v>
      </c>
      <c r="L134" t="s">
        <v>98</v>
      </c>
      <c r="M134">
        <v>6368.75</v>
      </c>
      <c r="N134">
        <v>3401.67</v>
      </c>
      <c r="O134" t="s">
        <v>189</v>
      </c>
      <c r="P134" t="s">
        <v>190</v>
      </c>
      <c r="Q134" t="s">
        <v>101</v>
      </c>
    </row>
    <row r="135" spans="1:17">
      <c r="A135" t="s">
        <v>824</v>
      </c>
      <c r="B135" t="s">
        <v>191</v>
      </c>
      <c r="C135" t="s">
        <v>192</v>
      </c>
      <c r="D135" t="s">
        <v>32</v>
      </c>
      <c r="E135" t="s">
        <v>3</v>
      </c>
      <c r="F135" s="25" t="s">
        <v>62</v>
      </c>
      <c r="G135" t="s">
        <v>193</v>
      </c>
      <c r="H135" t="s">
        <v>194</v>
      </c>
      <c r="I135" t="s">
        <v>96</v>
      </c>
      <c r="J135" t="s">
        <v>28</v>
      </c>
      <c r="K135" t="s">
        <v>97</v>
      </c>
      <c r="L135" t="s">
        <v>98</v>
      </c>
      <c r="M135">
        <v>1535.08</v>
      </c>
      <c r="N135">
        <v>266.51</v>
      </c>
      <c r="O135" t="s">
        <v>195</v>
      </c>
      <c r="P135" t="s">
        <v>196</v>
      </c>
      <c r="Q135" t="s">
        <v>197</v>
      </c>
    </row>
    <row r="136" spans="1:17">
      <c r="A136" t="s">
        <v>825</v>
      </c>
      <c r="B136" t="s">
        <v>198</v>
      </c>
      <c r="C136" t="s">
        <v>199</v>
      </c>
      <c r="D136" t="s">
        <v>32</v>
      </c>
      <c r="E136" t="s">
        <v>3</v>
      </c>
      <c r="F136" s="25" t="s">
        <v>62</v>
      </c>
      <c r="G136" t="s">
        <v>193</v>
      </c>
      <c r="H136" t="s">
        <v>200</v>
      </c>
      <c r="I136" t="s">
        <v>201</v>
      </c>
      <c r="J136" t="s">
        <v>28</v>
      </c>
      <c r="K136" t="s">
        <v>97</v>
      </c>
      <c r="L136" t="s">
        <v>202</v>
      </c>
      <c r="M136">
        <v>0</v>
      </c>
      <c r="N136">
        <v>5939.1</v>
      </c>
      <c r="O136">
        <v>-5939.1</v>
      </c>
      <c r="P136" t="s">
        <v>203</v>
      </c>
      <c r="Q136" t="s">
        <v>204</v>
      </c>
    </row>
    <row r="137" spans="1:17">
      <c r="A137" t="s">
        <v>826</v>
      </c>
      <c r="B137" t="s">
        <v>205</v>
      </c>
      <c r="C137" t="s">
        <v>192</v>
      </c>
      <c r="D137" t="s">
        <v>32</v>
      </c>
      <c r="E137" t="s">
        <v>3</v>
      </c>
      <c r="F137" s="25" t="s">
        <v>62</v>
      </c>
      <c r="G137" t="s">
        <v>193</v>
      </c>
      <c r="H137" t="s">
        <v>206</v>
      </c>
      <c r="I137" t="s">
        <v>96</v>
      </c>
      <c r="J137" t="s">
        <v>28</v>
      </c>
      <c r="K137" t="s">
        <v>97</v>
      </c>
      <c r="L137" t="s">
        <v>98</v>
      </c>
      <c r="M137">
        <v>-9325.5499999999993</v>
      </c>
      <c r="N137">
        <v>5684.18</v>
      </c>
      <c r="O137" t="s">
        <v>207</v>
      </c>
      <c r="P137" t="s">
        <v>208</v>
      </c>
      <c r="Q137" t="s">
        <v>197</v>
      </c>
    </row>
    <row r="138" spans="1:17">
      <c r="A138" t="s">
        <v>827</v>
      </c>
      <c r="B138" t="s">
        <v>209</v>
      </c>
      <c r="C138" t="s">
        <v>192</v>
      </c>
      <c r="D138" t="s">
        <v>32</v>
      </c>
      <c r="E138" t="s">
        <v>3</v>
      </c>
      <c r="F138" s="25" t="s">
        <v>62</v>
      </c>
      <c r="G138" t="s">
        <v>193</v>
      </c>
      <c r="H138" t="s">
        <v>210</v>
      </c>
      <c r="I138" t="s">
        <v>96</v>
      </c>
      <c r="J138" t="s">
        <v>28</v>
      </c>
      <c r="K138" t="s">
        <v>97</v>
      </c>
      <c r="L138" t="s">
        <v>98</v>
      </c>
      <c r="M138">
        <v>-13545.85</v>
      </c>
      <c r="N138">
        <v>11949.51</v>
      </c>
      <c r="O138" t="s">
        <v>211</v>
      </c>
      <c r="P138" t="s">
        <v>212</v>
      </c>
      <c r="Q138" t="s">
        <v>197</v>
      </c>
    </row>
    <row r="139" spans="1:17">
      <c r="A139" t="s">
        <v>828</v>
      </c>
      <c r="B139" t="s">
        <v>213</v>
      </c>
      <c r="C139" t="s">
        <v>192</v>
      </c>
      <c r="D139" t="s">
        <v>32</v>
      </c>
      <c r="E139" t="s">
        <v>3</v>
      </c>
      <c r="F139" s="25" t="s">
        <v>62</v>
      </c>
      <c r="G139" t="s">
        <v>193</v>
      </c>
      <c r="H139" t="s">
        <v>214</v>
      </c>
      <c r="I139" t="s">
        <v>96</v>
      </c>
      <c r="J139" t="s">
        <v>28</v>
      </c>
      <c r="K139" t="s">
        <v>97</v>
      </c>
      <c r="L139" t="s">
        <v>98</v>
      </c>
      <c r="M139">
        <v>3053.21</v>
      </c>
      <c r="N139">
        <v>5348.26</v>
      </c>
      <c r="O139" t="s">
        <v>215</v>
      </c>
      <c r="P139" t="s">
        <v>216</v>
      </c>
      <c r="Q139" t="s">
        <v>197</v>
      </c>
    </row>
    <row r="140" spans="1:17">
      <c r="A140" t="s">
        <v>829</v>
      </c>
      <c r="B140" t="s">
        <v>217</v>
      </c>
      <c r="C140" t="s">
        <v>192</v>
      </c>
      <c r="D140" t="s">
        <v>32</v>
      </c>
      <c r="E140" t="s">
        <v>3</v>
      </c>
      <c r="F140" s="25" t="s">
        <v>62</v>
      </c>
      <c r="G140" t="s">
        <v>193</v>
      </c>
      <c r="H140" t="s">
        <v>218</v>
      </c>
      <c r="I140" t="s">
        <v>96</v>
      </c>
      <c r="J140" t="s">
        <v>28</v>
      </c>
      <c r="K140" t="s">
        <v>97</v>
      </c>
      <c r="L140" t="s">
        <v>98</v>
      </c>
      <c r="M140">
        <v>8768.85</v>
      </c>
      <c r="N140">
        <v>13845.6</v>
      </c>
      <c r="O140" t="s">
        <v>219</v>
      </c>
      <c r="P140" t="s">
        <v>220</v>
      </c>
      <c r="Q140" t="s">
        <v>197</v>
      </c>
    </row>
    <row r="141" spans="1:17">
      <c r="A141" t="s">
        <v>830</v>
      </c>
      <c r="B141" t="s">
        <v>221</v>
      </c>
      <c r="C141" t="s">
        <v>192</v>
      </c>
      <c r="D141" t="s">
        <v>32</v>
      </c>
      <c r="E141" t="s">
        <v>3</v>
      </c>
      <c r="F141" s="25" t="s">
        <v>62</v>
      </c>
      <c r="G141" t="s">
        <v>193</v>
      </c>
      <c r="H141" t="s">
        <v>222</v>
      </c>
      <c r="I141" t="s">
        <v>96</v>
      </c>
      <c r="J141" t="s">
        <v>28</v>
      </c>
      <c r="K141" t="s">
        <v>97</v>
      </c>
      <c r="L141" t="s">
        <v>98</v>
      </c>
      <c r="M141">
        <v>5300.87</v>
      </c>
      <c r="N141">
        <v>2828.41</v>
      </c>
      <c r="O141" t="s">
        <v>223</v>
      </c>
      <c r="P141" t="s">
        <v>224</v>
      </c>
      <c r="Q141" t="s">
        <v>197</v>
      </c>
    </row>
    <row r="142" spans="1:17">
      <c r="A142" t="s">
        <v>831</v>
      </c>
      <c r="B142" t="s">
        <v>225</v>
      </c>
      <c r="C142" t="s">
        <v>93</v>
      </c>
      <c r="D142" t="s">
        <v>32</v>
      </c>
      <c r="E142" t="s">
        <v>3</v>
      </c>
      <c r="F142" s="25" t="s">
        <v>62</v>
      </c>
      <c r="G142" t="s">
        <v>94</v>
      </c>
      <c r="H142" t="s">
        <v>226</v>
      </c>
      <c r="I142" t="s">
        <v>96</v>
      </c>
      <c r="J142" t="s">
        <v>28</v>
      </c>
      <c r="K142" t="s">
        <v>97</v>
      </c>
      <c r="L142" t="s">
        <v>98</v>
      </c>
      <c r="M142">
        <v>3726.07</v>
      </c>
      <c r="N142">
        <v>7353.13</v>
      </c>
      <c r="O142" t="s">
        <v>227</v>
      </c>
      <c r="P142" t="s">
        <v>228</v>
      </c>
      <c r="Q142" t="s">
        <v>101</v>
      </c>
    </row>
    <row r="143" spans="1:17">
      <c r="A143" t="s">
        <v>832</v>
      </c>
      <c r="B143" t="s">
        <v>229</v>
      </c>
      <c r="C143" t="s">
        <v>93</v>
      </c>
      <c r="D143" t="s">
        <v>32</v>
      </c>
      <c r="E143" t="s">
        <v>3</v>
      </c>
      <c r="F143" s="25" t="s">
        <v>62</v>
      </c>
      <c r="G143" t="s">
        <v>94</v>
      </c>
      <c r="H143" t="s">
        <v>230</v>
      </c>
      <c r="I143" t="s">
        <v>96</v>
      </c>
      <c r="J143" t="s">
        <v>28</v>
      </c>
      <c r="K143" t="s">
        <v>97</v>
      </c>
      <c r="L143" t="s">
        <v>98</v>
      </c>
      <c r="M143">
        <v>-616.45000000000005</v>
      </c>
      <c r="N143">
        <v>653.45000000000005</v>
      </c>
      <c r="O143" t="s">
        <v>231</v>
      </c>
      <c r="P143" t="s">
        <v>232</v>
      </c>
      <c r="Q143" t="s">
        <v>101</v>
      </c>
    </row>
    <row r="144" spans="1:17">
      <c r="A144" t="s">
        <v>833</v>
      </c>
      <c r="B144" t="s">
        <v>233</v>
      </c>
      <c r="C144" t="s">
        <v>93</v>
      </c>
      <c r="D144" t="s">
        <v>32</v>
      </c>
      <c r="E144" t="s">
        <v>3</v>
      </c>
      <c r="F144" s="25" t="s">
        <v>62</v>
      </c>
      <c r="G144" t="s">
        <v>94</v>
      </c>
      <c r="H144" t="s">
        <v>234</v>
      </c>
      <c r="I144" t="s">
        <v>96</v>
      </c>
      <c r="J144" t="s">
        <v>28</v>
      </c>
      <c r="K144" t="s">
        <v>97</v>
      </c>
      <c r="L144" t="s">
        <v>98</v>
      </c>
      <c r="M144">
        <v>2361</v>
      </c>
      <c r="N144">
        <v>5137.67</v>
      </c>
      <c r="O144" t="s">
        <v>235</v>
      </c>
      <c r="P144" t="s">
        <v>236</v>
      </c>
      <c r="Q144" t="s">
        <v>101</v>
      </c>
    </row>
    <row r="145" spans="1:17">
      <c r="A145" t="s">
        <v>834</v>
      </c>
      <c r="B145" t="s">
        <v>237</v>
      </c>
      <c r="C145" t="s">
        <v>93</v>
      </c>
      <c r="D145" t="s">
        <v>32</v>
      </c>
      <c r="E145" t="s">
        <v>3</v>
      </c>
      <c r="F145" s="25" t="s">
        <v>62</v>
      </c>
      <c r="G145" t="s">
        <v>94</v>
      </c>
      <c r="H145" t="s">
        <v>238</v>
      </c>
      <c r="I145" t="s">
        <v>96</v>
      </c>
      <c r="J145" t="s">
        <v>28</v>
      </c>
      <c r="K145" t="s">
        <v>97</v>
      </c>
      <c r="L145" t="s">
        <v>98</v>
      </c>
      <c r="M145">
        <v>154.53</v>
      </c>
      <c r="N145">
        <v>6989.53</v>
      </c>
      <c r="O145" t="s">
        <v>239</v>
      </c>
      <c r="P145" t="s">
        <v>240</v>
      </c>
      <c r="Q145" t="s">
        <v>101</v>
      </c>
    </row>
    <row r="146" spans="1:17">
      <c r="A146" t="s">
        <v>835</v>
      </c>
      <c r="B146" t="s">
        <v>241</v>
      </c>
      <c r="C146" t="s">
        <v>159</v>
      </c>
      <c r="D146" t="s">
        <v>32</v>
      </c>
      <c r="E146" t="s">
        <v>3</v>
      </c>
      <c r="F146" s="25" t="s">
        <v>62</v>
      </c>
      <c r="G146" t="s">
        <v>94</v>
      </c>
      <c r="H146" t="s">
        <v>242</v>
      </c>
      <c r="I146" t="s">
        <v>161</v>
      </c>
      <c r="J146" t="s">
        <v>28</v>
      </c>
      <c r="K146" t="s">
        <v>97</v>
      </c>
      <c r="L146" t="s">
        <v>162</v>
      </c>
      <c r="M146">
        <v>0</v>
      </c>
      <c r="N146">
        <v>-67.180000000000007</v>
      </c>
      <c r="O146">
        <v>67.180000000000007</v>
      </c>
      <c r="P146" t="s">
        <v>163</v>
      </c>
      <c r="Q146" t="s">
        <v>164</v>
      </c>
    </row>
    <row r="147" spans="1:17">
      <c r="A147" t="s">
        <v>836</v>
      </c>
      <c r="B147" t="s">
        <v>243</v>
      </c>
      <c r="C147" t="s">
        <v>244</v>
      </c>
      <c r="D147" t="s">
        <v>32</v>
      </c>
      <c r="E147" t="s">
        <v>3</v>
      </c>
      <c r="F147" s="25" t="s">
        <v>62</v>
      </c>
      <c r="G147" t="s">
        <v>245</v>
      </c>
      <c r="H147" t="s">
        <v>246</v>
      </c>
      <c r="I147" t="s">
        <v>247</v>
      </c>
      <c r="J147" t="s">
        <v>28</v>
      </c>
      <c r="K147" t="s">
        <v>97</v>
      </c>
      <c r="L147" t="s">
        <v>98</v>
      </c>
      <c r="M147">
        <v>9630.7800000000007</v>
      </c>
      <c r="N147">
        <v>2326.98</v>
      </c>
      <c r="O147" t="s">
        <v>248</v>
      </c>
      <c r="P147" t="s">
        <v>249</v>
      </c>
      <c r="Q147" t="s">
        <v>250</v>
      </c>
    </row>
    <row r="148" spans="1:17">
      <c r="A148" t="s">
        <v>837</v>
      </c>
      <c r="B148" t="s">
        <v>251</v>
      </c>
      <c r="C148" t="s">
        <v>244</v>
      </c>
      <c r="D148" t="s">
        <v>32</v>
      </c>
      <c r="E148" t="s">
        <v>3</v>
      </c>
      <c r="F148" s="25" t="s">
        <v>62</v>
      </c>
      <c r="G148" t="s">
        <v>245</v>
      </c>
      <c r="H148" t="s">
        <v>252</v>
      </c>
      <c r="I148" t="s">
        <v>247</v>
      </c>
      <c r="J148" t="s">
        <v>28</v>
      </c>
      <c r="K148" t="s">
        <v>97</v>
      </c>
      <c r="L148" t="s">
        <v>98</v>
      </c>
      <c r="M148">
        <v>2867.29</v>
      </c>
      <c r="N148">
        <v>1488.32</v>
      </c>
      <c r="O148" t="s">
        <v>253</v>
      </c>
      <c r="P148" t="s">
        <v>254</v>
      </c>
      <c r="Q148" t="s">
        <v>250</v>
      </c>
    </row>
    <row r="149" spans="1:17">
      <c r="A149" t="s">
        <v>838</v>
      </c>
      <c r="B149" t="s">
        <v>255</v>
      </c>
      <c r="C149" t="s">
        <v>244</v>
      </c>
      <c r="D149" t="s">
        <v>32</v>
      </c>
      <c r="E149" t="s">
        <v>3</v>
      </c>
      <c r="F149" s="25" t="s">
        <v>62</v>
      </c>
      <c r="G149" t="s">
        <v>245</v>
      </c>
      <c r="H149" t="s">
        <v>256</v>
      </c>
      <c r="I149" t="s">
        <v>247</v>
      </c>
      <c r="J149" t="s">
        <v>28</v>
      </c>
      <c r="K149" t="s">
        <v>97</v>
      </c>
      <c r="L149" t="s">
        <v>98</v>
      </c>
      <c r="M149">
        <v>4042</v>
      </c>
      <c r="N149">
        <v>5410.29</v>
      </c>
      <c r="O149" t="s">
        <v>257</v>
      </c>
      <c r="P149" t="s">
        <v>258</v>
      </c>
      <c r="Q149" t="s">
        <v>250</v>
      </c>
    </row>
    <row r="150" spans="1:17">
      <c r="A150" t="s">
        <v>839</v>
      </c>
      <c r="B150" t="s">
        <v>259</v>
      </c>
      <c r="C150" t="s">
        <v>244</v>
      </c>
      <c r="D150" t="s">
        <v>32</v>
      </c>
      <c r="E150" t="s">
        <v>3</v>
      </c>
      <c r="F150" s="25" t="s">
        <v>62</v>
      </c>
      <c r="G150" t="s">
        <v>245</v>
      </c>
      <c r="H150" t="s">
        <v>260</v>
      </c>
      <c r="I150" t="s">
        <v>247</v>
      </c>
      <c r="J150" t="s">
        <v>28</v>
      </c>
      <c r="K150" t="s">
        <v>97</v>
      </c>
      <c r="L150" t="s">
        <v>98</v>
      </c>
      <c r="M150">
        <v>15527.1</v>
      </c>
      <c r="N150">
        <v>9202.2900000000009</v>
      </c>
      <c r="O150" t="s">
        <v>261</v>
      </c>
      <c r="P150" t="s">
        <v>262</v>
      </c>
      <c r="Q150" t="s">
        <v>250</v>
      </c>
    </row>
    <row r="151" spans="1:17">
      <c r="A151" t="s">
        <v>840</v>
      </c>
      <c r="B151" t="s">
        <v>605</v>
      </c>
      <c r="C151" t="s">
        <v>606</v>
      </c>
      <c r="D151" t="s">
        <v>30</v>
      </c>
      <c r="E151" t="s">
        <v>3</v>
      </c>
      <c r="F151" s="25" t="s">
        <v>62</v>
      </c>
      <c r="G151" t="s">
        <v>245</v>
      </c>
      <c r="H151" t="s">
        <v>607</v>
      </c>
      <c r="I151" t="s">
        <v>608</v>
      </c>
      <c r="J151" t="s">
        <v>27</v>
      </c>
      <c r="K151" t="s">
        <v>94</v>
      </c>
      <c r="P151" t="s">
        <v>609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C5F47EAF4A0F4F9CA5901C0C00B403" ma:contentTypeVersion="4" ma:contentTypeDescription="Create a new document." ma:contentTypeScope="" ma:versionID="0622dcab38a9700d47eef2cff00aaac1">
  <xsd:schema xmlns:xsd="http://www.w3.org/2001/XMLSchema" xmlns:xs="http://www.w3.org/2001/XMLSchema" xmlns:p="http://schemas.microsoft.com/office/2006/metadata/properties" xmlns:ns2="e44135eb-6a74-4cc9-8d7a-06bab8e653a0" targetNamespace="http://schemas.microsoft.com/office/2006/metadata/properties" ma:root="true" ma:fieldsID="20a0ebd463fb0e0f9192c08dad79f98a" ns2:_="">
    <xsd:import namespace="e44135eb-6a74-4cc9-8d7a-06bab8e653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135eb-6a74-4cc9-8d7a-06bab8e65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1DEB7A-9A3B-440C-8D62-CFAE81662677}"/>
</file>

<file path=customXml/itemProps2.xml><?xml version="1.0" encoding="utf-8"?>
<ds:datastoreItem xmlns:ds="http://schemas.openxmlformats.org/officeDocument/2006/customXml" ds:itemID="{46EEF6DA-6C1F-4E9B-B705-081198759963}"/>
</file>

<file path=customXml/itemProps3.xml><?xml version="1.0" encoding="utf-8"?>
<ds:datastoreItem xmlns:ds="http://schemas.openxmlformats.org/officeDocument/2006/customXml" ds:itemID="{1AA253B7-15EF-44B7-8E2A-29BB08CEB0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Rowena Chen</dc:creator>
  <cp:keywords/>
  <dc:description/>
  <cp:lastModifiedBy>i:0#.f|membership|rowena.chen@greystar.com</cp:lastModifiedBy>
  <cp:revision>0</cp:revision>
  <dcterms:created xsi:type="dcterms:W3CDTF">2026-09-07T04:08:41Z</dcterms:created>
  <dcterms:modified xsi:type="dcterms:W3CDTF">2026-09-19T04:20:34Z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0x01010002C5F47EAF4A0F4F9CA5901C0C00B403</vt:lpwstr>
  </property>
</Properties>
</file>