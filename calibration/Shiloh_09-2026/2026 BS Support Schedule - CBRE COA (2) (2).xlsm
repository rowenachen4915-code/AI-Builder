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reystar365.sharepoint.com/sites/Prop-ResidencesatShilohCrossing-rpresshi-Accounting/Shared Documents/Accounting/2026/09-September/"/>
    </mc:Choice>
  </mc:AlternateContent>
  <xr:revisionPtr revIDLastSave="1932" documentId="8_{ED80A966-CAA8-4A47-9A00-D35D426D1A44}" xr6:coauthVersionLast="47" xr6:coauthVersionMax="47" xr10:uidLastSave="{3376F6AC-F475-4B23-AD03-8E4175451C2D}"/>
  <bookViews>
    <workbookView xWindow="-110" yWindow="-110" windowWidth="22780" windowHeight="14540" tabRatio="921" activeTab="4" xr2:uid="{65DDC3BF-8F3E-4470-8DCF-39B5DA01CA04}"/>
  </bookViews>
  <sheets>
    <sheet name="Input-Instructions" sheetId="8" r:id="rId1"/>
    <sheet name="CY" sheetId="9" r:id="rId2"/>
    <sheet name="Prepaid Other" sheetId="30" r:id="rId3"/>
    <sheet name="Property Insurance" sheetId="19" r:id="rId4"/>
    <sheet name="Real Estate Taxes" sheetId="21" r:id="rId5"/>
    <sheet name="Hidden" sheetId="23" state="hidden" r:id="rId6"/>
    <sheet name="State Details" sheetId="31" state="hidden" r:id="rId7"/>
    <sheet name="Accrued Expenses" sheetId="13" r:id="rId8"/>
    <sheet name="Unclaimed Property" sheetId="33" r:id="rId9"/>
    <sheet name="Insurance Claim" sheetId="39" r:id="rId10"/>
    <sheet name="Seller Settlement" sheetId="15" state="hidden" r:id="rId11"/>
    <sheet name="CapEx" sheetId="32" state="hidden" r:id="rId12"/>
    <sheet name="Upload Setup" sheetId="27" r:id="rId13"/>
    <sheet name="Yardi" sheetId="24" state="hidden" r:id="rId14"/>
    <sheet name="Entrata" sheetId="36" state="hidden" r:id="rId15"/>
    <sheet name="OneSite" sheetId="37" state="hidden" r:id="rId16"/>
    <sheet name="MRI" sheetId="38" state="hidden" r:id="rId17"/>
    <sheet name="HUD" sheetId="16" state="hidden" r:id="rId18"/>
    <sheet name="COA" sheetId="14" r:id="rId19"/>
    <sheet name="Mapped COA" sheetId="35" state="hidden" r:id="rId20"/>
  </sheets>
  <definedNames>
    <definedName name="_xlnm._FilterDatabase" localSheetId="11" hidden="1">CapEx!$A$5:$O$126</definedName>
    <definedName name="_xlnm._FilterDatabase" localSheetId="9" hidden="1">'Insurance Claim'!$A$8:$F$8</definedName>
    <definedName name="ACCRUAL_CAPEX_JE">OFFSET(#REF!,0,0,COUNTIF(#REF!,"J"),55)</definedName>
    <definedName name="ACCRUAL_CONTRACT_JE">OFFSET(#REF!,0,0,COUNTIF(#REF!,"J"),55)</definedName>
    <definedName name="ACCRUAL_OTHER_JE">OFFSET(#REF!,0,0,COUNTIF(#REF!,"J"),55)</definedName>
    <definedName name="ACCRUAL_UTILITIES_JE">OFFSET(#REF!,0,0,COUNTIF(#REF!,"J"),55)</definedName>
    <definedName name="BooksList">#REF!</definedName>
    <definedName name="BooksList2">#REF!</definedName>
    <definedName name="COA" localSheetId="12">#REF!</definedName>
    <definedName name="COA">#REF!</definedName>
    <definedName name="COAList">#REF!:INDEX(#REF!,MAX(#REF!),1)</definedName>
    <definedName name="DEPR_JE">OFFSET(#REF!,0,0,COUNTIF(#REF!,"J"),55)</definedName>
    <definedName name="INS_JE">OFFSET(#REF!,0,0,COUNTIF(#REF!,"J"),55)</definedName>
    <definedName name="INT_JE">OFFSET(#REF!,0,0,COUNTIF(#REF!,"J"),55)</definedName>
    <definedName name="JE_RANGES2">#REF!</definedName>
    <definedName name="MANUAL_ENTRIES_JE">OFFSET(#REF!,0,0,COUNTIF(#REF!,"J"),55)</definedName>
    <definedName name="MGMT_JE">OFFSET(#REF!,0,0,COUNTIF(#REF!,"J"),55)</definedName>
    <definedName name="PREPAID_OTHER_JE">OFFSET(#REF!,0,0,COUNTIF(#REF!,"J"),55)</definedName>
    <definedName name="PREPAID_STD_JE">OFFSET(#REF!,0,0,#REF!,55)</definedName>
    <definedName name="_xlnm.Print_Area" localSheetId="7">'Accrued Expenses'!$A$4:$G$191</definedName>
    <definedName name="_xlnm.Print_Area" localSheetId="11">CapEx!$A$1:$O$126</definedName>
    <definedName name="_xlnm.Print_Area" localSheetId="1">CY!$A$1:$G$321</definedName>
    <definedName name="_xlnm.Print_Area" localSheetId="17">HUD!$A$1:$H$108</definedName>
    <definedName name="_xlnm.Print_Area" localSheetId="0">'Input-Instructions'!$A$1:$C$9</definedName>
    <definedName name="_xlnm.Print_Area" localSheetId="9">'Insurance Claim'!$A$1:$F$109</definedName>
    <definedName name="_xlnm.Print_Area" localSheetId="2">'Prepaid Other'!$A$1:$K$20</definedName>
    <definedName name="_xlnm.Print_Area" localSheetId="3">'Property Insurance'!$B$1:$N$49</definedName>
    <definedName name="_xlnm.Print_Area" localSheetId="4">'Real Estate Taxes'!$B$4:$K$52</definedName>
    <definedName name="_xlnm.Print_Area" localSheetId="10">'Seller Settlement'!$A$1:$E$41</definedName>
    <definedName name="_xlnm.Print_Area" localSheetId="8">'Unclaimed Property'!$A$4:$AI$54</definedName>
    <definedName name="_xlnm.Print_Titles" localSheetId="7">'Accrued Expenses'!$1:$3</definedName>
    <definedName name="_xlnm.Print_Titles" localSheetId="11">CapEx!$1:$3</definedName>
    <definedName name="_xlnm.Print_Titles" localSheetId="18">COA!$1:$2</definedName>
    <definedName name="_xlnm.Print_Titles" localSheetId="1">CY!$1:$3</definedName>
    <definedName name="_xlnm.Print_Titles" localSheetId="5">Hidden!$1:$2</definedName>
    <definedName name="_xlnm.Print_Titles" localSheetId="17">HUD!$1:$3</definedName>
    <definedName name="_xlnm.Print_Titles" localSheetId="0">'Input-Instructions'!$1:$2</definedName>
    <definedName name="_xlnm.Print_Titles" localSheetId="9">'Insurance Claim'!$1:$8</definedName>
    <definedName name="_xlnm.Print_Titles" localSheetId="2">'Prepaid Other'!$1:$3</definedName>
    <definedName name="_xlnm.Print_Titles" localSheetId="3">'Property Insurance'!$1:$3</definedName>
    <definedName name="_xlnm.Print_Titles" localSheetId="4">'Real Estate Taxes'!$1:$3</definedName>
    <definedName name="_xlnm.Print_Titles" localSheetId="10">'Seller Settlement'!$1:$3</definedName>
    <definedName name="_xlnm.Print_Titles" localSheetId="6">'State Details'!$1:$2</definedName>
    <definedName name="_xlnm.Print_Titles" localSheetId="8">'Unclaimed Property'!$1:$3</definedName>
    <definedName name="_xlnm.Print_Titles" localSheetId="12">'Upload Setup'!$1:$2</definedName>
    <definedName name="_xlnm.Print_Titles" localSheetId="13">Yardi!$1:$2</definedName>
    <definedName name="RECLASS_ACCR_JE">OFFSET(#REF!,0,0,COUNTIF(#REF!,"J"),55)</definedName>
    <definedName name="RECLASS_BOTH_JE">OFFSET(#REF!,0,0,COUNTIF(#REF!,"J"),55)</definedName>
    <definedName name="TAX_JE">OFFSET(#REF!,0,0,COUNTIF(#REF!,"J"),55)</definedName>
    <definedName name="wrn.Backup." localSheetId="11" hidden="1">{#N/A,#N/A,FALSE,"Insurance &amp; Tax Accrual";#N/A,#N/A,FALSE,"Recov. Capital";#N/A,#N/A,FALSE,"Utility - HVAC Reimb.";#N/A,#N/A,FALSE,"Accts. 1395, 2641, 1391";#N/A,#N/A,FALSE,"Ernst &amp; Young Amort. - 2663";#N/A,#N/A,FALSE,"Account 2663";#N/A,#N/A,FALSE,"Oper. Exp. Accrual";#N/A,#N/A,FALSE,"OMP Payroll #1";#N/A,#N/A,FALSE,"OMP Payroll #2";#N/A,#N/A,FALSE,"Inwood Payroll"}</definedName>
    <definedName name="wrn.Backup." localSheetId="12" hidden="1">{#N/A,#N/A,FALSE,"Insurance &amp; Tax Accrual";#N/A,#N/A,FALSE,"Recov. Capital";#N/A,#N/A,FALSE,"Utility - HVAC Reimb.";#N/A,#N/A,FALSE,"Accts. 1395, 2641, 1391";#N/A,#N/A,FALSE,"Ernst &amp; Young Amort. - 2663";#N/A,#N/A,FALSE,"Account 2663";#N/A,#N/A,FALSE,"Oper. Exp. Accrual";#N/A,#N/A,FALSE,"OMP Payroll #1";#N/A,#N/A,FALSE,"OMP Payroll #2";#N/A,#N/A,FALSE,"Inwood Payroll"}</definedName>
    <definedName name="wrn.Backup." hidden="1">{#N/A,#N/A,FALSE,"Insurance &amp; Tax Accrual";#N/A,#N/A,FALSE,"Recov. Capital";#N/A,#N/A,FALSE,"Utility - HVAC Reimb.";#N/A,#N/A,FALSE,"Accts. 1395, 2641, 1391";#N/A,#N/A,FALSE,"Ernst &amp; Young Amort. - 2663";#N/A,#N/A,FALSE,"Account 2663";#N/A,#N/A,FALSE,"Oper. Exp. Accrual";#N/A,#N/A,FALSE,"OMP Payroll #1";#N/A,#N/A,FALSE,"OMP Payroll #2";#N/A,#N/A,FALSE,"Inwood Payroll"}</definedName>
    <definedName name="wrn.Journal._.Entry." localSheetId="11" hidden="1">{#N/A,#N/A,FALSE,"Journal Entry";#N/A,#N/A,FALSE,"Recov. Capital";#N/A,#N/A,FALSE,"Insurance &amp; Tax Accrual";#N/A,#N/A,FALSE,"Utility - HVAC Reimb.";#N/A,#N/A,FALSE,"Ernst &amp; Young Amort. - 2663";#N/A,#N/A,FALSE,"Account 2663";#N/A,#N/A,FALSE,"Oper. Exp. Accrual";#N/A,#N/A,FALSE,"OMP Payroll #1";#N/A,#N/A,FALSE,"OMP Payroll #2"}</definedName>
    <definedName name="wrn.Journal._.Entry." localSheetId="12" hidden="1">{#N/A,#N/A,FALSE,"Journal Entry";#N/A,#N/A,FALSE,"Recov. Capital";#N/A,#N/A,FALSE,"Insurance &amp; Tax Accrual";#N/A,#N/A,FALSE,"Utility - HVAC Reimb.";#N/A,#N/A,FALSE,"Ernst &amp; Young Amort. - 2663";#N/A,#N/A,FALSE,"Account 2663";#N/A,#N/A,FALSE,"Oper. Exp. Accrual";#N/A,#N/A,FALSE,"OMP Payroll #1";#N/A,#N/A,FALSE,"OMP Payroll #2"}</definedName>
    <definedName name="wrn.Journal._.Entry." hidden="1">{#N/A,#N/A,FALSE,"Journal Entry";#N/A,#N/A,FALSE,"Recov. Capital";#N/A,#N/A,FALSE,"Insurance &amp; Tax Accrual";#N/A,#N/A,FALSE,"Utility - HVAC Reimb.";#N/A,#N/A,FALSE,"Ernst &amp; Young Amort. - 2663";#N/A,#N/A,FALSE,"Account 2663";#N/A,#N/A,FALSE,"Oper. Exp. Accrual";#N/A,#N/A,FALSE,"OMP Payroll #1";#N/A,#N/A,FALSE,"OMP Payroll #2"}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4" i="19" l="1"/>
  <c r="F25" i="19"/>
  <c r="F23" i="19"/>
  <c r="I24" i="21"/>
  <c r="I26" i="21"/>
  <c r="K24" i="21"/>
  <c r="I25" i="21"/>
  <c r="K25" i="21" s="1"/>
  <c r="K26" i="21"/>
  <c r="I21" i="21"/>
  <c r="I22" i="21"/>
  <c r="I23" i="21"/>
  <c r="G22" i="21"/>
  <c r="G23" i="21"/>
  <c r="G24" i="21"/>
  <c r="G25" i="21"/>
  <c r="G26" i="21"/>
  <c r="G27" i="21"/>
  <c r="C35" i="9"/>
  <c r="H11" i="30" l="1"/>
  <c r="H12" i="30"/>
  <c r="H13" i="30"/>
  <c r="G284" i="9" l="1"/>
  <c r="G34" i="9"/>
  <c r="L23" i="19" l="1"/>
  <c r="L40" i="19" s="1"/>
  <c r="L41" i="19" s="1"/>
  <c r="L42" i="19" s="1"/>
  <c r="G93" i="13"/>
  <c r="I9" i="21" l="1"/>
  <c r="H42" i="21" s="1"/>
  <c r="H43" i="21" s="1"/>
  <c r="H44" i="21" s="1"/>
  <c r="H45" i="21" s="1"/>
  <c r="H46" i="21" s="1"/>
  <c r="H47" i="21" s="1"/>
  <c r="H48" i="21" s="1"/>
  <c r="H49" i="21" s="1"/>
  <c r="H50" i="21" s="1"/>
  <c r="H51" i="21" s="1"/>
  <c r="H52" i="21" s="1"/>
  <c r="C304" i="9"/>
  <c r="C297" i="9"/>
  <c r="C291" i="9"/>
  <c r="C285" i="9"/>
  <c r="C269" i="9"/>
  <c r="C263" i="9"/>
  <c r="C257" i="9"/>
  <c r="C251" i="9"/>
  <c r="C245" i="9"/>
  <c r="C239" i="9"/>
  <c r="C233" i="9"/>
  <c r="C227" i="9"/>
  <c r="C221" i="9"/>
  <c r="C215" i="9"/>
  <c r="C209" i="9"/>
  <c r="C203" i="9"/>
  <c r="C197" i="9"/>
  <c r="C191" i="9"/>
  <c r="C185" i="9"/>
  <c r="C179" i="9"/>
  <c r="C173" i="9"/>
  <c r="C167" i="9"/>
  <c r="C161" i="9"/>
  <c r="G309" i="9"/>
  <c r="G303" i="9"/>
  <c r="G296" i="9"/>
  <c r="G290" i="9"/>
  <c r="G268" i="9"/>
  <c r="G262" i="9"/>
  <c r="G256" i="9"/>
  <c r="G250" i="9"/>
  <c r="G244" i="9"/>
  <c r="G238" i="9"/>
  <c r="G232" i="9"/>
  <c r="G226" i="9"/>
  <c r="G220" i="9"/>
  <c r="G214" i="9"/>
  <c r="G208" i="9"/>
  <c r="G202" i="9"/>
  <c r="G196" i="9"/>
  <c r="G190" i="9"/>
  <c r="G184" i="9"/>
  <c r="G178" i="9"/>
  <c r="G172" i="9"/>
  <c r="G166" i="9"/>
  <c r="C23" i="9"/>
  <c r="F117" i="39" l="1"/>
  <c r="F6" i="39"/>
  <c r="O23" i="24"/>
  <c r="O22" i="24"/>
  <c r="K34" i="19"/>
  <c r="H31" i="21"/>
  <c r="H16" i="21"/>
  <c r="V20" i="21"/>
  <c r="I20" i="21"/>
  <c r="K20" i="21" s="1"/>
  <c r="D32" i="19"/>
  <c r="D31" i="19"/>
  <c r="D30" i="19"/>
  <c r="D29" i="19"/>
  <c r="D28" i="19"/>
  <c r="D27" i="19"/>
  <c r="D26" i="19"/>
  <c r="D17" i="19"/>
  <c r="D16" i="19"/>
  <c r="D15" i="19"/>
  <c r="D14" i="19"/>
  <c r="D13" i="19"/>
  <c r="F32" i="19"/>
  <c r="F31" i="19"/>
  <c r="F30" i="19"/>
  <c r="F29" i="19"/>
  <c r="F28" i="19"/>
  <c r="F27" i="19"/>
  <c r="F26" i="19"/>
  <c r="F17" i="19"/>
  <c r="F16" i="19"/>
  <c r="F15" i="19"/>
  <c r="F14" i="19"/>
  <c r="F13" i="19"/>
  <c r="F12" i="19"/>
  <c r="F11" i="19"/>
  <c r="F10" i="19"/>
  <c r="F9" i="19"/>
  <c r="F14" i="21"/>
  <c r="F13" i="21"/>
  <c r="F12" i="21"/>
  <c r="J14" i="21"/>
  <c r="J13" i="21"/>
  <c r="J12" i="21"/>
  <c r="K9" i="21"/>
  <c r="G10" i="21"/>
  <c r="D29" i="21"/>
  <c r="D28" i="21"/>
  <c r="D14" i="21"/>
  <c r="I14" i="21" s="1"/>
  <c r="D13" i="21"/>
  <c r="D12" i="21"/>
  <c r="J6" i="30"/>
  <c r="H6" i="30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K14" i="21" l="1"/>
  <c r="F228" i="39"/>
  <c r="F223" i="39"/>
  <c r="F112" i="39"/>
  <c r="F334" i="39"/>
  <c r="B331" i="39"/>
  <c r="B330" i="39"/>
  <c r="B329" i="39"/>
  <c r="B328" i="39"/>
  <c r="B327" i="39"/>
  <c r="B326" i="39"/>
  <c r="B325" i="39"/>
  <c r="B324" i="39"/>
  <c r="B323" i="39"/>
  <c r="B322" i="39"/>
  <c r="B321" i="39"/>
  <c r="B320" i="39"/>
  <c r="B319" i="39"/>
  <c r="B318" i="39"/>
  <c r="B317" i="39"/>
  <c r="B316" i="39"/>
  <c r="B315" i="39"/>
  <c r="B314" i="39"/>
  <c r="B313" i="39"/>
  <c r="B312" i="39"/>
  <c r="B311" i="39"/>
  <c r="B310" i="39"/>
  <c r="B309" i="39"/>
  <c r="B308" i="39"/>
  <c r="B307" i="39"/>
  <c r="B306" i="39"/>
  <c r="B305" i="39"/>
  <c r="B304" i="39"/>
  <c r="B303" i="39"/>
  <c r="B302" i="39"/>
  <c r="B301" i="39"/>
  <c r="B300" i="39"/>
  <c r="B299" i="39"/>
  <c r="B298" i="39"/>
  <c r="B297" i="39"/>
  <c r="B296" i="39"/>
  <c r="B295" i="39"/>
  <c r="B294" i="39"/>
  <c r="B293" i="39"/>
  <c r="B292" i="39"/>
  <c r="B291" i="39"/>
  <c r="B290" i="39"/>
  <c r="B289" i="39"/>
  <c r="B288" i="39"/>
  <c r="B287" i="39"/>
  <c r="B286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A3" i="39"/>
  <c r="A1" i="39"/>
  <c r="A3" i="33"/>
  <c r="A3" i="9"/>
  <c r="A3" i="13"/>
  <c r="A3" i="21"/>
  <c r="A1" i="21"/>
  <c r="A3" i="19"/>
  <c r="A1" i="19"/>
  <c r="A3" i="30"/>
  <c r="E317" i="9" l="1"/>
  <c r="G317" i="9" s="1"/>
  <c r="G318" i="9" s="1"/>
  <c r="E313" i="9"/>
  <c r="G313" i="9" s="1"/>
  <c r="G314" i="9" s="1"/>
  <c r="C310" i="9"/>
  <c r="G160" i="9"/>
  <c r="C155" i="9"/>
  <c r="G154" i="9"/>
  <c r="C149" i="9"/>
  <c r="G148" i="9"/>
  <c r="C143" i="9"/>
  <c r="G142" i="9"/>
  <c r="C137" i="9"/>
  <c r="G136" i="9"/>
  <c r="C131" i="9"/>
  <c r="G130" i="9"/>
  <c r="C121" i="9"/>
  <c r="G120" i="9"/>
  <c r="C115" i="9"/>
  <c r="G114" i="9"/>
  <c r="C109" i="9"/>
  <c r="G108" i="9"/>
  <c r="C102" i="9"/>
  <c r="G101" i="9"/>
  <c r="C86" i="9"/>
  <c r="A1" i="30"/>
  <c r="G321" i="9" l="1"/>
  <c r="K2" i="24"/>
  <c r="K4" i="24"/>
  <c r="K6" i="24"/>
  <c r="K8" i="24"/>
  <c r="K10" i="24"/>
  <c r="K12" i="24"/>
  <c r="K13" i="24" s="1"/>
  <c r="K14" i="24"/>
  <c r="K15" i="24" s="1"/>
  <c r="K16" i="24"/>
  <c r="K17" i="24" s="1"/>
  <c r="K18" i="24"/>
  <c r="K19" i="24" s="1"/>
  <c r="K20" i="24"/>
  <c r="K22" i="24"/>
  <c r="K24" i="24"/>
  <c r="K26" i="24"/>
  <c r="K28" i="24"/>
  <c r="K30" i="24"/>
  <c r="K32" i="24"/>
  <c r="K33" i="24" s="1"/>
  <c r="K34" i="24"/>
  <c r="K35" i="24" s="1"/>
  <c r="K36" i="24"/>
  <c r="K37" i="24" s="1"/>
  <c r="K38" i="24"/>
  <c r="K39" i="24" s="1"/>
  <c r="K40" i="24"/>
  <c r="K42" i="24"/>
  <c r="K44" i="24"/>
  <c r="K46" i="24"/>
  <c r="K48" i="24"/>
  <c r="K50" i="24"/>
  <c r="K51" i="24" s="1"/>
  <c r="K52" i="24"/>
  <c r="K54" i="24"/>
  <c r="K56" i="24"/>
  <c r="K58" i="24"/>
  <c r="K60" i="24"/>
  <c r="K62" i="24"/>
  <c r="K64" i="24"/>
  <c r="K66" i="24"/>
  <c r="K67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K84" i="24"/>
  <c r="K85" i="24"/>
  <c r="K86" i="24"/>
  <c r="K87" i="24"/>
  <c r="K88" i="24"/>
  <c r="K89" i="24"/>
  <c r="K90" i="24"/>
  <c r="K91" i="24"/>
  <c r="K92" i="24"/>
  <c r="K93" i="24"/>
  <c r="K94" i="24"/>
  <c r="K95" i="24"/>
  <c r="K96" i="24"/>
  <c r="K97" i="24"/>
  <c r="K98" i="24"/>
  <c r="K99" i="24"/>
  <c r="K100" i="24"/>
  <c r="K101" i="24"/>
  <c r="K102" i="24"/>
  <c r="K103" i="24"/>
  <c r="K104" i="24"/>
  <c r="K105" i="24"/>
  <c r="K106" i="24"/>
  <c r="K107" i="24"/>
  <c r="K108" i="24"/>
  <c r="K109" i="24"/>
  <c r="K110" i="24"/>
  <c r="K111" i="24"/>
  <c r="K112" i="24"/>
  <c r="K113" i="24"/>
  <c r="K114" i="24"/>
  <c r="K115" i="24"/>
  <c r="K116" i="24"/>
  <c r="K117" i="24"/>
  <c r="K118" i="24"/>
  <c r="K119" i="24"/>
  <c r="K120" i="24"/>
  <c r="K121" i="24"/>
  <c r="K122" i="24"/>
  <c r="K123" i="24"/>
  <c r="K124" i="24"/>
  <c r="K125" i="24"/>
  <c r="K126" i="24"/>
  <c r="K127" i="24"/>
  <c r="K128" i="24"/>
  <c r="K129" i="24"/>
  <c r="K130" i="24"/>
  <c r="K131" i="24"/>
  <c r="K132" i="24"/>
  <c r="K133" i="24"/>
  <c r="K134" i="24"/>
  <c r="K135" i="24"/>
  <c r="K136" i="24"/>
  <c r="K137" i="24"/>
  <c r="K138" i="24"/>
  <c r="K139" i="24"/>
  <c r="K140" i="24"/>
  <c r="K141" i="24"/>
  <c r="K142" i="24"/>
  <c r="K143" i="24"/>
  <c r="K144" i="24"/>
  <c r="K145" i="24"/>
  <c r="K146" i="24"/>
  <c r="K147" i="24"/>
  <c r="K148" i="24"/>
  <c r="K149" i="24"/>
  <c r="K150" i="24"/>
  <c r="K151" i="24"/>
  <c r="K152" i="24"/>
  <c r="K153" i="24"/>
  <c r="K154" i="24"/>
  <c r="K155" i="24"/>
  <c r="K156" i="24"/>
  <c r="K157" i="24"/>
  <c r="K158" i="24"/>
  <c r="K159" i="24"/>
  <c r="K160" i="24"/>
  <c r="K161" i="24"/>
  <c r="K162" i="24"/>
  <c r="K163" i="24"/>
  <c r="K164" i="24"/>
  <c r="K165" i="24"/>
  <c r="E3" i="36"/>
  <c r="A95" i="13" l="1"/>
  <c r="F191" i="13" s="1"/>
  <c r="A4" i="13"/>
  <c r="F93" i="13" s="1"/>
  <c r="P3" i="35"/>
  <c r="P2" i="35"/>
  <c r="G191" i="13"/>
  <c r="K19" i="19"/>
  <c r="D166" i="38" l="1"/>
  <c r="D165" i="38"/>
  <c r="D164" i="38"/>
  <c r="D163" i="38"/>
  <c r="D162" i="38"/>
  <c r="D161" i="38"/>
  <c r="D160" i="38"/>
  <c r="D159" i="38"/>
  <c r="D158" i="38"/>
  <c r="D157" i="38"/>
  <c r="D156" i="38"/>
  <c r="D155" i="38"/>
  <c r="D154" i="38"/>
  <c r="D153" i="38"/>
  <c r="D152" i="38"/>
  <c r="D151" i="38"/>
  <c r="D150" i="38"/>
  <c r="D149" i="38"/>
  <c r="D148" i="38"/>
  <c r="D147" i="38"/>
  <c r="D146" i="38"/>
  <c r="D145" i="38"/>
  <c r="D144" i="38"/>
  <c r="D143" i="38"/>
  <c r="D142" i="38"/>
  <c r="D141" i="38"/>
  <c r="D140" i="38"/>
  <c r="D139" i="38"/>
  <c r="D138" i="38"/>
  <c r="D137" i="38"/>
  <c r="D136" i="38"/>
  <c r="D135" i="38"/>
  <c r="D134" i="38"/>
  <c r="D133" i="38"/>
  <c r="D132" i="38"/>
  <c r="D131" i="38"/>
  <c r="D130" i="38"/>
  <c r="D129" i="38"/>
  <c r="D128" i="38"/>
  <c r="D127" i="38"/>
  <c r="D126" i="38"/>
  <c r="D125" i="38"/>
  <c r="D124" i="38"/>
  <c r="D123" i="38"/>
  <c r="D122" i="38"/>
  <c r="D121" i="38"/>
  <c r="D120" i="38"/>
  <c r="D119" i="38"/>
  <c r="D118" i="38"/>
  <c r="D117" i="38"/>
  <c r="D116" i="38"/>
  <c r="D115" i="38"/>
  <c r="D114" i="38"/>
  <c r="D113" i="38"/>
  <c r="D112" i="38"/>
  <c r="D111" i="38"/>
  <c r="D110" i="38"/>
  <c r="D109" i="38"/>
  <c r="D108" i="38"/>
  <c r="D107" i="38"/>
  <c r="D106" i="38"/>
  <c r="D105" i="38"/>
  <c r="D104" i="38"/>
  <c r="D103" i="38"/>
  <c r="D102" i="38"/>
  <c r="D101" i="38"/>
  <c r="D100" i="38"/>
  <c r="D99" i="38"/>
  <c r="D98" i="38"/>
  <c r="D97" i="38"/>
  <c r="D96" i="38"/>
  <c r="D95" i="38"/>
  <c r="D94" i="38"/>
  <c r="D93" i="38"/>
  <c r="D92" i="38"/>
  <c r="D91" i="38"/>
  <c r="D90" i="38"/>
  <c r="D89" i="38"/>
  <c r="D88" i="38"/>
  <c r="D87" i="38"/>
  <c r="D86" i="38"/>
  <c r="D85" i="38"/>
  <c r="D84" i="38"/>
  <c r="D83" i="38"/>
  <c r="D82" i="38"/>
  <c r="D81" i="38"/>
  <c r="D80" i="38"/>
  <c r="D79" i="38"/>
  <c r="D78" i="38"/>
  <c r="D77" i="38"/>
  <c r="D76" i="38"/>
  <c r="D75" i="38"/>
  <c r="D74" i="38"/>
  <c r="D73" i="38"/>
  <c r="D72" i="38"/>
  <c r="D71" i="38"/>
  <c r="D70" i="38"/>
  <c r="D69" i="38"/>
  <c r="D68" i="38"/>
  <c r="D67" i="38"/>
  <c r="B2" i="27"/>
  <c r="D39" i="27"/>
  <c r="D38" i="27"/>
  <c r="D37" i="27"/>
  <c r="D36" i="27"/>
  <c r="D35" i="27"/>
  <c r="D34" i="27"/>
  <c r="D33" i="27"/>
  <c r="D32" i="27"/>
  <c r="D31" i="27"/>
  <c r="D30" i="27"/>
  <c r="D29" i="27"/>
  <c r="D28" i="27"/>
  <c r="D27" i="27"/>
  <c r="D26" i="27"/>
  <c r="D25" i="27"/>
  <c r="D24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B110" i="32" l="1"/>
  <c r="B103" i="32"/>
  <c r="B96" i="32"/>
  <c r="B89" i="32"/>
  <c r="B82" i="32"/>
  <c r="B75" i="32"/>
  <c r="B68" i="32"/>
  <c r="B61" i="32"/>
  <c r="B54" i="32"/>
  <c r="B47" i="32"/>
  <c r="B40" i="32"/>
  <c r="B33" i="32"/>
  <c r="B26" i="32"/>
  <c r="B19" i="32"/>
  <c r="B12" i="32"/>
  <c r="B5" i="32"/>
  <c r="C80" i="9"/>
  <c r="C74" i="9"/>
  <c r="C68" i="9"/>
  <c r="C62" i="9"/>
  <c r="C53" i="9"/>
  <c r="C47" i="9"/>
  <c r="C41" i="9"/>
  <c r="C13" i="9"/>
  <c r="C6" i="9"/>
  <c r="C4" i="30"/>
  <c r="G29" i="21"/>
  <c r="G28" i="21"/>
  <c r="G21" i="21"/>
  <c r="G14" i="21"/>
  <c r="G13" i="21"/>
  <c r="G11" i="21"/>
  <c r="B189" i="13"/>
  <c r="B188" i="13"/>
  <c r="B187" i="13"/>
  <c r="B186" i="13"/>
  <c r="B185" i="13"/>
  <c r="B184" i="13"/>
  <c r="B183" i="13"/>
  <c r="B182" i="13"/>
  <c r="B181" i="13"/>
  <c r="B180" i="13"/>
  <c r="B179" i="13"/>
  <c r="B178" i="13"/>
  <c r="B177" i="13"/>
  <c r="B176" i="13"/>
  <c r="B175" i="13"/>
  <c r="B174" i="13"/>
  <c r="B173" i="13"/>
  <c r="B172" i="13"/>
  <c r="B171" i="13"/>
  <c r="B170" i="13"/>
  <c r="B169" i="13"/>
  <c r="B168" i="13"/>
  <c r="B167" i="13"/>
  <c r="B166" i="13"/>
  <c r="B165" i="13"/>
  <c r="B164" i="13"/>
  <c r="B163" i="13"/>
  <c r="B162" i="13"/>
  <c r="B161" i="13"/>
  <c r="B160" i="13"/>
  <c r="B159" i="13"/>
  <c r="B158" i="13"/>
  <c r="B157" i="13"/>
  <c r="B156" i="13"/>
  <c r="B155" i="13"/>
  <c r="B154" i="13"/>
  <c r="B153" i="13"/>
  <c r="B152" i="13"/>
  <c r="B151" i="13"/>
  <c r="B150" i="13"/>
  <c r="B149" i="13"/>
  <c r="B148" i="13"/>
  <c r="B147" i="13"/>
  <c r="B146" i="13"/>
  <c r="B145" i="13"/>
  <c r="B144" i="13"/>
  <c r="B143" i="13"/>
  <c r="B142" i="13"/>
  <c r="B141" i="13"/>
  <c r="B140" i="13"/>
  <c r="B139" i="13"/>
  <c r="B138" i="13"/>
  <c r="B137" i="13"/>
  <c r="B136" i="13"/>
  <c r="B135" i="13"/>
  <c r="B134" i="13"/>
  <c r="B133" i="13"/>
  <c r="B132" i="13"/>
  <c r="B131" i="13"/>
  <c r="B130" i="13"/>
  <c r="B129" i="13"/>
  <c r="B128" i="13"/>
  <c r="B127" i="13"/>
  <c r="B126" i="13"/>
  <c r="B125" i="13"/>
  <c r="B124" i="13"/>
  <c r="B123" i="13"/>
  <c r="B122" i="13"/>
  <c r="B121" i="13"/>
  <c r="B120" i="13"/>
  <c r="B119" i="13"/>
  <c r="B118" i="13"/>
  <c r="B117" i="13"/>
  <c r="B116" i="13"/>
  <c r="B115" i="13"/>
  <c r="B114" i="13"/>
  <c r="B113" i="13"/>
  <c r="B112" i="13"/>
  <c r="B111" i="13"/>
  <c r="B110" i="13"/>
  <c r="B109" i="13"/>
  <c r="B108" i="13"/>
  <c r="B107" i="13"/>
  <c r="B106" i="13"/>
  <c r="B105" i="13"/>
  <c r="B104" i="13"/>
  <c r="B103" i="13"/>
  <c r="D28" i="38" l="1"/>
  <c r="D27" i="38"/>
  <c r="D26" i="38"/>
  <c r="D25" i="38"/>
  <c r="D24" i="38"/>
  <c r="D23" i="38"/>
  <c r="D34" i="38"/>
  <c r="D33" i="38"/>
  <c r="D20" i="38"/>
  <c r="D19" i="38"/>
  <c r="D18" i="38"/>
  <c r="D17" i="38"/>
  <c r="D54" i="38"/>
  <c r="D53" i="38"/>
  <c r="D14" i="38"/>
  <c r="D13" i="38"/>
  <c r="D32" i="38"/>
  <c r="D31" i="38"/>
  <c r="D48" i="38"/>
  <c r="D47" i="38"/>
  <c r="D52" i="38"/>
  <c r="D51" i="38"/>
  <c r="D56" i="38"/>
  <c r="D55" i="38"/>
  <c r="D58" i="38"/>
  <c r="D57" i="38"/>
  <c r="D12" i="38"/>
  <c r="D11" i="38"/>
  <c r="D60" i="38"/>
  <c r="D59" i="38"/>
  <c r="D30" i="38"/>
  <c r="D29" i="38"/>
  <c r="D36" i="38"/>
  <c r="D35" i="38"/>
  <c r="D40" i="38"/>
  <c r="D39" i="38"/>
  <c r="D16" i="38"/>
  <c r="D15" i="38"/>
  <c r="D9" i="38"/>
  <c r="D10" i="38"/>
  <c r="D62" i="38"/>
  <c r="D61" i="38"/>
  <c r="D44" i="38"/>
  <c r="D43" i="38"/>
  <c r="D46" i="38"/>
  <c r="D45" i="38"/>
  <c r="D50" i="38"/>
  <c r="D49" i="38"/>
  <c r="D64" i="38"/>
  <c r="D63" i="38"/>
  <c r="D22" i="38"/>
  <c r="D21" i="38"/>
  <c r="D38" i="38"/>
  <c r="D37" i="38"/>
  <c r="D42" i="38"/>
  <c r="D41" i="38"/>
  <c r="D8" i="38"/>
  <c r="D7" i="38"/>
  <c r="D6" i="38"/>
  <c r="D5" i="38"/>
  <c r="D66" i="38"/>
  <c r="D65" i="38"/>
  <c r="D4" i="38"/>
  <c r="D3" i="38"/>
  <c r="B3" i="38"/>
  <c r="B5" i="38"/>
  <c r="B7" i="38"/>
  <c r="B9" i="38"/>
  <c r="B11" i="38"/>
  <c r="B13" i="38"/>
  <c r="B14" i="38"/>
  <c r="B15" i="38"/>
  <c r="B16" i="38"/>
  <c r="B17" i="38"/>
  <c r="B18" i="38"/>
  <c r="B19" i="38"/>
  <c r="B20" i="38"/>
  <c r="B21" i="38"/>
  <c r="B23" i="38"/>
  <c r="B25" i="38"/>
  <c r="B27" i="38"/>
  <c r="B29" i="38"/>
  <c r="B31" i="38"/>
  <c r="B33" i="38"/>
  <c r="B35" i="38"/>
  <c r="B37" i="38"/>
  <c r="B39" i="38"/>
  <c r="B41" i="38"/>
  <c r="B43" i="38"/>
  <c r="B45" i="38"/>
  <c r="B47" i="38"/>
  <c r="B49" i="38"/>
  <c r="B51" i="38"/>
  <c r="B53" i="38"/>
  <c r="B55" i="38"/>
  <c r="B57" i="38"/>
  <c r="B59" i="38"/>
  <c r="B61" i="38"/>
  <c r="B63" i="38"/>
  <c r="B65" i="38"/>
  <c r="B67" i="38"/>
  <c r="B68" i="38"/>
  <c r="B69" i="38"/>
  <c r="B70" i="38"/>
  <c r="B71" i="38"/>
  <c r="B72" i="38"/>
  <c r="B73" i="38"/>
  <c r="B74" i="38"/>
  <c r="B75" i="38"/>
  <c r="B76" i="38"/>
  <c r="B77" i="38"/>
  <c r="B78" i="38"/>
  <c r="B79" i="38"/>
  <c r="B80" i="38"/>
  <c r="B81" i="38"/>
  <c r="B82" i="38"/>
  <c r="B83" i="38"/>
  <c r="B84" i="38"/>
  <c r="B85" i="38"/>
  <c r="B86" i="38"/>
  <c r="B87" i="38"/>
  <c r="B88" i="38"/>
  <c r="B89" i="38"/>
  <c r="B90" i="38"/>
  <c r="B91" i="38"/>
  <c r="B92" i="38"/>
  <c r="B93" i="38"/>
  <c r="B94" i="38"/>
  <c r="B95" i="38"/>
  <c r="B96" i="38"/>
  <c r="B97" i="38"/>
  <c r="B98" i="38"/>
  <c r="B99" i="38"/>
  <c r="B100" i="38"/>
  <c r="B101" i="38"/>
  <c r="B102" i="38"/>
  <c r="B103" i="38"/>
  <c r="B104" i="38"/>
  <c r="B105" i="38"/>
  <c r="B106" i="38"/>
  <c r="B107" i="38"/>
  <c r="B108" i="38"/>
  <c r="B109" i="38"/>
  <c r="B110" i="38"/>
  <c r="B111" i="38"/>
  <c r="B112" i="38"/>
  <c r="B113" i="38"/>
  <c r="B114" i="38"/>
  <c r="B115" i="38"/>
  <c r="B116" i="38"/>
  <c r="B117" i="38"/>
  <c r="B118" i="38"/>
  <c r="B119" i="38"/>
  <c r="B120" i="38"/>
  <c r="B121" i="38"/>
  <c r="B122" i="38"/>
  <c r="B123" i="38"/>
  <c r="B124" i="38"/>
  <c r="B125" i="38"/>
  <c r="B126" i="38"/>
  <c r="B127" i="38"/>
  <c r="B128" i="38"/>
  <c r="B129" i="38"/>
  <c r="B130" i="38"/>
  <c r="B131" i="38"/>
  <c r="B132" i="38"/>
  <c r="B133" i="38"/>
  <c r="B134" i="38"/>
  <c r="B135" i="38"/>
  <c r="B136" i="38"/>
  <c r="B137" i="38"/>
  <c r="B138" i="38"/>
  <c r="B139" i="38"/>
  <c r="B140" i="38"/>
  <c r="B141" i="38"/>
  <c r="B142" i="38"/>
  <c r="B143" i="38"/>
  <c r="B144" i="38"/>
  <c r="B145" i="38"/>
  <c r="B146" i="38"/>
  <c r="B147" i="38"/>
  <c r="B148" i="38"/>
  <c r="B149" i="38"/>
  <c r="B150" i="38"/>
  <c r="B151" i="38"/>
  <c r="B152" i="38"/>
  <c r="B153" i="38"/>
  <c r="B154" i="38"/>
  <c r="B155" i="38"/>
  <c r="B156" i="38"/>
  <c r="B157" i="38"/>
  <c r="B158" i="38"/>
  <c r="B159" i="38"/>
  <c r="B160" i="38"/>
  <c r="B161" i="38"/>
  <c r="B162" i="38"/>
  <c r="B163" i="38"/>
  <c r="B164" i="38"/>
  <c r="B165" i="38"/>
  <c r="B166" i="38"/>
  <c r="H6" i="37"/>
  <c r="H8" i="37"/>
  <c r="H10" i="37"/>
  <c r="H12" i="37"/>
  <c r="H14" i="37"/>
  <c r="H15" i="37"/>
  <c r="H16" i="37"/>
  <c r="H17" i="37"/>
  <c r="H18" i="37"/>
  <c r="H19" i="37"/>
  <c r="H20" i="37"/>
  <c r="H21" i="37"/>
  <c r="H22" i="37"/>
  <c r="H24" i="37"/>
  <c r="H26" i="37"/>
  <c r="H28" i="37"/>
  <c r="H30" i="37"/>
  <c r="H32" i="37"/>
  <c r="H34" i="37"/>
  <c r="H36" i="37"/>
  <c r="H38" i="37"/>
  <c r="H40" i="37"/>
  <c r="H42" i="37"/>
  <c r="H44" i="37"/>
  <c r="H46" i="37"/>
  <c r="H48" i="37"/>
  <c r="H50" i="37"/>
  <c r="H52" i="37"/>
  <c r="H54" i="37"/>
  <c r="H56" i="37"/>
  <c r="H58" i="37"/>
  <c r="H60" i="37"/>
  <c r="H62" i="37"/>
  <c r="H64" i="37"/>
  <c r="H66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83" i="37"/>
  <c r="H84" i="37"/>
  <c r="H85" i="37"/>
  <c r="H86" i="37"/>
  <c r="H87" i="37"/>
  <c r="H88" i="37"/>
  <c r="H89" i="37"/>
  <c r="H90" i="37"/>
  <c r="H91" i="37"/>
  <c r="H92" i="37"/>
  <c r="H93" i="37"/>
  <c r="H94" i="37"/>
  <c r="H95" i="37"/>
  <c r="H96" i="37"/>
  <c r="H97" i="37"/>
  <c r="H98" i="37"/>
  <c r="H99" i="37"/>
  <c r="H100" i="37"/>
  <c r="H101" i="37"/>
  <c r="H102" i="37"/>
  <c r="H103" i="37"/>
  <c r="H104" i="37"/>
  <c r="H105" i="37"/>
  <c r="H106" i="37"/>
  <c r="H107" i="37"/>
  <c r="H108" i="37"/>
  <c r="H109" i="37"/>
  <c r="H110" i="37"/>
  <c r="H111" i="37"/>
  <c r="H112" i="37"/>
  <c r="H113" i="37"/>
  <c r="H114" i="37"/>
  <c r="H115" i="37"/>
  <c r="H116" i="37"/>
  <c r="H117" i="37"/>
  <c r="H118" i="37"/>
  <c r="H119" i="37"/>
  <c r="H120" i="37"/>
  <c r="H121" i="37"/>
  <c r="H122" i="37"/>
  <c r="H123" i="37"/>
  <c r="H124" i="37"/>
  <c r="H125" i="37"/>
  <c r="H126" i="37"/>
  <c r="H127" i="37"/>
  <c r="H128" i="37"/>
  <c r="H129" i="37"/>
  <c r="H130" i="37"/>
  <c r="H131" i="37"/>
  <c r="H132" i="37"/>
  <c r="H133" i="37"/>
  <c r="H134" i="37"/>
  <c r="H135" i="37"/>
  <c r="H136" i="37"/>
  <c r="H137" i="37"/>
  <c r="H138" i="37"/>
  <c r="H139" i="37"/>
  <c r="H140" i="37"/>
  <c r="H141" i="37"/>
  <c r="H142" i="37"/>
  <c r="H143" i="37"/>
  <c r="H144" i="37"/>
  <c r="H145" i="37"/>
  <c r="H146" i="37"/>
  <c r="H147" i="37"/>
  <c r="H148" i="37"/>
  <c r="H149" i="37"/>
  <c r="H150" i="37"/>
  <c r="H151" i="37"/>
  <c r="H152" i="37"/>
  <c r="H153" i="37"/>
  <c r="H154" i="37"/>
  <c r="H155" i="37"/>
  <c r="H156" i="37"/>
  <c r="H157" i="37"/>
  <c r="H158" i="37"/>
  <c r="H159" i="37"/>
  <c r="H160" i="37"/>
  <c r="H161" i="37"/>
  <c r="H162" i="37"/>
  <c r="H163" i="37"/>
  <c r="H164" i="37"/>
  <c r="H165" i="37"/>
  <c r="H166" i="37"/>
  <c r="H167" i="37"/>
  <c r="H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F84" i="37"/>
  <c r="F85" i="37"/>
  <c r="F86" i="37"/>
  <c r="F87" i="37"/>
  <c r="F88" i="37"/>
  <c r="F89" i="37"/>
  <c r="F90" i="37"/>
  <c r="F91" i="37"/>
  <c r="F92" i="37"/>
  <c r="F93" i="37"/>
  <c r="F94" i="37"/>
  <c r="F95" i="37"/>
  <c r="F96" i="37"/>
  <c r="F97" i="37"/>
  <c r="F98" i="37"/>
  <c r="F99" i="37"/>
  <c r="F100" i="37"/>
  <c r="F101" i="37"/>
  <c r="F102" i="37"/>
  <c r="F103" i="37"/>
  <c r="F104" i="37"/>
  <c r="F105" i="37"/>
  <c r="F106" i="37"/>
  <c r="F107" i="37"/>
  <c r="F108" i="37"/>
  <c r="F109" i="37"/>
  <c r="F110" i="37"/>
  <c r="F111" i="37"/>
  <c r="F112" i="37"/>
  <c r="F113" i="37"/>
  <c r="F114" i="37"/>
  <c r="F115" i="37"/>
  <c r="F116" i="37"/>
  <c r="F117" i="37"/>
  <c r="F118" i="37"/>
  <c r="F119" i="37"/>
  <c r="F120" i="37"/>
  <c r="F121" i="37"/>
  <c r="F122" i="37"/>
  <c r="F123" i="37"/>
  <c r="F124" i="37"/>
  <c r="F125" i="37"/>
  <c r="F126" i="37"/>
  <c r="F127" i="37"/>
  <c r="F128" i="37"/>
  <c r="F129" i="37"/>
  <c r="F130" i="37"/>
  <c r="F131" i="37"/>
  <c r="F132" i="37"/>
  <c r="F133" i="37"/>
  <c r="F134" i="37"/>
  <c r="F135" i="37"/>
  <c r="F136" i="37"/>
  <c r="F137" i="37"/>
  <c r="F138" i="37"/>
  <c r="F139" i="37"/>
  <c r="F140" i="37"/>
  <c r="F141" i="37"/>
  <c r="F142" i="37"/>
  <c r="F143" i="37"/>
  <c r="F144" i="37"/>
  <c r="F145" i="37"/>
  <c r="F146" i="37"/>
  <c r="F147" i="37"/>
  <c r="F148" i="37"/>
  <c r="F149" i="37"/>
  <c r="F150" i="37"/>
  <c r="F151" i="37"/>
  <c r="F152" i="37"/>
  <c r="F153" i="37"/>
  <c r="F154" i="37"/>
  <c r="F155" i="37"/>
  <c r="F156" i="37"/>
  <c r="F157" i="37"/>
  <c r="F158" i="37"/>
  <c r="F159" i="37"/>
  <c r="F160" i="37"/>
  <c r="F161" i="37"/>
  <c r="F162" i="37"/>
  <c r="F163" i="37"/>
  <c r="F164" i="37"/>
  <c r="F165" i="37"/>
  <c r="F166" i="37"/>
  <c r="F167" i="37"/>
  <c r="F4" i="37"/>
  <c r="O166" i="36"/>
  <c r="O165" i="36"/>
  <c r="O164" i="36"/>
  <c r="O163" i="36"/>
  <c r="O162" i="36"/>
  <c r="O161" i="36"/>
  <c r="O160" i="36"/>
  <c r="O159" i="36"/>
  <c r="O158" i="36"/>
  <c r="O157" i="36"/>
  <c r="O156" i="36"/>
  <c r="O155" i="36"/>
  <c r="O154" i="36"/>
  <c r="O153" i="36"/>
  <c r="O152" i="36"/>
  <c r="O151" i="36"/>
  <c r="O150" i="36"/>
  <c r="O149" i="36"/>
  <c r="O148" i="36"/>
  <c r="O147" i="36"/>
  <c r="O146" i="36"/>
  <c r="O145" i="36"/>
  <c r="O144" i="36"/>
  <c r="O143" i="36"/>
  <c r="O142" i="36"/>
  <c r="O141" i="36"/>
  <c r="O140" i="36"/>
  <c r="O139" i="36"/>
  <c r="O138" i="36"/>
  <c r="O137" i="36"/>
  <c r="O136" i="36"/>
  <c r="O135" i="36"/>
  <c r="O134" i="36"/>
  <c r="O133" i="36"/>
  <c r="O132" i="36"/>
  <c r="O131" i="36"/>
  <c r="O130" i="36"/>
  <c r="O129" i="36"/>
  <c r="O128" i="36"/>
  <c r="O127" i="36"/>
  <c r="O126" i="36"/>
  <c r="O125" i="36"/>
  <c r="O124" i="36"/>
  <c r="O123" i="36"/>
  <c r="O122" i="36"/>
  <c r="O121" i="36"/>
  <c r="O120" i="36"/>
  <c r="O119" i="36"/>
  <c r="O118" i="36"/>
  <c r="O117" i="36"/>
  <c r="O116" i="36"/>
  <c r="O115" i="36"/>
  <c r="O114" i="36"/>
  <c r="O113" i="36"/>
  <c r="O112" i="36"/>
  <c r="O111" i="36"/>
  <c r="O110" i="36"/>
  <c r="O109" i="36"/>
  <c r="O108" i="36"/>
  <c r="O107" i="36"/>
  <c r="O106" i="36"/>
  <c r="O105" i="36"/>
  <c r="O104" i="36"/>
  <c r="O103" i="36"/>
  <c r="O102" i="36"/>
  <c r="O101" i="36"/>
  <c r="O100" i="36"/>
  <c r="O99" i="36"/>
  <c r="O98" i="36"/>
  <c r="O97" i="36"/>
  <c r="O96" i="36"/>
  <c r="O95" i="36"/>
  <c r="O94" i="36"/>
  <c r="O93" i="36"/>
  <c r="O92" i="36"/>
  <c r="O91" i="36"/>
  <c r="O90" i="36"/>
  <c r="O89" i="36"/>
  <c r="O88" i="36"/>
  <c r="O87" i="36"/>
  <c r="O86" i="36"/>
  <c r="O85" i="36"/>
  <c r="O84" i="36"/>
  <c r="O83" i="36"/>
  <c r="O82" i="36"/>
  <c r="O81" i="36"/>
  <c r="O80" i="36"/>
  <c r="O79" i="36"/>
  <c r="O78" i="36"/>
  <c r="O77" i="36"/>
  <c r="O76" i="36"/>
  <c r="O75" i="36"/>
  <c r="O74" i="36"/>
  <c r="O73" i="36"/>
  <c r="O72" i="36"/>
  <c r="O71" i="36"/>
  <c r="O70" i="36"/>
  <c r="O69" i="36"/>
  <c r="O68" i="36"/>
  <c r="O67" i="36"/>
  <c r="O65" i="36"/>
  <c r="O63" i="36"/>
  <c r="O61" i="36"/>
  <c r="O59" i="36"/>
  <c r="O57" i="36"/>
  <c r="O55" i="36"/>
  <c r="O53" i="36"/>
  <c r="O51" i="36"/>
  <c r="O49" i="36"/>
  <c r="O47" i="36"/>
  <c r="O45" i="36"/>
  <c r="O43" i="36"/>
  <c r="O41" i="36"/>
  <c r="O39" i="36"/>
  <c r="O37" i="36"/>
  <c r="O35" i="36"/>
  <c r="O33" i="36"/>
  <c r="O31" i="36"/>
  <c r="O29" i="36"/>
  <c r="O27" i="36"/>
  <c r="O25" i="36"/>
  <c r="O23" i="36"/>
  <c r="O21" i="36"/>
  <c r="O20" i="36"/>
  <c r="O19" i="36"/>
  <c r="O18" i="36"/>
  <c r="O17" i="36"/>
  <c r="O16" i="36"/>
  <c r="O15" i="36"/>
  <c r="O14" i="36"/>
  <c r="O13" i="36"/>
  <c r="O11" i="36"/>
  <c r="O9" i="36"/>
  <c r="O7" i="36"/>
  <c r="O5" i="36"/>
  <c r="O3" i="36"/>
  <c r="J3" i="36"/>
  <c r="K3" i="36" s="1"/>
  <c r="H3" i="36"/>
  <c r="I165" i="24" l="1"/>
  <c r="F165" i="24"/>
  <c r="G165" i="24" s="1"/>
  <c r="E167" i="37" s="1"/>
  <c r="E165" i="24"/>
  <c r="C167" i="37" s="1"/>
  <c r="I164" i="24"/>
  <c r="F164" i="24"/>
  <c r="G164" i="24" s="1"/>
  <c r="E166" i="37" s="1"/>
  <c r="E164" i="24"/>
  <c r="C166" i="37" s="1"/>
  <c r="I163" i="24"/>
  <c r="F163" i="24"/>
  <c r="G163" i="24" s="1"/>
  <c r="E165" i="37" s="1"/>
  <c r="E163" i="24"/>
  <c r="C165" i="37" s="1"/>
  <c r="I162" i="24"/>
  <c r="F162" i="24"/>
  <c r="G162" i="24" s="1"/>
  <c r="E164" i="37" s="1"/>
  <c r="E162" i="24"/>
  <c r="C164" i="37" s="1"/>
  <c r="I161" i="24"/>
  <c r="F161" i="24"/>
  <c r="G161" i="24" s="1"/>
  <c r="E163" i="37" s="1"/>
  <c r="E161" i="24"/>
  <c r="C163" i="37" s="1"/>
  <c r="I160" i="24"/>
  <c r="F160" i="24"/>
  <c r="G160" i="24" s="1"/>
  <c r="E162" i="37" s="1"/>
  <c r="E160" i="24"/>
  <c r="C162" i="37" s="1"/>
  <c r="I159" i="24"/>
  <c r="F159" i="24"/>
  <c r="G159" i="24" s="1"/>
  <c r="E161" i="37" s="1"/>
  <c r="E159" i="24"/>
  <c r="C161" i="37" s="1"/>
  <c r="I158" i="24"/>
  <c r="F158" i="24"/>
  <c r="G158" i="24" s="1"/>
  <c r="E160" i="37" s="1"/>
  <c r="E158" i="24"/>
  <c r="C160" i="37" s="1"/>
  <c r="I157" i="24"/>
  <c r="F157" i="24"/>
  <c r="G157" i="24" s="1"/>
  <c r="E159" i="37" s="1"/>
  <c r="E157" i="24"/>
  <c r="C159" i="37" s="1"/>
  <c r="I156" i="24"/>
  <c r="F156" i="24"/>
  <c r="G156" i="24" s="1"/>
  <c r="E158" i="37" s="1"/>
  <c r="E156" i="24"/>
  <c r="C158" i="37" s="1"/>
  <c r="I155" i="24"/>
  <c r="F155" i="24"/>
  <c r="G155" i="24" s="1"/>
  <c r="E157" i="37" s="1"/>
  <c r="E155" i="24"/>
  <c r="C157" i="37" s="1"/>
  <c r="I154" i="24"/>
  <c r="F154" i="24"/>
  <c r="G154" i="24" s="1"/>
  <c r="E156" i="37" s="1"/>
  <c r="E154" i="24"/>
  <c r="C156" i="37" s="1"/>
  <c r="I153" i="24"/>
  <c r="F153" i="24"/>
  <c r="G153" i="24" s="1"/>
  <c r="E155" i="37" s="1"/>
  <c r="E153" i="24"/>
  <c r="C155" i="37" s="1"/>
  <c r="I152" i="24"/>
  <c r="F152" i="24"/>
  <c r="G152" i="24" s="1"/>
  <c r="E154" i="37" s="1"/>
  <c r="E152" i="24"/>
  <c r="C154" i="37" s="1"/>
  <c r="I151" i="24"/>
  <c r="F151" i="24"/>
  <c r="G151" i="24" s="1"/>
  <c r="E153" i="37" s="1"/>
  <c r="E151" i="24"/>
  <c r="C153" i="37" s="1"/>
  <c r="I150" i="24"/>
  <c r="F150" i="24"/>
  <c r="G150" i="24" s="1"/>
  <c r="E152" i="37" s="1"/>
  <c r="E150" i="24"/>
  <c r="C152" i="37" s="1"/>
  <c r="I149" i="24"/>
  <c r="F149" i="24"/>
  <c r="G149" i="24" s="1"/>
  <c r="E151" i="37" s="1"/>
  <c r="E149" i="24"/>
  <c r="C151" i="37" s="1"/>
  <c r="I148" i="24"/>
  <c r="F148" i="24"/>
  <c r="G148" i="24" s="1"/>
  <c r="E150" i="37" s="1"/>
  <c r="E148" i="24"/>
  <c r="C150" i="37" s="1"/>
  <c r="I147" i="24"/>
  <c r="F147" i="24"/>
  <c r="G147" i="24" s="1"/>
  <c r="E149" i="37" s="1"/>
  <c r="E147" i="24"/>
  <c r="C149" i="37" s="1"/>
  <c r="I146" i="24"/>
  <c r="F146" i="24"/>
  <c r="G146" i="24" s="1"/>
  <c r="E148" i="37" s="1"/>
  <c r="E146" i="24"/>
  <c r="C148" i="37" s="1"/>
  <c r="I145" i="24"/>
  <c r="F145" i="24"/>
  <c r="G145" i="24" s="1"/>
  <c r="E147" i="37" s="1"/>
  <c r="E145" i="24"/>
  <c r="C147" i="37" s="1"/>
  <c r="I144" i="24"/>
  <c r="F144" i="24"/>
  <c r="G144" i="24" s="1"/>
  <c r="E146" i="37" s="1"/>
  <c r="E144" i="24"/>
  <c r="C146" i="37" s="1"/>
  <c r="I143" i="24"/>
  <c r="F143" i="24"/>
  <c r="G143" i="24" s="1"/>
  <c r="E145" i="37" s="1"/>
  <c r="E143" i="24"/>
  <c r="C145" i="37" s="1"/>
  <c r="I142" i="24"/>
  <c r="F142" i="24"/>
  <c r="G142" i="24" s="1"/>
  <c r="E144" i="37" s="1"/>
  <c r="E142" i="24"/>
  <c r="C144" i="37" s="1"/>
  <c r="I141" i="24"/>
  <c r="F141" i="24"/>
  <c r="G141" i="24" s="1"/>
  <c r="E143" i="37" s="1"/>
  <c r="E141" i="24"/>
  <c r="C143" i="37" s="1"/>
  <c r="I140" i="24"/>
  <c r="F140" i="24"/>
  <c r="G140" i="24" s="1"/>
  <c r="E142" i="37" s="1"/>
  <c r="E140" i="24"/>
  <c r="C142" i="37" s="1"/>
  <c r="I139" i="24"/>
  <c r="F139" i="24"/>
  <c r="G139" i="24" s="1"/>
  <c r="E141" i="37" s="1"/>
  <c r="E139" i="24"/>
  <c r="C141" i="37" s="1"/>
  <c r="I138" i="24"/>
  <c r="F138" i="24"/>
  <c r="G138" i="24" s="1"/>
  <c r="E140" i="37" s="1"/>
  <c r="E138" i="24"/>
  <c r="C140" i="37" s="1"/>
  <c r="I137" i="24"/>
  <c r="F137" i="24"/>
  <c r="G137" i="24" s="1"/>
  <c r="E139" i="37" s="1"/>
  <c r="E137" i="24"/>
  <c r="C139" i="37" s="1"/>
  <c r="I136" i="24"/>
  <c r="F136" i="24"/>
  <c r="G136" i="24" s="1"/>
  <c r="E138" i="37" s="1"/>
  <c r="E136" i="24"/>
  <c r="C138" i="37" s="1"/>
  <c r="I135" i="24"/>
  <c r="F135" i="24"/>
  <c r="G135" i="24" s="1"/>
  <c r="E137" i="37" s="1"/>
  <c r="E135" i="24"/>
  <c r="C137" i="37" s="1"/>
  <c r="I134" i="24"/>
  <c r="F134" i="24"/>
  <c r="G134" i="24" s="1"/>
  <c r="E136" i="37" s="1"/>
  <c r="E134" i="24"/>
  <c r="C136" i="37" s="1"/>
  <c r="I133" i="24"/>
  <c r="F133" i="24"/>
  <c r="G133" i="24" s="1"/>
  <c r="E135" i="37" s="1"/>
  <c r="E133" i="24"/>
  <c r="C135" i="37" s="1"/>
  <c r="I132" i="24"/>
  <c r="F132" i="24"/>
  <c r="G132" i="24" s="1"/>
  <c r="E134" i="37" s="1"/>
  <c r="E132" i="24"/>
  <c r="C134" i="37" s="1"/>
  <c r="I131" i="24"/>
  <c r="F131" i="24"/>
  <c r="G131" i="24" s="1"/>
  <c r="E133" i="37" s="1"/>
  <c r="E131" i="24"/>
  <c r="C133" i="37" s="1"/>
  <c r="I130" i="24"/>
  <c r="F130" i="24"/>
  <c r="G130" i="24" s="1"/>
  <c r="E132" i="37" s="1"/>
  <c r="E130" i="24"/>
  <c r="C132" i="37" s="1"/>
  <c r="I129" i="24"/>
  <c r="F129" i="24"/>
  <c r="G129" i="24" s="1"/>
  <c r="E131" i="37" s="1"/>
  <c r="E129" i="24"/>
  <c r="C131" i="37" s="1"/>
  <c r="I128" i="24"/>
  <c r="F128" i="24"/>
  <c r="G128" i="24" s="1"/>
  <c r="E130" i="37" s="1"/>
  <c r="E128" i="24"/>
  <c r="C130" i="37" s="1"/>
  <c r="I127" i="24"/>
  <c r="F127" i="24"/>
  <c r="G127" i="24" s="1"/>
  <c r="E129" i="37" s="1"/>
  <c r="E127" i="24"/>
  <c r="C129" i="37" s="1"/>
  <c r="I126" i="24"/>
  <c r="F126" i="24"/>
  <c r="G126" i="24" s="1"/>
  <c r="E128" i="37" s="1"/>
  <c r="E126" i="24"/>
  <c r="C128" i="37" s="1"/>
  <c r="I125" i="24"/>
  <c r="F125" i="24"/>
  <c r="G125" i="24" s="1"/>
  <c r="E127" i="37" s="1"/>
  <c r="E125" i="24"/>
  <c r="C127" i="37" s="1"/>
  <c r="I124" i="24"/>
  <c r="F124" i="24"/>
  <c r="G124" i="24" s="1"/>
  <c r="E126" i="37" s="1"/>
  <c r="E124" i="24"/>
  <c r="C126" i="37" s="1"/>
  <c r="I123" i="24"/>
  <c r="F123" i="24"/>
  <c r="G123" i="24" s="1"/>
  <c r="E125" i="37" s="1"/>
  <c r="E123" i="24"/>
  <c r="C125" i="37" s="1"/>
  <c r="I122" i="24"/>
  <c r="F122" i="24"/>
  <c r="G122" i="24" s="1"/>
  <c r="E124" i="37" s="1"/>
  <c r="E122" i="24"/>
  <c r="C124" i="37" s="1"/>
  <c r="I121" i="24"/>
  <c r="F121" i="24"/>
  <c r="G121" i="24" s="1"/>
  <c r="E123" i="37" s="1"/>
  <c r="E121" i="24"/>
  <c r="C123" i="37" s="1"/>
  <c r="I120" i="24"/>
  <c r="F120" i="24"/>
  <c r="G120" i="24" s="1"/>
  <c r="E122" i="37" s="1"/>
  <c r="E120" i="24"/>
  <c r="C122" i="37" s="1"/>
  <c r="I119" i="24"/>
  <c r="F119" i="24"/>
  <c r="G119" i="24" s="1"/>
  <c r="E121" i="37" s="1"/>
  <c r="E119" i="24"/>
  <c r="C121" i="37" s="1"/>
  <c r="I118" i="24"/>
  <c r="F118" i="24"/>
  <c r="G118" i="24" s="1"/>
  <c r="E120" i="37" s="1"/>
  <c r="E118" i="24"/>
  <c r="C120" i="37" s="1"/>
  <c r="I117" i="24"/>
  <c r="F117" i="24"/>
  <c r="G117" i="24" s="1"/>
  <c r="E119" i="37" s="1"/>
  <c r="E117" i="24"/>
  <c r="C119" i="37" s="1"/>
  <c r="I116" i="24"/>
  <c r="F116" i="24"/>
  <c r="G116" i="24" s="1"/>
  <c r="E118" i="37" s="1"/>
  <c r="E116" i="24"/>
  <c r="C118" i="37" s="1"/>
  <c r="I115" i="24"/>
  <c r="F115" i="24"/>
  <c r="G115" i="24" s="1"/>
  <c r="E117" i="37" s="1"/>
  <c r="E115" i="24"/>
  <c r="C117" i="37" s="1"/>
  <c r="I114" i="24"/>
  <c r="F114" i="24"/>
  <c r="G114" i="24" s="1"/>
  <c r="E116" i="37" s="1"/>
  <c r="E114" i="24"/>
  <c r="C116" i="37" s="1"/>
  <c r="I113" i="24"/>
  <c r="F113" i="24"/>
  <c r="G113" i="24" s="1"/>
  <c r="E115" i="37" s="1"/>
  <c r="E113" i="24"/>
  <c r="C115" i="37" s="1"/>
  <c r="I112" i="24"/>
  <c r="F112" i="24"/>
  <c r="G112" i="24" s="1"/>
  <c r="E114" i="37" s="1"/>
  <c r="E112" i="24"/>
  <c r="C114" i="37" s="1"/>
  <c r="I111" i="24"/>
  <c r="F111" i="24"/>
  <c r="G111" i="24" s="1"/>
  <c r="E113" i="37" s="1"/>
  <c r="E111" i="24"/>
  <c r="C113" i="37" s="1"/>
  <c r="I110" i="24"/>
  <c r="F110" i="24"/>
  <c r="G110" i="24" s="1"/>
  <c r="E112" i="37" s="1"/>
  <c r="E110" i="24"/>
  <c r="C112" i="37" s="1"/>
  <c r="I109" i="24"/>
  <c r="F109" i="24"/>
  <c r="G109" i="24" s="1"/>
  <c r="E111" i="37" s="1"/>
  <c r="E109" i="24"/>
  <c r="C111" i="37" s="1"/>
  <c r="I108" i="24"/>
  <c r="F108" i="24"/>
  <c r="G108" i="24" s="1"/>
  <c r="E110" i="37" s="1"/>
  <c r="E108" i="24"/>
  <c r="C110" i="37" s="1"/>
  <c r="I107" i="24"/>
  <c r="F107" i="24"/>
  <c r="G107" i="24" s="1"/>
  <c r="E109" i="37" s="1"/>
  <c r="E107" i="24"/>
  <c r="C109" i="37" s="1"/>
  <c r="I106" i="24"/>
  <c r="F106" i="24"/>
  <c r="G106" i="24" s="1"/>
  <c r="E108" i="37" s="1"/>
  <c r="E106" i="24"/>
  <c r="C108" i="37" s="1"/>
  <c r="I105" i="24"/>
  <c r="F105" i="24"/>
  <c r="G105" i="24" s="1"/>
  <c r="E107" i="37" s="1"/>
  <c r="E105" i="24"/>
  <c r="C107" i="37" s="1"/>
  <c r="I104" i="24"/>
  <c r="F104" i="24"/>
  <c r="G104" i="24" s="1"/>
  <c r="E106" i="37" s="1"/>
  <c r="E104" i="24"/>
  <c r="C106" i="37" s="1"/>
  <c r="I103" i="24"/>
  <c r="F103" i="24"/>
  <c r="G103" i="24" s="1"/>
  <c r="E105" i="37" s="1"/>
  <c r="E103" i="24"/>
  <c r="C105" i="37" s="1"/>
  <c r="I102" i="24"/>
  <c r="F102" i="24"/>
  <c r="G102" i="24" s="1"/>
  <c r="E104" i="37" s="1"/>
  <c r="E102" i="24"/>
  <c r="C104" i="37" s="1"/>
  <c r="I101" i="24"/>
  <c r="F101" i="24"/>
  <c r="G101" i="24" s="1"/>
  <c r="E103" i="37" s="1"/>
  <c r="E101" i="24"/>
  <c r="C103" i="37" s="1"/>
  <c r="I100" i="24"/>
  <c r="F100" i="24"/>
  <c r="G100" i="24" s="1"/>
  <c r="E102" i="37" s="1"/>
  <c r="E100" i="24"/>
  <c r="C102" i="37" s="1"/>
  <c r="I99" i="24"/>
  <c r="F99" i="24"/>
  <c r="G99" i="24" s="1"/>
  <c r="E101" i="37" s="1"/>
  <c r="E99" i="24"/>
  <c r="C101" i="37" s="1"/>
  <c r="I98" i="24"/>
  <c r="F98" i="24"/>
  <c r="G98" i="24" s="1"/>
  <c r="E100" i="37" s="1"/>
  <c r="E98" i="24"/>
  <c r="C100" i="37" s="1"/>
  <c r="I97" i="24"/>
  <c r="F97" i="24"/>
  <c r="G97" i="24" s="1"/>
  <c r="E99" i="37" s="1"/>
  <c r="E97" i="24"/>
  <c r="C99" i="37" s="1"/>
  <c r="I96" i="24"/>
  <c r="F96" i="24"/>
  <c r="G96" i="24" s="1"/>
  <c r="E98" i="37" s="1"/>
  <c r="E96" i="24"/>
  <c r="C98" i="37" s="1"/>
  <c r="I95" i="24"/>
  <c r="F95" i="24"/>
  <c r="G95" i="24" s="1"/>
  <c r="E97" i="37" s="1"/>
  <c r="E95" i="24"/>
  <c r="C97" i="37" s="1"/>
  <c r="I94" i="24"/>
  <c r="F94" i="24"/>
  <c r="G94" i="24" s="1"/>
  <c r="E96" i="37" s="1"/>
  <c r="E94" i="24"/>
  <c r="C96" i="37" s="1"/>
  <c r="I93" i="24"/>
  <c r="F93" i="24"/>
  <c r="G93" i="24" s="1"/>
  <c r="E95" i="37" s="1"/>
  <c r="E93" i="24"/>
  <c r="C95" i="37" s="1"/>
  <c r="I92" i="24"/>
  <c r="F92" i="24"/>
  <c r="G92" i="24" s="1"/>
  <c r="E94" i="37" s="1"/>
  <c r="E92" i="24"/>
  <c r="C94" i="37" s="1"/>
  <c r="I91" i="24"/>
  <c r="F91" i="24"/>
  <c r="G91" i="24" s="1"/>
  <c r="E93" i="37" s="1"/>
  <c r="E91" i="24"/>
  <c r="C93" i="37" s="1"/>
  <c r="I90" i="24"/>
  <c r="F90" i="24"/>
  <c r="G90" i="24" s="1"/>
  <c r="E92" i="37" s="1"/>
  <c r="E90" i="24"/>
  <c r="C92" i="37" s="1"/>
  <c r="I89" i="24"/>
  <c r="F89" i="24"/>
  <c r="G89" i="24" s="1"/>
  <c r="E91" i="37" s="1"/>
  <c r="E89" i="24"/>
  <c r="C91" i="37" s="1"/>
  <c r="I88" i="24"/>
  <c r="F88" i="24"/>
  <c r="G88" i="24" s="1"/>
  <c r="E90" i="37" s="1"/>
  <c r="E88" i="24"/>
  <c r="C90" i="37" s="1"/>
  <c r="I87" i="24"/>
  <c r="F87" i="24"/>
  <c r="G87" i="24" s="1"/>
  <c r="E89" i="37" s="1"/>
  <c r="E87" i="24"/>
  <c r="C89" i="37" s="1"/>
  <c r="I86" i="24"/>
  <c r="F86" i="24"/>
  <c r="G86" i="24" s="1"/>
  <c r="E88" i="37" s="1"/>
  <c r="E86" i="24"/>
  <c r="C88" i="37" s="1"/>
  <c r="I85" i="24"/>
  <c r="F85" i="24"/>
  <c r="G85" i="24" s="1"/>
  <c r="E87" i="37" s="1"/>
  <c r="E85" i="24"/>
  <c r="C87" i="37" s="1"/>
  <c r="I84" i="24"/>
  <c r="F84" i="24"/>
  <c r="G84" i="24" s="1"/>
  <c r="E86" i="37" s="1"/>
  <c r="E84" i="24"/>
  <c r="C86" i="37" s="1"/>
  <c r="I83" i="24"/>
  <c r="F83" i="24"/>
  <c r="G83" i="24" s="1"/>
  <c r="E85" i="37" s="1"/>
  <c r="E83" i="24"/>
  <c r="C85" i="37" s="1"/>
  <c r="I82" i="24"/>
  <c r="F82" i="24"/>
  <c r="G82" i="24" s="1"/>
  <c r="E84" i="37" s="1"/>
  <c r="E82" i="24"/>
  <c r="C84" i="37" s="1"/>
  <c r="I81" i="24"/>
  <c r="F81" i="24"/>
  <c r="G81" i="24" s="1"/>
  <c r="E83" i="37" s="1"/>
  <c r="E81" i="24"/>
  <c r="C83" i="37" s="1"/>
  <c r="I80" i="24"/>
  <c r="F80" i="24"/>
  <c r="G80" i="24" s="1"/>
  <c r="E82" i="37" s="1"/>
  <c r="E80" i="24"/>
  <c r="C82" i="37" s="1"/>
  <c r="I79" i="24"/>
  <c r="F79" i="24"/>
  <c r="G79" i="24" s="1"/>
  <c r="E81" i="37" s="1"/>
  <c r="E79" i="24"/>
  <c r="C81" i="37" s="1"/>
  <c r="I78" i="24"/>
  <c r="F78" i="24"/>
  <c r="G78" i="24" s="1"/>
  <c r="E80" i="37" s="1"/>
  <c r="E78" i="24"/>
  <c r="C80" i="37" s="1"/>
  <c r="I77" i="24"/>
  <c r="F77" i="24"/>
  <c r="G77" i="24" s="1"/>
  <c r="E79" i="37" s="1"/>
  <c r="E77" i="24"/>
  <c r="C79" i="37" s="1"/>
  <c r="I76" i="24"/>
  <c r="F76" i="24"/>
  <c r="G76" i="24" s="1"/>
  <c r="E78" i="37" s="1"/>
  <c r="E76" i="24"/>
  <c r="C78" i="37" s="1"/>
  <c r="I75" i="24"/>
  <c r="F75" i="24"/>
  <c r="G75" i="24" s="1"/>
  <c r="E77" i="37" s="1"/>
  <c r="E75" i="24"/>
  <c r="C77" i="37" s="1"/>
  <c r="I74" i="24"/>
  <c r="F74" i="24"/>
  <c r="G74" i="24" s="1"/>
  <c r="E76" i="37" s="1"/>
  <c r="E74" i="24"/>
  <c r="C76" i="37" s="1"/>
  <c r="I73" i="24"/>
  <c r="F73" i="24"/>
  <c r="G73" i="24" s="1"/>
  <c r="E75" i="37" s="1"/>
  <c r="E73" i="24"/>
  <c r="C75" i="37" s="1"/>
  <c r="I72" i="24"/>
  <c r="F72" i="24"/>
  <c r="G72" i="24" s="1"/>
  <c r="E74" i="37" s="1"/>
  <c r="E72" i="24"/>
  <c r="C74" i="37" s="1"/>
  <c r="I71" i="24"/>
  <c r="F71" i="24"/>
  <c r="G71" i="24" s="1"/>
  <c r="E73" i="37" s="1"/>
  <c r="E71" i="24"/>
  <c r="C73" i="37" s="1"/>
  <c r="I70" i="24"/>
  <c r="F70" i="24"/>
  <c r="G70" i="24" s="1"/>
  <c r="E72" i="37" s="1"/>
  <c r="E70" i="24"/>
  <c r="C72" i="37" s="1"/>
  <c r="I69" i="24"/>
  <c r="F69" i="24"/>
  <c r="G69" i="24" s="1"/>
  <c r="E71" i="37" s="1"/>
  <c r="E69" i="24"/>
  <c r="C71" i="37" s="1"/>
  <c r="I68" i="24"/>
  <c r="F68" i="24"/>
  <c r="G68" i="24" s="1"/>
  <c r="E70" i="37" s="1"/>
  <c r="E68" i="24"/>
  <c r="C70" i="37" s="1"/>
  <c r="I67" i="24"/>
  <c r="F67" i="24"/>
  <c r="G67" i="24" s="1"/>
  <c r="E69" i="37" s="1"/>
  <c r="E67" i="24"/>
  <c r="C69" i="37" s="1"/>
  <c r="I66" i="24"/>
  <c r="F66" i="24"/>
  <c r="G66" i="24" s="1"/>
  <c r="E68" i="37" s="1"/>
  <c r="E66" i="24"/>
  <c r="C68" i="37" s="1"/>
  <c r="I65" i="24"/>
  <c r="F65" i="24"/>
  <c r="G65" i="24" s="1"/>
  <c r="E67" i="37" s="1"/>
  <c r="E65" i="24"/>
  <c r="C67" i="37" s="1"/>
  <c r="I64" i="24"/>
  <c r="F64" i="24"/>
  <c r="G64" i="24" s="1"/>
  <c r="E66" i="37" s="1"/>
  <c r="E64" i="24"/>
  <c r="C66" i="37" s="1"/>
  <c r="I63" i="24"/>
  <c r="F63" i="24"/>
  <c r="G63" i="24" s="1"/>
  <c r="E65" i="37" s="1"/>
  <c r="E63" i="24"/>
  <c r="C65" i="37" s="1"/>
  <c r="I62" i="24"/>
  <c r="F62" i="24"/>
  <c r="G62" i="24" s="1"/>
  <c r="E64" i="37" s="1"/>
  <c r="E62" i="24"/>
  <c r="C64" i="37" s="1"/>
  <c r="I61" i="24"/>
  <c r="F61" i="24"/>
  <c r="G61" i="24" s="1"/>
  <c r="E63" i="37" s="1"/>
  <c r="E61" i="24"/>
  <c r="C63" i="37" s="1"/>
  <c r="I60" i="24"/>
  <c r="F60" i="24"/>
  <c r="G60" i="24" s="1"/>
  <c r="E62" i="37" s="1"/>
  <c r="E60" i="24"/>
  <c r="C62" i="37" s="1"/>
  <c r="I59" i="24"/>
  <c r="F59" i="24"/>
  <c r="G59" i="24" s="1"/>
  <c r="E61" i="37" s="1"/>
  <c r="E59" i="24"/>
  <c r="C61" i="37" s="1"/>
  <c r="I58" i="24"/>
  <c r="F58" i="24"/>
  <c r="G58" i="24" s="1"/>
  <c r="E60" i="37" s="1"/>
  <c r="E58" i="24"/>
  <c r="C60" i="37" s="1"/>
  <c r="I57" i="24"/>
  <c r="F57" i="24"/>
  <c r="G57" i="24" s="1"/>
  <c r="E59" i="37" s="1"/>
  <c r="E57" i="24"/>
  <c r="C59" i="37" s="1"/>
  <c r="I56" i="24"/>
  <c r="F56" i="24"/>
  <c r="G56" i="24" s="1"/>
  <c r="E58" i="37" s="1"/>
  <c r="E56" i="24"/>
  <c r="C58" i="37" s="1"/>
  <c r="I55" i="24"/>
  <c r="F55" i="24"/>
  <c r="G55" i="24" s="1"/>
  <c r="E57" i="37" s="1"/>
  <c r="E55" i="24"/>
  <c r="C57" i="37" s="1"/>
  <c r="I54" i="24"/>
  <c r="F54" i="24"/>
  <c r="G54" i="24" s="1"/>
  <c r="E56" i="37" s="1"/>
  <c r="E54" i="24"/>
  <c r="C56" i="37" s="1"/>
  <c r="I53" i="24"/>
  <c r="F53" i="24"/>
  <c r="G53" i="24" s="1"/>
  <c r="E55" i="37" s="1"/>
  <c r="E53" i="24"/>
  <c r="C55" i="37" s="1"/>
  <c r="I52" i="24"/>
  <c r="F52" i="24"/>
  <c r="G52" i="24" s="1"/>
  <c r="E54" i="37" s="1"/>
  <c r="E52" i="24"/>
  <c r="C54" i="37" s="1"/>
  <c r="I51" i="24"/>
  <c r="F51" i="24"/>
  <c r="G51" i="24" s="1"/>
  <c r="E53" i="37" s="1"/>
  <c r="E51" i="24"/>
  <c r="C53" i="37" s="1"/>
  <c r="I50" i="24"/>
  <c r="F50" i="24"/>
  <c r="G50" i="24" s="1"/>
  <c r="E52" i="37" s="1"/>
  <c r="E50" i="24"/>
  <c r="C52" i="37" s="1"/>
  <c r="I49" i="24"/>
  <c r="F49" i="24"/>
  <c r="G49" i="24" s="1"/>
  <c r="E51" i="37" s="1"/>
  <c r="E49" i="24"/>
  <c r="C51" i="37" s="1"/>
  <c r="I48" i="24"/>
  <c r="F48" i="24"/>
  <c r="G48" i="24" s="1"/>
  <c r="E50" i="37" s="1"/>
  <c r="E48" i="24"/>
  <c r="C50" i="37" s="1"/>
  <c r="I47" i="24"/>
  <c r="F47" i="24"/>
  <c r="G47" i="24" s="1"/>
  <c r="E49" i="37" s="1"/>
  <c r="E47" i="24"/>
  <c r="C49" i="37" s="1"/>
  <c r="I46" i="24"/>
  <c r="F46" i="24"/>
  <c r="G46" i="24" s="1"/>
  <c r="E48" i="37" s="1"/>
  <c r="E46" i="24"/>
  <c r="C48" i="37" s="1"/>
  <c r="I45" i="24"/>
  <c r="F45" i="24"/>
  <c r="G45" i="24" s="1"/>
  <c r="E47" i="37" s="1"/>
  <c r="E45" i="24"/>
  <c r="C47" i="37" s="1"/>
  <c r="I44" i="24"/>
  <c r="F44" i="24"/>
  <c r="G44" i="24" s="1"/>
  <c r="E46" i="37" s="1"/>
  <c r="E44" i="24"/>
  <c r="C46" i="37" s="1"/>
  <c r="I43" i="24"/>
  <c r="F43" i="24"/>
  <c r="G43" i="24" s="1"/>
  <c r="E45" i="37" s="1"/>
  <c r="E43" i="24"/>
  <c r="C45" i="37" s="1"/>
  <c r="I42" i="24"/>
  <c r="F42" i="24"/>
  <c r="G42" i="24" s="1"/>
  <c r="E44" i="37" s="1"/>
  <c r="E42" i="24"/>
  <c r="C44" i="37" s="1"/>
  <c r="I41" i="24"/>
  <c r="F41" i="24"/>
  <c r="G41" i="24" s="1"/>
  <c r="E43" i="37" s="1"/>
  <c r="E41" i="24"/>
  <c r="C43" i="37" s="1"/>
  <c r="I40" i="24"/>
  <c r="F40" i="24"/>
  <c r="G40" i="24" s="1"/>
  <c r="E42" i="37" s="1"/>
  <c r="E40" i="24"/>
  <c r="C42" i="37" s="1"/>
  <c r="I39" i="24"/>
  <c r="F39" i="24"/>
  <c r="G39" i="24" s="1"/>
  <c r="E41" i="37" s="1"/>
  <c r="E39" i="24"/>
  <c r="C41" i="37" s="1"/>
  <c r="I38" i="24"/>
  <c r="F38" i="24"/>
  <c r="G38" i="24" s="1"/>
  <c r="E40" i="37" s="1"/>
  <c r="E38" i="24"/>
  <c r="C40" i="37" s="1"/>
  <c r="I37" i="24"/>
  <c r="F37" i="24"/>
  <c r="G37" i="24" s="1"/>
  <c r="E39" i="37" s="1"/>
  <c r="E37" i="24"/>
  <c r="C39" i="37" s="1"/>
  <c r="I36" i="24"/>
  <c r="F36" i="24"/>
  <c r="G36" i="24" s="1"/>
  <c r="E38" i="37" s="1"/>
  <c r="E36" i="24"/>
  <c r="C38" i="37" s="1"/>
  <c r="I35" i="24"/>
  <c r="F35" i="24"/>
  <c r="G35" i="24" s="1"/>
  <c r="E37" i="37" s="1"/>
  <c r="E35" i="24"/>
  <c r="C37" i="37" s="1"/>
  <c r="I34" i="24"/>
  <c r="F34" i="24"/>
  <c r="G34" i="24" s="1"/>
  <c r="E36" i="37" s="1"/>
  <c r="E34" i="24"/>
  <c r="C36" i="37" s="1"/>
  <c r="I33" i="24"/>
  <c r="F33" i="24"/>
  <c r="G33" i="24" s="1"/>
  <c r="E35" i="37" s="1"/>
  <c r="E33" i="24"/>
  <c r="C35" i="37" s="1"/>
  <c r="I32" i="24"/>
  <c r="F32" i="24"/>
  <c r="G32" i="24" s="1"/>
  <c r="E34" i="37" s="1"/>
  <c r="E32" i="24"/>
  <c r="C34" i="37" s="1"/>
  <c r="I31" i="24"/>
  <c r="F31" i="24"/>
  <c r="G31" i="24" s="1"/>
  <c r="E33" i="37" s="1"/>
  <c r="E31" i="24"/>
  <c r="C33" i="37" s="1"/>
  <c r="I30" i="24"/>
  <c r="F30" i="24"/>
  <c r="G30" i="24" s="1"/>
  <c r="E32" i="37" s="1"/>
  <c r="E30" i="24"/>
  <c r="C32" i="37" s="1"/>
  <c r="I29" i="24"/>
  <c r="F29" i="24"/>
  <c r="G29" i="24" s="1"/>
  <c r="E31" i="37" s="1"/>
  <c r="E29" i="24"/>
  <c r="C31" i="37" s="1"/>
  <c r="I28" i="24"/>
  <c r="F28" i="24"/>
  <c r="G28" i="24" s="1"/>
  <c r="E30" i="37" s="1"/>
  <c r="E28" i="24"/>
  <c r="C30" i="37" s="1"/>
  <c r="I27" i="24"/>
  <c r="F27" i="24"/>
  <c r="G27" i="24" s="1"/>
  <c r="E29" i="37" s="1"/>
  <c r="E27" i="24"/>
  <c r="C29" i="37" s="1"/>
  <c r="I26" i="24"/>
  <c r="F26" i="24"/>
  <c r="G26" i="24" s="1"/>
  <c r="E28" i="37" s="1"/>
  <c r="E26" i="24"/>
  <c r="C28" i="37" s="1"/>
  <c r="I25" i="24"/>
  <c r="F25" i="24"/>
  <c r="G25" i="24" s="1"/>
  <c r="E27" i="37" s="1"/>
  <c r="E25" i="24"/>
  <c r="C27" i="37" s="1"/>
  <c r="I24" i="24"/>
  <c r="F24" i="24"/>
  <c r="G24" i="24" s="1"/>
  <c r="E26" i="37" s="1"/>
  <c r="E24" i="24"/>
  <c r="C26" i="37" s="1"/>
  <c r="I23" i="24"/>
  <c r="F23" i="24"/>
  <c r="G23" i="24" s="1"/>
  <c r="E25" i="37" s="1"/>
  <c r="E23" i="24"/>
  <c r="C25" i="37" s="1"/>
  <c r="I22" i="24"/>
  <c r="F22" i="24"/>
  <c r="G22" i="24" s="1"/>
  <c r="E24" i="37" s="1"/>
  <c r="E22" i="24"/>
  <c r="C24" i="37" s="1"/>
  <c r="I21" i="24"/>
  <c r="F21" i="24"/>
  <c r="G21" i="24" s="1"/>
  <c r="E23" i="37" s="1"/>
  <c r="E21" i="24"/>
  <c r="C23" i="37" s="1"/>
  <c r="I20" i="24"/>
  <c r="F20" i="24"/>
  <c r="G20" i="24" s="1"/>
  <c r="E22" i="37" s="1"/>
  <c r="E20" i="24"/>
  <c r="C22" i="37" s="1"/>
  <c r="I19" i="24"/>
  <c r="F19" i="24"/>
  <c r="G19" i="24" s="1"/>
  <c r="E21" i="37" s="1"/>
  <c r="E19" i="24"/>
  <c r="C21" i="37" s="1"/>
  <c r="I18" i="24"/>
  <c r="F18" i="24"/>
  <c r="G18" i="24" s="1"/>
  <c r="E20" i="37" s="1"/>
  <c r="E18" i="24"/>
  <c r="C20" i="37" s="1"/>
  <c r="I17" i="24"/>
  <c r="F17" i="24"/>
  <c r="G17" i="24" s="1"/>
  <c r="E19" i="37" s="1"/>
  <c r="E17" i="24"/>
  <c r="C19" i="37" s="1"/>
  <c r="I16" i="24"/>
  <c r="I15" i="24"/>
  <c r="I14" i="24"/>
  <c r="I13" i="24"/>
  <c r="I12" i="24"/>
  <c r="I11" i="24"/>
  <c r="I10" i="24"/>
  <c r="I9" i="24"/>
  <c r="I8" i="24"/>
  <c r="I7" i="24"/>
  <c r="I6" i="24"/>
  <c r="I5" i="24"/>
  <c r="I4" i="24"/>
  <c r="I3" i="24"/>
  <c r="F16" i="24"/>
  <c r="G16" i="24" s="1"/>
  <c r="E18" i="37" s="1"/>
  <c r="E16" i="24"/>
  <c r="C18" i="37" s="1"/>
  <c r="F15" i="24"/>
  <c r="G15" i="24" s="1"/>
  <c r="E17" i="37" s="1"/>
  <c r="E15" i="24"/>
  <c r="C17" i="37" s="1"/>
  <c r="F14" i="24"/>
  <c r="G14" i="24" s="1"/>
  <c r="E16" i="37" s="1"/>
  <c r="E14" i="24"/>
  <c r="C16" i="37" s="1"/>
  <c r="F13" i="24"/>
  <c r="G13" i="24" s="1"/>
  <c r="E15" i="37" s="1"/>
  <c r="E13" i="24"/>
  <c r="C15" i="37" s="1"/>
  <c r="F12" i="24"/>
  <c r="G12" i="24" s="1"/>
  <c r="E14" i="37" s="1"/>
  <c r="E12" i="24"/>
  <c r="C14" i="37" s="1"/>
  <c r="F11" i="24"/>
  <c r="G11" i="24" s="1"/>
  <c r="E13" i="37" s="1"/>
  <c r="E11" i="24"/>
  <c r="C13" i="37" s="1"/>
  <c r="F10" i="24"/>
  <c r="G10" i="24" s="1"/>
  <c r="E12" i="37" s="1"/>
  <c r="E10" i="24"/>
  <c r="C12" i="37" s="1"/>
  <c r="F9" i="24"/>
  <c r="G9" i="24" s="1"/>
  <c r="E11" i="37" s="1"/>
  <c r="E9" i="24"/>
  <c r="C11" i="37" s="1"/>
  <c r="F8" i="24"/>
  <c r="G8" i="24" s="1"/>
  <c r="E10" i="37" s="1"/>
  <c r="E8" i="24"/>
  <c r="C10" i="37" s="1"/>
  <c r="F7" i="24"/>
  <c r="G7" i="24" s="1"/>
  <c r="E9" i="37" s="1"/>
  <c r="E7" i="24"/>
  <c r="C9" i="37" s="1"/>
  <c r="F6" i="24"/>
  <c r="G6" i="24" s="1"/>
  <c r="E8" i="37" s="1"/>
  <c r="E6" i="24"/>
  <c r="C8" i="37" s="1"/>
  <c r="F5" i="24"/>
  <c r="G5" i="24" s="1"/>
  <c r="E7" i="37" s="1"/>
  <c r="E5" i="24"/>
  <c r="C7" i="37" s="1"/>
  <c r="F4" i="24"/>
  <c r="G4" i="24" s="1"/>
  <c r="E6" i="37" s="1"/>
  <c r="E4" i="24"/>
  <c r="C6" i="37" s="1"/>
  <c r="F3" i="24"/>
  <c r="G3" i="24" s="1"/>
  <c r="E5" i="37" s="1"/>
  <c r="E3" i="24"/>
  <c r="C5" i="37" s="1"/>
  <c r="O66" i="24"/>
  <c r="I29" i="21"/>
  <c r="K29" i="21" s="1"/>
  <c r="I28" i="21"/>
  <c r="K23" i="21"/>
  <c r="I12" i="21"/>
  <c r="I11" i="21"/>
  <c r="L32" i="19"/>
  <c r="N32" i="19" s="1"/>
  <c r="L11" i="19"/>
  <c r="L12" i="19"/>
  <c r="N12" i="19" s="1"/>
  <c r="L14" i="19"/>
  <c r="N14" i="19" s="1"/>
  <c r="L15" i="19"/>
  <c r="N15" i="19" s="1"/>
  <c r="L16" i="19"/>
  <c r="N16" i="19" s="1"/>
  <c r="L17" i="19"/>
  <c r="N17" i="19" s="1"/>
  <c r="L13" i="19"/>
  <c r="N13" i="19" s="1"/>
  <c r="L31" i="19"/>
  <c r="N31" i="19" s="1"/>
  <c r="L30" i="19"/>
  <c r="N30" i="19" s="1"/>
  <c r="L29" i="19"/>
  <c r="N29" i="19" s="1"/>
  <c r="L28" i="19"/>
  <c r="N28" i="19" s="1"/>
  <c r="L27" i="19"/>
  <c r="L26" i="19"/>
  <c r="L25" i="19"/>
  <c r="L24" i="19"/>
  <c r="L10" i="19"/>
  <c r="G38" i="19" s="1"/>
  <c r="G39" i="19" s="1"/>
  <c r="G40" i="19" s="1"/>
  <c r="L9" i="19"/>
  <c r="I13" i="21"/>
  <c r="K13" i="21" s="1"/>
  <c r="I10" i="21"/>
  <c r="I42" i="21" s="1"/>
  <c r="I43" i="21" s="1"/>
  <c r="I44" i="21" s="1"/>
  <c r="I45" i="21" s="1"/>
  <c r="I46" i="21" s="1"/>
  <c r="I47" i="21" s="1"/>
  <c r="I48" i="21" s="1"/>
  <c r="I49" i="21" s="1"/>
  <c r="I50" i="21" s="1"/>
  <c r="I51" i="21" s="1"/>
  <c r="I52" i="21" s="1"/>
  <c r="N11" i="19" l="1"/>
  <c r="H39" i="19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N9" i="19"/>
  <c r="F38" i="19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G41" i="19"/>
  <c r="G42" i="19" s="1"/>
  <c r="G43" i="19" s="1"/>
  <c r="G44" i="19" s="1"/>
  <c r="G45" i="19" s="1"/>
  <c r="G46" i="19" s="1"/>
  <c r="G47" i="19" s="1"/>
  <c r="G48" i="19" s="1"/>
  <c r="G49" i="19" s="1"/>
  <c r="L34" i="19"/>
  <c r="K11" i="21"/>
  <c r="J42" i="21"/>
  <c r="J43" i="21" s="1"/>
  <c r="J44" i="21" s="1"/>
  <c r="J45" i="21" s="1"/>
  <c r="J46" i="21" s="1"/>
  <c r="J47" i="21" s="1"/>
  <c r="J48" i="21" s="1"/>
  <c r="J49" i="21" s="1"/>
  <c r="J50" i="21" s="1"/>
  <c r="J51" i="21" s="1"/>
  <c r="J52" i="21" s="1"/>
  <c r="I31" i="21"/>
  <c r="I16" i="21"/>
  <c r="L19" i="19"/>
  <c r="A39" i="38"/>
  <c r="I40" i="37"/>
  <c r="A23" i="38"/>
  <c r="I24" i="37"/>
  <c r="A28" i="38"/>
  <c r="I29" i="37"/>
  <c r="I60" i="37"/>
  <c r="A59" i="38"/>
  <c r="A75" i="38"/>
  <c r="I76" i="37"/>
  <c r="I92" i="37"/>
  <c r="A91" i="38"/>
  <c r="I108" i="37"/>
  <c r="A107" i="38"/>
  <c r="I128" i="37"/>
  <c r="A127" i="38"/>
  <c r="I164" i="37"/>
  <c r="A163" i="38"/>
  <c r="A36" i="38"/>
  <c r="I37" i="37"/>
  <c r="A4" i="38"/>
  <c r="I5" i="37"/>
  <c r="I26" i="37"/>
  <c r="A25" i="38"/>
  <c r="A64" i="38"/>
  <c r="I65" i="37"/>
  <c r="I81" i="37"/>
  <c r="A80" i="38"/>
  <c r="A88" i="38"/>
  <c r="I89" i="37"/>
  <c r="I93" i="37"/>
  <c r="A92" i="38"/>
  <c r="I97" i="37"/>
  <c r="A96" i="38"/>
  <c r="I105" i="37"/>
  <c r="A104" i="38"/>
  <c r="I109" i="37"/>
  <c r="A108" i="38"/>
  <c r="A112" i="38"/>
  <c r="I113" i="37"/>
  <c r="I117" i="37"/>
  <c r="A116" i="38"/>
  <c r="I121" i="37"/>
  <c r="A120" i="38"/>
  <c r="A124" i="38"/>
  <c r="I125" i="37"/>
  <c r="I129" i="37"/>
  <c r="A128" i="38"/>
  <c r="I133" i="37"/>
  <c r="A132" i="38"/>
  <c r="A136" i="38"/>
  <c r="I137" i="37"/>
  <c r="I141" i="37"/>
  <c r="A140" i="38"/>
  <c r="I145" i="37"/>
  <c r="A144" i="38"/>
  <c r="A148" i="38"/>
  <c r="I149" i="37"/>
  <c r="I157" i="37"/>
  <c r="A156" i="38"/>
  <c r="A160" i="38"/>
  <c r="I161" i="37"/>
  <c r="I165" i="37"/>
  <c r="A164" i="38"/>
  <c r="A6" i="38"/>
  <c r="I7" i="37"/>
  <c r="I34" i="37"/>
  <c r="A33" i="38"/>
  <c r="A37" i="38"/>
  <c r="I38" i="37"/>
  <c r="I8" i="37"/>
  <c r="A7" i="38"/>
  <c r="A41" i="38"/>
  <c r="I42" i="37"/>
  <c r="A45" i="38"/>
  <c r="I46" i="37"/>
  <c r="A49" i="38"/>
  <c r="I50" i="37"/>
  <c r="A99" i="38"/>
  <c r="I100" i="37"/>
  <c r="A10" i="38"/>
  <c r="I11" i="37"/>
  <c r="A42" i="38"/>
  <c r="I43" i="37"/>
  <c r="A46" i="38"/>
  <c r="I47" i="37"/>
  <c r="A11" i="38"/>
  <c r="I12" i="37"/>
  <c r="I20" i="37"/>
  <c r="A19" i="38"/>
  <c r="A27" i="38"/>
  <c r="I28" i="37"/>
  <c r="A50" i="38"/>
  <c r="I51" i="37"/>
  <c r="A12" i="38"/>
  <c r="I13" i="37"/>
  <c r="I32" i="37"/>
  <c r="A31" i="38"/>
  <c r="A35" i="38"/>
  <c r="I36" i="37"/>
  <c r="A13" i="38"/>
  <c r="I14" i="37"/>
  <c r="I44" i="37"/>
  <c r="A43" i="38"/>
  <c r="A47" i="38"/>
  <c r="I48" i="37"/>
  <c r="A14" i="38"/>
  <c r="I15" i="37"/>
  <c r="I21" i="37"/>
  <c r="A20" i="38"/>
  <c r="A24" i="38"/>
  <c r="I25" i="37"/>
  <c r="A51" i="38"/>
  <c r="I52" i="37"/>
  <c r="I56" i="37"/>
  <c r="A55" i="38"/>
  <c r="A63" i="38"/>
  <c r="I64" i="37"/>
  <c r="I68" i="37"/>
  <c r="A67" i="38"/>
  <c r="I72" i="37"/>
  <c r="A71" i="38"/>
  <c r="I80" i="37"/>
  <c r="A79" i="38"/>
  <c r="I84" i="37"/>
  <c r="A83" i="38"/>
  <c r="A87" i="38"/>
  <c r="I88" i="37"/>
  <c r="I96" i="37"/>
  <c r="A95" i="38"/>
  <c r="I104" i="37"/>
  <c r="A103" i="38"/>
  <c r="A111" i="38"/>
  <c r="I112" i="37"/>
  <c r="I116" i="37"/>
  <c r="A115" i="38"/>
  <c r="I120" i="37"/>
  <c r="A119" i="38"/>
  <c r="A123" i="38"/>
  <c r="I124" i="37"/>
  <c r="I132" i="37"/>
  <c r="A131" i="38"/>
  <c r="A135" i="38"/>
  <c r="I136" i="37"/>
  <c r="I140" i="37"/>
  <c r="A139" i="38"/>
  <c r="I144" i="37"/>
  <c r="A143" i="38"/>
  <c r="A147" i="38"/>
  <c r="I148" i="37"/>
  <c r="I152" i="37"/>
  <c r="A151" i="38"/>
  <c r="I156" i="37"/>
  <c r="A155" i="38"/>
  <c r="A159" i="38"/>
  <c r="I160" i="37"/>
  <c r="I16" i="37"/>
  <c r="A15" i="38"/>
  <c r="I33" i="37"/>
  <c r="A32" i="38"/>
  <c r="A40" i="38"/>
  <c r="I41" i="37"/>
  <c r="A16" i="38"/>
  <c r="I17" i="37"/>
  <c r="I45" i="37"/>
  <c r="A44" i="38"/>
  <c r="A48" i="38"/>
  <c r="I49" i="37"/>
  <c r="A5" i="38"/>
  <c r="I6" i="37"/>
  <c r="A17" i="38"/>
  <c r="I18" i="37"/>
  <c r="I22" i="37"/>
  <c r="A21" i="38"/>
  <c r="A29" i="38"/>
  <c r="I30" i="37"/>
  <c r="A52" i="38"/>
  <c r="I53" i="37"/>
  <c r="I57" i="37"/>
  <c r="A56" i="38"/>
  <c r="I61" i="37"/>
  <c r="A60" i="38"/>
  <c r="I69" i="37"/>
  <c r="A68" i="38"/>
  <c r="I73" i="37"/>
  <c r="A72" i="38"/>
  <c r="A76" i="38"/>
  <c r="I77" i="37"/>
  <c r="I85" i="37"/>
  <c r="A84" i="38"/>
  <c r="A100" i="38"/>
  <c r="I101" i="37"/>
  <c r="I153" i="37"/>
  <c r="A152" i="38"/>
  <c r="I9" i="37"/>
  <c r="A8" i="38"/>
  <c r="A18" i="38"/>
  <c r="I19" i="37"/>
  <c r="A22" i="38"/>
  <c r="I23" i="37"/>
  <c r="A26" i="38"/>
  <c r="I27" i="37"/>
  <c r="A53" i="38"/>
  <c r="I54" i="37"/>
  <c r="A57" i="38"/>
  <c r="I58" i="37"/>
  <c r="I62" i="37"/>
  <c r="A61" i="38"/>
  <c r="A65" i="38"/>
  <c r="I66" i="37"/>
  <c r="I70" i="37"/>
  <c r="A69" i="38"/>
  <c r="A73" i="38"/>
  <c r="I74" i="37"/>
  <c r="A77" i="38"/>
  <c r="I78" i="37"/>
  <c r="I82" i="37"/>
  <c r="A81" i="38"/>
  <c r="A85" i="38"/>
  <c r="I86" i="37"/>
  <c r="A89" i="38"/>
  <c r="I90" i="37"/>
  <c r="I94" i="37"/>
  <c r="A93" i="38"/>
  <c r="A97" i="38"/>
  <c r="I98" i="37"/>
  <c r="A101" i="38"/>
  <c r="I102" i="37"/>
  <c r="I106" i="37"/>
  <c r="A105" i="38"/>
  <c r="A109" i="38"/>
  <c r="I110" i="37"/>
  <c r="A113" i="38"/>
  <c r="I114" i="37"/>
  <c r="I118" i="37"/>
  <c r="A117" i="38"/>
  <c r="A121" i="38"/>
  <c r="I122" i="37"/>
  <c r="I126" i="37"/>
  <c r="A125" i="38"/>
  <c r="I130" i="37"/>
  <c r="A129" i="38"/>
  <c r="A133" i="38"/>
  <c r="I134" i="37"/>
  <c r="I138" i="37"/>
  <c r="A137" i="38"/>
  <c r="I142" i="37"/>
  <c r="A141" i="38"/>
  <c r="A145" i="38"/>
  <c r="I146" i="37"/>
  <c r="I150" i="37"/>
  <c r="A149" i="38"/>
  <c r="I154" i="37"/>
  <c r="A153" i="38"/>
  <c r="A157" i="38"/>
  <c r="I158" i="37"/>
  <c r="I162" i="37"/>
  <c r="A161" i="38"/>
  <c r="I166" i="37"/>
  <c r="A165" i="38"/>
  <c r="I10" i="37"/>
  <c r="A9" i="38"/>
  <c r="A30" i="38"/>
  <c r="I31" i="37"/>
  <c r="A34" i="38"/>
  <c r="I35" i="37"/>
  <c r="A38" i="38"/>
  <c r="I39" i="37"/>
  <c r="A54" i="38"/>
  <c r="I55" i="37"/>
  <c r="I59" i="37"/>
  <c r="A58" i="38"/>
  <c r="A62" i="38"/>
  <c r="I63" i="37"/>
  <c r="A66" i="38"/>
  <c r="I67" i="37"/>
  <c r="A70" i="38"/>
  <c r="I71" i="37"/>
  <c r="A74" i="38"/>
  <c r="I75" i="37"/>
  <c r="A78" i="38"/>
  <c r="I79" i="37"/>
  <c r="A82" i="38"/>
  <c r="I83" i="37"/>
  <c r="A86" i="38"/>
  <c r="I87" i="37"/>
  <c r="A90" i="38"/>
  <c r="I91" i="37"/>
  <c r="A94" i="38"/>
  <c r="I95" i="37"/>
  <c r="A98" i="38"/>
  <c r="I99" i="37"/>
  <c r="A102" i="38"/>
  <c r="I103" i="37"/>
  <c r="A106" i="38"/>
  <c r="I107" i="37"/>
  <c r="A110" i="38"/>
  <c r="I111" i="37"/>
  <c r="A114" i="38"/>
  <c r="I115" i="37"/>
  <c r="A118" i="38"/>
  <c r="I119" i="37"/>
  <c r="A122" i="38"/>
  <c r="I123" i="37"/>
  <c r="I127" i="37"/>
  <c r="A126" i="38"/>
  <c r="A130" i="38"/>
  <c r="I131" i="37"/>
  <c r="A134" i="38"/>
  <c r="I135" i="37"/>
  <c r="I139" i="37"/>
  <c r="A138" i="38"/>
  <c r="A142" i="38"/>
  <c r="I143" i="37"/>
  <c r="I147" i="37"/>
  <c r="A146" i="38"/>
  <c r="I151" i="37"/>
  <c r="A150" i="38"/>
  <c r="A154" i="38"/>
  <c r="I155" i="37"/>
  <c r="A158" i="38"/>
  <c r="I159" i="37"/>
  <c r="I163" i="37"/>
  <c r="A162" i="38"/>
  <c r="A166" i="38"/>
  <c r="I167" i="37"/>
  <c r="P67" i="36"/>
  <c r="E67" i="38"/>
  <c r="L68" i="37"/>
  <c r="B10" i="27"/>
  <c r="B29" i="27"/>
  <c r="O13" i="24"/>
  <c r="O12" i="24"/>
  <c r="B39" i="27"/>
  <c r="B20" i="27"/>
  <c r="O63" i="24"/>
  <c r="O62" i="24"/>
  <c r="B11" i="27"/>
  <c r="B30" i="27"/>
  <c r="O15" i="24"/>
  <c r="O14" i="24"/>
  <c r="B31" i="27"/>
  <c r="B12" i="27"/>
  <c r="O17" i="24"/>
  <c r="O16" i="24"/>
  <c r="B19" i="27"/>
  <c r="B38" i="27"/>
  <c r="O51" i="24"/>
  <c r="O50" i="24"/>
  <c r="B32" i="27"/>
  <c r="B13" i="27"/>
  <c r="O19" i="24"/>
  <c r="O18" i="24"/>
  <c r="B33" i="27"/>
  <c r="B14" i="27"/>
  <c r="O37" i="24"/>
  <c r="O36" i="24"/>
  <c r="O32" i="24"/>
  <c r="O33" i="24"/>
  <c r="O34" i="24"/>
  <c r="O35" i="24"/>
  <c r="O39" i="24"/>
  <c r="O38" i="24"/>
  <c r="J37" i="24"/>
  <c r="J14" i="24"/>
  <c r="J15" i="24"/>
  <c r="J16" i="24"/>
  <c r="J17" i="24"/>
  <c r="J38" i="24"/>
  <c r="J39" i="24"/>
  <c r="J32" i="24"/>
  <c r="J33" i="24"/>
  <c r="J34" i="24"/>
  <c r="J35" i="24"/>
  <c r="J36" i="24"/>
  <c r="J18" i="24"/>
  <c r="J19" i="24"/>
  <c r="J12" i="24"/>
  <c r="J13" i="24"/>
  <c r="O41" i="24"/>
  <c r="O40" i="24"/>
  <c r="O21" i="24"/>
  <c r="O20" i="24"/>
  <c r="O65" i="24"/>
  <c r="O64" i="24"/>
  <c r="J62" i="24"/>
  <c r="J63" i="24"/>
  <c r="J50" i="24"/>
  <c r="J51" i="24"/>
  <c r="O53" i="24"/>
  <c r="O52" i="24"/>
  <c r="J64" i="24"/>
  <c r="J65" i="24"/>
  <c r="J53" i="24"/>
  <c r="J52" i="24"/>
  <c r="J20" i="24"/>
  <c r="J21" i="24"/>
  <c r="J40" i="24"/>
  <c r="J41" i="24"/>
  <c r="H42" i="38" l="1"/>
  <c r="V42" i="36"/>
  <c r="C42" i="38"/>
  <c r="M43" i="37"/>
  <c r="A43" i="37" s="1"/>
  <c r="F42" i="38"/>
  <c r="C38" i="38"/>
  <c r="F38" i="38"/>
  <c r="H38" i="38"/>
  <c r="M39" i="37"/>
  <c r="A39" i="37" s="1"/>
  <c r="V38" i="36"/>
  <c r="V41" i="36"/>
  <c r="C41" i="38"/>
  <c r="F41" i="38"/>
  <c r="H41" i="38"/>
  <c r="M42" i="37"/>
  <c r="A42" i="37" s="1"/>
  <c r="M38" i="37"/>
  <c r="A38" i="37" s="1"/>
  <c r="V37" i="36"/>
  <c r="C37" i="38"/>
  <c r="F37" i="38"/>
  <c r="H37" i="38"/>
  <c r="C40" i="38"/>
  <c r="F40" i="38"/>
  <c r="H40" i="38"/>
  <c r="M41" i="37"/>
  <c r="A41" i="37" s="1"/>
  <c r="V40" i="36"/>
  <c r="C39" i="38"/>
  <c r="M40" i="37"/>
  <c r="A40" i="37" s="1"/>
  <c r="F39" i="38"/>
  <c r="H39" i="38"/>
  <c r="V39" i="36"/>
  <c r="V36" i="36"/>
  <c r="M37" i="37"/>
  <c r="A37" i="37" s="1"/>
  <c r="C36" i="38"/>
  <c r="H36" i="38"/>
  <c r="F36" i="38"/>
  <c r="F35" i="38"/>
  <c r="H35" i="38"/>
  <c r="M36" i="37"/>
  <c r="A36" i="37" s="1"/>
  <c r="C35" i="38"/>
  <c r="V35" i="36"/>
  <c r="V33" i="36"/>
  <c r="C33" i="38"/>
  <c r="M34" i="37"/>
  <c r="A34" i="37" s="1"/>
  <c r="F33" i="38"/>
  <c r="H33" i="38"/>
  <c r="F34" i="38"/>
  <c r="V34" i="36"/>
  <c r="C34" i="38"/>
  <c r="H34" i="38"/>
  <c r="M35" i="37"/>
  <c r="A35" i="37" s="1"/>
  <c r="C21" i="38"/>
  <c r="F21" i="38"/>
  <c r="H21" i="38"/>
  <c r="V21" i="36"/>
  <c r="M22" i="37"/>
  <c r="A22" i="37" s="1"/>
  <c r="V19" i="36"/>
  <c r="F19" i="38"/>
  <c r="M20" i="37"/>
  <c r="A20" i="37" s="1"/>
  <c r="H19" i="38"/>
  <c r="C19" i="38"/>
  <c r="C22" i="38"/>
  <c r="M23" i="37"/>
  <c r="A23" i="37" s="1"/>
  <c r="F22" i="38"/>
  <c r="V22" i="36"/>
  <c r="H22" i="38"/>
  <c r="V18" i="36"/>
  <c r="M19" i="37"/>
  <c r="A19" i="37" s="1"/>
  <c r="C18" i="38"/>
  <c r="F18" i="38"/>
  <c r="H18" i="38"/>
  <c r="H20" i="38"/>
  <c r="V20" i="36"/>
  <c r="M21" i="37"/>
  <c r="A21" i="37" s="1"/>
  <c r="C20" i="38"/>
  <c r="F20" i="38"/>
  <c r="F17" i="38"/>
  <c r="M18" i="37"/>
  <c r="A18" i="37" s="1"/>
  <c r="H17" i="38"/>
  <c r="C17" i="38"/>
  <c r="V17" i="36"/>
  <c r="V15" i="36"/>
  <c r="H15" i="38"/>
  <c r="M16" i="37"/>
  <c r="A16" i="37" s="1"/>
  <c r="C15" i="38"/>
  <c r="F15" i="38"/>
  <c r="M17" i="37"/>
  <c r="A17" i="37" s="1"/>
  <c r="V16" i="36"/>
  <c r="C16" i="38"/>
  <c r="F16" i="38"/>
  <c r="H16" i="38"/>
  <c r="M15" i="37"/>
  <c r="A15" i="37" s="1"/>
  <c r="C14" i="38"/>
  <c r="F14" i="38"/>
  <c r="H14" i="38"/>
  <c r="V14" i="36"/>
  <c r="M14" i="37"/>
  <c r="A14" i="37" s="1"/>
  <c r="C13" i="38"/>
  <c r="V13" i="36"/>
  <c r="F13" i="38"/>
  <c r="H13" i="38"/>
  <c r="M67" i="37"/>
  <c r="A67" i="37" s="1"/>
  <c r="C66" i="38"/>
  <c r="F66" i="38"/>
  <c r="V66" i="36"/>
  <c r="H66" i="38"/>
  <c r="C65" i="38"/>
  <c r="F65" i="38"/>
  <c r="M66" i="37"/>
  <c r="A66" i="37" s="1"/>
  <c r="H65" i="38"/>
  <c r="V65" i="36"/>
  <c r="F64" i="38"/>
  <c r="V64" i="36"/>
  <c r="H64" i="38"/>
  <c r="M65" i="37"/>
  <c r="A65" i="37" s="1"/>
  <c r="C64" i="38"/>
  <c r="C63" i="38"/>
  <c r="F63" i="38"/>
  <c r="H63" i="38"/>
  <c r="M64" i="37"/>
  <c r="A64" i="37" s="1"/>
  <c r="V63" i="36"/>
  <c r="C52" i="38"/>
  <c r="V52" i="36"/>
  <c r="F52" i="38"/>
  <c r="H52" i="38"/>
  <c r="M53" i="37"/>
  <c r="A53" i="37" s="1"/>
  <c r="C51" i="38"/>
  <c r="F51" i="38"/>
  <c r="V51" i="36"/>
  <c r="M52" i="37"/>
  <c r="A52" i="37" s="1"/>
  <c r="H51" i="38"/>
  <c r="H53" i="38"/>
  <c r="M54" i="37"/>
  <c r="A54" i="37" s="1"/>
  <c r="C53" i="38"/>
  <c r="V53" i="36"/>
  <c r="F53" i="38"/>
  <c r="M55" i="37"/>
  <c r="A55" i="37" s="1"/>
  <c r="C54" i="38"/>
  <c r="H54" i="38"/>
  <c r="F54" i="38"/>
  <c r="V54" i="36"/>
  <c r="E65" i="38"/>
  <c r="L66" i="37"/>
  <c r="P65" i="36"/>
  <c r="L64" i="37"/>
  <c r="P63" i="36"/>
  <c r="E63" i="38"/>
  <c r="L67" i="37"/>
  <c r="P66" i="36"/>
  <c r="E66" i="38"/>
  <c r="E64" i="38"/>
  <c r="L65" i="37"/>
  <c r="P64" i="36"/>
  <c r="E54" i="38"/>
  <c r="L55" i="37"/>
  <c r="P54" i="36"/>
  <c r="L52" i="37"/>
  <c r="P51" i="36"/>
  <c r="E51" i="38"/>
  <c r="L53" i="37"/>
  <c r="E52" i="38"/>
  <c r="P52" i="36"/>
  <c r="L54" i="37"/>
  <c r="E53" i="38"/>
  <c r="P53" i="36"/>
  <c r="E36" i="38"/>
  <c r="L37" i="37"/>
  <c r="P36" i="36"/>
  <c r="L36" i="37"/>
  <c r="P35" i="36"/>
  <c r="E35" i="38"/>
  <c r="L35" i="37"/>
  <c r="E34" i="38"/>
  <c r="P34" i="36"/>
  <c r="L34" i="37"/>
  <c r="P33" i="36"/>
  <c r="E33" i="38"/>
  <c r="L38" i="37"/>
  <c r="P37" i="36"/>
  <c r="E37" i="38"/>
  <c r="L39" i="37"/>
  <c r="P38" i="36"/>
  <c r="E38" i="38"/>
  <c r="P41" i="36"/>
  <c r="E41" i="38"/>
  <c r="L42" i="37"/>
  <c r="L43" i="37"/>
  <c r="E42" i="38"/>
  <c r="P42" i="36"/>
  <c r="E39" i="38"/>
  <c r="L40" i="37"/>
  <c r="P39" i="36"/>
  <c r="L41" i="37"/>
  <c r="P40" i="36"/>
  <c r="E40" i="38"/>
  <c r="E15" i="38"/>
  <c r="L16" i="37"/>
  <c r="P15" i="36"/>
  <c r="L17" i="37"/>
  <c r="E16" i="38"/>
  <c r="P16" i="36"/>
  <c r="E18" i="38"/>
  <c r="L19" i="37"/>
  <c r="P18" i="36"/>
  <c r="E17" i="38"/>
  <c r="L18" i="37"/>
  <c r="P17" i="36"/>
  <c r="L20" i="37"/>
  <c r="P19" i="36"/>
  <c r="E19" i="38"/>
  <c r="E20" i="38"/>
  <c r="L21" i="37"/>
  <c r="P20" i="36"/>
  <c r="L14" i="37"/>
  <c r="E13" i="38"/>
  <c r="P13" i="36"/>
  <c r="L15" i="37"/>
  <c r="P14" i="36"/>
  <c r="E14" i="38"/>
  <c r="L22" i="37"/>
  <c r="E21" i="38"/>
  <c r="P21" i="36"/>
  <c r="E22" i="38"/>
  <c r="L23" i="37"/>
  <c r="P22" i="36"/>
  <c r="A1" i="33"/>
  <c r="G85" i="9"/>
  <c r="G79" i="9"/>
  <c r="G73" i="9"/>
  <c r="G67" i="9"/>
  <c r="G61" i="9"/>
  <c r="G52" i="9"/>
  <c r="G46" i="9"/>
  <c r="G40" i="9"/>
  <c r="G22" i="9"/>
  <c r="G12" i="9"/>
  <c r="A3" i="32"/>
  <c r="A5" i="33" l="1"/>
  <c r="AI54" i="33"/>
  <c r="F52" i="33"/>
  <c r="E52" i="33"/>
  <c r="D52" i="33"/>
  <c r="C52" i="33"/>
  <c r="B52" i="33"/>
  <c r="A52" i="33"/>
  <c r="F51" i="33"/>
  <c r="E51" i="33"/>
  <c r="D51" i="33"/>
  <c r="C51" i="33"/>
  <c r="B51" i="33"/>
  <c r="A51" i="33"/>
  <c r="F50" i="33"/>
  <c r="E50" i="33"/>
  <c r="D50" i="33"/>
  <c r="C50" i="33"/>
  <c r="B50" i="33"/>
  <c r="A50" i="33"/>
  <c r="F49" i="33"/>
  <c r="E49" i="33"/>
  <c r="D49" i="33"/>
  <c r="C49" i="33"/>
  <c r="B49" i="33"/>
  <c r="A49" i="33"/>
  <c r="F48" i="33"/>
  <c r="E48" i="33"/>
  <c r="D48" i="33"/>
  <c r="C48" i="33"/>
  <c r="B48" i="33"/>
  <c r="A48" i="33"/>
  <c r="F47" i="33"/>
  <c r="E47" i="33"/>
  <c r="D47" i="33"/>
  <c r="C47" i="33"/>
  <c r="B47" i="33"/>
  <c r="A47" i="33"/>
  <c r="F46" i="33"/>
  <c r="E46" i="33"/>
  <c r="D46" i="33"/>
  <c r="C46" i="33"/>
  <c r="B46" i="33"/>
  <c r="A46" i="33"/>
  <c r="F45" i="33"/>
  <c r="E45" i="33"/>
  <c r="D45" i="33"/>
  <c r="C45" i="33"/>
  <c r="B45" i="33"/>
  <c r="A45" i="33"/>
  <c r="F44" i="33"/>
  <c r="E44" i="33"/>
  <c r="D44" i="33"/>
  <c r="C44" i="33"/>
  <c r="B44" i="33"/>
  <c r="A44" i="33"/>
  <c r="F43" i="33"/>
  <c r="E43" i="33"/>
  <c r="D43" i="33"/>
  <c r="C43" i="33"/>
  <c r="B43" i="33"/>
  <c r="A43" i="33"/>
  <c r="F42" i="33"/>
  <c r="E42" i="33"/>
  <c r="D42" i="33"/>
  <c r="C42" i="33"/>
  <c r="B42" i="33"/>
  <c r="A42" i="33"/>
  <c r="F41" i="33"/>
  <c r="E41" i="33"/>
  <c r="D41" i="33"/>
  <c r="C41" i="33"/>
  <c r="B41" i="33"/>
  <c r="A41" i="33"/>
  <c r="F40" i="33"/>
  <c r="E40" i="33"/>
  <c r="D40" i="33"/>
  <c r="C40" i="33"/>
  <c r="B40" i="33"/>
  <c r="A40" i="33"/>
  <c r="F39" i="33"/>
  <c r="E39" i="33"/>
  <c r="D39" i="33"/>
  <c r="C39" i="33"/>
  <c r="B39" i="33"/>
  <c r="A39" i="33"/>
  <c r="F38" i="33"/>
  <c r="E38" i="33"/>
  <c r="D38" i="33"/>
  <c r="C38" i="33"/>
  <c r="B38" i="33"/>
  <c r="A38" i="33"/>
  <c r="F37" i="33"/>
  <c r="E37" i="33"/>
  <c r="D37" i="33"/>
  <c r="C37" i="33"/>
  <c r="B37" i="33"/>
  <c r="A37" i="33"/>
  <c r="F36" i="33"/>
  <c r="E36" i="33"/>
  <c r="D36" i="33"/>
  <c r="C36" i="33"/>
  <c r="B36" i="33"/>
  <c r="A36" i="33"/>
  <c r="F35" i="33"/>
  <c r="E35" i="33"/>
  <c r="D35" i="33"/>
  <c r="C35" i="33"/>
  <c r="B35" i="33"/>
  <c r="A35" i="33"/>
  <c r="F34" i="33"/>
  <c r="E34" i="33"/>
  <c r="D34" i="33"/>
  <c r="C34" i="33"/>
  <c r="B34" i="33"/>
  <c r="A34" i="33"/>
  <c r="F33" i="33"/>
  <c r="E33" i="33"/>
  <c r="D33" i="33"/>
  <c r="C33" i="33"/>
  <c r="B33" i="33"/>
  <c r="A33" i="33"/>
  <c r="F32" i="33"/>
  <c r="E32" i="33"/>
  <c r="D32" i="33"/>
  <c r="C32" i="33"/>
  <c r="B32" i="33"/>
  <c r="A32" i="33"/>
  <c r="F31" i="33"/>
  <c r="E31" i="33"/>
  <c r="D31" i="33"/>
  <c r="C31" i="33"/>
  <c r="B31" i="33"/>
  <c r="A31" i="33"/>
  <c r="F30" i="33"/>
  <c r="E30" i="33"/>
  <c r="D30" i="33"/>
  <c r="C30" i="33"/>
  <c r="B30" i="33"/>
  <c r="A30" i="33"/>
  <c r="F29" i="33"/>
  <c r="E29" i="33"/>
  <c r="D29" i="33"/>
  <c r="C29" i="33"/>
  <c r="B29" i="33"/>
  <c r="A29" i="33"/>
  <c r="F28" i="33"/>
  <c r="E28" i="33"/>
  <c r="D28" i="33"/>
  <c r="C28" i="33"/>
  <c r="B28" i="33"/>
  <c r="A28" i="33"/>
  <c r="F27" i="33"/>
  <c r="E27" i="33"/>
  <c r="D27" i="33"/>
  <c r="C27" i="33"/>
  <c r="B27" i="33"/>
  <c r="A27" i="33"/>
  <c r="F26" i="33"/>
  <c r="E26" i="33"/>
  <c r="D26" i="33"/>
  <c r="C26" i="33"/>
  <c r="B26" i="33"/>
  <c r="A26" i="33"/>
  <c r="F25" i="33"/>
  <c r="E25" i="33"/>
  <c r="D25" i="33"/>
  <c r="C25" i="33"/>
  <c r="B25" i="33"/>
  <c r="A25" i="33"/>
  <c r="F24" i="33"/>
  <c r="E24" i="33"/>
  <c r="D24" i="33"/>
  <c r="C24" i="33"/>
  <c r="B24" i="33"/>
  <c r="A24" i="33"/>
  <c r="F23" i="33"/>
  <c r="E23" i="33"/>
  <c r="D23" i="33"/>
  <c r="C23" i="33"/>
  <c r="B23" i="33"/>
  <c r="A23" i="33"/>
  <c r="F22" i="33"/>
  <c r="E22" i="33"/>
  <c r="D22" i="33"/>
  <c r="C22" i="33"/>
  <c r="B22" i="33"/>
  <c r="A22" i="33"/>
  <c r="F21" i="33"/>
  <c r="E21" i="33"/>
  <c r="D21" i="33"/>
  <c r="C21" i="33"/>
  <c r="B21" i="33"/>
  <c r="A21" i="33"/>
  <c r="F20" i="33"/>
  <c r="E20" i="33"/>
  <c r="D20" i="33"/>
  <c r="C20" i="33"/>
  <c r="B20" i="33"/>
  <c r="A20" i="33"/>
  <c r="F19" i="33"/>
  <c r="E19" i="33"/>
  <c r="D19" i="33"/>
  <c r="C19" i="33"/>
  <c r="B19" i="33"/>
  <c r="A19" i="33"/>
  <c r="F18" i="33"/>
  <c r="E18" i="33"/>
  <c r="D18" i="33"/>
  <c r="C18" i="33"/>
  <c r="B18" i="33"/>
  <c r="A18" i="33"/>
  <c r="F17" i="33"/>
  <c r="E17" i="33"/>
  <c r="D17" i="33"/>
  <c r="C17" i="33"/>
  <c r="B17" i="33"/>
  <c r="A17" i="33"/>
  <c r="F16" i="33"/>
  <c r="E16" i="33"/>
  <c r="D16" i="33"/>
  <c r="C16" i="33"/>
  <c r="B16" i="33"/>
  <c r="A16" i="33"/>
  <c r="F15" i="33"/>
  <c r="E15" i="33"/>
  <c r="D15" i="33"/>
  <c r="C15" i="33"/>
  <c r="B15" i="33"/>
  <c r="A15" i="33"/>
  <c r="F14" i="33"/>
  <c r="E14" i="33"/>
  <c r="D14" i="33"/>
  <c r="C14" i="33"/>
  <c r="B14" i="33"/>
  <c r="A14" i="33"/>
  <c r="F13" i="33"/>
  <c r="E13" i="33"/>
  <c r="D13" i="33"/>
  <c r="C13" i="33"/>
  <c r="B13" i="33"/>
  <c r="A13" i="33"/>
  <c r="F12" i="33"/>
  <c r="E12" i="33"/>
  <c r="D12" i="33"/>
  <c r="C12" i="33"/>
  <c r="B12" i="33"/>
  <c r="A12" i="33"/>
  <c r="F11" i="33"/>
  <c r="E11" i="33"/>
  <c r="D11" i="33"/>
  <c r="C11" i="33"/>
  <c r="B11" i="33"/>
  <c r="A11" i="33"/>
  <c r="F10" i="33"/>
  <c r="E10" i="33"/>
  <c r="D10" i="33"/>
  <c r="C10" i="33"/>
  <c r="B10" i="33"/>
  <c r="A10" i="33"/>
  <c r="A1" i="32" l="1"/>
  <c r="A115" i="32"/>
  <c r="A108" i="32"/>
  <c r="A101" i="32"/>
  <c r="A94" i="32"/>
  <c r="A87" i="32"/>
  <c r="A80" i="32"/>
  <c r="A73" i="32"/>
  <c r="A66" i="32"/>
  <c r="A59" i="32"/>
  <c r="A52" i="32"/>
  <c r="A45" i="32"/>
  <c r="A38" i="32"/>
  <c r="A31" i="32"/>
  <c r="A24" i="32"/>
  <c r="A17" i="32"/>
  <c r="A10" i="32"/>
  <c r="J18" i="30"/>
  <c r="J17" i="30"/>
  <c r="J16" i="30"/>
  <c r="J15" i="30"/>
  <c r="J14" i="30"/>
  <c r="J11" i="30"/>
  <c r="J9" i="30"/>
  <c r="J7" i="30"/>
  <c r="K12" i="21"/>
  <c r="J42" i="24"/>
  <c r="N26" i="19"/>
  <c r="J8" i="24"/>
  <c r="E2" i="24"/>
  <c r="F2" i="24"/>
  <c r="I2" i="24"/>
  <c r="J28" i="24"/>
  <c r="J29" i="24"/>
  <c r="J48" i="24"/>
  <c r="J49" i="24"/>
  <c r="J54" i="24"/>
  <c r="J55" i="24"/>
  <c r="J57" i="24"/>
  <c r="J60" i="24"/>
  <c r="J61" i="24"/>
  <c r="O67" i="24"/>
  <c r="O68" i="24"/>
  <c r="O69" i="24"/>
  <c r="O70" i="24"/>
  <c r="O71" i="24"/>
  <c r="O72" i="24"/>
  <c r="O73" i="24"/>
  <c r="O74" i="24"/>
  <c r="O75" i="24"/>
  <c r="O76" i="24"/>
  <c r="O77" i="24"/>
  <c r="O78" i="24"/>
  <c r="O79" i="24"/>
  <c r="O80" i="24"/>
  <c r="O81" i="24"/>
  <c r="O82" i="24"/>
  <c r="O83" i="24"/>
  <c r="O84" i="24"/>
  <c r="O85" i="24"/>
  <c r="O86" i="24"/>
  <c r="O87" i="24"/>
  <c r="O88" i="24"/>
  <c r="O89" i="24"/>
  <c r="O90" i="24"/>
  <c r="O91" i="24"/>
  <c r="O92" i="24"/>
  <c r="O93" i="24"/>
  <c r="O94" i="24"/>
  <c r="O95" i="24"/>
  <c r="O96" i="24"/>
  <c r="O97" i="24"/>
  <c r="O98" i="24"/>
  <c r="O99" i="24"/>
  <c r="O100" i="24"/>
  <c r="O101" i="24"/>
  <c r="O102" i="24"/>
  <c r="O103" i="24"/>
  <c r="O104" i="24"/>
  <c r="O105" i="24"/>
  <c r="O106" i="24"/>
  <c r="O107" i="24"/>
  <c r="O108" i="24"/>
  <c r="O109" i="24"/>
  <c r="O110" i="24"/>
  <c r="O111" i="24"/>
  <c r="O112" i="24"/>
  <c r="O113" i="24"/>
  <c r="O114" i="24"/>
  <c r="O115" i="24"/>
  <c r="O116" i="24"/>
  <c r="O117" i="24"/>
  <c r="O118" i="24"/>
  <c r="O119" i="24"/>
  <c r="O120" i="24"/>
  <c r="O121" i="24"/>
  <c r="O122" i="24"/>
  <c r="O123" i="24"/>
  <c r="O124" i="24"/>
  <c r="O125" i="24"/>
  <c r="O126" i="24"/>
  <c r="O127" i="24"/>
  <c r="O128" i="24"/>
  <c r="O129" i="24"/>
  <c r="O130" i="24"/>
  <c r="O131" i="24"/>
  <c r="O132" i="24"/>
  <c r="O133" i="24"/>
  <c r="O134" i="24"/>
  <c r="O135" i="24"/>
  <c r="O136" i="24"/>
  <c r="O137" i="24"/>
  <c r="O138" i="24"/>
  <c r="O139" i="24"/>
  <c r="O140" i="24"/>
  <c r="O141" i="24"/>
  <c r="O142" i="24"/>
  <c r="O143" i="24"/>
  <c r="O144" i="24"/>
  <c r="O145" i="24"/>
  <c r="O146" i="24"/>
  <c r="O147" i="24"/>
  <c r="O148" i="24"/>
  <c r="O149" i="24"/>
  <c r="O150" i="24"/>
  <c r="O151" i="24"/>
  <c r="O152" i="24"/>
  <c r="O153" i="24"/>
  <c r="O154" i="24"/>
  <c r="O155" i="24"/>
  <c r="O156" i="24"/>
  <c r="O157" i="24"/>
  <c r="O158" i="24"/>
  <c r="O159" i="24"/>
  <c r="O160" i="24"/>
  <c r="O161" i="24"/>
  <c r="O162" i="24"/>
  <c r="O163" i="24"/>
  <c r="O164" i="24"/>
  <c r="O165" i="24"/>
  <c r="L133" i="37" l="1"/>
  <c r="E132" i="38"/>
  <c r="P132" i="36"/>
  <c r="E143" i="38"/>
  <c r="L144" i="37"/>
  <c r="P143" i="36"/>
  <c r="E83" i="38"/>
  <c r="L84" i="37"/>
  <c r="P83" i="36"/>
  <c r="L167" i="37"/>
  <c r="P166" i="36"/>
  <c r="E166" i="38"/>
  <c r="L95" i="37"/>
  <c r="P94" i="36"/>
  <c r="E94" i="38"/>
  <c r="L106" i="37"/>
  <c r="E105" i="38"/>
  <c r="P105" i="36"/>
  <c r="E104" i="38"/>
  <c r="L105" i="37"/>
  <c r="P104" i="36"/>
  <c r="E115" i="38"/>
  <c r="P115" i="36"/>
  <c r="L116" i="37"/>
  <c r="E103" i="38"/>
  <c r="L104" i="37"/>
  <c r="P103" i="36"/>
  <c r="E91" i="38"/>
  <c r="L92" i="37"/>
  <c r="P91" i="36"/>
  <c r="E79" i="38"/>
  <c r="P79" i="36"/>
  <c r="L80" i="37"/>
  <c r="E162" i="38"/>
  <c r="P162" i="36"/>
  <c r="L163" i="37"/>
  <c r="E150" i="38"/>
  <c r="L151" i="37"/>
  <c r="P150" i="36"/>
  <c r="E138" i="38"/>
  <c r="P138" i="36"/>
  <c r="L139" i="37"/>
  <c r="E126" i="38"/>
  <c r="L127" i="37"/>
  <c r="P126" i="36"/>
  <c r="E114" i="38"/>
  <c r="P114" i="36"/>
  <c r="L115" i="37"/>
  <c r="E102" i="38"/>
  <c r="L103" i="37"/>
  <c r="P102" i="36"/>
  <c r="E90" i="38"/>
  <c r="P90" i="36"/>
  <c r="L91" i="37"/>
  <c r="E78" i="38"/>
  <c r="L79" i="37"/>
  <c r="P78" i="36"/>
  <c r="L157" i="37"/>
  <c r="E156" i="38"/>
  <c r="P156" i="36"/>
  <c r="L97" i="37"/>
  <c r="E96" i="38"/>
  <c r="P96" i="36"/>
  <c r="E107" i="38"/>
  <c r="L108" i="37"/>
  <c r="P107" i="36"/>
  <c r="L107" i="37"/>
  <c r="E106" i="38"/>
  <c r="P106" i="36"/>
  <c r="P117" i="36"/>
  <c r="E117" i="38"/>
  <c r="L118" i="37"/>
  <c r="E140" i="38"/>
  <c r="L141" i="37"/>
  <c r="P140" i="36"/>
  <c r="E80" i="38"/>
  <c r="L81" i="37"/>
  <c r="P80" i="36"/>
  <c r="E163" i="38"/>
  <c r="P163" i="36"/>
  <c r="L164" i="37"/>
  <c r="P161" i="36"/>
  <c r="L162" i="37"/>
  <c r="E161" i="38"/>
  <c r="P101" i="36"/>
  <c r="L102" i="37"/>
  <c r="E101" i="38"/>
  <c r="E124" i="38"/>
  <c r="L125" i="37"/>
  <c r="P124" i="36"/>
  <c r="E88" i="38"/>
  <c r="P88" i="36"/>
  <c r="L89" i="37"/>
  <c r="E159" i="38"/>
  <c r="P159" i="36"/>
  <c r="L160" i="37"/>
  <c r="E147" i="38"/>
  <c r="P147" i="36"/>
  <c r="L148" i="37"/>
  <c r="E135" i="38"/>
  <c r="P135" i="36"/>
  <c r="L136" i="37"/>
  <c r="E123" i="38"/>
  <c r="P123" i="36"/>
  <c r="L124" i="37"/>
  <c r="E111" i="38"/>
  <c r="P111" i="36"/>
  <c r="L112" i="37"/>
  <c r="E99" i="38"/>
  <c r="P99" i="36"/>
  <c r="L100" i="37"/>
  <c r="E87" i="38"/>
  <c r="P87" i="36"/>
  <c r="L88" i="37"/>
  <c r="E75" i="38"/>
  <c r="P75" i="36"/>
  <c r="L76" i="37"/>
  <c r="L109" i="37"/>
  <c r="E108" i="38"/>
  <c r="P108" i="36"/>
  <c r="E119" i="38"/>
  <c r="L120" i="37"/>
  <c r="P119" i="36"/>
  <c r="L131" i="37"/>
  <c r="P130" i="36"/>
  <c r="E130" i="38"/>
  <c r="L71" i="37"/>
  <c r="E70" i="38"/>
  <c r="P70" i="36"/>
  <c r="P153" i="36"/>
  <c r="L154" i="37"/>
  <c r="E153" i="38"/>
  <c r="P81" i="36"/>
  <c r="L82" i="37"/>
  <c r="E81" i="38"/>
  <c r="E164" i="38"/>
  <c r="P164" i="36"/>
  <c r="L165" i="37"/>
  <c r="E116" i="38"/>
  <c r="P116" i="36"/>
  <c r="L117" i="37"/>
  <c r="E127" i="38"/>
  <c r="L128" i="37"/>
  <c r="P127" i="36"/>
  <c r="P125" i="36"/>
  <c r="L126" i="37"/>
  <c r="E125" i="38"/>
  <c r="E148" i="38"/>
  <c r="L149" i="37"/>
  <c r="P148" i="36"/>
  <c r="E76" i="38"/>
  <c r="L77" i="37"/>
  <c r="P76" i="36"/>
  <c r="P158" i="36"/>
  <c r="L159" i="37"/>
  <c r="E158" i="38"/>
  <c r="P146" i="36"/>
  <c r="L147" i="37"/>
  <c r="E146" i="38"/>
  <c r="P134" i="36"/>
  <c r="L135" i="37"/>
  <c r="E134" i="38"/>
  <c r="P122" i="36"/>
  <c r="L123" i="37"/>
  <c r="E122" i="38"/>
  <c r="P110" i="36"/>
  <c r="L111" i="37"/>
  <c r="E110" i="38"/>
  <c r="P98" i="36"/>
  <c r="L99" i="37"/>
  <c r="E98" i="38"/>
  <c r="P86" i="36"/>
  <c r="L87" i="37"/>
  <c r="E86" i="38"/>
  <c r="P74" i="36"/>
  <c r="L75" i="37"/>
  <c r="E74" i="38"/>
  <c r="L145" i="37"/>
  <c r="E144" i="38"/>
  <c r="P144" i="36"/>
  <c r="L121" i="37"/>
  <c r="E120" i="38"/>
  <c r="P120" i="36"/>
  <c r="L85" i="37"/>
  <c r="E84" i="38"/>
  <c r="P84" i="36"/>
  <c r="L73" i="37"/>
  <c r="E72" i="38"/>
  <c r="P72" i="36"/>
  <c r="E155" i="38"/>
  <c r="L156" i="37"/>
  <c r="P155" i="36"/>
  <c r="E131" i="38"/>
  <c r="L132" i="37"/>
  <c r="P131" i="36"/>
  <c r="E95" i="38"/>
  <c r="L96" i="37"/>
  <c r="P95" i="36"/>
  <c r="E71" i="38"/>
  <c r="L72" i="37"/>
  <c r="P71" i="36"/>
  <c r="L155" i="37"/>
  <c r="E154" i="38"/>
  <c r="P154" i="36"/>
  <c r="L143" i="37"/>
  <c r="E142" i="38"/>
  <c r="P142" i="36"/>
  <c r="L119" i="37"/>
  <c r="P118" i="36"/>
  <c r="E118" i="38"/>
  <c r="L83" i="37"/>
  <c r="P82" i="36"/>
  <c r="E82" i="38"/>
  <c r="P165" i="36"/>
  <c r="L166" i="37"/>
  <c r="E165" i="38"/>
  <c r="E141" i="38"/>
  <c r="L142" i="37"/>
  <c r="P141" i="36"/>
  <c r="P129" i="36"/>
  <c r="L130" i="37"/>
  <c r="E129" i="38"/>
  <c r="P93" i="36"/>
  <c r="L94" i="37"/>
  <c r="E93" i="38"/>
  <c r="E69" i="38"/>
  <c r="L70" i="37"/>
  <c r="P69" i="36"/>
  <c r="G2" i="24"/>
  <c r="G3" i="36"/>
  <c r="E152" i="38"/>
  <c r="L153" i="37"/>
  <c r="P152" i="36"/>
  <c r="E128" i="38"/>
  <c r="P128" i="36"/>
  <c r="L129" i="37"/>
  <c r="E92" i="38"/>
  <c r="P92" i="36"/>
  <c r="L93" i="37"/>
  <c r="M3" i="36"/>
  <c r="C4" i="37"/>
  <c r="E151" i="38"/>
  <c r="L152" i="37"/>
  <c r="P151" i="36"/>
  <c r="E139" i="38"/>
  <c r="L140" i="37"/>
  <c r="P139" i="36"/>
  <c r="P149" i="36"/>
  <c r="L150" i="37"/>
  <c r="E149" i="38"/>
  <c r="P137" i="36"/>
  <c r="E137" i="38"/>
  <c r="L138" i="37"/>
  <c r="P113" i="36"/>
  <c r="L114" i="37"/>
  <c r="E113" i="38"/>
  <c r="P89" i="36"/>
  <c r="L90" i="37"/>
  <c r="E89" i="38"/>
  <c r="P77" i="36"/>
  <c r="L78" i="37"/>
  <c r="E77" i="38"/>
  <c r="E160" i="38"/>
  <c r="L161" i="37"/>
  <c r="P160" i="36"/>
  <c r="E136" i="38"/>
  <c r="P136" i="36"/>
  <c r="L137" i="37"/>
  <c r="E112" i="38"/>
  <c r="P112" i="36"/>
  <c r="L113" i="37"/>
  <c r="E100" i="38"/>
  <c r="L101" i="37"/>
  <c r="P100" i="36"/>
  <c r="P157" i="36"/>
  <c r="L158" i="37"/>
  <c r="E157" i="38"/>
  <c r="P145" i="36"/>
  <c r="L146" i="37"/>
  <c r="E145" i="38"/>
  <c r="P133" i="36"/>
  <c r="L134" i="37"/>
  <c r="E133" i="38"/>
  <c r="P121" i="36"/>
  <c r="L122" i="37"/>
  <c r="E121" i="38"/>
  <c r="P109" i="36"/>
  <c r="L110" i="37"/>
  <c r="E109" i="38"/>
  <c r="P97" i="36"/>
  <c r="L98" i="37"/>
  <c r="E97" i="38"/>
  <c r="P85" i="36"/>
  <c r="L86" i="37"/>
  <c r="E85" i="38"/>
  <c r="P73" i="36"/>
  <c r="L74" i="37"/>
  <c r="E73" i="38"/>
  <c r="A3" i="38"/>
  <c r="I4" i="37"/>
  <c r="P68" i="36"/>
  <c r="L69" i="37"/>
  <c r="E68" i="38"/>
  <c r="H30" i="38"/>
  <c r="V30" i="36"/>
  <c r="F30" i="38"/>
  <c r="C30" i="38"/>
  <c r="M31" i="37"/>
  <c r="A31" i="37" s="1"/>
  <c r="F29" i="38"/>
  <c r="V29" i="36"/>
  <c r="H29" i="38"/>
  <c r="C29" i="38"/>
  <c r="M30" i="37"/>
  <c r="A30" i="37" s="1"/>
  <c r="C9" i="38"/>
  <c r="F9" i="38"/>
  <c r="H9" i="38"/>
  <c r="V9" i="36"/>
  <c r="M10" i="37"/>
  <c r="A10" i="37" s="1"/>
  <c r="V56" i="36"/>
  <c r="M57" i="37"/>
  <c r="A57" i="37" s="1"/>
  <c r="F56" i="38"/>
  <c r="C56" i="38"/>
  <c r="H56" i="38"/>
  <c r="H55" i="38"/>
  <c r="M56" i="37"/>
  <c r="A56" i="37" s="1"/>
  <c r="F55" i="38"/>
  <c r="C55" i="38"/>
  <c r="V55" i="36"/>
  <c r="C62" i="38"/>
  <c r="M63" i="37"/>
  <c r="A63" i="37" s="1"/>
  <c r="F62" i="38"/>
  <c r="H62" i="38"/>
  <c r="V62" i="36"/>
  <c r="M62" i="37"/>
  <c r="A62" i="37" s="1"/>
  <c r="V61" i="36"/>
  <c r="F61" i="38"/>
  <c r="H61" i="38"/>
  <c r="C61" i="38"/>
  <c r="V58" i="36"/>
  <c r="C58" i="38"/>
  <c r="H58" i="38"/>
  <c r="F58" i="38"/>
  <c r="M59" i="37"/>
  <c r="A59" i="37" s="1"/>
  <c r="H49" i="38"/>
  <c r="V49" i="36"/>
  <c r="M50" i="37"/>
  <c r="A50" i="37" s="1"/>
  <c r="C49" i="38"/>
  <c r="F49" i="38"/>
  <c r="C50" i="38"/>
  <c r="H50" i="38"/>
  <c r="M51" i="37"/>
  <c r="A51" i="37" s="1"/>
  <c r="V50" i="36"/>
  <c r="F50" i="38"/>
  <c r="V43" i="36"/>
  <c r="C43" i="38"/>
  <c r="F43" i="38"/>
  <c r="H43" i="38"/>
  <c r="M44" i="37"/>
  <c r="A44" i="37" s="1"/>
  <c r="J59" i="24"/>
  <c r="K22" i="21"/>
  <c r="J56" i="24"/>
  <c r="K21" i="21"/>
  <c r="J30" i="24"/>
  <c r="N27" i="19"/>
  <c r="J27" i="24"/>
  <c r="N25" i="19"/>
  <c r="J24" i="24"/>
  <c r="N24" i="19"/>
  <c r="J47" i="24"/>
  <c r="J46" i="24"/>
  <c r="J45" i="24"/>
  <c r="K10" i="21"/>
  <c r="J9" i="24"/>
  <c r="J11" i="24"/>
  <c r="J6" i="24"/>
  <c r="J4" i="24"/>
  <c r="N10" i="19"/>
  <c r="J23" i="24"/>
  <c r="N23" i="19"/>
  <c r="J3" i="24"/>
  <c r="J31" i="24"/>
  <c r="J25" i="24"/>
  <c r="J7" i="24"/>
  <c r="J10" i="24"/>
  <c r="J22" i="24"/>
  <c r="J43" i="24"/>
  <c r="J58" i="24"/>
  <c r="J44" i="24"/>
  <c r="J26" i="24"/>
  <c r="J5" i="24"/>
  <c r="J2" i="24"/>
  <c r="N34" i="19" l="1"/>
  <c r="K31" i="21"/>
  <c r="N19" i="19"/>
  <c r="K16" i="21"/>
  <c r="A3" i="36"/>
  <c r="E4" i="37"/>
  <c r="V25" i="36"/>
  <c r="C25" i="38"/>
  <c r="F25" i="38"/>
  <c r="M26" i="37"/>
  <c r="A26" i="37" s="1"/>
  <c r="H25" i="38"/>
  <c r="C28" i="38"/>
  <c r="V28" i="36"/>
  <c r="M29" i="37"/>
  <c r="A29" i="37" s="1"/>
  <c r="F28" i="38"/>
  <c r="H28" i="38"/>
  <c r="V31" i="36"/>
  <c r="C31" i="38"/>
  <c r="F31" i="38"/>
  <c r="H31" i="38"/>
  <c r="M32" i="37"/>
  <c r="A32" i="37" s="1"/>
  <c r="H26" i="38"/>
  <c r="V26" i="36"/>
  <c r="M27" i="37"/>
  <c r="A27" i="37" s="1"/>
  <c r="C26" i="38"/>
  <c r="F26" i="38"/>
  <c r="M33" i="37"/>
  <c r="A33" i="37" s="1"/>
  <c r="F32" i="38"/>
  <c r="H32" i="38"/>
  <c r="V32" i="36"/>
  <c r="C32" i="38"/>
  <c r="C27" i="38"/>
  <c r="M28" i="37"/>
  <c r="A28" i="37" s="1"/>
  <c r="F27" i="38"/>
  <c r="H27" i="38"/>
  <c r="V27" i="36"/>
  <c r="F23" i="38"/>
  <c r="M24" i="37"/>
  <c r="A24" i="37" s="1"/>
  <c r="V23" i="36"/>
  <c r="C23" i="38"/>
  <c r="H23" i="38"/>
  <c r="H24" i="38"/>
  <c r="M25" i="37"/>
  <c r="A25" i="37" s="1"/>
  <c r="C24" i="38"/>
  <c r="F24" i="38"/>
  <c r="V24" i="36"/>
  <c r="V5" i="36"/>
  <c r="M6" i="37"/>
  <c r="A6" i="37" s="1"/>
  <c r="C5" i="38"/>
  <c r="F5" i="38"/>
  <c r="H5" i="38"/>
  <c r="C7" i="38"/>
  <c r="V7" i="36"/>
  <c r="F7" i="38"/>
  <c r="H7" i="38"/>
  <c r="M8" i="37"/>
  <c r="A8" i="37" s="1"/>
  <c r="F11" i="38"/>
  <c r="H11" i="38"/>
  <c r="V11" i="36"/>
  <c r="M12" i="37"/>
  <c r="A12" i="37" s="1"/>
  <c r="C11" i="38"/>
  <c r="C12" i="38"/>
  <c r="F12" i="38"/>
  <c r="H12" i="38"/>
  <c r="V12" i="36"/>
  <c r="M13" i="37"/>
  <c r="A13" i="37" s="1"/>
  <c r="V8" i="36"/>
  <c r="M9" i="37"/>
  <c r="A9" i="37" s="1"/>
  <c r="C8" i="38"/>
  <c r="F8" i="38"/>
  <c r="H8" i="38"/>
  <c r="C10" i="38"/>
  <c r="V10" i="36"/>
  <c r="F10" i="38"/>
  <c r="H10" i="38"/>
  <c r="M11" i="37"/>
  <c r="A11" i="37" s="1"/>
  <c r="H3" i="38"/>
  <c r="F3" i="38"/>
  <c r="H6" i="38"/>
  <c r="V6" i="36"/>
  <c r="M7" i="37"/>
  <c r="A7" i="37" s="1"/>
  <c r="C6" i="38"/>
  <c r="F6" i="38"/>
  <c r="H59" i="38"/>
  <c r="C59" i="38"/>
  <c r="M60" i="37"/>
  <c r="A60" i="37" s="1"/>
  <c r="F59" i="38"/>
  <c r="V59" i="36"/>
  <c r="C57" i="38"/>
  <c r="F57" i="38"/>
  <c r="V57" i="36"/>
  <c r="M58" i="37"/>
  <c r="A58" i="37" s="1"/>
  <c r="H57" i="38"/>
  <c r="C60" i="38"/>
  <c r="F60" i="38"/>
  <c r="V60" i="36"/>
  <c r="H60" i="38"/>
  <c r="M61" i="37"/>
  <c r="A61" i="37" s="1"/>
  <c r="M46" i="37"/>
  <c r="A46" i="37" s="1"/>
  <c r="C45" i="38"/>
  <c r="V45" i="36"/>
  <c r="F45" i="38"/>
  <c r="H45" i="38"/>
  <c r="F47" i="38"/>
  <c r="C47" i="38"/>
  <c r="H47" i="38"/>
  <c r="M48" i="37"/>
  <c r="A48" i="37" s="1"/>
  <c r="V47" i="36"/>
  <c r="F46" i="38"/>
  <c r="H46" i="38"/>
  <c r="M47" i="37"/>
  <c r="A47" i="37" s="1"/>
  <c r="V46" i="36"/>
  <c r="C46" i="38"/>
  <c r="V48" i="36"/>
  <c r="M49" i="37"/>
  <c r="A49" i="37" s="1"/>
  <c r="C48" i="38"/>
  <c r="H48" i="38"/>
  <c r="F48" i="38"/>
  <c r="M45" i="37"/>
  <c r="A45" i="37" s="1"/>
  <c r="V44" i="36"/>
  <c r="H44" i="38"/>
  <c r="C44" i="38"/>
  <c r="F44" i="38"/>
  <c r="C3" i="38"/>
  <c r="V3" i="36"/>
  <c r="M4" i="37"/>
  <c r="A4" i="37" s="1"/>
  <c r="G4" i="37" s="1"/>
  <c r="V4" i="36"/>
  <c r="C4" i="38"/>
  <c r="F4" i="38"/>
  <c r="H4" i="38"/>
  <c r="M5" i="37"/>
  <c r="A5" i="37" s="1"/>
  <c r="O114" i="32"/>
  <c r="O113" i="32"/>
  <c r="O112" i="32"/>
  <c r="O9" i="32"/>
  <c r="O8" i="32"/>
  <c r="O7" i="32"/>
  <c r="N115" i="32"/>
  <c r="M115" i="32"/>
  <c r="L115" i="32"/>
  <c r="K115" i="32"/>
  <c r="J115" i="32"/>
  <c r="I115" i="32"/>
  <c r="H115" i="32"/>
  <c r="G115" i="32"/>
  <c r="F115" i="32"/>
  <c r="E115" i="32"/>
  <c r="D115" i="32"/>
  <c r="C115" i="32"/>
  <c r="N108" i="32"/>
  <c r="M108" i="32"/>
  <c r="L108" i="32"/>
  <c r="K108" i="32"/>
  <c r="J108" i="32"/>
  <c r="I108" i="32"/>
  <c r="H108" i="32"/>
  <c r="G108" i="32"/>
  <c r="F108" i="32"/>
  <c r="E108" i="32"/>
  <c r="D108" i="32"/>
  <c r="C108" i="32"/>
  <c r="O107" i="32"/>
  <c r="O106" i="32"/>
  <c r="O105" i="32"/>
  <c r="N101" i="32"/>
  <c r="M101" i="32"/>
  <c r="L101" i="32"/>
  <c r="K101" i="32"/>
  <c r="J101" i="32"/>
  <c r="I101" i="32"/>
  <c r="H101" i="32"/>
  <c r="G101" i="32"/>
  <c r="F101" i="32"/>
  <c r="E101" i="32"/>
  <c r="D101" i="32"/>
  <c r="C101" i="32"/>
  <c r="O100" i="32"/>
  <c r="O99" i="32"/>
  <c r="O98" i="32"/>
  <c r="O101" i="32" s="1"/>
  <c r="N94" i="32"/>
  <c r="M94" i="32"/>
  <c r="L94" i="32"/>
  <c r="K94" i="32"/>
  <c r="J94" i="32"/>
  <c r="I94" i="32"/>
  <c r="H94" i="32"/>
  <c r="G94" i="32"/>
  <c r="F94" i="32"/>
  <c r="E94" i="32"/>
  <c r="D94" i="32"/>
  <c r="C94" i="32"/>
  <c r="O93" i="32"/>
  <c r="O92" i="32"/>
  <c r="O91" i="32"/>
  <c r="N87" i="32"/>
  <c r="M87" i="32"/>
  <c r="L87" i="32"/>
  <c r="K87" i="32"/>
  <c r="J87" i="32"/>
  <c r="I87" i="32"/>
  <c r="H87" i="32"/>
  <c r="G87" i="32"/>
  <c r="F87" i="32"/>
  <c r="E87" i="32"/>
  <c r="D87" i="32"/>
  <c r="C87" i="32"/>
  <c r="O86" i="32"/>
  <c r="O85" i="32"/>
  <c r="O84" i="32"/>
  <c r="N80" i="32"/>
  <c r="M80" i="32"/>
  <c r="L80" i="32"/>
  <c r="K80" i="32"/>
  <c r="J80" i="32"/>
  <c r="I80" i="32"/>
  <c r="H80" i="32"/>
  <c r="G80" i="32"/>
  <c r="F80" i="32"/>
  <c r="E80" i="32"/>
  <c r="D80" i="32"/>
  <c r="C80" i="32"/>
  <c r="O79" i="32"/>
  <c r="O78" i="32"/>
  <c r="O77" i="32"/>
  <c r="N73" i="32"/>
  <c r="M73" i="32"/>
  <c r="L73" i="32"/>
  <c r="K73" i="32"/>
  <c r="J73" i="32"/>
  <c r="I73" i="32"/>
  <c r="H73" i="32"/>
  <c r="G73" i="32"/>
  <c r="F73" i="32"/>
  <c r="E73" i="32"/>
  <c r="D73" i="32"/>
  <c r="C73" i="32"/>
  <c r="O72" i="32"/>
  <c r="O71" i="32"/>
  <c r="O70" i="32"/>
  <c r="O73" i="32" s="1"/>
  <c r="N66" i="32"/>
  <c r="M66" i="32"/>
  <c r="L66" i="32"/>
  <c r="K66" i="32"/>
  <c r="J66" i="32"/>
  <c r="I66" i="32"/>
  <c r="H66" i="32"/>
  <c r="G66" i="32"/>
  <c r="F66" i="32"/>
  <c r="E66" i="32"/>
  <c r="D66" i="32"/>
  <c r="C66" i="32"/>
  <c r="O65" i="32"/>
  <c r="O64" i="32"/>
  <c r="O63" i="32"/>
  <c r="N59" i="32"/>
  <c r="M59" i="32"/>
  <c r="L59" i="32"/>
  <c r="K59" i="32"/>
  <c r="J59" i="32"/>
  <c r="I59" i="32"/>
  <c r="H59" i="32"/>
  <c r="G59" i="32"/>
  <c r="F59" i="32"/>
  <c r="E59" i="32"/>
  <c r="D59" i="32"/>
  <c r="C59" i="32"/>
  <c r="O58" i="32"/>
  <c r="O57" i="32"/>
  <c r="O56" i="32"/>
  <c r="O59" i="32" s="1"/>
  <c r="N52" i="32"/>
  <c r="M52" i="32"/>
  <c r="L52" i="32"/>
  <c r="K52" i="32"/>
  <c r="J52" i="32"/>
  <c r="I52" i="32"/>
  <c r="H52" i="32"/>
  <c r="G52" i="32"/>
  <c r="F52" i="32"/>
  <c r="E52" i="32"/>
  <c r="D52" i="32"/>
  <c r="C52" i="32"/>
  <c r="O51" i="32"/>
  <c r="O50" i="32"/>
  <c r="O49" i="32"/>
  <c r="N45" i="32"/>
  <c r="M45" i="32"/>
  <c r="L45" i="32"/>
  <c r="K45" i="32"/>
  <c r="J45" i="32"/>
  <c r="I45" i="32"/>
  <c r="H45" i="32"/>
  <c r="G45" i="32"/>
  <c r="F45" i="32"/>
  <c r="E45" i="32"/>
  <c r="D45" i="32"/>
  <c r="C45" i="32"/>
  <c r="O44" i="32"/>
  <c r="O43" i="32"/>
  <c r="O42" i="32"/>
  <c r="N38" i="32"/>
  <c r="M38" i="32"/>
  <c r="L38" i="32"/>
  <c r="K38" i="32"/>
  <c r="J38" i="32"/>
  <c r="I38" i="32"/>
  <c r="H38" i="32"/>
  <c r="G38" i="32"/>
  <c r="F38" i="32"/>
  <c r="E38" i="32"/>
  <c r="D38" i="32"/>
  <c r="C38" i="32"/>
  <c r="O37" i="32"/>
  <c r="O36" i="32"/>
  <c r="O35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O30" i="32"/>
  <c r="O29" i="32"/>
  <c r="O28" i="32"/>
  <c r="O31" i="32" s="1"/>
  <c r="N24" i="32"/>
  <c r="M24" i="32"/>
  <c r="L24" i="32"/>
  <c r="K24" i="32"/>
  <c r="J24" i="32"/>
  <c r="I24" i="32"/>
  <c r="H24" i="32"/>
  <c r="G24" i="32"/>
  <c r="F24" i="32"/>
  <c r="E24" i="32"/>
  <c r="D24" i="32"/>
  <c r="C24" i="32"/>
  <c r="O23" i="32"/>
  <c r="O22" i="32"/>
  <c r="O21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O16" i="32"/>
  <c r="O15" i="32"/>
  <c r="O14" i="32"/>
  <c r="O17" i="32" s="1"/>
  <c r="N10" i="32"/>
  <c r="M10" i="32"/>
  <c r="L10" i="32"/>
  <c r="K10" i="32"/>
  <c r="J10" i="32"/>
  <c r="I10" i="32"/>
  <c r="H10" i="32"/>
  <c r="G10" i="32"/>
  <c r="F10" i="32"/>
  <c r="E10" i="32"/>
  <c r="E118" i="32" s="1"/>
  <c r="D10" i="32"/>
  <c r="D118" i="32" s="1"/>
  <c r="C10" i="32"/>
  <c r="C118" i="32" s="1"/>
  <c r="B117" i="32"/>
  <c r="O117" i="32" s="1"/>
  <c r="O87" i="32" l="1"/>
  <c r="O52" i="32"/>
  <c r="O66" i="32"/>
  <c r="O80" i="32"/>
  <c r="O94" i="32"/>
  <c r="O45" i="32"/>
  <c r="O38" i="32"/>
  <c r="O24" i="32"/>
  <c r="H118" i="32"/>
  <c r="O108" i="32"/>
  <c r="F118" i="32"/>
  <c r="G118" i="32"/>
  <c r="J118" i="32"/>
  <c r="K118" i="32"/>
  <c r="N118" i="32"/>
  <c r="M118" i="32"/>
  <c r="L118" i="32"/>
  <c r="I118" i="32"/>
  <c r="O115" i="32"/>
  <c r="G5" i="37"/>
  <c r="G6" i="37" s="1"/>
  <c r="G7" i="37" s="1"/>
  <c r="G8" i="37" s="1"/>
  <c r="G9" i="37" s="1"/>
  <c r="G10" i="37" s="1"/>
  <c r="G11" i="37" s="1"/>
  <c r="G12" i="37" s="1"/>
  <c r="G13" i="37" s="1"/>
  <c r="G14" i="37" s="1"/>
  <c r="G15" i="37" s="1"/>
  <c r="G16" i="37" s="1"/>
  <c r="G17" i="37" s="1"/>
  <c r="G18" i="37" s="1"/>
  <c r="G19" i="37" s="1"/>
  <c r="G20" i="37" s="1"/>
  <c r="G21" i="37" s="1"/>
  <c r="G22" i="37" s="1"/>
  <c r="G23" i="37" s="1"/>
  <c r="G24" i="37" s="1"/>
  <c r="G25" i="37" s="1"/>
  <c r="G26" i="37" s="1"/>
  <c r="G27" i="37" s="1"/>
  <c r="G28" i="37" s="1"/>
  <c r="G29" i="37" s="1"/>
  <c r="G30" i="37" s="1"/>
  <c r="G31" i="37" s="1"/>
  <c r="G32" i="37" s="1"/>
  <c r="G33" i="37" s="1"/>
  <c r="G34" i="37" s="1"/>
  <c r="G35" i="37" s="1"/>
  <c r="G36" i="37" s="1"/>
  <c r="G37" i="37" s="1"/>
  <c r="G38" i="37" s="1"/>
  <c r="G39" i="37" s="1"/>
  <c r="G40" i="37" s="1"/>
  <c r="G41" i="37" s="1"/>
  <c r="G42" i="37" s="1"/>
  <c r="G43" i="37" s="1"/>
  <c r="G44" i="37" s="1"/>
  <c r="G45" i="37" s="1"/>
  <c r="G46" i="37" s="1"/>
  <c r="G47" i="37" s="1"/>
  <c r="G48" i="37" s="1"/>
  <c r="G49" i="37" s="1"/>
  <c r="G50" i="37" s="1"/>
  <c r="G51" i="37" s="1"/>
  <c r="G52" i="37" s="1"/>
  <c r="G53" i="37" s="1"/>
  <c r="G54" i="37" s="1"/>
  <c r="G55" i="37" s="1"/>
  <c r="G56" i="37" s="1"/>
  <c r="G57" i="37" s="1"/>
  <c r="G58" i="37" s="1"/>
  <c r="G59" i="37" s="1"/>
  <c r="G60" i="37" s="1"/>
  <c r="G61" i="37" s="1"/>
  <c r="G62" i="37" s="1"/>
  <c r="G63" i="37" s="1"/>
  <c r="G64" i="37" s="1"/>
  <c r="G65" i="37" s="1"/>
  <c r="G66" i="37" s="1"/>
  <c r="G67" i="37" s="1"/>
  <c r="O60" i="24"/>
  <c r="O61" i="24"/>
  <c r="O58" i="24"/>
  <c r="O59" i="24"/>
  <c r="O57" i="24"/>
  <c r="O56" i="24"/>
  <c r="O55" i="24"/>
  <c r="O54" i="24"/>
  <c r="O27" i="24"/>
  <c r="O26" i="24"/>
  <c r="O29" i="24"/>
  <c r="O28" i="24"/>
  <c r="O25" i="24"/>
  <c r="O24" i="24"/>
  <c r="O31" i="24"/>
  <c r="O30" i="24"/>
  <c r="B18" i="27"/>
  <c r="B37" i="27"/>
  <c r="O48" i="24"/>
  <c r="O49" i="24"/>
  <c r="B36" i="27"/>
  <c r="B17" i="27"/>
  <c r="O47" i="24"/>
  <c r="O46" i="24"/>
  <c r="B35" i="27"/>
  <c r="B16" i="27"/>
  <c r="O45" i="24"/>
  <c r="O44" i="24"/>
  <c r="B34" i="27"/>
  <c r="K63" i="24" s="1"/>
  <c r="O43" i="24"/>
  <c r="O42" i="24"/>
  <c r="B15" i="27"/>
  <c r="B25" i="27"/>
  <c r="O5" i="24"/>
  <c r="O4" i="24"/>
  <c r="B6" i="27"/>
  <c r="B26" i="27"/>
  <c r="O7" i="24"/>
  <c r="O6" i="24"/>
  <c r="B7" i="27"/>
  <c r="B27" i="27"/>
  <c r="O9" i="24"/>
  <c r="O8" i="24"/>
  <c r="B8" i="27"/>
  <c r="B28" i="27"/>
  <c r="O10" i="24"/>
  <c r="O11" i="24"/>
  <c r="B9" i="27"/>
  <c r="B24" i="27"/>
  <c r="O3" i="24"/>
  <c r="O2" i="24"/>
  <c r="B5" i="27"/>
  <c r="O10" i="32"/>
  <c r="O118" i="32" l="1"/>
  <c r="O120" i="32" s="1"/>
  <c r="O125" i="32" s="1"/>
  <c r="K31" i="24"/>
  <c r="K27" i="24"/>
  <c r="K29" i="24"/>
  <c r="K25" i="24"/>
  <c r="K11" i="24"/>
  <c r="K9" i="24"/>
  <c r="K7" i="24"/>
  <c r="K5" i="24"/>
  <c r="K59" i="24"/>
  <c r="K57" i="24"/>
  <c r="K61" i="24"/>
  <c r="K49" i="24"/>
  <c r="K47" i="24"/>
  <c r="K45" i="24"/>
  <c r="K53" i="24"/>
  <c r="K3" i="24"/>
  <c r="B4" i="38" s="1"/>
  <c r="K21" i="24"/>
  <c r="O22" i="36" s="1"/>
  <c r="K43" i="24"/>
  <c r="B44" i="38" s="1"/>
  <c r="K55" i="24"/>
  <c r="K23" i="24"/>
  <c r="K41" i="24"/>
  <c r="K65" i="24"/>
  <c r="E57" i="38"/>
  <c r="L58" i="37"/>
  <c r="P57" i="36"/>
  <c r="L59" i="37"/>
  <c r="P58" i="36"/>
  <c r="E58" i="38"/>
  <c r="E60" i="38"/>
  <c r="L61" i="37"/>
  <c r="P60" i="36"/>
  <c r="L60" i="37"/>
  <c r="P59" i="36"/>
  <c r="E59" i="38"/>
  <c r="E62" i="38"/>
  <c r="L63" i="37"/>
  <c r="P62" i="36"/>
  <c r="L62" i="37"/>
  <c r="P61" i="36"/>
  <c r="E61" i="38"/>
  <c r="E55" i="38"/>
  <c r="L56" i="37"/>
  <c r="P55" i="36"/>
  <c r="L57" i="37"/>
  <c r="P56" i="36"/>
  <c r="E56" i="38"/>
  <c r="E45" i="38"/>
  <c r="P45" i="36"/>
  <c r="L46" i="37"/>
  <c r="E47" i="38"/>
  <c r="P47" i="36"/>
  <c r="L48" i="37"/>
  <c r="E50" i="38"/>
  <c r="P50" i="36"/>
  <c r="L51" i="37"/>
  <c r="E49" i="38"/>
  <c r="P49" i="36"/>
  <c r="L50" i="37"/>
  <c r="E48" i="38"/>
  <c r="P48" i="36"/>
  <c r="L49" i="37"/>
  <c r="P46" i="36"/>
  <c r="E46" i="38"/>
  <c r="L47" i="37"/>
  <c r="E44" i="38"/>
  <c r="L45" i="37"/>
  <c r="P44" i="36"/>
  <c r="E43" i="38"/>
  <c r="P43" i="36"/>
  <c r="L44" i="37"/>
  <c r="L25" i="37"/>
  <c r="P24" i="36"/>
  <c r="E24" i="38"/>
  <c r="E25" i="38"/>
  <c r="L26" i="37"/>
  <c r="P25" i="36"/>
  <c r="L27" i="37"/>
  <c r="E26" i="38"/>
  <c r="P26" i="36"/>
  <c r="E23" i="38"/>
  <c r="L24" i="37"/>
  <c r="P23" i="36"/>
  <c r="E29" i="38"/>
  <c r="L30" i="37"/>
  <c r="P29" i="36"/>
  <c r="E30" i="38"/>
  <c r="L31" i="37"/>
  <c r="P30" i="36"/>
  <c r="E27" i="38"/>
  <c r="L28" i="37"/>
  <c r="P27" i="36"/>
  <c r="E28" i="38"/>
  <c r="L29" i="37"/>
  <c r="P28" i="36"/>
  <c r="P31" i="36"/>
  <c r="E31" i="38"/>
  <c r="L32" i="37"/>
  <c r="P32" i="36"/>
  <c r="E32" i="38"/>
  <c r="L33" i="37"/>
  <c r="L12" i="37"/>
  <c r="P11" i="36"/>
  <c r="E11" i="38"/>
  <c r="P10" i="36"/>
  <c r="E10" i="38"/>
  <c r="L11" i="37"/>
  <c r="P7" i="36"/>
  <c r="E7" i="38"/>
  <c r="L8" i="37"/>
  <c r="E8" i="38"/>
  <c r="P8" i="36"/>
  <c r="L9" i="37"/>
  <c r="P9" i="36"/>
  <c r="E9" i="38"/>
  <c r="L10" i="37"/>
  <c r="L6" i="37"/>
  <c r="E5" i="38"/>
  <c r="P5" i="36"/>
  <c r="E6" i="38"/>
  <c r="P6" i="36"/>
  <c r="L7" i="37"/>
  <c r="L13" i="37"/>
  <c r="P12" i="36"/>
  <c r="E12" i="38"/>
  <c r="L4" i="37"/>
  <c r="E3" i="38"/>
  <c r="P3" i="36"/>
  <c r="P4" i="36"/>
  <c r="E4" i="38"/>
  <c r="L5" i="37"/>
  <c r="B6" i="38" l="1"/>
  <c r="O6" i="36"/>
  <c r="H7" i="37"/>
  <c r="O8" i="36"/>
  <c r="B8" i="38"/>
  <c r="H9" i="37"/>
  <c r="H11" i="37"/>
  <c r="O10" i="36"/>
  <c r="B10" i="38"/>
  <c r="H13" i="37"/>
  <c r="O12" i="36"/>
  <c r="B12" i="38"/>
  <c r="O44" i="36"/>
  <c r="H45" i="37"/>
  <c r="B22" i="38"/>
  <c r="H23" i="37"/>
  <c r="O4" i="36"/>
  <c r="H5" i="37"/>
  <c r="O28" i="36"/>
  <c r="H29" i="37"/>
  <c r="B28" i="38"/>
  <c r="B32" i="38"/>
  <c r="H33" i="37"/>
  <c r="O32" i="36"/>
  <c r="H27" i="37"/>
  <c r="O26" i="36"/>
  <c r="B26" i="38"/>
  <c r="H31" i="37"/>
  <c r="B30" i="38"/>
  <c r="O30" i="36"/>
  <c r="B34" i="38"/>
  <c r="O34" i="36"/>
  <c r="H35" i="37"/>
  <c r="H43" i="37"/>
  <c r="B42" i="38"/>
  <c r="O42" i="36"/>
  <c r="B36" i="38"/>
  <c r="O36" i="36"/>
  <c r="H37" i="37"/>
  <c r="H39" i="37"/>
  <c r="O38" i="36"/>
  <c r="B38" i="38"/>
  <c r="O40" i="36"/>
  <c r="H41" i="37"/>
  <c r="B40" i="38"/>
  <c r="B24" i="38"/>
  <c r="O24" i="36"/>
  <c r="H25" i="37"/>
  <c r="B52" i="38"/>
  <c r="O52" i="36"/>
  <c r="H53" i="37"/>
  <c r="O50" i="36"/>
  <c r="B50" i="38"/>
  <c r="H51" i="37"/>
  <c r="O56" i="36"/>
  <c r="B56" i="38"/>
  <c r="H57" i="37"/>
  <c r="O62" i="36"/>
  <c r="B62" i="38"/>
  <c r="H63" i="37"/>
  <c r="O54" i="36"/>
  <c r="B54" i="38"/>
  <c r="H55" i="37"/>
  <c r="B58" i="38"/>
  <c r="H59" i="37"/>
  <c r="O58" i="36"/>
  <c r="B64" i="38"/>
  <c r="H65" i="37"/>
  <c r="O64" i="36"/>
  <c r="B46" i="38"/>
  <c r="H47" i="37"/>
  <c r="O46" i="36"/>
  <c r="O48" i="36"/>
  <c r="H49" i="37"/>
  <c r="B48" i="38"/>
  <c r="H67" i="37"/>
  <c r="O66" i="36"/>
  <c r="B66" i="38"/>
  <c r="O60" i="36"/>
  <c r="H61" i="37"/>
  <c r="B60" i="38"/>
  <c r="H7" i="30" l="1"/>
  <c r="I7" i="30" s="1"/>
  <c r="H8" i="30"/>
  <c r="I8" i="30" s="1"/>
  <c r="K8" i="30" s="1"/>
  <c r="H9" i="30"/>
  <c r="I9" i="30" s="1"/>
  <c r="K9" i="30" s="1"/>
  <c r="H10" i="30"/>
  <c r="I10" i="30" s="1"/>
  <c r="K10" i="30" s="1"/>
  <c r="I11" i="30"/>
  <c r="K11" i="30" s="1"/>
  <c r="I12" i="30"/>
  <c r="I13" i="30"/>
  <c r="H14" i="30"/>
  <c r="I14" i="30" s="1"/>
  <c r="H15" i="30"/>
  <c r="I15" i="30" s="1"/>
  <c r="H16" i="30"/>
  <c r="I16" i="30" s="1"/>
  <c r="H17" i="30"/>
  <c r="I17" i="30" s="1"/>
  <c r="H18" i="30"/>
  <c r="I18" i="30" s="1"/>
  <c r="K18" i="30" s="1"/>
  <c r="I6" i="30"/>
  <c r="K6" i="30" s="1"/>
  <c r="J162" i="24" l="1"/>
  <c r="J163" i="24"/>
  <c r="J130" i="24"/>
  <c r="J131" i="24"/>
  <c r="J98" i="24"/>
  <c r="J99" i="24"/>
  <c r="J128" i="24"/>
  <c r="J129" i="24"/>
  <c r="J96" i="24"/>
  <c r="J97" i="24"/>
  <c r="J158" i="24"/>
  <c r="J159" i="24"/>
  <c r="J126" i="24"/>
  <c r="J127" i="24"/>
  <c r="J94" i="24"/>
  <c r="J95" i="24"/>
  <c r="J154" i="24"/>
  <c r="J155" i="24"/>
  <c r="J122" i="24"/>
  <c r="J123" i="24"/>
  <c r="J90" i="24"/>
  <c r="J91" i="24"/>
  <c r="J152" i="24"/>
  <c r="J153" i="24"/>
  <c r="J120" i="24"/>
  <c r="J121" i="24"/>
  <c r="J88" i="24"/>
  <c r="J89" i="24"/>
  <c r="J156" i="24"/>
  <c r="J157" i="24"/>
  <c r="J150" i="24"/>
  <c r="J151" i="24"/>
  <c r="J118" i="24"/>
  <c r="J119" i="24"/>
  <c r="J86" i="24"/>
  <c r="J87" i="24"/>
  <c r="J92" i="24"/>
  <c r="J93" i="24"/>
  <c r="J148" i="24"/>
  <c r="J149" i="24"/>
  <c r="J116" i="24"/>
  <c r="J117" i="24"/>
  <c r="J84" i="24"/>
  <c r="J85" i="24"/>
  <c r="J146" i="24"/>
  <c r="J147" i="24"/>
  <c r="J114" i="24"/>
  <c r="J115" i="24"/>
  <c r="J82" i="24"/>
  <c r="J83" i="24"/>
  <c r="J144" i="24"/>
  <c r="J145" i="24"/>
  <c r="J112" i="24"/>
  <c r="J113" i="24"/>
  <c r="J80" i="24"/>
  <c r="J81" i="24"/>
  <c r="J124" i="24"/>
  <c r="J125" i="24"/>
  <c r="J142" i="24"/>
  <c r="J143" i="24"/>
  <c r="J110" i="24"/>
  <c r="J111" i="24"/>
  <c r="J78" i="24"/>
  <c r="J79" i="24"/>
  <c r="J108" i="24"/>
  <c r="J109" i="24"/>
  <c r="J138" i="24"/>
  <c r="J139" i="24"/>
  <c r="J106" i="24"/>
  <c r="J107" i="24"/>
  <c r="J74" i="24"/>
  <c r="J75" i="24"/>
  <c r="J76" i="24"/>
  <c r="J77" i="24"/>
  <c r="J136" i="24"/>
  <c r="J137" i="24"/>
  <c r="J104" i="24"/>
  <c r="J105" i="24"/>
  <c r="J72" i="24"/>
  <c r="J73" i="24"/>
  <c r="J160" i="24"/>
  <c r="J161" i="24"/>
  <c r="J134" i="24"/>
  <c r="J135" i="24"/>
  <c r="J102" i="24"/>
  <c r="J103" i="24"/>
  <c r="J70" i="24"/>
  <c r="J71" i="24"/>
  <c r="J140" i="24"/>
  <c r="J141" i="24"/>
  <c r="J164" i="24"/>
  <c r="J165" i="24"/>
  <c r="J132" i="24"/>
  <c r="J133" i="24"/>
  <c r="J100" i="24"/>
  <c r="J101" i="24"/>
  <c r="J68" i="24"/>
  <c r="J69" i="24"/>
  <c r="J67" i="24"/>
  <c r="J66" i="24"/>
  <c r="C126" i="38" l="1"/>
  <c r="F126" i="38"/>
  <c r="V126" i="36"/>
  <c r="H126" i="38"/>
  <c r="M127" i="37"/>
  <c r="A127" i="37" s="1"/>
  <c r="C133" i="38"/>
  <c r="V133" i="36"/>
  <c r="M134" i="37"/>
  <c r="A134" i="37" s="1"/>
  <c r="F133" i="38"/>
  <c r="H133" i="38"/>
  <c r="C97" i="38"/>
  <c r="M98" i="37"/>
  <c r="A98" i="37" s="1"/>
  <c r="V97" i="36"/>
  <c r="H97" i="38"/>
  <c r="F97" i="38"/>
  <c r="C102" i="38"/>
  <c r="M103" i="37"/>
  <c r="A103" i="37" s="1"/>
  <c r="F102" i="38"/>
  <c r="H102" i="38"/>
  <c r="V102" i="36"/>
  <c r="V136" i="36"/>
  <c r="H136" i="38"/>
  <c r="C136" i="38"/>
  <c r="F136" i="38"/>
  <c r="M137" i="37"/>
  <c r="A137" i="37" s="1"/>
  <c r="F76" i="38"/>
  <c r="V76" i="36"/>
  <c r="H76" i="38"/>
  <c r="C76" i="38"/>
  <c r="M77" i="37"/>
  <c r="A77" i="37" s="1"/>
  <c r="F144" i="38"/>
  <c r="V144" i="36"/>
  <c r="M145" i="37"/>
  <c r="A145" i="37" s="1"/>
  <c r="H144" i="38"/>
  <c r="C144" i="38"/>
  <c r="M117" i="37"/>
  <c r="A117" i="37" s="1"/>
  <c r="C116" i="38"/>
  <c r="V116" i="36"/>
  <c r="H116" i="38"/>
  <c r="F116" i="38"/>
  <c r="H88" i="38"/>
  <c r="C88" i="38"/>
  <c r="F88" i="38"/>
  <c r="V88" i="36"/>
  <c r="M89" i="37"/>
  <c r="A89" i="37" s="1"/>
  <c r="H154" i="38"/>
  <c r="M155" i="37"/>
  <c r="A155" i="37" s="1"/>
  <c r="V154" i="36"/>
  <c r="F154" i="38"/>
  <c r="C154" i="38"/>
  <c r="F160" i="38"/>
  <c r="V160" i="36"/>
  <c r="C160" i="38"/>
  <c r="H160" i="38"/>
  <c r="M161" i="37"/>
  <c r="A161" i="37" s="1"/>
  <c r="F101" i="38"/>
  <c r="H101" i="38"/>
  <c r="C101" i="38"/>
  <c r="M102" i="37"/>
  <c r="A102" i="37" s="1"/>
  <c r="V101" i="36"/>
  <c r="V135" i="36"/>
  <c r="F135" i="38"/>
  <c r="M136" i="37"/>
  <c r="A136" i="37" s="1"/>
  <c r="H135" i="38"/>
  <c r="C135" i="38"/>
  <c r="V75" i="36"/>
  <c r="F75" i="38"/>
  <c r="H75" i="38"/>
  <c r="M76" i="37"/>
  <c r="A76" i="37" s="1"/>
  <c r="C75" i="38"/>
  <c r="V143" i="36"/>
  <c r="C143" i="38"/>
  <c r="M144" i="37"/>
  <c r="A144" i="37" s="1"/>
  <c r="F143" i="38"/>
  <c r="H143" i="38"/>
  <c r="F115" i="38"/>
  <c r="H115" i="38"/>
  <c r="M116" i="37"/>
  <c r="A116" i="37" s="1"/>
  <c r="C115" i="38"/>
  <c r="V115" i="36"/>
  <c r="V87" i="36"/>
  <c r="M88" i="37"/>
  <c r="A88" i="37" s="1"/>
  <c r="F87" i="38"/>
  <c r="H87" i="38"/>
  <c r="C87" i="38"/>
  <c r="C153" i="38"/>
  <c r="M154" i="37"/>
  <c r="A154" i="37" s="1"/>
  <c r="F153" i="38"/>
  <c r="H153" i="38"/>
  <c r="V153" i="36"/>
  <c r="V159" i="36"/>
  <c r="C159" i="38"/>
  <c r="M160" i="37"/>
  <c r="A160" i="37" s="1"/>
  <c r="H159" i="38"/>
  <c r="F159" i="38"/>
  <c r="C134" i="38"/>
  <c r="F134" i="38"/>
  <c r="V134" i="36"/>
  <c r="H134" i="38"/>
  <c r="M135" i="37"/>
  <c r="A135" i="37" s="1"/>
  <c r="F120" i="38"/>
  <c r="V120" i="36"/>
  <c r="H120" i="38"/>
  <c r="M121" i="37"/>
  <c r="A121" i="37" s="1"/>
  <c r="C120" i="38"/>
  <c r="F125" i="38"/>
  <c r="H125" i="38"/>
  <c r="M126" i="37"/>
  <c r="A126" i="37" s="1"/>
  <c r="C125" i="38"/>
  <c r="V125" i="36"/>
  <c r="H82" i="38"/>
  <c r="M83" i="37"/>
  <c r="A83" i="37" s="1"/>
  <c r="V82" i="36"/>
  <c r="C82" i="38"/>
  <c r="F82" i="38"/>
  <c r="H118" i="38"/>
  <c r="M119" i="37"/>
  <c r="A119" i="37" s="1"/>
  <c r="C118" i="38"/>
  <c r="V118" i="36"/>
  <c r="F118" i="38"/>
  <c r="C141" i="38"/>
  <c r="M142" i="37"/>
  <c r="A142" i="37" s="1"/>
  <c r="F141" i="38"/>
  <c r="H141" i="38"/>
  <c r="V141" i="36"/>
  <c r="H117" i="38"/>
  <c r="C117" i="38"/>
  <c r="M118" i="37"/>
  <c r="A118" i="37" s="1"/>
  <c r="F117" i="38"/>
  <c r="V117" i="36"/>
  <c r="F72" i="38"/>
  <c r="V72" i="36"/>
  <c r="M73" i="37"/>
  <c r="A73" i="37" s="1"/>
  <c r="H72" i="38"/>
  <c r="C72" i="38"/>
  <c r="C90" i="38"/>
  <c r="H90" i="38"/>
  <c r="V90" i="36"/>
  <c r="F90" i="38"/>
  <c r="M91" i="37"/>
  <c r="A91" i="37" s="1"/>
  <c r="V71" i="36"/>
  <c r="F71" i="38"/>
  <c r="C71" i="38"/>
  <c r="M72" i="37"/>
  <c r="A72" i="37" s="1"/>
  <c r="H71" i="38"/>
  <c r="F137" i="38"/>
  <c r="H137" i="38"/>
  <c r="V137" i="36"/>
  <c r="C137" i="38"/>
  <c r="M138" i="37"/>
  <c r="A138" i="37" s="1"/>
  <c r="F79" i="38"/>
  <c r="H79" i="38"/>
  <c r="C79" i="38"/>
  <c r="M80" i="37"/>
  <c r="A80" i="37" s="1"/>
  <c r="V79" i="36"/>
  <c r="M146" i="37"/>
  <c r="A146" i="37" s="1"/>
  <c r="V145" i="36"/>
  <c r="C145" i="38"/>
  <c r="F145" i="38"/>
  <c r="H145" i="38"/>
  <c r="F149" i="38"/>
  <c r="H149" i="38"/>
  <c r="C149" i="38"/>
  <c r="V149" i="36"/>
  <c r="M150" i="37"/>
  <c r="A150" i="37" s="1"/>
  <c r="F89" i="38"/>
  <c r="H89" i="38"/>
  <c r="C89" i="38"/>
  <c r="V89" i="36"/>
  <c r="M90" i="37"/>
  <c r="A90" i="37" s="1"/>
  <c r="V95" i="36"/>
  <c r="F95" i="38"/>
  <c r="C95" i="38"/>
  <c r="M96" i="37"/>
  <c r="A96" i="37" s="1"/>
  <c r="H95" i="38"/>
  <c r="V131" i="36"/>
  <c r="C131" i="38"/>
  <c r="M132" i="37"/>
  <c r="A132" i="37" s="1"/>
  <c r="F131" i="38"/>
  <c r="H131" i="38"/>
  <c r="C162" i="38"/>
  <c r="H162" i="38"/>
  <c r="M163" i="37"/>
  <c r="A163" i="37" s="1"/>
  <c r="V162" i="36"/>
  <c r="F162" i="38"/>
  <c r="M93" i="37"/>
  <c r="A93" i="37" s="1"/>
  <c r="C92" i="38"/>
  <c r="H92" i="38"/>
  <c r="F92" i="38"/>
  <c r="V92" i="36"/>
  <c r="V147" i="36"/>
  <c r="C147" i="38"/>
  <c r="F147" i="38"/>
  <c r="H147" i="38"/>
  <c r="M148" i="37"/>
  <c r="A148" i="37" s="1"/>
  <c r="C74" i="38"/>
  <c r="H74" i="38"/>
  <c r="F74" i="38"/>
  <c r="V74" i="36"/>
  <c r="M75" i="37"/>
  <c r="A75" i="37" s="1"/>
  <c r="H124" i="38"/>
  <c r="C124" i="38"/>
  <c r="F124" i="38"/>
  <c r="V124" i="36"/>
  <c r="M125" i="37"/>
  <c r="A125" i="37" s="1"/>
  <c r="V73" i="36"/>
  <c r="C73" i="38"/>
  <c r="M74" i="37"/>
  <c r="A74" i="37" s="1"/>
  <c r="H73" i="38"/>
  <c r="F73" i="38"/>
  <c r="F151" i="38"/>
  <c r="H151" i="38"/>
  <c r="V151" i="36"/>
  <c r="M152" i="37"/>
  <c r="A152" i="37" s="1"/>
  <c r="C151" i="38"/>
  <c r="H106" i="38"/>
  <c r="M107" i="37"/>
  <c r="A107" i="37" s="1"/>
  <c r="V106" i="36"/>
  <c r="F106" i="38"/>
  <c r="C106" i="38"/>
  <c r="C158" i="38"/>
  <c r="F158" i="38"/>
  <c r="V158" i="36"/>
  <c r="H158" i="38"/>
  <c r="M159" i="37"/>
  <c r="A159" i="37" s="1"/>
  <c r="C105" i="38"/>
  <c r="M106" i="37"/>
  <c r="A106" i="37" s="1"/>
  <c r="F105" i="38"/>
  <c r="H105" i="38"/>
  <c r="V105" i="36"/>
  <c r="V155" i="36"/>
  <c r="C155" i="38"/>
  <c r="M156" i="37"/>
  <c r="A156" i="37" s="1"/>
  <c r="F155" i="38"/>
  <c r="H155" i="38"/>
  <c r="M81" i="37"/>
  <c r="A81" i="37" s="1"/>
  <c r="C80" i="38"/>
  <c r="F80" i="38"/>
  <c r="H80" i="38"/>
  <c r="V80" i="36"/>
  <c r="F132" i="38"/>
  <c r="V132" i="36"/>
  <c r="H132" i="38"/>
  <c r="M133" i="37"/>
  <c r="A133" i="37" s="1"/>
  <c r="C132" i="38"/>
  <c r="V112" i="36"/>
  <c r="H112" i="38"/>
  <c r="C112" i="38"/>
  <c r="F112" i="38"/>
  <c r="M113" i="37"/>
  <c r="A113" i="37" s="1"/>
  <c r="F84" i="38"/>
  <c r="V84" i="36"/>
  <c r="H84" i="38"/>
  <c r="M85" i="37"/>
  <c r="A85" i="37" s="1"/>
  <c r="C84" i="38"/>
  <c r="H94" i="38"/>
  <c r="M95" i="37"/>
  <c r="A95" i="37" s="1"/>
  <c r="V94" i="36"/>
  <c r="F94" i="38"/>
  <c r="C94" i="38"/>
  <c r="C122" i="38"/>
  <c r="F122" i="38"/>
  <c r="V122" i="36"/>
  <c r="H122" i="38"/>
  <c r="M123" i="37"/>
  <c r="A123" i="37" s="1"/>
  <c r="M129" i="37"/>
  <c r="A129" i="37" s="1"/>
  <c r="C128" i="38"/>
  <c r="F128" i="38"/>
  <c r="H128" i="38"/>
  <c r="V128" i="36"/>
  <c r="M165" i="37"/>
  <c r="A165" i="37" s="1"/>
  <c r="C164" i="38"/>
  <c r="V164" i="36"/>
  <c r="F164" i="38"/>
  <c r="H164" i="38"/>
  <c r="F108" i="38"/>
  <c r="V108" i="36"/>
  <c r="H108" i="38"/>
  <c r="M109" i="37"/>
  <c r="A109" i="37" s="1"/>
  <c r="C108" i="38"/>
  <c r="F148" i="38"/>
  <c r="H148" i="38"/>
  <c r="C148" i="38"/>
  <c r="V148" i="36"/>
  <c r="M149" i="37"/>
  <c r="A149" i="37" s="1"/>
  <c r="C98" i="38"/>
  <c r="H98" i="38"/>
  <c r="F98" i="38"/>
  <c r="V98" i="36"/>
  <c r="M99" i="37"/>
  <c r="A99" i="37" s="1"/>
  <c r="F161" i="38"/>
  <c r="H161" i="38"/>
  <c r="V161" i="36"/>
  <c r="M162" i="37"/>
  <c r="A162" i="37" s="1"/>
  <c r="C161" i="38"/>
  <c r="V107" i="36"/>
  <c r="C107" i="38"/>
  <c r="M108" i="37"/>
  <c r="A108" i="37" s="1"/>
  <c r="F107" i="38"/>
  <c r="H107" i="38"/>
  <c r="V119" i="36"/>
  <c r="C119" i="38"/>
  <c r="M120" i="37"/>
  <c r="A120" i="37" s="1"/>
  <c r="F119" i="38"/>
  <c r="H119" i="38"/>
  <c r="F91" i="38"/>
  <c r="H91" i="38"/>
  <c r="M92" i="37"/>
  <c r="A92" i="37" s="1"/>
  <c r="V91" i="36"/>
  <c r="C91" i="38"/>
  <c r="H166" i="38"/>
  <c r="M167" i="37"/>
  <c r="A167" i="37" s="1"/>
  <c r="C166" i="38"/>
  <c r="F166" i="38"/>
  <c r="V166" i="36"/>
  <c r="M141" i="37"/>
  <c r="A141" i="37" s="1"/>
  <c r="C140" i="38"/>
  <c r="H140" i="38"/>
  <c r="V140" i="36"/>
  <c r="F140" i="38"/>
  <c r="C86" i="38"/>
  <c r="H86" i="38"/>
  <c r="F86" i="38"/>
  <c r="V86" i="36"/>
  <c r="M87" i="37"/>
  <c r="A87" i="37" s="1"/>
  <c r="M153" i="37"/>
  <c r="A153" i="37" s="1"/>
  <c r="C152" i="38"/>
  <c r="F152" i="38"/>
  <c r="H152" i="38"/>
  <c r="V152" i="36"/>
  <c r="H130" i="38"/>
  <c r="M131" i="37"/>
  <c r="A131" i="37" s="1"/>
  <c r="V130" i="36"/>
  <c r="C130" i="38"/>
  <c r="F130" i="38"/>
  <c r="C165" i="38"/>
  <c r="M166" i="37"/>
  <c r="A166" i="37" s="1"/>
  <c r="H165" i="38"/>
  <c r="F165" i="38"/>
  <c r="V165" i="36"/>
  <c r="F139" i="38"/>
  <c r="H139" i="38"/>
  <c r="C139" i="38"/>
  <c r="V139" i="36"/>
  <c r="M140" i="37"/>
  <c r="A140" i="37" s="1"/>
  <c r="C81" i="38"/>
  <c r="M82" i="37"/>
  <c r="A82" i="37" s="1"/>
  <c r="F81" i="38"/>
  <c r="H81" i="38"/>
  <c r="V81" i="36"/>
  <c r="V85" i="36"/>
  <c r="C85" i="38"/>
  <c r="M86" i="37"/>
  <c r="A86" i="37" s="1"/>
  <c r="F85" i="38"/>
  <c r="H85" i="38"/>
  <c r="V123" i="36"/>
  <c r="C123" i="38"/>
  <c r="F123" i="38"/>
  <c r="H123" i="38"/>
  <c r="M124" i="37"/>
  <c r="A124" i="37" s="1"/>
  <c r="C129" i="38"/>
  <c r="M130" i="37"/>
  <c r="A130" i="37" s="1"/>
  <c r="F129" i="38"/>
  <c r="H129" i="38"/>
  <c r="V129" i="36"/>
  <c r="H142" i="38"/>
  <c r="M143" i="37"/>
  <c r="A143" i="37" s="1"/>
  <c r="V142" i="36"/>
  <c r="F142" i="38"/>
  <c r="C142" i="38"/>
  <c r="C110" i="38"/>
  <c r="H110" i="38"/>
  <c r="F110" i="38"/>
  <c r="V110" i="36"/>
  <c r="M111" i="37"/>
  <c r="A111" i="37" s="1"/>
  <c r="C114" i="38"/>
  <c r="M115" i="37"/>
  <c r="A115" i="37" s="1"/>
  <c r="V114" i="36"/>
  <c r="F114" i="38"/>
  <c r="H114" i="38"/>
  <c r="F156" i="38"/>
  <c r="V156" i="36"/>
  <c r="H156" i="38"/>
  <c r="M157" i="37"/>
  <c r="A157" i="37" s="1"/>
  <c r="C156" i="38"/>
  <c r="H100" i="38"/>
  <c r="C100" i="38"/>
  <c r="F100" i="38"/>
  <c r="V100" i="36"/>
  <c r="M101" i="37"/>
  <c r="A101" i="37" s="1"/>
  <c r="C109" i="38"/>
  <c r="M110" i="37"/>
  <c r="A110" i="37" s="1"/>
  <c r="V109" i="36"/>
  <c r="F109" i="38"/>
  <c r="H109" i="38"/>
  <c r="F113" i="38"/>
  <c r="H113" i="38"/>
  <c r="V113" i="36"/>
  <c r="M114" i="37"/>
  <c r="A114" i="37" s="1"/>
  <c r="C113" i="38"/>
  <c r="V157" i="36"/>
  <c r="C157" i="38"/>
  <c r="M158" i="37"/>
  <c r="A158" i="37" s="1"/>
  <c r="F157" i="38"/>
  <c r="H157" i="38"/>
  <c r="V99" i="36"/>
  <c r="H99" i="38"/>
  <c r="C99" i="38"/>
  <c r="F99" i="38"/>
  <c r="M100" i="37"/>
  <c r="A100" i="37" s="1"/>
  <c r="C138" i="38"/>
  <c r="H138" i="38"/>
  <c r="V138" i="36"/>
  <c r="F138" i="38"/>
  <c r="M139" i="37"/>
  <c r="A139" i="37" s="1"/>
  <c r="C146" i="38"/>
  <c r="H146" i="38"/>
  <c r="F146" i="38"/>
  <c r="V146" i="36"/>
  <c r="M147" i="37"/>
  <c r="A147" i="37" s="1"/>
  <c r="C150" i="38"/>
  <c r="F150" i="38"/>
  <c r="V150" i="36"/>
  <c r="H150" i="38"/>
  <c r="M151" i="37"/>
  <c r="A151" i="37" s="1"/>
  <c r="M97" i="37"/>
  <c r="A97" i="37" s="1"/>
  <c r="F96" i="38"/>
  <c r="V96" i="36"/>
  <c r="H96" i="38"/>
  <c r="C96" i="38"/>
  <c r="H70" i="38"/>
  <c r="M71" i="37"/>
  <c r="A71" i="37" s="1"/>
  <c r="V70" i="36"/>
  <c r="C70" i="38"/>
  <c r="F70" i="38"/>
  <c r="M105" i="37"/>
  <c r="A105" i="37" s="1"/>
  <c r="C104" i="38"/>
  <c r="H104" i="38"/>
  <c r="V104" i="36"/>
  <c r="F104" i="38"/>
  <c r="C78" i="38"/>
  <c r="F78" i="38"/>
  <c r="H78" i="38"/>
  <c r="M79" i="37"/>
  <c r="A79" i="37" s="1"/>
  <c r="V78" i="36"/>
  <c r="H69" i="38"/>
  <c r="C69" i="38"/>
  <c r="M70" i="37"/>
  <c r="A70" i="37" s="1"/>
  <c r="F69" i="38"/>
  <c r="V69" i="36"/>
  <c r="F103" i="38"/>
  <c r="H103" i="38"/>
  <c r="V103" i="36"/>
  <c r="M104" i="37"/>
  <c r="A104" i="37" s="1"/>
  <c r="C103" i="38"/>
  <c r="F77" i="38"/>
  <c r="H77" i="38"/>
  <c r="M78" i="37"/>
  <c r="A78" i="37" s="1"/>
  <c r="C77" i="38"/>
  <c r="V77" i="36"/>
  <c r="V111" i="36"/>
  <c r="C111" i="38"/>
  <c r="M112" i="37"/>
  <c r="A112" i="37" s="1"/>
  <c r="H111" i="38"/>
  <c r="F111" i="38"/>
  <c r="V83" i="36"/>
  <c r="F83" i="38"/>
  <c r="C83" i="38"/>
  <c r="M84" i="37"/>
  <c r="A84" i="37" s="1"/>
  <c r="H83" i="38"/>
  <c r="C93" i="38"/>
  <c r="M94" i="37"/>
  <c r="A94" i="37" s="1"/>
  <c r="F93" i="38"/>
  <c r="H93" i="38"/>
  <c r="V93" i="36"/>
  <c r="M122" i="37"/>
  <c r="A122" i="37" s="1"/>
  <c r="V121" i="36"/>
  <c r="C121" i="38"/>
  <c r="H121" i="38"/>
  <c r="F121" i="38"/>
  <c r="F127" i="38"/>
  <c r="H127" i="38"/>
  <c r="V127" i="36"/>
  <c r="M128" i="37"/>
  <c r="A128" i="37" s="1"/>
  <c r="C127" i="38"/>
  <c r="F163" i="38"/>
  <c r="H163" i="38"/>
  <c r="C163" i="38"/>
  <c r="V163" i="36"/>
  <c r="M164" i="37"/>
  <c r="A164" i="37" s="1"/>
  <c r="M69" i="37"/>
  <c r="A69" i="37" s="1"/>
  <c r="V68" i="36"/>
  <c r="C68" i="38"/>
  <c r="F68" i="38"/>
  <c r="H68" i="38"/>
  <c r="M68" i="37"/>
  <c r="A68" i="37" s="1"/>
  <c r="G68" i="37" s="1"/>
  <c r="F67" i="38"/>
  <c r="H67" i="38"/>
  <c r="V67" i="36"/>
  <c r="C67" i="38"/>
  <c r="J20" i="30"/>
  <c r="B1" i="31"/>
  <c r="C1" i="31" s="1"/>
  <c r="D1" i="31" s="1"/>
  <c r="E1" i="31" s="1"/>
  <c r="F1" i="31" s="1"/>
  <c r="G1" i="31" s="1"/>
  <c r="H1" i="31" s="1"/>
  <c r="I1" i="31" s="1"/>
  <c r="J1" i="31" s="1"/>
  <c r="K1" i="31" s="1"/>
  <c r="L1" i="31" s="1"/>
  <c r="M1" i="31" s="1"/>
  <c r="N1" i="31" s="1"/>
  <c r="O1" i="31" s="1"/>
  <c r="P1" i="31" s="1"/>
  <c r="Q1" i="31" s="1"/>
  <c r="R1" i="31" s="1"/>
  <c r="S1" i="31" s="1"/>
  <c r="T1" i="31" s="1"/>
  <c r="U1" i="31" s="1"/>
  <c r="V1" i="31" s="1"/>
  <c r="W1" i="31" s="1"/>
  <c r="X1" i="31" s="1"/>
  <c r="Y1" i="31" s="1"/>
  <c r="Z1" i="31" s="1"/>
  <c r="G69" i="37" l="1"/>
  <c r="G70" i="37" s="1"/>
  <c r="G71" i="37" s="1"/>
  <c r="G72" i="37" s="1"/>
  <c r="G73" i="37" s="1"/>
  <c r="G74" i="37" s="1"/>
  <c r="G75" i="37" s="1"/>
  <c r="G76" i="37" s="1"/>
  <c r="G77" i="37" s="1"/>
  <c r="G78" i="37" s="1"/>
  <c r="G79" i="37" s="1"/>
  <c r="G80" i="37" s="1"/>
  <c r="G81" i="37" s="1"/>
  <c r="G82" i="37" s="1"/>
  <c r="G83" i="37" s="1"/>
  <c r="G84" i="37" s="1"/>
  <c r="G85" i="37" s="1"/>
  <c r="G86" i="37" s="1"/>
  <c r="G87" i="37" s="1"/>
  <c r="G88" i="37" s="1"/>
  <c r="G89" i="37" s="1"/>
  <c r="G90" i="37" s="1"/>
  <c r="G91" i="37" s="1"/>
  <c r="G92" i="37" s="1"/>
  <c r="G93" i="37" s="1"/>
  <c r="G94" i="37" s="1"/>
  <c r="G95" i="37" s="1"/>
  <c r="G96" i="37" s="1"/>
  <c r="G97" i="37" s="1"/>
  <c r="G98" i="37" s="1"/>
  <c r="G99" i="37" s="1"/>
  <c r="G100" i="37" s="1"/>
  <c r="G101" i="37" s="1"/>
  <c r="G102" i="37" s="1"/>
  <c r="G103" i="37" s="1"/>
  <c r="G104" i="37" s="1"/>
  <c r="G105" i="37" s="1"/>
  <c r="G106" i="37" s="1"/>
  <c r="G107" i="37" s="1"/>
  <c r="G108" i="37" s="1"/>
  <c r="G109" i="37" s="1"/>
  <c r="G110" i="37" s="1"/>
  <c r="G111" i="37" s="1"/>
  <c r="G112" i="37" s="1"/>
  <c r="G113" i="37" s="1"/>
  <c r="G114" i="37" s="1"/>
  <c r="G115" i="37" s="1"/>
  <c r="G116" i="37" s="1"/>
  <c r="G117" i="37" s="1"/>
  <c r="G118" i="37" s="1"/>
  <c r="G119" i="37" s="1"/>
  <c r="G120" i="37" s="1"/>
  <c r="G121" i="37" s="1"/>
  <c r="G122" i="37" s="1"/>
  <c r="G123" i="37" s="1"/>
  <c r="G124" i="37" s="1"/>
  <c r="G125" i="37" s="1"/>
  <c r="G126" i="37" s="1"/>
  <c r="G127" i="37" s="1"/>
  <c r="G128" i="37" s="1"/>
  <c r="G129" i="37" s="1"/>
  <c r="G130" i="37" s="1"/>
  <c r="G131" i="37" s="1"/>
  <c r="G132" i="37" s="1"/>
  <c r="G133" i="37" s="1"/>
  <c r="G134" i="37" s="1"/>
  <c r="G135" i="37" s="1"/>
  <c r="G136" i="37" s="1"/>
  <c r="G137" i="37" s="1"/>
  <c r="G138" i="37" s="1"/>
  <c r="G139" i="37" s="1"/>
  <c r="G140" i="37" s="1"/>
  <c r="G141" i="37" s="1"/>
  <c r="G142" i="37" s="1"/>
  <c r="G143" i="37" s="1"/>
  <c r="G144" i="37" s="1"/>
  <c r="G145" i="37" s="1"/>
  <c r="G146" i="37" s="1"/>
  <c r="G147" i="37" s="1"/>
  <c r="G148" i="37" s="1"/>
  <c r="G149" i="37" s="1"/>
  <c r="G150" i="37" s="1"/>
  <c r="G151" i="37" s="1"/>
  <c r="G152" i="37" s="1"/>
  <c r="G153" i="37" s="1"/>
  <c r="G154" i="37" s="1"/>
  <c r="G155" i="37" s="1"/>
  <c r="G156" i="37" s="1"/>
  <c r="G157" i="37" s="1"/>
  <c r="G158" i="37" s="1"/>
  <c r="G159" i="37" s="1"/>
  <c r="G160" i="37" s="1"/>
  <c r="G161" i="37" s="1"/>
  <c r="G162" i="37" s="1"/>
  <c r="G163" i="37" s="1"/>
  <c r="G164" i="37" s="1"/>
  <c r="G165" i="37" s="1"/>
  <c r="G166" i="37" s="1"/>
  <c r="G167" i="37" s="1"/>
  <c r="K17" i="30"/>
  <c r="K16" i="30"/>
  <c r="K15" i="30"/>
  <c r="K14" i="30"/>
  <c r="K13" i="30"/>
  <c r="K12" i="30"/>
  <c r="K7" i="30" l="1"/>
  <c r="K20" i="30" s="1"/>
  <c r="W35" i="21" l="1"/>
  <c r="W34" i="21"/>
  <c r="W33" i="21"/>
  <c r="W32" i="21"/>
  <c r="W31" i="21"/>
  <c r="W30" i="21"/>
  <c r="W29" i="21"/>
  <c r="W28" i="21"/>
  <c r="W23" i="21"/>
  <c r="W22" i="21"/>
  <c r="W21" i="21"/>
  <c r="W20" i="21"/>
  <c r="V35" i="21"/>
  <c r="V34" i="21"/>
  <c r="V33" i="21"/>
  <c r="V32" i="21"/>
  <c r="V31" i="21"/>
  <c r="V30" i="21"/>
  <c r="V29" i="21"/>
  <c r="V28" i="21"/>
  <c r="V23" i="21"/>
  <c r="V22" i="21"/>
  <c r="V21" i="21"/>
  <c r="B1" i="23"/>
  <c r="C1" i="23" s="1"/>
  <c r="D1" i="23" s="1"/>
  <c r="E1" i="23" s="1"/>
  <c r="F1" i="23" s="1"/>
  <c r="G1" i="23" s="1"/>
  <c r="H1" i="23" l="1"/>
  <c r="I1" i="23" s="1"/>
  <c r="J1" i="23" s="1"/>
  <c r="K1" i="23" s="1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3" i="15" l="1"/>
  <c r="A1" i="16" l="1"/>
  <c r="G43" i="16" l="1"/>
  <c r="G28" i="16"/>
  <c r="G21" i="16"/>
  <c r="A13" i="16"/>
  <c r="C41" i="15" l="1"/>
  <c r="A1" i="15"/>
  <c r="A1" i="13" l="1"/>
  <c r="A1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Johnson</author>
  </authors>
  <commentList>
    <comment ref="H9" authorId="0" shapeId="0" xr:uid="{F97A942F-C9BA-410F-AC6C-C070D2AD6F40}">
      <text>
        <r>
          <rPr>
            <b/>
            <sz val="9"/>
            <color indexed="81"/>
            <rFont val="Tahoma"/>
            <family val="2"/>
          </rPr>
          <t xml:space="preserve">Greystar: </t>
        </r>
        <r>
          <rPr>
            <sz val="9"/>
            <color indexed="81"/>
            <rFont val="Tahoma"/>
            <family val="2"/>
          </rPr>
          <t xml:space="preserve">Hold the Ctrl key and select each tab you would like printed.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Melissa Danner</author>
  </authors>
  <commentList>
    <comment ref="R4" authorId="0" shapeId="0" xr:uid="{77B57811-376A-48DF-8E97-7CFF93856CE3}">
      <text>
        <r>
          <rPr>
            <sz val="9"/>
            <color indexed="81"/>
            <rFont val="Tahoma"/>
            <family val="2"/>
          </rPr>
          <t>Per the Certificate of Formation</t>
        </r>
      </text>
    </comment>
    <comment ref="X4" authorId="0" shapeId="0" xr:uid="{C8452C9F-9A18-4C20-8A99-6C158CDCDE50}">
      <text>
        <r>
          <rPr>
            <sz val="9"/>
            <color indexed="81"/>
            <rFont val="Tahoma"/>
            <family val="2"/>
          </rPr>
          <t>Per the Certificate of Formation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Johnson</author>
  </authors>
  <commentList>
    <comment ref="A2" authorId="0" shapeId="0" xr:uid="{D27D0021-7F18-4FB5-B845-AD9705B1EC02}">
      <text>
        <r>
          <rPr>
            <b/>
            <sz val="9"/>
            <color indexed="81"/>
            <rFont val="Tahoma"/>
            <family val="2"/>
          </rPr>
          <t xml:space="preserve">Greystar: </t>
        </r>
        <r>
          <rPr>
            <sz val="9"/>
            <color indexed="81"/>
            <rFont val="Tahoma"/>
            <family val="2"/>
          </rPr>
          <t>This COA is inputted into each tab and its codes will appear on the PDF export.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C2" authorId="0" shapeId="0" xr:uid="{FAB06E05-E417-48DD-886C-B19D4536E50D}">
      <text>
        <r>
          <rPr>
            <b/>
            <sz val="9"/>
            <color indexed="81"/>
            <rFont val="Tahoma"/>
            <family val="2"/>
          </rPr>
          <t xml:space="preserve">Greystar: </t>
        </r>
        <r>
          <rPr>
            <sz val="9"/>
            <color indexed="81"/>
            <rFont val="Tahoma"/>
            <family val="2"/>
          </rPr>
          <t>This COA is for the JE Upload file unless "Chart of Accounts A" is chosen on the Upload Setup tab.</t>
        </r>
      </text>
    </comment>
  </commentList>
</comments>
</file>

<file path=xl/sharedStrings.xml><?xml version="1.0" encoding="utf-8"?>
<sst xmlns="http://schemas.openxmlformats.org/spreadsheetml/2006/main" count="7417" uniqueCount="1738">
  <si>
    <r>
      <t xml:space="preserve">Property Information Sheet
</t>
    </r>
    <r>
      <rPr>
        <b/>
        <sz val="11"/>
        <rFont val="Avenir Next LT Pro"/>
        <family val="2"/>
      </rPr>
      <t>Greystar Information</t>
    </r>
  </si>
  <si>
    <t>Yes</t>
  </si>
  <si>
    <t>Template Last Updated On</t>
  </si>
  <si>
    <t>No</t>
  </si>
  <si>
    <t>Property Name</t>
  </si>
  <si>
    <t>Residences at Shiloh Crossing</t>
  </si>
  <si>
    <t>Property Code</t>
  </si>
  <si>
    <t>'c6us087a</t>
  </si>
  <si>
    <t>Use Mapped COA?</t>
  </si>
  <si>
    <t>Month</t>
  </si>
  <si>
    <t>Last Day of Month</t>
  </si>
  <si>
    <t>Prepared By</t>
  </si>
  <si>
    <t>Sydney Campbell</t>
  </si>
  <si>
    <t>Reviewed By</t>
  </si>
  <si>
    <t>Rowena Chen</t>
  </si>
  <si>
    <t>Instructions &amp; Notes:</t>
  </si>
  <si>
    <t>1. Please save the final version of this document monthly.  The  CY tab should be edited to match the current period on a monthly basis.</t>
  </si>
  <si>
    <t>2. Please incorporate full descriptions that are grammatically and functionally accurate. Make sure formatting is consistent within each account.</t>
  </si>
  <si>
    <t>3. Please hide all sections for G/L codes with no balance, unless it went to zero in the current period.</t>
  </si>
  <si>
    <t>4. The Accrued Expenses, Seller Settlement, CapEx and HUD tabs only need to be completed when applicable and/or required by client. Unhide these tabs as needed.</t>
  </si>
  <si>
    <t>Balance Sheet Support Schedule</t>
  </si>
  <si>
    <t>ACCOUNT</t>
  </si>
  <si>
    <t>1610-1110</t>
  </si>
  <si>
    <t>Month Card Issued</t>
  </si>
  <si>
    <t>Employee's Name</t>
  </si>
  <si>
    <t>Print Sheets to Separate PDF Files?</t>
  </si>
  <si>
    <t>1610-1210</t>
  </si>
  <si>
    <t>Period</t>
  </si>
  <si>
    <t>Description</t>
  </si>
  <si>
    <t>1610-1530</t>
  </si>
  <si>
    <t>GL #</t>
  </si>
  <si>
    <t>1610-1610</t>
  </si>
  <si>
    <t xml:space="preserve"> </t>
  </si>
  <si>
    <t>1610-1630</t>
  </si>
  <si>
    <t>Choice Acct-P Card</t>
  </si>
  <si>
    <t>1610-1750</t>
  </si>
  <si>
    <t>1610-1770</t>
  </si>
  <si>
    <t>1610-1780</t>
  </si>
  <si>
    <t>1610-1940</t>
  </si>
  <si>
    <t>1610-1950</t>
  </si>
  <si>
    <t>1618-9860</t>
  </si>
  <si>
    <t>1640-1010</t>
  </si>
  <si>
    <t>note: please verify balances periodically as directed and true up as necessary</t>
  </si>
  <si>
    <t>233426-143914-deposit - 05/28/2021-05/28/2021 Town of Cary NC</t>
  </si>
  <si>
    <t>233426-143916-deposit - 05/28/2021-05/28/2021 Town of Cary NC</t>
  </si>
  <si>
    <t>NC Duke Energy Bond Payment</t>
  </si>
  <si>
    <t>Utility Deposit Bond 6/14/23-2024</t>
  </si>
  <si>
    <t>1640-2010</t>
  </si>
  <si>
    <t>1990-1020</t>
  </si>
  <si>
    <t>2510-2510</t>
  </si>
  <si>
    <t>Prior year ending balance</t>
  </si>
  <si>
    <t>2510-3510</t>
  </si>
  <si>
    <t>2510-5510</t>
  </si>
  <si>
    <t xml:space="preserve">Ending Balance </t>
  </si>
  <si>
    <t>2510-7510</t>
  </si>
  <si>
    <t>2510-9910</t>
  </si>
  <si>
    <t>2510-9920</t>
  </si>
  <si>
    <t>2520-1210</t>
  </si>
  <si>
    <t>2520-3110</t>
  </si>
  <si>
    <t>2590-9010</t>
  </si>
  <si>
    <t>2613-1110</t>
  </si>
  <si>
    <t>2613-2110</t>
  </si>
  <si>
    <t>2613-3110</t>
  </si>
  <si>
    <t>2613-5110</t>
  </si>
  <si>
    <t>2614-6110</t>
  </si>
  <si>
    <t>2614-8110</t>
  </si>
  <si>
    <t>2614-9110</t>
  </si>
  <si>
    <t>2950-5010</t>
  </si>
  <si>
    <t>2950-9010</t>
  </si>
  <si>
    <t>3050-2010</t>
  </si>
  <si>
    <t>3050-2510</t>
  </si>
  <si>
    <t>3050-4010</t>
  </si>
  <si>
    <t>3070-2010</t>
  </si>
  <si>
    <t>3070-2510</t>
  </si>
  <si>
    <t>3070-4010</t>
  </si>
  <si>
    <t>3300-2010</t>
  </si>
  <si>
    <t>3300-4010</t>
  </si>
  <si>
    <t>Starting Balance</t>
  </si>
  <si>
    <t>12.25 Distribution</t>
  </si>
  <si>
    <t>01.26 Distribution</t>
  </si>
  <si>
    <t>02.26 Distribution</t>
  </si>
  <si>
    <t>03.26 Distribution</t>
  </si>
  <si>
    <t>04/2026</t>
  </si>
  <si>
    <t>04.26 Distribution</t>
  </si>
  <si>
    <t>05/2026</t>
  </si>
  <si>
    <t>05.26 Distribution</t>
  </si>
  <si>
    <t>06/2026</t>
  </si>
  <si>
    <t>06.26 Distribution</t>
  </si>
  <si>
    <t>07/2026</t>
  </si>
  <si>
    <t>07/26 Funding from Client for Cash Shortfall</t>
  </si>
  <si>
    <t>07.26 Distribution</t>
  </si>
  <si>
    <t>08/2026</t>
  </si>
  <si>
    <t>08.26 Distribution</t>
  </si>
  <si>
    <t>3300-5010</t>
  </si>
  <si>
    <t>3300-5510</t>
  </si>
  <si>
    <t>3300-5710</t>
  </si>
  <si>
    <t>3300-5910</t>
  </si>
  <si>
    <t>Account Expensed to/from</t>
  </si>
  <si>
    <t>From/To Period</t>
  </si>
  <si>
    <t>Total # of Months</t>
  </si>
  <si>
    <t>Amount per Month</t>
  </si>
  <si>
    <t># of Months Expensed</t>
  </si>
  <si>
    <t>Schedule of Prepaid Other as of</t>
  </si>
  <si>
    <t>Account</t>
  </si>
  <si>
    <t>1630-8910</t>
  </si>
  <si>
    <t>Posted? Yes/No</t>
  </si>
  <si>
    <t>Account Expensed To/From</t>
  </si>
  <si>
    <t>GL Description</t>
  </si>
  <si>
    <t>First Month of Total Expense</t>
  </si>
  <si>
    <t>Last Month of Total Expense</t>
  </si>
  <si>
    <t>Total Expense Amount</t>
  </si>
  <si>
    <t>Remaining Balance</t>
  </si>
  <si>
    <t>5890-6600</t>
  </si>
  <si>
    <t>Hello data Property reports</t>
  </si>
  <si>
    <t>5890-6350</t>
  </si>
  <si>
    <t>Cobu Subscription - For the period 5/1/25 - 4/30/26</t>
  </si>
  <si>
    <t>5600-4000</t>
  </si>
  <si>
    <t>Annual Support Fee - Locker | July 2025 - June 2026 Luxer One</t>
  </si>
  <si>
    <t>5890-6800</t>
  </si>
  <si>
    <t>01/26 Graphic Design Tool Renewal Service Period:03/2026 - 12/2026</t>
  </si>
  <si>
    <t>June Service Fees</t>
  </si>
  <si>
    <t>5890-6100</t>
  </si>
  <si>
    <t>04/26 ORM Yearly Renewal - Full Bundle 0426ORM|rpresshi| (07/26-03/27)</t>
  </si>
  <si>
    <t>5400-1200</t>
  </si>
  <si>
    <t>Propane and Fees</t>
  </si>
  <si>
    <t>5300-4200</t>
  </si>
  <si>
    <t>07/26 Monthly Landscape Maintenance</t>
  </si>
  <si>
    <t>Rounding Difference</t>
  </si>
  <si>
    <t>Total</t>
  </si>
  <si>
    <t xml:space="preserve">Schedule of Insurance as of </t>
  </si>
  <si>
    <t>Prepaid Insurance:</t>
  </si>
  <si>
    <t>1630-2010</t>
  </si>
  <si>
    <t>Current Policy</t>
  </si>
  <si>
    <t>Prior Policy</t>
  </si>
  <si>
    <t>Period From</t>
  </si>
  <si>
    <t>Period To</t>
  </si>
  <si>
    <t># of Months</t>
  </si>
  <si>
    <t>GL Code</t>
  </si>
  <si>
    <t>Policy Coverage</t>
  </si>
  <si>
    <t>Policy Number</t>
  </si>
  <si>
    <t>Provider</t>
  </si>
  <si>
    <t>Annual Premium</t>
  </si>
  <si>
    <t>Monthly Amortization</t>
  </si>
  <si>
    <t># of Months Prepaid</t>
  </si>
  <si>
    <t>Total Prepaid</t>
  </si>
  <si>
    <t>Payment Date</t>
  </si>
  <si>
    <t>Payment Type</t>
  </si>
  <si>
    <t>5510-0100</t>
  </si>
  <si>
    <t>Arthur J Gallagher</t>
  </si>
  <si>
    <t>5510-1500</t>
  </si>
  <si>
    <t>5510-3500</t>
  </si>
  <si>
    <t>Various</t>
  </si>
  <si>
    <t>5510-2100</t>
  </si>
  <si>
    <t>Accrued Insurance:</t>
  </si>
  <si>
    <t>2611-7110</t>
  </si>
  <si>
    <t>Estimated Premium</t>
  </si>
  <si>
    <t># of Months Accrued</t>
  </si>
  <si>
    <t>Total Accrued</t>
  </si>
  <si>
    <t>Expense Total</t>
  </si>
  <si>
    <t>5510-2500</t>
  </si>
  <si>
    <t>5510-3100</t>
  </si>
  <si>
    <t>5510-9100</t>
  </si>
  <si>
    <t>AK</t>
  </si>
  <si>
    <t xml:space="preserve">Schedule of Real Estate Taxes as of </t>
  </si>
  <si>
    <t>Current Year Tax Bill</t>
  </si>
  <si>
    <t>AL</t>
  </si>
  <si>
    <t>AR</t>
  </si>
  <si>
    <t>AZ</t>
  </si>
  <si>
    <t>State</t>
  </si>
  <si>
    <t>NC</t>
  </si>
  <si>
    <t>CA</t>
  </si>
  <si>
    <t>CO</t>
  </si>
  <si>
    <t>Prepaid Taxes:</t>
  </si>
  <si>
    <t>1630-1510</t>
  </si>
  <si>
    <t>CT</t>
  </si>
  <si>
    <t>Tax Description</t>
  </si>
  <si>
    <t>Annual Tax</t>
  </si>
  <si>
    <t>Prior Year Tax Bill</t>
  </si>
  <si>
    <t>DC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</si>
  <si>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</si>
  <si>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</si>
  <si>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</si>
  <si>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</si>
  <si>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</si>
  <si>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</si>
  <si>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</si>
  <si>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</si>
  <si>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</si>
  <si>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Accrued Taxes:</t>
  </si>
  <si>
    <t>2611-3110</t>
  </si>
  <si>
    <t>Most common trend for this state; verify due dates match tax statement</t>
  </si>
  <si>
    <t>KY</t>
  </si>
  <si>
    <t>Estimated Tax</t>
  </si>
  <si>
    <t>1st month accrual</t>
  </si>
  <si>
    <t>Prepaid # Months</t>
  </si>
  <si>
    <t>Accrued # Months</t>
  </si>
  <si>
    <t>LA</t>
  </si>
  <si>
    <t>5500-0100</t>
  </si>
  <si>
    <t>Real Estate Taxes Accrual</t>
  </si>
  <si>
    <t>January</t>
  </si>
  <si>
    <t>MA</t>
  </si>
  <si>
    <t>5500-2100</t>
  </si>
  <si>
    <t>February</t>
  </si>
  <si>
    <t>MD</t>
  </si>
  <si>
    <t>5500-5110</t>
  </si>
  <si>
    <t>March</t>
  </si>
  <si>
    <t>ME</t>
  </si>
  <si>
    <t>5500-6100</t>
  </si>
  <si>
    <t>April</t>
  </si>
  <si>
    <t>MI</t>
  </si>
  <si>
    <t>May</t>
  </si>
  <si>
    <t>MN</t>
  </si>
  <si>
    <t>June</t>
  </si>
  <si>
    <t>MO</t>
  </si>
  <si>
    <t>July</t>
  </si>
  <si>
    <t>MS</t>
  </si>
  <si>
    <t>August</t>
  </si>
  <si>
    <t>MT</t>
  </si>
  <si>
    <t>September</t>
  </si>
  <si>
    <t xml:space="preserve">County </t>
  </si>
  <si>
    <t>Assessor's Website</t>
  </si>
  <si>
    <t>Parcel/Schedule #</t>
  </si>
  <si>
    <t>1st Installment $</t>
  </si>
  <si>
    <t>1st Due Date</t>
  </si>
  <si>
    <t>Date Paid</t>
  </si>
  <si>
    <t>2nd Installment $</t>
  </si>
  <si>
    <t>2nd Due Date</t>
  </si>
  <si>
    <t>3rd Installment $</t>
  </si>
  <si>
    <t>3rd Due Date</t>
  </si>
  <si>
    <t>4th Installment $</t>
  </si>
  <si>
    <t>4th Due Date</t>
  </si>
  <si>
    <t>October</t>
  </si>
  <si>
    <t>ND</t>
  </si>
  <si>
    <t>Durham County</t>
  </si>
  <si>
    <t>https://dconc.gov/Tax-Administration</t>
  </si>
  <si>
    <t>Online</t>
  </si>
  <si>
    <t>November</t>
  </si>
  <si>
    <t>NE</t>
  </si>
  <si>
    <t>Wake County</t>
  </si>
  <si>
    <t>https://services.wake.gov/taxportal</t>
  </si>
  <si>
    <t>December</t>
  </si>
  <si>
    <t>NH</t>
  </si>
  <si>
    <t xml:space="preserve">*Table assumes payments due mid-month or EOM were made in current month; </t>
  </si>
  <si>
    <t>NJ</t>
  </si>
  <si>
    <t>payments due on 1st were made in previous month</t>
  </si>
  <si>
    <t>NM</t>
  </si>
  <si>
    <t>NV</t>
  </si>
  <si>
    <t>NY</t>
  </si>
  <si>
    <t>OH</t>
  </si>
  <si>
    <t>OK</t>
  </si>
  <si>
    <t>OR</t>
  </si>
  <si>
    <t>PA</t>
  </si>
  <si>
    <t>RI</t>
  </si>
  <si>
    <t>SC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</si>
  <si>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</si>
  <si>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</si>
  <si>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</si>
  <si>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</si>
  <si>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</si>
  <si>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</si>
  <si>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</si>
  <si>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</si>
  <si>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</si>
  <si>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>1st Installment Due</t>
  </si>
  <si>
    <t>2nd Installment Due</t>
  </si>
  <si>
    <t>3rd Installment Due</t>
  </si>
  <si>
    <t>4th Installment Due</t>
  </si>
  <si>
    <t>N/A</t>
  </si>
  <si>
    <t>Hand Key</t>
  </si>
  <si>
    <t>Varies by County</t>
  </si>
  <si>
    <t>Payment Count</t>
  </si>
  <si>
    <t>Tax Period 1 Start</t>
  </si>
  <si>
    <t>Tax Period 1 End</t>
  </si>
  <si>
    <t>Tax Period 2 Start</t>
  </si>
  <si>
    <t>Tax Period 2 End</t>
  </si>
  <si>
    <t>Tax Period 3 Start</t>
  </si>
  <si>
    <t>Tax Period 3 End</t>
  </si>
  <si>
    <t>Tax Period 4 Start</t>
  </si>
  <si>
    <t>Tax Period 4 End</t>
  </si>
  <si>
    <t>Accrued Expenses</t>
  </si>
  <si>
    <t>2610-1110</t>
  </si>
  <si>
    <t>Date</t>
  </si>
  <si>
    <t>Vendor</t>
  </si>
  <si>
    <t>Invoice</t>
  </si>
  <si>
    <t>Amount</t>
  </si>
  <si>
    <t>5300-5100</t>
  </si>
  <si>
    <t>5300-6200</t>
  </si>
  <si>
    <t>5600-3600</t>
  </si>
  <si>
    <t>5600-3700</t>
  </si>
  <si>
    <t>5600-4200</t>
  </si>
  <si>
    <t>5600-9110</t>
  </si>
  <si>
    <t>Tenant Retention / Promo Costs</t>
  </si>
  <si>
    <t>5890-6650</t>
  </si>
  <si>
    <t>5300-3100</t>
  </si>
  <si>
    <t>5600-3900</t>
  </si>
  <si>
    <t>5100-0100</t>
  </si>
  <si>
    <t>Property - Management Fee Payable</t>
  </si>
  <si>
    <t>5600-1300</t>
  </si>
  <si>
    <t>5202-4100</t>
  </si>
  <si>
    <t>5600-3500</t>
  </si>
  <si>
    <t>5890-8210</t>
  </si>
  <si>
    <t>5890-8220</t>
  </si>
  <si>
    <t>5600-1100</t>
  </si>
  <si>
    <t>2610-2110</t>
  </si>
  <si>
    <t xml:space="preserve">Seller </t>
  </si>
  <si>
    <t>Seller Settlement Clearing</t>
  </si>
  <si>
    <t>Buyer</t>
  </si>
  <si>
    <t>Sale Date:</t>
  </si>
  <si>
    <t>True-up Date:</t>
  </si>
  <si>
    <t>Use of this schedule is optional</t>
  </si>
  <si>
    <t>Tenant Code/Source</t>
  </si>
  <si>
    <t>Due To</t>
  </si>
  <si>
    <t>Ending Balance</t>
  </si>
  <si>
    <t>Active Insurance Claim Detail as of</t>
  </si>
  <si>
    <t>Claim #1</t>
  </si>
  <si>
    <t>Date of Loss</t>
  </si>
  <si>
    <t>Claim #</t>
  </si>
  <si>
    <t>Insurance Company</t>
  </si>
  <si>
    <t>Claim Amount</t>
  </si>
  <si>
    <t>Deductible Amount</t>
  </si>
  <si>
    <t>Remaining Amount</t>
  </si>
  <si>
    <t>Invoice #</t>
  </si>
  <si>
    <t>Unit # and Description</t>
  </si>
  <si>
    <t>Claim #2</t>
  </si>
  <si>
    <t>Claim #3</t>
  </si>
  <si>
    <t>Unclaimed Property Detail as of</t>
  </si>
  <si>
    <t>Property Name:</t>
  </si>
  <si>
    <t>Tax ID #:</t>
  </si>
  <si>
    <t>State of Incorporation:</t>
  </si>
  <si>
    <t>Date of Incorporation:</t>
  </si>
  <si>
    <t>Property 
Phone #:</t>
  </si>
  <si>
    <t>Property Code:</t>
  </si>
  <si>
    <t>Client Name:</t>
  </si>
  <si>
    <t>Property Address:</t>
  </si>
  <si>
    <t>42-2638838</t>
  </si>
  <si>
    <t>720-358-1200</t>
  </si>
  <si>
    <t>rpresshi</t>
  </si>
  <si>
    <t>CBRE</t>
  </si>
  <si>
    <t>11674 N Pecos St., Westminster, CO 80234</t>
  </si>
  <si>
    <t xml:space="preserve">Note: hidden columns have changed from prior template versions.  </t>
  </si>
  <si>
    <t xml:space="preserve">If copying &amp; pasting data from prior templates, please copy and paste </t>
  </si>
  <si>
    <t xml:space="preserve">each individual column one at a time. </t>
  </si>
  <si>
    <t>HolderName</t>
  </si>
  <si>
    <t>HolderEIN</t>
  </si>
  <si>
    <t>StateOfInc</t>
  </si>
  <si>
    <t>DateOfInc</t>
  </si>
  <si>
    <t>DDPhoneNumber</t>
  </si>
  <si>
    <t>UniqueIdentifier</t>
  </si>
  <si>
    <t>AccountNumber</t>
  </si>
  <si>
    <t>CompanyName</t>
  </si>
  <si>
    <t>FirstName</t>
  </si>
  <si>
    <t>Middle Initial</t>
  </si>
  <si>
    <t>LastName</t>
  </si>
  <si>
    <t>Suffix</t>
  </si>
  <si>
    <t>SSN</t>
  </si>
  <si>
    <t>Email</t>
  </si>
  <si>
    <t>DriversLicense</t>
  </si>
  <si>
    <t>FirstName2</t>
  </si>
  <si>
    <t>MiddleInitial2</t>
  </si>
  <si>
    <t>LastName2</t>
  </si>
  <si>
    <t>Suffix2</t>
  </si>
  <si>
    <t>SSN2</t>
  </si>
  <si>
    <t>Email2</t>
  </si>
  <si>
    <t>DriversLicense2</t>
  </si>
  <si>
    <t>RelationshipCode</t>
  </si>
  <si>
    <t>AddressLine1</t>
  </si>
  <si>
    <t>AddressLine2</t>
  </si>
  <si>
    <t>AddressLine3</t>
  </si>
  <si>
    <t>City</t>
  </si>
  <si>
    <t>ZipCode</t>
  </si>
  <si>
    <t>CountryCode</t>
  </si>
  <si>
    <t>UnknownOwner</t>
  </si>
  <si>
    <t>ForeignIndicator</t>
  </si>
  <si>
    <t>CheckNumber</t>
  </si>
  <si>
    <t>CheckIssueDate</t>
  </si>
  <si>
    <t>NAUPACode</t>
  </si>
  <si>
    <t>Custom1</t>
  </si>
  <si>
    <t>Custom2</t>
  </si>
  <si>
    <t>Custom3</t>
  </si>
  <si>
    <t>Property Name (Do Not Enter Manually)</t>
  </si>
  <si>
    <t>Property EIN/
Tax ID</t>
  </si>
  <si>
    <t>State of Incorporation</t>
  </si>
  <si>
    <t>Date of Incorporation</t>
  </si>
  <si>
    <t>Property Phone Number</t>
  </si>
  <si>
    <t>UniqueIdentifier
(DO NOT ENTER MANUALLY)</t>
  </si>
  <si>
    <t>First Name</t>
  </si>
  <si>
    <t>Last Name</t>
  </si>
  <si>
    <t>First Name 2</t>
  </si>
  <si>
    <t xml:space="preserve">Middle Initial 2 </t>
  </si>
  <si>
    <t>Last Name 2</t>
  </si>
  <si>
    <t>Address</t>
  </si>
  <si>
    <t>Zip Code</t>
  </si>
  <si>
    <t>Country</t>
  </si>
  <si>
    <t>Check
Number</t>
  </si>
  <si>
    <t>Check Issue Date</t>
  </si>
  <si>
    <r>
      <t xml:space="preserve">Amount
</t>
    </r>
    <r>
      <rPr>
        <sz val="10"/>
        <color rgb="FFFF0000"/>
        <rFont val="Avenir Next LT Pro"/>
        <family val="2"/>
      </rPr>
      <t>(enter as positive only)</t>
    </r>
  </si>
  <si>
    <t>Aayushi</t>
  </si>
  <si>
    <t>Agrawal</t>
  </si>
  <si>
    <t>2207 Duck Pond Cir</t>
  </si>
  <si>
    <t>Morrisville</t>
  </si>
  <si>
    <t>27560</t>
  </si>
  <si>
    <t>USA</t>
  </si>
  <si>
    <t>Troia</t>
  </si>
  <si>
    <t>Covington</t>
  </si>
  <si>
    <t>3516 Medlock Tr</t>
  </si>
  <si>
    <t>Greensboro</t>
  </si>
  <si>
    <t>27405</t>
  </si>
  <si>
    <t>Alexis</t>
  </si>
  <si>
    <t>Bellamy</t>
  </si>
  <si>
    <t>1123 Edinborough Dr</t>
  </si>
  <si>
    <t>Durham</t>
  </si>
  <si>
    <t>27713</t>
  </si>
  <si>
    <t>Lily</t>
  </si>
  <si>
    <t>Liu</t>
  </si>
  <si>
    <t>1000 Dominion Ridge Circle</t>
  </si>
  <si>
    <t>Kira</t>
  </si>
  <si>
    <t>Sims</t>
  </si>
  <si>
    <t>2912 concerto Ct</t>
  </si>
  <si>
    <t>Apex</t>
  </si>
  <si>
    <t>27539</t>
  </si>
  <si>
    <t>Marla</t>
  </si>
  <si>
    <t>McGill</t>
  </si>
  <si>
    <t>2000 Dominion Ridge Cir</t>
  </si>
  <si>
    <t>Anthony</t>
  </si>
  <si>
    <t>Gooch</t>
  </si>
  <si>
    <t>503 Walton St</t>
  </si>
  <si>
    <t>Juan</t>
  </si>
  <si>
    <t>Nunez</t>
  </si>
  <si>
    <t>2031 webster Ave apt 58</t>
  </si>
  <si>
    <t>Bronx</t>
  </si>
  <si>
    <t>Aishwarya</t>
  </si>
  <si>
    <t>Devaraj</t>
  </si>
  <si>
    <t>492 Dolores Dr</t>
  </si>
  <si>
    <t>Milpitas</t>
  </si>
  <si>
    <t>Abdallah</t>
  </si>
  <si>
    <t>Atieh</t>
  </si>
  <si>
    <t>8218 Mahal Ave</t>
  </si>
  <si>
    <t>Cary</t>
  </si>
  <si>
    <t>Samuel Jr.</t>
  </si>
  <si>
    <t>Moss</t>
  </si>
  <si>
    <t>1000 Allison Shiloh Loop, #1-1210</t>
  </si>
  <si>
    <t>Meaghan</t>
  </si>
  <si>
    <t>Nuckols</t>
  </si>
  <si>
    <t>200 Perkins Drive, #309</t>
  </si>
  <si>
    <t>Chapel Hill</t>
  </si>
  <si>
    <t>Jasmine</t>
  </si>
  <si>
    <t>Wiggins</t>
  </si>
  <si>
    <t>1171 Meridian Branch Dr Apt 202</t>
  </si>
  <si>
    <t>Wake Forest</t>
  </si>
  <si>
    <t>Kendric</t>
  </si>
  <si>
    <t>McGrew</t>
  </si>
  <si>
    <t>4000 Dominion Ridge Circle, #4-4319</t>
  </si>
  <si>
    <t>Kymonah</t>
  </si>
  <si>
    <t>Hall</t>
  </si>
  <si>
    <t>2000 Moore Ridge Road, #6-2308</t>
  </si>
  <si>
    <t>Kartheek Reddy</t>
  </si>
  <si>
    <t>Pannala</t>
  </si>
  <si>
    <t>3128 Star Gazing Ln</t>
  </si>
  <si>
    <t>avinash</t>
  </si>
  <si>
    <t>agrawal</t>
  </si>
  <si>
    <t>1110 Hero Place</t>
  </si>
  <si>
    <t>Anilkumar</t>
  </si>
  <si>
    <t>Chauhan</t>
  </si>
  <si>
    <t>1 Cloverleaf LN</t>
  </si>
  <si>
    <t>Franklin</t>
  </si>
  <si>
    <t>02038</t>
  </si>
  <si>
    <t>Traymon</t>
  </si>
  <si>
    <t>Britt</t>
  </si>
  <si>
    <t>225 Keating St, Apt 305</t>
  </si>
  <si>
    <t>Brittany</t>
  </si>
  <si>
    <t>Diggs</t>
  </si>
  <si>
    <t>11150 Lantern Rd, 122</t>
  </si>
  <si>
    <t>Fishers</t>
  </si>
  <si>
    <t>Jaron</t>
  </si>
  <si>
    <t>Peddy</t>
  </si>
  <si>
    <t>4555 McCrimmon Pkwy</t>
  </si>
  <si>
    <t>Eriron</t>
  </si>
  <si>
    <t>Freeman</t>
  </si>
  <si>
    <t>1430 Ardara Ln</t>
  </si>
  <si>
    <t>Raleigh</t>
  </si>
  <si>
    <t>Ivy</t>
  </si>
  <si>
    <t>1101 Sorrel Park Drive</t>
  </si>
  <si>
    <t>Abhilash</t>
  </si>
  <si>
    <t>Gadila</t>
  </si>
  <si>
    <t>1000 Moore Ridge Road Apt 1204</t>
  </si>
  <si>
    <t>Sachin</t>
  </si>
  <si>
    <t>Potalgude</t>
  </si>
  <si>
    <t>2539 Verdial Hill</t>
  </si>
  <si>
    <t>New Hill</t>
  </si>
  <si>
    <t>Altoneil</t>
  </si>
  <si>
    <t>Barrett</t>
  </si>
  <si>
    <t>1119 Clarendon Street</t>
  </si>
  <si>
    <t>Ahmad</t>
  </si>
  <si>
    <t>Brunson</t>
  </si>
  <si>
    <t>280 Spaniel Drive</t>
  </si>
  <si>
    <t xml:space="preserve">Renelle </t>
  </si>
  <si>
    <t>Drewberry</t>
  </si>
  <si>
    <t>809 Ridgedale CT</t>
  </si>
  <si>
    <t>Charlotte</t>
  </si>
  <si>
    <t>Kierra</t>
  </si>
  <si>
    <t>Horton</t>
  </si>
  <si>
    <t>911 Riverbank Lane</t>
  </si>
  <si>
    <t>Chanbrail</t>
  </si>
  <si>
    <t>Johnson-Copper</t>
  </si>
  <si>
    <t>190 Lakemont Drive</t>
  </si>
  <si>
    <t>Clayton</t>
  </si>
  <si>
    <t>Stephon</t>
  </si>
  <si>
    <t>Mitchell</t>
  </si>
  <si>
    <t>1419 Suterland Ln</t>
  </si>
  <si>
    <t>SD</t>
  </si>
  <si>
    <t xml:space="preserve">India </t>
  </si>
  <si>
    <t>Porter</t>
  </si>
  <si>
    <t>4025 St Croix Ln Apt. 204</t>
  </si>
  <si>
    <t>Mebane</t>
  </si>
  <si>
    <t>Patrick</t>
  </si>
  <si>
    <t>Robertson</t>
  </si>
  <si>
    <t>3701 Ashbrook Dr NW Apt. 517</t>
  </si>
  <si>
    <t>Wilson</t>
  </si>
  <si>
    <t>Gabrielle</t>
  </si>
  <si>
    <t>Worthy</t>
  </si>
  <si>
    <t>4000 Dominion Ridge Circle 4-4306</t>
  </si>
  <si>
    <t>NRUPATUNGA</t>
  </si>
  <si>
    <t>NADIG</t>
  </si>
  <si>
    <t>3712 Bailey Lake Dr</t>
  </si>
  <si>
    <t>Fuquay-Varina</t>
  </si>
  <si>
    <t>Darien</t>
  </si>
  <si>
    <t>Burnside</t>
  </si>
  <si>
    <t>3616 Turney Drive</t>
  </si>
  <si>
    <t>Vijay</t>
  </si>
  <si>
    <t>Kolli</t>
  </si>
  <si>
    <t>1000 Moore Ridge Road 5-1122</t>
  </si>
  <si>
    <t>Mohamed Rabeek</t>
  </si>
  <si>
    <t>Sarbudeen</t>
  </si>
  <si>
    <t>20000 Fletcher Stone Way Apt 20208</t>
  </si>
  <si>
    <t>Treasure</t>
  </si>
  <si>
    <t>Banks</t>
  </si>
  <si>
    <t>105 Woodvine Ct</t>
  </si>
  <si>
    <t>New Bern</t>
  </si>
  <si>
    <t>Capital Expense Details</t>
  </si>
  <si>
    <t>14025-000</t>
  </si>
  <si>
    <t>Project Name/Description</t>
  </si>
  <si>
    <t>Prior Year Ending Balance</t>
  </si>
  <si>
    <t>JAN</t>
  </si>
  <si>
    <t>FEB</t>
  </si>
  <si>
    <t>MAR</t>
  </si>
  <si>
    <t>APR</t>
  </si>
  <si>
    <t>MAY</t>
  </si>
  <si>
    <t>JUNE</t>
  </si>
  <si>
    <t>JULY</t>
  </si>
  <si>
    <t>AUG</t>
  </si>
  <si>
    <t>SEPT</t>
  </si>
  <si>
    <t>OCT</t>
  </si>
  <si>
    <t>NOV</t>
  </si>
  <si>
    <t>DEC</t>
  </si>
  <si>
    <t>TOTAL</t>
  </si>
  <si>
    <t>Beginning Balance</t>
  </si>
  <si>
    <t>14070-000</t>
  </si>
  <si>
    <t>14078-000</t>
  </si>
  <si>
    <t>14105-000</t>
  </si>
  <si>
    <t>14105-001</t>
  </si>
  <si>
    <t>14105-002</t>
  </si>
  <si>
    <t>14105-003</t>
  </si>
  <si>
    <t>14105-004</t>
  </si>
  <si>
    <t>14105-005</t>
  </si>
  <si>
    <t>14105-006</t>
  </si>
  <si>
    <t>14105-007</t>
  </si>
  <si>
    <t>14105-008</t>
  </si>
  <si>
    <t>14105-009</t>
  </si>
  <si>
    <t>14260-000</t>
  </si>
  <si>
    <t>14300-000</t>
  </si>
  <si>
    <t>14665-003</t>
  </si>
  <si>
    <t>Current Year Totals</t>
  </si>
  <si>
    <t>Current Year Ending Balance</t>
  </si>
  <si>
    <t>Balance Sheet: Total Fixed Assets</t>
  </si>
  <si>
    <t>Balance Sheet: Total Capital Renovation:</t>
  </si>
  <si>
    <t>Variance</t>
  </si>
  <si>
    <t>ACCOUNTING SOFTWARE:</t>
  </si>
  <si>
    <t>Yardi</t>
  </si>
  <si>
    <t>CURRENT MONTH:</t>
  </si>
  <si>
    <t>MAPPED COA EXPORT:</t>
  </si>
  <si>
    <t>Chart of Accounts B</t>
  </si>
  <si>
    <t>Instructions for Creating JE Upload File</t>
  </si>
  <si>
    <t>PREPAID 
GL CODES</t>
  </si>
  <si>
    <t>1.</t>
  </si>
  <si>
    <t>Once all activity has been updated for the current month, confirm that column A - "Posted?" has been completed correctly</t>
  </si>
  <si>
    <t>on the Prepaid Other, Real Estate Taxes, and Property Insurance tabs. If an entry has already been posted, enter "Yes" in column A - "Posted?".</t>
  </si>
  <si>
    <t>If the entry needs to be uploaded then enter "No" or leave column A blank.</t>
  </si>
  <si>
    <t>2.</t>
  </si>
  <si>
    <t>Review the default Prepaid and Accrual account selections in Column C on the "Upload Setup" tab. Update as needed per client requirements.</t>
  </si>
  <si>
    <t>3.</t>
  </si>
  <si>
    <t>Select the accounting software system used by your property from the drop down menu in Cell B1 of the "Upload Setup" tab.</t>
  </si>
  <si>
    <t xml:space="preserve">Select the current month from the drop down menu in Cell B2 of the "Upload Setup" tab and click the "Generate CSV" button. </t>
  </si>
  <si>
    <t>This will automatically generate a CSV file for upload into your property's respective software system.</t>
  </si>
  <si>
    <t>When prompted, save the CSV file. Save the workbook.</t>
  </si>
  <si>
    <t>4.</t>
  </si>
  <si>
    <t>For Yardi properties, use the "Import Tran CSV" option to upload the journal entry file in Yardi. Review all journals after import, and if all looks</t>
  </si>
  <si>
    <t>correct, then post.</t>
  </si>
  <si>
    <t>Prepaid - Other</t>
  </si>
  <si>
    <t>ACCRUAL
GL CODES</t>
  </si>
  <si>
    <t>J</t>
  </si>
  <si>
    <t>Balance Sheet Entries</t>
  </si>
  <si>
    <t>Reference</t>
  </si>
  <si>
    <t>Type</t>
  </si>
  <si>
    <t>Inter Company</t>
  </si>
  <si>
    <t>Memo</t>
  </si>
  <si>
    <t>Unit</t>
  </si>
  <si>
    <t>Post Month</t>
  </si>
  <si>
    <t>Accounting Method</t>
  </si>
  <si>
    <t>Book Type</t>
  </si>
  <si>
    <t>Set To Reverse</t>
  </si>
  <si>
    <t>Reversal Post Month</t>
  </si>
  <si>
    <t>Set To Pause</t>
  </si>
  <si>
    <t>Transaction Date</t>
  </si>
  <si>
    <t>Routing Tag</t>
  </si>
  <si>
    <t>Account Number</t>
  </si>
  <si>
    <t>Company Department</t>
  </si>
  <si>
    <t>Custom Tag</t>
  </si>
  <si>
    <t>Confidential</t>
  </si>
  <si>
    <t>Debit</t>
  </si>
  <si>
    <t>Credit</t>
  </si>
  <si>
    <t>DR/CR</t>
  </si>
  <si>
    <t>Standard</t>
  </si>
  <si>
    <t>#DONOTIMPORT</t>
  </si>
  <si>
    <t>JOURNAL</t>
  </si>
  <si>
    <t>DATE</t>
  </si>
  <si>
    <t>REVERSEDATE</t>
  </si>
  <si>
    <t>DESCRIPTION</t>
  </si>
  <si>
    <t>REFERENCE_NO</t>
  </si>
  <si>
    <t>LINE_NO</t>
  </si>
  <si>
    <t>ACCT_NO</t>
  </si>
  <si>
    <t>LOCATION_ID</t>
  </si>
  <si>
    <t>DEPT_ID</t>
  </si>
  <si>
    <t>DOCUMENT</t>
  </si>
  <si>
    <t>MEMO</t>
  </si>
  <si>
    <t>DEBIT</t>
  </si>
  <si>
    <t>CREDIT</t>
  </si>
  <si>
    <t>SOURCEENTITY</t>
  </si>
  <si>
    <t>CURRENCY</t>
  </si>
  <si>
    <t>EXCH_RATE_DATE</t>
  </si>
  <si>
    <t>EXCH_RATE_TYPE_ID</t>
  </si>
  <si>
    <t>EXCHANGE_RATE</t>
  </si>
  <si>
    <t>STATE</t>
  </si>
  <si>
    <t>ALLOCATION_ID</t>
  </si>
  <si>
    <t>BILLABLE</t>
  </si>
  <si>
    <t>UNITNUM</t>
  </si>
  <si>
    <t>JOB_NAME</t>
  </si>
  <si>
    <t>COST_CODE</t>
  </si>
  <si>
    <t>UNIT</t>
  </si>
  <si>
    <t>CF_GLENTRY_WSTOKEN</t>
  </si>
  <si>
    <t>CF_GLENTRY_PMCID</t>
  </si>
  <si>
    <t>CF_GLENTRY_SITEID</t>
  </si>
  <si>
    <t>CF_GLENTRY_SUMID</t>
  </si>
  <si>
    <t>GLENTRY_EMPLOYEEID</t>
  </si>
  <si>
    <t>SEGMENTTYPE_1</t>
  </si>
  <si>
    <t>SEGMENTVALUE_1</t>
  </si>
  <si>
    <t>SEGMENTTYPE_2</t>
  </si>
  <si>
    <t>SEGMENTVALUE_2</t>
  </si>
  <si>
    <t>SEGMENTTYPE_3</t>
  </si>
  <si>
    <t>SEGMENTVALUE_3</t>
  </si>
  <si>
    <t>SEGMENTTYPE_4</t>
  </si>
  <si>
    <t>SEGMENTVALUE_4</t>
  </si>
  <si>
    <t>SEGMENTTYPE_5</t>
  </si>
  <si>
    <t>SEGMENTVALUE_5</t>
  </si>
  <si>
    <t>BALANCEICSEGMENT</t>
  </si>
  <si>
    <t>#_x000D_
Any row which starts with a # will be ignored during import</t>
  </si>
  <si>
    <t xml:space="preserve">Field Name: JOURNAL_x000D_
UI Field Name: Journal_x000D_
Type: Character _x000D_
Length: 4_x000D_
Default Value: None_x000D_
Dependencies: None_x000D_
Required: Yes_x000D_
Editable: Yes_x000D_
</t>
  </si>
  <si>
    <t xml:space="preserve">Field Name: DATE_x000D_
UI Field Name: Date_x000D_
Type: Date_x000D_
Length: 24_x000D_
Default Value: Current Date_x000D_
Valid Values: Any valid date format_x000D_
Dependencies: None_x000D_
Required: Yes_x000D_
Editable: Yes_x000D_
</t>
  </si>
  <si>
    <t>Field name: REVERSEDATE_x000D_
UI Field Name: Reverse Date_x000D_
Type: Date_x000D_
Length: 24_x000D_
Default Value: None_x000D_
Valid Values: Any valid date format_x000D_
Dependencies: None_x000D_
Required: No_x000D_
Editable: Yes</t>
  </si>
  <si>
    <t xml:space="preserve">Field Name: DESCRIPTION_x000D_
UI Field Name: Description_x000D_
Type: Character _x000D_
Length: 80_x000D_
Default Value: None_x000D_
Valid Values: Alphanumeric and underscore_x000D_
Dependencies: None_x000D_
Required: Yes_x000D_
Editable: Yes_x000D_
</t>
  </si>
  <si>
    <t>Field Name: REFERENCE_NO_x000D_
UI Field Name: Reference Number_x000D_
Type: Character_x000D_
Length: 20_x000D_
Default Value: None_x000D_
Valid Values: Any_x000D_
Dependencies: None_x000D_
Required: No_x000D_
Editable: N/A_x000D_
Notes: You may not have duplicate numbers within any company. In MEGA companies, two entity companies may use the same number.</t>
  </si>
  <si>
    <t xml:space="preserve">Field Name: LINE_NO_x000D_
UI Field Name: No field name as such. These are the line numbers on the left side of the transaction area._x000D_
Type: Number_x000D_
Length: Any_x000D_
Default Value: None_x000D_
Valid Values: Positive integer_x000D_
Dependencies: Start with 1 for the first line of a transaction, and increment by one for each subsequent line_x000D_
Required: Yes_x000D_
Editable: No_x000D_
</t>
  </si>
  <si>
    <t xml:space="preserve">Field Name: ACCT_NO_x000D_
UI Field Name: Account_x000D_
Type: Character _x000D_
Length: 24_x000D_
Default Value: None_x000D_
Valid Values: Any; Must conform to primary/sub account specification in Company &gt; Setup: Company Info_x000D_
Dependencies: None_x000D_
Required: Yes_x000D_
Editable: Yes_x000D_
</t>
  </si>
  <si>
    <t xml:space="preserve">Field Name: LOCATION_ID_x000D_
UI Field Name: Location_x000D_
Type: Character _x000D_
Length: 20_x000D_
Default Value: None_x000D_
Valid Values: Alphanumeric and underscore_x000D_
Dependencies: Refers to a valid location_x000D_
Required: No_x000D_
Editable: Yes_x000D_
</t>
  </si>
  <si>
    <t xml:space="preserve">Field Name: DEPT_ID_x000D_
UI Field Name: Department_x000D_
Type: Character _x000D_
Length: 20_x000D_
Default Value: None_x000D_
Valid Values: Alphanumeric and underscore_x000D_
Dependencies: Refers to a valid department_x000D_
Required: No_x000D_
Editable: Yes_x000D_
</t>
  </si>
  <si>
    <t xml:space="preserve">Field Name: DOCUMENT_x000D_
UI Field Name: Document_x000D_
Type: Character _x000D_
Length: 30_x000D_
Default Value: None_x000D_
Valid Values: Any_x000D_
Dependencies: None_x000D_
Required: No_x000D_
Editable: Yes_x000D_
</t>
  </si>
  <si>
    <t xml:space="preserve">Field Name: MEMO_x000D_
UI Field Name: Memo_x000D_
Type: Character _x000D_
Length: 1000_x000D_
Default Value: None_x000D_
Valid Values: Any_x000D_
Dependencies: None_x000D_
Required: No_x000D_
Editable: Yes_x000D_
</t>
  </si>
  <si>
    <t xml:space="preserve">Field Name: DEBIT_x000D_
UI Field Name: Debit_x000D_
Type: NUMBER _x000D_
Length: 38,2_x000D_
Default Value: None_x000D_
Valid Values: Any number_x000D_
Dependencies: None_x000D_
Required: Yes, if CREDIT amount not present_x000D_
Editable: Yes_x000D_
Notes: A negative number is treated as a credit._x000D_
</t>
  </si>
  <si>
    <t xml:space="preserve">Field Name: CREDIT_x000D_
UI Field Name: Credit_x000D_
Type: NUMBER _x000D_
Length: 38,2_x000D_
Default Value: None_x000D_
Valid Values: Any number_x000D_
Dependencies: None_x000D_
Required: Yes, if DEBIT amount is not present_x000D_
Editable: Yes_x000D_
Notes: A negative number is treated as a debit._x000D_
</t>
  </si>
  <si>
    <t xml:space="preserve">Field Name: SOURCEENTITY_x000D_
UI Field Name: Source Entity_x000D_
Type: Character _x000D_
Length: 20_x000D_
Default Value: None_x000D_
Valid Values: Alphanumeric and underscore_x000D_
Dependencies: Refers to a valid location_x000D_
Required: Only when the option to auto-create inter-entity transactions is enabled for journal entries and the  journal entry is not balanced by location._x000D_
Editable: Yes_x000D_
</t>
  </si>
  <si>
    <t>Field Name: CURRENCY_x000D_
UI Field Name: Currency_x000D_
Type: Character_x000D_
Length: 3_x000D_
Default Value: Base Currency_x000D_
Valid Values: Any defined currency, such as USD or EUR; blank denotes base currency_x000D_
Dependencies: Must reference a previously defined currency_x000D_
Required: No_x000D_
Editable: Yes_x000D_
Notes: Use only in multi-currency companies. This field defines the transaction currency. If no field is defined here, the system uses base currency.</t>
  </si>
  <si>
    <t>Field Name: EXCH_RATE_DATE_x000D_
UI Field Name: Exchange Rate Date_x000D_
Type: Date_x000D_
Length: 10_x000D_
Default Value: Today_x000D_
Valid Values: Any valid date format_x000D_
Dependencies: None_x000D_
Required: Yes, unless you provide the EXCHANGE_RATE_x000D_
Editable: Yes_x000D_
Notes: Use only in multi-currency companies. This field determines the exchange rate as of this date.</t>
  </si>
  <si>
    <t>Field Name: EXCH_RATE_TYPE_ID_x000D_
UI Field Name: Exchange Rate Type_x000D_
Type: Character_x000D_
Length: 40_x000D_
Default Value: Intacct Daily Rate, unless a custom exchange rate is defined as the default_x000D_
Valid Values: Alphanumeric and underscore_x000D_
Dependencies: Must reference a previously defined exchange rate type_x000D_
Required: No_x000D_
Editable: Yes_x000D_
Notes: Use only in multi-currency companies. Defines an optional custom exchange rate type. The system uses the Intacct Daily rate if no optional one is defined here.</t>
  </si>
  <si>
    <t>Field Name: EXCHANGE_RATE_x000D_
UI Field Name: Exchange Rate_x000D_
Type: Number_x000D_
Length: 17, not including decimal point_x000D_
Default Value: Defaults to the exchange rate of the CURRENCY on the EXCH_RATE_DATE for the EXCH_RATE_TYPE_x000D_
Valid Values: Positive integers_x000D_
Dependencies: None_x000D_
Required: No_x000D_
Editable: Yes_x000D_
Notes: Use only in multi-currency companies. Overrides the default exchange rate, which is the product of the CURRENCY, EXCH_RATE_DATE and EXCH_RATE_TYPE.</t>
  </si>
  <si>
    <t xml:space="preserve">Field name: STATE_x000D_
UI Field Name: State_x000D_
Field Type: Character_x000D_
Length: 6_x000D_
Valid Values: Draft, Posted_x000D_
Required: No_x000D_
Editable: Only if state = Draft_x000D_
Note: If left blank, State will be set to Posted_x000D_
</t>
  </si>
  <si>
    <t>Field Name: ALLOCATION ID_x000D_
UI Field Name: Allocation_x000D_
Type: Character _x000D_
Length: 50_x000D_
Default Value: None_x000D_
Valid Values: An existing valid Allocation_x000D_
Dependencies: None_x000D_
Required: No_x000D_
Editable: No</t>
  </si>
  <si>
    <t>Field Name: BILLABLE_x000D_
UI Field Name: BILLABLE_x000D_
Type: Character _x000D_
Length: 1_x000D_
Default Value: F_x000D_
Valid Values: T or F_x000D_
Dependencies: CUSTOMER and ITEM (as per UI)_x000D_
Required: No_x000D_
Editable: YES</t>
  </si>
  <si>
    <t>Field name: UNITNUM_x000D_
UI Field Name: Unit key_x000D_
Field Type: Number_x000D_
Length: 8_x000D_
Valid Values: Digits 0-9_x000D_
Required: No</t>
  </si>
  <si>
    <t>Field name: JOB_NAME</t>
  </si>
  <si>
    <t>Field name: COST_CODE</t>
  </si>
  <si>
    <t>Field name: UNIT</t>
  </si>
  <si>
    <t>Field name: CF_GLENTRY_WSTOKEN_x000D_
UI Field Name: Token_x000D_
Field Type: Character_x000D_
Length: 80_x000D_
Required: No_x000D_
Description: Web service token.</t>
  </si>
  <si>
    <t>Field name: CF_GLENTRY_PMCID_x000D_
UI Field Name: PMC ID_x000D_
Field Type: Character_x000D_
Length: 80_x000D_
Required: No_x000D_
Description: PMC ID.</t>
  </si>
  <si>
    <t>Field name: CF_GLENTRY_SITEID_x000D_
UI Field Name: Site ID_x000D_
Field Type: Character_x000D_
Length: 80_x000D_
Required: No_x000D_
Description: Site ID.</t>
  </si>
  <si>
    <t>Field name: CF_GLENTRY_SUMID_x000D_
UI Field Name: Summary ID_x000D_
Field Type: Character_x000D_
Length: 80_x000D_
Required: No_x000D_
Description: Summary ID.</t>
  </si>
  <si>
    <t>Field name: GLENTRY_EMPLOYEEID_x000D_
UI Field Name: Employee_x000D_
Field Type: Character_x000D_
Length: 20_x000D_
Dependencies: A valid Employee_x000D_
Required: No</t>
  </si>
  <si>
    <t xml:space="preserve">Field Name: (Segment Type)_x000D_
UI Field Name: Segment Type_x000D_
Type: Character_x000D_
Length: 20_x000D_
Default Value: None_x000D_
Valid Values: Valid Segment Type_x000D_
Required: No_x000D_
Notes: </t>
  </si>
  <si>
    <t xml:space="preserve">Field Name: (Segment Value)_x000D_
UI Field Name: Locations/Location groups_x000D_
Type: Character_x000D_
Length: 20_x000D_
Default Value: None_x000D_
Valid Values: Valid Segment Value_x000D_
Required: No_x000D_
Notes: </t>
  </si>
  <si>
    <t xml:space="preserve">Field Name: (Balance IC Segment)_x000D_
Default Value: true_x000D_
Valid Values: true, false_x000D_
Required: No_x000D_
Notes: </t>
  </si>
  <si>
    <t>GJ</t>
  </si>
  <si>
    <t>HUD Guidelines</t>
  </si>
  <si>
    <t xml:space="preserve">HUD Project Manager Name: </t>
  </si>
  <si>
    <t>HUD Project Number:</t>
  </si>
  <si>
    <t>Email:</t>
  </si>
  <si>
    <t>HUD Project Start Date:</t>
  </si>
  <si>
    <t>Phone:</t>
  </si>
  <si>
    <t>Paste HUD Regulatory Agreement Here 
(Request from Client)</t>
  </si>
  <si>
    <t>Paste HUD Correspondence Here</t>
  </si>
  <si>
    <t>Guideline 1</t>
  </si>
  <si>
    <t>Security Deposit Funds</t>
  </si>
  <si>
    <r>
      <t xml:space="preserve">Cash held must equal or exceed liability balance on the last </t>
    </r>
    <r>
      <rPr>
        <b/>
        <i/>
        <u/>
        <sz val="14"/>
        <rFont val="Avenir Next LT Pro"/>
        <family val="2"/>
      </rPr>
      <t xml:space="preserve">CALENDAR </t>
    </r>
    <r>
      <rPr>
        <b/>
        <sz val="14"/>
        <rFont val="Avenir Next LT Pro"/>
        <family val="2"/>
      </rPr>
      <t>day of every month</t>
    </r>
  </si>
  <si>
    <t>Balance in 11040-000 Cash-Security Deposit on last day of month</t>
  </si>
  <si>
    <t>Balance in 23030-000 Security Deposits on last day of month</t>
  </si>
  <si>
    <t>Guideline 2</t>
  </si>
  <si>
    <t>Replacement Reserve Funding</t>
  </si>
  <si>
    <t>Are replacement reserve deposits being made in accordance with HUD Regulatory Agreement?</t>
  </si>
  <si>
    <t>Required Monthly RR Deposit per Regulatory Agreement</t>
  </si>
  <si>
    <t>through what date?</t>
  </si>
  <si>
    <t>Replacement reserve payment made in current month</t>
  </si>
  <si>
    <t>Guideline 3</t>
  </si>
  <si>
    <t>Replacement Reserve Balance</t>
  </si>
  <si>
    <t>Analyze replacement reserve balance; if significant and not being spent, consider submitting a written request to HUD requesting reduction in monthly deposit requirement (with client approval)</t>
  </si>
  <si>
    <t>Current replacement reserve balance</t>
  </si>
  <si>
    <t>Guideline 4</t>
  </si>
  <si>
    <t>Replacement Reserve Interest</t>
  </si>
  <si>
    <t>Interest earned on replacement reserve account must be isolated in a separate GL account and can't be combined with any other interest income.  Use account 43127-000</t>
  </si>
  <si>
    <t xml:space="preserve">Does project earn interest on replacement reserve balance? </t>
  </si>
  <si>
    <t xml:space="preserve">If yes, what GL account is replacement reserve interest being recorded in (format as 431XX-000)? </t>
  </si>
  <si>
    <t>Guideline 5</t>
  </si>
  <si>
    <t>Distributions</t>
  </si>
  <si>
    <t>Distributions can only be paid 1-2 times per year as per regulatory agreement, typically 6/30 and/or 12/31, and you must use HUD's surplus cash calculation to calculate the amount allowable</t>
  </si>
  <si>
    <t>6/30 Distribution allowable per Regulatory Agreement?</t>
  </si>
  <si>
    <t>12/31 Distribution allowable per Regulatory Agreement?</t>
  </si>
  <si>
    <t>Guideline 6</t>
  </si>
  <si>
    <t>Surplus Cash Calculation</t>
  </si>
  <si>
    <t>There are currently three different versions of the HUD Regulatory Agreement and each requires line #13 be completed differently.  Locate the regulatory agreement form number at the bottom of the agreement and match to the table below to determine what to report in line #13 of the surplus cash calculation</t>
  </si>
  <si>
    <t>Regulatory Agreement Form</t>
  </si>
  <si>
    <t>HUD-92466 (2011 &amp; Prior)</t>
  </si>
  <si>
    <t>HUD-92466M (Rev 04/11) or 
HUD-92466M-11</t>
  </si>
  <si>
    <t>HUD-92466M (Rev 06/14)</t>
  </si>
  <si>
    <t>Include in current obligations
Line #13 Other</t>
  </si>
  <si>
    <t>Interest</t>
  </si>
  <si>
    <t>Principle</t>
  </si>
  <si>
    <t>Reserve</t>
  </si>
  <si>
    <t>Taxes</t>
  </si>
  <si>
    <t>Insurance</t>
  </si>
  <si>
    <t xml:space="preserve">HUD SURPLUS CASH CALCULATION </t>
  </si>
  <si>
    <t>NOTES</t>
  </si>
  <si>
    <t>Computation of Surplus Cash, Distributions and Residual Receipts</t>
  </si>
  <si>
    <t xml:space="preserve">U.S. Department of Housing </t>
  </si>
  <si>
    <t>OMB Approval No. 9999-9999</t>
  </si>
  <si>
    <t>Section 232</t>
  </si>
  <si>
    <t>and Urban Development</t>
  </si>
  <si>
    <t>(exp. mm/dd/yyyy)</t>
  </si>
  <si>
    <t xml:space="preserve">Office of Residential </t>
  </si>
  <si>
    <t>Care Facilities</t>
  </si>
  <si>
    <t>Project Name:</t>
  </si>
  <si>
    <t>Fiscal Period Ended:      ___/___/___</t>
  </si>
  <si>
    <t>FHA Project Number:</t>
  </si>
  <si>
    <t>PART A – Compute Surplus Cash</t>
  </si>
  <si>
    <t>Cash</t>
  </si>
  <si>
    <t>1. Cash (Accounts 1120, 1170, 1191)</t>
  </si>
  <si>
    <t>$</t>
  </si>
  <si>
    <t xml:space="preserve">Do not include escrow deposits, HUD required reserves or entity/construction cash balances </t>
  </si>
  <si>
    <r>
      <t>2.</t>
    </r>
    <r>
      <rPr>
        <sz val="7"/>
        <rFont val="Avenir Next LT Pro"/>
        <family val="2"/>
      </rPr>
      <t xml:space="preserve">       </t>
    </r>
    <r>
      <rPr>
        <sz val="11"/>
        <rFont val="Avenir Next LT Pro"/>
        <family val="2"/>
      </rPr>
      <t xml:space="preserve">Medicare/Medicaid Receivables to be received within 60 days and not encumbered by Accounts Receivable Financing (optional for non-profit projects) </t>
    </r>
  </si>
  <si>
    <t>Leave blank</t>
  </si>
  <si>
    <t>3. Other (describe)</t>
  </si>
  <si>
    <t>Include replacement reserve draws approved by HUD but not yet reimbursed by lender</t>
  </si>
  <si>
    <r>
      <t>(a)</t>
    </r>
    <r>
      <rPr>
        <sz val="7"/>
        <rFont val="Avenir Next LT Pro"/>
        <family val="2"/>
      </rPr>
      <t xml:space="preserve">    </t>
    </r>
    <r>
      <rPr>
        <b/>
        <sz val="11"/>
        <rFont val="Avenir Next LT Pro"/>
        <family val="2"/>
      </rPr>
      <t>Total Cash</t>
    </r>
    <r>
      <rPr>
        <sz val="11"/>
        <rFont val="Avenir Next LT Pro"/>
        <family val="2"/>
      </rPr>
      <t xml:space="preserve"> (Add Lines 1, 2 and 3)</t>
    </r>
  </si>
  <si>
    <t xml:space="preserve">Current Obligations </t>
  </si>
  <si>
    <t>4. Accrued Mortgage Interest Payable</t>
  </si>
  <si>
    <t>Include interest due the first of the next month; interest is paid in arrears, i.e. for the month of December is payable January 1</t>
  </si>
  <si>
    <t>5. Delinquent Mortgage Principal Payments</t>
  </si>
  <si>
    <t>Include principal delinquent under the mortgage, if applicable</t>
  </si>
  <si>
    <t>6. Delinquent Deposits to Reserve for Replacements</t>
  </si>
  <si>
    <t>Include any delinquent deposits to the reserve for replacment account, if applicable</t>
  </si>
  <si>
    <t>7. Accounts Payable (due within 30 days)</t>
  </si>
  <si>
    <t>Should tie to A/P Aging; exclude AP related to RR draws that were approved by HUD prior to year end but not yet reimbursed by lender</t>
  </si>
  <si>
    <t>8. Loans and Notes Payable (due within 30 days)</t>
  </si>
  <si>
    <t>Include loans or notes due within next 30 days, if applicable</t>
  </si>
  <si>
    <t>9. Deficient Tax Insurance or MIP Escrow Deposits</t>
  </si>
  <si>
    <t>Include any deficiency reported in the mortgage escrow deposits (not RR included in #6) schedule of the supplemental data to the financial statement, if applicable</t>
  </si>
  <si>
    <r>
      <t>10.</t>
    </r>
    <r>
      <rPr>
        <sz val="7"/>
        <rFont val="Avenir Next LT Pro"/>
        <family val="2"/>
      </rPr>
      <t xml:space="preserve">      </t>
    </r>
    <r>
      <rPr>
        <sz val="11"/>
        <rFont val="Avenir Next LT Pro"/>
        <family val="2"/>
      </rPr>
      <t>Accrued Expenses (not escrowed)</t>
    </r>
  </si>
  <si>
    <t>If taxes are escrowed, you do not need to include</t>
  </si>
  <si>
    <r>
      <t>11.</t>
    </r>
    <r>
      <rPr>
        <sz val="7"/>
        <rFont val="Avenir Next LT Pro"/>
        <family val="2"/>
      </rPr>
      <t xml:space="preserve">      </t>
    </r>
    <r>
      <rPr>
        <sz val="11"/>
        <rFont val="Avenir Next LT Pro"/>
        <family val="2"/>
      </rPr>
      <t>Prepaid Revenue (Account 2210)</t>
    </r>
  </si>
  <si>
    <t>Should tie to Prepaid Rent on the A/R Aging</t>
  </si>
  <si>
    <r>
      <t>12.</t>
    </r>
    <r>
      <rPr>
        <sz val="7"/>
        <rFont val="Avenir Next LT Pro"/>
        <family val="2"/>
      </rPr>
      <t xml:space="preserve">      </t>
    </r>
    <r>
      <rPr>
        <sz val="11"/>
        <rFont val="Avenir Next LT Pro"/>
        <family val="2"/>
      </rPr>
      <t>Tenant Security Deposits Liability (Account 2191)</t>
    </r>
  </si>
  <si>
    <t>Should tie to Security Deposit Subledger</t>
  </si>
  <si>
    <r>
      <t>13.</t>
    </r>
    <r>
      <rPr>
        <sz val="7"/>
        <rFont val="Avenir Next LT Pro"/>
        <family val="2"/>
      </rPr>
      <t xml:space="preserve">      </t>
    </r>
    <r>
      <rPr>
        <sz val="11"/>
        <rFont val="Avenir Next LT Pro"/>
        <family val="2"/>
      </rPr>
      <t>Other (describe)</t>
    </r>
  </si>
  <si>
    <t>What is included in this line item is determined based on the version of the regulatory agreement (see table above)</t>
  </si>
  <si>
    <r>
      <t>(b)</t>
    </r>
    <r>
      <rPr>
        <sz val="7"/>
        <rFont val="Avenir Next LT Pro"/>
        <family val="2"/>
      </rPr>
      <t xml:space="preserve">    </t>
    </r>
    <r>
      <rPr>
        <b/>
        <sz val="11"/>
        <rFont val="Avenir Next LT Pro"/>
        <family val="2"/>
      </rPr>
      <t>Total Current Obligations</t>
    </r>
    <r>
      <rPr>
        <sz val="11"/>
        <rFont val="Avenir Next LT Pro"/>
        <family val="2"/>
      </rPr>
      <t xml:space="preserve"> (add Lines 4 through 13)</t>
    </r>
  </si>
  <si>
    <r>
      <t>(c)</t>
    </r>
    <r>
      <rPr>
        <sz val="7"/>
        <rFont val="Avenir Next LT Pro"/>
        <family val="2"/>
      </rPr>
      <t xml:space="preserve">    </t>
    </r>
    <r>
      <rPr>
        <b/>
        <sz val="11"/>
        <rFont val="Avenir Next LT Pro"/>
        <family val="2"/>
      </rPr>
      <t>Surplus Cash</t>
    </r>
    <r>
      <rPr>
        <sz val="11"/>
        <rFont val="Avenir Next LT Pro"/>
        <family val="2"/>
      </rPr>
      <t xml:space="preserve"> (</t>
    </r>
    <r>
      <rPr>
        <b/>
        <sz val="11"/>
        <rFont val="Avenir Next LT Pro"/>
        <family val="2"/>
      </rPr>
      <t>Deficiency</t>
    </r>
    <r>
      <rPr>
        <sz val="11"/>
        <rFont val="Avenir Next LT Pro"/>
        <family val="2"/>
      </rPr>
      <t xml:space="preserve">) (Line 3(a) minus Line 13(b)) </t>
    </r>
  </si>
  <si>
    <t>PART B – Compute Distribution to Owners and Required Deposit to Residual Receipts</t>
  </si>
  <si>
    <r>
      <t>1.</t>
    </r>
    <r>
      <rPr>
        <sz val="7"/>
        <rFont val="Avenir Next LT Pro"/>
        <family val="2"/>
      </rPr>
      <t xml:space="preserve">       </t>
    </r>
    <r>
      <rPr>
        <b/>
        <sz val="11"/>
        <rFont val="Avenir Next LT Pro"/>
        <family val="2"/>
      </rPr>
      <t>Surplus Cash</t>
    </r>
    <r>
      <rPr>
        <sz val="11"/>
        <rFont val="Avenir Next LT Pro"/>
        <family val="2"/>
      </rPr>
      <t xml:space="preserve"> (</t>
    </r>
    <r>
      <rPr>
        <b/>
        <sz val="11"/>
        <rFont val="Avenir Next LT Pro"/>
        <family val="2"/>
      </rPr>
      <t>Deficiency</t>
    </r>
    <r>
      <rPr>
        <sz val="11"/>
        <rFont val="Avenir Next LT Pro"/>
        <family val="2"/>
      </rPr>
      <t xml:space="preserve">).  (For-profit projects)  </t>
    </r>
  </si>
  <si>
    <r>
      <t xml:space="preserve">2. Residual Receipts </t>
    </r>
    <r>
      <rPr>
        <sz val="11"/>
        <rFont val="Avenir Next LT Pro"/>
        <family val="2"/>
      </rPr>
      <t>(Non-profit projects)</t>
    </r>
    <r>
      <rPr>
        <b/>
        <sz val="11"/>
        <rFont val="Avenir Next LT Pro"/>
        <family val="2"/>
      </rPr>
      <t xml:space="preserve"> </t>
    </r>
    <r>
      <rPr>
        <sz val="11"/>
        <rFont val="Avenir Next LT Pro"/>
        <family val="2"/>
      </rPr>
      <t>(must be deposited with Lender within 60 days after Fiscal Period ends, as governed by applicable Regulatory Agreement)</t>
    </r>
  </si>
  <si>
    <t>Loan Technician</t>
  </si>
  <si>
    <t>Loan Servicer</t>
  </si>
  <si>
    <t>This calculation must be approved by the owner in writing before being submitted to HUD</t>
  </si>
  <si>
    <t>Account Name</t>
  </si>
  <si>
    <t>1010-1010</t>
  </si>
  <si>
    <t>Land - Acquisition Value</t>
  </si>
  <si>
    <t>1010-1110</t>
  </si>
  <si>
    <t>Land - Improvement Acquisition</t>
  </si>
  <si>
    <t>1010-1510</t>
  </si>
  <si>
    <t>Disposition - Land Acquisition</t>
  </si>
  <si>
    <t>1010-1550</t>
  </si>
  <si>
    <t>Disposition - Land Improvements</t>
  </si>
  <si>
    <t>1010-2010</t>
  </si>
  <si>
    <t>Building - Acquisition Value</t>
  </si>
  <si>
    <t>1010-2110</t>
  </si>
  <si>
    <t>Building - Improvement Costs</t>
  </si>
  <si>
    <t>1010-2120</t>
  </si>
  <si>
    <t>Building - Roof Replacement</t>
  </si>
  <si>
    <t>1010-2130</t>
  </si>
  <si>
    <t>Building - Parking Facilities</t>
  </si>
  <si>
    <t>1010-2140</t>
  </si>
  <si>
    <t>Building - Sidewalks / Walkways</t>
  </si>
  <si>
    <t>1010-2150</t>
  </si>
  <si>
    <t>Building - Landscaping</t>
  </si>
  <si>
    <t>1010-2160</t>
  </si>
  <si>
    <t>Building - Common Area</t>
  </si>
  <si>
    <t>1010-2210</t>
  </si>
  <si>
    <t>Building - Mechanical Systems</t>
  </si>
  <si>
    <t>1010-2220</t>
  </si>
  <si>
    <t>Building - Mech System HVAC</t>
  </si>
  <si>
    <t>1010-2230</t>
  </si>
  <si>
    <t>Building - Mech System Fire / Life Safety</t>
  </si>
  <si>
    <t>1010-2240</t>
  </si>
  <si>
    <t>Building - Mech System Elevator</t>
  </si>
  <si>
    <t>1010-2250</t>
  </si>
  <si>
    <t>Building - Mech System Plumbing</t>
  </si>
  <si>
    <t>1010-2260</t>
  </si>
  <si>
    <t>Building - Energy Conservation Systems</t>
  </si>
  <si>
    <t>1010-2261</t>
  </si>
  <si>
    <t>Building - Energy / Sustainability - CBRE</t>
  </si>
  <si>
    <t>1010-2270</t>
  </si>
  <si>
    <t>Building - ADA</t>
  </si>
  <si>
    <t>1010-2280</t>
  </si>
  <si>
    <t>Building - Painting</t>
  </si>
  <si>
    <t>1010-2310</t>
  </si>
  <si>
    <t>Disposition - Building Improvements Acquisition</t>
  </si>
  <si>
    <t>1010-2311</t>
  </si>
  <si>
    <t>Disposition - Building Improvements</t>
  </si>
  <si>
    <t>1010-2420</t>
  </si>
  <si>
    <t>Furniture Fixtures &amp; Equipment</t>
  </si>
  <si>
    <t>1010-2590</t>
  </si>
  <si>
    <t>Disposition - Furniture / Equipment</t>
  </si>
  <si>
    <t>1010-2610</t>
  </si>
  <si>
    <t>Residential - Pool</t>
  </si>
  <si>
    <t>1010-2620</t>
  </si>
  <si>
    <t>Residential Unit - Improvements</t>
  </si>
  <si>
    <t>1010-2630</t>
  </si>
  <si>
    <t>Residential Unit - Appliances</t>
  </si>
  <si>
    <t>1010-2640</t>
  </si>
  <si>
    <t>Residential Unit - Flooring Carpet</t>
  </si>
  <si>
    <t>1010-2650</t>
  </si>
  <si>
    <t>Residential Unit - Flooring Vinyl</t>
  </si>
  <si>
    <t>1010-2810</t>
  </si>
  <si>
    <t>Tenant Improvements Acquisition Value</t>
  </si>
  <si>
    <t>1010-2820</t>
  </si>
  <si>
    <t>Tenant Improvements</t>
  </si>
  <si>
    <t>1010-2920</t>
  </si>
  <si>
    <t>Disposition - Tenant Improvements</t>
  </si>
  <si>
    <t>1010-2990</t>
  </si>
  <si>
    <t>Disposition - Cost of Sales/ Investment in RE</t>
  </si>
  <si>
    <t>1010-3010</t>
  </si>
  <si>
    <t>Construction in Progress - Existing Properties</t>
  </si>
  <si>
    <t>1010-3610</t>
  </si>
  <si>
    <t>Construction in Progress - Capitalized Interest</t>
  </si>
  <si>
    <t>1010-4010</t>
  </si>
  <si>
    <t>Acquisition Fees - CBRE GI</t>
  </si>
  <si>
    <t>1010-4030</t>
  </si>
  <si>
    <t>Acquisition - Due Diligence Costs</t>
  </si>
  <si>
    <t>1010-4210</t>
  </si>
  <si>
    <t>Construction Management Fees - Building - CBRE</t>
  </si>
  <si>
    <t>1010-4220</t>
  </si>
  <si>
    <t>Construction Management Fees - Building - 3rd Party</t>
  </si>
  <si>
    <t>1010-4330</t>
  </si>
  <si>
    <t>Lease Commissions - CBRE</t>
  </si>
  <si>
    <t>1010-4340</t>
  </si>
  <si>
    <t>Lease Commissions - 3rd Party</t>
  </si>
  <si>
    <t>1010-4350</t>
  </si>
  <si>
    <t>Lease Commissions - JV Partner</t>
  </si>
  <si>
    <t>1010-4360</t>
  </si>
  <si>
    <t>Leasing / Legal Costs</t>
  </si>
  <si>
    <t>1010-4420</t>
  </si>
  <si>
    <t>Capitalized Transaction Cost - Acquisition Of Building</t>
  </si>
  <si>
    <t>1010-4490</t>
  </si>
  <si>
    <t>Capitalized Cost - Other 2</t>
  </si>
  <si>
    <t>1010-4810</t>
  </si>
  <si>
    <t>Disposition - Brokerage Fees - CBRE</t>
  </si>
  <si>
    <t>1010-4820</t>
  </si>
  <si>
    <t>Disposition - 3rd Party Brokerage Fees</t>
  </si>
  <si>
    <t>1010-4840</t>
  </si>
  <si>
    <t>Disposition - Lease Commissions</t>
  </si>
  <si>
    <t>1010-7010</t>
  </si>
  <si>
    <t>Accum Depreciation - Land Improvements</t>
  </si>
  <si>
    <t>1010-7050</t>
  </si>
  <si>
    <t>Accum Depreciation - Building Improvements</t>
  </si>
  <si>
    <t>1010-7110</t>
  </si>
  <si>
    <t>Accum Depreciation - Furniture Fixtures &amp; Equipments</t>
  </si>
  <si>
    <t>1010-7210</t>
  </si>
  <si>
    <t>Accum Depreciation - Tenant Improvements</t>
  </si>
  <si>
    <t>1010-7410</t>
  </si>
  <si>
    <t>Accum Depreciation - Disposition - Bldg Improvements Acq</t>
  </si>
  <si>
    <t>1010-7420</t>
  </si>
  <si>
    <t>Accum Depreciation - Disposition - Bldg Improvements</t>
  </si>
  <si>
    <t>1010-7430</t>
  </si>
  <si>
    <t>Accum Depreciation - Disposition - Furniture / Equipment</t>
  </si>
  <si>
    <t>1010-7550</t>
  </si>
  <si>
    <t>Accum Amortization - Lease Commissions</t>
  </si>
  <si>
    <t>1010-7610</t>
  </si>
  <si>
    <t>Accum Amortization - Disposition - Tenant Improvements</t>
  </si>
  <si>
    <t>1010-7620</t>
  </si>
  <si>
    <t>Accum Amortization - Disposition - Lease Commissions</t>
  </si>
  <si>
    <t>1010-8010</t>
  </si>
  <si>
    <t>Fair Market Value Changes - Investment Properties 1</t>
  </si>
  <si>
    <t>1410-1110</t>
  </si>
  <si>
    <t>Def Tax Asset - State (non-curr)</t>
  </si>
  <si>
    <t>1420-2010</t>
  </si>
  <si>
    <t>Deferred Costs - Loan Brokerage Fees - Property - CBRE</t>
  </si>
  <si>
    <t>1420-2510</t>
  </si>
  <si>
    <t>Deferred Costs - Financing Costs - Property</t>
  </si>
  <si>
    <t>1420-6110</t>
  </si>
  <si>
    <t>FAS 141/Acquired Above Market Leases</t>
  </si>
  <si>
    <t>1420-6510</t>
  </si>
  <si>
    <t>FAS 141/ In Place Lease Value</t>
  </si>
  <si>
    <t>1420-7010</t>
  </si>
  <si>
    <t>Disposition - Deferred Costs - Financing Costs</t>
  </si>
  <si>
    <t>1420-8010</t>
  </si>
  <si>
    <t>Disposition - Deferred Costs</t>
  </si>
  <si>
    <t>1430-3510</t>
  </si>
  <si>
    <t>Accum Amort-Def. Costs-Financing Costs</t>
  </si>
  <si>
    <t>1430-6110</t>
  </si>
  <si>
    <t>Accum Amort-Def. Costs - FAS 141/Acq Above Market</t>
  </si>
  <si>
    <t>1430-6510</t>
  </si>
  <si>
    <t>Accum Amort-Def. Costs - FAS 141/In Place Lease</t>
  </si>
  <si>
    <t>1430-7010</t>
  </si>
  <si>
    <t>Accum Depreciation-Disposition-Def. Costs-Financing Costs</t>
  </si>
  <si>
    <t>1430-8010</t>
  </si>
  <si>
    <t>Accum Depreciation - Disposition - Deferred Costs – Other</t>
  </si>
  <si>
    <t>1510-2410</t>
  </si>
  <si>
    <t>Cash - Property Operating</t>
  </si>
  <si>
    <t>1510-2420</t>
  </si>
  <si>
    <t>Cash - Property Operating / Depository</t>
  </si>
  <si>
    <t>1510-2430</t>
  </si>
  <si>
    <t>Cash - Property Operating / Disbursement</t>
  </si>
  <si>
    <t>1510-2440</t>
  </si>
  <si>
    <t>Cash - Property Operating / Special Use 1</t>
  </si>
  <si>
    <t>1510-2450</t>
  </si>
  <si>
    <t>Cash - Property Operating / Special Use 2</t>
  </si>
  <si>
    <t>1510-2810</t>
  </si>
  <si>
    <t>Impound - RE Taxes and Insurance</t>
  </si>
  <si>
    <t>1510-2820</t>
  </si>
  <si>
    <t>Impound - RE Taxes</t>
  </si>
  <si>
    <t>1510-2830</t>
  </si>
  <si>
    <t>Impound - RE Insurance</t>
  </si>
  <si>
    <t>1510-2840</t>
  </si>
  <si>
    <t>Impound - Debt Service</t>
  </si>
  <si>
    <t>1510-2850</t>
  </si>
  <si>
    <t>Impound - TI and Leasing / Replacement</t>
  </si>
  <si>
    <t>1510-2860</t>
  </si>
  <si>
    <t>Impound - CapEx</t>
  </si>
  <si>
    <t>1510-2870</t>
  </si>
  <si>
    <t>Impound - Other</t>
  </si>
  <si>
    <t>1510-3310</t>
  </si>
  <si>
    <t>Escrow Holdback 1</t>
  </si>
  <si>
    <t>1510-3510</t>
  </si>
  <si>
    <t>Cash - Property Security Deposits 1</t>
  </si>
  <si>
    <t>1510-4810</t>
  </si>
  <si>
    <t>Cash-Restricted 1</t>
  </si>
  <si>
    <t>1510-4820</t>
  </si>
  <si>
    <t>Cash-Restricted 2</t>
  </si>
  <si>
    <t>1610-1010</t>
  </si>
  <si>
    <t>Tenant - Accounts Receivable - (curr) 1</t>
  </si>
  <si>
    <t>Tenant - Straight Line Rent Receivable (curr)</t>
  </si>
  <si>
    <t>Tenant - Unbilled Receivable (curr)</t>
  </si>
  <si>
    <t>Tenant - Other Operating Revenue Receivable (curr)</t>
  </si>
  <si>
    <t>Property - Buyer / Seller Receivable (curr)</t>
  </si>
  <si>
    <t>Property - Petty Cash Receivable (curr)</t>
  </si>
  <si>
    <t>Property - Insurance Premium Receivable (curr)</t>
  </si>
  <si>
    <t>1610-1755</t>
  </si>
  <si>
    <t>Property - Insurance Claim Receivable 1 (curr)</t>
  </si>
  <si>
    <t>Property - Operating Receivable 1  (curr)</t>
  </si>
  <si>
    <t>Property - Operating Receivable 2 (curr)</t>
  </si>
  <si>
    <t>Allowances for Doubtful Deferred Rent</t>
  </si>
  <si>
    <t>Allowances for Doubtful Trade Receivables (curr)</t>
  </si>
  <si>
    <t>1618-9610</t>
  </si>
  <si>
    <t>Accounts Receivable - CBRE</t>
  </si>
  <si>
    <t>Other Accounts Receivable 2</t>
  </si>
  <si>
    <t>Prepaid Property Tax</t>
  </si>
  <si>
    <t>Prepaid Property Insurance</t>
  </si>
  <si>
    <t>1630-3610</t>
  </si>
  <si>
    <t>Prepaid State Tax</t>
  </si>
  <si>
    <t>Prepaid Expenses - Other 1</t>
  </si>
  <si>
    <t>Utilities Deposits</t>
  </si>
  <si>
    <t>Other Deposits 1</t>
  </si>
  <si>
    <t>Suspense / Unresolved Postings 2</t>
  </si>
  <si>
    <t>2010-1210</t>
  </si>
  <si>
    <t>Security Deposits - Tenants / Rentals</t>
  </si>
  <si>
    <t>2010-2110</t>
  </si>
  <si>
    <t>Security Deposits - Pet</t>
  </si>
  <si>
    <t>2010-5110</t>
  </si>
  <si>
    <t>Security Deposits - Interest</t>
  </si>
  <si>
    <t>2010-9010</t>
  </si>
  <si>
    <t>Security Deposits - Other</t>
  </si>
  <si>
    <t>2110-4510</t>
  </si>
  <si>
    <t>Fair Value Change - PV Debt Acquisition</t>
  </si>
  <si>
    <t>2110-4610</t>
  </si>
  <si>
    <t>Accum Amortization - PV Debt Acquisition</t>
  </si>
  <si>
    <t>2120-2010</t>
  </si>
  <si>
    <t>Long-Term Debt Principal - 3rd Party</t>
  </si>
  <si>
    <t>2120-2110</t>
  </si>
  <si>
    <t>Long-Term Debt Principal Payments - 3rd Party</t>
  </si>
  <si>
    <t>2120-3110</t>
  </si>
  <si>
    <t>Long-Term Debt - Disposition</t>
  </si>
  <si>
    <t>2120-5110</t>
  </si>
  <si>
    <t>Long-Term Debt Principal Payable - Intercompany</t>
  </si>
  <si>
    <t>2410-4010</t>
  </si>
  <si>
    <t>FAS 141/Acquired Below Market Leases</t>
  </si>
  <si>
    <t>2410-4510</t>
  </si>
  <si>
    <t>Accum Amortization - FAS 141/Acq Below Market</t>
  </si>
  <si>
    <t>2510-1110</t>
  </si>
  <si>
    <t>Accounts Payable - Trade</t>
  </si>
  <si>
    <t>Accounts Payable - Property - Buyer / Seller</t>
  </si>
  <si>
    <t>Property - Tenant Refund Payable</t>
  </si>
  <si>
    <t>2510-7110</t>
  </si>
  <si>
    <t>Property - Rental Sales Tax Payable</t>
  </si>
  <si>
    <t>Property - Retail Associations Payable</t>
  </si>
  <si>
    <t>Property - Operating Payable 1</t>
  </si>
  <si>
    <t>Property - Operating Payable 2</t>
  </si>
  <si>
    <t>Capital Improvements - Payable</t>
  </si>
  <si>
    <t>Lease Commissions - Payable</t>
  </si>
  <si>
    <t>Accounts Payable - Other 1</t>
  </si>
  <si>
    <t>Operating Expenses - Accrued</t>
  </si>
  <si>
    <t>Capital Improvements- Accrued</t>
  </si>
  <si>
    <t>Property - RE Tax Accrued Expense</t>
  </si>
  <si>
    <t>Accrued Insurance Expense</t>
  </si>
  <si>
    <t>Fund – Audit Fees Accrued</t>
  </si>
  <si>
    <t>Fund – Appraisal Fees Accrued</t>
  </si>
  <si>
    <t>Fund-Tax Prep / Consulting Fees Accrued</t>
  </si>
  <si>
    <t>Fund - Other Accrued Expenses 1</t>
  </si>
  <si>
    <t>2614-1110</t>
  </si>
  <si>
    <t>Interest Expense Accrued - 3rd Party</t>
  </si>
  <si>
    <t>Tenant Payable Accrued</t>
  </si>
  <si>
    <t>2614-7110</t>
  </si>
  <si>
    <t>Tenant Prepaid Rents</t>
  </si>
  <si>
    <t>Tenant Prepaid Affordable Housing Rent</t>
  </si>
  <si>
    <t>Tenant Prepaid Other</t>
  </si>
  <si>
    <t>2950-2010</t>
  </si>
  <si>
    <t>Tenant Unclaimed Property</t>
  </si>
  <si>
    <t>Obligations at Purchase</t>
  </si>
  <si>
    <t>Other Current Liabilities 1</t>
  </si>
  <si>
    <t>Contributions - Limited Partner</t>
  </si>
  <si>
    <t>Contributions - Wholly Owned</t>
  </si>
  <si>
    <t>Contributions - Joint Venture General Partner</t>
  </si>
  <si>
    <t>Distributions - Limited Partner</t>
  </si>
  <si>
    <t>Distributions - Wholly Owned</t>
  </si>
  <si>
    <t>Distributions - Joint Venture General Partner</t>
  </si>
  <si>
    <t>3200-1010</t>
  </si>
  <si>
    <t>Retained Earnings - Current Year</t>
  </si>
  <si>
    <t>3200-2010</t>
  </si>
  <si>
    <t>Retained Earnings - Prior Year</t>
  </si>
  <si>
    <t>Capital</t>
  </si>
  <si>
    <t>Inter Unit Transfers</t>
  </si>
  <si>
    <t>Inter Account Transfer 1</t>
  </si>
  <si>
    <t>Funds Transferred to Property</t>
  </si>
  <si>
    <t>Funds Transferred from Property</t>
  </si>
  <si>
    <t>Paid Direct to\by Investment Management</t>
  </si>
  <si>
    <t>4010-1500</t>
  </si>
  <si>
    <t>Base Rent</t>
  </si>
  <si>
    <t>4010-1800</t>
  </si>
  <si>
    <t>Rental Revenue - Pandemic Impact</t>
  </si>
  <si>
    <t>4010-2100</t>
  </si>
  <si>
    <t>Retail Revenue</t>
  </si>
  <si>
    <t>4010-2500</t>
  </si>
  <si>
    <t>Retail Vacancy Loss</t>
  </si>
  <si>
    <t>4010-4100</t>
  </si>
  <si>
    <t>FAS 141/Acquired Above Market Rent</t>
  </si>
  <si>
    <t>4010-4200</t>
  </si>
  <si>
    <t>FAS 141/Acquired (Below) Market Rent</t>
  </si>
  <si>
    <t>4010-5100</t>
  </si>
  <si>
    <t xml:space="preserve"> Amortization of Tenant Inducements</t>
  </si>
  <si>
    <t>4010-6100</t>
  </si>
  <si>
    <t>Percentage Rent</t>
  </si>
  <si>
    <t>4020-0500</t>
  </si>
  <si>
    <t>Residential Base Rent</t>
  </si>
  <si>
    <t>4020-1100</t>
  </si>
  <si>
    <t>Residential Affordable Housing Rent</t>
  </si>
  <si>
    <t>4020-1500</t>
  </si>
  <si>
    <t>Recurring Concessions</t>
  </si>
  <si>
    <t>4020-2100</t>
  </si>
  <si>
    <t>Non-Recurring Concessions</t>
  </si>
  <si>
    <t>4020-2500</t>
  </si>
  <si>
    <t>Residential Corporate Rent</t>
  </si>
  <si>
    <t>4020-3100</t>
  </si>
  <si>
    <t>Employee Units</t>
  </si>
  <si>
    <t>4020-3500</t>
  </si>
  <si>
    <t>Prior Period Rent Adjustment</t>
  </si>
  <si>
    <t>4020-4100</t>
  </si>
  <si>
    <t>Prior Period Aff Housing Rent Adj</t>
  </si>
  <si>
    <t>4020-4200</t>
  </si>
  <si>
    <t>Affordable Housing Charge Adj</t>
  </si>
  <si>
    <t>4020-4300</t>
  </si>
  <si>
    <t>Residential HAP Suspense Rent</t>
  </si>
  <si>
    <t>4020-5100</t>
  </si>
  <si>
    <t>Gross Market Potential Rent</t>
  </si>
  <si>
    <t>4020-5200</t>
  </si>
  <si>
    <t>Gain / Loss to Lease</t>
  </si>
  <si>
    <t>4020-5300</t>
  </si>
  <si>
    <t>Loss to Vacancy</t>
  </si>
  <si>
    <t>4020-5400</t>
  </si>
  <si>
    <t>Net Delinquency</t>
  </si>
  <si>
    <t>4020-5500</t>
  </si>
  <si>
    <t>Loss to Admin</t>
  </si>
  <si>
    <t>4020-5600</t>
  </si>
  <si>
    <t>Loss to Models</t>
  </si>
  <si>
    <t>4020-5700</t>
  </si>
  <si>
    <t>Residential GPR Loss to Pandemic</t>
  </si>
  <si>
    <t>4180-0200</t>
  </si>
  <si>
    <t>Short Term Rentals</t>
  </si>
  <si>
    <t>4180-1000</t>
  </si>
  <si>
    <t>Free Rent / Rental Concessions</t>
  </si>
  <si>
    <t>4180-2100</t>
  </si>
  <si>
    <t>Deferred Straight Line (SL) Rent</t>
  </si>
  <si>
    <t>4180-4500</t>
  </si>
  <si>
    <t>Tenant Improvement Loan</t>
  </si>
  <si>
    <t>4180-9000</t>
  </si>
  <si>
    <t>Rental Revenue - Other</t>
  </si>
  <si>
    <t>4200-0500</t>
  </si>
  <si>
    <t>Trash Reimbursement</t>
  </si>
  <si>
    <t>4200-0900</t>
  </si>
  <si>
    <t>Operating Expense Escalation</t>
  </si>
  <si>
    <t>4200-1500</t>
  </si>
  <si>
    <t>Common Area Expense Reimbursement</t>
  </si>
  <si>
    <t>4200-1700</t>
  </si>
  <si>
    <t>Retail CAM Revenue</t>
  </si>
  <si>
    <t>4200-2500</t>
  </si>
  <si>
    <t>RE Tax Reimbursement 1</t>
  </si>
  <si>
    <t>4200-2700</t>
  </si>
  <si>
    <t>Retail RE Tax Revenue</t>
  </si>
  <si>
    <t>4200-3500</t>
  </si>
  <si>
    <t>RE Insurance Reimbursement</t>
  </si>
  <si>
    <t>4200-3700</t>
  </si>
  <si>
    <t>Retail Insurance Revenue</t>
  </si>
  <si>
    <t>4200-5000</t>
  </si>
  <si>
    <t>Utility Expense Reimbursement</t>
  </si>
  <si>
    <t>4200-5050</t>
  </si>
  <si>
    <t>Reimbursement - Utility Expense (estimate)</t>
  </si>
  <si>
    <t>4200-5100</t>
  </si>
  <si>
    <t>Reimbursement - HVAC</t>
  </si>
  <si>
    <t>4200-5300</t>
  </si>
  <si>
    <t>Reimbursement - Electricity</t>
  </si>
  <si>
    <t>4200-5400</t>
  </si>
  <si>
    <t>Water &amp; Sewer Reimbursement</t>
  </si>
  <si>
    <t>4200-5500</t>
  </si>
  <si>
    <t>Gas Reimbursement</t>
  </si>
  <si>
    <t>4200-5600</t>
  </si>
  <si>
    <t>Building R&amp;M / Tenant Request Reimbursement</t>
  </si>
  <si>
    <t>4200-5650</t>
  </si>
  <si>
    <t>Reimbursement - R&amp;M (Indirect)</t>
  </si>
  <si>
    <t>4200-5700</t>
  </si>
  <si>
    <t>Damages/Cleaning Fees</t>
  </si>
  <si>
    <t>4200-6400</t>
  </si>
  <si>
    <t>Pest Control Reimbursement</t>
  </si>
  <si>
    <t>4210-0100</t>
  </si>
  <si>
    <t>Bad Debt - Base Rent Reserve</t>
  </si>
  <si>
    <t>4210-0500</t>
  </si>
  <si>
    <t>Bad Debt - Base Rent Write Off</t>
  </si>
  <si>
    <t>4210-1800</t>
  </si>
  <si>
    <t>Bad Debt - Deferred Rent Reserve</t>
  </si>
  <si>
    <t>4210-2100</t>
  </si>
  <si>
    <t>Bad Debt - Tenant Reimbursement Reserve</t>
  </si>
  <si>
    <t>4210-2500</t>
  </si>
  <si>
    <t>Bad Debt - Tenant Reimbursement Write Off</t>
  </si>
  <si>
    <t>4210-7100</t>
  </si>
  <si>
    <t>Bad Debt - Other Operating Revenue Reserve</t>
  </si>
  <si>
    <t>4210-7500</t>
  </si>
  <si>
    <t>Bad Debt - Other Operating Revenue Write Off</t>
  </si>
  <si>
    <t>4210-8100</t>
  </si>
  <si>
    <t>Bad Debt - Other Rental Revenue Recoveries</t>
  </si>
  <si>
    <t>4220-0100</t>
  </si>
  <si>
    <t>Parking Revenue</t>
  </si>
  <si>
    <t>4610-0510</t>
  </si>
  <si>
    <t>Storage Revenue</t>
  </si>
  <si>
    <t>4610-0900</t>
  </si>
  <si>
    <t>Retail Storage Revenue</t>
  </si>
  <si>
    <t>4610-1100</t>
  </si>
  <si>
    <t>Common Area Facilities Revenue</t>
  </si>
  <si>
    <t>4610-1300</t>
  </si>
  <si>
    <t>Fitness Center Revenue</t>
  </si>
  <si>
    <t>4610-3100</t>
  </si>
  <si>
    <t>Residential Fees - Amenities</t>
  </si>
  <si>
    <t>4610-3200</t>
  </si>
  <si>
    <t>NSF</t>
  </si>
  <si>
    <t>4610-3300</t>
  </si>
  <si>
    <t>Administration Fees</t>
  </si>
  <si>
    <t>4610-3400</t>
  </si>
  <si>
    <t>Residential Fees - Other</t>
  </si>
  <si>
    <t>4610-3500</t>
  </si>
  <si>
    <t>Application Fees</t>
  </si>
  <si>
    <t>4610-3600</t>
  </si>
  <si>
    <t>MTM Premium</t>
  </si>
  <si>
    <t>4610-3700</t>
  </si>
  <si>
    <t>Washer/Dryer Rental</t>
  </si>
  <si>
    <t>4610-3800</t>
  </si>
  <si>
    <t>Pet Premium</t>
  </si>
  <si>
    <t>4610-5100</t>
  </si>
  <si>
    <t>TRS Rental Revenue</t>
  </si>
  <si>
    <t>4610-5200</t>
  </si>
  <si>
    <t>TRS Other Operating Revenue</t>
  </si>
  <si>
    <t>4610-5600</t>
  </si>
  <si>
    <t>After Hours HVAC Revenue</t>
  </si>
  <si>
    <t>4610-5800</t>
  </si>
  <si>
    <t>Communications / Cable Revenue</t>
  </si>
  <si>
    <t>4610-6200</t>
  </si>
  <si>
    <t>Termination Fees / Lease Buyout</t>
  </si>
  <si>
    <t>4610-6410</t>
  </si>
  <si>
    <t>Vending and Other Revenue</t>
  </si>
  <si>
    <t>4610-6420</t>
  </si>
  <si>
    <t>Coin-op Laundry</t>
  </si>
  <si>
    <t>4610-6600</t>
  </si>
  <si>
    <t>Late Fees</t>
  </si>
  <si>
    <t>4610-8100</t>
  </si>
  <si>
    <t>Other Tenant Revenue</t>
  </si>
  <si>
    <t>4610-9100</t>
  </si>
  <si>
    <t>Retail Other Revenue</t>
  </si>
  <si>
    <t>4610-9510</t>
  </si>
  <si>
    <t>Other Operating Revenue</t>
  </si>
  <si>
    <t>4610-9520</t>
  </si>
  <si>
    <t>Guest Suite Income</t>
  </si>
  <si>
    <t>4890-9910</t>
  </si>
  <si>
    <t>Other Revenue 1</t>
  </si>
  <si>
    <t>4950-0100</t>
  </si>
  <si>
    <t>Cash Books - Prepaid Rent (System Only)</t>
  </si>
  <si>
    <t>CBRE Property Management Fees</t>
  </si>
  <si>
    <t>5100-1100</t>
  </si>
  <si>
    <t>3rd Party Property Management Fees</t>
  </si>
  <si>
    <t>5100-2100</t>
  </si>
  <si>
    <t>Property Mgt Fees - Joint Venture (recoverable)</t>
  </si>
  <si>
    <t>5200-2100</t>
  </si>
  <si>
    <t>Structural Building R&amp;M</t>
  </si>
  <si>
    <t>5200-3100</t>
  </si>
  <si>
    <t>Roof &amp; Gutters</t>
  </si>
  <si>
    <t>5200-4100</t>
  </si>
  <si>
    <t>Exterior Building R&amp;M</t>
  </si>
  <si>
    <t>5200-5100</t>
  </si>
  <si>
    <t>Windows Screens &amp; Doors</t>
  </si>
  <si>
    <t>5200-6100</t>
  </si>
  <si>
    <t>Interior Building R&amp;M</t>
  </si>
  <si>
    <t>5200-7100</t>
  </si>
  <si>
    <t>Electrical R&amp;M</t>
  </si>
  <si>
    <t>5200-8100</t>
  </si>
  <si>
    <t>Lighting</t>
  </si>
  <si>
    <t>5201-1100</t>
  </si>
  <si>
    <t>Fire / Life Safety Equipment R&amp;M</t>
  </si>
  <si>
    <t>5201-2100</t>
  </si>
  <si>
    <t>Fire / Life Safety Contract</t>
  </si>
  <si>
    <t>5201-4100</t>
  </si>
  <si>
    <t>Plumbing R&amp;M</t>
  </si>
  <si>
    <t>5201-5100</t>
  </si>
  <si>
    <t>HVAC Supplies and Repairs</t>
  </si>
  <si>
    <t>5201-6100</t>
  </si>
  <si>
    <t>HVAC Contract</t>
  </si>
  <si>
    <t>5202-1100</t>
  </si>
  <si>
    <t>Energy Conservation System R&amp;M</t>
  </si>
  <si>
    <t>5202-2100</t>
  </si>
  <si>
    <t>Elevator / Escalator R&amp;M</t>
  </si>
  <si>
    <t>5202-3100</t>
  </si>
  <si>
    <t>Elevator / Escalator Contract</t>
  </si>
  <si>
    <t>Engineer/Maintenance Supplies and Equipment</t>
  </si>
  <si>
    <t>5202-4150</t>
  </si>
  <si>
    <t>Building R&amp;M-Eng/Maint Equipment &amp; Supplies-CBRE (recr)</t>
  </si>
  <si>
    <t>5202-5050</t>
  </si>
  <si>
    <t xml:space="preserve"> Engineer / Maintenance Wages Building R&amp;M - Rel Pty (recr)</t>
  </si>
  <si>
    <t>5202-5100</t>
  </si>
  <si>
    <t>Maintenance Salaries</t>
  </si>
  <si>
    <t>5202-7100</t>
  </si>
  <si>
    <t>Parking Facilities</t>
  </si>
  <si>
    <t>5202-8100</t>
  </si>
  <si>
    <t>Parking Lot / Garage R&amp;M</t>
  </si>
  <si>
    <t>5202-9100</t>
  </si>
  <si>
    <t>Parking Access Gates / Garage Doors</t>
  </si>
  <si>
    <t>5203-1100</t>
  </si>
  <si>
    <t>Other Building R&amp;M Supplies</t>
  </si>
  <si>
    <t>5203-2100</t>
  </si>
  <si>
    <t>Key &amp; Locks</t>
  </si>
  <si>
    <t>5203-3100</t>
  </si>
  <si>
    <t>Retail Cleaning &amp; Repairs</t>
  </si>
  <si>
    <t>5203-4100</t>
  </si>
  <si>
    <t>Other Retail Expenses</t>
  </si>
  <si>
    <t>5203-5100</t>
  </si>
  <si>
    <t>Other Building R&amp;M</t>
  </si>
  <si>
    <t>5203-6100</t>
  </si>
  <si>
    <t>Building R&amp;M Other 2 (recoverable)</t>
  </si>
  <si>
    <t>5204-1100</t>
  </si>
  <si>
    <t>Residential Unit R&amp;M</t>
  </si>
  <si>
    <t>5204-2100</t>
  </si>
  <si>
    <t>Residential Unit Appliance R&amp;M</t>
  </si>
  <si>
    <t>5206-2100</t>
  </si>
  <si>
    <t>Common Area Facilities</t>
  </si>
  <si>
    <t>5206-4100</t>
  </si>
  <si>
    <t>Fitness Center Facilities</t>
  </si>
  <si>
    <t>5206-5100</t>
  </si>
  <si>
    <t>Pool Facilities</t>
  </si>
  <si>
    <t>5206-7100</t>
  </si>
  <si>
    <t>District Owners Assoc (DOA) Assessment R&amp;M (recr)</t>
  </si>
  <si>
    <t>5206-8100</t>
  </si>
  <si>
    <t>Motorized Vehicles R&amp;M</t>
  </si>
  <si>
    <t>5206-9100</t>
  </si>
  <si>
    <t>Shuttle Service Contract R&amp;M (recoverable)</t>
  </si>
  <si>
    <t>5209-1110</t>
  </si>
  <si>
    <t>Other Common Area R&amp;M</t>
  </si>
  <si>
    <t>5300-0300</t>
  </si>
  <si>
    <t>Janitorial / Cleaning Services Summary Account (recoverable)</t>
  </si>
  <si>
    <t>5300-0500</t>
  </si>
  <si>
    <t>Janitorial Service Contract</t>
  </si>
  <si>
    <t>5300-1100</t>
  </si>
  <si>
    <t>Other Janitorial Service</t>
  </si>
  <si>
    <t>5300-1210</t>
  </si>
  <si>
    <t>Janitorial Supplies</t>
  </si>
  <si>
    <t>5300-2500</t>
  </si>
  <si>
    <t>Residential Unit Cleaning &amp; Repairs</t>
  </si>
  <si>
    <t>5300-2600</t>
  </si>
  <si>
    <t>Residential Resident Services</t>
  </si>
  <si>
    <t>5300-2810</t>
  </si>
  <si>
    <t xml:space="preserve"> Concierge Service Contract - Related Party</t>
  </si>
  <si>
    <t>5300-3050</t>
  </si>
  <si>
    <t>Security Services - CBRE (recoverable)</t>
  </si>
  <si>
    <t>Security Service Contract</t>
  </si>
  <si>
    <t>5300-3200</t>
  </si>
  <si>
    <t>Security Service Equipment R&amp;M</t>
  </si>
  <si>
    <t>5300-4100</t>
  </si>
  <si>
    <t>Interior Landscape Contract</t>
  </si>
  <si>
    <t>5300-4150</t>
  </si>
  <si>
    <t>Interior Landscape Supplies and Repairs</t>
  </si>
  <si>
    <t>Exterior Landscape Contract</t>
  </si>
  <si>
    <t>5300-4300</t>
  </si>
  <si>
    <t>Exterior Landscape Supplies and Repairs</t>
  </si>
  <si>
    <t>5300-4500</t>
  </si>
  <si>
    <t>Landscaping Services - CBRE</t>
  </si>
  <si>
    <t>Pest Control Service Contract</t>
  </si>
  <si>
    <t>5300-5200</t>
  </si>
  <si>
    <t>Pest Control Termite Bond</t>
  </si>
  <si>
    <t>Trash Removal Service Contract</t>
  </si>
  <si>
    <t>5300-6400</t>
  </si>
  <si>
    <t>Snow Removal Service Contract</t>
  </si>
  <si>
    <t>5300-7100</t>
  </si>
  <si>
    <t>Window Washing</t>
  </si>
  <si>
    <t>5300-7200</t>
  </si>
  <si>
    <t>Sweeping / Powerwash</t>
  </si>
  <si>
    <t>5300-9100</t>
  </si>
  <si>
    <t>Operational Expenses due to Pandemic (recr)</t>
  </si>
  <si>
    <t>5400-0500</t>
  </si>
  <si>
    <t>Electricity - Building</t>
  </si>
  <si>
    <t>5400-0700</t>
  </si>
  <si>
    <t>Electricity - Common Area</t>
  </si>
  <si>
    <t>5400-1100</t>
  </si>
  <si>
    <t>Gas &amp; Fuel - Building</t>
  </si>
  <si>
    <t>Gas &amp; Fuel - Common Area</t>
  </si>
  <si>
    <t>5400-2100</t>
  </si>
  <si>
    <t>Water &amp; Sewer - Building</t>
  </si>
  <si>
    <t>5400-2200</t>
  </si>
  <si>
    <t>Water &amp; Sewer - Common Area</t>
  </si>
  <si>
    <t>5400-2300</t>
  </si>
  <si>
    <t>Chilled Water - Building</t>
  </si>
  <si>
    <t>5400-2400</t>
  </si>
  <si>
    <t>Steam - Building</t>
  </si>
  <si>
    <t>5400-3100</t>
  </si>
  <si>
    <t>Telephone - Master Agreement</t>
  </si>
  <si>
    <t>5400-3200</t>
  </si>
  <si>
    <t>Cable / Internet Services - Master Agreement</t>
  </si>
  <si>
    <t>5400-9100</t>
  </si>
  <si>
    <t>Retail Utility Expenses</t>
  </si>
  <si>
    <t>5400-9510</t>
  </si>
  <si>
    <t>Other Utility</t>
  </si>
  <si>
    <t>Real Estate Taxes</t>
  </si>
  <si>
    <t>Real Estate Tax Advisory / Consulting Fees</t>
  </si>
  <si>
    <t>Other Taxes</t>
  </si>
  <si>
    <t>Personal Property Taxes / Business Licences</t>
  </si>
  <si>
    <t>RE Insurance - Property / Taxes</t>
  </si>
  <si>
    <t>RE Insurance - Liability</t>
  </si>
  <si>
    <t>RE Insurance - Excess Liability</t>
  </si>
  <si>
    <t>RE Insurance - DIC (Earthquake/Flood/Wind)</t>
  </si>
  <si>
    <t>RE Insurance - Terrorism</t>
  </si>
  <si>
    <t>RE Insurance - Pollution</t>
  </si>
  <si>
    <t>RE Insurance - Other</t>
  </si>
  <si>
    <t>5600-0500</t>
  </si>
  <si>
    <t>CBRE Administrative Salaries</t>
  </si>
  <si>
    <t>5600-0600</t>
  </si>
  <si>
    <t>Administrative Salaries</t>
  </si>
  <si>
    <t>Bonuses</t>
  </si>
  <si>
    <t>5600-1200</t>
  </si>
  <si>
    <t>Payroll Taxes</t>
  </si>
  <si>
    <t>Insurance Benefits</t>
  </si>
  <si>
    <t>5600-1400</t>
  </si>
  <si>
    <t>401K Contributions</t>
  </si>
  <si>
    <t>5600-1500</t>
  </si>
  <si>
    <t>Workers Compensation</t>
  </si>
  <si>
    <t>5600-1600</t>
  </si>
  <si>
    <t>Admin Salaries -3rd Party JV Partner (recr)</t>
  </si>
  <si>
    <t>5600-2100</t>
  </si>
  <si>
    <t>Temporary Personnel Salaries</t>
  </si>
  <si>
    <t>5600-2500</t>
  </si>
  <si>
    <t>Administrative On-Site Office Rent</t>
  </si>
  <si>
    <t>5600-3000</t>
  </si>
  <si>
    <t>Admin On-Site Office Expenses - Related Party (recoverable)</t>
  </si>
  <si>
    <t>5600-3100</t>
  </si>
  <si>
    <t>Administrative On-Site Office Expenses</t>
  </si>
  <si>
    <t>5600-3200</t>
  </si>
  <si>
    <t>Answering Service</t>
  </si>
  <si>
    <t>5600-3300</t>
  </si>
  <si>
    <t>Training &amp; Education</t>
  </si>
  <si>
    <t>5600-3400</t>
  </si>
  <si>
    <t>Employee Travel &amp; Mileage</t>
  </si>
  <si>
    <t>Employee Recognition</t>
  </si>
  <si>
    <t>Office Supplies &amp; Equipment</t>
  </si>
  <si>
    <t>Credit Verification Fees</t>
  </si>
  <si>
    <t>5600-3800</t>
  </si>
  <si>
    <t>Government License / Permits</t>
  </si>
  <si>
    <t>Banking Fees/Charges</t>
  </si>
  <si>
    <t>Computer Services/Fees</t>
  </si>
  <si>
    <t>5600-4100</t>
  </si>
  <si>
    <t>Telephone</t>
  </si>
  <si>
    <t>Cell Phone</t>
  </si>
  <si>
    <t>5600-4300</t>
  </si>
  <si>
    <t>Cable/Internet Svc</t>
  </si>
  <si>
    <t>5600-4400</t>
  </si>
  <si>
    <t>Uniforms</t>
  </si>
  <si>
    <t>5600-5100</t>
  </si>
  <si>
    <t>Dues and Subscriptions</t>
  </si>
  <si>
    <t>Other General and Administrative Expense</t>
  </si>
  <si>
    <t>5730-5100</t>
  </si>
  <si>
    <t>NonRecoverable Major Repairs</t>
  </si>
  <si>
    <t>5730-5800</t>
  </si>
  <si>
    <t>NonRecoverable Parking Facilities Expenses</t>
  </si>
  <si>
    <t>5740-9400</t>
  </si>
  <si>
    <t>Operational Expenses due to Pandemic (non-recr)</t>
  </si>
  <si>
    <t>5750-0200</t>
  </si>
  <si>
    <t>Electricity - Vacant</t>
  </si>
  <si>
    <t>5750-2200</t>
  </si>
  <si>
    <t>Gas &amp; Fuel - Vacant</t>
  </si>
  <si>
    <t>5750-3200</t>
  </si>
  <si>
    <t>Water &amp; Sewer - Vacant</t>
  </si>
  <si>
    <t>5800-0500</t>
  </si>
  <si>
    <t>Depreciation Expense - Land Improvements</t>
  </si>
  <si>
    <t>5800-1100</t>
  </si>
  <si>
    <t>Depreciation Expense - Building Improvements</t>
  </si>
  <si>
    <t>5800-1500</t>
  </si>
  <si>
    <t>Depreciation Expense - Furniture &amp; Fixture</t>
  </si>
  <si>
    <t>5800-2100</t>
  </si>
  <si>
    <t>Depreciation Expense - Tenant Improvements</t>
  </si>
  <si>
    <t>5810-1100</t>
  </si>
  <si>
    <t>Amortization Expense - Leasing Commissions</t>
  </si>
  <si>
    <t>5810-1500</t>
  </si>
  <si>
    <t>Amortization Expense - FAS 141/In Place Lease</t>
  </si>
  <si>
    <t>5890-0100</t>
  </si>
  <si>
    <t>Other Professional Fees - CBRE Other</t>
  </si>
  <si>
    <t>5890-0200</t>
  </si>
  <si>
    <t>Other Professional Fees - Property</t>
  </si>
  <si>
    <t>5890-0500</t>
  </si>
  <si>
    <t>Other Professional Fees - CBRE Energy / Sustainability</t>
  </si>
  <si>
    <t>5890-1110</t>
  </si>
  <si>
    <t>Ground Lease Expense</t>
  </si>
  <si>
    <t>5890-1500</t>
  </si>
  <si>
    <t>Environmental Fees and Expenses</t>
  </si>
  <si>
    <t>5890-2200</t>
  </si>
  <si>
    <t>Market Ready Expenses</t>
  </si>
  <si>
    <t>5890-2300</t>
  </si>
  <si>
    <t>Leasing Commissions</t>
  </si>
  <si>
    <t>5890-2600</t>
  </si>
  <si>
    <t>Tenant Moving Allowances</t>
  </si>
  <si>
    <t>5890-3200</t>
  </si>
  <si>
    <t>Site Space Plans</t>
  </si>
  <si>
    <t>5890-4150</t>
  </si>
  <si>
    <t>Casualty Loss</t>
  </si>
  <si>
    <t>5890-4250</t>
  </si>
  <si>
    <t>Legal Fees - Tenant Litigation</t>
  </si>
  <si>
    <t>5890-4500</t>
  </si>
  <si>
    <t>Legal Fees - Property</t>
  </si>
  <si>
    <t>5890-4600</t>
  </si>
  <si>
    <t>Legal Fees - Other</t>
  </si>
  <si>
    <t>5890-5100</t>
  </si>
  <si>
    <t>Audit Fees - Property</t>
  </si>
  <si>
    <t>5890-5110</t>
  </si>
  <si>
    <t>Income Tax Preparation / Consulting Fees - Property</t>
  </si>
  <si>
    <t>5890-5200</t>
  </si>
  <si>
    <t>Homeowners Association Fee</t>
  </si>
  <si>
    <t>5890-5400</t>
  </si>
  <si>
    <t>Merchant Assoc - Landlord Contribution</t>
  </si>
  <si>
    <t>Advertising and Marketing Expenses</t>
  </si>
  <si>
    <t>5890-6300</t>
  </si>
  <si>
    <t>Tenant Functions / Events</t>
  </si>
  <si>
    <t>5890-6400</t>
  </si>
  <si>
    <t>Branding Expenses</t>
  </si>
  <si>
    <t>5890-6410</t>
  </si>
  <si>
    <t>Salary and Wages - Branding</t>
  </si>
  <si>
    <t>5890-6500</t>
  </si>
  <si>
    <t>Collateral Materials &amp; Flyers</t>
  </si>
  <si>
    <t>5890-6550</t>
  </si>
  <si>
    <t>Banners &amp; Flags</t>
  </si>
  <si>
    <t>Marketing Technologies</t>
  </si>
  <si>
    <t>Prospect Refreshments</t>
  </si>
  <si>
    <t>5890-6700</t>
  </si>
  <si>
    <t>Resident Referrals</t>
  </si>
  <si>
    <t>5890-6750</t>
  </si>
  <si>
    <t>Locator/Brokers Fees</t>
  </si>
  <si>
    <t>Internet Advertising</t>
  </si>
  <si>
    <t>5890-6850</t>
  </si>
  <si>
    <t>Print Advertising</t>
  </si>
  <si>
    <t>5890-7550</t>
  </si>
  <si>
    <t>Retail Marketing - Seasonal Promotions</t>
  </si>
  <si>
    <t>5890-8100</t>
  </si>
  <si>
    <t>Other Turnover Expenses</t>
  </si>
  <si>
    <t>Unit Cleaning</t>
  </si>
  <si>
    <t>Unit Painting</t>
  </si>
  <si>
    <t>5890-8230</t>
  </si>
  <si>
    <t>Carpet Cleaning and Repair</t>
  </si>
  <si>
    <t>5890-8300</t>
  </si>
  <si>
    <t>Cleaning Supplies</t>
  </si>
  <si>
    <t>5890-8850</t>
  </si>
  <si>
    <t>TRS Other Operating Expenses</t>
  </si>
  <si>
    <t>5890-9510</t>
  </si>
  <si>
    <t>Other Operating Expenses</t>
  </si>
  <si>
    <t>6010-1100</t>
  </si>
  <si>
    <t>6020-1100</t>
  </si>
  <si>
    <t>Appraisal Fees - CBRE</t>
  </si>
  <si>
    <t>6020-2500</t>
  </si>
  <si>
    <t>Administration Fees - CBRE GIA</t>
  </si>
  <si>
    <t>6030-4300</t>
  </si>
  <si>
    <t>Prof Fees - Appraisal Fees</t>
  </si>
  <si>
    <t>6030-4600</t>
  </si>
  <si>
    <t>Prof Fees - Audit Fees - Fund</t>
  </si>
  <si>
    <t>6030-5000</t>
  </si>
  <si>
    <t>Prof Fees - Tax Preparation/Consulting Fees</t>
  </si>
  <si>
    <t>6030-6600</t>
  </si>
  <si>
    <t>Prof Fees - Registered Agent Services</t>
  </si>
  <si>
    <t>6060-4500</t>
  </si>
  <si>
    <t>Acquisition and Closing Costs</t>
  </si>
  <si>
    <t>7010-4600</t>
  </si>
  <si>
    <t>Interest Income (Property Level)</t>
  </si>
  <si>
    <t>7010-5110</t>
  </si>
  <si>
    <t>Interest Income - Other 1</t>
  </si>
  <si>
    <t>7310-0100</t>
  </si>
  <si>
    <t>Interest Expense - Mortgage Loan</t>
  </si>
  <si>
    <t>7310-0200</t>
  </si>
  <si>
    <t>Interest Expense - Derivatives - 3rd Party</t>
  </si>
  <si>
    <t>7310-0400</t>
  </si>
  <si>
    <t>Interest Expense - Loan from Parent</t>
  </si>
  <si>
    <t>7310-0600</t>
  </si>
  <si>
    <t>Interest Expense - Fixed / Stated</t>
  </si>
  <si>
    <t>7310-0800</t>
  </si>
  <si>
    <t>Interest Expense - Participation</t>
  </si>
  <si>
    <t>7310-1510</t>
  </si>
  <si>
    <t>Interest Expense - Other 1 - Property</t>
  </si>
  <si>
    <t>7310-2100</t>
  </si>
  <si>
    <t>Loan Arrangement Fees Expensed - 3rd Party</t>
  </si>
  <si>
    <t>7310-4100</t>
  </si>
  <si>
    <t>Amortization Expense - Loan Fee / Property</t>
  </si>
  <si>
    <t>7310-4200</t>
  </si>
  <si>
    <t>Amortization Expense - Loan Fee / Fund</t>
  </si>
  <si>
    <t>7310-4400</t>
  </si>
  <si>
    <t>Amortization Expense - FAS 141/ Debt PV</t>
  </si>
  <si>
    <t>7310-6500</t>
  </si>
  <si>
    <t>Loan Arrangement Fees Expensed - CBRE</t>
  </si>
  <si>
    <t>7510-0100</t>
  </si>
  <si>
    <t>Sale Proceeds - Investment Properties</t>
  </si>
  <si>
    <t>7510-1100</t>
  </si>
  <si>
    <t>Cost of Sales - Investment Properties</t>
  </si>
  <si>
    <t>7510-7100</t>
  </si>
  <si>
    <t>Realized Gain (Loss) on Sale 1</t>
  </si>
  <si>
    <t>7510-7300</t>
  </si>
  <si>
    <t>Reverse Unrealized (Gain) Loss on Sale 1</t>
  </si>
  <si>
    <t>7510-8100</t>
  </si>
  <si>
    <t>7510-8800</t>
  </si>
  <si>
    <t>Disposition - Other</t>
  </si>
  <si>
    <t>7710-4110</t>
  </si>
  <si>
    <t>FV Change of Investment Property 1</t>
  </si>
  <si>
    <t>8810-1100</t>
  </si>
  <si>
    <t>Income Tax Expense - State</t>
  </si>
  <si>
    <t>9700-1100</t>
  </si>
  <si>
    <t>Non-Controlling Interest (Income)Loss</t>
  </si>
  <si>
    <t>9954-3502</t>
  </si>
  <si>
    <t>Residential Resident Services Other</t>
  </si>
  <si>
    <t>9979-9970</t>
  </si>
  <si>
    <t>CapEx Long Term Debt Payments</t>
  </si>
  <si>
    <t>9979-9972</t>
  </si>
  <si>
    <t>CapEx Energy Conservation Systems</t>
  </si>
  <si>
    <t>9979-9973</t>
  </si>
  <si>
    <t>CapEx Building Improvements</t>
  </si>
  <si>
    <t>9979-9974</t>
  </si>
  <si>
    <t>CapEx Parking Facilities/Paving</t>
  </si>
  <si>
    <t>9979-9975</t>
  </si>
  <si>
    <t>CapEx Roof</t>
  </si>
  <si>
    <t>9979-9976</t>
  </si>
  <si>
    <t>CapEx Sidewalks/Walkways</t>
  </si>
  <si>
    <t>9979-9977</t>
  </si>
  <si>
    <t>CapEx Furniture/Equipment</t>
  </si>
  <si>
    <t>9979-9979</t>
  </si>
  <si>
    <t>CapEx Landscaping</t>
  </si>
  <si>
    <t>9979-9980</t>
  </si>
  <si>
    <t>CapEx Mechanical Systems</t>
  </si>
  <si>
    <t>9979-9981</t>
  </si>
  <si>
    <t>CapEx Commercial Tenant Improvements</t>
  </si>
  <si>
    <t>9979-9982</t>
  </si>
  <si>
    <t>CapEx Residential Tenant Improvements</t>
  </si>
  <si>
    <t>9979-9983</t>
  </si>
  <si>
    <t>CapEx Flooring &amp; Window Coverings</t>
  </si>
  <si>
    <t>9979-9984</t>
  </si>
  <si>
    <t>CapEx Appliances</t>
  </si>
  <si>
    <t>9979-9985</t>
  </si>
  <si>
    <t>CapEx Construction in Progress</t>
  </si>
  <si>
    <t>9979-9986</t>
  </si>
  <si>
    <t>CapEx 3rd Party Construction Mgmt Fees</t>
  </si>
  <si>
    <t>9979-9987</t>
  </si>
  <si>
    <t>CapEx CBRE Construction Mgmt Fees</t>
  </si>
  <si>
    <t>9979-9988</t>
  </si>
  <si>
    <t>CapEx CBRE Lease Commissions</t>
  </si>
  <si>
    <t>9979-9989</t>
  </si>
  <si>
    <t>CapEx 3rd Party Lease Commissions</t>
  </si>
  <si>
    <t>Chart of Accounts (Please save as number format)</t>
  </si>
  <si>
    <t>Chart of Accounts A</t>
  </si>
  <si>
    <t>G/L Code</t>
  </si>
  <si>
    <t>Account Description</t>
  </si>
  <si>
    <t>:Accrual: Water Admin Fee 07-25-26 to 09-30-26</t>
  </si>
  <si>
    <t>:Accrual: Reimbursement Water &amp; Sewage 07-26-26 to 09-30-26</t>
  </si>
  <si>
    <t>08/2026 Housing Discount - Bria Caldwell</t>
  </si>
  <si>
    <t>:Accrual: Q2 CBRE GIA Fee -</t>
  </si>
  <si>
    <t>Accrual: Q3 CBRE GIA Fee</t>
  </si>
  <si>
    <t>09.26 Distribution</t>
  </si>
  <si>
    <t>1st half 2026 RE Tech</t>
  </si>
  <si>
    <t>09/2026</t>
  </si>
  <si>
    <t>:Accrual: 09/26 Team Member Education fee Greystar Monthly Contract -</t>
  </si>
  <si>
    <t>:Accrual: 09/26 Copier contract All Copy Products Monthly Contract -</t>
  </si>
  <si>
    <t>:Accrual: 09/26 Bank Fee -</t>
  </si>
  <si>
    <t>:Accrual: 09/26 Advantage Solutions -</t>
  </si>
  <si>
    <t>:Accrual: 09/26 PM system AIRM Monthly Contract -</t>
  </si>
  <si>
    <t>:Accrual: Q3 Yardi CBRE Quarterly Contract -</t>
  </si>
  <si>
    <t>:Accrual: 09/26 Emergency pool phone Kings III Monthly Contract -</t>
  </si>
  <si>
    <t>:Accrual: 09/26 Cell Phone Greystar Monthly Contract -</t>
  </si>
  <si>
    <t>:Accrual: 09/26 Resident rewards Modern Message Monthly Contract -</t>
  </si>
  <si>
    <t>:Accrual: 09/26 Resident surveys Kingsley Monthly Contract -</t>
  </si>
  <si>
    <t>:Accrual: 09/26 Marketing fees Greystar Monthly Contract -</t>
  </si>
  <si>
    <t>:Accrual: 09/26 Coffee machine rental Capital Coffee Monthly Contract -</t>
  </si>
  <si>
    <t>:Accrual: 09/26 Business Intelligence Suite RP Utility Management Monthly Contract -</t>
  </si>
  <si>
    <t>:Accrual: 07/26 Business Intelligence Suite RP Utility Management Monthly Contract -</t>
  </si>
  <si>
    <t>:Accrual: 08/26 Business Intelligence Suite RP Utility Management Monthly Contract -</t>
  </si>
  <si>
    <t>:Accrual: 09/26 Roving Patrol Sectek Monthly Contract -</t>
  </si>
  <si>
    <t>:Accrual: 09/2026 Housing Discount - Nijae Taylor , Unit 3-2210 RITM2000051 081326NH1|rpresshi| -</t>
  </si>
  <si>
    <t>:Accrual: 09/2026 Housing Discount - Bria Caldwell, Unit 1-1307 RITM2000051 081326NH1|rpresshi| -</t>
  </si>
  <si>
    <t>:Accrual: Q3 CBRE GIA Fee -</t>
  </si>
  <si>
    <t>:Accrual: 08/26 Waste Management  -</t>
  </si>
  <si>
    <t>:Accrual: 09/26 Waste Management -</t>
  </si>
  <si>
    <t>:Accrual: 09.26 Insurance -</t>
  </si>
  <si>
    <t>:Accrual: Q1 Yardi CBRE Quarterly Contract -</t>
  </si>
  <si>
    <t>:Accrual: Q2 Yardi CBRE Quarterly Contract -</t>
  </si>
  <si>
    <t>:Accrual: 08/26 Fluency  -</t>
  </si>
  <si>
    <t>:Accrual: 09/26 Fluency -</t>
  </si>
  <si>
    <t>:Accrual: Sept Monthly Bonuses - Greystar</t>
  </si>
  <si>
    <t>:Accrual: 2-1102 Carpet cleaning - A Step Ahead Carpet</t>
  </si>
  <si>
    <t>:Accrual: 6-2102 Tub resurfacing - Surface Experts</t>
  </si>
  <si>
    <t>:Accrual: 5-1203 tub resurfacing - Surface Experts</t>
  </si>
  <si>
    <t>:Accrual: 5-1305 stove top resurface - Surface Experts</t>
  </si>
  <si>
    <t>:Accrual: 1-1206 stove top resurface - Surface Experts</t>
  </si>
  <si>
    <t>:Accrual: 4-4116 stove top resurface - Surface Experts</t>
  </si>
  <si>
    <t>:Accrual: 21 ceiling fans  - HD Supply</t>
  </si>
  <si>
    <t>:Accrual: water and gatorade  - P card - walmart</t>
  </si>
  <si>
    <t>:Accrual: power strip for computer - P card - walmart</t>
  </si>
  <si>
    <t>:Accrual: notebooks, sticky notes, office supplies - P card  - amazon</t>
  </si>
  <si>
    <t>:Accrual: candy for leasing office - P card - amazon</t>
  </si>
  <si>
    <t>:Accrual: trash bags and gloves - P card - amazon</t>
  </si>
  <si>
    <t>:Accrual: folders - P card - amazon</t>
  </si>
  <si>
    <t>:Accrual: Faux wood blinds - HD Supply</t>
  </si>
  <si>
    <t>:Accrual: valet trash service - American Waste Services</t>
  </si>
  <si>
    <t>:Accrual: keychains - A&amp;M Paper and Printing</t>
  </si>
  <si>
    <t>:Accrual: unit turn painting  - ECA Painting LLC</t>
  </si>
  <si>
    <t>:Accrual: monthly fob system - Kastle Systems</t>
  </si>
  <si>
    <t>:Accrual: main control board - D&amp;L</t>
  </si>
  <si>
    <t>:Accrual: hvac drain cleaner - HD Supply</t>
  </si>
  <si>
    <t>:Accrual: pet waste bags - HD Supply</t>
  </si>
  <si>
    <t>:Accrual: toliet flappers and valves - HD Supply</t>
  </si>
  <si>
    <t>:Accrual: batteries - HD Supply</t>
  </si>
  <si>
    <t>:Accrual: light bulbs - HD Supply</t>
  </si>
  <si>
    <t>:Accrual: Water and Sewar Charges 08-19-26 to 09-30-26</t>
  </si>
  <si>
    <t>:Accrual: Duke Energy 08-15-26 to 09-30-26</t>
  </si>
  <si>
    <t>:Accrual: Conservice-rs311 09-01-26 to 09-30-26</t>
  </si>
  <si>
    <t>:Accrual: Spectrum 8349100320167977 TE 09-12-26 to 09-30-26</t>
  </si>
  <si>
    <t>:Accrual: Spectrum 8349100320167977 CA  05-12-26 to 09-30-26</t>
  </si>
  <si>
    <t>:Accrual: Spectrum 8349100320167977 IT 07-12-26 to 09-30-26</t>
  </si>
  <si>
    <t xml:space="preserve">	 :Accrual: 21 ceiling fans - HD Supply</t>
  </si>
  <si>
    <t>Accrual: 4-4116 stove top resurface - Surface Experts</t>
  </si>
  <si>
    <t>Accrual: Annual Fire Safety Inspection - Superhero Fire Protection</t>
  </si>
  <si>
    <t>Admin On-Site Office - Training / Education (recoverable)</t>
  </si>
  <si>
    <t>Admin On-Site Office - Supplies / Equipment (recoverable)</t>
  </si>
  <si>
    <t>Admin On-Site Office - Banking Fees / Charges (recoverable)</t>
  </si>
  <si>
    <t>Admin On-Site Office - Computer Svcs / Fees (recoverable)</t>
  </si>
  <si>
    <t>Admin On-Site Office - Telephone (recoverable)</t>
  </si>
  <si>
    <t>Admin On-Site Office - Mobile Phone (recoverable)</t>
  </si>
  <si>
    <t>Marketing - Prospect Refreshments</t>
  </si>
  <si>
    <t>Security Services (recoverable)</t>
  </si>
  <si>
    <t>Residential Employee Units</t>
  </si>
  <si>
    <t>Property Mgt Fees - CBRE (recoverable)</t>
  </si>
  <si>
    <t>Waste Disposal (recoverable)</t>
  </si>
  <si>
    <t>Admin Salaries -3rd Party Insurance Benefits(recr)</t>
  </si>
  <si>
    <t>Advertising - Media / Internet</t>
  </si>
  <si>
    <t>Admin Salaries -3rd Party Bonuses (recoverable)</t>
  </si>
  <si>
    <t>Residential Other Operating Expenses 3</t>
  </si>
  <si>
    <t>Residential Unit R&amp;M (recoverable)</t>
  </si>
  <si>
    <t>Residential Unit Appliance R&amp;M (recoverable)</t>
  </si>
  <si>
    <t>Janitorial / Cleaning Supplies - Other 1 (recoverable)</t>
  </si>
  <si>
    <t>Building R&amp;M - Interior (recoverable)</t>
  </si>
  <si>
    <t>Residential Other Operating Expenses 2</t>
  </si>
  <si>
    <t>Building R&amp;M - HVAC (recoverable)</t>
  </si>
  <si>
    <t>Building R&amp;M - Plumbing (recoverable)</t>
  </si>
  <si>
    <t>Building R&amp;M - Electrical (recoverable)</t>
  </si>
  <si>
    <t>Building R&amp;M-Light Fixtures Bulbs &amp; Ceiling Fans (recr)</t>
  </si>
  <si>
    <t>Reimbursement - Utility Expense - Summary Account</t>
  </si>
  <si>
    <t>Reimbursement - Water &amp; Sewage</t>
  </si>
  <si>
    <t>Water &amp; Sewer - Common Areas (recoverable)</t>
  </si>
  <si>
    <t>Electricity - Common Areas (recoverable)</t>
  </si>
  <si>
    <t>Other Utilities 1 (recoverable)</t>
  </si>
  <si>
    <t>Admin On-Site Office - Cable / Internet Svc (recoverable)</t>
  </si>
  <si>
    <t> Residential Unit - Improvements</t>
  </si>
  <si>
    <t>09/2026 Housing Discount - Bria Caldwell</t>
  </si>
  <si>
    <t>08/2026 Housing Discount - Jijae Taylor</t>
  </si>
  <si>
    <t>09.26 Bad Debt</t>
  </si>
  <si>
    <t>09.26 Management Fee Accrual</t>
  </si>
  <si>
    <t>Exterior Landscape Supplies and Repairs (recoverable)</t>
  </si>
  <si>
    <t>Admin On-Site Office - Cr Verification Fees (recoverable)</t>
  </si>
  <si>
    <t>:Accrual: 06/26 Pond Monthly Maintenance - Heaven &amp; Earth Landscaping</t>
  </si>
  <si>
    <t>:Accrual: Reversal of 09/26 Valet trash -</t>
  </si>
  <si>
    <t>:Accrual: 09/26 Shred Service -</t>
  </si>
  <si>
    <t>:Accrual: 08/26 Resident screening services Rent Grow Monthly Contract -</t>
  </si>
  <si>
    <t>:Accrual: 07/26 Resident screening services Rent Grow Monthly Contract -</t>
  </si>
  <si>
    <t>:Accrual: 06/26 Resident screening services Rent Grow Monthly Contract -</t>
  </si>
  <si>
    <t>:Accrual: 09/26 Resident screening services Rent Grow Monthly Contract -</t>
  </si>
  <si>
    <t>:Accrual: 09/26 Reversal Business Intelligence Suite RP Utility Management Monthly Contract -</t>
  </si>
  <si>
    <t>:Accrual: 07/26 Reversal Business Intelligence Suite RP Utility Management Monthly Contract -</t>
  </si>
  <si>
    <t>:Accrual: 08/26 Reversal Business Intelligence Suite RP Utility Management Monthly Contract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</si>
</sst>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00.000000"/>
    <numFmt numFmtId="166" formatCode="[$-409]mmmm\ d\,\ yyyy;@"/>
    <numFmt numFmtId="167" formatCode="_(* #,##0_);_(* \(#,##0\);_(* &quot;-&quot;??_);_(@_)"/>
    <numFmt numFmtId="168" formatCode="&quot;$&quot;#,##0.00"/>
    <numFmt numFmtId="169" formatCode="mmmm\-yy"/>
    <numFmt numFmtId="170" formatCode="mm/dd/yy;@"/>
    <numFmt numFmtId="171" formatCode="dd\-mmm"/>
    <numFmt numFmtId="172" formatCode="000000"/>
    <numFmt numFmtId="173" formatCode="mm/yyyy"/>
    <numFmt numFmtId="174" formatCode="[$-409]mmm\-yy;@"/>
  </numFmts>
  <fonts count="8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9"/>
      <color indexed="81"/>
      <name val="Tahoma"/>
      <family val="2"/>
    </font>
    <font>
      <u/>
      <sz val="10"/>
      <color theme="10"/>
      <name val="Arial"/>
      <family val="2"/>
    </font>
    <font>
      <b/>
      <sz val="14"/>
      <name val="Avenir Next LT Pro"/>
      <family val="2"/>
    </font>
    <font>
      <sz val="11"/>
      <color theme="1"/>
      <name val="Avenir Next LT Pro"/>
      <family val="2"/>
    </font>
    <font>
      <b/>
      <sz val="12"/>
      <name val="Avenir Next LT Pro"/>
      <family val="2"/>
    </font>
    <font>
      <b/>
      <sz val="11"/>
      <name val="Avenir Next LT Pro"/>
      <family val="2"/>
    </font>
    <font>
      <b/>
      <sz val="11"/>
      <color theme="1"/>
      <name val="Avenir Next LT Pro"/>
      <family val="2"/>
    </font>
    <font>
      <sz val="10"/>
      <name val="Avenir Next LT Pro"/>
      <family val="2"/>
    </font>
    <font>
      <sz val="10"/>
      <color theme="0"/>
      <name val="Avenir Next LT Pro"/>
      <family val="2"/>
    </font>
    <font>
      <b/>
      <sz val="10"/>
      <name val="Avenir Next LT Pro"/>
      <family val="2"/>
    </font>
    <font>
      <sz val="12"/>
      <name val="Avenir Next LT Pro"/>
      <family val="2"/>
    </font>
    <font>
      <b/>
      <sz val="16"/>
      <color indexed="48"/>
      <name val="Avenir Next LT Pro"/>
      <family val="2"/>
    </font>
    <font>
      <u/>
      <sz val="12"/>
      <name val="Avenir Next LT Pro"/>
      <family val="2"/>
    </font>
    <font>
      <i/>
      <sz val="12"/>
      <name val="Avenir Next LT Pro"/>
      <family val="2"/>
    </font>
    <font>
      <b/>
      <sz val="16"/>
      <color rgb="FFFF0000"/>
      <name val="Avenir Next LT Pro"/>
      <family val="2"/>
    </font>
    <font>
      <b/>
      <sz val="10"/>
      <color rgb="FFFF0000"/>
      <name val="Avenir Next LT Pro"/>
      <family val="2"/>
    </font>
    <font>
      <sz val="8"/>
      <color theme="1"/>
      <name val="Avenir Next LT Pro"/>
      <family val="2"/>
    </font>
    <font>
      <sz val="8"/>
      <name val="Avenir Next LT Pro"/>
      <family val="2"/>
    </font>
    <font>
      <b/>
      <sz val="10"/>
      <color theme="0"/>
      <name val="Avenir Next LT Pro"/>
      <family val="2"/>
    </font>
    <font>
      <sz val="10"/>
      <color theme="1"/>
      <name val="Avenir Next LT Pro"/>
      <family val="2"/>
    </font>
    <font>
      <b/>
      <sz val="18"/>
      <name val="Avenir Next LT Pro"/>
      <family val="2"/>
    </font>
    <font>
      <b/>
      <sz val="16"/>
      <name val="Avenir Next LT Pro"/>
      <family val="2"/>
    </font>
    <font>
      <u/>
      <sz val="10"/>
      <color theme="10"/>
      <name val="Avenir Next LT Pro"/>
      <family val="2"/>
    </font>
    <font>
      <b/>
      <sz val="12"/>
      <color indexed="48"/>
      <name val="Avenir Next LT Pro"/>
      <family val="2"/>
    </font>
    <font>
      <b/>
      <sz val="16"/>
      <color theme="0" tint="-0.499984740745262"/>
      <name val="Avenir Next LT Pro"/>
      <family val="2"/>
    </font>
    <font>
      <b/>
      <i/>
      <u/>
      <sz val="14"/>
      <name val="Avenir Next LT Pro"/>
      <family val="2"/>
    </font>
    <font>
      <sz val="14"/>
      <name val="Avenir Next LT Pro"/>
      <family val="2"/>
    </font>
    <font>
      <b/>
      <sz val="16"/>
      <color rgb="FF3366FF"/>
      <name val="Avenir Next LT Pro"/>
      <family val="2"/>
    </font>
    <font>
      <sz val="9"/>
      <name val="Avenir Next LT Pro"/>
      <family val="2"/>
    </font>
    <font>
      <sz val="11"/>
      <name val="Avenir Next LT Pro"/>
      <family val="2"/>
    </font>
    <font>
      <sz val="16"/>
      <name val="Avenir Next LT Pro"/>
      <family val="2"/>
    </font>
    <font>
      <sz val="7"/>
      <name val="Avenir Next LT Pro"/>
      <family val="2"/>
    </font>
    <font>
      <sz val="10"/>
      <color rgb="FFFF6D7E"/>
      <name val="Avenir Next LT Pro"/>
      <family val="2"/>
    </font>
    <font>
      <b/>
      <i/>
      <sz val="12"/>
      <color theme="0"/>
      <name val="Avenir Next LT Pro"/>
      <family val="2"/>
    </font>
    <font>
      <b/>
      <sz val="8"/>
      <name val="Avenir Next LT Pro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1"/>
      <color rgb="FFFF0000"/>
      <name val="Avenir Next LT Pro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venir Next LT Pro"/>
      <family val="2"/>
    </font>
    <font>
      <b/>
      <sz val="11"/>
      <color theme="0"/>
      <name val="Avenir Next LT Pro"/>
      <family val="2"/>
    </font>
    <font>
      <sz val="8"/>
      <name val="Calibri"/>
      <family val="2"/>
      <scheme val="minor"/>
    </font>
    <font>
      <sz val="11"/>
      <color theme="0"/>
      <name val="Avenir Next LT Pro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venir Next LT Pro"/>
      <family val="2"/>
    </font>
    <font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rgb="FF000000"/>
      <name val="Avenir Next LT Pro"/>
      <family val="2"/>
    </font>
    <font>
      <b/>
      <sz val="16"/>
      <color theme="1"/>
      <name val="Avenir Next LT Pro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8"/>
      <color theme="1"/>
      <name val="Avenir Next LT Pro"/>
      <family val="2"/>
    </font>
    <font>
      <sz val="18"/>
      <color theme="1"/>
      <name val="Calibri"/>
      <family val="2"/>
      <scheme val="minor"/>
    </font>
    <font>
      <sz val="18"/>
      <name val="Avenir Next LT Pro"/>
      <family val="2"/>
    </font>
    <font>
      <b/>
      <sz val="14"/>
      <color theme="1"/>
      <name val="Avenir Next LT Pro"/>
      <family val="2"/>
    </font>
    <font>
      <b/>
      <sz val="14"/>
      <color rgb="FF000000"/>
      <name val="Avenir Next LT Pro"/>
      <family val="2"/>
    </font>
    <font>
      <sz val="11"/>
      <color theme="1"/>
      <name val="Arial"/>
      <family val="2"/>
    </font>
    <font>
      <b/>
      <sz val="22"/>
      <color theme="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u/>
      <sz val="14"/>
      <color rgb="FF2E75B6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8"/>
      <name val="Tahoma"/>
      <family val="2"/>
    </font>
    <font>
      <b/>
      <sz val="11"/>
      <color rgb="FF000000"/>
      <name val="Calibri"/>
      <family val="2"/>
    </font>
    <font>
      <sz val="8"/>
      <color rgb="FF000000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0A2245"/>
        <bgColor indexed="64"/>
      </patternFill>
    </fill>
    <fill>
      <patternFill patternType="solid">
        <fgColor rgb="FFA5A5A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rgb="FF16365C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hair">
        <color indexed="22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indexed="64"/>
      </bottom>
      <diagonal/>
    </border>
    <border>
      <left/>
      <right style="thin">
        <color theme="0" tint="-0.14999847407452621"/>
      </right>
      <top/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0"/>
      </left>
      <right/>
      <top style="thin">
        <color theme="0" tint="-0.14999847407452621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 style="thin">
        <color theme="0" tint="-0.1499984740745262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7" fontId="4" fillId="0" borderId="0"/>
    <xf numFmtId="0" fontId="2" fillId="0" borderId="0"/>
    <xf numFmtId="43" fontId="1" fillId="0" borderId="0" applyFont="0" applyFill="0" applyBorder="0" applyAlignment="0" applyProtection="0"/>
    <xf numFmtId="0" fontId="5" fillId="0" borderId="0"/>
    <xf numFmtId="0" fontId="3" fillId="0" borderId="0"/>
    <xf numFmtId="0" fontId="1" fillId="0" borderId="0"/>
    <xf numFmtId="43" fontId="2" fillId="0" borderId="0" applyFont="0" applyFill="0" applyBorder="0" applyAlignment="0" applyProtection="0"/>
    <xf numFmtId="0" fontId="1" fillId="0" borderId="25" applyNumberFormat="0" applyFont="0" applyFill="0" applyAlignment="0" applyProtection="0"/>
    <xf numFmtId="0" fontId="1" fillId="0" borderId="25" applyNumberFormat="0" applyFont="0" applyFill="0" applyAlignment="0" applyProtection="0"/>
    <xf numFmtId="0" fontId="1" fillId="0" borderId="0"/>
    <xf numFmtId="0" fontId="7" fillId="0" borderId="0" applyNumberFormat="0" applyFill="0" applyBorder="0" applyAlignment="0" applyProtection="0"/>
    <xf numFmtId="4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9" fillId="10" borderId="42" applyNumberFormat="0" applyAlignment="0" applyProtection="0"/>
    <xf numFmtId="0" fontId="1" fillId="0" borderId="0"/>
  </cellStyleXfs>
  <cellXfs count="731">
    <xf numFmtId="0" fontId="0" fillId="0" borderId="0" xfId="0"/>
    <xf numFmtId="0" fontId="9" fillId="0" borderId="0" xfId="0" applyFont="1"/>
    <xf numFmtId="14" fontId="9" fillId="0" borderId="0" xfId="0" applyNumberFormat="1" applyFont="1"/>
    <xf numFmtId="0" fontId="12" fillId="0" borderId="0" xfId="0" applyFont="1" applyAlignment="1">
      <alignment horizontal="center"/>
    </xf>
    <xf numFmtId="44" fontId="9" fillId="0" borderId="0" xfId="0" applyNumberFormat="1" applyFont="1"/>
    <xf numFmtId="0" fontId="13" fillId="3" borderId="0" xfId="1" applyFont="1" applyFill="1"/>
    <xf numFmtId="0" fontId="14" fillId="3" borderId="0" xfId="1" applyFont="1" applyFill="1"/>
    <xf numFmtId="0" fontId="15" fillId="3" borderId="0" xfId="1" applyFont="1" applyFill="1"/>
    <xf numFmtId="0" fontId="13" fillId="0" borderId="0" xfId="0" applyFont="1"/>
    <xf numFmtId="0" fontId="16" fillId="0" borderId="0" xfId="0" applyFont="1"/>
    <xf numFmtId="17" fontId="17" fillId="0" borderId="0" xfId="0" applyNumberFormat="1" applyFont="1" applyAlignment="1">
      <alignment horizontal="center"/>
    </xf>
    <xf numFmtId="17" fontId="17" fillId="0" borderId="0" xfId="0" quotePrefix="1" applyNumberFormat="1" applyFont="1" applyAlignment="1">
      <alignment horizontal="center"/>
    </xf>
    <xf numFmtId="0" fontId="10" fillId="0" borderId="0" xfId="0" applyFont="1"/>
    <xf numFmtId="0" fontId="16" fillId="0" borderId="0" xfId="0" applyFont="1" applyAlignment="1">
      <alignment horizontal="left"/>
    </xf>
    <xf numFmtId="167" fontId="16" fillId="0" borderId="0" xfId="4" applyNumberFormat="1" applyFont="1" applyAlignment="1">
      <alignment horizontal="center"/>
    </xf>
    <xf numFmtId="44" fontId="16" fillId="0" borderId="0" xfId="2" applyFont="1" applyAlignment="1">
      <alignment horizontal="left"/>
    </xf>
    <xf numFmtId="0" fontId="16" fillId="0" borderId="0" xfId="0" applyFont="1" applyAlignment="1">
      <alignment horizontal="center"/>
    </xf>
    <xf numFmtId="17" fontId="18" fillId="0" borderId="0" xfId="0" applyNumberFormat="1" applyFont="1" applyAlignment="1">
      <alignment horizontal="center" wrapText="1"/>
    </xf>
    <xf numFmtId="167" fontId="16" fillId="0" borderId="0" xfId="4" applyNumberFormat="1" applyFont="1" applyBorder="1" applyAlignment="1">
      <alignment horizontal="center" wrapText="1"/>
    </xf>
    <xf numFmtId="17" fontId="16" fillId="0" borderId="0" xfId="0" applyNumberFormat="1" applyFont="1" applyAlignment="1">
      <alignment horizontal="center" wrapText="1"/>
    </xf>
    <xf numFmtId="49" fontId="16" fillId="0" borderId="0" xfId="0" applyNumberFormat="1" applyFont="1" applyAlignment="1">
      <alignment horizontal="center" wrapText="1"/>
    </xf>
    <xf numFmtId="49" fontId="16" fillId="0" borderId="0" xfId="0" applyNumberFormat="1" applyFont="1" applyAlignment="1">
      <alignment horizontal="left" wrapText="1"/>
    </xf>
    <xf numFmtId="43" fontId="16" fillId="0" borderId="0" xfId="4" applyFont="1" applyBorder="1" applyAlignment="1"/>
    <xf numFmtId="17" fontId="16" fillId="0" borderId="0" xfId="0" applyNumberFormat="1" applyFont="1" applyAlignment="1">
      <alignment horizontal="left" wrapText="1"/>
    </xf>
    <xf numFmtId="167" fontId="16" fillId="0" borderId="0" xfId="4" quotePrefix="1" applyNumberFormat="1" applyFont="1" applyBorder="1" applyAlignment="1">
      <alignment horizontal="center"/>
    </xf>
    <xf numFmtId="49" fontId="16" fillId="0" borderId="0" xfId="2" applyNumberFormat="1" applyFont="1" applyBorder="1" applyAlignment="1">
      <alignment horizontal="center" wrapText="1"/>
    </xf>
    <xf numFmtId="44" fontId="10" fillId="0" borderId="11" xfId="2" applyFont="1" applyBorder="1" applyAlignment="1"/>
    <xf numFmtId="0" fontId="19" fillId="0" borderId="0" xfId="0" applyFont="1"/>
    <xf numFmtId="2" fontId="16" fillId="0" borderId="0" xfId="0" applyNumberFormat="1" applyFont="1"/>
    <xf numFmtId="49" fontId="16" fillId="0" borderId="0" xfId="4" applyNumberFormat="1" applyFont="1" applyBorder="1" applyAlignment="1">
      <alignment horizontal="center" wrapText="1"/>
    </xf>
    <xf numFmtId="49" fontId="16" fillId="0" borderId="0" xfId="0" applyNumberFormat="1" applyFont="1"/>
    <xf numFmtId="44" fontId="16" fillId="0" borderId="0" xfId="2" applyFont="1" applyAlignment="1"/>
    <xf numFmtId="44" fontId="16" fillId="0" borderId="0" xfId="2" applyFont="1" applyBorder="1" applyAlignment="1"/>
    <xf numFmtId="49" fontId="16" fillId="0" borderId="0" xfId="0" applyNumberFormat="1" applyFont="1" applyAlignment="1">
      <alignment horizontal="left"/>
    </xf>
    <xf numFmtId="44" fontId="16" fillId="0" borderId="0" xfId="2" applyFont="1" applyFill="1" applyBorder="1" applyAlignment="1">
      <alignment horizontal="center"/>
    </xf>
    <xf numFmtId="44" fontId="16" fillId="0" borderId="0" xfId="2" applyFont="1" applyBorder="1" applyAlignment="1">
      <alignment horizontal="left"/>
    </xf>
    <xf numFmtId="49" fontId="16" fillId="0" borderId="0" xfId="4" applyNumberFormat="1" applyFont="1" applyBorder="1" applyAlignment="1">
      <alignment horizontal="center"/>
    </xf>
    <xf numFmtId="49" fontId="16" fillId="0" borderId="0" xfId="0" applyNumberFormat="1" applyFont="1" applyAlignment="1">
      <alignment horizontal="center"/>
    </xf>
    <xf numFmtId="49" fontId="16" fillId="0" borderId="0" xfId="2" applyNumberFormat="1" applyFont="1" applyBorder="1" applyAlignment="1">
      <alignment horizontal="center"/>
    </xf>
    <xf numFmtId="49" fontId="16" fillId="0" borderId="0" xfId="0" quotePrefix="1" applyNumberFormat="1" applyFont="1" applyAlignment="1">
      <alignment horizontal="center" wrapText="1"/>
    </xf>
    <xf numFmtId="167" fontId="16" fillId="0" borderId="0" xfId="4" applyNumberFormat="1" applyFont="1" applyFill="1" applyAlignment="1">
      <alignment horizontal="center"/>
    </xf>
    <xf numFmtId="49" fontId="10" fillId="0" borderId="0" xfId="0" applyNumberFormat="1" applyFont="1"/>
    <xf numFmtId="49" fontId="16" fillId="0" borderId="0" xfId="0" quotePrefix="1" applyNumberFormat="1" applyFont="1" applyAlignment="1">
      <alignment horizontal="left"/>
    </xf>
    <xf numFmtId="49" fontId="16" fillId="0" borderId="0" xfId="4" applyNumberFormat="1" applyFont="1" applyAlignment="1">
      <alignment horizontal="center"/>
    </xf>
    <xf numFmtId="49" fontId="16" fillId="0" borderId="0" xfId="2" applyNumberFormat="1" applyFont="1" applyAlignment="1">
      <alignment horizontal="left"/>
    </xf>
    <xf numFmtId="49" fontId="16" fillId="0" borderId="0" xfId="2" applyNumberFormat="1" applyFont="1" applyBorder="1" applyAlignment="1">
      <alignment horizontal="left"/>
    </xf>
    <xf numFmtId="39" fontId="16" fillId="0" borderId="0" xfId="0" applyNumberFormat="1" applyFont="1"/>
    <xf numFmtId="4" fontId="16" fillId="0" borderId="0" xfId="0" applyNumberFormat="1" applyFont="1"/>
    <xf numFmtId="0" fontId="9" fillId="0" borderId="0" xfId="0" applyFont="1" applyAlignment="1">
      <alignment horizontal="center"/>
    </xf>
    <xf numFmtId="0" fontId="9" fillId="2" borderId="0" xfId="0" applyFont="1" applyFill="1"/>
    <xf numFmtId="0" fontId="13" fillId="0" borderId="0" xfId="1" applyFont="1"/>
    <xf numFmtId="0" fontId="15" fillId="0" borderId="0" xfId="1" applyFont="1" applyAlignment="1">
      <alignment horizontal="center"/>
    </xf>
    <xf numFmtId="39" fontId="13" fillId="0" borderId="0" xfId="12" applyNumberFormat="1" applyFont="1" applyBorder="1" applyAlignment="1">
      <alignment horizontal="right" shrinkToFit="1"/>
    </xf>
    <xf numFmtId="0" fontId="15" fillId="0" borderId="14" xfId="1" applyFont="1" applyBorder="1" applyAlignment="1">
      <alignment horizontal="center"/>
    </xf>
    <xf numFmtId="39" fontId="13" fillId="0" borderId="0" xfId="1" applyNumberFormat="1" applyFont="1"/>
    <xf numFmtId="4" fontId="13" fillId="0" borderId="0" xfId="1" applyNumberFormat="1" applyFont="1"/>
    <xf numFmtId="43" fontId="13" fillId="0" borderId="0" xfId="7" applyFont="1" applyBorder="1"/>
    <xf numFmtId="43" fontId="13" fillId="0" borderId="8" xfId="7" applyFont="1" applyBorder="1"/>
    <xf numFmtId="43" fontId="15" fillId="0" borderId="0" xfId="7" applyFont="1"/>
    <xf numFmtId="44" fontId="15" fillId="0" borderId="0" xfId="2" applyFont="1"/>
    <xf numFmtId="14" fontId="15" fillId="2" borderId="0" xfId="0" applyNumberFormat="1" applyFont="1" applyFill="1" applyAlignment="1">
      <alignment horizontal="left"/>
    </xf>
    <xf numFmtId="0" fontId="22" fillId="0" borderId="0" xfId="0" applyFont="1" applyAlignment="1">
      <alignment horizontal="left"/>
    </xf>
    <xf numFmtId="14" fontId="15" fillId="0" borderId="0" xfId="0" applyNumberFormat="1" applyFont="1"/>
    <xf numFmtId="0" fontId="11" fillId="0" borderId="14" xfId="0" quotePrefix="1" applyFont="1" applyBorder="1" applyAlignment="1">
      <alignment horizontal="left"/>
    </xf>
    <xf numFmtId="0" fontId="15" fillId="0" borderId="0" xfId="0" applyFont="1"/>
    <xf numFmtId="4" fontId="15" fillId="0" borderId="27" xfId="0" applyNumberFormat="1" applyFont="1" applyBorder="1"/>
    <xf numFmtId="4" fontId="22" fillId="0" borderId="0" xfId="0" applyNumberFormat="1" applyFont="1" applyAlignment="1">
      <alignment horizontal="left"/>
    </xf>
    <xf numFmtId="0" fontId="13" fillId="0" borderId="0" xfId="8" applyFont="1"/>
    <xf numFmtId="0" fontId="24" fillId="4" borderId="0" xfId="8" applyFont="1" applyFill="1" applyAlignment="1">
      <alignment horizontal="center"/>
    </xf>
    <xf numFmtId="4" fontId="13" fillId="2" borderId="1" xfId="2" applyNumberFormat="1" applyFont="1" applyFill="1" applyBorder="1" applyAlignment="1">
      <alignment horizontal="right"/>
    </xf>
    <xf numFmtId="0" fontId="25" fillId="0" borderId="0" xfId="6" applyFont="1"/>
    <xf numFmtId="0" fontId="13" fillId="0" borderId="15" xfId="1" applyFont="1" applyBorder="1" applyAlignment="1">
      <alignment horizontal="centerContinuous"/>
    </xf>
    <xf numFmtId="0" fontId="13" fillId="0" borderId="15" xfId="1" applyFont="1" applyBorder="1" applyAlignment="1">
      <alignment horizontal="center"/>
    </xf>
    <xf numFmtId="0" fontId="13" fillId="0" borderId="17" xfId="1" applyFont="1" applyBorder="1" applyAlignment="1">
      <alignment horizontal="center"/>
    </xf>
    <xf numFmtId="0" fontId="13" fillId="0" borderId="16" xfId="1" applyFont="1" applyBorder="1" applyAlignment="1">
      <alignment horizontal="center"/>
    </xf>
    <xf numFmtId="0" fontId="13" fillId="2" borderId="18" xfId="1" applyFont="1" applyFill="1" applyBorder="1"/>
    <xf numFmtId="43" fontId="13" fillId="2" borderId="21" xfId="7" applyFont="1" applyFill="1" applyBorder="1"/>
    <xf numFmtId="0" fontId="13" fillId="2" borderId="13" xfId="1" applyFont="1" applyFill="1" applyBorder="1"/>
    <xf numFmtId="43" fontId="13" fillId="2" borderId="13" xfId="7" applyFont="1" applyFill="1" applyBorder="1"/>
    <xf numFmtId="43" fontId="13" fillId="2" borderId="0" xfId="7" applyFont="1" applyFill="1" applyBorder="1"/>
    <xf numFmtId="43" fontId="13" fillId="2" borderId="22" xfId="7" applyFont="1" applyFill="1" applyBorder="1"/>
    <xf numFmtId="43" fontId="13" fillId="2" borderId="14" xfId="7" applyFont="1" applyFill="1" applyBorder="1"/>
    <xf numFmtId="43" fontId="13" fillId="2" borderId="23" xfId="7" applyFont="1" applyFill="1" applyBorder="1"/>
    <xf numFmtId="43" fontId="13" fillId="0" borderId="14" xfId="7" applyFont="1" applyBorder="1"/>
    <xf numFmtId="43" fontId="13" fillId="0" borderId="1" xfId="7" applyFont="1" applyBorder="1"/>
    <xf numFmtId="0" fontId="15" fillId="0" borderId="0" xfId="1" applyFont="1" applyAlignment="1">
      <alignment horizontal="left"/>
    </xf>
    <xf numFmtId="0" fontId="15" fillId="0" borderId="0" xfId="1" applyFont="1" applyAlignment="1">
      <alignment horizontal="centerContinuous"/>
    </xf>
    <xf numFmtId="0" fontId="9" fillId="0" borderId="0" xfId="6" applyFont="1"/>
    <xf numFmtId="17" fontId="27" fillId="0" borderId="0" xfId="0" applyNumberFormat="1" applyFont="1" applyAlignment="1">
      <alignment horizontal="right"/>
    </xf>
    <xf numFmtId="17" fontId="10" fillId="0" borderId="0" xfId="0" quotePrefix="1" applyNumberFormat="1" applyFont="1" applyAlignment="1">
      <alignment horizontal="left"/>
    </xf>
    <xf numFmtId="17" fontId="27" fillId="0" borderId="0" xfId="0" quotePrefix="1" applyNumberFormat="1" applyFont="1" applyAlignment="1">
      <alignment horizontal="right"/>
    </xf>
    <xf numFmtId="17" fontId="10" fillId="0" borderId="0" xfId="0" quotePrefix="1" applyNumberFormat="1" applyFont="1" applyAlignment="1">
      <alignment horizontal="center"/>
    </xf>
    <xf numFmtId="14" fontId="10" fillId="0" borderId="0" xfId="0" quotePrefix="1" applyNumberFormat="1" applyFont="1" applyAlignment="1">
      <alignment horizontal="left"/>
    </xf>
    <xf numFmtId="17" fontId="29" fillId="0" borderId="0" xfId="0" quotePrefix="1" applyNumberFormat="1" applyFont="1" applyAlignment="1">
      <alignment horizontal="center"/>
    </xf>
    <xf numFmtId="17" fontId="29" fillId="0" borderId="0" xfId="0" applyNumberFormat="1" applyFont="1" applyAlignment="1">
      <alignment horizontal="left"/>
    </xf>
    <xf numFmtId="0" fontId="16" fillId="0" borderId="0" xfId="0" quotePrefix="1" applyFont="1" applyAlignment="1">
      <alignment horizontal="left"/>
    </xf>
    <xf numFmtId="0" fontId="8" fillId="0" borderId="0" xfId="0" applyFont="1"/>
    <xf numFmtId="167" fontId="16" fillId="0" borderId="0" xfId="7" applyNumberFormat="1" applyFont="1" applyBorder="1" applyAlignment="1">
      <alignment horizontal="center" wrapText="1"/>
    </xf>
    <xf numFmtId="167" fontId="16" fillId="0" borderId="0" xfId="7" applyNumberFormat="1" applyFont="1" applyAlignment="1">
      <alignment horizontal="center"/>
    </xf>
    <xf numFmtId="167" fontId="16" fillId="0" borderId="0" xfId="7" applyNumberFormat="1" applyFont="1" applyFill="1" applyBorder="1" applyAlignment="1">
      <alignment horizontal="right"/>
    </xf>
    <xf numFmtId="44" fontId="16" fillId="2" borderId="1" xfId="0" applyNumberFormat="1" applyFont="1" applyFill="1" applyBorder="1"/>
    <xf numFmtId="167" fontId="16" fillId="0" borderId="0" xfId="7" applyNumberFormat="1" applyFont="1" applyFill="1" applyBorder="1" applyAlignment="1">
      <alignment horizontal="center" wrapText="1"/>
    </xf>
    <xf numFmtId="49" fontId="16" fillId="0" borderId="0" xfId="2" applyNumberFormat="1" applyFont="1" applyFill="1" applyBorder="1" applyAlignment="1">
      <alignment horizontal="center" wrapText="1"/>
    </xf>
    <xf numFmtId="167" fontId="16" fillId="0" borderId="0" xfId="7" quotePrefix="1" applyNumberFormat="1" applyFont="1" applyFill="1" applyBorder="1" applyAlignment="1">
      <alignment horizontal="right"/>
    </xf>
    <xf numFmtId="44" fontId="16" fillId="2" borderId="1" xfId="2" applyFont="1" applyFill="1" applyBorder="1" applyAlignment="1"/>
    <xf numFmtId="167" fontId="16" fillId="0" borderId="0" xfId="7" quotePrefix="1" applyNumberFormat="1" applyFont="1" applyBorder="1" applyAlignment="1">
      <alignment horizontal="center"/>
    </xf>
    <xf numFmtId="39" fontId="10" fillId="0" borderId="0" xfId="0" applyNumberFormat="1" applyFont="1" applyAlignment="1">
      <alignment horizontal="center"/>
    </xf>
    <xf numFmtId="0" fontId="10" fillId="0" borderId="8" xfId="0" applyFont="1" applyBorder="1"/>
    <xf numFmtId="44" fontId="16" fillId="0" borderId="8" xfId="0" applyNumberFormat="1" applyFont="1" applyBorder="1" applyAlignment="1">
      <alignment horizontal="left"/>
    </xf>
    <xf numFmtId="167" fontId="16" fillId="0" borderId="8" xfId="7" applyNumberFormat="1" applyFont="1" applyBorder="1" applyAlignment="1">
      <alignment horizontal="center"/>
    </xf>
    <xf numFmtId="44" fontId="16" fillId="0" borderId="8" xfId="2" applyFont="1" applyBorder="1" applyAlignment="1">
      <alignment horizontal="left"/>
    </xf>
    <xf numFmtId="0" fontId="16" fillId="0" borderId="8" xfId="0" applyFont="1" applyBorder="1" applyAlignment="1">
      <alignment horizontal="center"/>
    </xf>
    <xf numFmtId="44" fontId="10" fillId="0" borderId="8" xfId="2" applyFont="1" applyBorder="1" applyAlignment="1"/>
    <xf numFmtId="0" fontId="10" fillId="0" borderId="0" xfId="0" applyFont="1" applyAlignment="1">
      <alignment horizontal="left"/>
    </xf>
    <xf numFmtId="167" fontId="10" fillId="0" borderId="0" xfId="7" applyNumberFormat="1" applyFont="1" applyAlignment="1">
      <alignment horizontal="center"/>
    </xf>
    <xf numFmtId="44" fontId="10" fillId="0" borderId="0" xfId="2" applyFont="1" applyAlignment="1">
      <alignment horizontal="left"/>
    </xf>
    <xf numFmtId="0" fontId="10" fillId="0" borderId="0" xfId="0" applyFont="1" applyAlignment="1">
      <alignment horizontal="center"/>
    </xf>
    <xf numFmtId="44" fontId="16" fillId="0" borderId="0" xfId="2" applyFont="1" applyFill="1" applyBorder="1" applyAlignment="1">
      <alignment horizontal="right"/>
    </xf>
    <xf numFmtId="44" fontId="16" fillId="2" borderId="1" xfId="0" applyNumberFormat="1" applyFont="1" applyFill="1" applyBorder="1" applyAlignment="1">
      <alignment horizontal="center"/>
    </xf>
    <xf numFmtId="14" fontId="16" fillId="2" borderId="1" xfId="0" applyNumberFormat="1" applyFont="1" applyFill="1" applyBorder="1" applyAlignment="1">
      <alignment horizontal="center"/>
    </xf>
    <xf numFmtId="167" fontId="16" fillId="0" borderId="0" xfId="7" applyNumberFormat="1" applyFont="1" applyFill="1" applyBorder="1" applyAlignment="1">
      <alignment horizontal="center"/>
    </xf>
    <xf numFmtId="44" fontId="16" fillId="0" borderId="0" xfId="2" applyFont="1" applyFill="1" applyBorder="1" applyAlignment="1">
      <alignment horizontal="left"/>
    </xf>
    <xf numFmtId="44" fontId="16" fillId="0" borderId="0" xfId="0" applyNumberFormat="1" applyFont="1" applyAlignment="1">
      <alignment horizontal="center"/>
    </xf>
    <xf numFmtId="0" fontId="16" fillId="0" borderId="8" xfId="0" applyFont="1" applyBorder="1" applyAlignment="1">
      <alignment horizontal="left"/>
    </xf>
    <xf numFmtId="167" fontId="16" fillId="0" borderId="8" xfId="7" applyNumberFormat="1" applyFont="1" applyFill="1" applyBorder="1" applyAlignment="1">
      <alignment horizontal="center"/>
    </xf>
    <xf numFmtId="44" fontId="16" fillId="0" borderId="8" xfId="2" applyFont="1" applyFill="1" applyBorder="1" applyAlignment="1">
      <alignment horizontal="right"/>
    </xf>
    <xf numFmtId="44" fontId="16" fillId="0" borderId="8" xfId="0" applyNumberFormat="1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8" fillId="0" borderId="0" xfId="0" quotePrefix="1" applyFont="1" applyAlignment="1">
      <alignment horizontal="left" vertical="top"/>
    </xf>
    <xf numFmtId="0" fontId="32" fillId="0" borderId="0" xfId="0" applyFont="1"/>
    <xf numFmtId="0" fontId="32" fillId="0" borderId="0" xfId="0" applyFont="1" applyAlignment="1">
      <alignment horizontal="left"/>
    </xf>
    <xf numFmtId="167" fontId="32" fillId="0" borderId="0" xfId="7" applyNumberFormat="1" applyFont="1" applyFill="1" applyBorder="1" applyAlignment="1">
      <alignment horizontal="center"/>
    </xf>
    <xf numFmtId="44" fontId="32" fillId="0" borderId="0" xfId="2" applyFont="1" applyFill="1" applyBorder="1" applyAlignment="1">
      <alignment horizontal="left"/>
    </xf>
    <xf numFmtId="0" fontId="32" fillId="0" borderId="0" xfId="0" applyFont="1" applyAlignment="1">
      <alignment horizontal="center"/>
    </xf>
    <xf numFmtId="0" fontId="10" fillId="0" borderId="0" xfId="0" applyFont="1" applyAlignment="1">
      <alignment horizontal="center" vertical="center" wrapText="1"/>
    </xf>
    <xf numFmtId="49" fontId="16" fillId="0" borderId="0" xfId="7" applyNumberFormat="1" applyFont="1" applyBorder="1" applyAlignment="1">
      <alignment horizontal="center" wrapText="1"/>
    </xf>
    <xf numFmtId="0" fontId="16" fillId="0" borderId="8" xfId="0" applyFont="1" applyBorder="1"/>
    <xf numFmtId="49" fontId="16" fillId="0" borderId="8" xfId="0" applyNumberFormat="1" applyFont="1" applyBorder="1" applyAlignment="1">
      <alignment horizontal="center"/>
    </xf>
    <xf numFmtId="44" fontId="16" fillId="0" borderId="8" xfId="2" applyFont="1" applyBorder="1" applyAlignment="1"/>
    <xf numFmtId="44" fontId="16" fillId="0" borderId="0" xfId="2" applyFont="1" applyFill="1" applyBorder="1" applyAlignment="1"/>
    <xf numFmtId="49" fontId="8" fillId="0" borderId="0" xfId="0" applyNumberFormat="1" applyFont="1" applyAlignment="1">
      <alignment horizontal="left" vertical="top"/>
    </xf>
    <xf numFmtId="17" fontId="8" fillId="0" borderId="0" xfId="0" applyNumberFormat="1" applyFont="1" applyAlignment="1">
      <alignment horizontal="left"/>
    </xf>
    <xf numFmtId="44" fontId="10" fillId="0" borderId="0" xfId="2" applyFont="1" applyFill="1" applyBorder="1" applyAlignment="1"/>
    <xf numFmtId="17" fontId="16" fillId="0" borderId="0" xfId="0" applyNumberFormat="1" applyFont="1" applyAlignment="1">
      <alignment horizontal="right"/>
    </xf>
    <xf numFmtId="49" fontId="16" fillId="2" borderId="1" xfId="0" applyNumberFormat="1" applyFont="1" applyFill="1" applyBorder="1" applyAlignment="1">
      <alignment horizontal="center"/>
    </xf>
    <xf numFmtId="44" fontId="10" fillId="0" borderId="0" xfId="2" applyFont="1" applyFill="1" applyBorder="1" applyAlignment="1">
      <alignment horizontal="center"/>
    </xf>
    <xf numFmtId="17" fontId="10" fillId="0" borderId="8" xfId="0" quotePrefix="1" applyNumberFormat="1" applyFont="1" applyBorder="1" applyAlignment="1">
      <alignment horizontal="center"/>
    </xf>
    <xf numFmtId="0" fontId="8" fillId="0" borderId="0" xfId="0" applyFont="1" applyAlignment="1">
      <alignment vertical="top"/>
    </xf>
    <xf numFmtId="49" fontId="8" fillId="0" borderId="0" xfId="0" applyNumberFormat="1" applyFont="1" applyAlignment="1">
      <alignment horizontal="left"/>
    </xf>
    <xf numFmtId="49" fontId="16" fillId="0" borderId="0" xfId="2" applyNumberFormat="1" applyFont="1" applyFill="1" applyBorder="1" applyAlignment="1">
      <alignment horizontal="right"/>
    </xf>
    <xf numFmtId="49" fontId="16" fillId="0" borderId="0" xfId="0" applyNumberFormat="1" applyFont="1" applyAlignment="1">
      <alignment horizontal="right" wrapText="1"/>
    </xf>
    <xf numFmtId="49" fontId="16" fillId="0" borderId="0" xfId="7" applyNumberFormat="1" applyFont="1" applyBorder="1" applyAlignment="1">
      <alignment horizontal="center"/>
    </xf>
    <xf numFmtId="17" fontId="10" fillId="0" borderId="0" xfId="0" applyNumberFormat="1" applyFont="1" applyAlignment="1">
      <alignment horizontal="left"/>
    </xf>
    <xf numFmtId="0" fontId="10" fillId="0" borderId="21" xfId="0" applyFont="1" applyBorder="1" applyAlignment="1">
      <alignment horizontal="left"/>
    </xf>
    <xf numFmtId="167" fontId="10" fillId="0" borderId="13" xfId="7" applyNumberFormat="1" applyFont="1" applyFill="1" applyBorder="1" applyAlignment="1">
      <alignment horizontal="center"/>
    </xf>
    <xf numFmtId="49" fontId="10" fillId="0" borderId="21" xfId="2" applyNumberFormat="1" applyFont="1" applyFill="1" applyBorder="1" applyAlignment="1">
      <alignment horizontal="right"/>
    </xf>
    <xf numFmtId="17" fontId="10" fillId="0" borderId="14" xfId="0" applyNumberFormat="1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167" fontId="10" fillId="0" borderId="22" xfId="7" applyNumberFormat="1" applyFont="1" applyFill="1" applyBorder="1" applyAlignment="1">
      <alignment horizontal="center"/>
    </xf>
    <xf numFmtId="49" fontId="10" fillId="0" borderId="23" xfId="2" applyNumberFormat="1" applyFont="1" applyFill="1" applyBorder="1" applyAlignment="1">
      <alignment horizontal="right"/>
    </xf>
    <xf numFmtId="0" fontId="30" fillId="6" borderId="12" xfId="0" applyFont="1" applyFill="1" applyBorder="1"/>
    <xf numFmtId="49" fontId="33" fillId="0" borderId="2" xfId="0" applyNumberFormat="1" applyFont="1" applyBorder="1" applyAlignment="1">
      <alignment horizontal="left"/>
    </xf>
    <xf numFmtId="49" fontId="16" fillId="0" borderId="3" xfId="0" applyNumberFormat="1" applyFont="1" applyBorder="1" applyAlignment="1">
      <alignment horizontal="left"/>
    </xf>
    <xf numFmtId="49" fontId="16" fillId="0" borderId="3" xfId="0" quotePrefix="1" applyNumberFormat="1" applyFont="1" applyBorder="1" applyAlignment="1">
      <alignment horizontal="left"/>
    </xf>
    <xf numFmtId="167" fontId="16" fillId="0" borderId="3" xfId="7" applyNumberFormat="1" applyFont="1" applyFill="1" applyBorder="1" applyAlignment="1">
      <alignment horizontal="center"/>
    </xf>
    <xf numFmtId="44" fontId="16" fillId="0" borderId="3" xfId="2" applyFont="1" applyFill="1" applyBorder="1" applyAlignment="1">
      <alignment horizontal="center"/>
    </xf>
    <xf numFmtId="0" fontId="16" fillId="0" borderId="3" xfId="0" applyFont="1" applyBorder="1" applyAlignment="1">
      <alignment horizontal="center"/>
    </xf>
    <xf numFmtId="44" fontId="16" fillId="0" borderId="3" xfId="2" applyFont="1" applyFill="1" applyBorder="1" applyAlignment="1"/>
    <xf numFmtId="0" fontId="16" fillId="0" borderId="4" xfId="0" applyFont="1" applyBorder="1"/>
    <xf numFmtId="49" fontId="16" fillId="0" borderId="5" xfId="0" applyNumberFormat="1" applyFont="1" applyBorder="1" applyAlignment="1">
      <alignment horizontal="left"/>
    </xf>
    <xf numFmtId="0" fontId="16" fillId="0" borderId="6" xfId="0" applyFont="1" applyBorder="1"/>
    <xf numFmtId="0" fontId="10" fillId="0" borderId="5" xfId="0" applyFont="1" applyBorder="1" applyAlignment="1">
      <alignment horizontal="left" vertical="center" wrapText="1"/>
    </xf>
    <xf numFmtId="0" fontId="15" fillId="0" borderId="0" xfId="0" applyFont="1" applyAlignment="1">
      <alignment horizontal="center" vertical="center" wrapText="1"/>
    </xf>
    <xf numFmtId="0" fontId="34" fillId="0" borderId="0" xfId="0" applyFont="1" applyAlignment="1">
      <alignment horizontal="right" vertical="center" wrapText="1"/>
    </xf>
    <xf numFmtId="0" fontId="9" fillId="0" borderId="6" xfId="0" applyFont="1" applyBorder="1"/>
    <xf numFmtId="0" fontId="16" fillId="0" borderId="5" xfId="0" applyFont="1" applyBorder="1" applyAlignment="1">
      <alignment horizontal="left" vertical="center" wrapText="1"/>
    </xf>
    <xf numFmtId="0" fontId="35" fillId="0" borderId="5" xfId="0" applyFont="1" applyBorder="1" applyAlignment="1">
      <alignment horizontal="left" vertical="center" wrapText="1"/>
    </xf>
    <xf numFmtId="0" fontId="13" fillId="0" borderId="0" xfId="0" applyFont="1" applyAlignment="1">
      <alignment horizontal="center" vertical="center" wrapText="1"/>
    </xf>
    <xf numFmtId="0" fontId="9" fillId="0" borderId="0" xfId="0" applyFont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16" fillId="0" borderId="5" xfId="0" applyFont="1" applyBorder="1" applyAlignment="1">
      <alignment vertical="center"/>
    </xf>
    <xf numFmtId="0" fontId="36" fillId="0" borderId="5" xfId="0" applyFont="1" applyBorder="1" applyAlignment="1">
      <alignment vertical="center"/>
    </xf>
    <xf numFmtId="0" fontId="16" fillId="0" borderId="16" xfId="0" applyFont="1" applyBorder="1" applyAlignment="1">
      <alignment wrapText="1"/>
    </xf>
    <xf numFmtId="0" fontId="16" fillId="0" borderId="16" xfId="0" applyFont="1" applyBorder="1"/>
    <xf numFmtId="0" fontId="39" fillId="8" borderId="16" xfId="0" applyFont="1" applyFill="1" applyBorder="1" applyAlignment="1">
      <alignment wrapText="1"/>
    </xf>
    <xf numFmtId="0" fontId="40" fillId="5" borderId="26" xfId="0" applyFont="1" applyFill="1" applyBorder="1" applyAlignment="1">
      <alignment horizontal="left" vertical="center"/>
    </xf>
    <xf numFmtId="14" fontId="9" fillId="0" borderId="0" xfId="0" applyNumberFormat="1" applyFont="1" applyAlignment="1">
      <alignment horizontal="center"/>
    </xf>
    <xf numFmtId="0" fontId="13" fillId="2" borderId="0" xfId="12" applyNumberFormat="1" applyFont="1" applyFill="1" applyBorder="1" applyAlignment="1" applyProtection="1">
      <alignment horizontal="left"/>
    </xf>
    <xf numFmtId="0" fontId="13" fillId="2" borderId="0" xfId="12" applyNumberFormat="1" applyFont="1" applyFill="1" applyBorder="1" applyAlignment="1">
      <alignment horizontal="left"/>
    </xf>
    <xf numFmtId="39" fontId="13" fillId="2" borderId="0" xfId="13" applyNumberFormat="1" applyFont="1" applyFill="1" applyBorder="1" applyAlignment="1" applyProtection="1">
      <alignment horizontal="left" shrinkToFit="1"/>
    </xf>
    <xf numFmtId="49" fontId="13" fillId="2" borderId="0" xfId="13" applyNumberFormat="1" applyFont="1" applyFill="1" applyBorder="1" applyAlignment="1" applyProtection="1">
      <alignment horizontal="left" shrinkToFit="1"/>
    </xf>
    <xf numFmtId="43" fontId="13" fillId="2" borderId="0" xfId="7" applyFont="1" applyFill="1" applyBorder="1" applyAlignment="1" applyProtection="1">
      <alignment horizontal="right" shrinkToFit="1"/>
    </xf>
    <xf numFmtId="1" fontId="13" fillId="2" borderId="0" xfId="12" applyNumberFormat="1" applyFont="1" applyFill="1" applyBorder="1" applyAlignment="1" applyProtection="1">
      <alignment horizontal="left"/>
    </xf>
    <xf numFmtId="17" fontId="13" fillId="0" borderId="0" xfId="1" applyNumberFormat="1" applyFont="1" applyAlignment="1">
      <alignment horizontal="center"/>
    </xf>
    <xf numFmtId="9" fontId="8" fillId="0" borderId="0" xfId="3" applyFont="1" applyBorder="1" applyAlignment="1">
      <alignment horizontal="center"/>
    </xf>
    <xf numFmtId="0" fontId="10" fillId="0" borderId="0" xfId="1" applyFont="1" applyAlignment="1">
      <alignment horizontal="center"/>
    </xf>
    <xf numFmtId="164" fontId="11" fillId="0" borderId="0" xfId="1" quotePrefix="1" applyNumberFormat="1" applyFont="1" applyAlignment="1">
      <alignment horizontal="center"/>
    </xf>
    <xf numFmtId="0" fontId="20" fillId="0" borderId="0" xfId="1" applyFont="1" applyAlignment="1">
      <alignment horizontal="left"/>
    </xf>
    <xf numFmtId="0" fontId="12" fillId="0" borderId="0" xfId="0" applyFont="1" applyAlignment="1">
      <alignment horizontal="center" wrapText="1"/>
    </xf>
    <xf numFmtId="0" fontId="42" fillId="0" borderId="0" xfId="1" applyFont="1" applyAlignment="1">
      <alignment horizontal="left"/>
    </xf>
    <xf numFmtId="44" fontId="9" fillId="2" borderId="0" xfId="16" applyFont="1" applyFill="1"/>
    <xf numFmtId="0" fontId="9" fillId="2" borderId="0" xfId="0" applyFont="1" applyFill="1" applyAlignment="1">
      <alignment horizontal="center"/>
    </xf>
    <xf numFmtId="44" fontId="9" fillId="0" borderId="0" xfId="16" applyFont="1"/>
    <xf numFmtId="44" fontId="9" fillId="0" borderId="14" xfId="16" applyFont="1" applyFill="1" applyBorder="1"/>
    <xf numFmtId="0" fontId="9" fillId="2" borderId="14" xfId="0" applyFont="1" applyFill="1" applyBorder="1"/>
    <xf numFmtId="14" fontId="9" fillId="2" borderId="0" xfId="0" applyNumberFormat="1" applyFont="1" applyFill="1" applyAlignment="1">
      <alignment horizontal="center"/>
    </xf>
    <xf numFmtId="0" fontId="9" fillId="2" borderId="0" xfId="0" applyFont="1" applyFill="1" applyAlignment="1">
      <alignment horizontal="left"/>
    </xf>
    <xf numFmtId="0" fontId="9" fillId="0" borderId="14" xfId="0" applyFont="1" applyBorder="1"/>
    <xf numFmtId="44" fontId="9" fillId="0" borderId="19" xfId="0" applyNumberFormat="1" applyFont="1" applyBorder="1"/>
    <xf numFmtId="0" fontId="43" fillId="0" borderId="0" xfId="0" applyFont="1"/>
    <xf numFmtId="0" fontId="43" fillId="0" borderId="0" xfId="0" applyFont="1" applyAlignment="1">
      <alignment horizontal="left"/>
    </xf>
    <xf numFmtId="9" fontId="43" fillId="0" borderId="0" xfId="3" applyFont="1" applyBorder="1" applyAlignment="1">
      <alignment horizontal="left"/>
    </xf>
    <xf numFmtId="0" fontId="27" fillId="0" borderId="0" xfId="1" applyFont="1" applyAlignment="1">
      <alignment horizontal="left"/>
    </xf>
    <xf numFmtId="0" fontId="1" fillId="0" borderId="0" xfId="1"/>
    <xf numFmtId="0" fontId="44" fillId="0" borderId="1" xfId="1" applyFont="1" applyBorder="1" applyAlignment="1" applyProtection="1">
      <alignment horizontal="center" wrapText="1"/>
      <protection locked="0"/>
    </xf>
    <xf numFmtId="170" fontId="44" fillId="0" borderId="1" xfId="1" applyNumberFormat="1" applyFont="1" applyBorder="1" applyAlignment="1" applyProtection="1">
      <alignment horizontal="center" wrapText="1"/>
      <protection locked="0"/>
    </xf>
    <xf numFmtId="168" fontId="1" fillId="4" borderId="1" xfId="2" applyNumberFormat="1" applyFill="1" applyBorder="1" applyProtection="1">
      <protection locked="0"/>
    </xf>
    <xf numFmtId="14" fontId="1" fillId="4" borderId="1" xfId="2" applyNumberFormat="1" applyFill="1" applyBorder="1" applyProtection="1">
      <protection locked="0"/>
    </xf>
    <xf numFmtId="0" fontId="8" fillId="0" borderId="0" xfId="1" applyFont="1" applyAlignment="1">
      <alignment horizontal="center"/>
    </xf>
    <xf numFmtId="169" fontId="11" fillId="0" borderId="0" xfId="5" applyNumberFormat="1" applyFont="1" applyAlignment="1">
      <alignment horizontal="center"/>
    </xf>
    <xf numFmtId="0" fontId="1" fillId="0" borderId="0" xfId="1" applyAlignment="1">
      <alignment horizontal="center" vertical="center" wrapText="1"/>
    </xf>
    <xf numFmtId="0" fontId="1" fillId="0" borderId="0" xfId="1" applyAlignment="1">
      <alignment vertical="center"/>
    </xf>
    <xf numFmtId="0" fontId="9" fillId="0" borderId="0" xfId="0" applyFont="1" applyAlignment="1">
      <alignment horizontal="left"/>
    </xf>
    <xf numFmtId="14" fontId="23" fillId="2" borderId="0" xfId="0" applyNumberFormat="1" applyFont="1" applyFill="1" applyAlignment="1">
      <alignment horizontal="left" vertical="center"/>
    </xf>
    <xf numFmtId="0" fontId="23" fillId="2" borderId="0" xfId="0" applyFont="1" applyFill="1" applyAlignment="1">
      <alignment horizontal="left" vertical="center"/>
    </xf>
    <xf numFmtId="4" fontId="23" fillId="2" borderId="0" xfId="0" applyNumberFormat="1" applyFont="1" applyFill="1" applyAlignment="1">
      <alignment horizontal="right" vertical="center"/>
    </xf>
    <xf numFmtId="0" fontId="23" fillId="2" borderId="0" xfId="0" applyFont="1" applyFill="1" applyAlignment="1">
      <alignment horizontal="left"/>
    </xf>
    <xf numFmtId="4" fontId="23" fillId="2" borderId="0" xfId="0" applyNumberFormat="1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22" fillId="2" borderId="0" xfId="0" applyFont="1" applyFill="1" applyAlignment="1">
      <alignment horizontal="left" vertical="top"/>
    </xf>
    <xf numFmtId="0" fontId="22" fillId="2" borderId="0" xfId="0" applyFont="1" applyFill="1" applyAlignment="1">
      <alignment horizontal="left"/>
    </xf>
    <xf numFmtId="0" fontId="15" fillId="4" borderId="1" xfId="9" applyFont="1" applyFill="1" applyBorder="1" applyAlignment="1">
      <alignment wrapText="1"/>
    </xf>
    <xf numFmtId="14" fontId="13" fillId="2" borderId="1" xfId="10" applyNumberFormat="1" applyFont="1" applyFill="1" applyBorder="1"/>
    <xf numFmtId="0" fontId="13" fillId="0" borderId="0" xfId="10" applyFont="1"/>
    <xf numFmtId="0" fontId="13" fillId="2" borderId="1" xfId="0" applyFont="1" applyFill="1" applyBorder="1" applyAlignment="1">
      <alignment horizontal="left" wrapText="1"/>
    </xf>
    <xf numFmtId="0" fontId="13" fillId="2" borderId="1" xfId="0" applyFont="1" applyFill="1" applyBorder="1" applyAlignment="1">
      <alignment horizontal="center" wrapText="1"/>
    </xf>
    <xf numFmtId="14" fontId="13" fillId="0" borderId="0" xfId="8" applyNumberFormat="1" applyFont="1"/>
    <xf numFmtId="0" fontId="13" fillId="2" borderId="1" xfId="8" applyFont="1" applyFill="1" applyBorder="1" applyAlignment="1">
      <alignment horizontal="left" wrapText="1"/>
    </xf>
    <xf numFmtId="0" fontId="13" fillId="2" borderId="1" xfId="8" applyFont="1" applyFill="1" applyBorder="1" applyAlignment="1">
      <alignment horizontal="center" wrapText="1"/>
    </xf>
    <xf numFmtId="0" fontId="13" fillId="2" borderId="1" xfId="8" applyFont="1" applyFill="1" applyBorder="1" applyAlignment="1">
      <alignment horizontal="left"/>
    </xf>
    <xf numFmtId="0" fontId="13" fillId="2" borderId="1" xfId="8" applyFont="1" applyFill="1" applyBorder="1" applyAlignment="1">
      <alignment horizontal="center"/>
    </xf>
    <xf numFmtId="4" fontId="15" fillId="0" borderId="24" xfId="2" applyNumberFormat="1" applyFont="1" applyBorder="1" applyAlignment="1">
      <alignment horizontal="right"/>
    </xf>
    <xf numFmtId="0" fontId="46" fillId="9" borderId="0" xfId="0" applyFont="1" applyFill="1"/>
    <xf numFmtId="0" fontId="46" fillId="9" borderId="0" xfId="0" applyFont="1" applyFill="1" applyAlignment="1">
      <alignment horizontal="center"/>
    </xf>
    <xf numFmtId="0" fontId="35" fillId="0" borderId="0" xfId="0" applyFont="1" applyAlignment="1">
      <alignment horizontal="center"/>
    </xf>
    <xf numFmtId="171" fontId="9" fillId="0" borderId="0" xfId="0" applyNumberFormat="1" applyFont="1" applyAlignment="1">
      <alignment horizontal="center"/>
    </xf>
    <xf numFmtId="171" fontId="35" fillId="0" borderId="0" xfId="0" applyNumberFormat="1" applyFont="1" applyAlignment="1">
      <alignment horizontal="center"/>
    </xf>
    <xf numFmtId="0" fontId="1" fillId="0" borderId="0" xfId="1" applyAlignment="1">
      <alignment vertical="center" wrapText="1"/>
    </xf>
    <xf numFmtId="0" fontId="9" fillId="6" borderId="18" xfId="0" applyFont="1" applyFill="1" applyBorder="1"/>
    <xf numFmtId="0" fontId="9" fillId="6" borderId="13" xfId="0" applyFont="1" applyFill="1" applyBorder="1"/>
    <xf numFmtId="0" fontId="9" fillId="6" borderId="22" xfId="0" applyFont="1" applyFill="1" applyBorder="1"/>
    <xf numFmtId="0" fontId="9" fillId="6" borderId="19" xfId="0" applyFont="1" applyFill="1" applyBorder="1" applyAlignment="1">
      <alignment vertical="center"/>
    </xf>
    <xf numFmtId="0" fontId="9" fillId="6" borderId="20" xfId="0" applyFont="1" applyFill="1" applyBorder="1" applyAlignment="1">
      <alignment vertical="center"/>
    </xf>
    <xf numFmtId="0" fontId="48" fillId="0" borderId="0" xfId="0" applyFont="1"/>
    <xf numFmtId="0" fontId="9" fillId="6" borderId="1" xfId="0" applyFont="1" applyFill="1" applyBorder="1" applyAlignment="1">
      <alignment horizontal="center"/>
    </xf>
    <xf numFmtId="171" fontId="1" fillId="4" borderId="1" xfId="2" applyNumberFormat="1" applyFill="1" applyBorder="1" applyAlignment="1" applyProtection="1">
      <alignment horizontal="center"/>
      <protection locked="0"/>
    </xf>
    <xf numFmtId="14" fontId="1" fillId="4" borderId="1" xfId="2" applyNumberFormat="1" applyFill="1" applyBorder="1" applyAlignment="1" applyProtection="1">
      <alignment horizontal="center"/>
      <protection locked="0"/>
    </xf>
    <xf numFmtId="0" fontId="21" fillId="0" borderId="0" xfId="10" applyFont="1" applyAlignment="1">
      <alignment horizontal="left"/>
    </xf>
    <xf numFmtId="0" fontId="21" fillId="0" borderId="0" xfId="10" applyFont="1"/>
    <xf numFmtId="14" fontId="0" fillId="0" borderId="0" xfId="0" applyNumberFormat="1"/>
    <xf numFmtId="0" fontId="12" fillId="0" borderId="0" xfId="0" applyFont="1" applyAlignment="1">
      <alignment horizontal="center" vertical="center"/>
    </xf>
    <xf numFmtId="0" fontId="52" fillId="0" borderId="0" xfId="0" applyFont="1" applyProtection="1">
      <protection hidden="1"/>
    </xf>
    <xf numFmtId="0" fontId="51" fillId="0" borderId="0" xfId="0" applyFont="1"/>
    <xf numFmtId="0" fontId="10" fillId="0" borderId="0" xfId="0" quotePrefix="1" applyFont="1" applyAlignment="1">
      <alignment horizontal="right"/>
    </xf>
    <xf numFmtId="0" fontId="0" fillId="4" borderId="0" xfId="0" applyFill="1"/>
    <xf numFmtId="0" fontId="0" fillId="4" borderId="0" xfId="0" applyFill="1" applyAlignment="1">
      <alignment wrapText="1"/>
    </xf>
    <xf numFmtId="0" fontId="12" fillId="0" borderId="0" xfId="0" applyFont="1" applyAlignment="1">
      <alignment horizontal="center" vertical="center" wrapText="1"/>
    </xf>
    <xf numFmtId="14" fontId="35" fillId="0" borderId="0" xfId="0" applyNumberFormat="1" applyFont="1" applyAlignment="1">
      <alignment horizontal="center"/>
    </xf>
    <xf numFmtId="0" fontId="35" fillId="0" borderId="0" xfId="0" applyFont="1"/>
    <xf numFmtId="44" fontId="25" fillId="0" borderId="44" xfId="0" applyNumberFormat="1" applyFont="1" applyBorder="1" applyAlignment="1">
      <alignment horizontal="center" vertical="center"/>
    </xf>
    <xf numFmtId="0" fontId="25" fillId="0" borderId="45" xfId="0" applyFont="1" applyBorder="1" applyAlignment="1">
      <alignment horizontal="center" vertical="center"/>
    </xf>
    <xf numFmtId="0" fontId="25" fillId="2" borderId="46" xfId="0" applyFont="1" applyFill="1" applyBorder="1" applyAlignment="1">
      <alignment horizontal="center" vertical="center"/>
    </xf>
    <xf numFmtId="0" fontId="25" fillId="2" borderId="46" xfId="0" applyFont="1" applyFill="1" applyBorder="1" applyAlignment="1">
      <alignment horizontal="center"/>
    </xf>
    <xf numFmtId="0" fontId="25" fillId="2" borderId="46" xfId="0" applyFont="1" applyFill="1" applyBorder="1" applyAlignment="1">
      <alignment horizontal="left" vertical="center"/>
    </xf>
    <xf numFmtId="44" fontId="25" fillId="2" borderId="46" xfId="0" applyNumberFormat="1" applyFont="1" applyFill="1" applyBorder="1" applyAlignment="1">
      <alignment horizontal="center" vertical="center"/>
    </xf>
    <xf numFmtId="44" fontId="25" fillId="0" borderId="47" xfId="16" applyFont="1" applyFill="1" applyBorder="1" applyAlignment="1">
      <alignment horizontal="center" vertical="center"/>
    </xf>
    <xf numFmtId="0" fontId="57" fillId="4" borderId="14" xfId="0" applyFont="1" applyFill="1" applyBorder="1" applyAlignment="1">
      <alignment horizontal="center" vertical="center" wrapText="1"/>
    </xf>
    <xf numFmtId="0" fontId="10" fillId="4" borderId="48" xfId="0" quotePrefix="1" applyFont="1" applyFill="1" applyBorder="1" applyAlignment="1">
      <alignment horizontal="center" vertical="center"/>
    </xf>
    <xf numFmtId="17" fontId="55" fillId="4" borderId="49" xfId="0" applyNumberFormat="1" applyFont="1" applyFill="1" applyBorder="1" applyAlignment="1">
      <alignment horizontal="center" vertical="center"/>
    </xf>
    <xf numFmtId="0" fontId="10" fillId="4" borderId="49" xfId="0" quotePrefix="1" applyFont="1" applyFill="1" applyBorder="1" applyAlignment="1">
      <alignment horizontal="center" vertical="center"/>
    </xf>
    <xf numFmtId="0" fontId="10" fillId="4" borderId="49" xfId="0" quotePrefix="1" applyFont="1" applyFill="1" applyBorder="1" applyAlignment="1">
      <alignment horizontal="left" vertical="center"/>
    </xf>
    <xf numFmtId="0" fontId="10" fillId="4" borderId="49" xfId="0" quotePrefix="1" applyFont="1" applyFill="1" applyBorder="1" applyAlignment="1">
      <alignment vertical="center"/>
    </xf>
    <xf numFmtId="0" fontId="54" fillId="4" borderId="49" xfId="0" applyFont="1" applyFill="1" applyBorder="1" applyAlignment="1">
      <alignment vertical="center"/>
    </xf>
    <xf numFmtId="0" fontId="57" fillId="4" borderId="50" xfId="0" applyFont="1" applyFill="1" applyBorder="1" applyAlignment="1">
      <alignment horizontal="center" vertical="center" wrapText="1"/>
    </xf>
    <xf numFmtId="0" fontId="57" fillId="4" borderId="51" xfId="0" applyFont="1" applyFill="1" applyBorder="1" applyAlignment="1">
      <alignment horizontal="center" vertical="center" wrapText="1"/>
    </xf>
    <xf numFmtId="0" fontId="53" fillId="4" borderId="0" xfId="0" applyFont="1" applyFill="1" applyAlignment="1">
      <alignment horizontal="right"/>
    </xf>
    <xf numFmtId="44" fontId="54" fillId="4" borderId="24" xfId="0" applyNumberFormat="1" applyFont="1" applyFill="1" applyBorder="1"/>
    <xf numFmtId="0" fontId="54" fillId="4" borderId="0" xfId="0" applyFont="1" applyFill="1" applyAlignment="1">
      <alignment horizontal="right"/>
    </xf>
    <xf numFmtId="0" fontId="56" fillId="4" borderId="0" xfId="0" applyFont="1" applyFill="1" applyAlignment="1">
      <alignment vertical="center"/>
    </xf>
    <xf numFmtId="17" fontId="54" fillId="4" borderId="0" xfId="0" applyNumberFormat="1" applyFont="1" applyFill="1"/>
    <xf numFmtId="0" fontId="54" fillId="4" borderId="0" xfId="0" applyFont="1" applyFill="1" applyAlignment="1">
      <alignment horizontal="center"/>
    </xf>
    <xf numFmtId="44" fontId="0" fillId="2" borderId="43" xfId="0" applyNumberFormat="1" applyFill="1" applyBorder="1"/>
    <xf numFmtId="0" fontId="0" fillId="0" borderId="0" xfId="0" quotePrefix="1"/>
    <xf numFmtId="43" fontId="9" fillId="11" borderId="4" xfId="6" applyNumberFormat="1" applyFont="1" applyFill="1" applyBorder="1"/>
    <xf numFmtId="0" fontId="9" fillId="11" borderId="5" xfId="6" applyFont="1" applyFill="1" applyBorder="1"/>
    <xf numFmtId="0" fontId="9" fillId="11" borderId="0" xfId="6" applyFont="1" applyFill="1"/>
    <xf numFmtId="43" fontId="9" fillId="11" borderId="6" xfId="6" applyNumberFormat="1" applyFont="1" applyFill="1" applyBorder="1"/>
    <xf numFmtId="0" fontId="9" fillId="11" borderId="6" xfId="6" applyFont="1" applyFill="1" applyBorder="1"/>
    <xf numFmtId="0" fontId="12" fillId="11" borderId="0" xfId="6" applyFont="1" applyFill="1"/>
    <xf numFmtId="43" fontId="13" fillId="2" borderId="6" xfId="4" applyFont="1" applyFill="1" applyBorder="1"/>
    <xf numFmtId="0" fontId="9" fillId="11" borderId="7" xfId="6" applyFont="1" applyFill="1" applyBorder="1"/>
    <xf numFmtId="0" fontId="9" fillId="11" borderId="8" xfId="6" applyFont="1" applyFill="1" applyBorder="1"/>
    <xf numFmtId="0" fontId="9" fillId="11" borderId="9" xfId="6" applyFont="1" applyFill="1" applyBorder="1"/>
    <xf numFmtId="0" fontId="12" fillId="11" borderId="2" xfId="6" applyFont="1" applyFill="1" applyBorder="1"/>
    <xf numFmtId="43" fontId="13" fillId="12" borderId="18" xfId="7" applyFont="1" applyFill="1" applyBorder="1"/>
    <xf numFmtId="43" fontId="13" fillId="12" borderId="19" xfId="7" applyFont="1" applyFill="1" applyBorder="1"/>
    <xf numFmtId="43" fontId="13" fillId="12" borderId="20" xfId="7" applyFont="1" applyFill="1" applyBorder="1"/>
    <xf numFmtId="0" fontId="15" fillId="0" borderId="15" xfId="1" applyFont="1" applyBorder="1"/>
    <xf numFmtId="43" fontId="9" fillId="0" borderId="0" xfId="4" applyFont="1" applyBorder="1"/>
    <xf numFmtId="43" fontId="15" fillId="0" borderId="0" xfId="4" applyFont="1" applyBorder="1"/>
    <xf numFmtId="43" fontId="13" fillId="2" borderId="19" xfId="4" applyFont="1" applyFill="1" applyBorder="1"/>
    <xf numFmtId="43" fontId="13" fillId="12" borderId="0" xfId="4" applyFont="1" applyFill="1" applyBorder="1"/>
    <xf numFmtId="43" fontId="13" fillId="0" borderId="16" xfId="4" applyFont="1" applyBorder="1"/>
    <xf numFmtId="43" fontId="25" fillId="0" borderId="0" xfId="4" applyFont="1"/>
    <xf numFmtId="43" fontId="9" fillId="11" borderId="3" xfId="4" applyFont="1" applyFill="1" applyBorder="1"/>
    <xf numFmtId="43" fontId="9" fillId="11" borderId="0" xfId="4" applyFont="1" applyFill="1"/>
    <xf numFmtId="43" fontId="9" fillId="11" borderId="8" xfId="4" applyFont="1" applyFill="1" applyBorder="1"/>
    <xf numFmtId="43" fontId="9" fillId="0" borderId="0" xfId="4" applyFont="1"/>
    <xf numFmtId="2" fontId="0" fillId="0" borderId="0" xfId="4" applyNumberFormat="1" applyFont="1"/>
    <xf numFmtId="2" fontId="0" fillId="0" borderId="0" xfId="4" applyNumberFormat="1" applyFont="1" applyFill="1"/>
    <xf numFmtId="44" fontId="10" fillId="0" borderId="0" xfId="2" applyFont="1" applyBorder="1" applyAlignment="1"/>
    <xf numFmtId="17" fontId="16" fillId="0" borderId="14" xfId="0" applyNumberFormat="1" applyFont="1" applyBorder="1" applyAlignment="1">
      <alignment horizontal="center" wrapText="1"/>
    </xf>
    <xf numFmtId="167" fontId="16" fillId="0" borderId="14" xfId="4" applyNumberFormat="1" applyFont="1" applyBorder="1" applyAlignment="1">
      <alignment horizontal="center" wrapText="1"/>
    </xf>
    <xf numFmtId="0" fontId="16" fillId="2" borderId="0" xfId="0" applyFont="1" applyFill="1" applyAlignment="1">
      <alignment horizontal="center"/>
    </xf>
    <xf numFmtId="44" fontId="16" fillId="13" borderId="0" xfId="2" applyFont="1" applyFill="1" applyBorder="1" applyAlignment="1">
      <alignment horizontal="left"/>
    </xf>
    <xf numFmtId="0" fontId="16" fillId="13" borderId="0" xfId="0" applyFont="1" applyFill="1" applyAlignment="1">
      <alignment horizontal="center"/>
    </xf>
    <xf numFmtId="43" fontId="16" fillId="2" borderId="0" xfId="2" applyNumberFormat="1" applyFont="1" applyFill="1" applyBorder="1" applyAlignment="1"/>
    <xf numFmtId="167" fontId="16" fillId="13" borderId="0" xfId="4" applyNumberFormat="1" applyFont="1" applyFill="1" applyBorder="1" applyAlignment="1">
      <alignment horizontal="center"/>
    </xf>
    <xf numFmtId="43" fontId="16" fillId="0" borderId="14" xfId="2" applyNumberFormat="1" applyFont="1" applyBorder="1" applyAlignment="1"/>
    <xf numFmtId="167" fontId="16" fillId="0" borderId="0" xfId="4" applyNumberFormat="1" applyFont="1" applyFill="1" applyBorder="1" applyAlignment="1">
      <alignment horizontal="center"/>
    </xf>
    <xf numFmtId="168" fontId="16" fillId="0" borderId="0" xfId="2" applyNumberFormat="1" applyFont="1" applyBorder="1" applyAlignment="1">
      <alignment horizontal="center"/>
    </xf>
    <xf numFmtId="43" fontId="9" fillId="11" borderId="0" xfId="4" applyFont="1" applyFill="1" applyBorder="1"/>
    <xf numFmtId="169" fontId="21" fillId="0" borderId="0" xfId="5" applyNumberFormat="1" applyFont="1" applyAlignment="1">
      <alignment horizontal="left"/>
    </xf>
    <xf numFmtId="43" fontId="15" fillId="0" borderId="16" xfId="4" applyFont="1" applyBorder="1" applyAlignment="1">
      <alignment horizontal="centerContinuous"/>
    </xf>
    <xf numFmtId="43" fontId="12" fillId="11" borderId="3" xfId="4" applyFont="1" applyFill="1" applyBorder="1"/>
    <xf numFmtId="0" fontId="12" fillId="11" borderId="5" xfId="6" applyFont="1" applyFill="1" applyBorder="1"/>
    <xf numFmtId="43" fontId="9" fillId="11" borderId="8" xfId="6" applyNumberFormat="1" applyFont="1" applyFill="1" applyBorder="1"/>
    <xf numFmtId="43" fontId="9" fillId="11" borderId="9" xfId="6" applyNumberFormat="1" applyFont="1" applyFill="1" applyBorder="1"/>
    <xf numFmtId="43" fontId="9" fillId="11" borderId="0" xfId="6" applyNumberFormat="1" applyFont="1" applyFill="1"/>
    <xf numFmtId="43" fontId="12" fillId="11" borderId="4" xfId="6" applyNumberFormat="1" applyFont="1" applyFill="1" applyBorder="1"/>
    <xf numFmtId="0" fontId="9" fillId="11" borderId="0" xfId="6" quotePrefix="1" applyFont="1" applyFill="1"/>
    <xf numFmtId="43" fontId="12" fillId="11" borderId="52" xfId="6" applyNumberFormat="1" applyFont="1" applyFill="1" applyBorder="1"/>
    <xf numFmtId="0" fontId="1" fillId="0" borderId="0" xfId="1" applyAlignment="1">
      <alignment horizontal="center" vertical="center"/>
    </xf>
    <xf numFmtId="0" fontId="58" fillId="0" borderId="0" xfId="0" applyFont="1" applyAlignment="1">
      <alignment horizontal="center" vertical="top"/>
    </xf>
    <xf numFmtId="0" fontId="58" fillId="0" borderId="0" xfId="0" applyFont="1" applyAlignment="1">
      <alignment horizontal="left"/>
    </xf>
    <xf numFmtId="0" fontId="59" fillId="0" borderId="0" xfId="19" applyFont="1" applyAlignment="1" applyProtection="1">
      <alignment horizontal="center" vertical="top" readingOrder="1"/>
      <protection locked="0"/>
    </xf>
    <xf numFmtId="0" fontId="59" fillId="0" borderId="0" xfId="19" applyFont="1" applyAlignment="1" applyProtection="1">
      <alignment horizontal="left" vertical="top" readingOrder="1"/>
      <protection locked="0"/>
    </xf>
    <xf numFmtId="0" fontId="0" fillId="0" borderId="0" xfId="0" applyAlignment="1">
      <alignment horizontal="left"/>
    </xf>
    <xf numFmtId="14" fontId="13" fillId="2" borderId="1" xfId="10" applyNumberFormat="1" applyFont="1" applyFill="1" applyBorder="1" applyAlignment="1">
      <alignment horizontal="center"/>
    </xf>
    <xf numFmtId="2" fontId="13" fillId="0" borderId="0" xfId="8" applyNumberFormat="1" applyFont="1"/>
    <xf numFmtId="0" fontId="13" fillId="2" borderId="1" xfId="10" applyFont="1" applyFill="1" applyBorder="1"/>
    <xf numFmtId="0" fontId="44" fillId="14" borderId="1" xfId="0" applyFont="1" applyFill="1" applyBorder="1" applyAlignment="1">
      <alignment horizontal="center"/>
    </xf>
    <xf numFmtId="14" fontId="44" fillId="14" borderId="1" xfId="0" applyNumberFormat="1" applyFont="1" applyFill="1" applyBorder="1" applyAlignment="1">
      <alignment horizontal="center"/>
    </xf>
    <xf numFmtId="0" fontId="44" fillId="6" borderId="1" xfId="0" applyFont="1" applyFill="1" applyBorder="1" applyAlignment="1">
      <alignment horizontal="center"/>
    </xf>
    <xf numFmtId="0" fontId="44" fillId="6" borderId="16" xfId="0" applyFont="1" applyFill="1" applyBorder="1" applyAlignment="1">
      <alignment horizontal="center"/>
    </xf>
    <xf numFmtId="2" fontId="44" fillId="14" borderId="1" xfId="0" applyNumberFormat="1" applyFont="1" applyFill="1" applyBorder="1" applyAlignment="1">
      <alignment horizontal="center"/>
    </xf>
    <xf numFmtId="0" fontId="44" fillId="0" borderId="1" xfId="0" applyFont="1" applyBorder="1" applyAlignment="1">
      <alignment horizontal="center"/>
    </xf>
    <xf numFmtId="0" fontId="15" fillId="4" borderId="1" xfId="11" applyNumberFormat="1" applyFont="1" applyFill="1" applyBorder="1" applyAlignment="1">
      <alignment horizontal="center" vertical="center" wrapText="1"/>
    </xf>
    <xf numFmtId="14" fontId="15" fillId="4" borderId="1" xfId="11" applyNumberFormat="1" applyFont="1" applyFill="1" applyBorder="1" applyAlignment="1">
      <alignment horizontal="center" vertical="center" wrapText="1"/>
    </xf>
    <xf numFmtId="0" fontId="15" fillId="0" borderId="0" xfId="8" applyFont="1" applyAlignment="1">
      <alignment horizontal="center" vertical="center" wrapText="1"/>
    </xf>
    <xf numFmtId="2" fontId="15" fillId="4" borderId="1" xfId="11" applyNumberFormat="1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left"/>
    </xf>
    <xf numFmtId="14" fontId="13" fillId="0" borderId="1" xfId="0" applyNumberFormat="1" applyFont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center"/>
    </xf>
    <xf numFmtId="0" fontId="13" fillId="0" borderId="1" xfId="0" applyFont="1" applyBorder="1" applyAlignment="1">
      <alignment horizontal="left" wrapText="1"/>
    </xf>
    <xf numFmtId="0" fontId="13" fillId="0" borderId="1" xfId="8" applyFont="1" applyBorder="1" applyAlignment="1">
      <alignment horizontal="left" wrapText="1"/>
    </xf>
    <xf numFmtId="14" fontId="15" fillId="0" borderId="0" xfId="8" applyNumberFormat="1" applyFont="1"/>
    <xf numFmtId="0" fontId="21" fillId="0" borderId="0" xfId="8" applyFont="1"/>
    <xf numFmtId="1" fontId="9" fillId="2" borderId="0" xfId="0" applyNumberFormat="1" applyFont="1" applyFill="1" applyAlignment="1">
      <alignment horizontal="center"/>
    </xf>
    <xf numFmtId="0" fontId="13" fillId="4" borderId="0" xfId="1" applyFont="1" applyFill="1" applyAlignment="1" applyProtection="1">
      <alignment horizontal="left"/>
      <protection locked="0"/>
    </xf>
    <xf numFmtId="9" fontId="8" fillId="0" borderId="0" xfId="3" applyFont="1" applyBorder="1" applyAlignment="1"/>
    <xf numFmtId="0" fontId="10" fillId="0" borderId="0" xfId="1" applyFont="1"/>
    <xf numFmtId="164" fontId="11" fillId="0" borderId="0" xfId="1" quotePrefix="1" applyNumberFormat="1" applyFont="1"/>
    <xf numFmtId="0" fontId="10" fillId="0" borderId="0" xfId="0" quotePrefix="1" applyFont="1" applyAlignment="1">
      <alignment horizontal="center" vertical="center"/>
    </xf>
    <xf numFmtId="43" fontId="16" fillId="2" borderId="54" xfId="2" applyNumberFormat="1" applyFont="1" applyFill="1" applyBorder="1" applyAlignment="1">
      <alignment horizontal="center"/>
    </xf>
    <xf numFmtId="0" fontId="15" fillId="4" borderId="28" xfId="9" applyFont="1" applyFill="1" applyBorder="1" applyAlignment="1">
      <alignment wrapText="1"/>
    </xf>
    <xf numFmtId="0" fontId="15" fillId="4" borderId="28" xfId="9" applyFont="1" applyFill="1" applyBorder="1" applyAlignment="1">
      <alignment horizontal="center" wrapText="1"/>
    </xf>
    <xf numFmtId="0" fontId="15" fillId="4" borderId="28" xfId="9" applyFont="1" applyFill="1" applyBorder="1" applyAlignment="1">
      <alignment horizontal="center"/>
    </xf>
    <xf numFmtId="172" fontId="13" fillId="2" borderId="0" xfId="1" quotePrefix="1" applyNumberFormat="1" applyFont="1" applyFill="1" applyAlignment="1" applyProtection="1">
      <alignment horizontal="left"/>
      <protection locked="0"/>
    </xf>
    <xf numFmtId="0" fontId="13" fillId="2" borderId="0" xfId="1" applyFont="1" applyFill="1" applyAlignment="1" applyProtection="1">
      <alignment horizontal="left"/>
      <protection locked="0"/>
    </xf>
    <xf numFmtId="165" fontId="13" fillId="2" borderId="0" xfId="1" applyNumberFormat="1" applyFont="1" applyFill="1" applyAlignment="1" applyProtection="1">
      <alignment horizontal="left"/>
      <protection locked="0"/>
    </xf>
    <xf numFmtId="164" fontId="13" fillId="2" borderId="0" xfId="1" applyNumberFormat="1" applyFont="1" applyFill="1" applyAlignment="1" applyProtection="1">
      <alignment horizontal="left"/>
      <protection locked="0"/>
    </xf>
    <xf numFmtId="166" fontId="13" fillId="2" borderId="0" xfId="1" applyNumberFormat="1" applyFont="1" applyFill="1" applyAlignment="1" applyProtection="1">
      <alignment horizontal="left"/>
      <protection locked="0"/>
    </xf>
    <xf numFmtId="0" fontId="13" fillId="4" borderId="0" xfId="1" applyFont="1" applyFill="1" applyAlignment="1" applyProtection="1">
      <alignment horizontal="left" vertical="top"/>
      <protection locked="0"/>
    </xf>
    <xf numFmtId="1" fontId="0" fillId="0" borderId="0" xfId="0" applyNumberFormat="1"/>
    <xf numFmtId="0" fontId="24" fillId="0" borderId="0" xfId="8" applyFont="1" applyAlignment="1">
      <alignment horizontal="center"/>
    </xf>
    <xf numFmtId="14" fontId="24" fillId="0" borderId="0" xfId="8" applyNumberFormat="1" applyFont="1" applyAlignment="1">
      <alignment horizontal="center"/>
    </xf>
    <xf numFmtId="0" fontId="15" fillId="0" borderId="0" xfId="9" applyFont="1"/>
    <xf numFmtId="14" fontId="15" fillId="0" borderId="0" xfId="9" applyNumberFormat="1" applyFont="1"/>
    <xf numFmtId="2" fontId="13" fillId="0" borderId="0" xfId="10" applyNumberFormat="1" applyFont="1"/>
    <xf numFmtId="1" fontId="13" fillId="0" borderId="1" xfId="9" applyNumberFormat="1" applyFont="1" applyBorder="1"/>
    <xf numFmtId="0" fontId="50" fillId="10" borderId="55" xfId="18" applyNumberFormat="1" applyFont="1" applyBorder="1" applyAlignment="1" applyProtection="1">
      <alignment horizontal="left"/>
      <protection hidden="1"/>
    </xf>
    <xf numFmtId="1" fontId="52" fillId="2" borderId="1" xfId="0" applyNumberFormat="1" applyFont="1" applyFill="1" applyBorder="1" applyAlignment="1">
      <alignment horizontal="center"/>
    </xf>
    <xf numFmtId="0" fontId="51" fillId="6" borderId="30" xfId="0" applyFont="1" applyFill="1" applyBorder="1" applyAlignment="1" applyProtection="1">
      <alignment horizontal="center" vertical="center" wrapText="1"/>
      <protection hidden="1"/>
    </xf>
    <xf numFmtId="0" fontId="51" fillId="6" borderId="28" xfId="0" applyFont="1" applyFill="1" applyBorder="1" applyAlignment="1" applyProtection="1">
      <alignment horizontal="center" vertical="center" wrapText="1"/>
      <protection hidden="1"/>
    </xf>
    <xf numFmtId="169" fontId="0" fillId="0" borderId="0" xfId="0" applyNumberFormat="1"/>
    <xf numFmtId="43" fontId="25" fillId="2" borderId="46" xfId="4" applyFont="1" applyFill="1" applyBorder="1" applyAlignment="1">
      <alignment horizontal="center"/>
    </xf>
    <xf numFmtId="0" fontId="25" fillId="2" borderId="46" xfId="0" applyFont="1" applyFill="1" applyBorder="1" applyAlignment="1">
      <alignment horizontal="center" wrapText="1"/>
    </xf>
    <xf numFmtId="14" fontId="25" fillId="2" borderId="46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0" fontId="44" fillId="0" borderId="0" xfId="0" applyFont="1"/>
    <xf numFmtId="0" fontId="52" fillId="2" borderId="1" xfId="0" applyFont="1" applyFill="1" applyBorder="1" applyAlignment="1">
      <alignment horizontal="center"/>
    </xf>
    <xf numFmtId="0" fontId="64" fillId="15" borderId="5" xfId="0" applyFont="1" applyFill="1" applyBorder="1" applyAlignment="1">
      <alignment horizontal="center"/>
    </xf>
    <xf numFmtId="0" fontId="64" fillId="15" borderId="6" xfId="0" applyFont="1" applyFill="1" applyBorder="1" applyAlignment="1">
      <alignment horizontal="center"/>
    </xf>
    <xf numFmtId="0" fontId="64" fillId="16" borderId="5" xfId="0" applyFont="1" applyFill="1" applyBorder="1" applyAlignment="1">
      <alignment horizontal="center"/>
    </xf>
    <xf numFmtId="0" fontId="64" fillId="16" borderId="6" xfId="0" applyFont="1" applyFill="1" applyBorder="1" applyAlignment="1">
      <alignment horizontal="center"/>
    </xf>
    <xf numFmtId="0" fontId="51" fillId="0" borderId="56" xfId="0" applyFont="1" applyBorder="1" applyAlignment="1">
      <alignment horizontal="center"/>
    </xf>
    <xf numFmtId="0" fontId="51" fillId="0" borderId="57" xfId="0" applyFont="1" applyBorder="1"/>
    <xf numFmtId="173" fontId="0" fillId="0" borderId="0" xfId="0" applyNumberFormat="1"/>
    <xf numFmtId="2" fontId="0" fillId="0" borderId="0" xfId="0" applyNumberFormat="1"/>
    <xf numFmtId="0" fontId="25" fillId="2" borderId="58" xfId="0" applyFont="1" applyFill="1" applyBorder="1" applyAlignment="1">
      <alignment horizontal="center"/>
    </xf>
    <xf numFmtId="0" fontId="25" fillId="2" borderId="59" xfId="0" applyFont="1" applyFill="1" applyBorder="1" applyAlignment="1">
      <alignment horizontal="center"/>
    </xf>
    <xf numFmtId="0" fontId="25" fillId="2" borderId="60" xfId="0" applyFont="1" applyFill="1" applyBorder="1" applyAlignment="1">
      <alignment horizontal="center"/>
    </xf>
    <xf numFmtId="0" fontId="25" fillId="2" borderId="60" xfId="0" applyFont="1" applyFill="1" applyBorder="1" applyAlignment="1">
      <alignment horizontal="center" wrapText="1"/>
    </xf>
    <xf numFmtId="43" fontId="25" fillId="2" borderId="60" xfId="4" applyFont="1" applyFill="1" applyBorder="1" applyAlignment="1">
      <alignment horizontal="center"/>
    </xf>
    <xf numFmtId="0" fontId="11" fillId="0" borderId="15" xfId="1" applyFont="1" applyBorder="1" applyAlignment="1">
      <alignment horizontal="center" wrapText="1"/>
    </xf>
    <xf numFmtId="0" fontId="11" fillId="0" borderId="17" xfId="1" applyFont="1" applyBorder="1" applyAlignment="1">
      <alignment horizontal="center" wrapText="1"/>
    </xf>
    <xf numFmtId="0" fontId="11" fillId="0" borderId="16" xfId="1" applyFont="1" applyBorder="1" applyAlignment="1">
      <alignment horizontal="center" wrapText="1"/>
    </xf>
    <xf numFmtId="0" fontId="10" fillId="17" borderId="61" xfId="2" applyNumberFormat="1" applyFont="1" applyFill="1" applyBorder="1" applyAlignment="1">
      <alignment horizontal="center"/>
    </xf>
    <xf numFmtId="0" fontId="58" fillId="0" borderId="0" xfId="0" applyFont="1" applyAlignment="1">
      <alignment horizontal="center"/>
    </xf>
    <xf numFmtId="17" fontId="60" fillId="0" borderId="0" xfId="0" applyNumberFormat="1" applyFont="1" applyAlignment="1">
      <alignment horizontal="center"/>
    </xf>
    <xf numFmtId="169" fontId="12" fillId="0" borderId="0" xfId="0" applyNumberFormat="1" applyFont="1" applyAlignment="1">
      <alignment horizontal="center"/>
    </xf>
    <xf numFmtId="0" fontId="11" fillId="2" borderId="0" xfId="1" applyFont="1" applyFill="1"/>
    <xf numFmtId="0" fontId="25" fillId="0" borderId="46" xfId="0" applyFont="1" applyBorder="1" applyAlignment="1">
      <alignment horizontal="center"/>
    </xf>
    <xf numFmtId="0" fontId="25" fillId="0" borderId="60" xfId="0" applyFont="1" applyBorder="1" applyAlignment="1">
      <alignment horizontal="center"/>
    </xf>
    <xf numFmtId="169" fontId="61" fillId="0" borderId="0" xfId="0" applyNumberFormat="1" applyFont="1" applyAlignment="1">
      <alignment horizontal="center"/>
    </xf>
    <xf numFmtId="0" fontId="0" fillId="0" borderId="62" xfId="0" applyBorder="1"/>
    <xf numFmtId="44" fontId="9" fillId="2" borderId="0" xfId="16" applyFont="1" applyFill="1" applyBorder="1"/>
    <xf numFmtId="44" fontId="9" fillId="0" borderId="0" xfId="16" applyFont="1" applyBorder="1"/>
    <xf numFmtId="0" fontId="41" fillId="0" borderId="0" xfId="1" applyFont="1" applyAlignment="1">
      <alignment horizontal="left"/>
    </xf>
    <xf numFmtId="44" fontId="9" fillId="0" borderId="0" xfId="16" applyFont="1" applyFill="1" applyBorder="1"/>
    <xf numFmtId="0" fontId="44" fillId="0" borderId="1" xfId="1" applyFont="1" applyBorder="1" applyAlignment="1" applyProtection="1">
      <alignment horizontal="center"/>
      <protection locked="0"/>
    </xf>
    <xf numFmtId="170" fontId="44" fillId="0" borderId="1" xfId="1" applyNumberFormat="1" applyFont="1" applyBorder="1" applyAlignment="1" applyProtection="1">
      <alignment horizontal="center"/>
      <protection locked="0"/>
    </xf>
    <xf numFmtId="0" fontId="1" fillId="0" borderId="1" xfId="1" applyBorder="1" applyProtection="1">
      <protection locked="0"/>
    </xf>
    <xf numFmtId="168" fontId="1" fillId="0" borderId="1" xfId="2" applyNumberFormat="1" applyFill="1" applyBorder="1" applyProtection="1">
      <protection locked="0"/>
    </xf>
    <xf numFmtId="14" fontId="1" fillId="0" borderId="1" xfId="2" applyNumberFormat="1" applyFill="1" applyBorder="1" applyProtection="1">
      <protection locked="0"/>
    </xf>
    <xf numFmtId="0" fontId="44" fillId="0" borderId="0" xfId="1" applyFont="1" applyAlignment="1" applyProtection="1">
      <alignment horizontal="center"/>
      <protection locked="0"/>
    </xf>
    <xf numFmtId="14" fontId="1" fillId="0" borderId="0" xfId="2" applyNumberFormat="1" applyFill="1" applyBorder="1" applyProtection="1">
      <protection locked="0"/>
    </xf>
    <xf numFmtId="14" fontId="1" fillId="0" borderId="0" xfId="2" applyNumberFormat="1" applyFill="1" applyBorder="1" applyAlignment="1" applyProtection="1">
      <alignment horizontal="center"/>
      <protection locked="0"/>
    </xf>
    <xf numFmtId="0" fontId="26" fillId="0" borderId="0" xfId="1" applyFont="1" applyAlignment="1">
      <alignment horizontal="center"/>
    </xf>
    <xf numFmtId="164" fontId="26" fillId="0" borderId="0" xfId="1" quotePrefix="1" applyNumberFormat="1" applyFont="1" applyAlignment="1">
      <alignment horizontal="center"/>
    </xf>
    <xf numFmtId="0" fontId="66" fillId="0" borderId="0" xfId="0" applyFont="1"/>
    <xf numFmtId="169" fontId="66" fillId="0" borderId="0" xfId="0" applyNumberFormat="1" applyFont="1"/>
    <xf numFmtId="0" fontId="67" fillId="0" borderId="0" xfId="1" applyFont="1"/>
    <xf numFmtId="9" fontId="26" fillId="0" borderId="0" xfId="3" applyFont="1" applyBorder="1" applyAlignment="1"/>
    <xf numFmtId="9" fontId="26" fillId="0" borderId="0" xfId="3" applyFont="1" applyBorder="1" applyAlignment="1">
      <alignment horizontal="center"/>
    </xf>
    <xf numFmtId="0" fontId="26" fillId="0" borderId="0" xfId="1" applyFont="1"/>
    <xf numFmtId="164" fontId="26" fillId="0" borderId="0" xfId="1" quotePrefix="1" applyNumberFormat="1" applyFont="1"/>
    <xf numFmtId="0" fontId="66" fillId="4" borderId="63" xfId="0" applyFont="1" applyFill="1" applyBorder="1"/>
    <xf numFmtId="0" fontId="66" fillId="4" borderId="0" xfId="0" applyFont="1" applyFill="1"/>
    <xf numFmtId="0" fontId="67" fillId="0" borderId="0" xfId="0" applyFont="1"/>
    <xf numFmtId="0" fontId="11" fillId="0" borderId="0" xfId="1" applyFont="1" applyAlignment="1">
      <alignment horizontal="center"/>
    </xf>
    <xf numFmtId="0" fontId="11" fillId="0" borderId="0" xfId="1" applyFont="1" applyAlignment="1">
      <alignment horizontal="center" vertical="center"/>
    </xf>
    <xf numFmtId="49" fontId="0" fillId="4" borderId="5" xfId="0" applyNumberFormat="1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9" xfId="0" applyFill="1" applyBorder="1"/>
    <xf numFmtId="49" fontId="44" fillId="4" borderId="5" xfId="0" applyNumberFormat="1" applyFont="1" applyFill="1" applyBorder="1"/>
    <xf numFmtId="0" fontId="70" fillId="4" borderId="0" xfId="0" applyFont="1" applyFill="1"/>
    <xf numFmtId="0" fontId="70" fillId="4" borderId="6" xfId="0" applyFont="1" applyFill="1" applyBorder="1"/>
    <xf numFmtId="49" fontId="72" fillId="4" borderId="0" xfId="0" applyNumberFormat="1" applyFont="1" applyFill="1"/>
    <xf numFmtId="49" fontId="72" fillId="4" borderId="6" xfId="0" applyNumberFormat="1" applyFont="1" applyFill="1" applyBorder="1"/>
    <xf numFmtId="0" fontId="0" fillId="4" borderId="7" xfId="0" applyFill="1" applyBorder="1"/>
    <xf numFmtId="0" fontId="10" fillId="17" borderId="67" xfId="2" applyNumberFormat="1" applyFont="1" applyFill="1" applyBorder="1" applyAlignment="1">
      <alignment horizontal="center"/>
    </xf>
    <xf numFmtId="14" fontId="11" fillId="0" borderId="0" xfId="8" applyNumberFormat="1" applyFont="1"/>
    <xf numFmtId="43" fontId="11" fillId="0" borderId="24" xfId="4" applyFont="1" applyBorder="1" applyAlignment="1">
      <alignment horizontal="right"/>
    </xf>
    <xf numFmtId="0" fontId="8" fillId="0" borderId="0" xfId="1" applyFont="1"/>
    <xf numFmtId="164" fontId="8" fillId="0" borderId="0" xfId="1" quotePrefix="1" applyNumberFormat="1" applyFont="1"/>
    <xf numFmtId="0" fontId="11" fillId="2" borderId="0" xfId="1" applyFont="1" applyFill="1" applyAlignment="1">
      <alignment horizontal="center"/>
    </xf>
    <xf numFmtId="43" fontId="25" fillId="0" borderId="68" xfId="0" applyNumberFormat="1" applyFont="1" applyBorder="1" applyAlignment="1">
      <alignment horizontal="center"/>
    </xf>
    <xf numFmtId="43" fontId="25" fillId="2" borderId="46" xfId="0" applyNumberFormat="1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7" fontId="9" fillId="0" borderId="0" xfId="0" applyNumberFormat="1" applyFont="1" applyAlignment="1">
      <alignment horizontal="center"/>
    </xf>
    <xf numFmtId="0" fontId="74" fillId="0" borderId="0" xfId="0" applyFont="1"/>
    <xf numFmtId="170" fontId="10" fillId="0" borderId="8" xfId="0" applyNumberFormat="1" applyFont="1" applyBorder="1" applyAlignment="1">
      <alignment horizontal="center"/>
    </xf>
    <xf numFmtId="170" fontId="25" fillId="2" borderId="46" xfId="0" applyNumberFormat="1" applyFont="1" applyFill="1" applyBorder="1" applyAlignment="1">
      <alignment horizontal="center" vertical="center"/>
    </xf>
    <xf numFmtId="170" fontId="1" fillId="0" borderId="1" xfId="2" applyNumberFormat="1" applyFill="1" applyBorder="1" applyAlignment="1" applyProtection="1">
      <alignment horizontal="center"/>
      <protection locked="0"/>
    </xf>
    <xf numFmtId="170" fontId="1" fillId="0" borderId="1" xfId="2" applyNumberFormat="1" applyFill="1" applyBorder="1" applyProtection="1">
      <protection locked="0"/>
    </xf>
    <xf numFmtId="170" fontId="13" fillId="0" borderId="0" xfId="1" applyNumberFormat="1" applyFont="1"/>
    <xf numFmtId="170" fontId="25" fillId="2" borderId="46" xfId="4" applyNumberFormat="1" applyFont="1" applyFill="1" applyBorder="1" applyAlignment="1">
      <alignment horizontal="center"/>
    </xf>
    <xf numFmtId="0" fontId="13" fillId="0" borderId="1" xfId="0" applyFont="1" applyBorder="1" applyAlignment="1" applyProtection="1">
      <alignment horizontal="left"/>
      <protection locked="0"/>
    </xf>
    <xf numFmtId="0" fontId="13" fillId="2" borderId="1" xfId="8" applyFont="1" applyFill="1" applyBorder="1" applyAlignment="1" applyProtection="1">
      <alignment horizontal="left" wrapText="1"/>
      <protection locked="0"/>
    </xf>
    <xf numFmtId="0" fontId="13" fillId="2" borderId="1" xfId="0" applyFont="1" applyFill="1" applyBorder="1" applyAlignment="1" applyProtection="1">
      <alignment horizontal="center"/>
      <protection locked="0"/>
    </xf>
    <xf numFmtId="0" fontId="13" fillId="2" borderId="1" xfId="0" applyFont="1" applyFill="1" applyBorder="1" applyAlignment="1" applyProtection="1">
      <alignment horizontal="center" wrapText="1"/>
      <protection locked="0"/>
    </xf>
    <xf numFmtId="0" fontId="13" fillId="2" borderId="1" xfId="8" applyFont="1" applyFill="1" applyBorder="1" applyAlignment="1" applyProtection="1">
      <alignment horizontal="center" wrapText="1"/>
      <protection locked="0"/>
    </xf>
    <xf numFmtId="0" fontId="13" fillId="2" borderId="1" xfId="11" applyNumberFormat="1" applyFont="1" applyFill="1" applyBorder="1" applyAlignment="1" applyProtection="1">
      <alignment horizontal="center" wrapText="1"/>
      <protection locked="0"/>
    </xf>
    <xf numFmtId="14" fontId="13" fillId="2" borderId="1" xfId="0" applyNumberFormat="1" applyFont="1" applyFill="1" applyBorder="1" applyAlignment="1" applyProtection="1">
      <alignment horizontal="center"/>
      <protection locked="0"/>
    </xf>
    <xf numFmtId="2" fontId="13" fillId="2" borderId="1" xfId="0" applyNumberFormat="1" applyFont="1" applyFill="1" applyBorder="1" applyAlignment="1" applyProtection="1">
      <alignment horizontal="center"/>
      <protection locked="0"/>
    </xf>
    <xf numFmtId="0" fontId="75" fillId="4" borderId="14" xfId="0" applyFont="1" applyFill="1" applyBorder="1" applyAlignment="1">
      <alignment horizontal="center" vertical="center" wrapText="1"/>
    </xf>
    <xf numFmtId="173" fontId="16" fillId="0" borderId="0" xfId="0" applyNumberFormat="1" applyFont="1" applyAlignment="1">
      <alignment horizontal="center" wrapText="1"/>
    </xf>
    <xf numFmtId="173" fontId="9" fillId="2" borderId="0" xfId="0" applyNumberFormat="1" applyFont="1" applyFill="1" applyAlignment="1">
      <alignment horizontal="center"/>
    </xf>
    <xf numFmtId="173" fontId="9" fillId="0" borderId="0" xfId="0" applyNumberFormat="1" applyFont="1"/>
    <xf numFmtId="173" fontId="13" fillId="2" borderId="0" xfId="13" applyNumberFormat="1" applyFont="1" applyFill="1" applyBorder="1" applyAlignment="1" applyProtection="1">
      <alignment horizontal="left" shrinkToFit="1"/>
    </xf>
    <xf numFmtId="173" fontId="13" fillId="0" borderId="0" xfId="1" applyNumberFormat="1" applyFont="1"/>
    <xf numFmtId="0" fontId="57" fillId="4" borderId="69" xfId="0" applyFont="1" applyFill="1" applyBorder="1" applyAlignment="1">
      <alignment horizontal="center" vertical="center" wrapText="1"/>
    </xf>
    <xf numFmtId="0" fontId="9" fillId="0" borderId="5" xfId="0" applyFont="1" applyBorder="1"/>
    <xf numFmtId="0" fontId="12" fillId="2" borderId="30" xfId="0" applyFont="1" applyFill="1" applyBorder="1" applyAlignment="1">
      <alignment horizontal="center"/>
    </xf>
    <xf numFmtId="0" fontId="12" fillId="2" borderId="73" xfId="0" applyFont="1" applyFill="1" applyBorder="1" applyAlignment="1">
      <alignment horizontal="center"/>
    </xf>
    <xf numFmtId="174" fontId="9" fillId="0" borderId="74" xfId="0" applyNumberFormat="1" applyFont="1" applyBorder="1"/>
    <xf numFmtId="44" fontId="9" fillId="0" borderId="1" xfId="0" applyNumberFormat="1" applyFont="1" applyBorder="1"/>
    <xf numFmtId="44" fontId="9" fillId="0" borderId="75" xfId="0" applyNumberFormat="1" applyFont="1" applyBorder="1"/>
    <xf numFmtId="174" fontId="9" fillId="0" borderId="56" xfId="0" applyNumberFormat="1" applyFont="1" applyBorder="1"/>
    <xf numFmtId="0" fontId="9" fillId="0" borderId="76" xfId="0" applyFont="1" applyBorder="1"/>
    <xf numFmtId="0" fontId="12" fillId="2" borderId="28" xfId="0" applyFont="1" applyFill="1" applyBorder="1" applyAlignment="1">
      <alignment horizontal="center"/>
    </xf>
    <xf numFmtId="0" fontId="12" fillId="2" borderId="77" xfId="0" applyFont="1" applyFill="1" applyBorder="1" applyAlignment="1">
      <alignment horizontal="center"/>
    </xf>
    <xf numFmtId="174" fontId="9" fillId="0" borderId="78" xfId="0" applyNumberFormat="1" applyFont="1" applyBorder="1"/>
    <xf numFmtId="44" fontId="9" fillId="0" borderId="29" xfId="0" applyNumberFormat="1" applyFont="1" applyBorder="1"/>
    <xf numFmtId="44" fontId="9" fillId="0" borderId="79" xfId="0" applyNumberFormat="1" applyFont="1" applyBorder="1"/>
    <xf numFmtId="174" fontId="9" fillId="0" borderId="76" xfId="0" applyNumberFormat="1" applyFont="1" applyBorder="1"/>
    <xf numFmtId="44" fontId="9" fillId="0" borderId="30" xfId="0" applyNumberFormat="1" applyFont="1" applyBorder="1"/>
    <xf numFmtId="44" fontId="9" fillId="0" borderId="73" xfId="0" applyNumberFormat="1" applyFont="1" applyBorder="1"/>
    <xf numFmtId="44" fontId="9" fillId="0" borderId="80" xfId="0" applyNumberFormat="1" applyFont="1" applyBorder="1"/>
    <xf numFmtId="44" fontId="9" fillId="0" borderId="81" xfId="0" applyNumberFormat="1" applyFont="1" applyBorder="1"/>
    <xf numFmtId="173" fontId="25" fillId="2" borderId="46" xfId="0" applyNumberFormat="1" applyFont="1" applyFill="1" applyBorder="1" applyAlignment="1">
      <alignment horizontal="center" vertical="center"/>
    </xf>
    <xf numFmtId="0" fontId="7" fillId="0" borderId="1" xfId="15" applyBorder="1" applyProtection="1">
      <protection locked="0"/>
    </xf>
    <xf numFmtId="0" fontId="1" fillId="0" borderId="1" xfId="7" applyNumberFormat="1" applyFill="1" applyBorder="1" applyProtection="1">
      <protection locked="0"/>
    </xf>
    <xf numFmtId="0" fontId="7" fillId="0" borderId="1" xfId="15" applyBorder="1" applyAlignment="1" applyProtection="1">
      <alignment horizontal="left" wrapText="1"/>
      <protection locked="0"/>
    </xf>
    <xf numFmtId="14" fontId="1" fillId="0" borderId="1" xfId="2" applyNumberFormat="1" applyFill="1" applyBorder="1" applyAlignment="1" applyProtection="1">
      <alignment horizontal="center"/>
      <protection locked="0"/>
    </xf>
    <xf numFmtId="0" fontId="13" fillId="17" borderId="1" xfId="0" applyFont="1" applyFill="1" applyBorder="1" applyAlignment="1">
      <alignment horizontal="center"/>
    </xf>
    <xf numFmtId="14" fontId="13" fillId="17" borderId="1" xfId="0" applyNumberFormat="1" applyFont="1" applyFill="1" applyBorder="1" applyAlignment="1">
      <alignment horizontal="center"/>
    </xf>
    <xf numFmtId="0" fontId="13" fillId="17" borderId="1" xfId="0" applyFont="1" applyFill="1" applyBorder="1"/>
    <xf numFmtId="0" fontId="13" fillId="17" borderId="1" xfId="0" applyFont="1" applyFill="1" applyBorder="1" applyAlignment="1">
      <alignment horizontal="left"/>
    </xf>
    <xf numFmtId="0" fontId="13" fillId="17" borderId="1" xfId="0" applyFont="1" applyFill="1" applyBorder="1" applyAlignment="1">
      <alignment horizontal="left" wrapText="1"/>
    </xf>
    <xf numFmtId="0" fontId="13" fillId="17" borderId="1" xfId="0" applyFont="1" applyFill="1" applyBorder="1" applyAlignment="1">
      <alignment horizontal="center" wrapText="1"/>
    </xf>
    <xf numFmtId="0" fontId="13" fillId="2" borderId="1" xfId="11" applyNumberFormat="1" applyFont="1" applyFill="1" applyBorder="1" applyAlignment="1">
      <alignment horizontal="center" wrapText="1"/>
    </xf>
    <xf numFmtId="14" fontId="13" fillId="2" borderId="1" xfId="0" applyNumberFormat="1" applyFont="1" applyFill="1" applyBorder="1" applyAlignment="1">
      <alignment horizontal="center"/>
    </xf>
    <xf numFmtId="2" fontId="13" fillId="2" borderId="1" xfId="0" applyNumberFormat="1" applyFont="1" applyFill="1" applyBorder="1" applyAlignment="1">
      <alignment horizontal="center"/>
    </xf>
    <xf numFmtId="44" fontId="13" fillId="0" borderId="0" xfId="1" applyNumberFormat="1" applyFont="1"/>
    <xf numFmtId="17" fontId="18" fillId="0" borderId="0" xfId="0" applyNumberFormat="1" applyFont="1" applyAlignment="1">
      <alignment horizontal="left" wrapText="1"/>
    </xf>
    <xf numFmtId="44" fontId="9" fillId="0" borderId="82" xfId="0" applyNumberFormat="1" applyFont="1" applyBorder="1"/>
    <xf numFmtId="14" fontId="13" fillId="2" borderId="0" xfId="1" applyNumberFormat="1" applyFont="1" applyFill="1" applyAlignment="1" applyProtection="1">
      <alignment horizontal="left"/>
      <protection locked="0"/>
    </xf>
    <xf numFmtId="174" fontId="9" fillId="0" borderId="83" xfId="0" applyNumberFormat="1" applyFont="1" applyBorder="1"/>
    <xf numFmtId="0" fontId="76" fillId="0" borderId="0" xfId="0" applyFont="1"/>
    <xf numFmtId="44" fontId="9" fillId="0" borderId="13" xfId="0" applyNumberFormat="1" applyFont="1" applyBorder="1"/>
    <xf numFmtId="44" fontId="9" fillId="0" borderId="6" xfId="0" applyNumberFormat="1" applyFont="1" applyBorder="1"/>
    <xf numFmtId="0" fontId="77" fillId="0" borderId="0" xfId="0" applyFont="1" applyAlignment="1">
      <alignment horizontal="left" vertical="center" wrapText="1"/>
    </xf>
    <xf numFmtId="0" fontId="25" fillId="2" borderId="46" xfId="0" applyFont="1" applyFill="1" applyBorder="1" applyAlignment="1">
      <alignment horizontal="left"/>
    </xf>
    <xf numFmtId="4" fontId="0" fillId="4" borderId="0" xfId="0" applyNumberFormat="1" applyFill="1"/>
    <xf numFmtId="8" fontId="0" fillId="4" borderId="0" xfId="0" applyNumberFormat="1" applyFill="1"/>
    <xf numFmtId="1" fontId="13" fillId="2" borderId="0" xfId="12" applyNumberFormat="1" applyFont="1" applyFill="1" applyBorder="1" applyAlignment="1">
      <alignment horizontal="left"/>
    </xf>
    <xf numFmtId="0" fontId="11" fillId="0" borderId="0" xfId="1" applyFont="1" applyAlignment="1">
      <alignment horizontal="left"/>
    </xf>
    <xf numFmtId="0" fontId="25" fillId="2" borderId="0" xfId="0" applyFont="1" applyFill="1" applyAlignment="1">
      <alignment horizontal="center"/>
    </xf>
    <xf numFmtId="0" fontId="25" fillId="2" borderId="0" xfId="0" applyFont="1" applyFill="1" applyAlignment="1">
      <alignment horizontal="left"/>
    </xf>
    <xf numFmtId="0" fontId="13" fillId="0" borderId="0" xfId="1" applyFont="1" applyAlignment="1">
      <alignment horizontal="left"/>
    </xf>
    <xf numFmtId="0" fontId="15" fillId="0" borderId="14" xfId="1" applyFont="1" applyBorder="1" applyAlignment="1">
      <alignment horizontal="left"/>
    </xf>
    <xf numFmtId="8" fontId="9" fillId="2" borderId="0" xfId="16" applyNumberFormat="1" applyFont="1" applyFill="1" applyBorder="1"/>
    <xf numFmtId="0" fontId="12" fillId="0" borderId="70" xfId="0" applyFont="1" applyBorder="1" applyAlignment="1">
      <alignment horizontal="center"/>
    </xf>
    <xf numFmtId="0" fontId="12" fillId="0" borderId="71" xfId="0" applyFont="1" applyBorder="1" applyAlignment="1">
      <alignment horizontal="center"/>
    </xf>
    <xf numFmtId="0" fontId="12" fillId="0" borderId="72" xfId="0" applyFont="1" applyBorder="1" applyAlignment="1">
      <alignment horizontal="center"/>
    </xf>
    <xf numFmtId="9" fontId="8" fillId="0" borderId="0" xfId="3" applyFont="1" applyBorder="1" applyAlignment="1">
      <alignment horizontal="center"/>
    </xf>
    <xf numFmtId="0" fontId="8" fillId="0" borderId="0" xfId="1" applyFont="1" applyAlignment="1">
      <alignment horizontal="center"/>
    </xf>
    <xf numFmtId="164" fontId="8" fillId="0" borderId="0" xfId="1" quotePrefix="1" applyNumberFormat="1" applyFont="1" applyAlignment="1">
      <alignment horizontal="center"/>
    </xf>
    <xf numFmtId="0" fontId="1" fillId="6" borderId="40" xfId="1" applyFill="1" applyBorder="1" applyAlignment="1">
      <alignment horizontal="center" vertical="center" wrapText="1"/>
    </xf>
    <xf numFmtId="0" fontId="1" fillId="6" borderId="53" xfId="1" applyFill="1" applyBorder="1" applyAlignment="1">
      <alignment horizontal="center" vertical="center" wrapText="1"/>
    </xf>
    <xf numFmtId="0" fontId="1" fillId="6" borderId="41" xfId="1" applyFill="1" applyBorder="1" applyAlignment="1">
      <alignment horizontal="center" vertical="center" wrapText="1"/>
    </xf>
    <xf numFmtId="0" fontId="1" fillId="6" borderId="40" xfId="1" applyFill="1" applyBorder="1" applyAlignment="1">
      <alignment horizontal="center" vertical="center"/>
    </xf>
    <xf numFmtId="0" fontId="1" fillId="6" borderId="53" xfId="1" applyFill="1" applyBorder="1" applyAlignment="1">
      <alignment horizontal="center" vertical="center"/>
    </xf>
    <xf numFmtId="0" fontId="1" fillId="6" borderId="41" xfId="1" applyFill="1" applyBorder="1" applyAlignment="1">
      <alignment horizontal="center" vertical="center"/>
    </xf>
    <xf numFmtId="0" fontId="8" fillId="3" borderId="0" xfId="1" applyFont="1" applyFill="1" applyAlignment="1">
      <alignment horizontal="left" vertical="top" wrapText="1"/>
    </xf>
    <xf numFmtId="0" fontId="10" fillId="0" borderId="8" xfId="0" applyFont="1" applyBorder="1" applyAlignment="1">
      <alignment horizontal="center"/>
    </xf>
    <xf numFmtId="17" fontId="8" fillId="0" borderId="0" xfId="0" applyNumberFormat="1" applyFont="1" applyAlignment="1">
      <alignment horizontal="center"/>
    </xf>
    <xf numFmtId="17" fontId="26" fillId="0" borderId="0" xfId="0" applyNumberFormat="1" applyFont="1" applyAlignment="1">
      <alignment horizontal="center"/>
    </xf>
    <xf numFmtId="17" fontId="8" fillId="0" borderId="0" xfId="0" quotePrefix="1" applyNumberFormat="1" applyFont="1" applyAlignment="1">
      <alignment horizontal="center"/>
    </xf>
    <xf numFmtId="17" fontId="69" fillId="0" borderId="0" xfId="0" applyNumberFormat="1" applyFont="1" applyAlignment="1">
      <alignment horizontal="center"/>
    </xf>
    <xf numFmtId="164" fontId="8" fillId="0" borderId="44" xfId="1" quotePrefix="1" applyNumberFormat="1" applyFont="1" applyBorder="1" applyAlignment="1">
      <alignment horizontal="center" vertical="top"/>
    </xf>
    <xf numFmtId="164" fontId="26" fillId="0" borderId="44" xfId="1" quotePrefix="1" applyNumberFormat="1" applyFont="1" applyBorder="1" applyAlignment="1">
      <alignment horizontal="center" vertical="top"/>
    </xf>
    <xf numFmtId="164" fontId="26" fillId="0" borderId="64" xfId="1" quotePrefix="1" applyNumberFormat="1" applyFont="1" applyBorder="1" applyAlignment="1">
      <alignment horizontal="center" vertical="top"/>
    </xf>
    <xf numFmtId="0" fontId="56" fillId="4" borderId="0" xfId="0" applyFont="1" applyFill="1" applyAlignment="1">
      <alignment horizontal="right"/>
    </xf>
    <xf numFmtId="9" fontId="8" fillId="0" borderId="0" xfId="3" applyFont="1" applyBorder="1" applyAlignment="1">
      <alignment horizontal="center" vertical="top"/>
    </xf>
    <xf numFmtId="9" fontId="26" fillId="0" borderId="0" xfId="3" applyFont="1" applyBorder="1" applyAlignment="1">
      <alignment horizontal="center" vertical="top"/>
    </xf>
    <xf numFmtId="0" fontId="8" fillId="0" borderId="66" xfId="1" applyFont="1" applyBorder="1" applyAlignment="1">
      <alignment horizontal="center" vertical="top"/>
    </xf>
    <xf numFmtId="0" fontId="26" fillId="0" borderId="66" xfId="1" applyFont="1" applyBorder="1" applyAlignment="1">
      <alignment horizontal="center" vertical="top"/>
    </xf>
    <xf numFmtId="0" fontId="26" fillId="0" borderId="65" xfId="1" applyFont="1" applyBorder="1" applyAlignment="1">
      <alignment horizontal="center" vertical="top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41" fillId="0" borderId="0" xfId="1" applyFont="1" applyAlignment="1">
      <alignment horizontal="right"/>
    </xf>
    <xf numFmtId="0" fontId="1" fillId="6" borderId="2" xfId="1" applyFill="1" applyBorder="1" applyAlignment="1">
      <alignment horizontal="center" vertical="center"/>
    </xf>
    <xf numFmtId="0" fontId="1" fillId="6" borderId="4" xfId="1" applyFill="1" applyBorder="1" applyAlignment="1">
      <alignment horizontal="center" vertical="center"/>
    </xf>
    <xf numFmtId="0" fontId="1" fillId="6" borderId="5" xfId="1" applyFill="1" applyBorder="1" applyAlignment="1">
      <alignment horizontal="center" vertical="center"/>
    </xf>
    <xf numFmtId="0" fontId="1" fillId="6" borderId="6" xfId="1" applyFill="1" applyBorder="1" applyAlignment="1">
      <alignment horizontal="center" vertical="center"/>
    </xf>
    <xf numFmtId="0" fontId="1" fillId="6" borderId="7" xfId="1" applyFill="1" applyBorder="1" applyAlignment="1">
      <alignment horizontal="center" vertical="center"/>
    </xf>
    <xf numFmtId="0" fontId="1" fillId="6" borderId="9" xfId="1" applyFill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169" fontId="8" fillId="0" borderId="0" xfId="5" applyNumberFormat="1" applyFont="1" applyAlignment="1">
      <alignment horizontal="center" vertical="center"/>
    </xf>
    <xf numFmtId="0" fontId="11" fillId="0" borderId="0" xfId="1" applyFont="1" applyAlignment="1">
      <alignment horizontal="left"/>
    </xf>
    <xf numFmtId="0" fontId="13" fillId="0" borderId="15" xfId="10" applyFont="1" applyBorder="1" applyAlignment="1">
      <alignment horizontal="center"/>
    </xf>
    <xf numFmtId="0" fontId="13" fillId="0" borderId="17" xfId="10" applyFont="1" applyBorder="1" applyAlignment="1">
      <alignment horizontal="center"/>
    </xf>
    <xf numFmtId="0" fontId="13" fillId="0" borderId="16" xfId="10" applyFont="1" applyBorder="1" applyAlignment="1">
      <alignment horizontal="center"/>
    </xf>
    <xf numFmtId="14" fontId="13" fillId="2" borderId="1" xfId="10" applyNumberFormat="1" applyFont="1" applyFill="1" applyBorder="1" applyAlignment="1">
      <alignment horizontal="center"/>
    </xf>
    <xf numFmtId="0" fontId="13" fillId="17" borderId="15" xfId="0" applyFont="1" applyFill="1" applyBorder="1" applyAlignment="1">
      <alignment horizontal="center"/>
    </xf>
    <xf numFmtId="0" fontId="13" fillId="17" borderId="17" xfId="0" applyFont="1" applyFill="1" applyBorder="1" applyAlignment="1">
      <alignment horizontal="center"/>
    </xf>
    <xf numFmtId="0" fontId="13" fillId="17" borderId="16" xfId="0" applyFont="1" applyFill="1" applyBorder="1" applyAlignment="1">
      <alignment horizontal="center"/>
    </xf>
    <xf numFmtId="0" fontId="8" fillId="0" borderId="1" xfId="1" applyFont="1" applyBorder="1" applyAlignment="1">
      <alignment horizontal="center"/>
    </xf>
    <xf numFmtId="0" fontId="26" fillId="0" borderId="1" xfId="1" applyFont="1" applyBorder="1" applyAlignment="1">
      <alignment horizontal="center"/>
    </xf>
    <xf numFmtId="0" fontId="10" fillId="0" borderId="1" xfId="1" applyFont="1" applyBorder="1" applyAlignment="1">
      <alignment horizontal="center"/>
    </xf>
    <xf numFmtId="169" fontId="8" fillId="0" borderId="1" xfId="5" applyNumberFormat="1" applyFont="1" applyBorder="1" applyAlignment="1">
      <alignment horizontal="center"/>
    </xf>
    <xf numFmtId="169" fontId="26" fillId="0" borderId="1" xfId="5" applyNumberFormat="1" applyFont="1" applyBorder="1" applyAlignment="1">
      <alignment horizontal="center"/>
    </xf>
    <xf numFmtId="169" fontId="11" fillId="0" borderId="1" xfId="5" applyNumberFormat="1" applyFont="1" applyBorder="1" applyAlignment="1">
      <alignment horizontal="center"/>
    </xf>
    <xf numFmtId="0" fontId="15" fillId="4" borderId="22" xfId="9" applyFont="1" applyFill="1" applyBorder="1" applyAlignment="1">
      <alignment horizontal="center" wrapText="1"/>
    </xf>
    <xf numFmtId="0" fontId="15" fillId="4" borderId="14" xfId="9" applyFont="1" applyFill="1" applyBorder="1" applyAlignment="1">
      <alignment horizontal="center" wrapText="1"/>
    </xf>
    <xf numFmtId="0" fontId="15" fillId="4" borderId="23" xfId="9" applyFont="1" applyFill="1" applyBorder="1" applyAlignment="1">
      <alignment horizontal="center" wrapText="1"/>
    </xf>
    <xf numFmtId="0" fontId="15" fillId="4" borderId="28" xfId="9" applyFont="1" applyFill="1" applyBorder="1" applyAlignment="1">
      <alignment horizontal="center" wrapText="1"/>
    </xf>
    <xf numFmtId="0" fontId="61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169" fontId="68" fillId="0" borderId="0" xfId="0" applyNumberFormat="1" applyFont="1" applyAlignment="1">
      <alignment horizontal="center"/>
    </xf>
    <xf numFmtId="0" fontId="10" fillId="0" borderId="0" xfId="1" applyFont="1" applyAlignment="1">
      <alignment horizontal="center"/>
    </xf>
    <xf numFmtId="169" fontId="11" fillId="0" borderId="0" xfId="5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169" fontId="8" fillId="0" borderId="0" xfId="5" applyNumberFormat="1" applyFont="1" applyAlignment="1">
      <alignment horizontal="center" vertical="top"/>
    </xf>
    <xf numFmtId="169" fontId="26" fillId="0" borderId="0" xfId="5" applyNumberFormat="1" applyFont="1" applyAlignment="1">
      <alignment horizontal="center" vertical="top"/>
    </xf>
    <xf numFmtId="0" fontId="51" fillId="6" borderId="29" xfId="0" applyFont="1" applyFill="1" applyBorder="1" applyAlignment="1" applyProtection="1">
      <alignment horizontal="center" vertical="center" wrapText="1"/>
      <protection hidden="1"/>
    </xf>
    <xf numFmtId="0" fontId="51" fillId="6" borderId="30" xfId="0" applyFont="1" applyFill="1" applyBorder="1" applyAlignment="1" applyProtection="1">
      <alignment horizontal="center" vertical="center" wrapText="1"/>
      <protection hidden="1"/>
    </xf>
    <xf numFmtId="0" fontId="51" fillId="6" borderId="28" xfId="0" applyFont="1" applyFill="1" applyBorder="1" applyAlignment="1" applyProtection="1">
      <alignment horizontal="center" vertical="center" wrapText="1"/>
      <protection hidden="1"/>
    </xf>
    <xf numFmtId="0" fontId="71" fillId="18" borderId="2" xfId="0" applyFont="1" applyFill="1" applyBorder="1" applyAlignment="1">
      <alignment horizontal="center"/>
    </xf>
    <xf numFmtId="0" fontId="71" fillId="18" borderId="3" xfId="0" applyFont="1" applyFill="1" applyBorder="1" applyAlignment="1">
      <alignment horizontal="center"/>
    </xf>
    <xf numFmtId="0" fontId="71" fillId="18" borderId="4" xfId="0" applyFont="1" applyFill="1" applyBorder="1" applyAlignment="1">
      <alignment horizontal="center"/>
    </xf>
    <xf numFmtId="49" fontId="73" fillId="4" borderId="5" xfId="0" applyNumberFormat="1" applyFont="1" applyFill="1" applyBorder="1" applyAlignment="1">
      <alignment horizontal="center"/>
    </xf>
    <xf numFmtId="49" fontId="73" fillId="4" borderId="0" xfId="0" applyNumberFormat="1" applyFont="1" applyFill="1" applyAlignment="1">
      <alignment horizontal="center"/>
    </xf>
    <xf numFmtId="49" fontId="73" fillId="4" borderId="6" xfId="0" applyNumberFormat="1" applyFont="1" applyFill="1" applyBorder="1" applyAlignment="1">
      <alignment horizontal="center"/>
    </xf>
    <xf numFmtId="17" fontId="8" fillId="0" borderId="0" xfId="0" applyNumberFormat="1" applyFont="1" applyAlignment="1">
      <alignment horizontal="left" wrapText="1"/>
    </xf>
    <xf numFmtId="17" fontId="10" fillId="0" borderId="0" xfId="0" quotePrefix="1" applyNumberFormat="1" applyFont="1" applyAlignment="1">
      <alignment horizontal="left"/>
    </xf>
    <xf numFmtId="17" fontId="28" fillId="0" borderId="0" xfId="15" quotePrefix="1" applyNumberFormat="1" applyFont="1" applyAlignment="1">
      <alignment horizontal="left"/>
    </xf>
    <xf numFmtId="17" fontId="30" fillId="6" borderId="2" xfId="0" applyNumberFormat="1" applyFont="1" applyFill="1" applyBorder="1" applyAlignment="1">
      <alignment horizontal="center" vertical="center" wrapText="1"/>
    </xf>
    <xf numFmtId="17" fontId="30" fillId="6" borderId="4" xfId="0" applyNumberFormat="1" applyFont="1" applyFill="1" applyBorder="1" applyAlignment="1">
      <alignment horizontal="center" vertical="center" wrapText="1"/>
    </xf>
    <xf numFmtId="17" fontId="30" fillId="6" borderId="5" xfId="0" applyNumberFormat="1" applyFont="1" applyFill="1" applyBorder="1" applyAlignment="1">
      <alignment horizontal="center" vertical="center" wrapText="1"/>
    </xf>
    <xf numFmtId="17" fontId="30" fillId="6" borderId="6" xfId="0" applyNumberFormat="1" applyFont="1" applyFill="1" applyBorder="1" applyAlignment="1">
      <alignment horizontal="center" vertical="center" wrapText="1"/>
    </xf>
    <xf numFmtId="17" fontId="30" fillId="6" borderId="7" xfId="0" applyNumberFormat="1" applyFont="1" applyFill="1" applyBorder="1" applyAlignment="1">
      <alignment horizontal="center" vertical="center" wrapText="1"/>
    </xf>
    <xf numFmtId="17" fontId="30" fillId="6" borderId="9" xfId="0" applyNumberFormat="1" applyFont="1" applyFill="1" applyBorder="1" applyAlignment="1">
      <alignment horizontal="center" vertical="center" wrapText="1"/>
    </xf>
    <xf numFmtId="17" fontId="30" fillId="6" borderId="2" xfId="0" quotePrefix="1" applyNumberFormat="1" applyFont="1" applyFill="1" applyBorder="1" applyAlignment="1">
      <alignment horizontal="center" vertical="center"/>
    </xf>
    <xf numFmtId="17" fontId="30" fillId="6" borderId="3" xfId="0" quotePrefix="1" applyNumberFormat="1" applyFont="1" applyFill="1" applyBorder="1" applyAlignment="1">
      <alignment horizontal="center" vertical="center"/>
    </xf>
    <xf numFmtId="17" fontId="30" fillId="6" borderId="4" xfId="0" quotePrefix="1" applyNumberFormat="1" applyFont="1" applyFill="1" applyBorder="1" applyAlignment="1">
      <alignment horizontal="center" vertical="center"/>
    </xf>
    <xf numFmtId="17" fontId="30" fillId="6" borderId="5" xfId="0" quotePrefix="1" applyNumberFormat="1" applyFont="1" applyFill="1" applyBorder="1" applyAlignment="1">
      <alignment horizontal="center" vertical="center"/>
    </xf>
    <xf numFmtId="17" fontId="30" fillId="6" borderId="0" xfId="0" quotePrefix="1" applyNumberFormat="1" applyFont="1" applyFill="1" applyAlignment="1">
      <alignment horizontal="center" vertical="center"/>
    </xf>
    <xf numFmtId="17" fontId="30" fillId="6" borderId="6" xfId="0" quotePrefix="1" applyNumberFormat="1" applyFont="1" applyFill="1" applyBorder="1" applyAlignment="1">
      <alignment horizontal="center" vertical="center"/>
    </xf>
    <xf numFmtId="17" fontId="30" fillId="6" borderId="7" xfId="0" quotePrefix="1" applyNumberFormat="1" applyFont="1" applyFill="1" applyBorder="1" applyAlignment="1">
      <alignment horizontal="center" vertical="center"/>
    </xf>
    <xf numFmtId="17" fontId="30" fillId="6" borderId="8" xfId="0" quotePrefix="1" applyNumberFormat="1" applyFont="1" applyFill="1" applyBorder="1" applyAlignment="1">
      <alignment horizontal="center" vertical="center"/>
    </xf>
    <xf numFmtId="17" fontId="30" fillId="6" borderId="9" xfId="0" quotePrefix="1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8" fillId="0" borderId="0" xfId="0" applyFont="1" applyAlignment="1">
      <alignment horizontal="left" wrapText="1"/>
    </xf>
    <xf numFmtId="49" fontId="8" fillId="0" borderId="0" xfId="0" applyNumberFormat="1" applyFont="1" applyAlignment="1">
      <alignment horizontal="left" wrapText="1"/>
    </xf>
    <xf numFmtId="17" fontId="27" fillId="0" borderId="0" xfId="0" applyNumberFormat="1" applyFont="1" applyAlignment="1">
      <alignment horizontal="center"/>
    </xf>
    <xf numFmtId="49" fontId="30" fillId="6" borderId="10" xfId="0" applyNumberFormat="1" applyFont="1" applyFill="1" applyBorder="1" applyAlignment="1">
      <alignment horizontal="center"/>
    </xf>
    <xf numFmtId="49" fontId="30" fillId="6" borderId="11" xfId="0" applyNumberFormat="1" applyFont="1" applyFill="1" applyBorder="1" applyAlignment="1">
      <alignment horizontal="center"/>
    </xf>
    <xf numFmtId="49" fontId="30" fillId="6" borderId="12" xfId="0" applyNumberFormat="1" applyFont="1" applyFill="1" applyBorder="1" applyAlignment="1">
      <alignment horizontal="center"/>
    </xf>
    <xf numFmtId="17" fontId="10" fillId="7" borderId="15" xfId="0" applyNumberFormat="1" applyFont="1" applyFill="1" applyBorder="1" applyAlignment="1">
      <alignment horizontal="center"/>
    </xf>
    <xf numFmtId="17" fontId="10" fillId="7" borderId="17" xfId="0" applyNumberFormat="1" applyFont="1" applyFill="1" applyBorder="1" applyAlignment="1">
      <alignment horizontal="center"/>
    </xf>
    <xf numFmtId="17" fontId="10" fillId="7" borderId="16" xfId="0" applyNumberFormat="1" applyFont="1" applyFill="1" applyBorder="1" applyAlignment="1">
      <alignment horizontal="center"/>
    </xf>
    <xf numFmtId="17" fontId="10" fillId="0" borderId="0" xfId="0" applyNumberFormat="1" applyFont="1" applyAlignment="1">
      <alignment horizontal="center" vertical="center"/>
    </xf>
    <xf numFmtId="17" fontId="10" fillId="6" borderId="28" xfId="0" applyNumberFormat="1" applyFont="1" applyFill="1" applyBorder="1" applyAlignment="1">
      <alignment horizontal="center" vertical="center"/>
    </xf>
    <xf numFmtId="17" fontId="10" fillId="6" borderId="1" xfId="0" applyNumberFormat="1" applyFont="1" applyFill="1" applyBorder="1" applyAlignment="1">
      <alignment horizontal="center" vertical="center"/>
    </xf>
    <xf numFmtId="167" fontId="10" fillId="6" borderId="28" xfId="7" applyNumberFormat="1" applyFont="1" applyFill="1" applyBorder="1" applyAlignment="1">
      <alignment horizontal="center" vertical="center" wrapText="1"/>
    </xf>
    <xf numFmtId="167" fontId="10" fillId="6" borderId="1" xfId="7" applyNumberFormat="1" applyFont="1" applyFill="1" applyBorder="1" applyAlignment="1">
      <alignment horizontal="center" vertical="center" wrapText="1"/>
    </xf>
    <xf numFmtId="0" fontId="10" fillId="6" borderId="28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17" fontId="10" fillId="6" borderId="29" xfId="0" applyNumberFormat="1" applyFont="1" applyFill="1" applyBorder="1" applyAlignment="1">
      <alignment horizontal="center" vertical="center" wrapText="1"/>
    </xf>
    <xf numFmtId="17" fontId="10" fillId="6" borderId="30" xfId="0" applyNumberFormat="1" applyFont="1" applyFill="1" applyBorder="1" applyAlignment="1">
      <alignment horizontal="center" vertical="center"/>
    </xf>
    <xf numFmtId="17" fontId="10" fillId="0" borderId="19" xfId="0" applyNumberFormat="1" applyFont="1" applyBorder="1" applyAlignment="1">
      <alignment horizontal="center"/>
    </xf>
    <xf numFmtId="17" fontId="10" fillId="0" borderId="20" xfId="0" applyNumberFormat="1" applyFont="1" applyBorder="1" applyAlignment="1">
      <alignment horizontal="center"/>
    </xf>
    <xf numFmtId="167" fontId="10" fillId="0" borderId="18" xfId="7" applyNumberFormat="1" applyFont="1" applyFill="1" applyBorder="1" applyAlignment="1">
      <alignment horizontal="center"/>
    </xf>
    <xf numFmtId="167" fontId="10" fillId="0" borderId="20" xfId="7" applyNumberFormat="1" applyFont="1" applyFill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167" fontId="10" fillId="0" borderId="13" xfId="7" applyNumberFormat="1" applyFont="1" applyFill="1" applyBorder="1" applyAlignment="1">
      <alignment horizontal="center"/>
    </xf>
    <xf numFmtId="167" fontId="10" fillId="0" borderId="21" xfId="7" applyNumberFormat="1" applyFont="1" applyFill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35" fillId="0" borderId="10" xfId="0" applyFont="1" applyBorder="1" applyAlignment="1">
      <alignment horizontal="left" vertical="center" wrapText="1" indent="1"/>
    </xf>
    <xf numFmtId="0" fontId="35" fillId="0" borderId="11" xfId="0" applyFont="1" applyBorder="1" applyAlignment="1">
      <alignment horizontal="left" vertical="center" wrapText="1" indent="1"/>
    </xf>
    <xf numFmtId="0" fontId="35" fillId="0" borderId="12" xfId="0" applyFont="1" applyBorder="1" applyAlignment="1">
      <alignment horizontal="left" vertical="center" wrapText="1" indent="1"/>
    </xf>
    <xf numFmtId="0" fontId="13" fillId="0" borderId="10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35" fillId="0" borderId="31" xfId="0" applyFont="1" applyBorder="1" applyAlignment="1">
      <alignment vertical="center" wrapText="1"/>
    </xf>
    <xf numFmtId="0" fontId="35" fillId="0" borderId="32" xfId="0" applyFont="1" applyBorder="1" applyAlignment="1">
      <alignment vertical="center" wrapText="1"/>
    </xf>
    <xf numFmtId="0" fontId="35" fillId="0" borderId="33" xfId="0" applyFont="1" applyBorder="1" applyAlignment="1">
      <alignment vertical="center" wrapText="1"/>
    </xf>
    <xf numFmtId="0" fontId="11" fillId="0" borderId="34" xfId="0" applyFont="1" applyBorder="1" applyAlignment="1">
      <alignment vertical="center" wrapText="1"/>
    </xf>
    <xf numFmtId="0" fontId="11" fillId="0" borderId="35" xfId="0" applyFont="1" applyBorder="1" applyAlignment="1">
      <alignment vertical="center" wrapText="1"/>
    </xf>
    <xf numFmtId="0" fontId="11" fillId="0" borderId="36" xfId="0" applyFont="1" applyBorder="1" applyAlignment="1">
      <alignment vertical="center" wrapText="1"/>
    </xf>
    <xf numFmtId="0" fontId="11" fillId="0" borderId="37" xfId="0" applyFont="1" applyBorder="1" applyAlignment="1">
      <alignment vertical="center" wrapText="1"/>
    </xf>
    <xf numFmtId="0" fontId="11" fillId="0" borderId="38" xfId="0" applyFont="1" applyBorder="1" applyAlignment="1">
      <alignment vertical="center" wrapText="1"/>
    </xf>
    <xf numFmtId="0" fontId="11" fillId="0" borderId="39" xfId="0" applyFont="1" applyBorder="1" applyAlignment="1">
      <alignment vertical="center" wrapText="1"/>
    </xf>
    <xf numFmtId="0" fontId="13" fillId="0" borderId="2" xfId="0" applyFont="1" applyBorder="1" applyAlignment="1">
      <alignment vertical="center" wrapText="1"/>
    </xf>
    <xf numFmtId="0" fontId="13" fillId="0" borderId="4" xfId="0" applyFont="1" applyBorder="1" applyAlignment="1">
      <alignment vertical="center" wrapText="1"/>
    </xf>
    <xf numFmtId="0" fontId="13" fillId="0" borderId="5" xfId="0" applyFont="1" applyBorder="1" applyAlignment="1">
      <alignment vertical="center" wrapText="1"/>
    </xf>
    <xf numFmtId="0" fontId="13" fillId="0" borderId="6" xfId="0" applyFont="1" applyBorder="1" applyAlignment="1">
      <alignment vertical="center" wrapText="1"/>
    </xf>
    <xf numFmtId="0" fontId="13" fillId="0" borderId="7" xfId="0" applyFont="1" applyBorder="1" applyAlignment="1">
      <alignment vertical="center" wrapText="1"/>
    </xf>
    <xf numFmtId="0" fontId="13" fillId="0" borderId="9" xfId="0" applyFont="1" applyBorder="1" applyAlignment="1">
      <alignment vertical="center" wrapText="1"/>
    </xf>
    <xf numFmtId="0" fontId="35" fillId="0" borderId="10" xfId="0" applyFont="1" applyBorder="1" applyAlignment="1">
      <alignment horizontal="left" vertical="center" wrapText="1" indent="4"/>
    </xf>
    <xf numFmtId="0" fontId="35" fillId="0" borderId="11" xfId="0" applyFont="1" applyBorder="1" applyAlignment="1">
      <alignment horizontal="left" vertical="center" wrapText="1" indent="4"/>
    </xf>
    <xf numFmtId="0" fontId="35" fillId="0" borderId="12" xfId="0" applyFont="1" applyBorder="1" applyAlignment="1">
      <alignment horizontal="left" vertical="center" wrapText="1" indent="4"/>
    </xf>
    <xf numFmtId="0" fontId="35" fillId="0" borderId="31" xfId="0" applyFont="1" applyBorder="1" applyAlignment="1">
      <alignment horizontal="left" vertical="center" wrapText="1" indent="5"/>
    </xf>
    <xf numFmtId="0" fontId="35" fillId="0" borderId="33" xfId="0" applyFont="1" applyBorder="1" applyAlignment="1">
      <alignment horizontal="left" vertical="center" wrapText="1" indent="5"/>
    </xf>
    <xf numFmtId="0" fontId="35" fillId="0" borderId="32" xfId="0" applyFont="1" applyBorder="1" applyAlignment="1">
      <alignment horizontal="left" vertical="center" wrapText="1" indent="5"/>
    </xf>
    <xf numFmtId="0" fontId="13" fillId="0" borderId="31" xfId="0" applyFont="1" applyBorder="1" applyAlignment="1">
      <alignment vertical="center" wrapText="1"/>
    </xf>
    <xf numFmtId="0" fontId="13" fillId="0" borderId="32" xfId="0" applyFont="1" applyBorder="1" applyAlignment="1">
      <alignment vertical="center" wrapText="1"/>
    </xf>
    <xf numFmtId="0" fontId="35" fillId="0" borderId="10" xfId="0" applyFont="1" applyBorder="1" applyAlignment="1">
      <alignment horizontal="left" vertical="center" wrapText="1" indent="2"/>
    </xf>
    <xf numFmtId="0" fontId="35" fillId="0" borderId="11" xfId="0" applyFont="1" applyBorder="1" applyAlignment="1">
      <alignment horizontal="left" vertical="center" wrapText="1" indent="2"/>
    </xf>
    <xf numFmtId="0" fontId="35" fillId="0" borderId="12" xfId="0" applyFont="1" applyBorder="1" applyAlignment="1">
      <alignment horizontal="left" vertical="center" wrapText="1" indent="2"/>
    </xf>
    <xf numFmtId="0" fontId="38" fillId="8" borderId="10" xfId="0" applyFont="1" applyFill="1" applyBorder="1" applyAlignment="1">
      <alignment vertical="center" wrapText="1"/>
    </xf>
    <xf numFmtId="0" fontId="38" fillId="8" borderId="12" xfId="0" applyFont="1" applyFill="1" applyBorder="1" applyAlignment="1">
      <alignment vertical="center" wrapText="1"/>
    </xf>
    <xf numFmtId="0" fontId="35" fillId="0" borderId="10" xfId="0" applyFont="1" applyBorder="1" applyAlignment="1">
      <alignment horizontal="left" vertical="center" wrapText="1" indent="5"/>
    </xf>
    <xf numFmtId="0" fontId="35" fillId="0" borderId="11" xfId="0" applyFont="1" applyBorder="1" applyAlignment="1">
      <alignment horizontal="left" vertical="center" wrapText="1" indent="5"/>
    </xf>
    <xf numFmtId="0" fontId="35" fillId="0" borderId="12" xfId="0" applyFont="1" applyBorder="1" applyAlignment="1">
      <alignment horizontal="left" vertical="center" wrapText="1" indent="5"/>
    </xf>
    <xf numFmtId="0" fontId="16" fillId="0" borderId="16" xfId="0" applyFont="1" applyBorder="1" applyAlignment="1">
      <alignment horizontal="left" vertical="center" wrapText="1"/>
    </xf>
    <xf numFmtId="0" fontId="11" fillId="0" borderId="10" xfId="0" applyFont="1" applyBorder="1" applyAlignment="1">
      <alignment horizontal="left" vertical="center" wrapText="1" indent="1"/>
    </xf>
    <xf numFmtId="0" fontId="11" fillId="0" borderId="11" xfId="0" applyFont="1" applyBorder="1" applyAlignment="1">
      <alignment horizontal="left" vertical="center" wrapText="1" indent="1"/>
    </xf>
    <xf numFmtId="0" fontId="11" fillId="0" borderId="12" xfId="0" applyFont="1" applyBorder="1" applyAlignment="1">
      <alignment horizontal="left" vertical="center" wrapText="1" indent="1"/>
    </xf>
    <xf numFmtId="0" fontId="11" fillId="0" borderId="10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35" fillId="0" borderId="40" xfId="0" applyFont="1" applyBorder="1" applyAlignment="1">
      <alignment vertical="center" wrapText="1"/>
    </xf>
    <xf numFmtId="0" fontId="35" fillId="0" borderId="41" xfId="0" applyFont="1" applyBorder="1" applyAlignment="1">
      <alignment vertical="center" wrapText="1"/>
    </xf>
    <xf numFmtId="0" fontId="35" fillId="0" borderId="2" xfId="0" applyFont="1" applyBorder="1" applyAlignment="1">
      <alignment vertical="center" wrapText="1"/>
    </xf>
    <xf numFmtId="0" fontId="35" fillId="0" borderId="4" xfId="0" applyFont="1" applyBorder="1" applyAlignment="1">
      <alignment vertical="center" wrapText="1"/>
    </xf>
    <xf numFmtId="0" fontId="35" fillId="0" borderId="7" xfId="0" applyFont="1" applyBorder="1" applyAlignment="1">
      <alignment vertical="center" wrapText="1"/>
    </xf>
    <xf numFmtId="0" fontId="35" fillId="0" borderId="9" xfId="0" applyFont="1" applyBorder="1" applyAlignment="1">
      <alignment vertical="center" wrapText="1"/>
    </xf>
    <xf numFmtId="0" fontId="35" fillId="0" borderId="3" xfId="0" applyFont="1" applyBorder="1" applyAlignment="1">
      <alignment vertical="center" wrapText="1"/>
    </xf>
    <xf numFmtId="0" fontId="35" fillId="0" borderId="8" xfId="0" applyFont="1" applyBorder="1" applyAlignment="1">
      <alignment vertical="center" wrapText="1"/>
    </xf>
    <xf numFmtId="0" fontId="63" fillId="0" borderId="8" xfId="0" applyFont="1" applyBorder="1" applyAlignment="1">
      <alignment horizontal="center"/>
    </xf>
    <xf numFmtId="0" fontId="64" fillId="15" borderId="2" xfId="0" applyFont="1" applyFill="1" applyBorder="1" applyAlignment="1">
      <alignment horizontal="center"/>
    </xf>
    <xf numFmtId="0" fontId="64" fillId="15" borderId="4" xfId="0" applyFont="1" applyFill="1" applyBorder="1" applyAlignment="1">
      <alignment horizontal="center"/>
    </xf>
    <xf numFmtId="0" fontId="64" fillId="16" borderId="2" xfId="0" applyFont="1" applyFill="1" applyBorder="1" applyAlignment="1">
      <alignment horizontal="center"/>
    </xf>
    <xf numFmtId="0" fontId="64" fillId="16" borderId="4" xfId="0" applyFont="1" applyFill="1" applyBorder="1" applyAlignment="1">
      <alignment horizontal="center"/>
    </xf>
    <xf numFmtId="44" fontId="16" fillId="0" borderId="0" xfId="2" applyNumberFormat="1" applyFont="1" applyBorder="1" applyAlignment="1"/>
  </cellXfs>
  <cellStyles count="20">
    <cellStyle name="Check Cell" xfId="18" builtinId="23"/>
    <cellStyle name="Comma" xfId="4" builtinId="3"/>
    <cellStyle name="Comma 2 2" xfId="7" xr:uid="{00F278A6-D8B3-4A60-B2D1-64B7F6DBAAFB}"/>
    <cellStyle name="Comma 3" xfId="11" xr:uid="{3CE906DA-880B-4854-B6CC-BAB337D3AC02}"/>
    <cellStyle name="Currency" xfId="16" builtinId="4"/>
    <cellStyle name="Currency 2 4" xfId="2" xr:uid="{8C2B571B-1AD2-475D-9D14-38B185F7D7C3}"/>
    <cellStyle name="EvenBodyShade 2" xfId="12" xr:uid="{79E63165-E526-4A6F-9EA1-15C3B6C3E666}"/>
    <cellStyle name="Hyperlink" xfId="15" builtinId="8"/>
    <cellStyle name="Normal" xfId="0" builtinId="0"/>
    <cellStyle name="Normal 2 2" xfId="1" xr:uid="{B5DC5DF7-2B70-4AC9-B09D-F03AA66CD712}"/>
    <cellStyle name="Normal 29 2" xfId="6" xr:uid="{21F5EBF4-1DB7-4C97-B9F0-B155F742A702}"/>
    <cellStyle name="Normal 3" xfId="8" xr:uid="{C624F888-A809-487D-9457-166905C79D8A}"/>
    <cellStyle name="Normal 4" xfId="19" xr:uid="{26DD4295-3786-4933-8978-A7572BF0DDDF}"/>
    <cellStyle name="Normal 65" xfId="14" xr:uid="{94B71493-0356-4579-B67F-CE42462FA30B}"/>
    <cellStyle name="Normal__Computation Mgmt Fee 2003" xfId="9" xr:uid="{B6CED826-06BB-4BD1-891B-6EB15F73F8EF}"/>
    <cellStyle name="Normal_CPOA Insurance  Taxes 2001" xfId="5" xr:uid="{CF083DB1-F2B9-4412-8628-D7E89B66D4F4}"/>
    <cellStyle name="Normal_RE Linda 2" xfId="10" xr:uid="{28D43E37-E385-4520-A2D0-F89EEFFF447A}"/>
    <cellStyle name="OddBodyShade 2" xfId="13" xr:uid="{C3D22AC5-2201-41C5-B3B3-4529D92855C3}"/>
    <cellStyle name="Percent 2 4" xfId="3" xr:uid="{955A2638-51CE-4454-BA5B-419536EF9996}"/>
    <cellStyle name="Percent 3 2" xfId="17" xr:uid="{51752798-DE4A-4084-AC9F-0EE3C97AA39A}"/>
  </cellStyles>
  <dxfs count="8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FFCC"/>
      <color rgb="FF0070C0"/>
      <color rgb="FF16365C"/>
      <color rgb="FFFFCCCC"/>
      <color rgb="FFCCFFFF"/>
      <color rgb="FFFF9999"/>
      <color rgb="FFFF5050"/>
      <color rgb="FF92C9FF"/>
      <color rgb="FF92CFFF"/>
      <color rgb="FF92C9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AA$40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forms.office.com/r/ejmZjPUM1E" TargetMode="Externa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0</xdr:row>
      <xdr:rowOff>114301</xdr:rowOff>
    </xdr:from>
    <xdr:to>
      <xdr:col>4</xdr:col>
      <xdr:colOff>476250</xdr:colOff>
      <xdr:row>3</xdr:row>
      <xdr:rowOff>38100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29050" y="114301"/>
          <a:ext cx="2600325" cy="723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Click</a:t>
          </a:r>
          <a:r>
            <a:rPr lang="en-US" sz="1400" b="1" baseline="0"/>
            <a:t> Here to Provide Feedback on the BS Support Schedule!</a:t>
          </a:r>
          <a:endParaRPr 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476063</xdr:colOff>
      <xdr:row>2</xdr:row>
      <xdr:rowOff>162859</xdr:rowOff>
    </xdr:from>
    <xdr:to>
      <xdr:col>7</xdr:col>
      <xdr:colOff>2362201</xdr:colOff>
      <xdr:row>6</xdr:row>
      <xdr:rowOff>38100</xdr:rowOff>
    </xdr:to>
    <xdr:sp macro="[0]!PrintActiveSheet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229663" y="601009"/>
          <a:ext cx="1886138" cy="675341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Selected Sheets to PDF</a:t>
          </a:r>
          <a:endParaRPr lang="en-US" sz="1600" b="1"/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9</xdr:col>
      <xdr:colOff>9525</xdr:colOff>
      <xdr:row>2</xdr:row>
      <xdr:rowOff>282122</xdr:rowOff>
    </xdr:to>
    <xdr:sp macro="[0]!Sheet5.AddGLAccoun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C21822-B0C2-47DB-BE71-844C6C7F2E89}"/>
            </a:ext>
          </a:extLst>
        </xdr:cNvPr>
        <xdr:cNvSpPr/>
      </xdr:nvSpPr>
      <xdr:spPr>
        <a:xfrm>
          <a:off x="12627429" y="598714"/>
          <a:ext cx="2241096" cy="282122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l"/>
          <a:r>
            <a:rPr lang="en-US" sz="1400" u="sng" baseline="0">
              <a:solidFill>
                <a:schemeClr val="accent5">
                  <a:lumMod val="75000"/>
                </a:schemeClr>
              </a:solidFill>
            </a:rPr>
            <a:t>Add GL Account</a:t>
          </a:r>
          <a:endParaRPr lang="en-US" sz="1100" u="sng">
            <a:solidFill>
              <a:schemeClr val="accent5">
                <a:lumMod val="75000"/>
              </a:schemeClr>
            </a:solidFill>
          </a:endParaRPr>
        </a:p>
      </xdr:txBody>
    </xdr:sp>
    <xdr:clientData fLocksWithSheet="0"/>
  </xdr:twoCellAnchor>
  <xdr:twoCellAnchor>
    <xdr:from>
      <xdr:col>8</xdr:col>
      <xdr:colOff>0</xdr:colOff>
      <xdr:row>3</xdr:row>
      <xdr:rowOff>0</xdr:rowOff>
    </xdr:from>
    <xdr:to>
      <xdr:col>9</xdr:col>
      <xdr:colOff>38100</xdr:colOff>
      <xdr:row>3</xdr:row>
      <xdr:rowOff>200025</xdr:rowOff>
    </xdr:to>
    <xdr:sp macro="[0]!Sheet5.AddAmortizationScheduleForGLAccou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EB604E3-DAFE-43AA-B779-BE23A42E7A06}"/>
            </a:ext>
          </a:extLst>
        </xdr:cNvPr>
        <xdr:cNvSpPr/>
      </xdr:nvSpPr>
      <xdr:spPr>
        <a:xfrm>
          <a:off x="12627429" y="898071"/>
          <a:ext cx="2269671" cy="200025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l"/>
          <a:r>
            <a:rPr lang="en-US" sz="1400" u="sng" baseline="0">
              <a:solidFill>
                <a:schemeClr val="accent5">
                  <a:lumMod val="75000"/>
                </a:schemeClr>
              </a:solidFill>
            </a:rPr>
            <a:t>Add Amortization Schedule</a:t>
          </a:r>
          <a:endParaRPr lang="en-US" sz="1400" u="sng">
            <a:solidFill>
              <a:schemeClr val="accent5">
                <a:lumMod val="75000"/>
              </a:schemeClr>
            </a:solidFill>
          </a:endParaRPr>
        </a:p>
      </xdr:txBody>
    </xdr:sp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133351</xdr:colOff>
      <xdr:row>0</xdr:row>
      <xdr:rowOff>114300</xdr:rowOff>
    </xdr:from>
    <xdr:to>
      <xdr:col>14</xdr:col>
      <xdr:colOff>571501</xdr:colOff>
      <xdr:row>2</xdr:row>
      <xdr:rowOff>123825</xdr:rowOff>
    </xdr:to>
    <xdr:sp macro="[0]!PrintPage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258676" y="114300"/>
          <a:ext cx="1657350" cy="657225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44023</xdr:colOff>
      <xdr:row>0</xdr:row>
      <xdr:rowOff>170089</xdr:rowOff>
    </xdr:from>
    <xdr:to>
      <xdr:col>16</xdr:col>
      <xdr:colOff>530680</xdr:colOff>
      <xdr:row>3</xdr:row>
      <xdr:rowOff>74439</xdr:rowOff>
    </xdr:to>
    <xdr:sp macro="[0]!PrintPage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92112BD-2171-A8F9-5F38-B487C03C4FA2}"/>
            </a:ext>
          </a:extLst>
        </xdr:cNvPr>
        <xdr:cNvSpPr/>
      </xdr:nvSpPr>
      <xdr:spPr>
        <a:xfrm>
          <a:off x="19175666" y="170089"/>
          <a:ext cx="1588835" cy="720779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156883</xdr:colOff>
      <xdr:row>0</xdr:row>
      <xdr:rowOff>67238</xdr:rowOff>
    </xdr:from>
    <xdr:to>
      <xdr:col>11</xdr:col>
      <xdr:colOff>1804147</xdr:colOff>
      <xdr:row>2</xdr:row>
      <xdr:rowOff>235323</xdr:rowOff>
    </xdr:to>
    <xdr:sp macro="[0]!PrintPage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657295" y="67238"/>
          <a:ext cx="1647264" cy="739585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50801</xdr:colOff>
      <xdr:row>0</xdr:row>
      <xdr:rowOff>69851</xdr:rowOff>
    </xdr:from>
    <xdr:to>
      <xdr:col>8</xdr:col>
      <xdr:colOff>971550</xdr:colOff>
      <xdr:row>2</xdr:row>
      <xdr:rowOff>190501</xdr:rowOff>
    </xdr:to>
    <xdr:sp macro="[0]!PrintPage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547226" y="69851"/>
          <a:ext cx="1577974" cy="6731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19050</xdr:colOff>
      <xdr:row>1</xdr:row>
      <xdr:rowOff>133350</xdr:rowOff>
    </xdr:from>
    <xdr:to>
      <xdr:col>42</xdr:col>
      <xdr:colOff>466725</xdr:colOff>
      <xdr:row>3</xdr:row>
      <xdr:rowOff>361950</xdr:rowOff>
    </xdr:to>
    <xdr:sp macro="[0]!PrintPage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4963775" y="428625"/>
          <a:ext cx="1685925" cy="7239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68356</xdr:colOff>
      <xdr:row>1</xdr:row>
      <xdr:rowOff>49306</xdr:rowOff>
    </xdr:from>
    <xdr:to>
      <xdr:col>8</xdr:col>
      <xdr:colOff>549089</xdr:colOff>
      <xdr:row>3</xdr:row>
      <xdr:rowOff>190500</xdr:rowOff>
    </xdr:to>
    <xdr:sp macro="[0]!PrintPage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EE14AF6-219B-4A02-A984-564C639F4EC9}"/>
            </a:ext>
          </a:extLst>
        </xdr:cNvPr>
        <xdr:cNvSpPr/>
      </xdr:nvSpPr>
      <xdr:spPr>
        <a:xfrm>
          <a:off x="16613281" y="344581"/>
          <a:ext cx="1699933" cy="731744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486834</xdr:colOff>
      <xdr:row>0</xdr:row>
      <xdr:rowOff>137583</xdr:rowOff>
    </xdr:from>
    <xdr:to>
      <xdr:col>11</xdr:col>
      <xdr:colOff>148168</xdr:colOff>
      <xdr:row>4</xdr:row>
      <xdr:rowOff>65367</xdr:rowOff>
    </xdr:to>
    <xdr:sp macro="[0]!PrintPage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3631334" y="137583"/>
          <a:ext cx="2116667" cy="732117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92449</xdr:colOff>
      <xdr:row>0</xdr:row>
      <xdr:rowOff>107158</xdr:rowOff>
    </xdr:from>
    <xdr:to>
      <xdr:col>17</xdr:col>
      <xdr:colOff>481853</xdr:colOff>
      <xdr:row>3</xdr:row>
      <xdr:rowOff>22412</xdr:rowOff>
    </xdr:to>
    <xdr:sp macro="[0]!PrintPage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8324420" y="107158"/>
          <a:ext cx="1599639" cy="722078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  <xdr:twoCellAnchor>
    <xdr:from>
      <xdr:col>15</xdr:col>
      <xdr:colOff>26146</xdr:colOff>
      <xdr:row>3</xdr:row>
      <xdr:rowOff>145675</xdr:rowOff>
    </xdr:from>
    <xdr:to>
      <xdr:col>18</xdr:col>
      <xdr:colOff>500448</xdr:colOff>
      <xdr:row>5</xdr:row>
      <xdr:rowOff>1974</xdr:rowOff>
    </xdr:to>
    <xdr:sp macro="[0]!Sheet15.AddCapExGLAccoun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525D56C-2185-4D2E-B062-E186DE420084}"/>
            </a:ext>
          </a:extLst>
        </xdr:cNvPr>
        <xdr:cNvSpPr/>
      </xdr:nvSpPr>
      <xdr:spPr>
        <a:xfrm>
          <a:off x="19091087" y="959969"/>
          <a:ext cx="2401714" cy="274652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l"/>
          <a:r>
            <a:rPr lang="en-US" sz="1400" u="sng" baseline="0">
              <a:solidFill>
                <a:schemeClr val="accent5">
                  <a:lumMod val="75000"/>
                </a:schemeClr>
              </a:solidFill>
            </a:rPr>
            <a:t>Add GL Account</a:t>
          </a:r>
          <a:endParaRPr lang="en-US" sz="1100" u="sng">
            <a:solidFill>
              <a:schemeClr val="accent5">
                <a:lumMod val="75000"/>
              </a:schemeClr>
            </a:solidFill>
          </a:endParaRPr>
        </a:p>
      </xdr:txBody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50800</xdr:rowOff>
        </xdr:from>
        <xdr:to>
          <xdr:col>3</xdr:col>
          <xdr:colOff>1504950</xdr:colOff>
          <xdr:row>2</xdr:row>
          <xdr:rowOff>133350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C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39</xdr:row>
          <xdr:rowOff>184150</xdr:rowOff>
        </xdr:from>
        <xdr:to>
          <xdr:col>6</xdr:col>
          <xdr:colOff>222250</xdr:colOff>
          <xdr:row>41</xdr:row>
          <xdr:rowOff>38100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if 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47</xdr:row>
          <xdr:rowOff>171450</xdr:rowOff>
        </xdr:from>
        <xdr:to>
          <xdr:col>6</xdr:col>
          <xdr:colOff>222250</xdr:colOff>
          <xdr:row>49</xdr:row>
          <xdr:rowOff>50800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1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if 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49</xdr:row>
          <xdr:rowOff>171450</xdr:rowOff>
        </xdr:from>
        <xdr:to>
          <xdr:col>6</xdr:col>
          <xdr:colOff>222250</xdr:colOff>
          <xdr:row>51</xdr:row>
          <xdr:rowOff>50800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11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if Yes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23812</xdr:colOff>
      <xdr:row>56</xdr:row>
      <xdr:rowOff>23813</xdr:rowOff>
    </xdr:from>
    <xdr:to>
      <xdr:col>8</xdr:col>
      <xdr:colOff>2785163</xdr:colOff>
      <xdr:row>59</xdr:row>
      <xdr:rowOff>47542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43312" y="13930313"/>
          <a:ext cx="9609826" cy="669048"/>
        </a:xfrm>
        <a:prstGeom prst="rect">
          <a:avLst/>
        </a:prstGeom>
      </xdr:spPr>
    </xdr:pic>
    <xdr:clientData/>
  </xdr:twoCellAnchor>
  <xdr:twoCellAnchor>
    <xdr:from>
      <xdr:col>4</xdr:col>
      <xdr:colOff>23813</xdr:colOff>
      <xdr:row>59</xdr:row>
      <xdr:rowOff>47625</xdr:rowOff>
    </xdr:from>
    <xdr:to>
      <xdr:col>4</xdr:col>
      <xdr:colOff>345282</xdr:colOff>
      <xdr:row>61</xdr:row>
      <xdr:rowOff>59531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8996363" y="14563725"/>
          <a:ext cx="321469" cy="392906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1976439</xdr:colOff>
      <xdr:row>0</xdr:row>
      <xdr:rowOff>47625</xdr:rowOff>
    </xdr:from>
    <xdr:to>
      <xdr:col>8</xdr:col>
      <xdr:colOff>4093106</xdr:colOff>
      <xdr:row>2</xdr:row>
      <xdr:rowOff>101086</xdr:rowOff>
    </xdr:to>
    <xdr:sp macro="[0]!PrintPage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716252" y="47625"/>
          <a:ext cx="2116667" cy="732117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Print</a:t>
          </a:r>
          <a:r>
            <a:rPr lang="en-US" sz="1600" b="1" baseline="0"/>
            <a:t> This Sheet to PDF</a:t>
          </a:r>
          <a:endParaRPr lang="en-US" sz="16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0</xdr:row>
      <xdr:rowOff>295275</xdr:rowOff>
    </xdr:from>
    <xdr:to>
      <xdr:col>6</xdr:col>
      <xdr:colOff>171449</xdr:colOff>
      <xdr:row>4</xdr:row>
      <xdr:rowOff>9524</xdr:rowOff>
    </xdr:to>
    <xdr:sp macro="[0]!ImportMappedCO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954000" y="295275"/>
          <a:ext cx="1285874" cy="676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Import Account Tree Mapping</a:t>
          </a:r>
        </a:p>
      </xdr:txBody>
    </xdr:sp>
    <xdr:clientData/>
  </xdr:twoCellAnchor>
  <xdr:twoCellAnchor editAs="oneCell">
    <xdr:from>
      <xdr:col>1</xdr:col>
      <xdr:colOff>2905125</xdr:colOff>
      <xdr:row>0</xdr:row>
      <xdr:rowOff>276225</xdr:rowOff>
    </xdr:from>
    <xdr:to>
      <xdr:col>2</xdr:col>
      <xdr:colOff>874551</xdr:colOff>
      <xdr:row>3</xdr:row>
      <xdr:rowOff>37006</xdr:rowOff>
    </xdr:to>
    <xdr:pic macro="[0]!SwapColumnContents">
      <xdr:nvPicPr>
        <xdr:cNvPr id="6" name="Picture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62550" y="276225"/>
          <a:ext cx="1798476" cy="56088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services.wake.gov/taxportal" TargetMode="External"/><Relationship Id="rId2" Type="http://schemas.openxmlformats.org/officeDocument/2006/relationships/hyperlink" Target="https://services.wake.gov/taxportal" TargetMode="External"/><Relationship Id="rId1" Type="http://schemas.openxmlformats.org/officeDocument/2006/relationships/hyperlink" Target="https://dconc.gov/Tax-Administration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services.wake.gov/taxporta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A3470-CC33-487D-B794-FD6CEE4A4E00}">
  <sheetPr codeName="Sheet1">
    <pageSetUpPr fitToPage="1"/>
  </sheetPr>
  <dimension ref="A1:AA117"/>
  <sheetViews>
    <sheetView zoomScale="115" zoomScaleNormal="115" workbookViewId="0">
      <selection activeCell="B8" sqref="B8"/>
    </sheetView>
  </sheetViews>
  <sheetFormatPr defaultColWidth="9.1796875" defaultRowHeight="13" x14ac:dyDescent="0.3"/>
  <cols>
    <col min="1" max="1" width="26.81640625" style="5" customWidth="1"/>
    <col min="2" max="2" width="27.1796875" style="5" customWidth="1"/>
    <col min="3" max="3" width="9.1796875" style="5"/>
    <col min="4" max="4" width="26.1796875" style="5" bestFit="1" customWidth="1"/>
    <col min="5" max="5" width="9.26953125" style="5" customWidth="1"/>
    <col min="6" max="6" width="11.453125" style="5" customWidth="1"/>
    <col min="7" max="11" width="9.1796875" style="5"/>
    <col min="12" max="13" width="9.1796875" style="5" customWidth="1"/>
    <col min="14" max="14" width="7.7265625" style="5" hidden="1" customWidth="1"/>
    <col min="15" max="15" width="9.1796875" style="5" customWidth="1"/>
    <col min="16" max="16384" width="9.1796875" style="5"/>
  </cols>
  <sheetData>
    <row r="1" spans="1:27" ht="37.5" customHeight="1" x14ac:dyDescent="0.3">
      <c r="A1" s="561" t="s">
        <v>0</v>
      </c>
      <c r="B1" s="561"/>
      <c r="C1" s="561"/>
      <c r="AA1" s="6" t="s">
        <v>1</v>
      </c>
    </row>
    <row r="2" spans="1:27" x14ac:dyDescent="0.3">
      <c r="A2" s="5" t="s">
        <v>2</v>
      </c>
      <c r="B2" s="533">
        <v>46283</v>
      </c>
      <c r="C2" s="370"/>
      <c r="AA2" s="6" t="s">
        <v>3</v>
      </c>
    </row>
    <row r="3" spans="1:27" x14ac:dyDescent="0.3">
      <c r="A3" s="5" t="s">
        <v>4</v>
      </c>
      <c r="B3" s="381" t="s">
        <v>5</v>
      </c>
      <c r="C3" s="370"/>
    </row>
    <row r="4" spans="1:27" x14ac:dyDescent="0.3">
      <c r="A4" s="5" t="s">
        <v>6</v>
      </c>
      <c r="B4" s="379" t="s">
        <v>7</v>
      </c>
      <c r="C4" s="370"/>
    </row>
    <row r="5" spans="1:27" x14ac:dyDescent="0.3">
      <c r="A5" s="5" t="s">
        <v>8</v>
      </c>
      <c r="B5" s="379" t="s">
        <v>3</v>
      </c>
      <c r="C5" s="370"/>
    </row>
    <row r="6" spans="1:27" ht="12" customHeight="1" x14ac:dyDescent="0.3">
      <c r="A6" s="5" t="s">
        <v>9</v>
      </c>
      <c r="B6" s="382">
        <v>46266</v>
      </c>
      <c r="C6" s="370"/>
    </row>
    <row r="7" spans="1:27" x14ac:dyDescent="0.3">
      <c r="A7" s="5" t="s">
        <v>10</v>
      </c>
      <c r="B7" s="383">
        <v>46295</v>
      </c>
      <c r="C7" s="370"/>
    </row>
    <row r="8" spans="1:27" x14ac:dyDescent="0.3">
      <c r="A8" s="5" t="s">
        <v>11</v>
      </c>
      <c r="B8" s="380" t="s">
        <v>12</v>
      </c>
      <c r="C8" s="370"/>
    </row>
    <row r="9" spans="1:27" x14ac:dyDescent="0.3">
      <c r="A9" s="5" t="s">
        <v>13</v>
      </c>
      <c r="B9" s="380" t="s">
        <v>14</v>
      </c>
      <c r="C9" s="370"/>
    </row>
    <row r="10" spans="1:27" x14ac:dyDescent="0.3">
      <c r="B10" s="384"/>
    </row>
    <row r="11" spans="1:27" x14ac:dyDescent="0.3">
      <c r="A11" s="7" t="s">
        <v>15</v>
      </c>
      <c r="B11" s="384"/>
    </row>
    <row r="12" spans="1:27" x14ac:dyDescent="0.3">
      <c r="A12" s="5" t="s">
        <v>16</v>
      </c>
    </row>
    <row r="13" spans="1:27" x14ac:dyDescent="0.3">
      <c r="A13" s="5" t="s">
        <v>17</v>
      </c>
    </row>
    <row r="14" spans="1:27" x14ac:dyDescent="0.3">
      <c r="A14" s="5" t="s">
        <v>18</v>
      </c>
    </row>
    <row r="15" spans="1:27" x14ac:dyDescent="0.3">
      <c r="A15" s="5" t="s">
        <v>19</v>
      </c>
    </row>
    <row r="61" spans="14:14" x14ac:dyDescent="0.3">
      <c r="N61" s="193"/>
    </row>
    <row r="62" spans="14:14" x14ac:dyDescent="0.3">
      <c r="N62" s="193"/>
    </row>
    <row r="63" spans="14:14" x14ac:dyDescent="0.3">
      <c r="N63" s="193"/>
    </row>
    <row r="64" spans="14:14" x14ac:dyDescent="0.3">
      <c r="N64" s="193"/>
    </row>
    <row r="65" spans="14:14" x14ac:dyDescent="0.3">
      <c r="N65" s="193"/>
    </row>
    <row r="66" spans="14:14" x14ac:dyDescent="0.3">
      <c r="N66" s="193"/>
    </row>
    <row r="67" spans="14:14" x14ac:dyDescent="0.3">
      <c r="N67" s="193">
        <v>46023</v>
      </c>
    </row>
    <row r="68" spans="14:14" x14ac:dyDescent="0.3">
      <c r="N68" s="193">
        <v>46054</v>
      </c>
    </row>
    <row r="69" spans="14:14" x14ac:dyDescent="0.3">
      <c r="N69" s="193">
        <v>46082</v>
      </c>
    </row>
    <row r="70" spans="14:14" x14ac:dyDescent="0.3">
      <c r="N70" s="193">
        <v>46113</v>
      </c>
    </row>
    <row r="71" spans="14:14" x14ac:dyDescent="0.3">
      <c r="N71" s="193">
        <v>46143</v>
      </c>
    </row>
    <row r="72" spans="14:14" x14ac:dyDescent="0.3">
      <c r="N72" s="193">
        <v>46174</v>
      </c>
    </row>
    <row r="73" spans="14:14" x14ac:dyDescent="0.3">
      <c r="N73" s="193">
        <v>46204</v>
      </c>
    </row>
    <row r="74" spans="14:14" x14ac:dyDescent="0.3">
      <c r="N74" s="193">
        <v>46235</v>
      </c>
    </row>
    <row r="75" spans="14:14" x14ac:dyDescent="0.3">
      <c r="N75" s="193">
        <v>46266</v>
      </c>
    </row>
    <row r="76" spans="14:14" x14ac:dyDescent="0.3">
      <c r="N76" s="193">
        <v>46296</v>
      </c>
    </row>
    <row r="77" spans="14:14" x14ac:dyDescent="0.3">
      <c r="N77" s="193">
        <v>46327</v>
      </c>
    </row>
    <row r="78" spans="14:14" x14ac:dyDescent="0.3">
      <c r="N78" s="193">
        <v>46357</v>
      </c>
    </row>
    <row r="79" spans="14:14" x14ac:dyDescent="0.3">
      <c r="N79" s="193">
        <v>46023</v>
      </c>
    </row>
    <row r="80" spans="14:14" x14ac:dyDescent="0.3">
      <c r="N80" s="193">
        <v>46054</v>
      </c>
    </row>
    <row r="81" spans="14:14" x14ac:dyDescent="0.3">
      <c r="N81" s="193">
        <v>46082</v>
      </c>
    </row>
    <row r="82" spans="14:14" x14ac:dyDescent="0.3">
      <c r="N82" s="193">
        <v>46113</v>
      </c>
    </row>
    <row r="83" spans="14:14" x14ac:dyDescent="0.3">
      <c r="N83" s="193">
        <v>46143</v>
      </c>
    </row>
    <row r="84" spans="14:14" x14ac:dyDescent="0.3">
      <c r="N84" s="193">
        <v>46174</v>
      </c>
    </row>
    <row r="85" spans="14:14" x14ac:dyDescent="0.3">
      <c r="N85" s="193">
        <v>46204</v>
      </c>
    </row>
    <row r="86" spans="14:14" x14ac:dyDescent="0.3">
      <c r="N86" s="193">
        <v>46235</v>
      </c>
    </row>
    <row r="87" spans="14:14" x14ac:dyDescent="0.3">
      <c r="N87" s="193">
        <v>46266</v>
      </c>
    </row>
    <row r="88" spans="14:14" x14ac:dyDescent="0.3">
      <c r="N88" s="193">
        <v>46296</v>
      </c>
    </row>
    <row r="89" spans="14:14" x14ac:dyDescent="0.3">
      <c r="N89" s="193">
        <v>46327</v>
      </c>
    </row>
    <row r="90" spans="14:14" x14ac:dyDescent="0.3">
      <c r="N90" s="193">
        <v>46357</v>
      </c>
    </row>
    <row r="91" spans="14:14" x14ac:dyDescent="0.3">
      <c r="N91" s="193"/>
    </row>
    <row r="92" spans="14:14" x14ac:dyDescent="0.3">
      <c r="N92" s="193"/>
    </row>
    <row r="93" spans="14:14" x14ac:dyDescent="0.3">
      <c r="N93" s="193"/>
    </row>
    <row r="94" spans="14:14" x14ac:dyDescent="0.3">
      <c r="N94" s="193"/>
    </row>
    <row r="95" spans="14:14" x14ac:dyDescent="0.3">
      <c r="N95" s="193"/>
    </row>
    <row r="96" spans="14:14" x14ac:dyDescent="0.3">
      <c r="N96" s="193"/>
    </row>
    <row r="97" spans="14:14" x14ac:dyDescent="0.3">
      <c r="N97" s="193"/>
    </row>
    <row r="98" spans="14:14" x14ac:dyDescent="0.3">
      <c r="N98" s="193"/>
    </row>
    <row r="99" spans="14:14" x14ac:dyDescent="0.3">
      <c r="N99" s="193"/>
    </row>
    <row r="100" spans="14:14" x14ac:dyDescent="0.3">
      <c r="N100" s="193"/>
    </row>
    <row r="101" spans="14:14" x14ac:dyDescent="0.3">
      <c r="N101" s="193"/>
    </row>
    <row r="102" spans="14:14" x14ac:dyDescent="0.3">
      <c r="N102" s="193"/>
    </row>
    <row r="103" spans="14:14" x14ac:dyDescent="0.3">
      <c r="N103" s="193"/>
    </row>
    <row r="104" spans="14:14" x14ac:dyDescent="0.3">
      <c r="N104" s="193"/>
    </row>
    <row r="105" spans="14:14" x14ac:dyDescent="0.3">
      <c r="N105" s="193"/>
    </row>
    <row r="106" spans="14:14" x14ac:dyDescent="0.3">
      <c r="N106" s="193"/>
    </row>
    <row r="115" spans="14:14" x14ac:dyDescent="0.3">
      <c r="N115" s="193"/>
    </row>
    <row r="116" spans="14:14" x14ac:dyDescent="0.3">
      <c r="N116" s="193"/>
    </row>
    <row r="117" spans="14:14" x14ac:dyDescent="0.3">
      <c r="N117" s="193"/>
    </row>
  </sheetData>
  <mergeCells count="1">
    <mergeCell ref="A1:C1"/>
  </mergeCells>
  <dataValidations count="2">
    <dataValidation type="list" allowBlank="1" showInputMessage="1" showErrorMessage="1" sqref="B6:C6" xr:uid="{63A74452-D134-4C43-A48A-A1A92DE33E58}">
      <formula1>$N$67:$N$90</formula1>
    </dataValidation>
    <dataValidation type="list" allowBlank="1" showInputMessage="1" showErrorMessage="1" sqref="B5" xr:uid="{E6BC6A4C-62F7-476E-8854-E6CF41BE44FB}">
      <formula1>"Yes,No"</formula1>
    </dataValidation>
  </dataValidations>
  <pageMargins left="0.7" right="0.7" top="0.75" bottom="0.75" header="0.3" footer="0.3"/>
  <pageSetup fitToHeight="0" orientation="landscape" r:id="rId1"/>
  <headerFooter>
    <oddFooter>&amp;LWednesday, November 09, 2022&amp;RPage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9259B-E8CE-4322-A941-4B9E918D32CC}">
  <sheetPr codeName="Sheet5">
    <pageSetUpPr autoPageBreaks="0" fitToPage="1"/>
  </sheetPr>
  <dimension ref="A1:AA354"/>
  <sheetViews>
    <sheetView topLeftCell="A88" zoomScale="85" zoomScaleNormal="85" workbookViewId="0">
      <selection activeCell="G127" sqref="G127"/>
    </sheetView>
  </sheetViews>
  <sheetFormatPr defaultColWidth="12.453125" defaultRowHeight="15.5" x14ac:dyDescent="0.35"/>
  <cols>
    <col min="1" max="1" width="14.453125" style="9" customWidth="1"/>
    <col min="2" max="2" width="26" style="9" customWidth="1"/>
    <col min="3" max="3" width="47.1796875" style="13" bestFit="1" customWidth="1"/>
    <col min="4" max="4" width="10.453125" style="14" customWidth="1"/>
    <col min="5" max="5" width="15.7265625" style="13" customWidth="1"/>
    <col min="6" max="6" width="12.453125" style="13" customWidth="1"/>
    <col min="7" max="7" width="24.54296875" style="46" bestFit="1" customWidth="1"/>
    <col min="8" max="8" width="43" customWidth="1"/>
    <col min="9" max="9" width="33.453125" style="9" customWidth="1"/>
    <col min="10" max="10" width="8.1796875" style="9" customWidth="1"/>
    <col min="11" max="26" width="12.453125" style="9"/>
    <col min="27" max="27" width="0" style="9" hidden="1" customWidth="1"/>
    <col min="28" max="16384" width="12.453125" style="9"/>
  </cols>
  <sheetData>
    <row r="1" spans="1:27" ht="23.5" x14ac:dyDescent="0.55000000000000004">
      <c r="A1" s="563" t="str">
        <f>'Input-Instructions'!B3</f>
        <v>Residences at Shiloh Crossing</v>
      </c>
      <c r="B1" s="564"/>
      <c r="C1" s="564"/>
      <c r="D1" s="564"/>
      <c r="E1" s="564"/>
      <c r="F1" s="564"/>
      <c r="G1" s="564"/>
      <c r="H1" s="442"/>
      <c r="I1" s="451"/>
      <c r="J1" s="451"/>
      <c r="K1" s="451"/>
      <c r="L1" s="451"/>
      <c r="M1" s="451"/>
    </row>
    <row r="2" spans="1:27" ht="23.5" x14ac:dyDescent="0.55000000000000004">
      <c r="A2" s="563" t="s">
        <v>20</v>
      </c>
      <c r="B2" s="563"/>
      <c r="C2" s="565"/>
      <c r="D2" s="565"/>
      <c r="E2" s="565"/>
      <c r="F2" s="565"/>
      <c r="G2" s="565"/>
      <c r="H2" s="442"/>
      <c r="I2" s="451"/>
      <c r="J2" s="451"/>
      <c r="K2" s="451"/>
      <c r="L2" s="451"/>
      <c r="M2" s="451"/>
    </row>
    <row r="3" spans="1:27" ht="23.5" x14ac:dyDescent="0.55000000000000004">
      <c r="A3" s="566" t="str">
        <f>TEXT('Input-Instructions'!$B$6,"MMMM YYYY")</f>
        <v>September 2026</v>
      </c>
      <c r="B3" s="566"/>
      <c r="C3" s="566"/>
      <c r="D3" s="566"/>
      <c r="E3" s="566"/>
      <c r="F3" s="566"/>
      <c r="G3" s="566"/>
      <c r="H3" s="442"/>
      <c r="I3" s="451"/>
      <c r="J3" s="451"/>
      <c r="K3" s="451"/>
      <c r="L3" s="451"/>
      <c r="M3" s="451"/>
    </row>
    <row r="4" spans="1:27" x14ac:dyDescent="0.35">
      <c r="A4" s="421"/>
      <c r="B4" s="421"/>
      <c r="C4" s="421"/>
      <c r="D4" s="421"/>
      <c r="E4" s="421"/>
      <c r="F4" s="421"/>
      <c r="G4" s="421"/>
    </row>
    <row r="5" spans="1:27" x14ac:dyDescent="0.35">
      <c r="A5" s="421"/>
      <c r="B5" s="421"/>
      <c r="C5" s="421"/>
      <c r="D5" s="421"/>
      <c r="E5" s="421"/>
      <c r="F5" s="421"/>
      <c r="G5" s="421"/>
    </row>
    <row r="6" spans="1:27" hidden="1" x14ac:dyDescent="0.35">
      <c r="A6" s="263" t="s">
        <v>21</v>
      </c>
      <c r="B6" s="464" t="s">
        <v>22</v>
      </c>
      <c r="C6" s="12" t="str">
        <f>IFERROR(IF(B6="","",VLOOKUP(B6,'Mapped COA'!A:G,2,0)),IF(B6="","",VLOOKUP(B6,COA!A:G,2,0)))</f>
        <v>Tenant - Straight Line Rent Receivable (curr)</v>
      </c>
      <c r="E6" s="15"/>
      <c r="F6" s="16"/>
      <c r="G6" s="9"/>
    </row>
    <row r="7" spans="1:27" hidden="1" x14ac:dyDescent="0.35">
      <c r="B7" s="17" t="s">
        <v>23</v>
      </c>
      <c r="C7" s="17" t="s">
        <v>24</v>
      </c>
      <c r="D7" s="18"/>
      <c r="E7" s="17"/>
      <c r="F7" s="19"/>
      <c r="G7" s="9"/>
    </row>
    <row r="8" spans="1:27" hidden="1" x14ac:dyDescent="0.35">
      <c r="B8" s="492"/>
      <c r="C8" s="21"/>
      <c r="D8" s="18"/>
      <c r="E8" s="20"/>
      <c r="F8" s="19"/>
      <c r="G8" s="22"/>
      <c r="H8" s="374" t="s">
        <v>25</v>
      </c>
      <c r="AA8" s="9" t="s">
        <v>1</v>
      </c>
    </row>
    <row r="9" spans="1:27" hidden="1" x14ac:dyDescent="0.35">
      <c r="B9" s="492">
        <v>46048</v>
      </c>
      <c r="C9" s="23"/>
      <c r="D9" s="18"/>
      <c r="E9" s="20"/>
      <c r="F9" s="19"/>
      <c r="G9" s="22"/>
      <c r="H9" s="375" t="s">
        <v>3</v>
      </c>
      <c r="AA9" s="9" t="s">
        <v>3</v>
      </c>
    </row>
    <row r="10" spans="1:27" hidden="1" x14ac:dyDescent="0.35">
      <c r="A10" s="12"/>
      <c r="B10" s="492"/>
      <c r="D10" s="24"/>
      <c r="E10" s="25"/>
      <c r="F10" s="16"/>
      <c r="G10" s="22"/>
    </row>
    <row r="11" spans="1:27" ht="16" hidden="1" thickBot="1" x14ac:dyDescent="0.4">
      <c r="A11" s="12"/>
      <c r="B11" s="492"/>
      <c r="D11" s="24"/>
      <c r="E11" s="25"/>
      <c r="F11" s="16"/>
      <c r="G11" s="22"/>
    </row>
    <row r="12" spans="1:27" ht="16.5" hidden="1" customHeight="1" thickBot="1" x14ac:dyDescent="0.4">
      <c r="A12" s="562"/>
      <c r="B12" s="562"/>
      <c r="C12" s="562"/>
      <c r="D12" s="562"/>
      <c r="E12" s="562"/>
      <c r="F12" s="562"/>
      <c r="G12" s="26">
        <f>SUM(G7:G11)</f>
        <v>0</v>
      </c>
    </row>
    <row r="13" spans="1:27" x14ac:dyDescent="0.35">
      <c r="A13" s="263" t="s">
        <v>21</v>
      </c>
      <c r="B13" s="419" t="s">
        <v>26</v>
      </c>
      <c r="C13" s="12" t="str">
        <f>IFERROR(IF(B13="","",VLOOKUP(B13,'Mapped COA'!A:G,2,0)),IF(B13="","",VLOOKUP(B13,COA!A:G,2,0)))</f>
        <v>Tenant - Unbilled Receivable (curr)</v>
      </c>
      <c r="E13" s="15"/>
      <c r="F13" s="16"/>
      <c r="G13" s="9"/>
    </row>
    <row r="14" spans="1:27" x14ac:dyDescent="0.35">
      <c r="B14" s="17" t="s">
        <v>27</v>
      </c>
      <c r="C14" s="17" t="s">
        <v>28</v>
      </c>
      <c r="D14" s="18"/>
      <c r="E14" s="19"/>
      <c r="F14" s="19"/>
      <c r="G14" s="28"/>
    </row>
    <row r="15" spans="1:27" x14ac:dyDescent="0.35">
      <c r="B15" s="492"/>
      <c r="C15" s="23"/>
      <c r="D15" s="18"/>
      <c r="E15" s="19"/>
      <c r="F15" s="19"/>
      <c r="G15" s="28"/>
    </row>
    <row r="16" spans="1:27" ht="31" x14ac:dyDescent="0.35">
      <c r="B16" s="492">
        <v>46266</v>
      </c>
      <c r="C16" s="21" t="s">
        <v>1623</v>
      </c>
      <c r="D16" s="18"/>
      <c r="E16" s="19"/>
      <c r="F16" s="19"/>
      <c r="G16" s="28">
        <v>2490.5</v>
      </c>
    </row>
    <row r="17" spans="1:7" ht="31" x14ac:dyDescent="0.35">
      <c r="B17" s="492">
        <v>46266</v>
      </c>
      <c r="C17" s="23" t="s">
        <v>1624</v>
      </c>
      <c r="D17" s="18"/>
      <c r="E17" s="19"/>
      <c r="F17" s="19"/>
      <c r="G17" s="22">
        <v>31216.55</v>
      </c>
    </row>
    <row r="18" spans="1:7" x14ac:dyDescent="0.35">
      <c r="B18" s="492"/>
      <c r="C18" s="23"/>
      <c r="D18" s="18"/>
      <c r="E18" s="19"/>
      <c r="F18" s="19"/>
      <c r="G18" s="22"/>
    </row>
    <row r="19" spans="1:7" x14ac:dyDescent="0.35">
      <c r="B19" s="492"/>
      <c r="C19" s="23"/>
      <c r="D19" s="18"/>
      <c r="E19" s="19"/>
      <c r="F19" s="19"/>
      <c r="G19" s="22"/>
    </row>
    <row r="20" spans="1:7" x14ac:dyDescent="0.35">
      <c r="B20" s="492"/>
      <c r="C20" s="23"/>
      <c r="D20" s="18"/>
      <c r="E20" s="19"/>
      <c r="F20" s="19"/>
      <c r="G20" s="22"/>
    </row>
    <row r="21" spans="1:7" ht="16" thickBot="1" x14ac:dyDescent="0.4">
      <c r="B21" s="492"/>
      <c r="C21" s="23"/>
      <c r="D21" s="18"/>
      <c r="E21" s="19"/>
      <c r="F21" s="19"/>
      <c r="G21" s="22"/>
    </row>
    <row r="22" spans="1:7" ht="16" thickBot="1" x14ac:dyDescent="0.4">
      <c r="A22" s="562"/>
      <c r="B22" s="562"/>
      <c r="C22" s="562"/>
      <c r="D22" s="562"/>
      <c r="E22" s="562"/>
      <c r="F22" s="562"/>
      <c r="G22" s="26">
        <f>SUM(G14:G21)</f>
        <v>33707.050000000003</v>
      </c>
    </row>
    <row r="23" spans="1:7" x14ac:dyDescent="0.35">
      <c r="A23" s="474" t="s">
        <v>21</v>
      </c>
      <c r="B23" s="472" t="s">
        <v>29</v>
      </c>
      <c r="C23" s="12" t="str">
        <f>IFERROR(IF(B23="","",VLOOKUP(B23,'Mapped COA'!A:G,2,0)),IF(B23="","",VLOOKUP(B23,COA!A:G,2,0)))</f>
        <v>Tenant - Other Operating Revenue Receivable (curr)</v>
      </c>
      <c r="D23" s="116"/>
      <c r="E23" s="116"/>
      <c r="F23" s="116"/>
      <c r="G23" s="320"/>
    </row>
    <row r="24" spans="1:7" x14ac:dyDescent="0.35">
      <c r="A24" s="473"/>
      <c r="B24" s="473" t="s">
        <v>27</v>
      </c>
      <c r="C24" s="473" t="s">
        <v>28</v>
      </c>
      <c r="D24" s="473"/>
      <c r="E24" s="473" t="s">
        <v>30</v>
      </c>
      <c r="F24" s="473"/>
      <c r="G24" s="32"/>
    </row>
    <row r="25" spans="1:7" x14ac:dyDescent="0.35">
      <c r="A25" s="473"/>
      <c r="B25" s="492"/>
      <c r="C25" s="21"/>
      <c r="D25" s="473"/>
      <c r="E25" s="473"/>
      <c r="F25" s="473"/>
      <c r="G25" s="32"/>
    </row>
    <row r="26" spans="1:7" x14ac:dyDescent="0.35">
      <c r="A26" s="473"/>
      <c r="B26" s="492">
        <v>46266</v>
      </c>
      <c r="C26" s="21" t="s">
        <v>1625</v>
      </c>
      <c r="D26" s="473"/>
      <c r="E26" s="473"/>
      <c r="F26" s="473"/>
      <c r="G26" s="730">
        <v>367</v>
      </c>
    </row>
    <row r="27" spans="1:7" x14ac:dyDescent="0.35">
      <c r="A27" s="473"/>
      <c r="B27" s="492">
        <v>46267</v>
      </c>
      <c r="C27" s="21" t="s">
        <v>1723</v>
      </c>
      <c r="D27" s="473"/>
      <c r="E27" s="473"/>
      <c r="F27" s="473"/>
      <c r="G27" s="32">
        <v>272</v>
      </c>
    </row>
    <row r="28" spans="1:7" x14ac:dyDescent="0.35">
      <c r="A28" s="473"/>
      <c r="B28" s="492">
        <v>46268</v>
      </c>
      <c r="C28" s="21" t="s">
        <v>1625</v>
      </c>
      <c r="D28" s="473"/>
      <c r="E28" s="473"/>
      <c r="F28" s="473"/>
      <c r="G28" s="32">
        <v>367</v>
      </c>
    </row>
    <row r="29" spans="1:7" x14ac:dyDescent="0.35">
      <c r="A29" s="473"/>
      <c r="B29" s="492">
        <v>46269</v>
      </c>
      <c r="C29" s="21" t="s">
        <v>1722</v>
      </c>
      <c r="D29" s="473"/>
      <c r="E29" s="473"/>
      <c r="F29" s="473"/>
      <c r="G29" s="32">
        <v>272</v>
      </c>
    </row>
    <row r="30" spans="1:7" x14ac:dyDescent="0.35">
      <c r="A30" s="473"/>
      <c r="B30" s="492"/>
      <c r="C30" s="21"/>
      <c r="D30" s="473"/>
      <c r="E30" s="473"/>
      <c r="F30" s="473"/>
      <c r="G30" s="32"/>
    </row>
    <row r="31" spans="1:7" x14ac:dyDescent="0.35">
      <c r="A31" s="473"/>
      <c r="B31" s="492"/>
      <c r="C31" s="21"/>
      <c r="D31" s="473"/>
      <c r="E31" s="473"/>
      <c r="F31" s="473"/>
      <c r="G31" s="32"/>
    </row>
    <row r="32" spans="1:7" x14ac:dyDescent="0.35">
      <c r="A32" s="473"/>
      <c r="B32" s="492"/>
      <c r="C32" s="535"/>
      <c r="D32" s="473"/>
      <c r="E32" s="473"/>
      <c r="F32" s="473"/>
      <c r="G32" s="32"/>
    </row>
    <row r="33" spans="1:7" ht="15.75" customHeight="1" thickBot="1" x14ac:dyDescent="0.4">
      <c r="A33" s="473"/>
      <c r="B33" s="492"/>
      <c r="C33" s="16"/>
      <c r="D33" s="473"/>
      <c r="E33" s="473"/>
      <c r="F33" s="473"/>
      <c r="G33" s="138"/>
    </row>
    <row r="34" spans="1:7" ht="16" thickBot="1" x14ac:dyDescent="0.4">
      <c r="A34" s="127"/>
      <c r="B34" s="477"/>
      <c r="C34" s="127"/>
      <c r="D34" s="127"/>
      <c r="E34" s="127"/>
      <c r="F34" s="127"/>
      <c r="G34" s="26">
        <f>SUM(G24:G33)</f>
        <v>1278</v>
      </c>
    </row>
    <row r="35" spans="1:7" hidden="1" x14ac:dyDescent="0.35">
      <c r="A35" s="263" t="s">
        <v>21</v>
      </c>
      <c r="B35" s="464" t="s">
        <v>31</v>
      </c>
      <c r="C35" s="12" t="str">
        <f>IFERROR(IF(B35="","",VLOOKUP(B35,'Mapped COA'!A:G,2,0)),IF(B35="","",VLOOKUP(B35,COA!A:G,2,0)))</f>
        <v>Property - Buyer / Seller Receivable (curr)</v>
      </c>
      <c r="E35" s="15"/>
      <c r="F35" s="16"/>
      <c r="G35" s="9"/>
    </row>
    <row r="36" spans="1:7" hidden="1" x14ac:dyDescent="0.35">
      <c r="B36" s="17" t="s">
        <v>27</v>
      </c>
      <c r="C36" s="17" t="s">
        <v>28</v>
      </c>
      <c r="D36" s="18"/>
      <c r="E36" s="17" t="s">
        <v>30</v>
      </c>
      <c r="F36" s="19"/>
      <c r="G36" s="28"/>
    </row>
    <row r="37" spans="1:7" hidden="1" x14ac:dyDescent="0.35">
      <c r="B37" s="492"/>
      <c r="C37" s="21"/>
      <c r="D37" s="29"/>
      <c r="E37" s="20"/>
      <c r="F37" s="20"/>
      <c r="G37" s="22"/>
    </row>
    <row r="38" spans="1:7" hidden="1" x14ac:dyDescent="0.35">
      <c r="B38" s="492">
        <v>46048</v>
      </c>
      <c r="C38" s="21"/>
      <c r="D38" s="29"/>
      <c r="E38" s="20"/>
      <c r="F38" s="20"/>
      <c r="G38" s="22"/>
    </row>
    <row r="39" spans="1:7" hidden="1" x14ac:dyDescent="0.35">
      <c r="B39" s="492"/>
      <c r="C39" s="21"/>
      <c r="D39" s="29"/>
      <c r="E39" s="20"/>
      <c r="F39" s="20"/>
      <c r="G39" s="22"/>
    </row>
    <row r="40" spans="1:7" ht="16" hidden="1" thickBot="1" x14ac:dyDescent="0.4">
      <c r="A40" s="562" t="s">
        <v>32</v>
      </c>
      <c r="B40" s="562"/>
      <c r="C40" s="562"/>
      <c r="D40" s="562"/>
      <c r="E40" s="562"/>
      <c r="F40" s="562"/>
      <c r="G40" s="26">
        <f>SUM(G36:G39)</f>
        <v>0</v>
      </c>
    </row>
    <row r="41" spans="1:7" x14ac:dyDescent="0.35">
      <c r="A41" s="263" t="s">
        <v>21</v>
      </c>
      <c r="B41" s="464" t="s">
        <v>33</v>
      </c>
      <c r="C41" s="12" t="str">
        <f>IFERROR(IF(B41="","",VLOOKUP(B41,'Mapped COA'!A:G,2,0)),IF(B41="","",VLOOKUP(B41,COA!A:G,2,0)))</f>
        <v>Property - Petty Cash Receivable (curr)</v>
      </c>
      <c r="E41" s="15"/>
      <c r="F41" s="16"/>
      <c r="G41" s="9"/>
    </row>
    <row r="42" spans="1:7" x14ac:dyDescent="0.35">
      <c r="B42" s="17" t="s">
        <v>27</v>
      </c>
      <c r="C42" s="17" t="s">
        <v>28</v>
      </c>
      <c r="D42" s="18"/>
      <c r="E42" s="17" t="s">
        <v>30</v>
      </c>
      <c r="F42" s="19"/>
      <c r="G42" s="28"/>
    </row>
    <row r="43" spans="1:7" x14ac:dyDescent="0.35">
      <c r="A43" s="30"/>
      <c r="B43" s="492"/>
      <c r="C43" s="21"/>
      <c r="D43" s="29"/>
      <c r="E43" s="20"/>
      <c r="F43" s="20"/>
      <c r="G43" s="22"/>
    </row>
    <row r="44" spans="1:7" x14ac:dyDescent="0.35">
      <c r="A44" s="30"/>
      <c r="B44" s="492">
        <v>44378</v>
      </c>
      <c r="C44" s="21" t="s">
        <v>34</v>
      </c>
      <c r="D44" s="29"/>
      <c r="E44" s="20"/>
      <c r="F44" s="20"/>
      <c r="G44" s="22">
        <v>2000</v>
      </c>
    </row>
    <row r="45" spans="1:7" ht="16" thickBot="1" x14ac:dyDescent="0.4">
      <c r="A45" s="30"/>
      <c r="B45" s="492"/>
      <c r="C45" s="33"/>
      <c r="D45" s="36"/>
      <c r="E45" s="38"/>
      <c r="F45" s="37"/>
      <c r="G45" s="22"/>
    </row>
    <row r="46" spans="1:7" ht="16" thickBot="1" x14ac:dyDescent="0.4">
      <c r="A46" s="562" t="s">
        <v>32</v>
      </c>
      <c r="B46" s="562"/>
      <c r="C46" s="562"/>
      <c r="D46" s="562"/>
      <c r="E46" s="562"/>
      <c r="F46" s="562"/>
      <c r="G46" s="26">
        <f>SUM(G42:G45)</f>
        <v>2000</v>
      </c>
    </row>
    <row r="47" spans="1:7" hidden="1" x14ac:dyDescent="0.35">
      <c r="A47" s="263" t="s">
        <v>21</v>
      </c>
      <c r="B47" s="419" t="s">
        <v>35</v>
      </c>
      <c r="C47" s="12" t="str">
        <f>IFERROR(IF(B47="","",VLOOKUP(B47,'Mapped COA'!A:G,2,0)),IF(B47="","",VLOOKUP(B47,COA!A:G,2,0)))</f>
        <v>Property - Insurance Premium Receivable (curr)</v>
      </c>
      <c r="E47" s="15"/>
      <c r="F47" s="16"/>
      <c r="G47" s="9"/>
    </row>
    <row r="48" spans="1:7" hidden="1" x14ac:dyDescent="0.35">
      <c r="B48" s="17" t="s">
        <v>27</v>
      </c>
      <c r="C48" s="17" t="s">
        <v>28</v>
      </c>
      <c r="D48" s="18"/>
      <c r="E48" s="17"/>
      <c r="F48" s="19"/>
      <c r="G48" s="9"/>
    </row>
    <row r="49" spans="1:7" hidden="1" x14ac:dyDescent="0.35">
      <c r="A49" s="30"/>
      <c r="B49" s="492"/>
      <c r="C49" s="21"/>
      <c r="D49" s="29"/>
      <c r="E49" s="20"/>
      <c r="F49" s="20"/>
      <c r="G49" s="22"/>
    </row>
    <row r="50" spans="1:7" hidden="1" x14ac:dyDescent="0.35">
      <c r="A50" s="30"/>
      <c r="B50" s="492">
        <v>46048</v>
      </c>
      <c r="C50" s="21"/>
      <c r="D50" s="29"/>
      <c r="E50" s="20"/>
      <c r="F50" s="20"/>
      <c r="G50" s="22"/>
    </row>
    <row r="51" spans="1:7" ht="16" hidden="1" thickBot="1" x14ac:dyDescent="0.4">
      <c r="A51" s="30"/>
      <c r="B51" s="492"/>
      <c r="C51" s="33"/>
      <c r="D51" s="29"/>
      <c r="E51" s="39"/>
      <c r="F51" s="20"/>
      <c r="G51" s="22"/>
    </row>
    <row r="52" spans="1:7" ht="16" hidden="1" thickBot="1" x14ac:dyDescent="0.4">
      <c r="A52" s="562"/>
      <c r="B52" s="562"/>
      <c r="C52" s="562"/>
      <c r="D52" s="562"/>
      <c r="E52" s="562"/>
      <c r="F52" s="562"/>
      <c r="G52" s="26">
        <f>SUM(G48:G51)</f>
        <v>0</v>
      </c>
    </row>
    <row r="53" spans="1:7" hidden="1" x14ac:dyDescent="0.35">
      <c r="A53" s="263" t="s">
        <v>21</v>
      </c>
      <c r="B53" s="419" t="s">
        <v>36</v>
      </c>
      <c r="C53" s="12" t="str">
        <f>IFERROR(IF(B53="","",VLOOKUP(B53,'Mapped COA'!A:G,2,0)),IF(B53="","",VLOOKUP(B53,COA!A:G,2,0)))</f>
        <v>Property - Operating Receivable 1  (curr)</v>
      </c>
      <c r="D53" s="40"/>
      <c r="E53" s="15"/>
      <c r="F53" s="16"/>
      <c r="G53" s="31"/>
    </row>
    <row r="54" spans="1:7" hidden="1" x14ac:dyDescent="0.35">
      <c r="A54" s="12"/>
      <c r="B54" s="17" t="s">
        <v>27</v>
      </c>
      <c r="C54" s="17" t="s">
        <v>28</v>
      </c>
      <c r="D54" s="18"/>
      <c r="E54" s="17"/>
      <c r="F54" s="16"/>
      <c r="G54" s="28"/>
    </row>
    <row r="55" spans="1:7" hidden="1" x14ac:dyDescent="0.35">
      <c r="A55" s="12"/>
      <c r="B55" s="17"/>
      <c r="C55" s="21"/>
      <c r="D55" s="29"/>
      <c r="E55" s="20"/>
      <c r="F55" s="37"/>
      <c r="G55" s="22"/>
    </row>
    <row r="56" spans="1:7" hidden="1" x14ac:dyDescent="0.35">
      <c r="A56" s="41"/>
      <c r="B56" s="492"/>
      <c r="C56" s="21"/>
      <c r="D56" s="29"/>
      <c r="E56" s="20"/>
      <c r="F56" s="37"/>
      <c r="G56" s="22"/>
    </row>
    <row r="57" spans="1:7" hidden="1" x14ac:dyDescent="0.35">
      <c r="A57" s="41"/>
      <c r="B57" s="492"/>
      <c r="C57" s="21"/>
      <c r="D57" s="29"/>
      <c r="E57" s="20"/>
      <c r="F57" s="37"/>
      <c r="G57" s="22"/>
    </row>
    <row r="58" spans="1:7" hidden="1" x14ac:dyDescent="0.35">
      <c r="A58" s="41"/>
      <c r="B58" s="492"/>
      <c r="C58" s="21"/>
      <c r="D58" s="29"/>
      <c r="E58" s="20"/>
      <c r="F58" s="37"/>
      <c r="G58" s="22"/>
    </row>
    <row r="59" spans="1:7" hidden="1" x14ac:dyDescent="0.35">
      <c r="A59" s="41"/>
      <c r="B59" s="492"/>
      <c r="C59" s="21"/>
      <c r="D59" s="29"/>
      <c r="E59" s="20"/>
      <c r="F59" s="37"/>
      <c r="G59" s="22"/>
    </row>
    <row r="60" spans="1:7" ht="16" hidden="1" thickBot="1" x14ac:dyDescent="0.4">
      <c r="A60" s="41"/>
      <c r="B60" s="492"/>
      <c r="C60" s="21"/>
      <c r="D60" s="29"/>
      <c r="E60" s="20"/>
      <c r="F60" s="37"/>
      <c r="G60" s="22"/>
    </row>
    <row r="61" spans="1:7" ht="16" hidden="1" thickBot="1" x14ac:dyDescent="0.4">
      <c r="A61" s="562"/>
      <c r="B61" s="562"/>
      <c r="C61" s="562"/>
      <c r="D61" s="562"/>
      <c r="E61" s="562"/>
      <c r="F61" s="562"/>
      <c r="G61" s="26">
        <f>SUM(G54:G60)</f>
        <v>0</v>
      </c>
    </row>
    <row r="62" spans="1:7" hidden="1" x14ac:dyDescent="0.35">
      <c r="A62" s="263" t="s">
        <v>21</v>
      </c>
      <c r="B62" s="464" t="s">
        <v>37</v>
      </c>
      <c r="C62" s="12" t="str">
        <f>IFERROR(IF(B62="","",VLOOKUP(B62,'Mapped COA'!A:G,2,0)),IF(B62="","",VLOOKUP(B62,COA!A:G,2,0)))</f>
        <v>Property - Operating Receivable 2 (curr)</v>
      </c>
      <c r="E62" s="15"/>
      <c r="F62" s="16"/>
      <c r="G62" s="28"/>
    </row>
    <row r="63" spans="1:7" hidden="1" x14ac:dyDescent="0.35">
      <c r="A63" s="12"/>
      <c r="B63" s="17" t="s">
        <v>27</v>
      </c>
      <c r="C63" s="17" t="s">
        <v>28</v>
      </c>
      <c r="D63" s="18"/>
      <c r="E63" s="17"/>
      <c r="F63" s="16"/>
      <c r="G63" s="28"/>
    </row>
    <row r="64" spans="1:7" hidden="1" x14ac:dyDescent="0.35">
      <c r="A64" s="41"/>
      <c r="B64" s="492"/>
      <c r="C64" s="21"/>
      <c r="D64" s="29"/>
      <c r="E64" s="20"/>
      <c r="F64" s="37"/>
      <c r="G64" s="22"/>
    </row>
    <row r="65" spans="1:7" hidden="1" x14ac:dyDescent="0.35">
      <c r="A65" s="41"/>
      <c r="B65" s="492">
        <v>46048</v>
      </c>
      <c r="C65" s="21"/>
      <c r="D65" s="29"/>
      <c r="E65" s="20"/>
      <c r="F65" s="37"/>
      <c r="G65" s="22"/>
    </row>
    <row r="66" spans="1:7" ht="16" hidden="1" thickBot="1" x14ac:dyDescent="0.4">
      <c r="A66" s="41"/>
      <c r="B66" s="492"/>
      <c r="C66" s="42"/>
      <c r="D66" s="43"/>
      <c r="E66" s="44"/>
      <c r="F66" s="37"/>
      <c r="G66" s="22"/>
    </row>
    <row r="67" spans="1:7" ht="16" hidden="1" thickBot="1" x14ac:dyDescent="0.4">
      <c r="A67" s="562"/>
      <c r="B67" s="562"/>
      <c r="C67" s="562"/>
      <c r="D67" s="562"/>
      <c r="E67" s="562"/>
      <c r="F67" s="562"/>
      <c r="G67" s="26">
        <f>SUM(G63:G66)</f>
        <v>0</v>
      </c>
    </row>
    <row r="68" spans="1:7" hidden="1" x14ac:dyDescent="0.35">
      <c r="A68" s="263" t="s">
        <v>21</v>
      </c>
      <c r="B68" s="419" t="s">
        <v>38</v>
      </c>
      <c r="C68" s="12" t="str">
        <f>IFERROR(IF(B68="","",VLOOKUP(B68,'Mapped COA'!A:G,2,0)),IF(B68="","",VLOOKUP(B68,COA!A:G,2,0)))</f>
        <v>Allowances for Doubtful Deferred Rent</v>
      </c>
      <c r="D68" s="40"/>
      <c r="E68" s="15"/>
      <c r="F68" s="16"/>
      <c r="G68" s="28"/>
    </row>
    <row r="69" spans="1:7" hidden="1" x14ac:dyDescent="0.35">
      <c r="B69" s="17" t="s">
        <v>27</v>
      </c>
      <c r="C69" s="17" t="s">
        <v>28</v>
      </c>
      <c r="D69" s="18"/>
      <c r="E69" s="17"/>
      <c r="F69" s="19"/>
      <c r="G69" s="28"/>
    </row>
    <row r="70" spans="1:7" hidden="1" x14ac:dyDescent="0.35">
      <c r="A70" s="30"/>
      <c r="B70" s="492"/>
      <c r="C70" s="21"/>
      <c r="D70" s="29"/>
      <c r="E70" s="20"/>
      <c r="F70" s="20"/>
      <c r="G70" s="22"/>
    </row>
    <row r="71" spans="1:7" hidden="1" x14ac:dyDescent="0.35">
      <c r="A71" s="30"/>
      <c r="B71" s="492">
        <v>46048</v>
      </c>
      <c r="C71" s="21"/>
      <c r="D71" s="29"/>
      <c r="E71" s="20"/>
      <c r="F71" s="20"/>
      <c r="G71" s="22"/>
    </row>
    <row r="72" spans="1:7" ht="16" hidden="1" thickBot="1" x14ac:dyDescent="0.4">
      <c r="A72" s="30"/>
      <c r="B72" s="492"/>
      <c r="C72" s="33"/>
      <c r="D72" s="36"/>
      <c r="E72" s="45"/>
      <c r="F72" s="37"/>
      <c r="G72" s="22"/>
    </row>
    <row r="73" spans="1:7" ht="16" hidden="1" thickBot="1" x14ac:dyDescent="0.4">
      <c r="A73" s="562"/>
      <c r="B73" s="562"/>
      <c r="C73" s="562"/>
      <c r="D73" s="562"/>
      <c r="E73" s="562"/>
      <c r="F73" s="562"/>
      <c r="G73" s="26">
        <f>SUM(G69:G72)</f>
        <v>0</v>
      </c>
    </row>
    <row r="74" spans="1:7" x14ac:dyDescent="0.35">
      <c r="A74" s="263" t="s">
        <v>21</v>
      </c>
      <c r="B74" s="419" t="s">
        <v>39</v>
      </c>
      <c r="C74" s="12" t="str">
        <f>IFERROR(IF(B74="","",VLOOKUP(B74,'Mapped COA'!A:G,2,0)),IF(B74="","",VLOOKUP(B74,COA!A:G,2,0)))</f>
        <v>Allowances for Doubtful Trade Receivables (curr)</v>
      </c>
      <c r="E74" s="15"/>
      <c r="F74" s="16"/>
      <c r="G74" s="28"/>
    </row>
    <row r="75" spans="1:7" x14ac:dyDescent="0.35">
      <c r="A75" s="12"/>
      <c r="B75" s="17" t="s">
        <v>27</v>
      </c>
      <c r="C75" s="17" t="s">
        <v>28</v>
      </c>
      <c r="D75" s="18"/>
      <c r="E75" s="19"/>
      <c r="F75" s="16"/>
      <c r="G75" s="28"/>
    </row>
    <row r="76" spans="1:7" x14ac:dyDescent="0.35">
      <c r="A76" s="41"/>
      <c r="B76" s="492">
        <v>46266</v>
      </c>
      <c r="C76" s="21" t="s">
        <v>1724</v>
      </c>
      <c r="D76" s="29"/>
      <c r="E76" s="20"/>
      <c r="F76" s="37"/>
      <c r="G76" s="22">
        <v>-792.93</v>
      </c>
    </row>
    <row r="77" spans="1:7" x14ac:dyDescent="0.35">
      <c r="A77" s="41"/>
      <c r="B77" s="492"/>
      <c r="C77" s="21"/>
      <c r="D77" s="29"/>
      <c r="E77" s="20"/>
      <c r="F77" s="37"/>
      <c r="G77" s="22"/>
    </row>
    <row r="78" spans="1:7" ht="16" thickBot="1" x14ac:dyDescent="0.4">
      <c r="A78" s="41"/>
      <c r="B78" s="492"/>
      <c r="C78" s="33"/>
      <c r="D78" s="43"/>
      <c r="E78" s="44"/>
      <c r="F78" s="37"/>
      <c r="G78" s="22"/>
    </row>
    <row r="79" spans="1:7" ht="16" thickBot="1" x14ac:dyDescent="0.4">
      <c r="A79" s="562"/>
      <c r="B79" s="562"/>
      <c r="C79" s="562"/>
      <c r="D79" s="562"/>
      <c r="E79" s="562"/>
      <c r="F79" s="562"/>
      <c r="G79" s="26">
        <f>SUM(G75:G78)</f>
        <v>-792.93</v>
      </c>
    </row>
    <row r="80" spans="1:7" hidden="1" x14ac:dyDescent="0.35">
      <c r="A80" s="263" t="s">
        <v>21</v>
      </c>
      <c r="B80" s="419" t="s">
        <v>40</v>
      </c>
      <c r="C80" s="12" t="str">
        <f>IFERROR(IF(B80="","",VLOOKUP(B80,'Mapped COA'!A:G,2,0)),IF(B80="","",VLOOKUP(B80,COA!A:G,2,0)))</f>
        <v>Other Accounts Receivable 2</v>
      </c>
      <c r="E80" s="15"/>
      <c r="F80" s="16"/>
      <c r="G80" s="28"/>
    </row>
    <row r="81" spans="1:7" hidden="1" x14ac:dyDescent="0.35">
      <c r="A81" s="12"/>
      <c r="B81" s="17" t="s">
        <v>27</v>
      </c>
      <c r="C81" s="17" t="s">
        <v>28</v>
      </c>
      <c r="D81" s="18"/>
      <c r="E81" s="19"/>
      <c r="F81" s="16"/>
      <c r="G81" s="28"/>
    </row>
    <row r="82" spans="1:7" hidden="1" x14ac:dyDescent="0.35">
      <c r="A82" s="12"/>
      <c r="B82" s="17"/>
      <c r="C82" s="17"/>
      <c r="D82" s="18"/>
      <c r="E82" s="19"/>
      <c r="F82" s="16"/>
      <c r="G82" s="28"/>
    </row>
    <row r="83" spans="1:7" hidden="1" x14ac:dyDescent="0.35">
      <c r="A83" s="12"/>
      <c r="B83" s="492">
        <v>46048</v>
      </c>
      <c r="C83" s="21"/>
      <c r="D83" s="29"/>
      <c r="E83" s="20"/>
      <c r="F83" s="37"/>
      <c r="G83" s="22"/>
    </row>
    <row r="84" spans="1:7" ht="16" hidden="1" thickBot="1" x14ac:dyDescent="0.4">
      <c r="A84" s="12"/>
      <c r="B84" s="492"/>
      <c r="C84" s="33"/>
      <c r="D84" s="43"/>
      <c r="E84" s="44"/>
      <c r="F84" s="37"/>
      <c r="G84" s="22"/>
    </row>
    <row r="85" spans="1:7" ht="16" hidden="1" thickBot="1" x14ac:dyDescent="0.4">
      <c r="A85" s="562" t="s">
        <v>32</v>
      </c>
      <c r="B85" s="562"/>
      <c r="C85" s="562"/>
      <c r="D85" s="562"/>
      <c r="E85" s="562"/>
      <c r="F85" s="562"/>
      <c r="G85" s="26">
        <f>SUM(G81:G84)</f>
        <v>0</v>
      </c>
    </row>
    <row r="86" spans="1:7" x14ac:dyDescent="0.35">
      <c r="A86" s="263" t="s">
        <v>21</v>
      </c>
      <c r="B86" s="419" t="s">
        <v>41</v>
      </c>
      <c r="C86" s="12" t="str">
        <f>IFERROR(IF(B86="","",VLOOKUP(B86,'Mapped COA'!A:G,2,0)),IF(B86="","",VLOOKUP(B86,COA!A:G,2,0)))</f>
        <v>Utilities Deposits</v>
      </c>
      <c r="E86" s="15"/>
      <c r="F86" s="16"/>
      <c r="G86" s="9"/>
    </row>
    <row r="87" spans="1:7" x14ac:dyDescent="0.35">
      <c r="A87" s="27" t="s">
        <v>42</v>
      </c>
      <c r="B87" s="12"/>
      <c r="E87" s="15"/>
      <c r="F87" s="16"/>
      <c r="G87" s="9"/>
    </row>
    <row r="88" spans="1:7" x14ac:dyDescent="0.35">
      <c r="B88" s="17" t="s">
        <v>27</v>
      </c>
      <c r="C88" s="17" t="s">
        <v>28</v>
      </c>
      <c r="D88" s="18"/>
      <c r="E88" s="17"/>
      <c r="F88" s="19"/>
      <c r="G88" s="9"/>
    </row>
    <row r="89" spans="1:7" x14ac:dyDescent="0.35">
      <c r="B89" s="492">
        <v>44378</v>
      </c>
      <c r="C89" s="538" t="s">
        <v>43</v>
      </c>
      <c r="D89" s="18"/>
      <c r="E89" s="17"/>
      <c r="F89" s="19"/>
      <c r="G89" s="28">
        <v>400</v>
      </c>
    </row>
    <row r="90" spans="1:7" x14ac:dyDescent="0.35">
      <c r="B90" s="492">
        <v>44378</v>
      </c>
      <c r="C90" s="538" t="s">
        <v>44</v>
      </c>
      <c r="D90" s="18"/>
      <c r="E90" s="17"/>
      <c r="F90" s="19"/>
      <c r="G90" s="28">
        <v>300</v>
      </c>
    </row>
    <row r="91" spans="1:7" x14ac:dyDescent="0.35">
      <c r="B91" s="492">
        <v>44743</v>
      </c>
      <c r="C91" s="538" t="s">
        <v>45</v>
      </c>
      <c r="D91" s="18"/>
      <c r="E91" s="17"/>
      <c r="F91" s="19"/>
      <c r="G91" s="28">
        <v>288</v>
      </c>
    </row>
    <row r="92" spans="1:7" x14ac:dyDescent="0.35">
      <c r="B92" s="492">
        <v>45078</v>
      </c>
      <c r="C92" s="538" t="s">
        <v>46</v>
      </c>
      <c r="D92" s="18"/>
      <c r="E92" s="17"/>
      <c r="F92" s="19"/>
      <c r="G92" s="28">
        <v>288</v>
      </c>
    </row>
    <row r="93" spans="1:7" x14ac:dyDescent="0.35">
      <c r="B93" s="17"/>
      <c r="C93" s="17"/>
      <c r="D93" s="18"/>
      <c r="E93" s="17"/>
      <c r="F93" s="19"/>
      <c r="G93" s="9"/>
    </row>
    <row r="94" spans="1:7" x14ac:dyDescent="0.35">
      <c r="B94" s="492"/>
      <c r="C94" s="21"/>
      <c r="D94" s="18"/>
      <c r="E94" s="20"/>
      <c r="F94" s="19"/>
      <c r="G94" s="22"/>
    </row>
    <row r="95" spans="1:7" hidden="1" x14ac:dyDescent="0.35">
      <c r="B95" s="492"/>
      <c r="C95" s="21"/>
      <c r="D95" s="18"/>
      <c r="E95" s="20"/>
      <c r="F95" s="19"/>
      <c r="G95" s="22"/>
    </row>
    <row r="96" spans="1:7" hidden="1" x14ac:dyDescent="0.35">
      <c r="B96" s="492"/>
      <c r="C96" s="21"/>
      <c r="D96" s="18"/>
      <c r="E96" s="20"/>
      <c r="F96" s="19"/>
      <c r="G96" s="22"/>
    </row>
    <row r="97" spans="1:7" hidden="1" x14ac:dyDescent="0.35">
      <c r="B97" s="492"/>
      <c r="C97" s="21"/>
      <c r="D97" s="18"/>
      <c r="E97" s="20"/>
      <c r="F97" s="19"/>
      <c r="G97" s="22"/>
    </row>
    <row r="98" spans="1:7" hidden="1" x14ac:dyDescent="0.35">
      <c r="B98" s="492"/>
      <c r="C98" s="23"/>
      <c r="D98" s="18"/>
      <c r="E98" s="20"/>
      <c r="F98" s="19"/>
      <c r="G98" s="22"/>
    </row>
    <row r="99" spans="1:7" hidden="1" x14ac:dyDescent="0.35">
      <c r="A99" s="12"/>
      <c r="B99" s="492"/>
      <c r="D99" s="24"/>
      <c r="E99" s="25"/>
      <c r="F99" s="16"/>
      <c r="G99" s="22"/>
    </row>
    <row r="100" spans="1:7" ht="16" thickBot="1" x14ac:dyDescent="0.4">
      <c r="A100" s="12"/>
      <c r="B100" s="492"/>
      <c r="D100" s="24"/>
      <c r="E100" s="25"/>
      <c r="F100" s="16"/>
      <c r="G100" s="22"/>
    </row>
    <row r="101" spans="1:7" ht="16" thickBot="1" x14ac:dyDescent="0.4">
      <c r="A101" s="562"/>
      <c r="B101" s="562"/>
      <c r="C101" s="562"/>
      <c r="D101" s="562"/>
      <c r="E101" s="562"/>
      <c r="F101" s="562"/>
      <c r="G101" s="26">
        <f>SUM(G88:G100)</f>
        <v>1276</v>
      </c>
    </row>
    <row r="102" spans="1:7" hidden="1" x14ac:dyDescent="0.35">
      <c r="A102" s="263" t="s">
        <v>21</v>
      </c>
      <c r="B102" s="419" t="s">
        <v>47</v>
      </c>
      <c r="C102" s="12" t="str">
        <f>IFERROR(IF(B102="","",VLOOKUP(B102,'Mapped COA'!A:G,2,0)),IF(B102="","",VLOOKUP(B102,COA!A:G,2,0)))</f>
        <v>Other Deposits 1</v>
      </c>
      <c r="E102" s="15"/>
      <c r="F102" s="16"/>
      <c r="G102" s="9"/>
    </row>
    <row r="103" spans="1:7" hidden="1" x14ac:dyDescent="0.35">
      <c r="A103" s="27" t="s">
        <v>42</v>
      </c>
      <c r="B103" s="12"/>
      <c r="E103" s="15"/>
      <c r="F103" s="16"/>
      <c r="G103" s="9"/>
    </row>
    <row r="104" spans="1:7" hidden="1" x14ac:dyDescent="0.35">
      <c r="B104" s="17" t="s">
        <v>27</v>
      </c>
      <c r="C104" s="17" t="s">
        <v>28</v>
      </c>
      <c r="D104" s="18"/>
      <c r="E104" s="19"/>
      <c r="F104" s="19"/>
      <c r="G104" s="28"/>
    </row>
    <row r="105" spans="1:7" hidden="1" x14ac:dyDescent="0.35">
      <c r="B105" s="492"/>
      <c r="C105" s="21"/>
      <c r="D105" s="18"/>
      <c r="E105" s="19"/>
      <c r="F105" s="19"/>
      <c r="G105" s="22"/>
    </row>
    <row r="106" spans="1:7" hidden="1" x14ac:dyDescent="0.35">
      <c r="B106" s="492">
        <v>46048</v>
      </c>
      <c r="C106" s="23"/>
      <c r="D106" s="18"/>
      <c r="E106" s="19"/>
      <c r="F106" s="19"/>
      <c r="G106" s="22"/>
    </row>
    <row r="107" spans="1:7" hidden="1" x14ac:dyDescent="0.35">
      <c r="B107" s="492"/>
      <c r="C107" s="23"/>
      <c r="D107" s="18"/>
      <c r="E107" s="19"/>
      <c r="F107" s="19"/>
      <c r="G107" s="22"/>
    </row>
    <row r="108" spans="1:7" ht="16" hidden="1" thickBot="1" x14ac:dyDescent="0.4">
      <c r="A108" s="562"/>
      <c r="B108" s="562"/>
      <c r="C108" s="562"/>
      <c r="D108" s="562"/>
      <c r="E108" s="562"/>
      <c r="F108" s="562"/>
      <c r="G108" s="26">
        <f>SUM(G104:G107)</f>
        <v>0</v>
      </c>
    </row>
    <row r="109" spans="1:7" hidden="1" x14ac:dyDescent="0.35">
      <c r="A109" s="263" t="s">
        <v>21</v>
      </c>
      <c r="B109" s="419" t="s">
        <v>48</v>
      </c>
      <c r="C109" s="12" t="str">
        <f>IFERROR(IF(B109="","",VLOOKUP(B109,'Mapped COA'!A:G,2,0)),IF(B109="","",VLOOKUP(B109,COA!A:G,2,0)))</f>
        <v>Suspense / Unresolved Postings 2</v>
      </c>
      <c r="E109" s="15"/>
      <c r="F109" s="16"/>
      <c r="G109" s="9"/>
    </row>
    <row r="110" spans="1:7" hidden="1" x14ac:dyDescent="0.35">
      <c r="B110" s="17" t="s">
        <v>27</v>
      </c>
      <c r="C110" s="17" t="s">
        <v>28</v>
      </c>
      <c r="D110" s="18"/>
      <c r="E110" s="17" t="s">
        <v>30</v>
      </c>
      <c r="F110" s="19"/>
      <c r="G110" s="28"/>
    </row>
    <row r="111" spans="1:7" hidden="1" x14ac:dyDescent="0.35">
      <c r="B111" s="492"/>
      <c r="C111" s="21"/>
      <c r="D111" s="29"/>
      <c r="E111" s="20"/>
      <c r="F111" s="20"/>
      <c r="G111" s="22"/>
    </row>
    <row r="112" spans="1:7" hidden="1" x14ac:dyDescent="0.35">
      <c r="B112" s="492">
        <v>46048</v>
      </c>
      <c r="C112" s="21"/>
      <c r="D112" s="29"/>
      <c r="E112" s="20"/>
      <c r="F112" s="20"/>
      <c r="G112" s="22"/>
    </row>
    <row r="113" spans="1:7" hidden="1" x14ac:dyDescent="0.35">
      <c r="B113" s="492"/>
      <c r="C113" s="21"/>
      <c r="D113" s="29"/>
      <c r="E113" s="20"/>
      <c r="F113" s="20"/>
      <c r="G113" s="22"/>
    </row>
    <row r="114" spans="1:7" ht="16" hidden="1" thickBot="1" x14ac:dyDescent="0.4">
      <c r="A114" s="562" t="s">
        <v>32</v>
      </c>
      <c r="B114" s="562"/>
      <c r="C114" s="562"/>
      <c r="D114" s="562"/>
      <c r="E114" s="562"/>
      <c r="F114" s="562"/>
      <c r="G114" s="26">
        <f>SUM(G110:G113)</f>
        <v>0</v>
      </c>
    </row>
    <row r="115" spans="1:7" x14ac:dyDescent="0.35">
      <c r="A115" s="263" t="s">
        <v>21</v>
      </c>
      <c r="B115" s="419" t="s">
        <v>49</v>
      </c>
      <c r="C115" s="12" t="str">
        <f>IFERROR(IF(B115="","",VLOOKUP(B115,'Mapped COA'!A:G,2,0)),IF(B115="","",VLOOKUP(B115,COA!A:G,2,0)))</f>
        <v>Accounts Payable - Property - Buyer / Seller</v>
      </c>
      <c r="E115" s="15"/>
      <c r="F115" s="16"/>
      <c r="G115" s="9"/>
    </row>
    <row r="116" spans="1:7" x14ac:dyDescent="0.35">
      <c r="B116" s="17" t="s">
        <v>27</v>
      </c>
      <c r="C116" s="17" t="s">
        <v>28</v>
      </c>
      <c r="D116" s="18"/>
      <c r="E116" s="17" t="s">
        <v>30</v>
      </c>
      <c r="F116" s="19"/>
      <c r="G116" s="28"/>
    </row>
    <row r="117" spans="1:7" x14ac:dyDescent="0.35">
      <c r="A117" s="30"/>
      <c r="B117" s="492"/>
      <c r="C117" s="21" t="s">
        <v>50</v>
      </c>
      <c r="D117" s="29"/>
      <c r="E117" s="20"/>
      <c r="F117" s="20"/>
      <c r="G117" s="22">
        <v>60445.53</v>
      </c>
    </row>
    <row r="118" spans="1:7" x14ac:dyDescent="0.35">
      <c r="A118" s="30"/>
      <c r="B118" s="492"/>
      <c r="C118" s="21"/>
      <c r="D118" s="29"/>
      <c r="E118" s="20"/>
      <c r="F118" s="20"/>
      <c r="G118" s="22"/>
    </row>
    <row r="119" spans="1:7" ht="16" thickBot="1" x14ac:dyDescent="0.4">
      <c r="A119" s="30"/>
      <c r="B119" s="492"/>
      <c r="C119" s="33"/>
      <c r="D119" s="36"/>
      <c r="E119" s="38"/>
      <c r="F119" s="37"/>
      <c r="G119" s="22"/>
    </row>
    <row r="120" spans="1:7" ht="16" thickBot="1" x14ac:dyDescent="0.4">
      <c r="A120" s="562" t="s">
        <v>32</v>
      </c>
      <c r="B120" s="562"/>
      <c r="C120" s="562"/>
      <c r="D120" s="562"/>
      <c r="E120" s="562"/>
      <c r="F120" s="562"/>
      <c r="G120" s="26">
        <f>SUM(G116:G119)</f>
        <v>60445.53</v>
      </c>
    </row>
    <row r="121" spans="1:7" x14ac:dyDescent="0.35">
      <c r="A121" s="263" t="s">
        <v>21</v>
      </c>
      <c r="B121" s="419" t="s">
        <v>51</v>
      </c>
      <c r="C121" s="12" t="str">
        <f>IFERROR(IF(B121="","",VLOOKUP(B121,'Mapped COA'!A:G,2,0)),IF(B121="","",VLOOKUP(B121,COA!A:G,2,0)))</f>
        <v>Property - Management Fee Payable</v>
      </c>
      <c r="E121" s="15"/>
      <c r="F121" s="16"/>
      <c r="G121" s="9"/>
    </row>
    <row r="122" spans="1:7" x14ac:dyDescent="0.35">
      <c r="B122" s="17" t="s">
        <v>27</v>
      </c>
      <c r="C122" s="17" t="s">
        <v>28</v>
      </c>
      <c r="D122" s="18"/>
      <c r="E122" s="17"/>
      <c r="F122" s="19"/>
      <c r="G122" s="9"/>
    </row>
    <row r="123" spans="1:7" x14ac:dyDescent="0.35">
      <c r="A123" s="30"/>
      <c r="B123" s="492"/>
      <c r="C123" s="21"/>
      <c r="D123" s="29"/>
      <c r="E123" s="20"/>
      <c r="F123" s="20"/>
      <c r="G123" s="22"/>
    </row>
    <row r="124" spans="1:7" x14ac:dyDescent="0.35">
      <c r="A124" s="30"/>
      <c r="B124" s="492">
        <v>46266</v>
      </c>
      <c r="C124" s="21" t="s">
        <v>1626</v>
      </c>
      <c r="D124" s="29"/>
      <c r="E124" s="20"/>
      <c r="F124" s="20"/>
      <c r="G124" s="22">
        <v>-2815.73</v>
      </c>
    </row>
    <row r="125" spans="1:7" x14ac:dyDescent="0.35">
      <c r="A125" s="30"/>
      <c r="B125" s="492">
        <v>46266</v>
      </c>
      <c r="C125" s="21" t="s">
        <v>1627</v>
      </c>
      <c r="D125" s="29"/>
      <c r="E125" s="20"/>
      <c r="F125" s="20"/>
      <c r="G125" s="22">
        <v>-2815.73</v>
      </c>
    </row>
    <row r="126" spans="1:7" x14ac:dyDescent="0.35">
      <c r="A126" s="30"/>
      <c r="B126" s="492">
        <v>46266</v>
      </c>
      <c r="C126" s="21" t="s">
        <v>1725</v>
      </c>
      <c r="D126" s="29"/>
      <c r="E126" s="20"/>
      <c r="F126" s="20"/>
      <c r="G126" s="22">
        <v>-12455.98</v>
      </c>
    </row>
    <row r="127" spans="1:7" x14ac:dyDescent="0.35">
      <c r="A127" s="30"/>
      <c r="B127" s="492"/>
      <c r="C127" s="21"/>
      <c r="D127" s="29"/>
      <c r="E127" s="20"/>
      <c r="F127" s="20"/>
      <c r="G127" s="22"/>
    </row>
    <row r="128" spans="1:7" x14ac:dyDescent="0.35">
      <c r="A128" s="30"/>
      <c r="B128" s="492"/>
      <c r="C128" s="21"/>
      <c r="D128" s="29"/>
      <c r="E128" s="20"/>
      <c r="F128" s="20"/>
      <c r="G128" s="22"/>
    </row>
    <row r="129" spans="1:9" ht="16" thickBot="1" x14ac:dyDescent="0.4">
      <c r="A129" s="30"/>
      <c r="B129" s="492"/>
      <c r="C129" s="33"/>
      <c r="D129" s="29"/>
      <c r="E129" s="39"/>
      <c r="F129" s="20"/>
      <c r="G129" s="22"/>
    </row>
    <row r="130" spans="1:9" ht="16" thickBot="1" x14ac:dyDescent="0.4">
      <c r="A130" s="562"/>
      <c r="B130" s="562"/>
      <c r="C130" s="562"/>
      <c r="D130" s="562"/>
      <c r="E130" s="562"/>
      <c r="F130" s="562"/>
      <c r="G130" s="26">
        <f>SUM(G122:G129)</f>
        <v>-18087.439999999999</v>
      </c>
    </row>
    <row r="131" spans="1:9" x14ac:dyDescent="0.35">
      <c r="A131" s="263" t="s">
        <v>21</v>
      </c>
      <c r="B131" s="419" t="s">
        <v>52</v>
      </c>
      <c r="C131" s="12" t="str">
        <f>IFERROR(IF(B131="","",VLOOKUP(B131,'Mapped COA'!A:G,2,0)),IF(B131="","",VLOOKUP(B131,COA!A:G,2,0)))</f>
        <v>Property - Tenant Refund Payable</v>
      </c>
      <c r="D131" s="40"/>
      <c r="E131" s="15"/>
      <c r="F131" s="16"/>
      <c r="G131" s="31"/>
    </row>
    <row r="132" spans="1:9" x14ac:dyDescent="0.35">
      <c r="A132" s="12"/>
      <c r="B132" s="17" t="s">
        <v>27</v>
      </c>
      <c r="C132" s="17" t="s">
        <v>28</v>
      </c>
      <c r="D132" s="18"/>
      <c r="E132" s="17"/>
      <c r="F132" s="16"/>
      <c r="G132" s="28"/>
    </row>
    <row r="133" spans="1:9" x14ac:dyDescent="0.35">
      <c r="A133" s="41"/>
      <c r="B133" s="492">
        <v>46266</v>
      </c>
      <c r="C133" s="21" t="s">
        <v>53</v>
      </c>
      <c r="D133" s="29"/>
      <c r="E133" s="20"/>
      <c r="F133" s="37"/>
      <c r="G133" s="22">
        <v>-1017.36</v>
      </c>
    </row>
    <row r="134" spans="1:9" x14ac:dyDescent="0.35">
      <c r="A134" s="41"/>
      <c r="B134" s="492"/>
      <c r="C134" s="21"/>
      <c r="D134" s="29"/>
      <c r="E134" s="20"/>
      <c r="F134" s="37"/>
      <c r="G134" s="22"/>
      <c r="I134" s="47"/>
    </row>
    <row r="135" spans="1:9" ht="16" thickBot="1" x14ac:dyDescent="0.4">
      <c r="A135" s="41"/>
      <c r="B135" s="492"/>
      <c r="C135" s="42"/>
      <c r="D135" s="43"/>
      <c r="E135" s="44"/>
      <c r="F135" s="37"/>
      <c r="G135" s="22"/>
    </row>
    <row r="136" spans="1:9" ht="16" thickBot="1" x14ac:dyDescent="0.4">
      <c r="A136" s="562"/>
      <c r="B136" s="562"/>
      <c r="C136" s="562"/>
      <c r="D136" s="562"/>
      <c r="E136" s="562"/>
      <c r="F136" s="562"/>
      <c r="G136" s="26">
        <f>SUM(G132:G135)</f>
        <v>-1017.36</v>
      </c>
    </row>
    <row r="137" spans="1:9" hidden="1" x14ac:dyDescent="0.35">
      <c r="A137" s="263" t="s">
        <v>21</v>
      </c>
      <c r="B137" s="419" t="s">
        <v>54</v>
      </c>
      <c r="C137" s="12" t="str">
        <f>IFERROR(IF(B137="","",VLOOKUP(B137,'Mapped COA'!A:G,2,0)),IF(B137="","",VLOOKUP(B137,COA!A:G,2,0)))</f>
        <v>Property - Retail Associations Payable</v>
      </c>
      <c r="E137" s="15"/>
      <c r="F137" s="16"/>
      <c r="G137" s="28"/>
    </row>
    <row r="138" spans="1:9" hidden="1" x14ac:dyDescent="0.35">
      <c r="A138" s="12"/>
      <c r="B138" s="17" t="s">
        <v>27</v>
      </c>
      <c r="C138" s="17" t="s">
        <v>28</v>
      </c>
      <c r="D138" s="18"/>
      <c r="E138" s="17"/>
      <c r="F138" s="16"/>
      <c r="G138" s="28"/>
    </row>
    <row r="139" spans="1:9" hidden="1" x14ac:dyDescent="0.35">
      <c r="A139" s="41"/>
      <c r="B139" s="492"/>
      <c r="C139" s="21"/>
      <c r="D139" s="29"/>
      <c r="E139" s="20"/>
      <c r="F139" s="37"/>
      <c r="G139" s="22"/>
    </row>
    <row r="140" spans="1:9" hidden="1" x14ac:dyDescent="0.35">
      <c r="A140" s="41"/>
      <c r="B140" s="492">
        <v>46048</v>
      </c>
      <c r="C140" s="21"/>
      <c r="D140" s="29"/>
      <c r="E140" s="20"/>
      <c r="F140" s="37"/>
      <c r="G140" s="22"/>
    </row>
    <row r="141" spans="1:9" ht="16" hidden="1" thickBot="1" x14ac:dyDescent="0.4">
      <c r="A141" s="41"/>
      <c r="B141" s="492"/>
      <c r="C141" s="42"/>
      <c r="D141" s="43"/>
      <c r="E141" s="44"/>
      <c r="F141" s="37"/>
      <c r="G141" s="22"/>
    </row>
    <row r="142" spans="1:9" ht="16" hidden="1" thickBot="1" x14ac:dyDescent="0.4">
      <c r="A142" s="562"/>
      <c r="B142" s="562"/>
      <c r="C142" s="562"/>
      <c r="D142" s="562"/>
      <c r="E142" s="562"/>
      <c r="F142" s="562"/>
      <c r="G142" s="26">
        <f>SUM(G138:G141)</f>
        <v>0</v>
      </c>
    </row>
    <row r="143" spans="1:9" hidden="1" x14ac:dyDescent="0.35">
      <c r="A143" s="263" t="s">
        <v>21</v>
      </c>
      <c r="B143" s="419" t="s">
        <v>55</v>
      </c>
      <c r="C143" s="12" t="str">
        <f>IFERROR(IF(B143="","",VLOOKUP(B143,'Mapped COA'!A:G,2,0)),IF(B143="","",VLOOKUP(B143,COA!A:G,2,0)))</f>
        <v>Property - Operating Payable 1</v>
      </c>
      <c r="D143" s="40"/>
      <c r="E143" s="15"/>
      <c r="F143" s="16"/>
      <c r="G143" s="28"/>
    </row>
    <row r="144" spans="1:9" hidden="1" x14ac:dyDescent="0.35">
      <c r="B144" s="17" t="s">
        <v>27</v>
      </c>
      <c r="C144" s="17" t="s">
        <v>28</v>
      </c>
      <c r="D144" s="18"/>
      <c r="E144" s="17"/>
      <c r="F144" s="19"/>
      <c r="G144" s="28"/>
    </row>
    <row r="145" spans="1:7" hidden="1" x14ac:dyDescent="0.35">
      <c r="A145" s="30"/>
      <c r="B145" s="492"/>
      <c r="C145" s="21"/>
      <c r="D145" s="29"/>
      <c r="E145" s="20"/>
      <c r="F145" s="20"/>
      <c r="G145" s="22"/>
    </row>
    <row r="146" spans="1:7" hidden="1" x14ac:dyDescent="0.35">
      <c r="A146" s="30"/>
      <c r="B146" s="492">
        <v>46048</v>
      </c>
      <c r="C146" s="21"/>
      <c r="D146" s="29"/>
      <c r="E146" s="20"/>
      <c r="F146" s="20"/>
      <c r="G146" s="22"/>
    </row>
    <row r="147" spans="1:7" ht="16" hidden="1" thickBot="1" x14ac:dyDescent="0.4">
      <c r="A147" s="30"/>
      <c r="B147" s="492"/>
      <c r="C147" s="33"/>
      <c r="D147" s="36"/>
      <c r="E147" s="45"/>
      <c r="F147" s="37"/>
      <c r="G147" s="22"/>
    </row>
    <row r="148" spans="1:7" ht="16" hidden="1" thickBot="1" x14ac:dyDescent="0.4">
      <c r="A148" s="562"/>
      <c r="B148" s="562"/>
      <c r="C148" s="562"/>
      <c r="D148" s="562"/>
      <c r="E148" s="562"/>
      <c r="F148" s="562"/>
      <c r="G148" s="26">
        <f>SUM(G144:G147)</f>
        <v>0</v>
      </c>
    </row>
    <row r="149" spans="1:7" hidden="1" x14ac:dyDescent="0.35">
      <c r="A149" s="263" t="s">
        <v>21</v>
      </c>
      <c r="B149" s="419" t="s">
        <v>56</v>
      </c>
      <c r="C149" s="12" t="str">
        <f>IFERROR(IF(B149="","",VLOOKUP(B149,'Mapped COA'!A:G,2,0)),IF(B149="","",VLOOKUP(B149,COA!A:G,2,0)))</f>
        <v>Property - Operating Payable 2</v>
      </c>
      <c r="E149" s="15"/>
      <c r="F149" s="16"/>
      <c r="G149" s="28"/>
    </row>
    <row r="150" spans="1:7" hidden="1" x14ac:dyDescent="0.35">
      <c r="A150" s="12"/>
      <c r="B150" s="17" t="s">
        <v>27</v>
      </c>
      <c r="C150" s="17" t="s">
        <v>28</v>
      </c>
      <c r="D150" s="18"/>
      <c r="E150" s="19"/>
      <c r="F150" s="16"/>
      <c r="G150" s="28"/>
    </row>
    <row r="151" spans="1:7" hidden="1" x14ac:dyDescent="0.35">
      <c r="A151" s="41"/>
      <c r="B151" s="492"/>
      <c r="C151" s="21"/>
      <c r="D151" s="29"/>
      <c r="E151" s="20"/>
      <c r="F151" s="37"/>
      <c r="G151" s="22"/>
    </row>
    <row r="152" spans="1:7" hidden="1" x14ac:dyDescent="0.35">
      <c r="A152" s="41"/>
      <c r="B152" s="492">
        <v>46048</v>
      </c>
      <c r="C152" s="21"/>
      <c r="D152" s="29"/>
      <c r="E152" s="20"/>
      <c r="F152" s="37"/>
      <c r="G152" s="22"/>
    </row>
    <row r="153" spans="1:7" ht="16" hidden="1" thickBot="1" x14ac:dyDescent="0.4">
      <c r="A153" s="41"/>
      <c r="B153" s="492"/>
      <c r="C153" s="33"/>
      <c r="D153" s="43"/>
      <c r="E153" s="44"/>
      <c r="F153" s="37"/>
      <c r="G153" s="22"/>
    </row>
    <row r="154" spans="1:7" ht="16" hidden="1" thickBot="1" x14ac:dyDescent="0.4">
      <c r="A154" s="562"/>
      <c r="B154" s="562"/>
      <c r="C154" s="562"/>
      <c r="D154" s="562"/>
      <c r="E154" s="562"/>
      <c r="F154" s="562"/>
      <c r="G154" s="26">
        <f>SUM(G150:G153)</f>
        <v>0</v>
      </c>
    </row>
    <row r="155" spans="1:7" hidden="1" x14ac:dyDescent="0.35">
      <c r="A155" s="263" t="s">
        <v>21</v>
      </c>
      <c r="B155" s="419" t="s">
        <v>57</v>
      </c>
      <c r="C155" s="12" t="str">
        <f>IFERROR(IF(B155="","",VLOOKUP(B155,'Mapped COA'!A:G,2,0)),IF(B155="","",VLOOKUP(B155,COA!A:G,2,0)))</f>
        <v>Capital Improvements - Payable</v>
      </c>
      <c r="E155" s="15"/>
      <c r="F155" s="16"/>
      <c r="G155" s="28"/>
    </row>
    <row r="156" spans="1:7" hidden="1" x14ac:dyDescent="0.35">
      <c r="A156" s="12"/>
      <c r="B156" s="17" t="s">
        <v>27</v>
      </c>
      <c r="C156" s="17" t="s">
        <v>28</v>
      </c>
      <c r="D156" s="18"/>
      <c r="E156" s="19"/>
      <c r="F156" s="16"/>
      <c r="G156" s="28"/>
    </row>
    <row r="157" spans="1:7" hidden="1" x14ac:dyDescent="0.35">
      <c r="A157" s="12"/>
      <c r="B157" s="492"/>
      <c r="C157" s="21"/>
      <c r="D157" s="29"/>
      <c r="E157" s="20"/>
      <c r="F157" s="37"/>
      <c r="G157" s="22"/>
    </row>
    <row r="158" spans="1:7" hidden="1" x14ac:dyDescent="0.35">
      <c r="A158" s="12"/>
      <c r="B158" s="492">
        <v>46048</v>
      </c>
      <c r="C158" s="21"/>
      <c r="D158" s="29"/>
      <c r="E158" s="20"/>
      <c r="F158" s="37"/>
      <c r="G158" s="22"/>
    </row>
    <row r="159" spans="1:7" ht="16" hidden="1" thickBot="1" x14ac:dyDescent="0.4">
      <c r="A159" s="12"/>
      <c r="B159" s="492"/>
      <c r="C159" s="33"/>
      <c r="D159" s="43"/>
      <c r="E159" s="44"/>
      <c r="F159" s="37"/>
      <c r="G159" s="22"/>
    </row>
    <row r="160" spans="1:7" ht="16" hidden="1" thickBot="1" x14ac:dyDescent="0.4">
      <c r="A160" s="562" t="s">
        <v>32</v>
      </c>
      <c r="B160" s="562"/>
      <c r="C160" s="562"/>
      <c r="D160" s="562"/>
      <c r="E160" s="562"/>
      <c r="F160" s="562"/>
      <c r="G160" s="26">
        <f>SUM(G156:G159)</f>
        <v>0</v>
      </c>
    </row>
    <row r="161" spans="1:7" hidden="1" x14ac:dyDescent="0.35">
      <c r="A161" s="263" t="s">
        <v>21</v>
      </c>
      <c r="B161" s="419" t="s">
        <v>58</v>
      </c>
      <c r="C161" s="12" t="str">
        <f>IFERROR(IF(B161="","",VLOOKUP(B161,'Mapped COA'!A:G,2,0)),IF(B161="","",VLOOKUP(B161,COA!A:G,2,0)))</f>
        <v>Lease Commissions - Payable</v>
      </c>
      <c r="E161" s="15"/>
      <c r="F161" s="16"/>
      <c r="G161" s="9"/>
    </row>
    <row r="162" spans="1:7" hidden="1" x14ac:dyDescent="0.35">
      <c r="B162" s="17" t="s">
        <v>27</v>
      </c>
      <c r="C162" s="17" t="s">
        <v>28</v>
      </c>
      <c r="D162" s="18"/>
      <c r="E162" s="17" t="s">
        <v>30</v>
      </c>
      <c r="F162" s="19"/>
      <c r="G162" s="28"/>
    </row>
    <row r="163" spans="1:7" hidden="1" x14ac:dyDescent="0.35">
      <c r="B163" s="492"/>
      <c r="C163" s="21"/>
      <c r="D163" s="18"/>
      <c r="E163" s="19"/>
      <c r="F163" s="19"/>
      <c r="G163" s="22"/>
    </row>
    <row r="164" spans="1:7" hidden="1" x14ac:dyDescent="0.35">
      <c r="B164" s="492">
        <v>46048</v>
      </c>
      <c r="C164" s="23"/>
      <c r="D164" s="18"/>
      <c r="E164" s="19"/>
      <c r="F164" s="19"/>
      <c r="G164" s="22"/>
    </row>
    <row r="165" spans="1:7" ht="16" hidden="1" thickBot="1" x14ac:dyDescent="0.4">
      <c r="B165" s="492"/>
      <c r="C165" s="23"/>
      <c r="D165" s="18"/>
      <c r="E165" s="19"/>
      <c r="F165" s="19"/>
      <c r="G165" s="22"/>
    </row>
    <row r="166" spans="1:7" ht="16" hidden="1" thickBot="1" x14ac:dyDescent="0.4">
      <c r="A166" s="562"/>
      <c r="B166" s="562"/>
      <c r="C166" s="562"/>
      <c r="D166" s="562"/>
      <c r="E166" s="562"/>
      <c r="F166" s="562"/>
      <c r="G166" s="26">
        <f>SUM(G162:G165)</f>
        <v>0</v>
      </c>
    </row>
    <row r="167" spans="1:7" hidden="1" x14ac:dyDescent="0.35">
      <c r="A167" s="263" t="s">
        <v>21</v>
      </c>
      <c r="B167" s="419" t="s">
        <v>59</v>
      </c>
      <c r="C167" s="12" t="str">
        <f>IFERROR(IF(B167="","",VLOOKUP(B167,'Mapped COA'!A:G,2,0)),IF(B167="","",VLOOKUP(B167,COA!A:G,2,0)))</f>
        <v>Accounts Payable - Other 1</v>
      </c>
      <c r="E167" s="15"/>
      <c r="F167" s="16"/>
      <c r="G167" s="9"/>
    </row>
    <row r="168" spans="1:7" hidden="1" x14ac:dyDescent="0.35">
      <c r="B168" s="17" t="s">
        <v>27</v>
      </c>
      <c r="C168" s="17" t="s">
        <v>28</v>
      </c>
      <c r="D168" s="18"/>
      <c r="E168" s="17" t="s">
        <v>30</v>
      </c>
      <c r="F168" s="19"/>
      <c r="G168" s="28"/>
    </row>
    <row r="169" spans="1:7" hidden="1" x14ac:dyDescent="0.35">
      <c r="B169" s="492"/>
      <c r="C169" s="21"/>
      <c r="D169" s="18"/>
      <c r="E169" s="19"/>
      <c r="F169" s="19"/>
      <c r="G169" s="22"/>
    </row>
    <row r="170" spans="1:7" hidden="1" x14ac:dyDescent="0.35">
      <c r="B170" s="492">
        <v>46048</v>
      </c>
      <c r="C170" s="23"/>
      <c r="D170" s="18"/>
      <c r="E170" s="19"/>
      <c r="F170" s="19"/>
      <c r="G170" s="22"/>
    </row>
    <row r="171" spans="1:7" ht="16" hidden="1" thickBot="1" x14ac:dyDescent="0.4">
      <c r="B171" s="492"/>
      <c r="C171" s="23"/>
      <c r="D171" s="18"/>
      <c r="E171" s="19"/>
      <c r="F171" s="19"/>
      <c r="G171" s="22"/>
    </row>
    <row r="172" spans="1:7" ht="16" hidden="1" thickBot="1" x14ac:dyDescent="0.4">
      <c r="A172" s="562"/>
      <c r="B172" s="562"/>
      <c r="C172" s="562"/>
      <c r="D172" s="562"/>
      <c r="E172" s="562"/>
      <c r="F172" s="562"/>
      <c r="G172" s="26">
        <f>SUM(G168:G171)</f>
        <v>0</v>
      </c>
    </row>
    <row r="173" spans="1:7" hidden="1" x14ac:dyDescent="0.35">
      <c r="A173" s="263" t="s">
        <v>21</v>
      </c>
      <c r="B173" s="419" t="s">
        <v>60</v>
      </c>
      <c r="C173" s="12" t="str">
        <f>IFERROR(IF(B173="","",VLOOKUP(B173,'Mapped COA'!A:G,2,0)),IF(B173="","",VLOOKUP(B173,COA!A:G,2,0)))</f>
        <v>Fund – Audit Fees Accrued</v>
      </c>
      <c r="E173" s="15"/>
      <c r="F173" s="16"/>
      <c r="G173" s="9"/>
    </row>
    <row r="174" spans="1:7" hidden="1" x14ac:dyDescent="0.35">
      <c r="B174" s="17" t="s">
        <v>27</v>
      </c>
      <c r="C174" s="17" t="s">
        <v>28</v>
      </c>
      <c r="D174" s="18"/>
      <c r="E174" s="17" t="s">
        <v>30</v>
      </c>
      <c r="F174" s="19"/>
      <c r="G174" s="28"/>
    </row>
    <row r="175" spans="1:7" hidden="1" x14ac:dyDescent="0.35">
      <c r="B175" s="492"/>
      <c r="C175" s="21"/>
      <c r="D175" s="29"/>
      <c r="E175" s="20"/>
      <c r="F175" s="20"/>
      <c r="G175" s="22"/>
    </row>
    <row r="176" spans="1:7" hidden="1" x14ac:dyDescent="0.35">
      <c r="B176" s="492">
        <v>46048</v>
      </c>
      <c r="C176" s="21"/>
      <c r="D176" s="29"/>
      <c r="E176" s="20"/>
      <c r="F176" s="20"/>
      <c r="G176" s="22"/>
    </row>
    <row r="177" spans="1:7" ht="16" hidden="1" thickBot="1" x14ac:dyDescent="0.4">
      <c r="B177" s="492"/>
      <c r="C177" s="21"/>
      <c r="D177" s="29"/>
      <c r="E177" s="20"/>
      <c r="F177" s="20"/>
      <c r="G177" s="22"/>
    </row>
    <row r="178" spans="1:7" ht="16" hidden="1" thickBot="1" x14ac:dyDescent="0.4">
      <c r="A178" s="562" t="s">
        <v>32</v>
      </c>
      <c r="B178" s="562"/>
      <c r="C178" s="562"/>
      <c r="D178" s="562"/>
      <c r="E178" s="562"/>
      <c r="F178" s="562"/>
      <c r="G178" s="26">
        <f>SUM(G174:G177)</f>
        <v>0</v>
      </c>
    </row>
    <row r="179" spans="1:7" hidden="1" x14ac:dyDescent="0.35">
      <c r="A179" s="263" t="s">
        <v>21</v>
      </c>
      <c r="B179" s="419" t="s">
        <v>61</v>
      </c>
      <c r="C179" s="12" t="str">
        <f>IFERROR(IF(B179="","",VLOOKUP(B179,'Mapped COA'!A:G,2,0)),IF(B179="","",VLOOKUP(B179,COA!A:G,2,0)))</f>
        <v>Fund – Appraisal Fees Accrued</v>
      </c>
      <c r="E179" s="15"/>
      <c r="F179" s="16"/>
      <c r="G179" s="9"/>
    </row>
    <row r="180" spans="1:7" hidden="1" x14ac:dyDescent="0.35">
      <c r="B180" s="17" t="s">
        <v>27</v>
      </c>
      <c r="C180" s="17" t="s">
        <v>28</v>
      </c>
      <c r="D180" s="18"/>
      <c r="E180" s="17" t="s">
        <v>30</v>
      </c>
      <c r="F180" s="19"/>
      <c r="G180" s="28"/>
    </row>
    <row r="181" spans="1:7" hidden="1" x14ac:dyDescent="0.35">
      <c r="A181" s="30"/>
      <c r="B181" s="492"/>
      <c r="C181" s="21"/>
      <c r="D181" s="29"/>
      <c r="E181" s="20"/>
      <c r="F181" s="20"/>
      <c r="G181" s="22"/>
    </row>
    <row r="182" spans="1:7" hidden="1" x14ac:dyDescent="0.35">
      <c r="A182" s="30"/>
      <c r="B182" s="492">
        <v>46048</v>
      </c>
      <c r="C182" s="21"/>
      <c r="D182" s="29"/>
      <c r="E182" s="20"/>
      <c r="F182" s="20"/>
      <c r="G182" s="22"/>
    </row>
    <row r="183" spans="1:7" ht="16" hidden="1" thickBot="1" x14ac:dyDescent="0.4">
      <c r="A183" s="30"/>
      <c r="B183" s="492"/>
      <c r="C183" s="33"/>
      <c r="D183" s="36"/>
      <c r="E183" s="38"/>
      <c r="F183" s="37"/>
      <c r="G183" s="22"/>
    </row>
    <row r="184" spans="1:7" ht="16" hidden="1" thickBot="1" x14ac:dyDescent="0.4">
      <c r="A184" s="562" t="s">
        <v>32</v>
      </c>
      <c r="B184" s="562"/>
      <c r="C184" s="562"/>
      <c r="D184" s="562"/>
      <c r="E184" s="562"/>
      <c r="F184" s="562"/>
      <c r="G184" s="26">
        <f>SUM(G180:G183)</f>
        <v>0</v>
      </c>
    </row>
    <row r="185" spans="1:7" hidden="1" x14ac:dyDescent="0.35">
      <c r="A185" s="263" t="s">
        <v>21</v>
      </c>
      <c r="B185" s="419" t="s">
        <v>62</v>
      </c>
      <c r="C185" s="12" t="str">
        <f>IFERROR(IF(B185="","",VLOOKUP(B185,'Mapped COA'!A:G,2,0)),IF(B185="","",VLOOKUP(B185,COA!A:G,2,0)))</f>
        <v>Fund-Tax Prep / Consulting Fees Accrued</v>
      </c>
      <c r="E185" s="15"/>
      <c r="F185" s="16"/>
      <c r="G185" s="9"/>
    </row>
    <row r="186" spans="1:7" hidden="1" x14ac:dyDescent="0.35">
      <c r="B186" s="17" t="s">
        <v>27</v>
      </c>
      <c r="C186" s="17" t="s">
        <v>28</v>
      </c>
      <c r="D186" s="18"/>
      <c r="E186" s="17" t="s">
        <v>30</v>
      </c>
      <c r="F186" s="19"/>
      <c r="G186" s="9"/>
    </row>
    <row r="187" spans="1:7" hidden="1" x14ac:dyDescent="0.35">
      <c r="A187" s="30"/>
      <c r="B187" s="492"/>
      <c r="C187" s="21"/>
      <c r="D187" s="29"/>
      <c r="E187" s="20"/>
      <c r="F187" s="20"/>
      <c r="G187" s="22"/>
    </row>
    <row r="188" spans="1:7" hidden="1" x14ac:dyDescent="0.35">
      <c r="A188" s="30"/>
      <c r="B188" s="492">
        <v>46048</v>
      </c>
      <c r="C188" s="21"/>
      <c r="D188" s="29"/>
      <c r="E188" s="20"/>
      <c r="F188" s="20"/>
      <c r="G188" s="22"/>
    </row>
    <row r="189" spans="1:7" ht="16" hidden="1" thickBot="1" x14ac:dyDescent="0.4">
      <c r="A189" s="30"/>
      <c r="B189" s="492"/>
      <c r="C189" s="33"/>
      <c r="D189" s="29"/>
      <c r="E189" s="39"/>
      <c r="F189" s="20"/>
      <c r="G189" s="22"/>
    </row>
    <row r="190" spans="1:7" ht="16" hidden="1" thickBot="1" x14ac:dyDescent="0.4">
      <c r="A190" s="562"/>
      <c r="B190" s="562"/>
      <c r="C190" s="562"/>
      <c r="D190" s="562"/>
      <c r="E190" s="562"/>
      <c r="F190" s="562"/>
      <c r="G190" s="26">
        <f>SUM(G186:G189)</f>
        <v>0</v>
      </c>
    </row>
    <row r="191" spans="1:7" hidden="1" x14ac:dyDescent="0.35">
      <c r="A191" s="263" t="s">
        <v>21</v>
      </c>
      <c r="B191" s="419" t="s">
        <v>63</v>
      </c>
      <c r="C191" s="12" t="str">
        <f>IFERROR(IF(B191="","",VLOOKUP(B191,'Mapped COA'!A:G,2,0)),IF(B191="","",VLOOKUP(B191,COA!A:G,2,0)))</f>
        <v>Fund - Other Accrued Expenses 1</v>
      </c>
      <c r="D191" s="40"/>
      <c r="E191" s="15"/>
      <c r="F191" s="16"/>
      <c r="G191" s="31"/>
    </row>
    <row r="192" spans="1:7" hidden="1" x14ac:dyDescent="0.35">
      <c r="A192" s="12"/>
      <c r="B192" s="17" t="s">
        <v>27</v>
      </c>
      <c r="C192" s="17" t="s">
        <v>28</v>
      </c>
      <c r="D192" s="18"/>
      <c r="E192" s="17" t="s">
        <v>30</v>
      </c>
      <c r="F192" s="16"/>
      <c r="G192" s="28"/>
    </row>
    <row r="193" spans="1:9" hidden="1" x14ac:dyDescent="0.35">
      <c r="A193" s="41"/>
      <c r="B193" s="492"/>
      <c r="C193" s="21"/>
      <c r="D193" s="29"/>
      <c r="E193" s="20"/>
      <c r="F193" s="37"/>
      <c r="G193" s="22"/>
    </row>
    <row r="194" spans="1:9" hidden="1" x14ac:dyDescent="0.35">
      <c r="A194" s="41"/>
      <c r="B194" s="492">
        <v>46048</v>
      </c>
      <c r="C194" s="21"/>
      <c r="D194" s="29"/>
      <c r="E194" s="20"/>
      <c r="F194" s="37"/>
      <c r="G194" s="22"/>
      <c r="I194" s="47"/>
    </row>
    <row r="195" spans="1:9" ht="16" hidden="1" thickBot="1" x14ac:dyDescent="0.4">
      <c r="A195" s="41"/>
      <c r="B195" s="492"/>
      <c r="C195" s="42"/>
      <c r="D195" s="43"/>
      <c r="E195" s="44"/>
      <c r="F195" s="37"/>
      <c r="G195" s="22"/>
    </row>
    <row r="196" spans="1:9" ht="16" hidden="1" thickBot="1" x14ac:dyDescent="0.4">
      <c r="A196" s="562"/>
      <c r="B196" s="562"/>
      <c r="C196" s="562"/>
      <c r="D196" s="562"/>
      <c r="E196" s="562"/>
      <c r="F196" s="562"/>
      <c r="G196" s="26">
        <f>SUM(G192:G195)</f>
        <v>0</v>
      </c>
    </row>
    <row r="197" spans="1:9" hidden="1" x14ac:dyDescent="0.35">
      <c r="A197" s="263" t="s">
        <v>21</v>
      </c>
      <c r="B197" s="419" t="s">
        <v>64</v>
      </c>
      <c r="C197" s="12" t="str">
        <f>IFERROR(IF(B197="","",VLOOKUP(B197,'Mapped COA'!A:G,2,0)),IF(B197="","",VLOOKUP(B197,COA!A:G,2,0)))</f>
        <v>Tenant Payable Accrued</v>
      </c>
      <c r="E197" s="15"/>
      <c r="F197" s="16"/>
      <c r="G197" s="28"/>
    </row>
    <row r="198" spans="1:9" hidden="1" x14ac:dyDescent="0.35">
      <c r="A198" s="12"/>
      <c r="B198" s="17" t="s">
        <v>27</v>
      </c>
      <c r="C198" s="17" t="s">
        <v>28</v>
      </c>
      <c r="D198" s="18"/>
      <c r="E198" s="17" t="s">
        <v>30</v>
      </c>
      <c r="F198" s="16"/>
      <c r="G198" s="28"/>
    </row>
    <row r="199" spans="1:9" hidden="1" x14ac:dyDescent="0.35">
      <c r="A199" s="41"/>
      <c r="B199" s="492"/>
      <c r="C199" s="21"/>
      <c r="D199" s="29"/>
      <c r="E199" s="20"/>
      <c r="F199" s="37"/>
      <c r="G199" s="22"/>
    </row>
    <row r="200" spans="1:9" hidden="1" x14ac:dyDescent="0.35">
      <c r="A200" s="41"/>
      <c r="B200" s="492">
        <v>46048</v>
      </c>
      <c r="C200" s="21"/>
      <c r="D200" s="29"/>
      <c r="E200" s="20"/>
      <c r="F200" s="37"/>
      <c r="G200" s="22"/>
    </row>
    <row r="201" spans="1:9" ht="16" hidden="1" thickBot="1" x14ac:dyDescent="0.4">
      <c r="A201" s="41"/>
      <c r="B201" s="492"/>
      <c r="C201" s="42"/>
      <c r="D201" s="43"/>
      <c r="E201" s="44"/>
      <c r="F201" s="37"/>
      <c r="G201" s="22"/>
    </row>
    <row r="202" spans="1:9" ht="16" hidden="1" thickBot="1" x14ac:dyDescent="0.4">
      <c r="A202" s="562"/>
      <c r="B202" s="562"/>
      <c r="C202" s="562"/>
      <c r="D202" s="562"/>
      <c r="E202" s="562"/>
      <c r="F202" s="562"/>
      <c r="G202" s="26">
        <f>SUM(G198:G201)</f>
        <v>0</v>
      </c>
    </row>
    <row r="203" spans="1:9" hidden="1" x14ac:dyDescent="0.35">
      <c r="A203" s="263" t="s">
        <v>21</v>
      </c>
      <c r="B203" s="419" t="s">
        <v>65</v>
      </c>
      <c r="C203" s="12" t="str">
        <f>IFERROR(IF(B203="","",VLOOKUP(B203,'Mapped COA'!A:G,2,0)),IF(B203="","",VLOOKUP(B203,COA!A:G,2,0)))</f>
        <v>Tenant Prepaid Affordable Housing Rent</v>
      </c>
      <c r="D203" s="40"/>
      <c r="E203" s="15"/>
      <c r="F203" s="16"/>
      <c r="G203" s="28"/>
    </row>
    <row r="204" spans="1:9" hidden="1" x14ac:dyDescent="0.35">
      <c r="B204" s="17" t="s">
        <v>27</v>
      </c>
      <c r="C204" s="17" t="s">
        <v>28</v>
      </c>
      <c r="D204" s="18"/>
      <c r="E204" s="17"/>
      <c r="F204" s="19"/>
      <c r="G204" s="28"/>
    </row>
    <row r="205" spans="1:9" hidden="1" x14ac:dyDescent="0.35">
      <c r="A205" s="30"/>
      <c r="B205" s="492"/>
      <c r="C205" s="21"/>
      <c r="D205" s="29"/>
      <c r="E205" s="20"/>
      <c r="F205" s="20"/>
      <c r="G205" s="22"/>
    </row>
    <row r="206" spans="1:9" hidden="1" x14ac:dyDescent="0.35">
      <c r="A206" s="30"/>
      <c r="B206" s="492">
        <v>46048</v>
      </c>
      <c r="C206" s="21"/>
      <c r="D206" s="29"/>
      <c r="E206" s="20"/>
      <c r="F206" s="20"/>
      <c r="G206" s="22"/>
    </row>
    <row r="207" spans="1:9" ht="16" hidden="1" thickBot="1" x14ac:dyDescent="0.4">
      <c r="A207" s="30"/>
      <c r="B207" s="492"/>
      <c r="C207" s="33"/>
      <c r="D207" s="36"/>
      <c r="E207" s="45"/>
      <c r="F207" s="37"/>
      <c r="G207" s="22"/>
    </row>
    <row r="208" spans="1:9" ht="16" hidden="1" thickBot="1" x14ac:dyDescent="0.4">
      <c r="A208" s="562"/>
      <c r="B208" s="562"/>
      <c r="C208" s="562"/>
      <c r="D208" s="562"/>
      <c r="E208" s="562"/>
      <c r="F208" s="562"/>
      <c r="G208" s="26">
        <f>SUM(G204:G207)</f>
        <v>0</v>
      </c>
    </row>
    <row r="209" spans="1:7" hidden="1" x14ac:dyDescent="0.35">
      <c r="A209" s="263" t="s">
        <v>21</v>
      </c>
      <c r="B209" s="419" t="s">
        <v>66</v>
      </c>
      <c r="C209" s="12" t="str">
        <f>IFERROR(IF(B209="","",VLOOKUP(B209,'Mapped COA'!A:G,2,0)),IF(B209="","",VLOOKUP(B209,COA!A:G,2,0)))</f>
        <v>Tenant Prepaid Other</v>
      </c>
      <c r="E209" s="15"/>
      <c r="F209" s="16"/>
      <c r="G209" s="28"/>
    </row>
    <row r="210" spans="1:7" hidden="1" x14ac:dyDescent="0.35">
      <c r="A210" s="12"/>
      <c r="B210" s="17" t="s">
        <v>27</v>
      </c>
      <c r="C210" s="17" t="s">
        <v>28</v>
      </c>
      <c r="D210" s="18"/>
      <c r="E210" s="19"/>
      <c r="F210" s="16"/>
      <c r="G210" s="28"/>
    </row>
    <row r="211" spans="1:7" hidden="1" x14ac:dyDescent="0.35">
      <c r="A211" s="41"/>
      <c r="B211" s="492"/>
      <c r="C211" s="21"/>
      <c r="D211" s="29"/>
      <c r="E211" s="20"/>
      <c r="F211" s="37"/>
      <c r="G211" s="22"/>
    </row>
    <row r="212" spans="1:7" hidden="1" x14ac:dyDescent="0.35">
      <c r="A212" s="41"/>
      <c r="B212" s="492">
        <v>46048</v>
      </c>
      <c r="C212" s="21"/>
      <c r="D212" s="29"/>
      <c r="E212" s="20"/>
      <c r="F212" s="37"/>
      <c r="G212" s="22"/>
    </row>
    <row r="213" spans="1:7" ht="16" hidden="1" thickBot="1" x14ac:dyDescent="0.4">
      <c r="A213" s="41"/>
      <c r="B213" s="492"/>
      <c r="C213" s="33"/>
      <c r="D213" s="43"/>
      <c r="E213" s="44"/>
      <c r="F213" s="37"/>
      <c r="G213" s="22"/>
    </row>
    <row r="214" spans="1:7" ht="16" hidden="1" thickBot="1" x14ac:dyDescent="0.4">
      <c r="A214" s="562"/>
      <c r="B214" s="562"/>
      <c r="C214" s="562"/>
      <c r="D214" s="562"/>
      <c r="E214" s="562"/>
      <c r="F214" s="562"/>
      <c r="G214" s="26">
        <f>SUM(G210:G213)</f>
        <v>0</v>
      </c>
    </row>
    <row r="215" spans="1:7" hidden="1" x14ac:dyDescent="0.35">
      <c r="A215" s="263" t="s">
        <v>21</v>
      </c>
      <c r="B215" s="419" t="s">
        <v>67</v>
      </c>
      <c r="C215" s="12" t="str">
        <f>IFERROR(IF(B215="","",VLOOKUP(B215,'Mapped COA'!A:G,2,0)),IF(B215="","",VLOOKUP(B215,COA!A:G,2,0)))</f>
        <v>Obligations at Purchase</v>
      </c>
      <c r="E215" s="15"/>
      <c r="F215" s="16"/>
      <c r="G215" s="28"/>
    </row>
    <row r="216" spans="1:7" hidden="1" x14ac:dyDescent="0.35">
      <c r="A216" s="12"/>
      <c r="B216" s="17" t="s">
        <v>27</v>
      </c>
      <c r="C216" s="17" t="s">
        <v>28</v>
      </c>
      <c r="D216" s="18"/>
      <c r="E216" s="17" t="s">
        <v>30</v>
      </c>
      <c r="F216" s="16"/>
      <c r="G216" s="28"/>
    </row>
    <row r="217" spans="1:7" hidden="1" x14ac:dyDescent="0.35">
      <c r="A217" s="12"/>
      <c r="B217" s="492"/>
      <c r="C217" s="21"/>
      <c r="D217" s="29"/>
      <c r="E217" s="20"/>
      <c r="F217" s="37"/>
      <c r="G217" s="22"/>
    </row>
    <row r="218" spans="1:7" hidden="1" x14ac:dyDescent="0.35">
      <c r="A218" s="12"/>
      <c r="B218" s="492">
        <v>46048</v>
      </c>
      <c r="C218" s="21"/>
      <c r="D218" s="29"/>
      <c r="E218" s="20"/>
      <c r="F218" s="37"/>
      <c r="G218" s="22"/>
    </row>
    <row r="219" spans="1:7" ht="16" hidden="1" thickBot="1" x14ac:dyDescent="0.4">
      <c r="A219" s="12"/>
      <c r="B219" s="492"/>
      <c r="C219" s="33"/>
      <c r="D219" s="43"/>
      <c r="E219" s="44"/>
      <c r="F219" s="37"/>
      <c r="G219" s="22"/>
    </row>
    <row r="220" spans="1:7" ht="16" hidden="1" thickBot="1" x14ac:dyDescent="0.4">
      <c r="A220" s="562" t="s">
        <v>32</v>
      </c>
      <c r="B220" s="562"/>
      <c r="C220" s="562"/>
      <c r="D220" s="562"/>
      <c r="E220" s="562"/>
      <c r="F220" s="562"/>
      <c r="G220" s="26">
        <f>SUM(G216:G219)</f>
        <v>0</v>
      </c>
    </row>
    <row r="221" spans="1:7" hidden="1" x14ac:dyDescent="0.35">
      <c r="A221" s="263" t="s">
        <v>21</v>
      </c>
      <c r="B221" s="419" t="s">
        <v>68</v>
      </c>
      <c r="C221" s="12" t="str">
        <f>IFERROR(IF(B221="","",VLOOKUP(B221,'Mapped COA'!A:G,2,0)),IF(B221="","",VLOOKUP(B221,COA!A:G,2,0)))</f>
        <v>Other Current Liabilities 1</v>
      </c>
      <c r="E221" s="15"/>
      <c r="F221" s="16"/>
      <c r="G221" s="9"/>
    </row>
    <row r="222" spans="1:7" hidden="1" x14ac:dyDescent="0.35">
      <c r="B222" s="17" t="s">
        <v>27</v>
      </c>
      <c r="C222" s="17" t="s">
        <v>28</v>
      </c>
      <c r="D222" s="18"/>
      <c r="E222" s="17" t="s">
        <v>30</v>
      </c>
      <c r="F222" s="19"/>
      <c r="G222" s="28"/>
    </row>
    <row r="223" spans="1:7" hidden="1" x14ac:dyDescent="0.35">
      <c r="A223" s="30"/>
      <c r="B223" s="492"/>
      <c r="C223" s="21"/>
      <c r="D223" s="29"/>
      <c r="E223" s="20"/>
      <c r="F223" s="20"/>
      <c r="G223" s="22"/>
    </row>
    <row r="224" spans="1:7" hidden="1" x14ac:dyDescent="0.35">
      <c r="A224" s="30"/>
      <c r="B224" s="492">
        <v>46048</v>
      </c>
      <c r="C224" s="21"/>
      <c r="D224" s="29"/>
      <c r="E224" s="20"/>
      <c r="F224" s="20"/>
      <c r="G224" s="22"/>
    </row>
    <row r="225" spans="1:9" ht="16" hidden="1" thickBot="1" x14ac:dyDescent="0.4">
      <c r="A225" s="30"/>
      <c r="B225" s="492"/>
      <c r="C225" s="33"/>
      <c r="D225" s="36"/>
      <c r="E225" s="38"/>
      <c r="F225" s="37"/>
      <c r="G225" s="22"/>
    </row>
    <row r="226" spans="1:9" ht="16" hidden="1" thickBot="1" x14ac:dyDescent="0.4">
      <c r="A226" s="562" t="s">
        <v>32</v>
      </c>
      <c r="B226" s="562"/>
      <c r="C226" s="562"/>
      <c r="D226" s="562"/>
      <c r="E226" s="562"/>
      <c r="F226" s="562"/>
      <c r="G226" s="26">
        <f>SUM(G222:G225)</f>
        <v>0</v>
      </c>
    </row>
    <row r="227" spans="1:9" hidden="1" x14ac:dyDescent="0.35">
      <c r="A227" s="263" t="s">
        <v>21</v>
      </c>
      <c r="B227" s="419" t="s">
        <v>69</v>
      </c>
      <c r="C227" s="12" t="str">
        <f>IFERROR(IF(B227="","",VLOOKUP(B227,'Mapped COA'!A:G,2,0)),IF(B227="","",VLOOKUP(B227,COA!A:G,2,0)))</f>
        <v>Contributions - Limited Partner</v>
      </c>
      <c r="E227" s="15"/>
      <c r="F227" s="16"/>
      <c r="G227" s="9"/>
    </row>
    <row r="228" spans="1:9" hidden="1" x14ac:dyDescent="0.35">
      <c r="B228" s="17" t="s">
        <v>27</v>
      </c>
      <c r="C228" s="17" t="s">
        <v>28</v>
      </c>
      <c r="D228" s="18"/>
      <c r="E228" s="17"/>
      <c r="F228" s="19"/>
      <c r="G228" s="9"/>
    </row>
    <row r="229" spans="1:9" hidden="1" x14ac:dyDescent="0.35">
      <c r="A229" s="30"/>
      <c r="B229" s="492"/>
      <c r="C229" s="21"/>
      <c r="D229" s="29"/>
      <c r="E229" s="20"/>
      <c r="F229" s="20"/>
      <c r="G229" s="22"/>
    </row>
    <row r="230" spans="1:9" hidden="1" x14ac:dyDescent="0.35">
      <c r="A230" s="30"/>
      <c r="B230" s="492">
        <v>46048</v>
      </c>
      <c r="C230" s="21"/>
      <c r="D230" s="29"/>
      <c r="E230" s="20"/>
      <c r="F230" s="20"/>
      <c r="G230" s="22"/>
    </row>
    <row r="231" spans="1:9" ht="16" hidden="1" thickBot="1" x14ac:dyDescent="0.4">
      <c r="A231" s="30"/>
      <c r="B231" s="492"/>
      <c r="C231" s="33"/>
      <c r="D231" s="29"/>
      <c r="E231" s="39"/>
      <c r="F231" s="20"/>
      <c r="G231" s="22"/>
    </row>
    <row r="232" spans="1:9" ht="16" hidden="1" thickBot="1" x14ac:dyDescent="0.4">
      <c r="A232" s="562"/>
      <c r="B232" s="562"/>
      <c r="C232" s="562"/>
      <c r="D232" s="562"/>
      <c r="E232" s="562"/>
      <c r="F232" s="562"/>
      <c r="G232" s="26">
        <f>SUM(G228:G231)</f>
        <v>0</v>
      </c>
    </row>
    <row r="233" spans="1:9" hidden="1" x14ac:dyDescent="0.35">
      <c r="A233" s="263" t="s">
        <v>21</v>
      </c>
      <c r="B233" s="419" t="s">
        <v>70</v>
      </c>
      <c r="C233" s="12" t="str">
        <f>IFERROR(IF(B233="","",VLOOKUP(B233,'Mapped COA'!A:G,2,0)),IF(B233="","",VLOOKUP(B233,COA!A:G,2,0)))</f>
        <v>Contributions - Wholly Owned</v>
      </c>
      <c r="D233" s="40"/>
      <c r="E233" s="15"/>
      <c r="F233" s="16"/>
      <c r="G233" s="31"/>
    </row>
    <row r="234" spans="1:9" hidden="1" x14ac:dyDescent="0.35">
      <c r="A234" s="12"/>
      <c r="B234" s="17" t="s">
        <v>27</v>
      </c>
      <c r="C234" s="17" t="s">
        <v>28</v>
      </c>
      <c r="D234" s="18"/>
      <c r="E234" s="17"/>
      <c r="F234" s="16"/>
      <c r="G234" s="28"/>
    </row>
    <row r="235" spans="1:9" hidden="1" x14ac:dyDescent="0.35">
      <c r="A235" s="41"/>
      <c r="B235" s="492"/>
      <c r="C235" s="21"/>
      <c r="D235" s="29"/>
      <c r="E235" s="20"/>
      <c r="F235" s="37"/>
      <c r="G235" s="22"/>
    </row>
    <row r="236" spans="1:9" hidden="1" x14ac:dyDescent="0.35">
      <c r="A236" s="41"/>
      <c r="B236" s="492">
        <v>46048</v>
      </c>
      <c r="C236" s="21"/>
      <c r="D236" s="29"/>
      <c r="E236" s="20"/>
      <c r="F236" s="37"/>
      <c r="G236" s="22"/>
      <c r="I236" s="47"/>
    </row>
    <row r="237" spans="1:9" ht="16" hidden="1" thickBot="1" x14ac:dyDescent="0.4">
      <c r="A237" s="41"/>
      <c r="B237" s="492"/>
      <c r="C237" s="42"/>
      <c r="D237" s="43"/>
      <c r="E237" s="44"/>
      <c r="F237" s="37"/>
      <c r="G237" s="22"/>
    </row>
    <row r="238" spans="1:9" ht="16" hidden="1" thickBot="1" x14ac:dyDescent="0.4">
      <c r="A238" s="562"/>
      <c r="B238" s="562"/>
      <c r="C238" s="562"/>
      <c r="D238" s="562"/>
      <c r="E238" s="562"/>
      <c r="F238" s="562"/>
      <c r="G238" s="26">
        <f>SUM(G234:G237)</f>
        <v>0</v>
      </c>
    </row>
    <row r="239" spans="1:9" hidden="1" x14ac:dyDescent="0.35">
      <c r="A239" s="263" t="s">
        <v>21</v>
      </c>
      <c r="B239" s="419" t="s">
        <v>71</v>
      </c>
      <c r="C239" s="12" t="str">
        <f>IFERROR(IF(B239="","",VLOOKUP(B239,'Mapped COA'!A:G,2,0)),IF(B239="","",VLOOKUP(B239,COA!A:G,2,0)))</f>
        <v>Contributions - Joint Venture General Partner</v>
      </c>
      <c r="E239" s="15"/>
      <c r="F239" s="16"/>
      <c r="G239" s="28"/>
    </row>
    <row r="240" spans="1:9" hidden="1" x14ac:dyDescent="0.35">
      <c r="A240" s="12"/>
      <c r="B240" s="17" t="s">
        <v>27</v>
      </c>
      <c r="C240" s="17" t="s">
        <v>28</v>
      </c>
      <c r="D240" s="18"/>
      <c r="E240" s="17"/>
      <c r="F240" s="16"/>
      <c r="G240" s="28"/>
    </row>
    <row r="241" spans="1:7" hidden="1" x14ac:dyDescent="0.35">
      <c r="A241" s="41"/>
      <c r="B241" s="492"/>
      <c r="C241" s="21"/>
      <c r="D241" s="29"/>
      <c r="E241" s="20"/>
      <c r="F241" s="37"/>
      <c r="G241" s="22"/>
    </row>
    <row r="242" spans="1:7" hidden="1" x14ac:dyDescent="0.35">
      <c r="A242" s="41"/>
      <c r="B242" s="492">
        <v>46048</v>
      </c>
      <c r="C242" s="21"/>
      <c r="D242" s="29"/>
      <c r="E242" s="20"/>
      <c r="F242" s="37"/>
      <c r="G242" s="22"/>
    </row>
    <row r="243" spans="1:7" ht="16" hidden="1" thickBot="1" x14ac:dyDescent="0.4">
      <c r="A243" s="41"/>
      <c r="B243" s="492"/>
      <c r="C243" s="42"/>
      <c r="D243" s="43"/>
      <c r="E243" s="44"/>
      <c r="F243" s="37"/>
      <c r="G243" s="22"/>
    </row>
    <row r="244" spans="1:7" ht="16" hidden="1" thickBot="1" x14ac:dyDescent="0.4">
      <c r="A244" s="562"/>
      <c r="B244" s="562"/>
      <c r="C244" s="562"/>
      <c r="D244" s="562"/>
      <c r="E244" s="562"/>
      <c r="F244" s="562"/>
      <c r="G244" s="26">
        <f>SUM(G240:G243)</f>
        <v>0</v>
      </c>
    </row>
    <row r="245" spans="1:7" hidden="1" x14ac:dyDescent="0.35">
      <c r="A245" s="263" t="s">
        <v>21</v>
      </c>
      <c r="B245" s="419" t="s">
        <v>72</v>
      </c>
      <c r="C245" s="12" t="str">
        <f>IFERROR(IF(B245="","",VLOOKUP(B245,'Mapped COA'!A:G,2,0)),IF(B245="","",VLOOKUP(B245,COA!A:G,2,0)))</f>
        <v>Distributions - Limited Partner</v>
      </c>
      <c r="D245" s="40"/>
      <c r="E245" s="15"/>
      <c r="F245" s="16"/>
      <c r="G245" s="28"/>
    </row>
    <row r="246" spans="1:7" hidden="1" x14ac:dyDescent="0.35">
      <c r="B246" s="17" t="s">
        <v>27</v>
      </c>
      <c r="C246" s="17" t="s">
        <v>28</v>
      </c>
      <c r="D246" s="18"/>
      <c r="E246" s="17"/>
      <c r="F246" s="19"/>
      <c r="G246" s="28"/>
    </row>
    <row r="247" spans="1:7" hidden="1" x14ac:dyDescent="0.35">
      <c r="A247" s="30"/>
      <c r="B247" s="492"/>
      <c r="C247" s="21"/>
      <c r="D247" s="29"/>
      <c r="E247" s="20"/>
      <c r="F247" s="20"/>
      <c r="G247" s="22"/>
    </row>
    <row r="248" spans="1:7" hidden="1" x14ac:dyDescent="0.35">
      <c r="A248" s="30"/>
      <c r="B248" s="492">
        <v>46048</v>
      </c>
      <c r="C248" s="21"/>
      <c r="D248" s="29"/>
      <c r="E248" s="20"/>
      <c r="F248" s="20"/>
      <c r="G248" s="22"/>
    </row>
    <row r="249" spans="1:7" ht="16" hidden="1" thickBot="1" x14ac:dyDescent="0.4">
      <c r="A249" s="30"/>
      <c r="B249" s="492"/>
      <c r="C249" s="33"/>
      <c r="D249" s="36"/>
      <c r="E249" s="45"/>
      <c r="F249" s="37"/>
      <c r="G249" s="22"/>
    </row>
    <row r="250" spans="1:7" ht="16" hidden="1" thickBot="1" x14ac:dyDescent="0.4">
      <c r="A250" s="562"/>
      <c r="B250" s="562"/>
      <c r="C250" s="562"/>
      <c r="D250" s="562"/>
      <c r="E250" s="562"/>
      <c r="F250" s="562"/>
      <c r="G250" s="26">
        <f>SUM(G246:G249)</f>
        <v>0</v>
      </c>
    </row>
    <row r="251" spans="1:7" hidden="1" x14ac:dyDescent="0.35">
      <c r="A251" s="263" t="s">
        <v>21</v>
      </c>
      <c r="B251" s="419" t="s">
        <v>73</v>
      </c>
      <c r="C251" s="12" t="str">
        <f>IFERROR(IF(B251="","",VLOOKUP(B251,'Mapped COA'!A:G,2,0)),IF(B251="","",VLOOKUP(B251,COA!A:G,2,0)))</f>
        <v>Distributions - Wholly Owned</v>
      </c>
      <c r="E251" s="15"/>
      <c r="F251" s="16"/>
      <c r="G251" s="28"/>
    </row>
    <row r="252" spans="1:7" hidden="1" x14ac:dyDescent="0.35">
      <c r="A252" s="12"/>
      <c r="B252" s="17" t="s">
        <v>27</v>
      </c>
      <c r="C252" s="17" t="s">
        <v>28</v>
      </c>
      <c r="D252" s="18"/>
      <c r="E252" s="19"/>
      <c r="F252" s="16"/>
      <c r="G252" s="28"/>
    </row>
    <row r="253" spans="1:7" hidden="1" x14ac:dyDescent="0.35">
      <c r="A253" s="41"/>
      <c r="B253" s="492"/>
      <c r="C253" s="21"/>
      <c r="D253" s="29"/>
      <c r="E253" s="20"/>
      <c r="F253" s="37"/>
      <c r="G253" s="22"/>
    </row>
    <row r="254" spans="1:7" hidden="1" x14ac:dyDescent="0.35">
      <c r="A254" s="41"/>
      <c r="B254" s="492">
        <v>46048</v>
      </c>
      <c r="C254" s="21"/>
      <c r="D254" s="29"/>
      <c r="E254" s="20"/>
      <c r="F254" s="37"/>
      <c r="G254" s="22"/>
    </row>
    <row r="255" spans="1:7" ht="16" hidden="1" thickBot="1" x14ac:dyDescent="0.4">
      <c r="A255" s="41"/>
      <c r="B255" s="492"/>
      <c r="C255" s="33"/>
      <c r="D255" s="43"/>
      <c r="E255" s="44"/>
      <c r="F255" s="37"/>
      <c r="G255" s="22"/>
    </row>
    <row r="256" spans="1:7" ht="16" hidden="1" thickBot="1" x14ac:dyDescent="0.4">
      <c r="A256" s="562"/>
      <c r="B256" s="562"/>
      <c r="C256" s="562"/>
      <c r="D256" s="562"/>
      <c r="E256" s="562"/>
      <c r="F256" s="562"/>
      <c r="G256" s="26">
        <f>SUM(G252:G255)</f>
        <v>0</v>
      </c>
    </row>
    <row r="257" spans="1:7" hidden="1" x14ac:dyDescent="0.35">
      <c r="A257" s="263" t="s">
        <v>21</v>
      </c>
      <c r="B257" s="419" t="s">
        <v>74</v>
      </c>
      <c r="C257" s="12" t="str">
        <f>IFERROR(IF(B257="","",VLOOKUP(B257,'Mapped COA'!A:G,2,0)),IF(B257="","",VLOOKUP(B257,COA!A:G,2,0)))</f>
        <v>Distributions - Joint Venture General Partner</v>
      </c>
      <c r="E257" s="15"/>
      <c r="F257" s="16"/>
      <c r="G257" s="28"/>
    </row>
    <row r="258" spans="1:7" hidden="1" x14ac:dyDescent="0.35">
      <c r="A258" s="12"/>
      <c r="B258" s="17" t="s">
        <v>27</v>
      </c>
      <c r="C258" s="17" t="s">
        <v>28</v>
      </c>
      <c r="D258" s="18"/>
      <c r="E258" s="19"/>
      <c r="F258" s="16"/>
      <c r="G258" s="28"/>
    </row>
    <row r="259" spans="1:7" hidden="1" x14ac:dyDescent="0.35">
      <c r="A259" s="12"/>
      <c r="B259" s="492"/>
      <c r="C259" s="21"/>
      <c r="D259" s="29"/>
      <c r="E259" s="20"/>
      <c r="F259" s="37"/>
      <c r="G259" s="22"/>
    </row>
    <row r="260" spans="1:7" hidden="1" x14ac:dyDescent="0.35">
      <c r="A260" s="12"/>
      <c r="B260" s="492">
        <v>46048</v>
      </c>
      <c r="C260" s="21"/>
      <c r="D260" s="29"/>
      <c r="E260" s="20"/>
      <c r="F260" s="37"/>
      <c r="G260" s="22"/>
    </row>
    <row r="261" spans="1:7" ht="16" hidden="1" thickBot="1" x14ac:dyDescent="0.4">
      <c r="A261" s="12"/>
      <c r="B261" s="492"/>
      <c r="C261" s="33"/>
      <c r="D261" s="43"/>
      <c r="E261" s="44"/>
      <c r="F261" s="37"/>
      <c r="G261" s="22"/>
    </row>
    <row r="262" spans="1:7" ht="16" hidden="1" thickBot="1" x14ac:dyDescent="0.4">
      <c r="A262" s="562" t="s">
        <v>32</v>
      </c>
      <c r="B262" s="562"/>
      <c r="C262" s="562"/>
      <c r="D262" s="562"/>
      <c r="E262" s="562"/>
      <c r="F262" s="562"/>
      <c r="G262" s="26">
        <f>SUM(G258:G261)</f>
        <v>0</v>
      </c>
    </row>
    <row r="263" spans="1:7" hidden="1" x14ac:dyDescent="0.35">
      <c r="A263" s="263" t="s">
        <v>21</v>
      </c>
      <c r="B263" s="419" t="s">
        <v>75</v>
      </c>
      <c r="C263" s="12" t="str">
        <f>IFERROR(IF(B263="","",VLOOKUP(B263,'Mapped COA'!A:G,2,0)),IF(B263="","",VLOOKUP(B263,COA!A:G,2,0)))</f>
        <v>Capital</v>
      </c>
      <c r="E263" s="15"/>
      <c r="F263" s="16"/>
      <c r="G263" s="9"/>
    </row>
    <row r="264" spans="1:7" hidden="1" x14ac:dyDescent="0.35">
      <c r="B264" s="17" t="s">
        <v>27</v>
      </c>
      <c r="C264" s="17" t="s">
        <v>28</v>
      </c>
      <c r="D264" s="18"/>
      <c r="E264" s="17"/>
      <c r="F264" s="19"/>
      <c r="G264" s="28"/>
    </row>
    <row r="265" spans="1:7" hidden="1" x14ac:dyDescent="0.35">
      <c r="A265" s="30"/>
      <c r="B265" s="492"/>
      <c r="C265" s="21"/>
      <c r="D265" s="29"/>
      <c r="E265" s="20"/>
      <c r="F265" s="20"/>
      <c r="G265" s="22"/>
    </row>
    <row r="266" spans="1:7" hidden="1" x14ac:dyDescent="0.35">
      <c r="A266" s="30"/>
      <c r="B266" s="492">
        <v>46048</v>
      </c>
      <c r="C266" s="21"/>
      <c r="D266" s="29"/>
      <c r="E266" s="20"/>
      <c r="F266" s="20"/>
      <c r="G266" s="22"/>
    </row>
    <row r="267" spans="1:7" ht="16" hidden="1" thickBot="1" x14ac:dyDescent="0.4">
      <c r="A267" s="30"/>
      <c r="B267" s="492"/>
      <c r="C267" s="33"/>
      <c r="D267" s="36"/>
      <c r="E267" s="38"/>
      <c r="F267" s="37"/>
      <c r="G267" s="22"/>
    </row>
    <row r="268" spans="1:7" ht="16" hidden="1" thickBot="1" x14ac:dyDescent="0.4">
      <c r="A268" s="562" t="s">
        <v>32</v>
      </c>
      <c r="B268" s="562"/>
      <c r="C268" s="562"/>
      <c r="D268" s="562"/>
      <c r="E268" s="562"/>
      <c r="F268" s="562"/>
      <c r="G268" s="26">
        <f>SUM(G264:G267)</f>
        <v>0</v>
      </c>
    </row>
    <row r="269" spans="1:7" x14ac:dyDescent="0.35">
      <c r="A269" s="263" t="s">
        <v>21</v>
      </c>
      <c r="B269" s="419" t="s">
        <v>76</v>
      </c>
      <c r="C269" s="12" t="str">
        <f>IFERROR(IF(B269="","",VLOOKUP(B269,'Mapped COA'!A:G,2,0)),IF(B269="","",VLOOKUP(B269,COA!A:G,2,0)))</f>
        <v>Inter Unit Transfers</v>
      </c>
      <c r="E269" s="15"/>
      <c r="F269" s="16"/>
      <c r="G269" s="9"/>
    </row>
    <row r="270" spans="1:7" x14ac:dyDescent="0.35">
      <c r="B270" s="17" t="s">
        <v>27</v>
      </c>
      <c r="C270" s="17" t="s">
        <v>28</v>
      </c>
      <c r="D270" s="18"/>
      <c r="E270" s="17"/>
      <c r="F270" s="19"/>
      <c r="G270" s="9"/>
    </row>
    <row r="271" spans="1:7" x14ac:dyDescent="0.35">
      <c r="B271" s="492"/>
      <c r="C271" s="531" t="s">
        <v>77</v>
      </c>
      <c r="D271" s="18"/>
      <c r="E271" s="17"/>
      <c r="F271" s="19"/>
      <c r="G271" s="46">
        <v>-63200795.490000002</v>
      </c>
    </row>
    <row r="272" spans="1:7" x14ac:dyDescent="0.35">
      <c r="B272" s="492">
        <v>46023</v>
      </c>
      <c r="C272" s="23" t="s">
        <v>78</v>
      </c>
      <c r="D272" s="18"/>
      <c r="E272" s="17"/>
      <c r="F272" s="19"/>
      <c r="G272" s="46">
        <v>-377592</v>
      </c>
    </row>
    <row r="273" spans="1:9" x14ac:dyDescent="0.35">
      <c r="A273" s="30"/>
      <c r="B273" s="492">
        <v>46048</v>
      </c>
      <c r="C273" s="21" t="s">
        <v>79</v>
      </c>
      <c r="D273" s="29"/>
      <c r="E273" s="20"/>
      <c r="F273" s="20"/>
      <c r="G273" s="22">
        <v>363700</v>
      </c>
    </row>
    <row r="274" spans="1:9" x14ac:dyDescent="0.35">
      <c r="A274" s="30"/>
      <c r="B274" s="492">
        <v>46066</v>
      </c>
      <c r="C274" s="21" t="s">
        <v>80</v>
      </c>
      <c r="D274" s="29"/>
      <c r="E274" s="20"/>
      <c r="F274" s="20"/>
      <c r="G274" s="22">
        <v>651000</v>
      </c>
    </row>
    <row r="275" spans="1:9" x14ac:dyDescent="0.35">
      <c r="A275" s="30"/>
      <c r="B275" s="492">
        <v>46094</v>
      </c>
      <c r="C275" s="21" t="s">
        <v>81</v>
      </c>
      <c r="D275" s="29"/>
      <c r="E275" s="20"/>
      <c r="F275" s="20"/>
      <c r="G275" s="22">
        <v>368000</v>
      </c>
    </row>
    <row r="276" spans="1:9" x14ac:dyDescent="0.35">
      <c r="A276" s="30"/>
      <c r="B276" s="37" t="s">
        <v>82</v>
      </c>
      <c r="C276" s="33" t="s">
        <v>83</v>
      </c>
      <c r="D276" s="29"/>
      <c r="E276" s="39"/>
      <c r="F276" s="20"/>
      <c r="G276" s="22">
        <v>311000</v>
      </c>
    </row>
    <row r="277" spans="1:9" x14ac:dyDescent="0.35">
      <c r="A277" s="30"/>
      <c r="B277" s="37" t="s">
        <v>84</v>
      </c>
      <c r="C277" s="33" t="s">
        <v>85</v>
      </c>
      <c r="D277" s="29"/>
      <c r="E277" s="39"/>
      <c r="F277" s="20"/>
      <c r="G277" s="22">
        <v>351000</v>
      </c>
    </row>
    <row r="278" spans="1:9" x14ac:dyDescent="0.35">
      <c r="A278" s="30"/>
      <c r="B278" s="37" t="s">
        <v>86</v>
      </c>
      <c r="C278" s="33" t="s">
        <v>87</v>
      </c>
      <c r="D278" s="29"/>
      <c r="E278" s="39"/>
      <c r="F278" s="20"/>
      <c r="G278" s="22">
        <v>369000</v>
      </c>
    </row>
    <row r="279" spans="1:9" x14ac:dyDescent="0.35">
      <c r="A279" s="30"/>
      <c r="B279" s="37" t="s">
        <v>88</v>
      </c>
      <c r="C279" s="33" t="s">
        <v>89</v>
      </c>
      <c r="D279" s="29"/>
      <c r="E279" s="39"/>
      <c r="F279" s="20"/>
      <c r="G279" s="22">
        <v>-190535.98</v>
      </c>
    </row>
    <row r="280" spans="1:9" x14ac:dyDescent="0.35">
      <c r="A280" s="30"/>
      <c r="B280" s="37" t="s">
        <v>88</v>
      </c>
      <c r="C280" s="33" t="s">
        <v>90</v>
      </c>
      <c r="D280" s="29"/>
      <c r="E280" s="39"/>
      <c r="F280" s="20"/>
      <c r="G280" s="22">
        <v>423000</v>
      </c>
    </row>
    <row r="281" spans="1:9" x14ac:dyDescent="0.35">
      <c r="A281" s="30"/>
      <c r="B281" s="37" t="s">
        <v>91</v>
      </c>
      <c r="C281" s="33" t="s">
        <v>92</v>
      </c>
      <c r="D281" s="29"/>
      <c r="E281" s="39"/>
      <c r="F281" s="20"/>
      <c r="G281" s="22">
        <v>114000</v>
      </c>
    </row>
    <row r="282" spans="1:9" x14ac:dyDescent="0.35">
      <c r="A282" s="30"/>
      <c r="B282" s="37" t="s">
        <v>1630</v>
      </c>
      <c r="C282" s="33" t="s">
        <v>1629</v>
      </c>
      <c r="D282" s="29"/>
      <c r="E282" s="39"/>
      <c r="F282" s="20"/>
      <c r="G282" s="22">
        <v>-1500</v>
      </c>
    </row>
    <row r="283" spans="1:9" ht="16" thickBot="1" x14ac:dyDescent="0.4">
      <c r="A283" s="30"/>
      <c r="B283" s="37" t="s">
        <v>1630</v>
      </c>
      <c r="C283" s="33" t="s">
        <v>1628</v>
      </c>
      <c r="D283" s="29"/>
      <c r="E283" s="39"/>
      <c r="F283" s="20"/>
      <c r="G283" s="22">
        <v>123000</v>
      </c>
    </row>
    <row r="284" spans="1:9" ht="16" thickBot="1" x14ac:dyDescent="0.4">
      <c r="A284" s="562"/>
      <c r="B284" s="562"/>
      <c r="C284" s="562"/>
      <c r="D284" s="562"/>
      <c r="E284" s="562"/>
      <c r="F284" s="562"/>
      <c r="G284" s="26">
        <f>SUM(G271:G283)</f>
        <v>-60696723.469999999</v>
      </c>
    </row>
    <row r="285" spans="1:9" hidden="1" x14ac:dyDescent="0.35">
      <c r="A285" s="263" t="s">
        <v>21</v>
      </c>
      <c r="B285" s="419" t="s">
        <v>93</v>
      </c>
      <c r="C285" s="12" t="str">
        <f>IFERROR(IF(B285="","",VLOOKUP(B285,'Mapped COA'!A:G,2,0)),IF(B285="","",VLOOKUP(B285,COA!A:G,2,0)))</f>
        <v>Inter Account Transfer 1</v>
      </c>
      <c r="D285" s="40"/>
      <c r="E285" s="15"/>
      <c r="F285" s="16"/>
      <c r="G285" s="31"/>
    </row>
    <row r="286" spans="1:9" hidden="1" x14ac:dyDescent="0.35">
      <c r="A286" s="12"/>
      <c r="B286" s="17" t="s">
        <v>27</v>
      </c>
      <c r="C286" s="17" t="s">
        <v>28</v>
      </c>
      <c r="D286" s="18"/>
      <c r="E286" s="17"/>
      <c r="F286" s="16"/>
      <c r="G286" s="28"/>
    </row>
    <row r="287" spans="1:9" hidden="1" x14ac:dyDescent="0.35">
      <c r="A287" s="41"/>
      <c r="B287" s="492"/>
      <c r="C287" s="21"/>
      <c r="D287" s="29"/>
      <c r="E287" s="20"/>
      <c r="F287" s="37"/>
      <c r="G287" s="22"/>
    </row>
    <row r="288" spans="1:9" hidden="1" x14ac:dyDescent="0.35">
      <c r="A288" s="41"/>
      <c r="B288" s="492">
        <v>46048</v>
      </c>
      <c r="C288" s="21"/>
      <c r="D288" s="29"/>
      <c r="E288" s="20"/>
      <c r="F288" s="37"/>
      <c r="G288" s="22"/>
      <c r="I288" s="47"/>
    </row>
    <row r="289" spans="1:7" hidden="1" x14ac:dyDescent="0.35">
      <c r="A289" s="41"/>
      <c r="B289" s="492"/>
      <c r="C289" s="42"/>
      <c r="D289" s="43"/>
      <c r="E289" s="44"/>
      <c r="F289" s="37"/>
      <c r="G289" s="22"/>
    </row>
    <row r="290" spans="1:7" ht="16" hidden="1" thickBot="1" x14ac:dyDescent="0.4">
      <c r="A290" s="562"/>
      <c r="B290" s="562"/>
      <c r="C290" s="562"/>
      <c r="D290" s="562"/>
      <c r="E290" s="562"/>
      <c r="F290" s="562"/>
      <c r="G290" s="26">
        <f>SUM(G286:G289)</f>
        <v>0</v>
      </c>
    </row>
    <row r="291" spans="1:7" hidden="1" x14ac:dyDescent="0.35">
      <c r="A291" s="263" t="s">
        <v>21</v>
      </c>
      <c r="B291" s="419" t="s">
        <v>94</v>
      </c>
      <c r="C291" s="12" t="str">
        <f>IFERROR(IF(B291="","",VLOOKUP(B291,'Mapped COA'!A:G,2,0)),IF(B291="","",VLOOKUP(B291,COA!A:G,2,0)))</f>
        <v>Funds Transferred to Property</v>
      </c>
      <c r="E291" s="15"/>
      <c r="F291" s="16"/>
      <c r="G291" s="28"/>
    </row>
    <row r="292" spans="1:7" hidden="1" x14ac:dyDescent="0.35">
      <c r="A292" s="12"/>
      <c r="B292" s="17" t="s">
        <v>27</v>
      </c>
      <c r="C292" s="17" t="s">
        <v>28</v>
      </c>
      <c r="D292" s="18"/>
      <c r="E292" s="17"/>
      <c r="F292" s="16"/>
      <c r="G292" s="28"/>
    </row>
    <row r="293" spans="1:7" hidden="1" x14ac:dyDescent="0.35">
      <c r="A293" s="41"/>
      <c r="B293" s="492"/>
      <c r="C293" s="21"/>
      <c r="D293" s="29"/>
      <c r="E293" s="20"/>
      <c r="F293" s="37"/>
      <c r="G293" s="22"/>
    </row>
    <row r="294" spans="1:7" hidden="1" x14ac:dyDescent="0.35">
      <c r="A294" s="41"/>
      <c r="B294" s="492">
        <v>46048</v>
      </c>
      <c r="C294" s="21"/>
      <c r="D294" s="29"/>
      <c r="E294" s="20"/>
      <c r="F294" s="37"/>
      <c r="G294" s="22"/>
    </row>
    <row r="295" spans="1:7" hidden="1" x14ac:dyDescent="0.35">
      <c r="A295" s="41"/>
      <c r="B295" s="492"/>
      <c r="C295" s="42"/>
      <c r="D295" s="43"/>
      <c r="E295" s="44"/>
      <c r="F295" s="37"/>
      <c r="G295" s="22"/>
    </row>
    <row r="296" spans="1:7" ht="16" hidden="1" thickBot="1" x14ac:dyDescent="0.4">
      <c r="A296" s="562"/>
      <c r="B296" s="562"/>
      <c r="C296" s="562"/>
      <c r="D296" s="562"/>
      <c r="E296" s="562"/>
      <c r="F296" s="562"/>
      <c r="G296" s="26">
        <f>SUM(G292:G295)</f>
        <v>0</v>
      </c>
    </row>
    <row r="297" spans="1:7" hidden="1" x14ac:dyDescent="0.35">
      <c r="A297" s="263" t="s">
        <v>21</v>
      </c>
      <c r="B297" s="419" t="s">
        <v>95</v>
      </c>
      <c r="C297" s="12" t="str">
        <f>IFERROR(IF(B297="","",VLOOKUP(B297,'Mapped COA'!A:G,2,0)),IF(B297="","",VLOOKUP(B297,COA!A:G,2,0)))</f>
        <v>Funds Transferred from Property</v>
      </c>
      <c r="D297" s="40"/>
      <c r="E297" s="15"/>
      <c r="F297" s="16"/>
      <c r="G297" s="28"/>
    </row>
    <row r="298" spans="1:7" hidden="1" x14ac:dyDescent="0.35">
      <c r="B298" s="17" t="s">
        <v>27</v>
      </c>
      <c r="C298" s="17" t="s">
        <v>28</v>
      </c>
      <c r="D298" s="18"/>
      <c r="E298" s="17"/>
      <c r="F298" s="19"/>
      <c r="G298" s="28"/>
    </row>
    <row r="299" spans="1:7" hidden="1" x14ac:dyDescent="0.35">
      <c r="B299" s="492"/>
      <c r="C299" s="17"/>
      <c r="D299" s="18"/>
      <c r="E299" s="17"/>
      <c r="F299" s="19"/>
      <c r="G299" s="28"/>
    </row>
    <row r="300" spans="1:7" hidden="1" x14ac:dyDescent="0.35">
      <c r="A300" s="30"/>
      <c r="B300" s="492">
        <v>46048</v>
      </c>
      <c r="C300" s="21"/>
      <c r="D300" s="29"/>
      <c r="E300" s="20"/>
      <c r="F300" s="20"/>
      <c r="G300" s="22"/>
    </row>
    <row r="301" spans="1:7" hidden="1" x14ac:dyDescent="0.35">
      <c r="A301" s="30"/>
      <c r="B301" s="492"/>
      <c r="C301" s="21"/>
      <c r="D301" s="29"/>
      <c r="E301" s="20"/>
      <c r="F301" s="20"/>
      <c r="G301" s="22"/>
    </row>
    <row r="302" spans="1:7" hidden="1" x14ac:dyDescent="0.35">
      <c r="A302" s="30"/>
      <c r="B302" s="20"/>
      <c r="C302" s="33"/>
      <c r="D302" s="36"/>
      <c r="E302" s="45"/>
      <c r="F302" s="37"/>
      <c r="G302" s="22"/>
    </row>
    <row r="303" spans="1:7" ht="16" hidden="1" thickBot="1" x14ac:dyDescent="0.4">
      <c r="A303" s="562"/>
      <c r="B303" s="562"/>
      <c r="C303" s="562"/>
      <c r="D303" s="562"/>
      <c r="E303" s="562"/>
      <c r="F303" s="562"/>
      <c r="G303" s="26">
        <f>SUM(G298:G302)</f>
        <v>0</v>
      </c>
    </row>
    <row r="304" spans="1:7" hidden="1" x14ac:dyDescent="0.35">
      <c r="A304" s="263" t="s">
        <v>21</v>
      </c>
      <c r="B304" s="419" t="s">
        <v>96</v>
      </c>
      <c r="C304" s="12" t="str">
        <f>IFERROR(IF(B304="","",VLOOKUP(B304,'Mapped COA'!A:G,2,0)),IF(B304="","",VLOOKUP(B304,COA!A:G,2,0)))</f>
        <v>Paid Direct to\by Investment Management</v>
      </c>
      <c r="E304" s="15"/>
      <c r="F304" s="16"/>
      <c r="G304" s="28"/>
    </row>
    <row r="305" spans="1:8" hidden="1" x14ac:dyDescent="0.35">
      <c r="A305" s="12"/>
      <c r="B305" s="17" t="s">
        <v>27</v>
      </c>
      <c r="C305" s="17" t="s">
        <v>28</v>
      </c>
      <c r="D305" s="18"/>
      <c r="E305" s="19"/>
      <c r="F305" s="16"/>
      <c r="G305" s="28"/>
    </row>
    <row r="306" spans="1:8" hidden="1" x14ac:dyDescent="0.35">
      <c r="A306" s="41"/>
      <c r="B306" s="492"/>
      <c r="C306" s="21"/>
      <c r="D306" s="29"/>
      <c r="E306" s="20"/>
      <c r="F306" s="37"/>
      <c r="G306" s="22"/>
    </row>
    <row r="307" spans="1:8" hidden="1" x14ac:dyDescent="0.35">
      <c r="A307" s="41"/>
      <c r="B307" s="492">
        <v>46048</v>
      </c>
      <c r="C307" s="21"/>
      <c r="D307" s="29"/>
      <c r="E307" s="20"/>
      <c r="F307" s="37"/>
      <c r="G307" s="22"/>
    </row>
    <row r="308" spans="1:8" hidden="1" x14ac:dyDescent="0.35">
      <c r="A308" s="41"/>
      <c r="B308" s="492"/>
      <c r="C308" s="33"/>
      <c r="D308" s="43"/>
      <c r="E308" s="44"/>
      <c r="F308" s="37"/>
      <c r="G308" s="22"/>
    </row>
    <row r="309" spans="1:8" ht="16" hidden="1" thickBot="1" x14ac:dyDescent="0.4">
      <c r="A309" s="562"/>
      <c r="B309" s="562"/>
      <c r="C309" s="562"/>
      <c r="D309" s="562"/>
      <c r="E309" s="562"/>
      <c r="F309" s="562"/>
      <c r="G309" s="26">
        <f>SUM(G305:G308)</f>
        <v>0</v>
      </c>
    </row>
    <row r="310" spans="1:8" hidden="1" x14ac:dyDescent="0.35">
      <c r="A310" s="263" t="s">
        <v>21</v>
      </c>
      <c r="B310" s="326"/>
      <c r="C310" s="12" t="str">
        <f>IFERROR(IF(B310="","",VLOOKUP(B310,'Mapped COA'!A:G,2,0)),IF(B310="","",VLOOKUP(B310,COA!A:G,2,0)))</f>
        <v/>
      </c>
      <c r="D310" s="116"/>
      <c r="E310" s="116"/>
      <c r="F310" s="116"/>
      <c r="G310" s="320"/>
    </row>
    <row r="311" spans="1:8" ht="46.5" hidden="1" x14ac:dyDescent="0.35">
      <c r="A311" s="321" t="s">
        <v>97</v>
      </c>
      <c r="B311" s="321" t="s">
        <v>98</v>
      </c>
      <c r="C311" s="321" t="s">
        <v>28</v>
      </c>
      <c r="D311" s="322" t="s">
        <v>99</v>
      </c>
      <c r="E311" s="321" t="s">
        <v>100</v>
      </c>
      <c r="F311" s="321" t="s">
        <v>101</v>
      </c>
      <c r="G311" s="32"/>
      <c r="H311" s="19" t="s">
        <v>32</v>
      </c>
    </row>
    <row r="312" spans="1:8" hidden="1" x14ac:dyDescent="0.35">
      <c r="A312" s="33"/>
      <c r="B312" s="492"/>
      <c r="D312" s="323"/>
      <c r="E312" s="324"/>
      <c r="F312" s="325"/>
      <c r="G312" s="326"/>
    </row>
    <row r="313" spans="1:8" hidden="1" x14ac:dyDescent="0.35">
      <c r="A313" s="33"/>
      <c r="B313" s="492"/>
      <c r="C313" s="42"/>
      <c r="D313" s="327"/>
      <c r="E313" s="34" t="str">
        <f>IFERROR(G312/D312," ")</f>
        <v xml:space="preserve"> </v>
      </c>
      <c r="F313" s="323"/>
      <c r="G313" s="328" t="str">
        <f>IFERROR(-E313*F313," ")</f>
        <v xml:space="preserve"> </v>
      </c>
    </row>
    <row r="314" spans="1:8" hidden="1" x14ac:dyDescent="0.35">
      <c r="A314" s="33"/>
      <c r="B314" s="492"/>
      <c r="C314" s="42"/>
      <c r="D314" s="329"/>
      <c r="E314" s="35"/>
      <c r="F314" s="16"/>
      <c r="G314" s="320">
        <f>SUM(G312:G313)</f>
        <v>0</v>
      </c>
    </row>
    <row r="315" spans="1:8" hidden="1" x14ac:dyDescent="0.35">
      <c r="A315" s="33"/>
      <c r="B315" s="492"/>
      <c r="C315" s="33"/>
      <c r="D315" s="329"/>
      <c r="E315" s="35"/>
      <c r="F315" s="16"/>
      <c r="G315" s="320"/>
    </row>
    <row r="316" spans="1:8" hidden="1" x14ac:dyDescent="0.35">
      <c r="A316" s="33"/>
      <c r="B316" s="492"/>
      <c r="C316" s="33"/>
      <c r="D316" s="323"/>
      <c r="E316" s="324"/>
      <c r="F316" s="325"/>
      <c r="G316" s="326"/>
    </row>
    <row r="317" spans="1:8" hidden="1" x14ac:dyDescent="0.35">
      <c r="A317" s="33"/>
      <c r="B317" s="492"/>
      <c r="C317" s="42"/>
      <c r="D317" s="327"/>
      <c r="E317" s="330" t="str">
        <f>IFERROR(G316/D316," ")</f>
        <v xml:space="preserve"> </v>
      </c>
      <c r="F317" s="323"/>
      <c r="G317" s="328" t="str">
        <f>IFERROR(-E317*F317," ")</f>
        <v xml:space="preserve"> </v>
      </c>
    </row>
    <row r="318" spans="1:8" hidden="1" x14ac:dyDescent="0.35">
      <c r="A318" s="33"/>
      <c r="B318" s="492"/>
      <c r="C318" s="42"/>
      <c r="D318" s="329"/>
      <c r="E318" s="35"/>
      <c r="F318" s="16"/>
      <c r="G318" s="320">
        <f>SUM(G316:G317)</f>
        <v>0</v>
      </c>
    </row>
    <row r="319" spans="1:8" hidden="1" x14ac:dyDescent="0.35">
      <c r="A319" s="116"/>
      <c r="B319" s="492"/>
      <c r="C319" s="116"/>
      <c r="D319" s="116"/>
      <c r="E319" s="116"/>
      <c r="F319" s="116"/>
      <c r="G319" s="320"/>
    </row>
    <row r="320" spans="1:8" hidden="1" x14ac:dyDescent="0.35">
      <c r="A320" s="116"/>
      <c r="B320" s="492"/>
      <c r="C320" s="116"/>
      <c r="D320" s="116"/>
      <c r="E320" s="116"/>
      <c r="F320" s="116"/>
      <c r="G320" s="320"/>
    </row>
    <row r="321" spans="1:7" ht="16" hidden="1" thickBot="1" x14ac:dyDescent="0.4">
      <c r="A321" s="562"/>
      <c r="B321" s="562"/>
      <c r="C321" s="562"/>
      <c r="D321" s="562"/>
      <c r="E321" s="562"/>
      <c r="F321" s="562"/>
      <c r="G321" s="26">
        <f>G314+G318+SUM(G319:G320)</f>
        <v>0</v>
      </c>
    </row>
    <row r="322" spans="1:7" hidden="1" x14ac:dyDescent="0.35">
      <c r="E322" s="15"/>
      <c r="F322" s="16"/>
    </row>
    <row r="323" spans="1:7" hidden="1" x14ac:dyDescent="0.35">
      <c r="F323" s="16"/>
    </row>
    <row r="324" spans="1:7" x14ac:dyDescent="0.35">
      <c r="F324" s="16"/>
    </row>
    <row r="325" spans="1:7" x14ac:dyDescent="0.35">
      <c r="F325" s="16"/>
    </row>
    <row r="326" spans="1:7" x14ac:dyDescent="0.35">
      <c r="F326" s="16"/>
    </row>
    <row r="327" spans="1:7" x14ac:dyDescent="0.35">
      <c r="F327" s="16"/>
    </row>
    <row r="328" spans="1:7" x14ac:dyDescent="0.35">
      <c r="F328" s="16"/>
    </row>
    <row r="329" spans="1:7" x14ac:dyDescent="0.35">
      <c r="F329" s="16"/>
    </row>
    <row r="330" spans="1:7" x14ac:dyDescent="0.35">
      <c r="F330" s="16"/>
    </row>
    <row r="331" spans="1:7" x14ac:dyDescent="0.35">
      <c r="F331" s="16"/>
    </row>
    <row r="332" spans="1:7" x14ac:dyDescent="0.35">
      <c r="F332" s="16"/>
    </row>
    <row r="333" spans="1:7" x14ac:dyDescent="0.35">
      <c r="F333" s="16"/>
    </row>
    <row r="334" spans="1:7" x14ac:dyDescent="0.35">
      <c r="F334" s="16"/>
    </row>
    <row r="335" spans="1:7" x14ac:dyDescent="0.35">
      <c r="F335" s="16"/>
    </row>
    <row r="336" spans="1:7" x14ac:dyDescent="0.35">
      <c r="F336" s="16"/>
    </row>
    <row r="337" spans="6:6" x14ac:dyDescent="0.35">
      <c r="F337" s="16"/>
    </row>
    <row r="338" spans="6:6" x14ac:dyDescent="0.35">
      <c r="F338" s="16"/>
    </row>
    <row r="339" spans="6:6" x14ac:dyDescent="0.35">
      <c r="F339" s="16"/>
    </row>
    <row r="340" spans="6:6" x14ac:dyDescent="0.35">
      <c r="F340" s="16"/>
    </row>
    <row r="341" spans="6:6" x14ac:dyDescent="0.35">
      <c r="F341" s="16"/>
    </row>
    <row r="342" spans="6:6" x14ac:dyDescent="0.35">
      <c r="F342" s="16"/>
    </row>
    <row r="343" spans="6:6" x14ac:dyDescent="0.35">
      <c r="F343" s="16"/>
    </row>
    <row r="344" spans="6:6" x14ac:dyDescent="0.35">
      <c r="F344" s="16"/>
    </row>
    <row r="345" spans="6:6" x14ac:dyDescent="0.35">
      <c r="F345" s="16"/>
    </row>
    <row r="346" spans="6:6" x14ac:dyDescent="0.35">
      <c r="F346" s="16"/>
    </row>
    <row r="347" spans="6:6" x14ac:dyDescent="0.35">
      <c r="F347" s="16"/>
    </row>
    <row r="348" spans="6:6" x14ac:dyDescent="0.35">
      <c r="F348" s="16"/>
    </row>
    <row r="349" spans="6:6" x14ac:dyDescent="0.35">
      <c r="F349" s="16"/>
    </row>
    <row r="350" spans="6:6" x14ac:dyDescent="0.35">
      <c r="F350" s="16"/>
    </row>
    <row r="351" spans="6:6" x14ac:dyDescent="0.35">
      <c r="F351" s="16"/>
    </row>
    <row r="352" spans="6:6" x14ac:dyDescent="0.35">
      <c r="F352" s="16"/>
    </row>
    <row r="353" spans="6:6" x14ac:dyDescent="0.35">
      <c r="F353" s="16"/>
    </row>
    <row r="354" spans="6:6" x14ac:dyDescent="0.35">
      <c r="F354" s="16"/>
    </row>
  </sheetData>
  <dataConsolidate/>
  <mergeCells count="47">
    <mergeCell ref="A85:F85"/>
    <mergeCell ref="A46:F46"/>
    <mergeCell ref="A52:F52"/>
    <mergeCell ref="A61:F61"/>
    <mergeCell ref="A67:F67"/>
    <mergeCell ref="A73:F73"/>
    <mergeCell ref="A79:F79"/>
    <mergeCell ref="A40:F40"/>
    <mergeCell ref="A1:G1"/>
    <mergeCell ref="A2:G2"/>
    <mergeCell ref="A12:F12"/>
    <mergeCell ref="A22:F22"/>
    <mergeCell ref="A3:G3"/>
    <mergeCell ref="A101:F101"/>
    <mergeCell ref="A108:F108"/>
    <mergeCell ref="A114:F114"/>
    <mergeCell ref="A120:F120"/>
    <mergeCell ref="A130:F130"/>
    <mergeCell ref="A321:F321"/>
    <mergeCell ref="A136:F136"/>
    <mergeCell ref="A142:F142"/>
    <mergeCell ref="A148:F148"/>
    <mergeCell ref="A154:F154"/>
    <mergeCell ref="A160:F160"/>
    <mergeCell ref="A166:F166"/>
    <mergeCell ref="A172:F172"/>
    <mergeCell ref="A178:F178"/>
    <mergeCell ref="A184:F184"/>
    <mergeCell ref="A190:F190"/>
    <mergeCell ref="A196:F196"/>
    <mergeCell ref="A202:F202"/>
    <mergeCell ref="A208:F208"/>
    <mergeCell ref="A214:F214"/>
    <mergeCell ref="A220:F220"/>
    <mergeCell ref="A226:F226"/>
    <mergeCell ref="A232:F232"/>
    <mergeCell ref="A238:F238"/>
    <mergeCell ref="A244:F244"/>
    <mergeCell ref="A250:F250"/>
    <mergeCell ref="A296:F296"/>
    <mergeCell ref="A303:F303"/>
    <mergeCell ref="A309:F309"/>
    <mergeCell ref="A256:F256"/>
    <mergeCell ref="A262:F262"/>
    <mergeCell ref="A268:F268"/>
    <mergeCell ref="A284:F284"/>
    <mergeCell ref="A290:F290"/>
  </mergeCells>
  <phoneticPr fontId="47" type="noConversion"/>
  <dataValidations disablePrompts="1" count="1">
    <dataValidation type="list" allowBlank="1" showInputMessage="1" showErrorMessage="1" sqref="H9" xr:uid="{FB1130EC-D807-4884-AAC6-53C4F54FB333}">
      <formula1>$AA$8:$AA$9</formula1>
    </dataValidation>
  </dataValidations>
  <printOptions horizontalCentered="1"/>
  <pageMargins left="0.25" right="0.25" top="0.25" bottom="0.75" header="0.3" footer="0.3"/>
  <pageSetup scale="67" fitToHeight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9B4D0-6952-4F59-89A6-59ADE0DBDCC4}">
  <sheetPr codeName="Sheet3">
    <pageSetUpPr fitToPage="1"/>
  </sheetPr>
  <dimension ref="A1:N24"/>
  <sheetViews>
    <sheetView topLeftCell="C1" zoomScaleNormal="100" workbookViewId="0">
      <pane ySplit="5" topLeftCell="A6" activePane="bottomLeft" state="frozen"/>
      <selection sqref="A1:K48"/>
      <selection pane="bottomLeft" activeCell="K8" sqref="K8"/>
    </sheetView>
  </sheetViews>
  <sheetFormatPr defaultColWidth="9.1796875" defaultRowHeight="14.5" x14ac:dyDescent="0.35"/>
  <cols>
    <col min="1" max="1" width="12.1796875" style="264" customWidth="1"/>
    <col min="2" max="2" width="19.81640625" style="264" customWidth="1"/>
    <col min="3" max="3" width="32.81640625" style="264" bestFit="1" customWidth="1"/>
    <col min="4" max="4" width="19.54296875" style="264" customWidth="1"/>
    <col min="5" max="5" width="22.54296875" style="264" customWidth="1"/>
    <col min="6" max="6" width="63.1796875" style="264" bestFit="1" customWidth="1"/>
    <col min="7" max="7" width="15.26953125" style="264" customWidth="1"/>
    <col min="8" max="8" width="12.81640625" style="264" customWidth="1"/>
    <col min="9" max="9" width="12.7265625" style="264" customWidth="1"/>
    <col min="10" max="10" width="13.26953125" style="264" customWidth="1"/>
    <col min="11" max="11" width="14.54296875" style="264" customWidth="1"/>
    <col min="12" max="12" width="9.1796875" style="264"/>
    <col min="13" max="13" width="9.1796875" style="264" hidden="1" customWidth="1"/>
    <col min="14" max="16384" width="9.1796875" style="264"/>
  </cols>
  <sheetData>
    <row r="1" spans="1:14" ht="25.5" customHeight="1" x14ac:dyDescent="0.55000000000000004">
      <c r="A1" s="571" t="str">
        <f>'Input-Instructions'!B3</f>
        <v>Residences at Shiloh Crossing</v>
      </c>
      <c r="B1" s="572"/>
      <c r="C1" s="572"/>
      <c r="D1" s="572"/>
      <c r="E1" s="572"/>
      <c r="F1" s="572"/>
      <c r="G1" s="572"/>
      <c r="H1" s="572"/>
      <c r="I1" s="572"/>
      <c r="J1" s="572"/>
      <c r="K1" s="572"/>
      <c r="L1" s="449"/>
      <c r="M1" s="450"/>
      <c r="N1" s="450"/>
    </row>
    <row r="2" spans="1:14" ht="25.5" customHeight="1" x14ac:dyDescent="0.55000000000000004">
      <c r="A2" s="573" t="s">
        <v>102</v>
      </c>
      <c r="B2" s="573"/>
      <c r="C2" s="573"/>
      <c r="D2" s="573"/>
      <c r="E2" s="573"/>
      <c r="F2" s="573"/>
      <c r="G2" s="573"/>
      <c r="H2" s="573"/>
      <c r="I2" s="574"/>
      <c r="J2" s="574"/>
      <c r="K2" s="575"/>
      <c r="L2" s="449"/>
      <c r="M2" s="450"/>
      <c r="N2" s="450"/>
    </row>
    <row r="3" spans="1:14" ht="40.5" customHeight="1" x14ac:dyDescent="0.55000000000000004">
      <c r="A3" s="567" t="str">
        <f>TEXT('Input-Instructions'!$B$6,"MMMM YYYY")</f>
        <v>September 2026</v>
      </c>
      <c r="B3" s="567"/>
      <c r="C3" s="567"/>
      <c r="D3" s="567"/>
      <c r="E3" s="567"/>
      <c r="F3" s="567"/>
      <c r="G3" s="567"/>
      <c r="H3" s="567"/>
      <c r="I3" s="568"/>
      <c r="J3" s="568"/>
      <c r="K3" s="569"/>
      <c r="L3" s="450"/>
      <c r="M3" s="450"/>
      <c r="N3" s="450"/>
    </row>
    <row r="4" spans="1:14" ht="27.75" customHeight="1" x14ac:dyDescent="0.35">
      <c r="A4" s="277" t="s">
        <v>103</v>
      </c>
      <c r="B4" s="469" t="s">
        <v>104</v>
      </c>
      <c r="C4" s="279" t="str">
        <f>IFERROR(IF(B4="","",VLOOKUP(B4,'Mapped COA'!A:G,2,0)),IF(B4="","",VLOOKUP(B4,COA!A:G,2,0)))</f>
        <v>Prepaid Expenses - Other 1</v>
      </c>
      <c r="D4" s="278"/>
      <c r="E4" s="280"/>
      <c r="F4" s="281"/>
      <c r="G4" s="281"/>
      <c r="H4" s="282"/>
      <c r="I4" s="282"/>
      <c r="J4" s="282"/>
      <c r="K4" s="497"/>
      <c r="M4" s="264" t="s">
        <v>1</v>
      </c>
    </row>
    <row r="5" spans="1:14" s="265" customFormat="1" ht="27.75" customHeight="1" x14ac:dyDescent="0.35">
      <c r="A5" s="283" t="s">
        <v>105</v>
      </c>
      <c r="B5" s="276" t="s">
        <v>106</v>
      </c>
      <c r="C5" s="491" t="s">
        <v>107</v>
      </c>
      <c r="D5" s="276" t="s">
        <v>108</v>
      </c>
      <c r="E5" s="276" t="s">
        <v>109</v>
      </c>
      <c r="F5" s="276" t="s">
        <v>28</v>
      </c>
      <c r="G5" s="276" t="s">
        <v>110</v>
      </c>
      <c r="H5" s="276" t="s">
        <v>99</v>
      </c>
      <c r="I5" s="276" t="s">
        <v>100</v>
      </c>
      <c r="J5" s="276" t="s">
        <v>101</v>
      </c>
      <c r="K5" s="284" t="s">
        <v>111</v>
      </c>
      <c r="M5" s="265" t="s">
        <v>3</v>
      </c>
    </row>
    <row r="6" spans="1:14" x14ac:dyDescent="0.35">
      <c r="A6" s="271" t="s">
        <v>1</v>
      </c>
      <c r="B6" s="272" t="s">
        <v>112</v>
      </c>
      <c r="C6" s="539" t="str">
        <f>IFERROR(IF(B6="","",VLOOKUP(B6,'Mapped COA'!A:G,2,0)),IF(B6="","",VLOOKUP(B6,COA!A:G,2,0)))</f>
        <v>Marketing Technologies</v>
      </c>
      <c r="D6" s="516">
        <v>45689</v>
      </c>
      <c r="E6" s="516">
        <v>46023</v>
      </c>
      <c r="F6" s="273" t="s">
        <v>113</v>
      </c>
      <c r="G6" s="274">
        <v>420</v>
      </c>
      <c r="H6" s="270">
        <f>IFERROR(DATEDIF(EOMONTH(D6,-1)+1,EOMONTH(E6,0)+1,"m"),"")</f>
        <v>12</v>
      </c>
      <c r="I6" s="269">
        <f>IFERROR(ROUND(G6/H6,2),"")</f>
        <v>35</v>
      </c>
      <c r="J6" s="270">
        <f>IFERROR(IF(D6="","",IF(EOMONTH(E6,0)&gt;=EOMONTH('Input-Instructions'!$B$6,0),DATEDIF(EOMONTH(D6,-1)+1,EOMONTH('Input-Instructions'!$B$6,0)+1,"m"),DATEDIF(EOMONTH(D6,-1)+1,EOMONTH(E6,0)+1,"m"))),"0")</f>
        <v>12</v>
      </c>
      <c r="K6" s="275">
        <f>IFERROR(G6-(I6*J6),"")</f>
        <v>0</v>
      </c>
    </row>
    <row r="7" spans="1:14" x14ac:dyDescent="0.35">
      <c r="A7" s="271" t="s">
        <v>1</v>
      </c>
      <c r="B7" s="272" t="s">
        <v>114</v>
      </c>
      <c r="C7" s="539" t="str">
        <f>IFERROR(IF(B7="","",VLOOKUP(B7,'Mapped COA'!A:G,2,0)),IF(B7="","",VLOOKUP(B7,COA!A:G,2,0)))</f>
        <v>Tenant Retention / Promo Costs</v>
      </c>
      <c r="D7" s="516">
        <v>45778</v>
      </c>
      <c r="E7" s="516">
        <v>46113</v>
      </c>
      <c r="F7" s="273" t="s">
        <v>115</v>
      </c>
      <c r="G7" s="274">
        <v>4800</v>
      </c>
      <c r="H7" s="270">
        <f t="shared" ref="H7:H18" si="0">IFERROR(DATEDIF(EOMONTH(D7,-1)+1,EOMONTH(E7,0)+1,"m"),"")</f>
        <v>12</v>
      </c>
      <c r="I7" s="269">
        <f t="shared" ref="I7:I18" si="1">IFERROR(ROUND(G7/H7,2),"")</f>
        <v>400</v>
      </c>
      <c r="J7" s="270">
        <f>IFERROR(IF(D7="","",IF(EOMONTH(E7,0)&gt;=EOMONTH('Input-Instructions'!$B$6,0),DATEDIF(EOMONTH(D7,-1)+1,EOMONTH('Input-Instructions'!$B$6,0)+1,"m"),DATEDIF(EOMONTH(D7,-1)+1,EOMONTH(E7,0)+1,"m"))),"0")</f>
        <v>12</v>
      </c>
      <c r="K7" s="275">
        <f t="shared" ref="K7:K17" si="2">IFERROR(G7-(I7*J7),"")</f>
        <v>0</v>
      </c>
    </row>
    <row r="8" spans="1:14" x14ac:dyDescent="0.35">
      <c r="A8" s="271" t="s">
        <v>1</v>
      </c>
      <c r="B8" s="272" t="s">
        <v>116</v>
      </c>
      <c r="C8" s="539" t="str">
        <f>IFERROR(IF(B8="","",VLOOKUP(B8,'Mapped COA'!A:G,2,0)),IF(B8="","",VLOOKUP(B8,COA!A:G,2,0)))</f>
        <v>Computer Services/Fees</v>
      </c>
      <c r="D8" s="516">
        <v>45839</v>
      </c>
      <c r="E8" s="516">
        <v>46174</v>
      </c>
      <c r="F8" s="273" t="s">
        <v>117</v>
      </c>
      <c r="G8" s="274">
        <v>4739.18</v>
      </c>
      <c r="H8" s="270">
        <f t="shared" si="0"/>
        <v>12</v>
      </c>
      <c r="I8" s="269">
        <f t="shared" si="1"/>
        <v>394.93</v>
      </c>
      <c r="J8" s="270">
        <v>12</v>
      </c>
      <c r="K8" s="275">
        <f t="shared" si="2"/>
        <v>2.0000000000436557E-2</v>
      </c>
    </row>
    <row r="9" spans="1:14" x14ac:dyDescent="0.35">
      <c r="A9" s="271" t="s">
        <v>1</v>
      </c>
      <c r="B9" s="272" t="s">
        <v>118</v>
      </c>
      <c r="C9" s="539" t="str">
        <f>IFERROR(IF(B9="","",VLOOKUP(B9,'Mapped COA'!A:G,2,0)),IF(B9="","",VLOOKUP(B9,COA!A:G,2,0)))</f>
        <v>Internet Advertising</v>
      </c>
      <c r="D9" s="516">
        <v>46082</v>
      </c>
      <c r="E9" s="516">
        <v>46082</v>
      </c>
      <c r="F9" s="273" t="s">
        <v>119</v>
      </c>
      <c r="G9" s="274">
        <v>225.9</v>
      </c>
      <c r="H9" s="270">
        <f t="shared" si="0"/>
        <v>1</v>
      </c>
      <c r="I9" s="269">
        <f t="shared" si="1"/>
        <v>225.9</v>
      </c>
      <c r="J9" s="270">
        <f>IFERROR(IF(D9="","",IF(EOMONTH(E9,0)&gt;=EOMONTH('Input-Instructions'!$B$6,0),DATEDIF(EOMONTH(D9,-1)+1,EOMONTH('Input-Instructions'!$B$6,0)+1,"m"),DATEDIF(EOMONTH(D9,-1)+1,EOMONTH(E9,0)+1,"m"))),"0")</f>
        <v>1</v>
      </c>
      <c r="K9" s="275">
        <f t="shared" si="2"/>
        <v>0</v>
      </c>
    </row>
    <row r="10" spans="1:14" x14ac:dyDescent="0.35">
      <c r="A10" s="271" t="s">
        <v>1</v>
      </c>
      <c r="B10" s="272" t="s">
        <v>116</v>
      </c>
      <c r="C10" s="539" t="str">
        <f>IFERROR(IF(B10="","",VLOOKUP(B10,'Mapped COA'!A:G,2,0)),IF(B10="","",VLOOKUP(B10,COA!A:G,2,0)))</f>
        <v>Computer Services/Fees</v>
      </c>
      <c r="D10" s="478">
        <v>46174</v>
      </c>
      <c r="E10" s="478">
        <v>46203</v>
      </c>
      <c r="F10" s="273" t="s">
        <v>120</v>
      </c>
      <c r="G10" s="274">
        <v>1115.82</v>
      </c>
      <c r="H10" s="270">
        <f t="shared" si="0"/>
        <v>1</v>
      </c>
      <c r="I10" s="269">
        <f t="shared" si="1"/>
        <v>1115.82</v>
      </c>
      <c r="J10" s="270">
        <v>1</v>
      </c>
      <c r="K10" s="275">
        <f t="shared" si="2"/>
        <v>0</v>
      </c>
    </row>
    <row r="11" spans="1:14" x14ac:dyDescent="0.35">
      <c r="A11" s="271" t="s">
        <v>3</v>
      </c>
      <c r="B11" s="272" t="s">
        <v>121</v>
      </c>
      <c r="C11" s="272" t="str">
        <f>IFERROR(IF(B11="","",VLOOKUP(B11,'Mapped COA'!A:G,2,0)),IF(B11="","",VLOOKUP(B11,COA!A:G,2,0)))</f>
        <v>Advertising and Marketing Expenses</v>
      </c>
      <c r="D11" s="478">
        <v>46113</v>
      </c>
      <c r="E11" s="478">
        <v>46477</v>
      </c>
      <c r="F11" s="273" t="s">
        <v>122</v>
      </c>
      <c r="G11" s="274">
        <v>2074.16</v>
      </c>
      <c r="H11" s="270">
        <f t="shared" si="0"/>
        <v>12</v>
      </c>
      <c r="I11" s="269">
        <f t="shared" si="1"/>
        <v>172.85</v>
      </c>
      <c r="J11" s="270">
        <f>IFERROR(IF(D11="","",IF(EOMONTH(E11,0)&gt;=EOMONTH('Input-Instructions'!$B$6,0),DATEDIF(EOMONTH(D11,-1)+1,EOMONTH('Input-Instructions'!$B$6,0)+1,"m"),DATEDIF(EOMONTH(D11,-1)+1,EOMONTH(E11,0)+1,"m"))),"0")</f>
        <v>6</v>
      </c>
      <c r="K11" s="275">
        <f t="shared" si="2"/>
        <v>1037.06</v>
      </c>
    </row>
    <row r="12" spans="1:14" x14ac:dyDescent="0.35">
      <c r="A12" s="271" t="s">
        <v>3</v>
      </c>
      <c r="B12" s="272" t="s">
        <v>123</v>
      </c>
      <c r="C12" s="272" t="str">
        <f>IFERROR(IF(B12="","",VLOOKUP(B12,'Mapped COA'!A:G,2,0)),IF(B12="","",VLOOKUP(B12,COA!A:G,2,0)))</f>
        <v>Gas &amp; Fuel - Common Area</v>
      </c>
      <c r="D12" s="478">
        <v>46204</v>
      </c>
      <c r="E12" s="478">
        <v>46234</v>
      </c>
      <c r="F12" s="273" t="s">
        <v>124</v>
      </c>
      <c r="G12" s="274">
        <v>1145.54</v>
      </c>
      <c r="H12" s="270">
        <f t="shared" si="0"/>
        <v>1</v>
      </c>
      <c r="I12" s="269">
        <f t="shared" si="1"/>
        <v>1145.54</v>
      </c>
      <c r="J12" s="270">
        <v>1</v>
      </c>
      <c r="K12" s="275">
        <f t="shared" si="2"/>
        <v>0</v>
      </c>
    </row>
    <row r="13" spans="1:14" x14ac:dyDescent="0.35">
      <c r="A13" s="271" t="s">
        <v>3</v>
      </c>
      <c r="B13" s="272" t="s">
        <v>125</v>
      </c>
      <c r="C13" s="272" t="str">
        <f>IFERROR(IF(B13="","",VLOOKUP(B13,'Mapped COA'!A:G,2,0)),IF(B13="","",VLOOKUP(B13,COA!A:G,2,0)))</f>
        <v>Exterior Landscape Contract</v>
      </c>
      <c r="D13" s="478">
        <v>46204</v>
      </c>
      <c r="E13" s="478">
        <v>46234</v>
      </c>
      <c r="F13" s="273" t="s">
        <v>126</v>
      </c>
      <c r="G13" s="274">
        <v>5166</v>
      </c>
      <c r="H13" s="270">
        <f t="shared" si="0"/>
        <v>1</v>
      </c>
      <c r="I13" s="269">
        <f t="shared" si="1"/>
        <v>5166</v>
      </c>
      <c r="J13" s="270">
        <v>1</v>
      </c>
      <c r="K13" s="275">
        <f t="shared" si="2"/>
        <v>0</v>
      </c>
    </row>
    <row r="14" spans="1:14" x14ac:dyDescent="0.35">
      <c r="A14" s="271"/>
      <c r="B14" s="272"/>
      <c r="C14" s="272" t="str">
        <f>IFERROR(IF(B14="","",VLOOKUP(B14,'Mapped COA'!A:G,2,0)),IF(B14="","",VLOOKUP(B14,COA!A:G,2,0)))</f>
        <v/>
      </c>
      <c r="D14" s="478"/>
      <c r="E14" s="478"/>
      <c r="F14" s="273"/>
      <c r="G14" s="274"/>
      <c r="H14" s="270" t="str">
        <f t="shared" si="0"/>
        <v/>
      </c>
      <c r="I14" s="269" t="str">
        <f t="shared" si="1"/>
        <v/>
      </c>
      <c r="J14" s="270" t="str">
        <f>IFERROR(IF(D14="","",IF(EOMONTH(E14,0)&gt;=EOMONTH('Input-Instructions'!$B$6,0),DATEDIF(EOMONTH(D14,-1)+1,EOMONTH('Input-Instructions'!$B$6,0)+1,"m"),DATEDIF(EOMONTH(D14,-1)+1,EOMONTH(E14,0)+1,"m"))),"0")</f>
        <v/>
      </c>
      <c r="K14" s="275" t="str">
        <f t="shared" si="2"/>
        <v/>
      </c>
    </row>
    <row r="15" spans="1:14" x14ac:dyDescent="0.35">
      <c r="A15" s="271"/>
      <c r="B15" s="272"/>
      <c r="C15" s="272" t="str">
        <f>IFERROR(IF(B15="","",VLOOKUP(B15,'Mapped COA'!A:G,2,0)),IF(B15="","",VLOOKUP(B15,COA!A:G,2,0)))</f>
        <v/>
      </c>
      <c r="D15" s="478"/>
      <c r="E15" s="478"/>
      <c r="F15" s="273"/>
      <c r="G15" s="274"/>
      <c r="H15" s="270" t="str">
        <f t="shared" si="0"/>
        <v/>
      </c>
      <c r="I15" s="269" t="str">
        <f t="shared" si="1"/>
        <v/>
      </c>
      <c r="J15" s="270" t="str">
        <f>IFERROR(IF(D15="","",IF(EOMONTH(E15,0)&gt;=EOMONTH('Input-Instructions'!$B$6,0),DATEDIF(EOMONTH(D15,-1)+1,EOMONTH('Input-Instructions'!$B$6,0)+1,"m"),DATEDIF(EOMONTH(D15,-1)+1,EOMONTH(E15,0)+1,"m"))),"0")</f>
        <v/>
      </c>
      <c r="K15" s="275" t="str">
        <f t="shared" si="2"/>
        <v/>
      </c>
    </row>
    <row r="16" spans="1:14" x14ac:dyDescent="0.35">
      <c r="A16" s="271"/>
      <c r="B16" s="272"/>
      <c r="C16" s="272" t="str">
        <f>IFERROR(IF(B16="","",VLOOKUP(B16,'Mapped COA'!A:G,2,0)),IF(B16="","",VLOOKUP(B16,COA!A:G,2,0)))</f>
        <v/>
      </c>
      <c r="D16" s="478"/>
      <c r="E16" s="478"/>
      <c r="F16" s="273"/>
      <c r="G16" s="274"/>
      <c r="H16" s="270" t="str">
        <f t="shared" si="0"/>
        <v/>
      </c>
      <c r="I16" s="269" t="str">
        <f t="shared" si="1"/>
        <v/>
      </c>
      <c r="J16" s="270" t="str">
        <f>IFERROR(IF(D16="","",IF(EOMONTH(E16,0)&gt;=EOMONTH('Input-Instructions'!$B$6,0),DATEDIF(EOMONTH(D16,-1)+1,EOMONTH('Input-Instructions'!$B$6,0)+1,"m"),DATEDIF(EOMONTH(D16,-1)+1,EOMONTH(E16,0)+1,"m"))),"0")</f>
        <v/>
      </c>
      <c r="K16" s="275" t="str">
        <f t="shared" si="2"/>
        <v/>
      </c>
    </row>
    <row r="17" spans="1:11" x14ac:dyDescent="0.35">
      <c r="A17" s="271"/>
      <c r="B17" s="272"/>
      <c r="C17" s="272" t="str">
        <f>IFERROR(IF(B17="","",VLOOKUP(B17,'Mapped COA'!A:G,2,0)),IF(B17="","",VLOOKUP(B17,COA!A:G,2,0)))</f>
        <v/>
      </c>
      <c r="D17" s="478"/>
      <c r="E17" s="478"/>
      <c r="F17" s="273"/>
      <c r="G17" s="274"/>
      <c r="H17" s="270" t="str">
        <f t="shared" si="0"/>
        <v/>
      </c>
      <c r="I17" s="269" t="str">
        <f t="shared" si="1"/>
        <v/>
      </c>
      <c r="J17" s="270" t="str">
        <f>IFERROR(IF(D17="","",IF(EOMONTH(E17,0)&gt;=EOMONTH('Input-Instructions'!$B$6,0),DATEDIF(EOMONTH(D17,-1)+1,EOMONTH('Input-Instructions'!$B$6,0)+1,"m"),DATEDIF(EOMONTH(D17,-1)+1,EOMONTH(E17,0)+1,"m"))),"0")</f>
        <v/>
      </c>
      <c r="K17" s="275" t="str">
        <f t="shared" si="2"/>
        <v/>
      </c>
    </row>
    <row r="18" spans="1:11" x14ac:dyDescent="0.35">
      <c r="A18" s="271"/>
      <c r="B18" s="272"/>
      <c r="C18" s="272" t="str">
        <f>IFERROR(IF(B18="","",VLOOKUP(B18,'Mapped COA'!A:G,2,0)),IF(B18="","",VLOOKUP(B18,COA!A:G,2,0)))</f>
        <v/>
      </c>
      <c r="D18" s="478"/>
      <c r="E18" s="478"/>
      <c r="F18" s="273"/>
      <c r="G18" s="274"/>
      <c r="H18" s="270" t="str">
        <f t="shared" si="0"/>
        <v/>
      </c>
      <c r="I18" s="269" t="str">
        <f t="shared" si="1"/>
        <v/>
      </c>
      <c r="J18" s="270" t="str">
        <f>IFERROR(IF(D18="","",IF(EOMONTH(E18,0)&gt;=EOMONTH('Input-Instructions'!$B$6,0),DATEDIF(EOMONTH(D18,-1)+1,EOMONTH('Input-Instructions'!$B$6,0)+1,"m"),DATEDIF(EOMONTH(D18,-1)+1,EOMONTH(E18,0)+1,"m"))),"0")</f>
        <v/>
      </c>
      <c r="K18" s="275" t="str">
        <f>IFERROR(G18-(I18*J18),"")</f>
        <v/>
      </c>
    </row>
    <row r="19" spans="1:11" ht="16.5" customHeight="1" x14ac:dyDescent="0.35">
      <c r="D19"/>
      <c r="E19" s="427"/>
      <c r="H19" s="288"/>
      <c r="I19" s="570" t="s">
        <v>127</v>
      </c>
      <c r="J19" s="570"/>
      <c r="K19" s="291">
        <v>-0.02</v>
      </c>
    </row>
    <row r="20" spans="1:11" ht="20.25" customHeight="1" thickBot="1" x14ac:dyDescent="0.5">
      <c r="F20" s="285"/>
      <c r="G20" s="285"/>
      <c r="H20" s="287"/>
      <c r="I20" s="290" t="s">
        <v>128</v>
      </c>
      <c r="J20" s="289" t="str">
        <f>$B$4</f>
        <v>1630-8910</v>
      </c>
      <c r="K20" s="286">
        <f>$K$19+SUM(K6:K18)</f>
        <v>1037.0600000000004</v>
      </c>
    </row>
    <row r="21" spans="1:11" ht="15" thickTop="1" x14ac:dyDescent="0.35"/>
    <row r="23" spans="1:11" x14ac:dyDescent="0.35">
      <c r="K23" s="540"/>
    </row>
    <row r="24" spans="1:11" x14ac:dyDescent="0.35">
      <c r="K24" s="541"/>
    </row>
  </sheetData>
  <mergeCells count="4">
    <mergeCell ref="A3:K3"/>
    <mergeCell ref="I19:J19"/>
    <mergeCell ref="A1:K1"/>
    <mergeCell ref="A2:K2"/>
  </mergeCells>
  <conditionalFormatting sqref="B9:C9 F9:K9 C7:C8 B7 C6:E6 D7:G7 B10:K18 H6:K8 A6:A18">
    <cfRule type="expression" dxfId="83" priority="10">
      <formula>INDIRECT("A"&amp;ROW()) = "Yes"</formula>
    </cfRule>
  </conditionalFormatting>
  <conditionalFormatting sqref="B6">
    <cfRule type="expression" dxfId="82" priority="8">
      <formula>INDIRECT("A"&amp;ROW()) = "Yes"</formula>
    </cfRule>
  </conditionalFormatting>
  <conditionalFormatting sqref="B8">
    <cfRule type="expression" dxfId="81" priority="6">
      <formula>INDIRECT("A"&amp;ROW()) = "Yes"</formula>
    </cfRule>
  </conditionalFormatting>
  <conditionalFormatting sqref="D8:E9">
    <cfRule type="expression" dxfId="80" priority="4">
      <formula>INDIRECT("A"&amp;ROW()) = "Yes"</formula>
    </cfRule>
  </conditionalFormatting>
  <conditionalFormatting sqref="F6:G6">
    <cfRule type="expression" dxfId="79" priority="3">
      <formula>INDIRECT("A"&amp;ROW()) = "Yes"</formula>
    </cfRule>
  </conditionalFormatting>
  <conditionalFormatting sqref="F8:G8">
    <cfRule type="expression" dxfId="78" priority="1">
      <formula>INDIRECT("A"&amp;ROW()) = "Yes"</formula>
    </cfRule>
  </conditionalFormatting>
  <dataValidations count="1">
    <dataValidation type="list" allowBlank="1" showInputMessage="1" showErrorMessage="1" sqref="A6:A18" xr:uid="{50AAF6A1-C412-4B47-BD7C-12218AF48580}">
      <formula1>$M$4:$M$5</formula1>
    </dataValidation>
  </dataValidations>
  <printOptions horizontalCentered="1"/>
  <pageMargins left="0.7" right="0.7" top="0.75" bottom="0.75" header="0.3" footer="0.3"/>
  <pageSetup scale="37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50265-7F51-4326-AB59-29B47F136933}">
  <sheetPr codeName="Sheet6">
    <pageSetUpPr autoPageBreaks="0" fitToPage="1"/>
  </sheetPr>
  <dimension ref="A1:DV49"/>
  <sheetViews>
    <sheetView topLeftCell="C1" zoomScale="85" zoomScaleNormal="85" workbookViewId="0">
      <selection activeCell="M21" sqref="M21"/>
    </sheetView>
  </sheetViews>
  <sheetFormatPr defaultColWidth="9.1796875" defaultRowHeight="14.5" x14ac:dyDescent="0.35"/>
  <cols>
    <col min="1" max="1" width="15.453125" style="1" customWidth="1"/>
    <col min="2" max="3" width="28.453125" style="1" customWidth="1"/>
    <col min="4" max="4" width="14.81640625" style="1" bestFit="1" customWidth="1"/>
    <col min="5" max="5" width="22.26953125" style="1" customWidth="1"/>
    <col min="6" max="6" width="32.81640625" style="1" bestFit="1" customWidth="1"/>
    <col min="7" max="7" width="19" style="1" customWidth="1"/>
    <col min="8" max="9" width="18.54296875" style="1" customWidth="1"/>
    <col min="10" max="10" width="1.54296875" style="1" customWidth="1"/>
    <col min="11" max="11" width="18.54296875" style="1" customWidth="1"/>
    <col min="12" max="12" width="16.7265625" style="1" customWidth="1"/>
    <col min="13" max="13" width="13.1796875" style="1" customWidth="1"/>
    <col min="14" max="14" width="19.7265625" style="1" bestFit="1" customWidth="1"/>
    <col min="15" max="15" width="18.81640625" style="1" bestFit="1" customWidth="1"/>
    <col min="16" max="16" width="16.54296875" style="1" bestFit="1" customWidth="1"/>
    <col min="17" max="17" width="9.54296875" style="1" customWidth="1"/>
    <col min="18" max="19" width="8.7265625" style="1" customWidth="1"/>
    <col min="20" max="20" width="6.54296875" style="1" customWidth="1"/>
    <col min="21" max="22" width="8.7265625" style="1" customWidth="1"/>
    <col min="23" max="23" width="7.81640625" style="1" customWidth="1"/>
    <col min="24" max="24" width="25.26953125" style="1" customWidth="1"/>
    <col min="25" max="29" width="18.81640625" style="1" customWidth="1"/>
    <col min="30" max="30" width="6.7265625" style="1" customWidth="1"/>
    <col min="31" max="31" width="27.453125" style="1" customWidth="1"/>
    <col min="32" max="36" width="18.81640625" style="1" customWidth="1"/>
    <col min="37" max="37" width="7.26953125" style="1" customWidth="1"/>
    <col min="38" max="38" width="26.453125" style="1" customWidth="1"/>
    <col min="39" max="43" width="18.81640625" style="1" customWidth="1"/>
    <col min="44" max="44" width="7.26953125" style="1" customWidth="1"/>
    <col min="45" max="45" width="24.453125" style="1" customWidth="1"/>
    <col min="46" max="50" width="18.81640625" style="1" customWidth="1"/>
    <col min="51" max="51" width="8" style="1" customWidth="1"/>
    <col min="52" max="52" width="25" style="1" customWidth="1"/>
    <col min="53" max="57" width="18.81640625" style="1" customWidth="1"/>
    <col min="58" max="58" width="2.7265625" style="1" customWidth="1"/>
    <col min="59" max="59" width="8.54296875" style="48" customWidth="1"/>
    <col min="60" max="60" width="18.26953125" style="1" bestFit="1" customWidth="1"/>
    <col min="61" max="61" width="18.81640625" style="1" bestFit="1" customWidth="1"/>
    <col min="62" max="62" width="15.54296875" style="1" customWidth="1"/>
    <col min="63" max="63" width="14.81640625" style="1" customWidth="1"/>
    <col min="64" max="64" width="13.7265625" style="1" customWidth="1"/>
    <col min="65" max="66" width="9.1796875" style="1" customWidth="1"/>
    <col min="67" max="67" width="10.7265625" style="1" customWidth="1"/>
    <col min="68" max="73" width="9.1796875" style="1" customWidth="1"/>
    <col min="74" max="74" width="9.1796875" style="1" hidden="1" customWidth="1"/>
    <col min="75" max="75" width="13.453125" style="1" hidden="1" customWidth="1"/>
    <col min="76" max="76" width="14.26953125" style="1" hidden="1" customWidth="1"/>
    <col min="77" max="77" width="14.453125" style="1" hidden="1" customWidth="1"/>
    <col min="78" max="78" width="13.7265625" style="1" hidden="1" customWidth="1"/>
    <col min="79" max="79" width="14" style="1" hidden="1" customWidth="1"/>
    <col min="80" max="80" width="15" style="1" hidden="1" customWidth="1"/>
    <col min="81" max="81" width="9.1796875" style="1" hidden="1" customWidth="1"/>
    <col min="82" max="82" width="13.7265625" style="1" hidden="1" customWidth="1"/>
    <col min="83" max="83" width="16.26953125" style="1" hidden="1" customWidth="1"/>
    <col min="84" max="88" width="9.1796875" style="1" hidden="1" customWidth="1"/>
    <col min="89" max="89" width="13.26953125" style="1" hidden="1" customWidth="1"/>
    <col min="90" max="90" width="15.7265625" style="1" hidden="1" customWidth="1"/>
    <col min="91" max="95" width="9.1796875" style="1" hidden="1" customWidth="1"/>
    <col min="96" max="96" width="14.26953125" style="1" hidden="1" customWidth="1"/>
    <col min="97" max="97" width="15.453125" style="1" hidden="1" customWidth="1"/>
    <col min="98" max="102" width="9.1796875" style="1" hidden="1" customWidth="1"/>
    <col min="103" max="103" width="13.26953125" style="1" hidden="1" customWidth="1"/>
    <col min="104" max="104" width="14" style="1" hidden="1" customWidth="1"/>
    <col min="105" max="109" width="9.1796875" style="1" hidden="1" customWidth="1"/>
    <col min="110" max="110" width="14.54296875" style="1" hidden="1" customWidth="1"/>
    <col min="111" max="111" width="16.7265625" style="1" hidden="1" customWidth="1"/>
    <col min="112" max="116" width="9.1796875" style="1" hidden="1" customWidth="1"/>
    <col min="117" max="117" width="13.453125" style="1" hidden="1" customWidth="1"/>
    <col min="118" max="118" width="12" style="1" hidden="1" customWidth="1"/>
    <col min="119" max="123" width="9.1796875" style="1" hidden="1" customWidth="1"/>
    <col min="124" max="124" width="15" style="1" hidden="1" customWidth="1"/>
    <col min="125" max="125" width="13.1796875" style="1" hidden="1" customWidth="1"/>
    <col min="126" max="126" width="9.1796875" style="1" hidden="1" customWidth="1"/>
    <col min="127" max="16384" width="9.1796875" style="1"/>
  </cols>
  <sheetData>
    <row r="1" spans="1:82" ht="21.75" customHeight="1" x14ac:dyDescent="0.4">
      <c r="A1" s="552" t="str">
        <f>'Input-Instructions'!B3</f>
        <v>Residences at Shiloh Crossing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371"/>
      <c r="O1" s="371"/>
      <c r="P1" s="194"/>
      <c r="Q1" s="194"/>
      <c r="T1" s="194"/>
      <c r="U1" s="194"/>
      <c r="V1" s="194"/>
      <c r="BG1" s="209"/>
      <c r="BO1" s="2"/>
      <c r="BW1" s="2">
        <v>43830</v>
      </c>
      <c r="CA1" s="2"/>
      <c r="CD1" s="2"/>
    </row>
    <row r="2" spans="1:82" ht="21" customHeight="1" x14ac:dyDescent="0.4">
      <c r="A2" s="553" t="s">
        <v>129</v>
      </c>
      <c r="B2" s="553"/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372"/>
      <c r="O2" s="372"/>
      <c r="P2" s="195"/>
      <c r="Q2" s="195"/>
      <c r="T2" s="195"/>
      <c r="U2" s="195"/>
      <c r="V2" s="195"/>
      <c r="W2" s="195"/>
      <c r="X2" s="195"/>
      <c r="Y2" s="195"/>
      <c r="Z2" s="195"/>
      <c r="AA2" s="195"/>
      <c r="AB2" s="195"/>
      <c r="AC2" s="195"/>
      <c r="AD2" s="195"/>
      <c r="AE2" s="195"/>
      <c r="AF2" s="195"/>
      <c r="AG2" s="195"/>
      <c r="AH2" s="195"/>
      <c r="AI2" s="195"/>
      <c r="AJ2" s="195"/>
      <c r="AK2" s="195"/>
      <c r="AL2" s="195"/>
      <c r="AM2" s="195"/>
      <c r="AN2" s="195"/>
      <c r="AO2" s="195"/>
      <c r="AP2" s="195"/>
      <c r="AQ2" s="195"/>
      <c r="AR2" s="195"/>
      <c r="AS2" s="195"/>
      <c r="AT2" s="195"/>
      <c r="AU2" s="195"/>
      <c r="AV2" s="195"/>
      <c r="AW2" s="195"/>
      <c r="AX2" s="195"/>
      <c r="AY2" s="195"/>
      <c r="AZ2" s="195"/>
      <c r="BA2" s="195"/>
      <c r="BB2" s="195"/>
      <c r="BC2" s="195"/>
      <c r="BD2" s="195"/>
      <c r="BE2" s="195"/>
      <c r="BF2" s="195"/>
      <c r="BG2" s="210"/>
      <c r="BW2" s="2">
        <v>43831</v>
      </c>
      <c r="CA2" s="2"/>
      <c r="CD2" s="2"/>
    </row>
    <row r="3" spans="1:82" ht="21.75" customHeight="1" x14ac:dyDescent="0.4">
      <c r="A3" s="554" t="str">
        <f>TEXT('Input-Instructions'!$B$6,"MMMM YYYY")</f>
        <v>September 2026</v>
      </c>
      <c r="B3" s="554"/>
      <c r="C3" s="554"/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373"/>
      <c r="O3" s="373"/>
      <c r="P3" s="196"/>
      <c r="Q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6"/>
      <c r="BD3" s="196"/>
      <c r="BE3" s="196"/>
      <c r="BF3" s="196"/>
      <c r="BG3" s="211"/>
      <c r="BW3" s="1">
        <v>12</v>
      </c>
    </row>
    <row r="5" spans="1:82" x14ac:dyDescent="0.35">
      <c r="R5" s="213"/>
      <c r="S5" s="213"/>
      <c r="BW5" s="1" t="s">
        <v>9</v>
      </c>
    </row>
    <row r="6" spans="1:82" ht="25.5" customHeight="1" thickBot="1" x14ac:dyDescent="0.5">
      <c r="B6" s="197"/>
      <c r="C6" s="197"/>
      <c r="D6" s="48"/>
      <c r="R6" s="213"/>
      <c r="S6" s="213"/>
    </row>
    <row r="7" spans="1:82" ht="18" customHeight="1" x14ac:dyDescent="0.45">
      <c r="B7" s="452" t="s">
        <v>130</v>
      </c>
      <c r="C7" s="212"/>
      <c r="D7" s="369" t="s">
        <v>131</v>
      </c>
      <c r="E7" s="3"/>
      <c r="S7" s="580" t="s">
        <v>132</v>
      </c>
      <c r="T7" s="581"/>
      <c r="V7" s="580" t="s">
        <v>133</v>
      </c>
      <c r="W7" s="581"/>
      <c r="BG7" s="1"/>
      <c r="BH7" s="48"/>
    </row>
    <row r="8" spans="1:82" ht="29" x14ac:dyDescent="0.35">
      <c r="A8" s="266" t="s">
        <v>105</v>
      </c>
      <c r="B8" s="260" t="s">
        <v>134</v>
      </c>
      <c r="C8" s="260" t="s">
        <v>135</v>
      </c>
      <c r="D8" s="3" t="s">
        <v>136</v>
      </c>
      <c r="E8" s="198" t="s">
        <v>137</v>
      </c>
      <c r="F8" s="198" t="s">
        <v>107</v>
      </c>
      <c r="G8" s="198" t="s">
        <v>138</v>
      </c>
      <c r="H8" s="3" t="s">
        <v>139</v>
      </c>
      <c r="I8" s="3" t="s">
        <v>140</v>
      </c>
      <c r="K8" s="198" t="s">
        <v>141</v>
      </c>
      <c r="L8" s="198" t="s">
        <v>142</v>
      </c>
      <c r="M8" s="198" t="s">
        <v>143</v>
      </c>
      <c r="N8" s="3" t="s">
        <v>144</v>
      </c>
      <c r="O8" s="3" t="s">
        <v>145</v>
      </c>
      <c r="P8" s="3" t="s">
        <v>146</v>
      </c>
      <c r="S8" s="582"/>
      <c r="T8" s="583"/>
      <c r="V8" s="582"/>
      <c r="W8" s="583"/>
      <c r="BG8" s="1"/>
      <c r="BH8" s="48"/>
    </row>
    <row r="9" spans="1:82" x14ac:dyDescent="0.35">
      <c r="A9" s="205" t="s">
        <v>1</v>
      </c>
      <c r="B9" s="205">
        <v>45901</v>
      </c>
      <c r="C9" s="205">
        <v>46265</v>
      </c>
      <c r="D9" s="369">
        <v>12</v>
      </c>
      <c r="E9" s="369" t="s">
        <v>147</v>
      </c>
      <c r="F9" s="369" t="str">
        <f>IFERROR(IF(E9="","",VLOOKUP(E9,'Mapped COA'!A:G,2,0)),IF(E9="","",VLOOKUP(E9,COA!A:G,2,0)))</f>
        <v>RE Insurance - Property / Taxes</v>
      </c>
      <c r="G9"/>
      <c r="H9" s="206"/>
      <c r="I9" s="49" t="s">
        <v>148</v>
      </c>
      <c r="K9" s="200">
        <v>144339.66</v>
      </c>
      <c r="L9" s="202">
        <f t="shared" ref="L9:L17" si="0">IFERROR(ROUND(K9/D9,2),0)</f>
        <v>12028.31</v>
      </c>
      <c r="M9" s="201">
        <v>0</v>
      </c>
      <c r="N9" s="4">
        <f>IFERROR(L9*M9,0)</f>
        <v>0</v>
      </c>
      <c r="O9" s="205"/>
      <c r="P9" s="49"/>
      <c r="S9" s="582"/>
      <c r="T9" s="583"/>
      <c r="V9" s="582"/>
      <c r="W9" s="583"/>
      <c r="BG9" s="1"/>
      <c r="BH9" s="48"/>
    </row>
    <row r="10" spans="1:82" ht="15" thickBot="1" x14ac:dyDescent="0.4">
      <c r="A10" s="205" t="s">
        <v>1</v>
      </c>
      <c r="B10" s="205">
        <v>45901</v>
      </c>
      <c r="C10" s="205">
        <v>46265</v>
      </c>
      <c r="D10" s="369">
        <v>12</v>
      </c>
      <c r="E10" s="369" t="s">
        <v>149</v>
      </c>
      <c r="F10" s="369" t="str">
        <f>IFERROR(IF(E10="","",VLOOKUP(E10,'Mapped COA'!A:G,2,0)),IF(E10="","",VLOOKUP(E10,COA!A:G,2,0)))</f>
        <v>RE Insurance - Liability</v>
      </c>
      <c r="G10"/>
      <c r="H10" s="49"/>
      <c r="I10" s="49" t="s">
        <v>148</v>
      </c>
      <c r="K10" s="200">
        <v>42145.43</v>
      </c>
      <c r="L10" s="202">
        <f t="shared" si="0"/>
        <v>3512.12</v>
      </c>
      <c r="M10" s="201">
        <v>0</v>
      </c>
      <c r="N10" s="4">
        <f t="shared" ref="N10:N17" si="1">IFERROR(L10*M10,0)</f>
        <v>0</v>
      </c>
      <c r="O10" s="205"/>
      <c r="P10" s="49"/>
      <c r="S10" s="584"/>
      <c r="T10" s="585"/>
      <c r="V10" s="584"/>
      <c r="W10" s="585"/>
      <c r="BG10" s="1"/>
      <c r="BH10" s="48"/>
    </row>
    <row r="11" spans="1:82" x14ac:dyDescent="0.35">
      <c r="A11" s="205" t="s">
        <v>1</v>
      </c>
      <c r="B11" s="205">
        <v>45901</v>
      </c>
      <c r="C11" s="205">
        <v>46265</v>
      </c>
      <c r="D11" s="369">
        <v>12</v>
      </c>
      <c r="E11" s="369" t="s">
        <v>152</v>
      </c>
      <c r="F11" s="369" t="str">
        <f>IFERROR(IF(E11="","",VLOOKUP(E11,'Mapped COA'!A:G,2,0)),IF(E11="","",VLOOKUP(E11,COA!A:G,2,0)))</f>
        <v>RE Insurance - Excess Liability</v>
      </c>
      <c r="G11"/>
      <c r="H11" s="49" t="s">
        <v>151</v>
      </c>
      <c r="I11" s="49" t="s">
        <v>148</v>
      </c>
      <c r="K11" s="200">
        <v>12022.11</v>
      </c>
      <c r="L11" s="202">
        <f t="shared" si="0"/>
        <v>1001.84</v>
      </c>
      <c r="M11" s="201">
        <v>0</v>
      </c>
      <c r="N11" s="4">
        <f t="shared" si="1"/>
        <v>0</v>
      </c>
      <c r="O11" s="205"/>
      <c r="P11" s="49"/>
      <c r="BG11" s="1"/>
      <c r="BH11" s="48"/>
    </row>
    <row r="12" spans="1:82" x14ac:dyDescent="0.35">
      <c r="A12" s="205"/>
      <c r="B12" s="493">
        <v>46054</v>
      </c>
      <c r="C12" s="205">
        <v>47149</v>
      </c>
      <c r="D12" s="369">
        <v>36</v>
      </c>
      <c r="E12" s="369" t="s">
        <v>150</v>
      </c>
      <c r="F12" s="369" t="str">
        <f>IFERROR(IF(E12="","",VLOOKUP(E12,'Mapped COA'!A:G,2,0)),IF(E12="","",VLOOKUP(E12,COA!A:G,2,0)))</f>
        <v>RE Insurance - Pollution</v>
      </c>
      <c r="G12"/>
      <c r="H12" s="49"/>
      <c r="I12" s="49" t="s">
        <v>148</v>
      </c>
      <c r="K12" s="200">
        <v>2690.14</v>
      </c>
      <c r="L12" s="202">
        <f t="shared" si="0"/>
        <v>74.73</v>
      </c>
      <c r="M12" s="201">
        <v>28</v>
      </c>
      <c r="N12" s="4">
        <f t="shared" si="1"/>
        <v>2092.44</v>
      </c>
      <c r="O12" s="205"/>
      <c r="P12" s="49"/>
      <c r="BG12" s="1"/>
      <c r="BH12" s="48"/>
    </row>
    <row r="13" spans="1:82" x14ac:dyDescent="0.35">
      <c r="A13" s="205"/>
      <c r="B13" s="493"/>
      <c r="C13" s="493"/>
      <c r="D13" s="369" t="str">
        <f t="shared" ref="D13:D17" si="2">IFERROR(DATEDIF(EOMONTH(B13,-1)+1,EOMONTH(C13,0)+1,"m"),"")</f>
        <v/>
      </c>
      <c r="E13" s="369"/>
      <c r="F13" s="369" t="str">
        <f>IFERROR(IF(E13="","",VLOOKUP(E13,'Mapped COA'!A:G,2,0)),IF(E13="","",VLOOKUP(E13,COA!A:G,2,0)))</f>
        <v/>
      </c>
      <c r="G13"/>
      <c r="H13" s="49"/>
      <c r="I13" s="49"/>
      <c r="K13" s="200"/>
      <c r="L13" s="202">
        <f t="shared" si="0"/>
        <v>0</v>
      </c>
      <c r="M13" s="201"/>
      <c r="N13" s="4">
        <f t="shared" si="1"/>
        <v>0</v>
      </c>
      <c r="O13" s="205"/>
      <c r="P13" s="49"/>
      <c r="BG13" s="1"/>
      <c r="BH13" s="48"/>
    </row>
    <row r="14" spans="1:82" x14ac:dyDescent="0.35">
      <c r="A14" s="205"/>
      <c r="B14" s="493"/>
      <c r="C14" s="493"/>
      <c r="D14" s="369" t="str">
        <f t="shared" si="2"/>
        <v/>
      </c>
      <c r="E14" s="369"/>
      <c r="F14" s="369" t="str">
        <f>IFERROR(IF(E14="","",VLOOKUP(E14,'Mapped COA'!A:G,2,0)),IF(E14="","",VLOOKUP(E14,COA!A:G,2,0)))</f>
        <v/>
      </c>
      <c r="G14"/>
      <c r="H14" s="49"/>
      <c r="I14" s="49"/>
      <c r="K14" s="200"/>
      <c r="L14" s="202">
        <f t="shared" si="0"/>
        <v>0</v>
      </c>
      <c r="M14" s="201"/>
      <c r="N14" s="4">
        <f t="shared" si="1"/>
        <v>0</v>
      </c>
      <c r="O14" s="205"/>
      <c r="P14" s="49"/>
      <c r="BG14" s="1"/>
      <c r="BH14" s="48"/>
    </row>
    <row r="15" spans="1:82" x14ac:dyDescent="0.35">
      <c r="A15" s="205"/>
      <c r="B15" s="493"/>
      <c r="C15" s="493"/>
      <c r="D15" s="369" t="str">
        <f t="shared" si="2"/>
        <v/>
      </c>
      <c r="E15" s="369"/>
      <c r="F15" s="369" t="str">
        <f>IFERROR(IF(E15="","",VLOOKUP(E15,'Mapped COA'!A:G,2,0)),IF(E15="","",VLOOKUP(E15,COA!A:G,2,0)))</f>
        <v/>
      </c>
      <c r="G15"/>
      <c r="H15" s="49"/>
      <c r="I15" s="49"/>
      <c r="K15" s="200"/>
      <c r="L15" s="202">
        <f t="shared" si="0"/>
        <v>0</v>
      </c>
      <c r="M15" s="201"/>
      <c r="N15" s="4">
        <f t="shared" si="1"/>
        <v>0</v>
      </c>
      <c r="O15" s="205"/>
      <c r="P15" s="49"/>
      <c r="BG15" s="1"/>
      <c r="BH15" s="48"/>
    </row>
    <row r="16" spans="1:82" x14ac:dyDescent="0.35">
      <c r="A16" s="205"/>
      <c r="B16" s="493"/>
      <c r="C16" s="493"/>
      <c r="D16" s="369" t="str">
        <f t="shared" si="2"/>
        <v/>
      </c>
      <c r="E16" s="369"/>
      <c r="F16" s="369" t="str">
        <f>IFERROR(IF(E16="","",VLOOKUP(E16,'Mapped COA'!A:G,2,0)),IF(E16="","",VLOOKUP(E16,COA!A:G,2,0)))</f>
        <v/>
      </c>
      <c r="G16"/>
      <c r="H16" s="49"/>
      <c r="I16" s="49"/>
      <c r="K16" s="200"/>
      <c r="L16" s="202">
        <f t="shared" si="0"/>
        <v>0</v>
      </c>
      <c r="M16" s="201"/>
      <c r="N16" s="4">
        <f t="shared" si="1"/>
        <v>0</v>
      </c>
      <c r="O16" s="205"/>
      <c r="P16" s="49"/>
      <c r="BG16" s="1"/>
      <c r="BH16" s="48"/>
    </row>
    <row r="17" spans="1:60" x14ac:dyDescent="0.35">
      <c r="A17" s="205"/>
      <c r="B17" s="493"/>
      <c r="C17" s="493"/>
      <c r="D17" s="369" t="str">
        <f t="shared" si="2"/>
        <v/>
      </c>
      <c r="E17" s="369"/>
      <c r="F17" s="369" t="str">
        <f>IFERROR(IF(E17="","",VLOOKUP(E17,'Mapped COA'!A:G,2,0)),IF(E17="","",VLOOKUP(E17,COA!A:G,2,0)))</f>
        <v/>
      </c>
      <c r="G17"/>
      <c r="H17" s="49"/>
      <c r="I17" s="49"/>
      <c r="K17" s="200"/>
      <c r="L17" s="202">
        <f t="shared" si="0"/>
        <v>0</v>
      </c>
      <c r="M17" s="201"/>
      <c r="N17" s="4">
        <f t="shared" si="1"/>
        <v>0</v>
      </c>
      <c r="O17" s="205"/>
      <c r="P17" s="49"/>
      <c r="BG17" s="1"/>
      <c r="BH17" s="48"/>
    </row>
    <row r="18" spans="1:60" x14ac:dyDescent="0.35">
      <c r="E18" s="579" t="s">
        <v>127</v>
      </c>
      <c r="F18" s="579"/>
      <c r="G18" s="579"/>
      <c r="H18" s="579"/>
      <c r="K18" s="203"/>
      <c r="L18" s="207"/>
      <c r="N18" s="204">
        <v>-0.11</v>
      </c>
      <c r="BG18" s="1"/>
      <c r="BH18" s="48"/>
    </row>
    <row r="19" spans="1:60" x14ac:dyDescent="0.35">
      <c r="E19" s="199"/>
      <c r="F19" s="199"/>
      <c r="K19" s="4">
        <f>SUM(K9:K17)</f>
        <v>201197.34000000003</v>
      </c>
      <c r="L19" s="208">
        <f>SUM(L9:L17)</f>
        <v>16617</v>
      </c>
      <c r="N19" s="4">
        <f>SUM(N9:N18)</f>
        <v>2092.33</v>
      </c>
      <c r="BG19" s="1"/>
      <c r="BH19" s="48"/>
    </row>
    <row r="20" spans="1:60" ht="15.65" customHeight="1" x14ac:dyDescent="0.35">
      <c r="D20" s="48"/>
      <c r="BG20" s="1"/>
      <c r="BH20" s="48"/>
    </row>
    <row r="21" spans="1:60" ht="20.5" x14ac:dyDescent="0.45">
      <c r="B21" s="452" t="s">
        <v>153</v>
      </c>
      <c r="C21" s="212"/>
      <c r="D21" s="369" t="s">
        <v>154</v>
      </c>
      <c r="BG21" s="1"/>
      <c r="BH21" s="48"/>
    </row>
    <row r="22" spans="1:60" ht="30" customHeight="1" x14ac:dyDescent="0.35">
      <c r="A22" s="266" t="s">
        <v>105</v>
      </c>
      <c r="B22" s="260" t="s">
        <v>134</v>
      </c>
      <c r="C22" s="260" t="s">
        <v>135</v>
      </c>
      <c r="D22" s="3" t="s">
        <v>136</v>
      </c>
      <c r="E22" s="198" t="s">
        <v>137</v>
      </c>
      <c r="F22" s="198"/>
      <c r="G22" s="198" t="s">
        <v>138</v>
      </c>
      <c r="H22" s="3" t="s">
        <v>139</v>
      </c>
      <c r="I22" s="3" t="s">
        <v>140</v>
      </c>
      <c r="K22" s="198" t="s">
        <v>155</v>
      </c>
      <c r="L22" s="198" t="s">
        <v>142</v>
      </c>
      <c r="M22" s="198" t="s">
        <v>156</v>
      </c>
      <c r="N22" s="3" t="s">
        <v>157</v>
      </c>
      <c r="O22" s="3"/>
      <c r="P22" s="3"/>
      <c r="BG22" s="1"/>
      <c r="BH22" s="48"/>
    </row>
    <row r="23" spans="1:60" x14ac:dyDescent="0.35">
      <c r="A23" s="205"/>
      <c r="B23" s="205">
        <v>46266</v>
      </c>
      <c r="C23" s="205">
        <v>46387</v>
      </c>
      <c r="D23" s="369">
        <v>3</v>
      </c>
      <c r="E23" s="369" t="s">
        <v>147</v>
      </c>
      <c r="F23" s="369" t="str">
        <f>IFERROR(IF(E23="","",VLOOKUP(#REF!,'Mapped COA'!A:G,2,0)),IF(E23="","",VLOOKUP(E23,COA!A:G,2,0)))</f>
        <v>RE Insurance - Property / Taxes</v>
      </c>
      <c r="G23"/>
      <c r="H23" s="222"/>
      <c r="K23" s="200">
        <v>37891</v>
      </c>
      <c r="L23" s="202">
        <f>IFERROR(ROUND(K23/D23,2),0)</f>
        <v>12630.33</v>
      </c>
      <c r="M23" s="369">
        <v>1</v>
      </c>
      <c r="N23" s="4">
        <f>IFERROR(L23*M23,0)</f>
        <v>12630.33</v>
      </c>
      <c r="O23" s="186"/>
      <c r="BG23" s="1"/>
      <c r="BH23" s="48"/>
    </row>
    <row r="24" spans="1:60" x14ac:dyDescent="0.35">
      <c r="A24" s="205"/>
      <c r="B24" s="205">
        <v>46266</v>
      </c>
      <c r="C24" s="205">
        <v>46387</v>
      </c>
      <c r="D24" s="369">
        <v>3</v>
      </c>
      <c r="E24" s="369" t="s">
        <v>149</v>
      </c>
      <c r="F24" s="369" t="str">
        <f>IFERROR(IF(E24="","",VLOOKUP(#REF!,'Mapped COA'!A:G,2,0)),IF(E24="","",VLOOKUP(E24,COA!A:G,2,0)))</f>
        <v>RE Insurance - Liability</v>
      </c>
      <c r="G24"/>
      <c r="K24" s="200">
        <v>14218</v>
      </c>
      <c r="L24" s="202">
        <f t="shared" ref="L24:L32" si="3">IFERROR(ROUND(K24/D24,2),0)</f>
        <v>4739.33</v>
      </c>
      <c r="M24" s="201">
        <v>1</v>
      </c>
      <c r="N24" s="4">
        <f t="shared" ref="N24:N32" si="4">IFERROR(L24*M24,0)</f>
        <v>4739.33</v>
      </c>
      <c r="O24" s="186"/>
      <c r="BG24" s="1"/>
      <c r="BH24" s="48"/>
    </row>
    <row r="25" spans="1:60" x14ac:dyDescent="0.35">
      <c r="A25" s="205"/>
      <c r="B25" s="205">
        <v>46266</v>
      </c>
      <c r="C25" s="205">
        <v>46387</v>
      </c>
      <c r="D25" s="369">
        <v>3</v>
      </c>
      <c r="E25" s="369" t="s">
        <v>152</v>
      </c>
      <c r="F25" s="369" t="str">
        <f>IFERROR(IF(E25="","",VLOOKUP(#REF!,'Mapped COA'!A:G,2,0)),IF(E25="","",VLOOKUP(E25,COA!A:G,2,0)))</f>
        <v>RE Insurance - Excess Liability</v>
      </c>
      <c r="G25"/>
      <c r="K25" s="200">
        <v>3213</v>
      </c>
      <c r="L25" s="202">
        <f t="shared" si="3"/>
        <v>1071</v>
      </c>
      <c r="M25" s="201">
        <v>1</v>
      </c>
      <c r="N25" s="4">
        <f t="shared" si="4"/>
        <v>1071</v>
      </c>
      <c r="O25" s="186"/>
      <c r="BG25" s="1"/>
      <c r="BH25" s="48"/>
    </row>
    <row r="26" spans="1:60" x14ac:dyDescent="0.35">
      <c r="A26" s="205"/>
      <c r="B26" s="493"/>
      <c r="C26" s="493"/>
      <c r="D26" s="369" t="str">
        <f t="shared" ref="D26:D32" si="5">IFERROR(DATEDIF(EOMONTH(B26,-1)+1,EOMONTH(C26,0)+1,"m"),"")</f>
        <v/>
      </c>
      <c r="E26" s="369"/>
      <c r="F26" s="369" t="str">
        <f>IFERROR(IF(E26="","",VLOOKUP(E26,'Mapped COA'!A:G,2,0)),IF(E26="","",VLOOKUP(E26,COA!A:G,2,0)))</f>
        <v/>
      </c>
      <c r="G26"/>
      <c r="K26" s="200"/>
      <c r="L26" s="202">
        <f t="shared" si="3"/>
        <v>0</v>
      </c>
      <c r="M26" s="201"/>
      <c r="N26" s="4">
        <f t="shared" si="4"/>
        <v>0</v>
      </c>
      <c r="O26" s="186"/>
      <c r="BG26" s="1"/>
      <c r="BH26" s="48"/>
    </row>
    <row r="27" spans="1:60" x14ac:dyDescent="0.35">
      <c r="A27" s="205"/>
      <c r="B27" s="493"/>
      <c r="C27" s="493"/>
      <c r="D27" s="369" t="str">
        <f t="shared" si="5"/>
        <v/>
      </c>
      <c r="E27" s="369"/>
      <c r="F27" s="369" t="str">
        <f>IFERROR(IF(E27="","",VLOOKUP(E27,'Mapped COA'!A:G,2,0)),IF(E27="","",VLOOKUP(E27,COA!A:G,2,0)))</f>
        <v/>
      </c>
      <c r="G27"/>
      <c r="K27" s="200"/>
      <c r="L27" s="202">
        <f t="shared" si="3"/>
        <v>0</v>
      </c>
      <c r="M27" s="201"/>
      <c r="N27" s="4">
        <f t="shared" si="4"/>
        <v>0</v>
      </c>
      <c r="O27" s="186"/>
      <c r="BG27" s="1"/>
      <c r="BH27" s="48"/>
    </row>
    <row r="28" spans="1:60" x14ac:dyDescent="0.35">
      <c r="A28" s="205"/>
      <c r="B28" s="493"/>
      <c r="C28" s="493"/>
      <c r="D28" s="369" t="str">
        <f t="shared" si="5"/>
        <v/>
      </c>
      <c r="E28" s="369"/>
      <c r="F28" s="369" t="str">
        <f>IFERROR(IF(E28="","",VLOOKUP(E28,'Mapped COA'!A:G,2,0)),IF(E28="","",VLOOKUP(E28,COA!A:G,2,0)))</f>
        <v/>
      </c>
      <c r="G28"/>
      <c r="K28" s="200"/>
      <c r="L28" s="202">
        <f t="shared" si="3"/>
        <v>0</v>
      </c>
      <c r="M28" s="201"/>
      <c r="N28" s="4">
        <f t="shared" si="4"/>
        <v>0</v>
      </c>
      <c r="O28" s="186"/>
      <c r="BG28" s="1"/>
      <c r="BH28" s="48"/>
    </row>
    <row r="29" spans="1:60" x14ac:dyDescent="0.35">
      <c r="A29" s="205"/>
      <c r="B29" s="493"/>
      <c r="C29" s="493"/>
      <c r="D29" s="369" t="str">
        <f t="shared" si="5"/>
        <v/>
      </c>
      <c r="E29" s="369"/>
      <c r="F29" s="369" t="str">
        <f>IFERROR(IF(E29="","",VLOOKUP(E29,'Mapped COA'!A:G,2,0)),IF(E29="","",VLOOKUP(E29,COA!A:G,2,0)))</f>
        <v/>
      </c>
      <c r="G29"/>
      <c r="K29" s="200"/>
      <c r="L29" s="202">
        <f t="shared" si="3"/>
        <v>0</v>
      </c>
      <c r="M29" s="201"/>
      <c r="N29" s="4">
        <f t="shared" si="4"/>
        <v>0</v>
      </c>
      <c r="O29" s="186"/>
      <c r="BG29" s="1"/>
      <c r="BH29" s="48"/>
    </row>
    <row r="30" spans="1:60" x14ac:dyDescent="0.35">
      <c r="A30" s="205"/>
      <c r="B30" s="493"/>
      <c r="C30" s="493"/>
      <c r="D30" s="369" t="str">
        <f t="shared" si="5"/>
        <v/>
      </c>
      <c r="E30" s="369"/>
      <c r="F30" s="369" t="str">
        <f>IFERROR(IF(E30="","",VLOOKUP(E30,'Mapped COA'!A:G,2,0)),IF(E30="","",VLOOKUP(E30,COA!A:G,2,0)))</f>
        <v/>
      </c>
      <c r="G30"/>
      <c r="K30" s="200"/>
      <c r="L30" s="202">
        <f t="shared" si="3"/>
        <v>0</v>
      </c>
      <c r="M30" s="201"/>
      <c r="N30" s="4">
        <f t="shared" si="4"/>
        <v>0</v>
      </c>
      <c r="O30" s="186"/>
      <c r="BG30" s="1"/>
      <c r="BH30" s="48"/>
    </row>
    <row r="31" spans="1:60" x14ac:dyDescent="0.35">
      <c r="A31" s="205"/>
      <c r="B31" s="493"/>
      <c r="C31" s="493"/>
      <c r="D31" s="369" t="str">
        <f t="shared" si="5"/>
        <v/>
      </c>
      <c r="E31" s="369"/>
      <c r="F31" s="369" t="str">
        <f>IFERROR(IF(E31="","",VLOOKUP(E31,'Mapped COA'!A:G,2,0)),IF(E31="","",VLOOKUP(E31,COA!A:G,2,0)))</f>
        <v/>
      </c>
      <c r="G31"/>
      <c r="K31" s="200"/>
      <c r="L31" s="202">
        <f t="shared" si="3"/>
        <v>0</v>
      </c>
      <c r="M31" s="201"/>
      <c r="N31" s="4">
        <f t="shared" si="4"/>
        <v>0</v>
      </c>
      <c r="O31" s="186"/>
      <c r="BG31" s="1"/>
      <c r="BH31" s="48"/>
    </row>
    <row r="32" spans="1:60" x14ac:dyDescent="0.35">
      <c r="A32" s="205"/>
      <c r="B32" s="493"/>
      <c r="C32" s="493"/>
      <c r="D32" s="369" t="str">
        <f t="shared" si="5"/>
        <v/>
      </c>
      <c r="E32" s="369"/>
      <c r="F32" s="369" t="str">
        <f>IFERROR(IF(E32="","",VLOOKUP(E32,'Mapped COA'!A:G,2,0)),IF(E32="","",VLOOKUP(E32,COA!A:G,2,0)))</f>
        <v/>
      </c>
      <c r="G32"/>
      <c r="K32" s="200"/>
      <c r="L32" s="202">
        <f t="shared" si="3"/>
        <v>0</v>
      </c>
      <c r="M32" s="201"/>
      <c r="N32" s="4">
        <f t="shared" si="4"/>
        <v>0</v>
      </c>
      <c r="O32" s="186"/>
      <c r="BG32" s="1"/>
      <c r="BH32" s="48"/>
    </row>
    <row r="33" spans="2:60" x14ac:dyDescent="0.35">
      <c r="B33" s="494"/>
      <c r="C33" s="494"/>
      <c r="E33" s="579" t="s">
        <v>127</v>
      </c>
      <c r="F33" s="579"/>
      <c r="G33" s="579"/>
      <c r="H33" s="579"/>
      <c r="K33" s="203"/>
      <c r="L33" s="207"/>
      <c r="N33" s="204"/>
      <c r="BG33" s="1"/>
      <c r="BH33" s="48"/>
    </row>
    <row r="34" spans="2:60" x14ac:dyDescent="0.35">
      <c r="E34" s="199"/>
      <c r="J34" s="4"/>
      <c r="K34" s="4">
        <f>SUM(K23:K32)</f>
        <v>55322</v>
      </c>
      <c r="L34" s="4">
        <f>SUM(L23:L32)</f>
        <v>18440.66</v>
      </c>
      <c r="M34" s="4"/>
      <c r="N34" s="4">
        <f>SUM(N23:N33)</f>
        <v>18440.66</v>
      </c>
    </row>
    <row r="35" spans="2:60" ht="15" thickBot="1" x14ac:dyDescent="0.4"/>
    <row r="36" spans="2:60" ht="15" thickBot="1" x14ac:dyDescent="0.4">
      <c r="E36" s="576" t="s">
        <v>158</v>
      </c>
      <c r="F36" s="577"/>
      <c r="G36" s="577"/>
      <c r="H36" s="577"/>
      <c r="I36" s="577"/>
      <c r="J36" s="577"/>
      <c r="K36" s="577"/>
      <c r="L36" s="577"/>
      <c r="M36" s="578"/>
    </row>
    <row r="37" spans="2:60" x14ac:dyDescent="0.35">
      <c r="E37" s="505"/>
      <c r="F37" s="506" t="s">
        <v>147</v>
      </c>
      <c r="G37" s="506" t="s">
        <v>149</v>
      </c>
      <c r="H37" s="506" t="s">
        <v>152</v>
      </c>
      <c r="I37" s="506" t="s">
        <v>159</v>
      </c>
      <c r="K37" s="506" t="s">
        <v>160</v>
      </c>
      <c r="L37" s="506" t="s">
        <v>150</v>
      </c>
      <c r="M37" s="507" t="s">
        <v>161</v>
      </c>
    </row>
    <row r="38" spans="2:60" x14ac:dyDescent="0.35">
      <c r="E38" s="508">
        <v>46044</v>
      </c>
      <c r="F38" s="509">
        <f>L9</f>
        <v>12028.31</v>
      </c>
      <c r="G38" s="509">
        <f>L10</f>
        <v>3512.12</v>
      </c>
      <c r="H38" s="509">
        <v>1001.84</v>
      </c>
      <c r="J38" s="509"/>
      <c r="K38" s="509"/>
      <c r="L38" s="509">
        <v>75.09</v>
      </c>
      <c r="M38" s="510"/>
    </row>
    <row r="39" spans="2:60" x14ac:dyDescent="0.35">
      <c r="E39" s="511">
        <v>46074</v>
      </c>
      <c r="F39" s="512">
        <f>F38+L9</f>
        <v>24056.62</v>
      </c>
      <c r="G39" s="512">
        <f t="shared" ref="G39:G49" si="6">G38+$L$10</f>
        <v>7024.24</v>
      </c>
      <c r="H39" s="512">
        <f>H38+$L$11</f>
        <v>2003.68</v>
      </c>
      <c r="J39" s="512"/>
      <c r="K39" s="536"/>
      <c r="L39" s="512"/>
      <c r="M39" s="537"/>
    </row>
    <row r="40" spans="2:60" x14ac:dyDescent="0.35">
      <c r="E40" s="511">
        <v>46104</v>
      </c>
      <c r="F40" s="512">
        <f t="shared" ref="F40:F49" si="7">F39+$L$9</f>
        <v>36084.93</v>
      </c>
      <c r="G40" s="512">
        <f t="shared" si="6"/>
        <v>10536.36</v>
      </c>
      <c r="H40" s="512">
        <f>H39+$L$11</f>
        <v>3005.52</v>
      </c>
      <c r="J40" s="512"/>
      <c r="K40" s="512"/>
      <c r="L40" s="512">
        <f>L38+$L$23</f>
        <v>12705.42</v>
      </c>
      <c r="M40" s="513"/>
    </row>
    <row r="41" spans="2:60" x14ac:dyDescent="0.35">
      <c r="E41" s="511">
        <v>46134</v>
      </c>
      <c r="F41" s="512">
        <f t="shared" si="7"/>
        <v>48113.24</v>
      </c>
      <c r="G41" s="512">
        <f>G40+$L$10</f>
        <v>14048.48</v>
      </c>
      <c r="H41" s="512">
        <f t="shared" ref="H41:H49" si="8">H40+$L$11</f>
        <v>4007.36</v>
      </c>
      <c r="J41" s="512"/>
      <c r="K41" s="512"/>
      <c r="L41" s="512">
        <f>L40+$L$23+75.09</f>
        <v>25410.84</v>
      </c>
      <c r="M41" s="513"/>
    </row>
    <row r="42" spans="2:60" x14ac:dyDescent="0.35">
      <c r="E42" s="511">
        <v>46164</v>
      </c>
      <c r="F42" s="512">
        <f t="shared" si="7"/>
        <v>60141.549999999996</v>
      </c>
      <c r="G42" s="512">
        <f t="shared" si="6"/>
        <v>17560.599999999999</v>
      </c>
      <c r="H42" s="512">
        <f t="shared" si="8"/>
        <v>5009.2</v>
      </c>
      <c r="J42" s="512"/>
      <c r="K42" s="512"/>
      <c r="L42" s="512">
        <f>L41+L23</f>
        <v>38041.17</v>
      </c>
      <c r="M42" s="513"/>
    </row>
    <row r="43" spans="2:60" x14ac:dyDescent="0.35">
      <c r="E43" s="511">
        <v>46194</v>
      </c>
      <c r="F43" s="512">
        <f t="shared" si="7"/>
        <v>72169.86</v>
      </c>
      <c r="G43" s="512">
        <f t="shared" si="6"/>
        <v>21072.719999999998</v>
      </c>
      <c r="H43" s="512">
        <f t="shared" si="8"/>
        <v>6011.04</v>
      </c>
      <c r="J43" s="512"/>
      <c r="K43" s="512"/>
      <c r="L43" s="512"/>
      <c r="M43" s="513"/>
    </row>
    <row r="44" spans="2:60" x14ac:dyDescent="0.35">
      <c r="E44" s="511">
        <v>46224</v>
      </c>
      <c r="F44" s="512">
        <f t="shared" si="7"/>
        <v>84198.17</v>
      </c>
      <c r="G44" s="512">
        <f t="shared" si="6"/>
        <v>24584.839999999997</v>
      </c>
      <c r="H44" s="512">
        <f t="shared" si="8"/>
        <v>7012.88</v>
      </c>
      <c r="J44" s="512"/>
      <c r="K44" s="512"/>
      <c r="L44" s="512"/>
      <c r="M44" s="513"/>
    </row>
    <row r="45" spans="2:60" x14ac:dyDescent="0.35">
      <c r="E45" s="511">
        <v>46254</v>
      </c>
      <c r="F45" s="512">
        <f t="shared" si="7"/>
        <v>96226.48</v>
      </c>
      <c r="G45" s="512">
        <f t="shared" si="6"/>
        <v>28096.959999999995</v>
      </c>
      <c r="H45" s="512">
        <f t="shared" si="8"/>
        <v>8014.72</v>
      </c>
      <c r="J45" s="512"/>
      <c r="K45" s="512"/>
      <c r="L45" s="512"/>
      <c r="M45" s="513"/>
    </row>
    <row r="46" spans="2:60" x14ac:dyDescent="0.35">
      <c r="E46" s="511">
        <v>46284</v>
      </c>
      <c r="F46" s="512">
        <f t="shared" si="7"/>
        <v>108254.79</v>
      </c>
      <c r="G46" s="512">
        <f t="shared" si="6"/>
        <v>31609.079999999994</v>
      </c>
      <c r="H46" s="512">
        <f t="shared" si="8"/>
        <v>9016.56</v>
      </c>
      <c r="J46" s="512"/>
      <c r="K46" s="512"/>
      <c r="L46" s="512"/>
      <c r="M46" s="513"/>
    </row>
    <row r="47" spans="2:60" x14ac:dyDescent="0.35">
      <c r="E47" s="511">
        <v>46314</v>
      </c>
      <c r="F47" s="512">
        <f t="shared" si="7"/>
        <v>120283.09999999999</v>
      </c>
      <c r="G47" s="512">
        <f t="shared" si="6"/>
        <v>35121.199999999997</v>
      </c>
      <c r="H47" s="512">
        <f t="shared" si="8"/>
        <v>10018.4</v>
      </c>
      <c r="J47" s="512"/>
      <c r="K47" s="512"/>
      <c r="L47" s="512"/>
      <c r="M47" s="513"/>
    </row>
    <row r="48" spans="2:60" x14ac:dyDescent="0.35">
      <c r="E48" s="511">
        <v>46344</v>
      </c>
      <c r="F48" s="512">
        <f t="shared" si="7"/>
        <v>132311.41</v>
      </c>
      <c r="G48" s="512">
        <f t="shared" si="6"/>
        <v>38633.32</v>
      </c>
      <c r="H48" s="512">
        <f t="shared" si="8"/>
        <v>11020.24</v>
      </c>
      <c r="J48" s="512"/>
      <c r="K48" s="512"/>
      <c r="L48" s="512"/>
      <c r="M48" s="513"/>
    </row>
    <row r="49" spans="5:13" ht="15" thickBot="1" x14ac:dyDescent="0.4">
      <c r="E49" s="534">
        <v>46374</v>
      </c>
      <c r="F49" s="532">
        <f t="shared" si="7"/>
        <v>144339.72</v>
      </c>
      <c r="G49" s="514">
        <f t="shared" si="6"/>
        <v>42145.440000000002</v>
      </c>
      <c r="H49" s="514">
        <f t="shared" si="8"/>
        <v>12022.08</v>
      </c>
      <c r="I49" s="514"/>
      <c r="J49" s="514"/>
      <c r="K49" s="514"/>
      <c r="L49" s="514"/>
      <c r="M49" s="515"/>
    </row>
  </sheetData>
  <dataConsolidate/>
  <mergeCells count="8">
    <mergeCell ref="S7:T10"/>
    <mergeCell ref="V7:W10"/>
    <mergeCell ref="A1:M1"/>
    <mergeCell ref="A2:M2"/>
    <mergeCell ref="A3:M3"/>
    <mergeCell ref="E36:M36"/>
    <mergeCell ref="E33:H33"/>
    <mergeCell ref="E18:H18"/>
  </mergeCells>
  <conditionalFormatting sqref="F12:P17 B9:P11 A9:A17 F23:F32">
    <cfRule type="expression" dxfId="77" priority="55">
      <formula>INDIRECT("A"&amp;ROW()) = "Yes"</formula>
    </cfRule>
  </conditionalFormatting>
  <conditionalFormatting sqref="H23:J27 G28:J32 L23:L32 N23:N32">
    <cfRule type="expression" dxfId="76" priority="54">
      <formula>INDIRECT("A"&amp;ROW()) = "Yes"</formula>
    </cfRule>
  </conditionalFormatting>
  <conditionalFormatting sqref="G24:G32">
    <cfRule type="expression" dxfId="75" priority="52">
      <formula>INDIRECT("A"&amp;ROW()) = "Yes"</formula>
    </cfRule>
  </conditionalFormatting>
  <conditionalFormatting sqref="M24:M32">
    <cfRule type="expression" dxfId="74" priority="49">
      <formula>INDIRECT("A"&amp;ROW()) = "Yes"</formula>
    </cfRule>
  </conditionalFormatting>
  <conditionalFormatting sqref="D21">
    <cfRule type="expression" dxfId="73" priority="43">
      <formula>INDIRECT("A"&amp;ROW()) = "Yes"</formula>
    </cfRule>
  </conditionalFormatting>
  <conditionalFormatting sqref="E12:E17">
    <cfRule type="expression" dxfId="72" priority="29">
      <formula>INDIRECT("A"&amp;ROW()) = "Yes"</formula>
    </cfRule>
  </conditionalFormatting>
  <conditionalFormatting sqref="D7">
    <cfRule type="expression" dxfId="71" priority="26">
      <formula>INDIRECT("A"&amp;ROW()) = "Yes"</formula>
    </cfRule>
  </conditionalFormatting>
  <conditionalFormatting sqref="G23:G32">
    <cfRule type="expression" dxfId="70" priority="24">
      <formula>INDIRECT("A"&amp;ROW()) = "Yes"</formula>
    </cfRule>
  </conditionalFormatting>
  <conditionalFormatting sqref="B13:C17 B12">
    <cfRule type="expression" dxfId="69" priority="23">
      <formula>INDIRECT("A"&amp;ROW()) = "Yes"</formula>
    </cfRule>
  </conditionalFormatting>
  <conditionalFormatting sqref="D12:D17">
    <cfRule type="expression" dxfId="68" priority="22">
      <formula>INDIRECT("A"&amp;ROW()) = "Yes"</formula>
    </cfRule>
  </conditionalFormatting>
  <conditionalFormatting sqref="B26:C32">
    <cfRule type="expression" dxfId="67" priority="21">
      <formula>INDIRECT("A"&amp;ROW()) = "Yes"</formula>
    </cfRule>
  </conditionalFormatting>
  <conditionalFormatting sqref="E23:E32">
    <cfRule type="expression" dxfId="66" priority="19">
      <formula>INDIRECT("A"&amp;ROW()) = "Yes"</formula>
    </cfRule>
  </conditionalFormatting>
  <conditionalFormatting sqref="K23:K29">
    <cfRule type="expression" dxfId="65" priority="18">
      <formula>INDIRECT("A"&amp;ROW()) = "Yes"</formula>
    </cfRule>
  </conditionalFormatting>
  <conditionalFormatting sqref="K30:K32">
    <cfRule type="expression" dxfId="64" priority="17">
      <formula>INDIRECT("A"&amp;ROW()) = "Yes"</formula>
    </cfRule>
  </conditionalFormatting>
  <conditionalFormatting sqref="A23:A32">
    <cfRule type="expression" dxfId="63" priority="15">
      <formula>INDIRECT("A"&amp;ROW()) = "Yes"</formula>
    </cfRule>
  </conditionalFormatting>
  <conditionalFormatting sqref="D12:D17">
    <cfRule type="expression" dxfId="62" priority="11">
      <formula>INDIRECT("A"&amp;ROW()) = "Yes"</formula>
    </cfRule>
  </conditionalFormatting>
  <conditionalFormatting sqref="D24:D32">
    <cfRule type="expression" dxfId="61" priority="10">
      <formula>INDIRECT("A"&amp;ROW()) = "Yes"</formula>
    </cfRule>
  </conditionalFormatting>
  <conditionalFormatting sqref="M23">
    <cfRule type="expression" dxfId="60" priority="9">
      <formula>INDIRECT("A"&amp;ROW()) = "Yes"</formula>
    </cfRule>
  </conditionalFormatting>
  <conditionalFormatting sqref="D23">
    <cfRule type="expression" dxfId="59" priority="7">
      <formula>INDIRECT("A"&amp;ROW()) = "Yes"</formula>
    </cfRule>
  </conditionalFormatting>
  <conditionalFormatting sqref="C12">
    <cfRule type="expression" dxfId="58" priority="4">
      <formula>INDIRECT("A"&amp;ROW()) = "Yes"</formula>
    </cfRule>
  </conditionalFormatting>
  <conditionalFormatting sqref="B23:C25">
    <cfRule type="expression" dxfId="57" priority="1">
      <formula>INDIRECT("A"&amp;ROW()) = "Yes"</formula>
    </cfRule>
  </conditionalFormatting>
  <printOptions horizontalCentered="1"/>
  <pageMargins left="0.7" right="0.7" top="0.75" bottom="0.75" header="0.3" footer="0.3"/>
  <pageSetup scale="4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F625A2-8F82-4D5E-9721-BC15377B85B8}">
          <x14:formula1>
            <xm:f>'Prepaid Other'!$M$4:$M$5</xm:f>
          </x14:formula1>
          <xm:sqref>A23:A32 A9:A17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7979D-E9F1-445B-A31D-DC4183A89633}">
  <sheetPr codeName="Sheet7">
    <pageSetUpPr fitToPage="1"/>
  </sheetPr>
  <dimension ref="A1:DQ54"/>
  <sheetViews>
    <sheetView tabSelected="1" topLeftCell="B4" zoomScale="85" zoomScaleNormal="85" workbookViewId="0">
      <selection activeCell="G18" sqref="G18"/>
    </sheetView>
  </sheetViews>
  <sheetFormatPr defaultColWidth="9.1796875" defaultRowHeight="14.5" outlineLevelCol="1" x14ac:dyDescent="0.35"/>
  <cols>
    <col min="1" max="1" width="14" style="1" customWidth="1"/>
    <col min="2" max="2" width="23.7265625" style="1" customWidth="1"/>
    <col min="3" max="3" width="23.54296875" style="1" customWidth="1"/>
    <col min="4" max="4" width="17.453125" style="1" customWidth="1"/>
    <col min="5" max="5" width="21.1796875" style="1" customWidth="1"/>
    <col min="6" max="6" width="48" style="1" bestFit="1" customWidth="1"/>
    <col min="7" max="7" width="26" style="1" customWidth="1"/>
    <col min="8" max="8" width="18.54296875" style="1" customWidth="1"/>
    <col min="9" max="9" width="18.453125" style="1" customWidth="1"/>
    <col min="10" max="10" width="18.7265625" style="1" customWidth="1"/>
    <col min="11" max="11" width="19.54296875" style="1" customWidth="1"/>
    <col min="12" max="12" width="29.453125" style="1" customWidth="1"/>
    <col min="13" max="13" width="17.7265625" style="1" hidden="1" customWidth="1" outlineLevel="1"/>
    <col min="14" max="14" width="19.54296875" style="1" hidden="1" customWidth="1" outlineLevel="1"/>
    <col min="15" max="15" width="14" style="48" hidden="1" customWidth="1" outlineLevel="1"/>
    <col min="16" max="16" width="13.54296875" style="1" hidden="1" customWidth="1" outlineLevel="1"/>
    <col min="17" max="17" width="22.54296875" style="1" hidden="1" customWidth="1" outlineLevel="1"/>
    <col min="18" max="18" width="16.54296875" style="48" hidden="1" customWidth="1" outlineLevel="1"/>
    <col min="19" max="19" width="25.26953125" style="1" hidden="1" customWidth="1" outlineLevel="1"/>
    <col min="20" max="20" width="18.81640625" style="1" hidden="1" customWidth="1" outlineLevel="1"/>
    <col min="21" max="21" width="18.81640625" style="1" customWidth="1" collapsed="1"/>
    <col min="22" max="22" width="26.453125" style="1" customWidth="1"/>
    <col min="23" max="23" width="28.1796875" style="1" customWidth="1"/>
    <col min="24" max="24" width="18.81640625" style="1" customWidth="1"/>
    <col min="25" max="25" width="6.7265625" style="1" customWidth="1"/>
    <col min="26" max="26" width="27.453125" style="1" customWidth="1"/>
    <col min="27" max="31" width="18.81640625" style="1" customWidth="1"/>
    <col min="32" max="32" width="7.26953125" style="1" customWidth="1"/>
    <col min="33" max="33" width="26.453125" style="1" customWidth="1"/>
    <col min="34" max="38" width="18.81640625" style="1" customWidth="1"/>
    <col min="39" max="39" width="7.26953125" style="1" customWidth="1"/>
    <col min="40" max="40" width="24.453125" style="253" customWidth="1"/>
    <col min="41" max="45" width="18.81640625" style="1" customWidth="1"/>
    <col min="46" max="46" width="8" style="1" customWidth="1"/>
    <col min="47" max="47" width="25" style="1" customWidth="1"/>
    <col min="48" max="52" width="18.81640625" style="1" customWidth="1"/>
    <col min="53" max="53" width="2.7265625" style="1" customWidth="1"/>
    <col min="54" max="54" width="8.54296875" style="48" customWidth="1"/>
    <col min="55" max="55" width="18.26953125" style="1" bestFit="1" customWidth="1"/>
    <col min="56" max="56" width="18.81640625" style="1" bestFit="1" customWidth="1"/>
    <col min="57" max="57" width="15.54296875" style="1" customWidth="1"/>
    <col min="58" max="58" width="14.81640625" style="1" customWidth="1"/>
    <col min="59" max="59" width="13.7265625" style="1" customWidth="1"/>
    <col min="60" max="61" width="9.1796875" style="1"/>
    <col min="62" max="62" width="10.7265625" style="1" customWidth="1"/>
    <col min="63" max="68" width="9.1796875" style="1"/>
    <col min="69" max="69" width="9.1796875" style="1" hidden="1" customWidth="1"/>
    <col min="70" max="70" width="13.453125" style="1" hidden="1" customWidth="1"/>
    <col min="71" max="71" width="14.26953125" style="1" hidden="1" customWidth="1"/>
    <col min="72" max="72" width="14.453125" style="1" hidden="1" customWidth="1"/>
    <col min="73" max="73" width="13.7265625" style="1" hidden="1" customWidth="1"/>
    <col min="74" max="74" width="14" style="1" hidden="1" customWidth="1"/>
    <col min="75" max="75" width="15" style="1" hidden="1" customWidth="1"/>
    <col min="76" max="76" width="9.1796875" style="1" hidden="1" customWidth="1"/>
    <col min="77" max="77" width="13.7265625" style="1" hidden="1" customWidth="1"/>
    <col min="78" max="78" width="16.26953125" style="1" hidden="1" customWidth="1"/>
    <col min="79" max="83" width="9.1796875" style="1" hidden="1" customWidth="1"/>
    <col min="84" max="84" width="13.26953125" style="1" hidden="1" customWidth="1"/>
    <col min="85" max="85" width="15.7265625" style="1" hidden="1" customWidth="1"/>
    <col min="86" max="90" width="9.1796875" style="1" hidden="1" customWidth="1"/>
    <col min="91" max="91" width="14.26953125" style="1" hidden="1" customWidth="1"/>
    <col min="92" max="92" width="15.453125" style="1" hidden="1" customWidth="1"/>
    <col min="93" max="97" width="9.1796875" style="1" hidden="1" customWidth="1"/>
    <col min="98" max="98" width="13.26953125" style="1" hidden="1" customWidth="1"/>
    <col min="99" max="99" width="14" style="1" hidden="1" customWidth="1"/>
    <col min="100" max="104" width="9.1796875" style="1" hidden="1" customWidth="1"/>
    <col min="105" max="105" width="14.54296875" style="1" hidden="1" customWidth="1"/>
    <col min="106" max="106" width="16.7265625" style="1" hidden="1" customWidth="1"/>
    <col min="107" max="111" width="9.1796875" style="1" hidden="1" customWidth="1"/>
    <col min="112" max="112" width="13.453125" style="1" hidden="1" customWidth="1"/>
    <col min="113" max="113" width="12" style="1" hidden="1" customWidth="1"/>
    <col min="114" max="118" width="9.1796875" style="1" hidden="1" customWidth="1"/>
    <col min="119" max="119" width="15" style="1" hidden="1" customWidth="1"/>
    <col min="120" max="120" width="13.1796875" style="1" hidden="1" customWidth="1"/>
    <col min="121" max="121" width="9.1796875" style="1" hidden="1" customWidth="1"/>
    <col min="122" max="16384" width="9.1796875" style="1"/>
  </cols>
  <sheetData>
    <row r="1" spans="1:77" ht="23.5" thickBot="1" x14ac:dyDescent="0.55000000000000004">
      <c r="A1" s="552" t="str">
        <f>'Input-Instructions'!B3</f>
        <v>Residences at Shiloh Crossing</v>
      </c>
      <c r="B1" s="552"/>
      <c r="C1" s="552"/>
      <c r="D1" s="552"/>
      <c r="E1" s="552"/>
      <c r="F1" s="552"/>
      <c r="G1" s="552"/>
      <c r="H1" s="552"/>
      <c r="I1" s="552"/>
      <c r="J1" s="552"/>
      <c r="K1" s="371"/>
      <c r="L1" s="445"/>
      <c r="M1" s="446"/>
      <c r="O1" s="194"/>
      <c r="P1" s="194"/>
      <c r="Q1" s="194"/>
      <c r="AN1" s="253" t="s">
        <v>162</v>
      </c>
      <c r="BB1" s="209"/>
      <c r="BJ1" s="2"/>
      <c r="BR1" s="2">
        <v>43830</v>
      </c>
      <c r="BV1" s="2"/>
      <c r="BY1" s="2"/>
    </row>
    <row r="2" spans="1:77" ht="21" customHeight="1" x14ac:dyDescent="0.5">
      <c r="A2" s="553" t="s">
        <v>163</v>
      </c>
      <c r="B2" s="553"/>
      <c r="C2" s="553"/>
      <c r="D2" s="553"/>
      <c r="E2" s="553"/>
      <c r="F2" s="553"/>
      <c r="G2" s="553"/>
      <c r="H2" s="553"/>
      <c r="I2" s="553"/>
      <c r="J2" s="553"/>
      <c r="K2" s="467"/>
      <c r="L2" s="447"/>
      <c r="M2" s="440"/>
      <c r="O2" s="195"/>
      <c r="P2" s="195"/>
      <c r="Q2" s="195"/>
      <c r="R2" s="195"/>
      <c r="S2" s="195"/>
      <c r="T2" s="195"/>
      <c r="U2" s="555" t="s">
        <v>164</v>
      </c>
      <c r="V2" s="195"/>
      <c r="W2" s="195"/>
      <c r="X2" s="195"/>
      <c r="Y2" s="195"/>
      <c r="Z2" s="195"/>
      <c r="AA2" s="195"/>
      <c r="AB2" s="195"/>
      <c r="AC2" s="195"/>
      <c r="AD2" s="195"/>
      <c r="AE2" s="195"/>
      <c r="AF2" s="195"/>
      <c r="AG2" s="195"/>
      <c r="AH2" s="195"/>
      <c r="AI2" s="195"/>
      <c r="AJ2" s="195"/>
      <c r="AK2" s="195"/>
      <c r="AL2" s="195"/>
      <c r="AM2" s="195"/>
      <c r="AN2" s="253" t="s">
        <v>165</v>
      </c>
      <c r="AO2" s="195"/>
      <c r="AP2" s="195"/>
      <c r="AQ2" s="195"/>
      <c r="AR2" s="195"/>
      <c r="AS2" s="195"/>
      <c r="AT2" s="195"/>
      <c r="AU2" s="195"/>
      <c r="AV2" s="195"/>
      <c r="AW2" s="195"/>
      <c r="AX2" s="195"/>
      <c r="AY2" s="195"/>
      <c r="AZ2" s="195"/>
      <c r="BA2" s="195"/>
      <c r="BB2" s="210"/>
      <c r="BR2" s="2">
        <v>43831</v>
      </c>
      <c r="BV2" s="2"/>
      <c r="BY2" s="2"/>
    </row>
    <row r="3" spans="1:77" ht="23" x14ac:dyDescent="0.5">
      <c r="A3" s="554" t="str">
        <f>TEXT('Input-Instructions'!$B$6,"MMMM YYYY")</f>
        <v>September 2026</v>
      </c>
      <c r="B3" s="554"/>
      <c r="C3" s="554"/>
      <c r="D3" s="554"/>
      <c r="E3" s="554"/>
      <c r="F3" s="554"/>
      <c r="G3" s="554"/>
      <c r="H3" s="554"/>
      <c r="I3" s="554"/>
      <c r="J3" s="554"/>
      <c r="K3" s="468" t="s">
        <v>32</v>
      </c>
      <c r="L3" s="448"/>
      <c r="M3" s="441"/>
      <c r="O3" s="196"/>
      <c r="P3" s="196"/>
      <c r="Q3" s="196"/>
      <c r="R3" s="196"/>
      <c r="S3" s="196"/>
      <c r="T3" s="196"/>
      <c r="U3" s="55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253" t="s">
        <v>166</v>
      </c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211"/>
      <c r="BR3" s="1">
        <v>12</v>
      </c>
    </row>
    <row r="4" spans="1:77" x14ac:dyDescent="0.35">
      <c r="U4" s="556"/>
      <c r="AN4" s="253" t="s">
        <v>167</v>
      </c>
    </row>
    <row r="5" spans="1:77" x14ac:dyDescent="0.35">
      <c r="B5" s="1" t="s">
        <v>168</v>
      </c>
      <c r="D5" s="49" t="s">
        <v>169</v>
      </c>
      <c r="E5"/>
      <c r="N5" s="213"/>
      <c r="U5" s="556"/>
      <c r="AN5" s="253" t="s">
        <v>170</v>
      </c>
      <c r="BR5" s="1" t="s">
        <v>9</v>
      </c>
    </row>
    <row r="6" spans="1:77" ht="25.5" customHeight="1" thickBot="1" x14ac:dyDescent="0.5">
      <c r="B6" s="197"/>
      <c r="C6" s="197"/>
      <c r="H6" s="1" t="s">
        <v>32</v>
      </c>
      <c r="N6" s="213"/>
      <c r="U6" s="557"/>
      <c r="AN6" s="253" t="s">
        <v>171</v>
      </c>
    </row>
    <row r="7" spans="1:77" ht="21" customHeight="1" thickBot="1" x14ac:dyDescent="0.5">
      <c r="B7" s="453" t="s">
        <v>172</v>
      </c>
      <c r="C7" s="212"/>
      <c r="D7" s="369" t="s">
        <v>173</v>
      </c>
      <c r="N7" s="220"/>
      <c r="T7" s="247"/>
      <c r="AN7" s="253" t="s">
        <v>174</v>
      </c>
    </row>
    <row r="8" spans="1:77" ht="33.75" customHeight="1" x14ac:dyDescent="0.35">
      <c r="A8" s="266" t="s">
        <v>105</v>
      </c>
      <c r="B8" s="266" t="s">
        <v>134</v>
      </c>
      <c r="C8" s="266" t="s">
        <v>135</v>
      </c>
      <c r="D8" s="3" t="s">
        <v>136</v>
      </c>
      <c r="E8" s="198" t="s">
        <v>137</v>
      </c>
      <c r="F8" s="198" t="s">
        <v>107</v>
      </c>
      <c r="G8" s="198" t="s">
        <v>175</v>
      </c>
      <c r="H8" s="198" t="s">
        <v>176</v>
      </c>
      <c r="I8" s="198" t="s">
        <v>142</v>
      </c>
      <c r="J8" s="198" t="s">
        <v>143</v>
      </c>
      <c r="K8" s="3" t="s">
        <v>144</v>
      </c>
      <c r="O8" s="220"/>
      <c r="P8" s="48"/>
      <c r="R8" s="1"/>
      <c r="S8" s="48"/>
      <c r="U8" s="558" t="s">
        <v>177</v>
      </c>
      <c r="AN8" s="253" t="s">
        <v>178</v>
      </c>
    </row>
    <row r="9" spans="1:77" x14ac:dyDescent="0.35">
      <c r="A9" s="205"/>
      <c r="B9" s="493"/>
      <c r="C9" s="493"/>
      <c r="D9" s="369"/>
      <c r="E9" s="369"/>
      <c r="F9" s="369"/>
      <c r="G9" s="213"/>
      <c r="H9" s="428"/>
      <c r="I9" s="429">
        <f>IFERROR(ROUND(H9/D9,2),0)</f>
        <v>0</v>
      </c>
      <c r="J9" s="369"/>
      <c r="K9" s="4">
        <f>IFERROR(I9*J9,0)</f>
        <v>0</v>
      </c>
      <c r="O9" s="220"/>
      <c r="P9" s="48"/>
      <c r="R9" s="1"/>
      <c r="S9" s="48"/>
      <c r="U9" s="559"/>
      <c r="AN9" s="253" t="s">
        <v>179</v>
      </c>
    </row>
    <row r="10" spans="1:77" x14ac:dyDescent="0.35">
      <c r="A10" s="205"/>
      <c r="B10" s="493"/>
      <c r="C10" s="493"/>
      <c r="D10" s="369"/>
      <c r="E10" s="369"/>
      <c r="F10" s="369"/>
      <c r="G10" s="213" t="str">
        <f>IFERROR(IF(E10="","",VLOOKUP(E10,'Mapped COA'!A:G,2,0)),IF(E10="","",VLOOKUP(E10,COA!A:G,2,0)))</f>
        <v/>
      </c>
      <c r="H10" s="428"/>
      <c r="I10" s="429">
        <f t="shared" ref="I10:I14" si="0">IFERROR(ROUND(H10/D10,2),0)</f>
        <v>0</v>
      </c>
      <c r="J10" s="369"/>
      <c r="K10" s="4">
        <f t="shared" ref="K10:K12" si="1">IFERROR(I10*J10,0)</f>
        <v>0</v>
      </c>
      <c r="O10" s="220"/>
      <c r="P10" s="48"/>
      <c r="R10" s="1"/>
      <c r="S10" s="48"/>
      <c r="U10" s="559"/>
      <c r="AN10" s="253" t="s">
        <v>180</v>
      </c>
    </row>
    <row r="11" spans="1:77" x14ac:dyDescent="0.35">
      <c r="A11" s="205"/>
      <c r="B11" s="493"/>
      <c r="C11" s="493"/>
      <c r="D11" s="369"/>
      <c r="E11" s="369"/>
      <c r="F11" s="369"/>
      <c r="G11" s="213" t="str">
        <f>IFERROR(IF(E11="","",VLOOKUP(E11,'Mapped COA'!A:G,2,0)),IF(E11="","",VLOOKUP(E11,COA!A:G,2,0)))</f>
        <v/>
      </c>
      <c r="H11" s="428"/>
      <c r="I11" s="429">
        <f t="shared" si="0"/>
        <v>0</v>
      </c>
      <c r="J11" s="369"/>
      <c r="K11" s="4">
        <f>IFERROR(I11*J11,0)</f>
        <v>0</v>
      </c>
      <c r="O11" s="221"/>
      <c r="P11" s="48"/>
      <c r="R11" s="1"/>
      <c r="S11" s="48"/>
      <c r="U11" s="559"/>
      <c r="AN11" s="253" t="s">
        <v>181</v>
      </c>
    </row>
    <row r="12" spans="1:77" ht="15" thickBot="1" x14ac:dyDescent="0.4">
      <c r="A12" s="205"/>
      <c r="B12" s="493"/>
      <c r="C12" s="493"/>
      <c r="D12" s="369" t="str">
        <f t="shared" ref="D12:D14" si="2">IFERROR(DATEDIF(EOMONTH(B12,-1)+1,EOMONTH(C12,0)+1,"m"),"")</f>
        <v/>
      </c>
      <c r="E12" s="369"/>
      <c r="F12" s="369" t="str">
        <f>IFERROR(IF(E12="","",VLOOKUP(E12,'Mapped COA'!A:G,2,0)),IF(E12="","",VLOOKUP(E12,COA!A:G,2,0)))</f>
        <v/>
      </c>
      <c r="G12" s="213"/>
      <c r="H12" s="428"/>
      <c r="I12" s="429">
        <f t="shared" si="0"/>
        <v>0</v>
      </c>
      <c r="J12" s="369" t="str">
        <f>IFERROR(IF(B12="","",IF(EOMONTH(C12,0)&gt;=EOMONTH('Input-Instructions'!$B$6,0),DATEDIF(EOMONTH('Input-Instructions'!$B$6,0)+1,EOMONTH(C12,0)+1,"m"),DATEDIF(EOMONTH(B12,-1)+1,EOMONTH(C12,0)+1,"m"))),"0")</f>
        <v/>
      </c>
      <c r="K12" s="4">
        <f t="shared" si="1"/>
        <v>0</v>
      </c>
      <c r="O12" s="221"/>
      <c r="P12" s="48"/>
      <c r="R12" s="1"/>
      <c r="S12" s="48"/>
      <c r="U12" s="560"/>
      <c r="AN12" s="253" t="s">
        <v>182</v>
      </c>
    </row>
    <row r="13" spans="1:77" x14ac:dyDescent="0.35">
      <c r="A13" s="205"/>
      <c r="B13" s="493"/>
      <c r="C13" s="493"/>
      <c r="D13" s="369" t="str">
        <f t="shared" si="2"/>
        <v/>
      </c>
      <c r="E13" s="369"/>
      <c r="F13" s="369" t="str">
        <f>IFERROR(IF(E13="","",VLOOKUP(E13,'Mapped COA'!A:G,2,0)),IF(E13="","",VLOOKUP(E13,COA!A:G,2,0)))</f>
        <v/>
      </c>
      <c r="G13" s="213" t="str">
        <f>IFERROR(IF(E13="","",VLOOKUP(E13,'Mapped COA'!A:G,2,0)),IF(E13="","",VLOOKUP(E13,COA!A:G,2,0)))</f>
        <v/>
      </c>
      <c r="H13" s="428"/>
      <c r="I13" s="429">
        <f t="shared" si="0"/>
        <v>0</v>
      </c>
      <c r="J13" s="369" t="str">
        <f>IFERROR(IF(B13="","",IF(EOMONTH(C13,0)&gt;=EOMONTH('Input-Instructions'!$B$6,0),DATEDIF(EOMONTH('Input-Instructions'!$B$6,0)+1,EOMONTH(C13,0)+1,"m"),DATEDIF(EOMONTH(B13,-1)+1,EOMONTH(C13,0)+1,"m"))),"0")</f>
        <v/>
      </c>
      <c r="K13" s="4">
        <f t="shared" ref="K13" si="3">IFERROR(I13*J13,0)</f>
        <v>0</v>
      </c>
      <c r="O13" s="221"/>
      <c r="P13" s="48"/>
      <c r="R13" s="1"/>
      <c r="S13" s="48"/>
      <c r="U13" s="221"/>
      <c r="V13" s="342"/>
      <c r="AN13" s="253" t="s">
        <v>183</v>
      </c>
      <c r="AO13" s="253" t="s">
        <v>183</v>
      </c>
      <c r="BB13" s="1"/>
      <c r="BC13" s="48"/>
    </row>
    <row r="14" spans="1:77" x14ac:dyDescent="0.35">
      <c r="A14" s="205"/>
      <c r="B14" s="493"/>
      <c r="C14" s="493"/>
      <c r="D14" s="369" t="str">
        <f t="shared" si="2"/>
        <v/>
      </c>
      <c r="E14" s="369"/>
      <c r="F14" s="369" t="str">
        <f>IFERROR(IF(E14="","",VLOOKUP(E14,'Mapped COA'!A:G,2,0)),IF(E14="","",VLOOKUP(E14,COA!A:G,2,0)))</f>
        <v/>
      </c>
      <c r="G14" s="213" t="str">
        <f>IFERROR(IF(E14="","",VLOOKUP(E14,'Mapped COA'!A:G,2,0)),IF(E14="","",VLOOKUP(E14,COA!A:G,2,0)))</f>
        <v/>
      </c>
      <c r="H14" s="428"/>
      <c r="I14" s="429">
        <f t="shared" si="0"/>
        <v>0</v>
      </c>
      <c r="J14" s="369" t="str">
        <f>IFERROR(IF(B14="","",IF(EOMONTH(C14,0)&gt;=EOMONTH('Input-Instructions'!$B$6,0),DATEDIF(EOMONTH('Input-Instructions'!$B$6,0)+1,EOMONTH(C14,0)+1,"m"),DATEDIF(EOMONTH(B14,-1)+1,EOMONTH(C14,0)+1,"m"))),"0")</f>
        <v/>
      </c>
      <c r="K14" s="4">
        <f>IFERROR(I14*J14,0)</f>
        <v>0</v>
      </c>
      <c r="O14" s="221"/>
      <c r="P14" s="48"/>
      <c r="R14" s="1"/>
      <c r="S14" s="48"/>
      <c r="U14" s="221"/>
      <c r="V14" s="342"/>
      <c r="AN14" s="253" t="s">
        <v>184</v>
      </c>
      <c r="AO14" s="253" t="s">
        <v>184</v>
      </c>
      <c r="BB14" s="1"/>
      <c r="BC14" s="48"/>
    </row>
    <row r="15" spans="1:77" x14ac:dyDescent="0.35">
      <c r="E15" s="430"/>
      <c r="F15" s="430"/>
      <c r="G15" s="430"/>
      <c r="H15" s="431"/>
      <c r="J15" s="430" t="s">
        <v>127</v>
      </c>
      <c r="K15" s="49"/>
      <c r="O15" s="221"/>
      <c r="P15" s="48"/>
      <c r="R15" s="1"/>
      <c r="S15" s="48"/>
      <c r="U15" s="221"/>
      <c r="AN15" s="253" t="s">
        <v>185</v>
      </c>
      <c r="AO15" s="253" t="s">
        <v>185</v>
      </c>
      <c r="BB15" s="1"/>
      <c r="BC15" s="48"/>
    </row>
    <row r="16" spans="1:77" x14ac:dyDescent="0.35">
      <c r="E16" s="199"/>
      <c r="F16" s="199"/>
      <c r="G16" s="199"/>
      <c r="H16" s="4">
        <f>SUM(H9:H14)</f>
        <v>0</v>
      </c>
      <c r="I16" s="4">
        <f>SUM(I9:I14)</f>
        <v>0</v>
      </c>
      <c r="K16" s="4">
        <f>SUM(K9:K15)</f>
        <v>0</v>
      </c>
      <c r="O16" s="221"/>
      <c r="P16" s="48"/>
      <c r="R16" s="1"/>
      <c r="S16" s="48"/>
      <c r="U16" s="221"/>
      <c r="AN16" s="253" t="s">
        <v>186</v>
      </c>
      <c r="AO16" s="253" t="s">
        <v>186</v>
      </c>
      <c r="BB16" s="1"/>
      <c r="BC16" s="48"/>
    </row>
    <row r="17" spans="1:55" x14ac:dyDescent="0.35">
      <c r="O17" s="1"/>
      <c r="P17" s="48"/>
      <c r="R17" s="1"/>
      <c r="S17" s="48"/>
      <c r="U17" s="221"/>
      <c r="AN17" s="253" t="s">
        <v>187</v>
      </c>
      <c r="AO17" s="253" t="s">
        <v>187</v>
      </c>
      <c r="BB17" s="1"/>
      <c r="BC17" s="48"/>
    </row>
    <row r="18" spans="1:55" ht="20.5" x14ac:dyDescent="0.45">
      <c r="B18" s="453" t="s">
        <v>188</v>
      </c>
      <c r="C18" s="212"/>
      <c r="D18" s="369" t="s">
        <v>189</v>
      </c>
      <c r="O18" s="1"/>
      <c r="P18" s="48"/>
      <c r="R18" s="1"/>
      <c r="S18" s="48"/>
      <c r="U18" s="1" t="s">
        <v>190</v>
      </c>
      <c r="AN18" s="253" t="s">
        <v>191</v>
      </c>
    </row>
    <row r="19" spans="1:55" ht="33" customHeight="1" x14ac:dyDescent="0.35">
      <c r="A19" s="266" t="s">
        <v>105</v>
      </c>
      <c r="B19" s="266" t="s">
        <v>134</v>
      </c>
      <c r="C19" s="266" t="s">
        <v>135</v>
      </c>
      <c r="D19" s="3" t="s">
        <v>136</v>
      </c>
      <c r="E19" s="198" t="s">
        <v>137</v>
      </c>
      <c r="F19" s="198" t="s">
        <v>107</v>
      </c>
      <c r="G19" s="198" t="s">
        <v>175</v>
      </c>
      <c r="H19" s="198" t="s">
        <v>192</v>
      </c>
      <c r="I19" s="198" t="s">
        <v>142</v>
      </c>
      <c r="J19" s="198" t="s">
        <v>156</v>
      </c>
      <c r="K19" s="3" t="s">
        <v>157</v>
      </c>
      <c r="L19" s="198"/>
      <c r="M19"/>
      <c r="N19"/>
      <c r="O19" s="1"/>
      <c r="P19" s="48"/>
      <c r="R19" s="1"/>
      <c r="S19" s="48"/>
      <c r="T19" s="3" t="s">
        <v>193</v>
      </c>
      <c r="U19" s="248"/>
      <c r="V19" s="251" t="s">
        <v>194</v>
      </c>
      <c r="W19" s="252" t="s">
        <v>195</v>
      </c>
      <c r="AN19" s="253" t="s">
        <v>196</v>
      </c>
    </row>
    <row r="20" spans="1:55" hidden="1" x14ac:dyDescent="0.35">
      <c r="A20" s="205" t="s">
        <v>1</v>
      </c>
      <c r="B20" s="205">
        <v>46204</v>
      </c>
      <c r="C20" s="205">
        <v>46387</v>
      </c>
      <c r="D20" s="369">
        <v>12</v>
      </c>
      <c r="E20" s="369" t="s">
        <v>197</v>
      </c>
      <c r="F20" s="369"/>
      <c r="G20" s="213" t="s">
        <v>198</v>
      </c>
      <c r="H20" s="428"/>
      <c r="I20" s="429">
        <f t="shared" ref="I20:I29" si="4">IFERROR(ROUND(H20/D20,2),0)</f>
        <v>0</v>
      </c>
      <c r="J20" s="369">
        <v>1</v>
      </c>
      <c r="K20" s="4">
        <f>IFERROR(I20*J20,0)</f>
        <v>0</v>
      </c>
      <c r="L20"/>
      <c r="M20"/>
      <c r="N20"/>
      <c r="O20" s="1"/>
      <c r="P20" s="48"/>
      <c r="R20" s="1"/>
      <c r="S20" s="48"/>
      <c r="T20" s="475"/>
      <c r="U20" s="249" t="s">
        <v>199</v>
      </c>
      <c r="V20" s="254">
        <f>VLOOKUP($D$5,Hidden!$A:$AC,6,FALSE)</f>
        <v>0</v>
      </c>
      <c r="W20" s="254">
        <f>VLOOKUP($D$5,Hidden!$A:$AC,18,FALSE)</f>
        <v>1</v>
      </c>
      <c r="AN20" s="253" t="s">
        <v>200</v>
      </c>
    </row>
    <row r="21" spans="1:55" hidden="1" x14ac:dyDescent="0.35">
      <c r="A21" s="205" t="s">
        <v>1</v>
      </c>
      <c r="B21" s="205"/>
      <c r="C21" s="205"/>
      <c r="D21" s="369">
        <v>12</v>
      </c>
      <c r="E21" s="369" t="s">
        <v>201</v>
      </c>
      <c r="F21" s="369"/>
      <c r="G21" s="213" t="str">
        <f>IFERROR(IF(E21="","",VLOOKUP(E21,'Mapped COA'!A:G,2,0)),IF(E21="","",VLOOKUP(E21,COA!A:G,2,0)))</f>
        <v>Real Estate Tax Advisory / Consulting Fees</v>
      </c>
      <c r="H21" s="428"/>
      <c r="I21" s="429">
        <f t="shared" si="4"/>
        <v>0</v>
      </c>
      <c r="J21" s="369">
        <v>1</v>
      </c>
      <c r="K21" s="4">
        <f t="shared" ref="K21:K22" si="5">IFERROR(I21*J21,0)</f>
        <v>0</v>
      </c>
      <c r="L21"/>
      <c r="M21"/>
      <c r="N21"/>
      <c r="O21" s="1"/>
      <c r="P21" s="48"/>
      <c r="R21" s="1"/>
      <c r="S21" s="48"/>
      <c r="T21" s="48"/>
      <c r="U21" s="249" t="s">
        <v>202</v>
      </c>
      <c r="V21" s="254">
        <f>VLOOKUP($D$5,Hidden!$A:$AC,7,FALSE)</f>
        <v>0</v>
      </c>
      <c r="W21" s="254">
        <f>VLOOKUP($D$5,Hidden!$A:$AC,19,FALSE)</f>
        <v>2</v>
      </c>
      <c r="AN21" s="253" t="s">
        <v>203</v>
      </c>
    </row>
    <row r="22" spans="1:55" hidden="1" x14ac:dyDescent="0.35">
      <c r="A22" s="205" t="s">
        <v>1</v>
      </c>
      <c r="B22" s="205"/>
      <c r="C22" s="205"/>
      <c r="D22" s="369">
        <v>12</v>
      </c>
      <c r="E22" s="369" t="s">
        <v>204</v>
      </c>
      <c r="F22" s="369"/>
      <c r="G22" s="213" t="str">
        <f>IFERROR(IF(E22="","",VLOOKUP(E22,'Mapped COA'!A:G,2,0)),IF(E22="","",VLOOKUP(E22,COA!A:G,2,0)))</f>
        <v>Other Taxes</v>
      </c>
      <c r="H22" s="428"/>
      <c r="I22" s="429">
        <f t="shared" si="4"/>
        <v>0</v>
      </c>
      <c r="J22" s="369">
        <v>1</v>
      </c>
      <c r="K22" s="4">
        <f t="shared" si="5"/>
        <v>0</v>
      </c>
      <c r="L22"/>
      <c r="M22"/>
      <c r="N22"/>
      <c r="O22" s="1"/>
      <c r="P22" s="48"/>
      <c r="R22" s="1"/>
      <c r="S22" s="48"/>
      <c r="T22" s="48"/>
      <c r="U22" s="249" t="s">
        <v>205</v>
      </c>
      <c r="V22" s="254">
        <f>VLOOKUP($D$5,Hidden!$A:$AC,8,FALSE)</f>
        <v>0</v>
      </c>
      <c r="W22" s="254">
        <f>VLOOKUP($D$5,Hidden!$A:$AC,20,FALSE)</f>
        <v>3</v>
      </c>
      <c r="AN22" s="253" t="s">
        <v>206</v>
      </c>
    </row>
    <row r="23" spans="1:55" hidden="1" x14ac:dyDescent="0.35">
      <c r="A23" s="205" t="s">
        <v>1</v>
      </c>
      <c r="B23" s="493"/>
      <c r="C23" s="493"/>
      <c r="D23" s="369">
        <v>12</v>
      </c>
      <c r="E23" s="369" t="s">
        <v>207</v>
      </c>
      <c r="F23" s="369"/>
      <c r="G23" s="213" t="str">
        <f>IFERROR(IF(E23="","",VLOOKUP(E23,'Mapped COA'!A:G,2,0)),IF(E23="","",VLOOKUP(E23,COA!A:G,2,0)))</f>
        <v>Personal Property Taxes / Business Licences</v>
      </c>
      <c r="H23" s="428"/>
      <c r="I23" s="429">
        <f t="shared" si="4"/>
        <v>0</v>
      </c>
      <c r="J23" s="369">
        <v>1</v>
      </c>
      <c r="K23" s="4">
        <f>IFERROR(I23*J23,0)</f>
        <v>0</v>
      </c>
      <c r="L23"/>
      <c r="M23"/>
      <c r="N23"/>
      <c r="O23" s="1"/>
      <c r="P23" s="48"/>
      <c r="R23" s="1"/>
      <c r="S23" s="48"/>
      <c r="T23" s="48"/>
      <c r="U23" s="249" t="s">
        <v>208</v>
      </c>
      <c r="V23" s="254">
        <f>VLOOKUP($D$5,Hidden!$A:$AC,9,FALSE)</f>
        <v>0</v>
      </c>
      <c r="W23" s="254">
        <f>VLOOKUP($D$5,Hidden!$A:$AC,21,FALSE)</f>
        <v>4</v>
      </c>
      <c r="AN23" s="253" t="s">
        <v>209</v>
      </c>
    </row>
    <row r="24" spans="1:55" x14ac:dyDescent="0.35">
      <c r="A24" s="205"/>
      <c r="B24" s="493">
        <v>46204</v>
      </c>
      <c r="C24" s="493">
        <v>46539</v>
      </c>
      <c r="D24" s="369">
        <v>12</v>
      </c>
      <c r="E24" s="369" t="s">
        <v>197</v>
      </c>
      <c r="F24" s="369"/>
      <c r="G24" s="213" t="str">
        <f>IFERROR(IF(E24="","",VLOOKUP(E24,'Mapped COA'!A:G,2,0)),IF(E24="","",VLOOKUP(E24,COA!A:G,2,0)))</f>
        <v>Real Estate Taxes</v>
      </c>
      <c r="H24" s="428">
        <v>680984.77</v>
      </c>
      <c r="I24" s="429">
        <f>IFERROR(ROUND(H24/D24,2),0)</f>
        <v>56748.73</v>
      </c>
      <c r="J24" s="369">
        <v>3</v>
      </c>
      <c r="K24" s="4">
        <f>IFERROR(I24*J24,0)</f>
        <v>170246.19</v>
      </c>
      <c r="L24"/>
      <c r="M24"/>
      <c r="N24"/>
      <c r="O24" s="1"/>
      <c r="P24" s="48"/>
      <c r="R24" s="1"/>
      <c r="S24" s="48"/>
      <c r="T24" s="48"/>
      <c r="U24" s="249"/>
      <c r="V24" s="254"/>
      <c r="W24" s="254"/>
    </row>
    <row r="25" spans="1:55" x14ac:dyDescent="0.35">
      <c r="A25" s="205"/>
      <c r="B25" s="493">
        <v>46204</v>
      </c>
      <c r="C25" s="493">
        <v>46539</v>
      </c>
      <c r="D25" s="369">
        <v>12</v>
      </c>
      <c r="E25" s="369" t="s">
        <v>207</v>
      </c>
      <c r="F25" s="369"/>
      <c r="G25" s="213" t="str">
        <f>IFERROR(IF(E25="","",VLOOKUP(E25,'Mapped COA'!A:G,2,0)),IF(E25="","",VLOOKUP(E25,COA!A:G,2,0)))</f>
        <v>Personal Property Taxes / Business Licences</v>
      </c>
      <c r="H25" s="548">
        <v>4649.0600000000004</v>
      </c>
      <c r="I25" s="429">
        <f t="shared" si="4"/>
        <v>387.42</v>
      </c>
      <c r="J25" s="369">
        <v>3</v>
      </c>
      <c r="K25" s="4">
        <f>IFERROR(I25*J25,0)</f>
        <v>1162.26</v>
      </c>
      <c r="L25"/>
      <c r="M25"/>
      <c r="N25"/>
      <c r="O25" s="1"/>
      <c r="P25" s="48"/>
      <c r="R25" s="1"/>
      <c r="S25" s="48"/>
      <c r="T25" s="48"/>
      <c r="U25" s="249"/>
      <c r="V25" s="254"/>
      <c r="W25" s="254"/>
    </row>
    <row r="26" spans="1:55" x14ac:dyDescent="0.35">
      <c r="A26" s="205"/>
      <c r="B26" s="493">
        <v>46204</v>
      </c>
      <c r="C26" s="493">
        <v>46539</v>
      </c>
      <c r="D26" s="369">
        <v>12</v>
      </c>
      <c r="E26" s="369" t="s">
        <v>204</v>
      </c>
      <c r="F26" s="369"/>
      <c r="G26" s="213" t="str">
        <f>IFERROR(IF(E26="","",VLOOKUP(E26,'Mapped COA'!A:G,2,0)),IF(E26="","",VLOOKUP(E26,COA!A:G,2,0)))</f>
        <v>Other Taxes</v>
      </c>
      <c r="H26" s="428">
        <v>4772.67</v>
      </c>
      <c r="I26" s="429">
        <f>IFERROR(ROUND(H26/D26,2),0)</f>
        <v>397.72</v>
      </c>
      <c r="J26" s="369">
        <v>3</v>
      </c>
      <c r="K26" s="4">
        <f>IFERROR(I26*J26,0)</f>
        <v>1193.1600000000001</v>
      </c>
      <c r="L26"/>
      <c r="M26"/>
      <c r="N26"/>
      <c r="O26" s="1"/>
      <c r="P26" s="48"/>
      <c r="R26" s="1"/>
      <c r="S26" s="48"/>
      <c r="T26" s="48"/>
      <c r="U26" s="249"/>
      <c r="V26" s="254"/>
      <c r="W26" s="254"/>
    </row>
    <row r="27" spans="1:55" x14ac:dyDescent="0.35">
      <c r="A27" s="205"/>
      <c r="B27" s="493"/>
      <c r="C27" s="493"/>
      <c r="D27" s="369"/>
      <c r="E27" s="369"/>
      <c r="F27" s="369"/>
      <c r="G27" s="213" t="str">
        <f>IFERROR(IF(E27="","",VLOOKUP(E27,'Mapped COA'!A:G,2,0)),IF(E27="","",VLOOKUP(E27,COA!A:G,2,0)))</f>
        <v/>
      </c>
      <c r="H27" s="428"/>
      <c r="I27" s="429"/>
      <c r="J27" s="369"/>
      <c r="K27" s="4"/>
      <c r="L27"/>
      <c r="M27"/>
      <c r="N27"/>
      <c r="O27" s="1"/>
      <c r="P27" s="48"/>
      <c r="R27" s="1"/>
      <c r="S27" s="48"/>
      <c r="T27" s="48"/>
      <c r="U27" s="249"/>
      <c r="V27" s="254"/>
      <c r="W27" s="254"/>
    </row>
    <row r="28" spans="1:55" x14ac:dyDescent="0.35">
      <c r="A28" s="205"/>
      <c r="B28" s="493"/>
      <c r="C28" s="493"/>
      <c r="D28" s="369" t="str">
        <f t="shared" ref="D28:D29" si="6">IFERROR(DATEDIF(EOMONTH(B28,-1)+1,EOMONTH(C28,0)+1,"m"),"")</f>
        <v/>
      </c>
      <c r="E28" s="369"/>
      <c r="F28" s="369"/>
      <c r="G28" s="213" t="str">
        <f>IFERROR(IF(E28="","",VLOOKUP(E28,'Mapped COA'!A:G,2,0)),IF(E28="","",VLOOKUP(E28,COA!A:G,2,0)))</f>
        <v/>
      </c>
      <c r="H28" s="428"/>
      <c r="I28" s="429">
        <f t="shared" si="4"/>
        <v>0</v>
      </c>
      <c r="J28" s="369"/>
      <c r="L28"/>
      <c r="M28"/>
      <c r="N28"/>
      <c r="O28" s="1"/>
      <c r="P28" s="48"/>
      <c r="R28" s="1"/>
      <c r="S28" s="48"/>
      <c r="T28" s="48"/>
      <c r="U28" s="249" t="s">
        <v>210</v>
      </c>
      <c r="V28" s="254">
        <f>VLOOKUP($D$5,Hidden!$A:$AC,10,FALSE)</f>
        <v>0</v>
      </c>
      <c r="W28" s="254">
        <f>VLOOKUP($D$5,Hidden!$A:$AC,22,FALSE)</f>
        <v>5</v>
      </c>
      <c r="AN28" s="253" t="s">
        <v>211</v>
      </c>
    </row>
    <row r="29" spans="1:55" x14ac:dyDescent="0.35">
      <c r="A29" s="205"/>
      <c r="B29" s="493"/>
      <c r="C29" s="493"/>
      <c r="D29" s="369" t="str">
        <f t="shared" si="6"/>
        <v/>
      </c>
      <c r="E29" s="369"/>
      <c r="F29" s="369"/>
      <c r="G29" s="213" t="str">
        <f>IFERROR(IF(E29="","",VLOOKUP(E29,'Mapped COA'!A:G,2,0)),IF(E29="","",VLOOKUP(E29,COA!A:G,2,0)))</f>
        <v/>
      </c>
      <c r="H29" s="428"/>
      <c r="I29" s="429">
        <f t="shared" si="4"/>
        <v>0</v>
      </c>
      <c r="J29" s="369"/>
      <c r="K29" s="4">
        <f>IFERROR(I29*J29,0)</f>
        <v>0</v>
      </c>
      <c r="L29"/>
      <c r="M29"/>
      <c r="N29"/>
      <c r="O29" s="1"/>
      <c r="P29" s="48"/>
      <c r="R29" s="1"/>
      <c r="S29" s="48"/>
      <c r="T29" s="48"/>
      <c r="U29" s="249" t="s">
        <v>212</v>
      </c>
      <c r="V29" s="254">
        <f>VLOOKUP($D$5,Hidden!$A:$AC,11,FALSE)</f>
        <v>0</v>
      </c>
      <c r="W29" s="254">
        <f>VLOOKUP($D$5,Hidden!$A:$AC,23,FALSE)</f>
        <v>6</v>
      </c>
      <c r="AN29" s="253" t="s">
        <v>213</v>
      </c>
    </row>
    <row r="30" spans="1:55" x14ac:dyDescent="0.35">
      <c r="E30" s="430"/>
      <c r="F30" s="430"/>
      <c r="G30" s="430"/>
      <c r="I30" s="430"/>
      <c r="J30" s="430" t="s">
        <v>127</v>
      </c>
      <c r="K30" s="49"/>
      <c r="L30"/>
      <c r="M30"/>
      <c r="U30" s="249" t="s">
        <v>214</v>
      </c>
      <c r="V30" s="254">
        <f>VLOOKUP($D$5,Hidden!$A:$AC,12,FALSE)</f>
        <v>0</v>
      </c>
      <c r="W30" s="254">
        <f>VLOOKUP($D$5,Hidden!$A:$AC,24,FALSE)</f>
        <v>7</v>
      </c>
      <c r="AN30" s="253" t="s">
        <v>215</v>
      </c>
    </row>
    <row r="31" spans="1:55" x14ac:dyDescent="0.35">
      <c r="F31" s="199"/>
      <c r="G31" s="199"/>
      <c r="H31" s="4">
        <f>SUM(H20:H29)</f>
        <v>690406.50000000012</v>
      </c>
      <c r="I31" s="4">
        <f>SUM(I20:I29)</f>
        <v>57533.87</v>
      </c>
      <c r="J31" s="4"/>
      <c r="K31" s="4">
        <f>SUM(K20:K30)</f>
        <v>172601.61000000002</v>
      </c>
      <c r="L31"/>
      <c r="M31"/>
      <c r="U31" s="249" t="s">
        <v>216</v>
      </c>
      <c r="V31" s="254">
        <f>VLOOKUP($D$5,Hidden!$A:$AC,13,FALSE)</f>
        <v>0</v>
      </c>
      <c r="W31" s="254">
        <f>VLOOKUP($D$5,Hidden!$A:$AC,25,FALSE)</f>
        <v>8</v>
      </c>
      <c r="AN31" s="253" t="s">
        <v>217</v>
      </c>
    </row>
    <row r="32" spans="1:55" x14ac:dyDescent="0.35">
      <c r="U32" s="249" t="s">
        <v>218</v>
      </c>
      <c r="V32" s="254">
        <f>VLOOKUP($D$5,Hidden!$A:$AC,14,FALSE)</f>
        <v>0</v>
      </c>
      <c r="W32" s="254">
        <f>VLOOKUP($D$5,Hidden!$A:$AC,26,FALSE)</f>
        <v>9</v>
      </c>
      <c r="AN32" s="253" t="s">
        <v>169</v>
      </c>
    </row>
    <row r="33" spans="1:55" x14ac:dyDescent="0.35">
      <c r="A33"/>
      <c r="B33" s="432" t="s">
        <v>219</v>
      </c>
      <c r="C33" s="432" t="s">
        <v>220</v>
      </c>
      <c r="D33" s="432" t="s">
        <v>221</v>
      </c>
      <c r="E33" s="432" t="s">
        <v>146</v>
      </c>
      <c r="F33" s="432" t="s">
        <v>222</v>
      </c>
      <c r="G33" s="433" t="s">
        <v>223</v>
      </c>
      <c r="H33" s="433" t="s">
        <v>224</v>
      </c>
      <c r="I33" s="433" t="s">
        <v>225</v>
      </c>
      <c r="J33" s="433" t="s">
        <v>226</v>
      </c>
      <c r="K33" s="432" t="s">
        <v>224</v>
      </c>
      <c r="L33" s="437"/>
      <c r="M33"/>
      <c r="N33" s="214" t="s">
        <v>227</v>
      </c>
      <c r="O33" s="215" t="s">
        <v>228</v>
      </c>
      <c r="P33" s="215" t="s">
        <v>224</v>
      </c>
      <c r="Q33" s="215" t="s">
        <v>229</v>
      </c>
      <c r="R33" s="215" t="s">
        <v>230</v>
      </c>
      <c r="S33" s="214" t="s">
        <v>224</v>
      </c>
      <c r="U33" s="249" t="s">
        <v>231</v>
      </c>
      <c r="V33" s="254">
        <f>VLOOKUP($D$5,Hidden!$A:$AC,15,FALSE)</f>
        <v>0</v>
      </c>
      <c r="W33" s="254">
        <f>VLOOKUP($D$5,Hidden!$A:$AC,27,FALSE)</f>
        <v>10</v>
      </c>
      <c r="AN33" s="253" t="s">
        <v>232</v>
      </c>
    </row>
    <row r="34" spans="1:55" x14ac:dyDescent="0.35">
      <c r="A34"/>
      <c r="B34" s="434" t="s">
        <v>233</v>
      </c>
      <c r="C34" s="517" t="s">
        <v>234</v>
      </c>
      <c r="D34" s="518">
        <v>232313</v>
      </c>
      <c r="E34" s="434" t="s">
        <v>235</v>
      </c>
      <c r="F34" s="435">
        <v>4653.22</v>
      </c>
      <c r="G34" s="520">
        <v>46027</v>
      </c>
      <c r="H34" s="480">
        <v>46020</v>
      </c>
      <c r="I34" s="435"/>
      <c r="J34" s="479"/>
      <c r="K34" s="480"/>
      <c r="L34" s="438"/>
      <c r="M34"/>
      <c r="N34" s="216"/>
      <c r="O34" s="255"/>
      <c r="P34" s="217"/>
      <c r="Q34" s="216"/>
      <c r="R34" s="255"/>
      <c r="S34" s="217"/>
      <c r="U34" s="249" t="s">
        <v>236</v>
      </c>
      <c r="V34" s="254">
        <f>VLOOKUP($D$5,Hidden!$A:$AC,16,FALSE)</f>
        <v>0</v>
      </c>
      <c r="W34" s="254">
        <f>VLOOKUP($D$5,Hidden!$A:$AC,28,FALSE)</f>
        <v>11</v>
      </c>
      <c r="AN34" s="253" t="s">
        <v>237</v>
      </c>
    </row>
    <row r="35" spans="1:55" x14ac:dyDescent="0.35">
      <c r="A35"/>
      <c r="B35" s="434" t="s">
        <v>238</v>
      </c>
      <c r="C35" s="517" t="s">
        <v>239</v>
      </c>
      <c r="D35" s="518">
        <v>6965077</v>
      </c>
      <c r="E35" s="434" t="s">
        <v>235</v>
      </c>
      <c r="F35" s="435">
        <v>5458.64</v>
      </c>
      <c r="G35" s="520">
        <v>46027</v>
      </c>
      <c r="H35" s="480">
        <v>46020</v>
      </c>
      <c r="I35" s="436"/>
      <c r="J35" s="480"/>
      <c r="K35" s="479"/>
      <c r="L35" s="439"/>
      <c r="M35"/>
      <c r="N35" s="216"/>
      <c r="O35" s="256"/>
      <c r="P35" s="217"/>
      <c r="Q35" s="216"/>
      <c r="R35" s="256"/>
      <c r="S35" s="217"/>
      <c r="U35" s="250" t="s">
        <v>240</v>
      </c>
      <c r="V35" s="254">
        <f>VLOOKUP($D$5,Hidden!$A:$AC,17,FALSE)</f>
        <v>0</v>
      </c>
      <c r="W35" s="254">
        <f>VLOOKUP($D$5,Hidden!$A:$AC,29,FALSE)</f>
        <v>0</v>
      </c>
      <c r="AN35" s="253" t="s">
        <v>241</v>
      </c>
    </row>
    <row r="36" spans="1:55" x14ac:dyDescent="0.35">
      <c r="A36"/>
      <c r="B36" s="434" t="s">
        <v>238</v>
      </c>
      <c r="C36" s="517" t="s">
        <v>239</v>
      </c>
      <c r="D36" s="518">
        <v>425436</v>
      </c>
      <c r="E36" s="434" t="s">
        <v>235</v>
      </c>
      <c r="F36" s="435">
        <v>642893.62</v>
      </c>
      <c r="G36" s="520">
        <v>46027</v>
      </c>
      <c r="H36" s="480">
        <v>46020</v>
      </c>
      <c r="I36" s="436"/>
      <c r="J36" s="480"/>
      <c r="K36" s="479"/>
      <c r="L36" s="439"/>
      <c r="M36"/>
      <c r="N36" s="216"/>
      <c r="O36" s="256"/>
      <c r="P36" s="217"/>
      <c r="Q36" s="216"/>
      <c r="R36" s="256"/>
      <c r="S36" s="217"/>
      <c r="U36" s="1" t="s">
        <v>242</v>
      </c>
      <c r="AN36" s="253" t="s">
        <v>243</v>
      </c>
    </row>
    <row r="37" spans="1:55" ht="26" x14ac:dyDescent="0.35">
      <c r="A37"/>
      <c r="B37" s="434" t="s">
        <v>238</v>
      </c>
      <c r="C37" s="519" t="s">
        <v>239</v>
      </c>
      <c r="D37" s="518">
        <v>380278</v>
      </c>
      <c r="E37" s="434" t="s">
        <v>235</v>
      </c>
      <c r="F37" s="435">
        <v>23060.32</v>
      </c>
      <c r="G37" s="520">
        <v>46027</v>
      </c>
      <c r="H37" s="480">
        <v>46020</v>
      </c>
      <c r="I37" s="436"/>
      <c r="J37" s="480"/>
      <c r="K37" s="479"/>
      <c r="L37" s="439"/>
      <c r="M37"/>
      <c r="N37" s="216"/>
      <c r="O37" s="256"/>
      <c r="P37" s="217"/>
      <c r="Q37" s="216"/>
      <c r="R37" s="256"/>
      <c r="S37" s="217"/>
      <c r="U37" s="1" t="s">
        <v>244</v>
      </c>
      <c r="AN37" s="253" t="s">
        <v>245</v>
      </c>
    </row>
    <row r="38" spans="1:55" ht="15" thickBot="1" x14ac:dyDescent="0.4">
      <c r="AN38" s="253" t="s">
        <v>246</v>
      </c>
      <c r="AO38" s="253" t="s">
        <v>246</v>
      </c>
      <c r="BB38" s="1"/>
      <c r="BC38" s="48"/>
    </row>
    <row r="39" spans="1:55" x14ac:dyDescent="0.35">
      <c r="G39" s="549" t="s">
        <v>158</v>
      </c>
      <c r="H39" s="550"/>
      <c r="I39" s="550"/>
      <c r="J39" s="551"/>
      <c r="AN39" s="253" t="s">
        <v>247</v>
      </c>
      <c r="AO39" s="253" t="s">
        <v>247</v>
      </c>
      <c r="BB39" s="1"/>
      <c r="BC39" s="48"/>
    </row>
    <row r="40" spans="1:55" x14ac:dyDescent="0.35">
      <c r="G40" s="498"/>
      <c r="H40" s="499" t="s">
        <v>197</v>
      </c>
      <c r="I40" s="499" t="s">
        <v>204</v>
      </c>
      <c r="J40" s="500" t="s">
        <v>207</v>
      </c>
      <c r="AN40" s="253" t="s">
        <v>248</v>
      </c>
      <c r="AO40" s="253" t="s">
        <v>248</v>
      </c>
      <c r="BB40" s="1"/>
      <c r="BC40" s="48"/>
    </row>
    <row r="41" spans="1:55" x14ac:dyDescent="0.35">
      <c r="G41" s="501">
        <v>46044</v>
      </c>
      <c r="H41" s="502">
        <v>42736.19</v>
      </c>
      <c r="I41" s="502">
        <v>4653.22</v>
      </c>
      <c r="J41" s="503">
        <v>136.19</v>
      </c>
      <c r="AN41" s="253" t="s">
        <v>249</v>
      </c>
      <c r="AO41" s="253" t="s">
        <v>249</v>
      </c>
      <c r="BB41" s="1"/>
      <c r="BC41" s="48"/>
    </row>
    <row r="42" spans="1:55" x14ac:dyDescent="0.35">
      <c r="G42" s="501">
        <v>46074</v>
      </c>
      <c r="H42" s="502">
        <f>H41+$I$9</f>
        <v>42736.19</v>
      </c>
      <c r="I42" s="502">
        <f>I41+$I$10</f>
        <v>4653.22</v>
      </c>
      <c r="J42" s="503">
        <f>J41+$I$11</f>
        <v>136.19</v>
      </c>
      <c r="AN42" s="253" t="s">
        <v>250</v>
      </c>
    </row>
    <row r="43" spans="1:55" x14ac:dyDescent="0.35">
      <c r="G43" s="501">
        <v>46104</v>
      </c>
      <c r="H43" s="502">
        <f t="shared" ref="H43:H52" si="7">H42+$I$9</f>
        <v>42736.19</v>
      </c>
      <c r="I43" s="502">
        <f t="shared" ref="I43:I52" si="8">I42+$I$10</f>
        <v>4653.22</v>
      </c>
      <c r="J43" s="503">
        <f t="shared" ref="J43:J52" si="9">J42+$I$11</f>
        <v>136.19</v>
      </c>
      <c r="AN43" s="253" t="s">
        <v>251</v>
      </c>
    </row>
    <row r="44" spans="1:55" x14ac:dyDescent="0.35">
      <c r="G44" s="501">
        <v>46134</v>
      </c>
      <c r="H44" s="502">
        <f>H43+$I$9</f>
        <v>42736.19</v>
      </c>
      <c r="I44" s="502">
        <f t="shared" si="8"/>
        <v>4653.22</v>
      </c>
      <c r="J44" s="503">
        <f t="shared" si="9"/>
        <v>136.19</v>
      </c>
      <c r="AN44" s="253" t="s">
        <v>252</v>
      </c>
    </row>
    <row r="45" spans="1:55" x14ac:dyDescent="0.35">
      <c r="G45" s="501">
        <v>46164</v>
      </c>
      <c r="H45" s="502">
        <f t="shared" si="7"/>
        <v>42736.19</v>
      </c>
      <c r="I45" s="502">
        <f t="shared" si="8"/>
        <v>4653.22</v>
      </c>
      <c r="J45" s="503">
        <f t="shared" si="9"/>
        <v>136.19</v>
      </c>
      <c r="AN45" s="253" t="s">
        <v>253</v>
      </c>
    </row>
    <row r="46" spans="1:55" x14ac:dyDescent="0.35">
      <c r="G46" s="501">
        <v>46194</v>
      </c>
      <c r="H46" s="502">
        <f t="shared" si="7"/>
        <v>42736.19</v>
      </c>
      <c r="I46" s="502">
        <f t="shared" si="8"/>
        <v>4653.22</v>
      </c>
      <c r="J46" s="503">
        <f t="shared" si="9"/>
        <v>136.19</v>
      </c>
      <c r="AN46" s="253" t="s">
        <v>254</v>
      </c>
    </row>
    <row r="47" spans="1:55" x14ac:dyDescent="0.35">
      <c r="G47" s="501">
        <v>46224</v>
      </c>
      <c r="H47" s="502">
        <f t="shared" si="7"/>
        <v>42736.19</v>
      </c>
      <c r="I47" s="502">
        <f t="shared" si="8"/>
        <v>4653.22</v>
      </c>
      <c r="J47" s="503">
        <f t="shared" si="9"/>
        <v>136.19</v>
      </c>
      <c r="AN47" s="253" t="s">
        <v>255</v>
      </c>
    </row>
    <row r="48" spans="1:55" x14ac:dyDescent="0.35">
      <c r="G48" s="501">
        <v>46254</v>
      </c>
      <c r="H48" s="502">
        <f t="shared" si="7"/>
        <v>42736.19</v>
      </c>
      <c r="I48" s="502">
        <f t="shared" si="8"/>
        <v>4653.22</v>
      </c>
      <c r="J48" s="503">
        <f t="shared" si="9"/>
        <v>136.19</v>
      </c>
      <c r="AN48" s="253" t="s">
        <v>256</v>
      </c>
    </row>
    <row r="49" spans="7:40" x14ac:dyDescent="0.35">
      <c r="G49" s="501">
        <v>46284</v>
      </c>
      <c r="H49" s="502">
        <f t="shared" si="7"/>
        <v>42736.19</v>
      </c>
      <c r="I49" s="502">
        <f t="shared" si="8"/>
        <v>4653.22</v>
      </c>
      <c r="J49" s="503">
        <f t="shared" si="9"/>
        <v>136.19</v>
      </c>
      <c r="AN49" s="253" t="s">
        <v>257</v>
      </c>
    </row>
    <row r="50" spans="7:40" x14ac:dyDescent="0.35">
      <c r="G50" s="501">
        <v>46314</v>
      </c>
      <c r="H50" s="502">
        <f t="shared" si="7"/>
        <v>42736.19</v>
      </c>
      <c r="I50" s="502">
        <f t="shared" si="8"/>
        <v>4653.22</v>
      </c>
      <c r="J50" s="503">
        <f t="shared" si="9"/>
        <v>136.19</v>
      </c>
      <c r="AN50" s="253" t="s">
        <v>258</v>
      </c>
    </row>
    <row r="51" spans="7:40" x14ac:dyDescent="0.35">
      <c r="G51" s="501">
        <v>46344</v>
      </c>
      <c r="H51" s="502">
        <f t="shared" si="7"/>
        <v>42736.19</v>
      </c>
      <c r="I51" s="502">
        <f t="shared" si="8"/>
        <v>4653.22</v>
      </c>
      <c r="J51" s="503">
        <f t="shared" si="9"/>
        <v>136.19</v>
      </c>
      <c r="AN51" s="253" t="s">
        <v>259</v>
      </c>
    </row>
    <row r="52" spans="7:40" ht="15" thickBot="1" x14ac:dyDescent="0.4">
      <c r="G52" s="504">
        <v>46378</v>
      </c>
      <c r="H52" s="502">
        <f t="shared" si="7"/>
        <v>42736.19</v>
      </c>
      <c r="I52" s="502">
        <f t="shared" si="8"/>
        <v>4653.22</v>
      </c>
      <c r="J52" s="503">
        <f t="shared" si="9"/>
        <v>136.19</v>
      </c>
      <c r="AN52" s="253" t="s">
        <v>260</v>
      </c>
    </row>
    <row r="53" spans="7:40" x14ac:dyDescent="0.35">
      <c r="AN53" s="253" t="s">
        <v>261</v>
      </c>
    </row>
    <row r="54" spans="7:40" x14ac:dyDescent="0.35">
      <c r="AN54" s="253" t="s">
        <v>262</v>
      </c>
    </row>
  </sheetData>
  <mergeCells count="6">
    <mergeCell ref="G39:J39"/>
    <mergeCell ref="A1:J1"/>
    <mergeCell ref="A2:J2"/>
    <mergeCell ref="A3:J3"/>
    <mergeCell ref="U2:U6"/>
    <mergeCell ref="U8:U12"/>
  </mergeCells>
  <phoneticPr fontId="47" type="noConversion"/>
  <conditionalFormatting sqref="G13:G14 H9:I9 K9 H10:K14 F20:F29 F9:F14 I29:K29 I28:J28 K20:K27">
    <cfRule type="expression" dxfId="56" priority="39">
      <formula>INDIRECT("A"&amp;ROW()) = "Yes"</formula>
    </cfRule>
  </conditionalFormatting>
  <conditionalFormatting sqref="G28:G29 I20:I29">
    <cfRule type="expression" dxfId="55" priority="38">
      <formula>INDIRECT("A"&amp;ROW()) = "Yes"</formula>
    </cfRule>
  </conditionalFormatting>
  <conditionalFormatting sqref="G9:G14">
    <cfRule type="expression" dxfId="54" priority="37">
      <formula>INDIRECT("A"&amp;ROW()) = "Yes"</formula>
    </cfRule>
  </conditionalFormatting>
  <conditionalFormatting sqref="G21:G29">
    <cfRule type="expression" dxfId="53" priority="36">
      <formula>INDIRECT("A"&amp;ROW()) = "Yes"</formula>
    </cfRule>
  </conditionalFormatting>
  <conditionalFormatting sqref="J20:J29">
    <cfRule type="expression" dxfId="52" priority="33">
      <formula>INDIRECT("A"&amp;ROW()) = "Yes"</formula>
    </cfRule>
  </conditionalFormatting>
  <conditionalFormatting sqref="D18">
    <cfRule type="expression" dxfId="51" priority="19">
      <formula>INDIRECT("A"&amp;ROW()) = "Yes"</formula>
    </cfRule>
  </conditionalFormatting>
  <conditionalFormatting sqref="D7">
    <cfRule type="expression" dxfId="50" priority="18">
      <formula>INDIRECT("A"&amp;ROW()) = "Yes"</formula>
    </cfRule>
  </conditionalFormatting>
  <conditionalFormatting sqref="E9:E14">
    <cfRule type="expression" dxfId="49" priority="17">
      <formula>INDIRECT("A"&amp;ROW()) = "Yes"</formula>
    </cfRule>
  </conditionalFormatting>
  <conditionalFormatting sqref="B9:C14">
    <cfRule type="expression" dxfId="48" priority="16">
      <formula>INDIRECT("A"&amp;ROW()) = "Yes"</formula>
    </cfRule>
  </conditionalFormatting>
  <conditionalFormatting sqref="D9:D14">
    <cfRule type="expression" dxfId="47" priority="15">
      <formula>INDIRECT("A"&amp;ROW()) = "Yes"</formula>
    </cfRule>
  </conditionalFormatting>
  <conditionalFormatting sqref="G21:G29">
    <cfRule type="expression" dxfId="46" priority="14">
      <formula>INDIRECT("A"&amp;ROW()) = "Yes"</formula>
    </cfRule>
  </conditionalFormatting>
  <conditionalFormatting sqref="G21:G29">
    <cfRule type="expression" dxfId="45" priority="13">
      <formula>INDIRECT("A"&amp;ROW()) = "Yes"</formula>
    </cfRule>
  </conditionalFormatting>
  <conditionalFormatting sqref="E23:E29">
    <cfRule type="expression" dxfId="44" priority="12">
      <formula>INDIRECT("A"&amp;ROW()) = "Yes"</formula>
    </cfRule>
  </conditionalFormatting>
  <conditionalFormatting sqref="B23:C29">
    <cfRule type="expression" dxfId="43" priority="11">
      <formula>INDIRECT("A"&amp;ROW()) = "Yes"</formula>
    </cfRule>
  </conditionalFormatting>
  <conditionalFormatting sqref="H20:H29">
    <cfRule type="expression" dxfId="42" priority="8">
      <formula>INDIRECT("A"&amp;ROW()) = "Yes"</formula>
    </cfRule>
  </conditionalFormatting>
  <conditionalFormatting sqref="A9:A14">
    <cfRule type="expression" dxfId="41" priority="7">
      <formula>INDIRECT("A"&amp;ROW()) = "Yes"</formula>
    </cfRule>
  </conditionalFormatting>
  <conditionalFormatting sqref="A20:A29">
    <cfRule type="expression" dxfId="40" priority="6">
      <formula>INDIRECT("A"&amp;ROW()) = "Yes"</formula>
    </cfRule>
  </conditionalFormatting>
  <conditionalFormatting sqref="D28:D29">
    <cfRule type="expression" dxfId="39" priority="5">
      <formula>INDIRECT("A"&amp;ROW()) = "Yes"</formula>
    </cfRule>
  </conditionalFormatting>
  <conditionalFormatting sqref="J9:J14">
    <cfRule type="expression" dxfId="38" priority="4">
      <formula>INDIRECT("A"&amp;ROW()) = "Yes"</formula>
    </cfRule>
  </conditionalFormatting>
  <conditionalFormatting sqref="G20">
    <cfRule type="expression" dxfId="37" priority="3">
      <formula>INDIRECT("A"&amp;ROW()) = "Yes"</formula>
    </cfRule>
  </conditionalFormatting>
  <conditionalFormatting sqref="B20:E20 B21:C22 E21:E22 D21:D27">
    <cfRule type="expression" dxfId="36" priority="1">
      <formula>INDIRECT("A"&amp;ROW()) = "Yes"</formula>
    </cfRule>
  </conditionalFormatting>
  <dataValidations count="1">
    <dataValidation type="list" allowBlank="1" showInputMessage="1" showErrorMessage="1" sqref="D5" xr:uid="{D7F7F5A7-4B0B-4B80-B10F-F603E8DE81E8}">
      <formula1>$AN$1:$AN$54</formula1>
    </dataValidation>
  </dataValidations>
  <hyperlinks>
    <hyperlink ref="C34" r:id="rId1" xr:uid="{12BA0F6A-EB51-421B-9C8C-C7BD34ACAED6}"/>
    <hyperlink ref="C35" r:id="rId2" xr:uid="{CEF89EFC-BC16-4C34-949B-1CB1CDE858E4}"/>
    <hyperlink ref="C36" r:id="rId3" xr:uid="{19ACA8BB-EF54-4749-B166-58F939E04283}"/>
    <hyperlink ref="C37" r:id="rId4" xr:uid="{BD7032C3-0928-48B7-AEB0-1FC13481524F}"/>
  </hyperlinks>
  <printOptions horizontalCentered="1"/>
  <pageMargins left="0.7" right="0.7" top="0.75" bottom="0.75" header="0.3" footer="0.3"/>
  <pageSetup scale="52" fitToHeight="0" orientation="landscape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6D809-45D6-4666-BE0F-8871CBB7B806}">
          <x14:formula1>
            <xm:f>'Prepaid Other'!$M$4:$M$5</xm:f>
          </x14:formula1>
          <xm:sqref>A9:A14 A20:A29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23C6A-5907-428A-9805-F84BF64F655A}">
  <sheetPr codeName="Sheet8"/>
  <dimension ref="A1:AC55"/>
  <sheetViews>
    <sheetView workbookViewId="0">
      <pane xSplit="5" ySplit="3" topLeftCell="F4" activePane="bottomRight" state="frozen"/>
      <selection pane="topRight" activeCell="W51" sqref="W51"/>
      <selection pane="bottomLeft" activeCell="W51" sqref="W51"/>
      <selection pane="bottomRight" activeCell="V7" sqref="V7"/>
    </sheetView>
  </sheetViews>
  <sheetFormatPr defaultRowHeight="14.5" x14ac:dyDescent="0.35"/>
  <cols>
    <col min="1" max="1" width="6.7265625" style="1" bestFit="1" customWidth="1"/>
    <col min="2" max="2" width="22" style="48" bestFit="1" customWidth="1"/>
    <col min="3" max="3" width="22.81640625" style="48" bestFit="1" customWidth="1"/>
    <col min="4" max="4" width="22.453125" style="48" bestFit="1" customWidth="1"/>
    <col min="5" max="5" width="22.26953125" style="48" bestFit="1" customWidth="1"/>
    <col min="6" max="29" width="18.26953125" bestFit="1" customWidth="1"/>
  </cols>
  <sheetData>
    <row r="1" spans="1:29" x14ac:dyDescent="0.35">
      <c r="A1" s="1">
        <v>1</v>
      </c>
      <c r="B1" s="1">
        <f>A1+1</f>
        <v>2</v>
      </c>
      <c r="C1" s="1">
        <f t="shared" ref="C1:AC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</row>
    <row r="2" spans="1:29" x14ac:dyDescent="0.35">
      <c r="B2" s="1"/>
      <c r="C2" s="1"/>
      <c r="D2" s="1"/>
      <c r="E2" s="1"/>
    </row>
    <row r="3" spans="1:29" x14ac:dyDescent="0.35">
      <c r="A3" s="242" t="s">
        <v>168</v>
      </c>
      <c r="B3" s="243" t="s">
        <v>263</v>
      </c>
      <c r="C3" s="243" t="s">
        <v>264</v>
      </c>
      <c r="D3" s="243" t="s">
        <v>265</v>
      </c>
      <c r="E3" s="243" t="s">
        <v>266</v>
      </c>
      <c r="F3" s="243" t="s">
        <v>199</v>
      </c>
      <c r="G3" s="243" t="s">
        <v>202</v>
      </c>
      <c r="H3" s="243" t="s">
        <v>205</v>
      </c>
      <c r="I3" s="243" t="s">
        <v>208</v>
      </c>
      <c r="J3" s="243" t="s">
        <v>210</v>
      </c>
      <c r="K3" s="243" t="s">
        <v>212</v>
      </c>
      <c r="L3" s="243" t="s">
        <v>214</v>
      </c>
      <c r="M3" s="243" t="s">
        <v>216</v>
      </c>
      <c r="N3" s="243" t="s">
        <v>218</v>
      </c>
      <c r="O3" s="243" t="s">
        <v>231</v>
      </c>
      <c r="P3" s="243" t="s">
        <v>236</v>
      </c>
      <c r="Q3" s="243" t="s">
        <v>240</v>
      </c>
      <c r="R3" s="243" t="s">
        <v>199</v>
      </c>
      <c r="S3" s="243" t="s">
        <v>202</v>
      </c>
      <c r="T3" s="243" t="s">
        <v>205</v>
      </c>
      <c r="U3" s="243" t="s">
        <v>208</v>
      </c>
      <c r="V3" s="243" t="s">
        <v>210</v>
      </c>
      <c r="W3" s="243" t="s">
        <v>212</v>
      </c>
      <c r="X3" s="243" t="s">
        <v>214</v>
      </c>
      <c r="Y3" s="243" t="s">
        <v>216</v>
      </c>
      <c r="Z3" s="243" t="s">
        <v>218</v>
      </c>
      <c r="AA3" s="243" t="s">
        <v>231</v>
      </c>
      <c r="AB3" s="243" t="s">
        <v>236</v>
      </c>
      <c r="AC3" s="243" t="s">
        <v>240</v>
      </c>
    </row>
    <row r="4" spans="1:29" x14ac:dyDescent="0.35">
      <c r="A4" s="1" t="s">
        <v>162</v>
      </c>
      <c r="B4" s="245">
        <v>43997</v>
      </c>
      <c r="C4" s="245">
        <v>44058</v>
      </c>
      <c r="D4" s="245" t="s">
        <v>267</v>
      </c>
      <c r="E4" s="245" t="s">
        <v>267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4</v>
      </c>
      <c r="N4">
        <v>3</v>
      </c>
      <c r="O4">
        <v>2</v>
      </c>
      <c r="P4">
        <v>1</v>
      </c>
      <c r="Q4">
        <v>0</v>
      </c>
      <c r="R4">
        <v>1</v>
      </c>
      <c r="S4">
        <v>2</v>
      </c>
      <c r="T4">
        <v>3</v>
      </c>
      <c r="U4">
        <v>4</v>
      </c>
      <c r="V4">
        <v>5</v>
      </c>
      <c r="W4">
        <v>0</v>
      </c>
      <c r="X4">
        <v>1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35">
      <c r="A5" s="1" t="s">
        <v>165</v>
      </c>
      <c r="B5" s="245">
        <v>44196</v>
      </c>
      <c r="C5" s="245" t="s">
        <v>267</v>
      </c>
      <c r="D5" s="245" t="s">
        <v>267</v>
      </c>
      <c r="E5" s="245" t="s">
        <v>267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4</v>
      </c>
      <c r="S5">
        <v>5</v>
      </c>
      <c r="T5">
        <v>6</v>
      </c>
      <c r="U5">
        <v>7</v>
      </c>
      <c r="V5">
        <v>8</v>
      </c>
      <c r="W5">
        <v>9</v>
      </c>
      <c r="X5">
        <v>10</v>
      </c>
      <c r="Y5">
        <v>11</v>
      </c>
      <c r="Z5">
        <v>12</v>
      </c>
      <c r="AA5">
        <v>12</v>
      </c>
      <c r="AB5">
        <v>12</v>
      </c>
      <c r="AC5">
        <v>0</v>
      </c>
    </row>
    <row r="6" spans="1:29" x14ac:dyDescent="0.35">
      <c r="A6" s="1" t="s">
        <v>166</v>
      </c>
      <c r="B6" s="245">
        <v>44119</v>
      </c>
      <c r="C6" s="245" t="s">
        <v>267</v>
      </c>
      <c r="D6" s="245" t="s">
        <v>267</v>
      </c>
      <c r="E6" s="245" t="s">
        <v>267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13</v>
      </c>
      <c r="S6">
        <v>14</v>
      </c>
      <c r="T6">
        <v>15</v>
      </c>
      <c r="U6">
        <v>16</v>
      </c>
      <c r="V6">
        <v>17</v>
      </c>
      <c r="W6">
        <v>18</v>
      </c>
      <c r="X6">
        <v>19</v>
      </c>
      <c r="Y6">
        <v>20</v>
      </c>
      <c r="Z6">
        <v>21</v>
      </c>
      <c r="AA6">
        <v>10</v>
      </c>
      <c r="AB6">
        <v>11</v>
      </c>
      <c r="AC6">
        <v>12</v>
      </c>
    </row>
    <row r="7" spans="1:29" x14ac:dyDescent="0.35">
      <c r="A7" s="1" t="s">
        <v>167</v>
      </c>
      <c r="B7" s="245">
        <v>43770</v>
      </c>
      <c r="C7" s="245">
        <v>43952</v>
      </c>
      <c r="D7" s="245" t="s">
        <v>267</v>
      </c>
      <c r="E7" s="245" t="s">
        <v>267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7</v>
      </c>
      <c r="S7">
        <v>8</v>
      </c>
      <c r="T7">
        <v>9</v>
      </c>
      <c r="U7">
        <v>4</v>
      </c>
      <c r="V7">
        <v>5</v>
      </c>
      <c r="W7">
        <v>6</v>
      </c>
      <c r="X7">
        <v>7</v>
      </c>
      <c r="Y7">
        <v>8</v>
      </c>
      <c r="Z7">
        <v>9</v>
      </c>
      <c r="AA7">
        <v>4</v>
      </c>
      <c r="AB7">
        <v>5</v>
      </c>
      <c r="AC7">
        <v>6</v>
      </c>
    </row>
    <row r="8" spans="1:29" x14ac:dyDescent="0.35">
      <c r="A8" s="1" t="s">
        <v>170</v>
      </c>
      <c r="B8" s="245">
        <v>43809</v>
      </c>
      <c r="C8" s="245">
        <v>43931</v>
      </c>
      <c r="D8" s="245" t="s">
        <v>267</v>
      </c>
      <c r="E8" s="245" t="s">
        <v>267</v>
      </c>
      <c r="F8">
        <v>0</v>
      </c>
      <c r="G8">
        <v>0</v>
      </c>
      <c r="H8">
        <v>0</v>
      </c>
      <c r="I8">
        <v>2</v>
      </c>
      <c r="J8">
        <v>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2</v>
      </c>
      <c r="T8">
        <v>3</v>
      </c>
      <c r="U8">
        <v>0</v>
      </c>
      <c r="V8">
        <v>0</v>
      </c>
      <c r="W8">
        <v>0</v>
      </c>
      <c r="X8">
        <v>1</v>
      </c>
      <c r="Y8">
        <v>2</v>
      </c>
      <c r="Z8">
        <v>3</v>
      </c>
      <c r="AA8">
        <v>4</v>
      </c>
      <c r="AB8">
        <v>5</v>
      </c>
      <c r="AC8">
        <v>0</v>
      </c>
    </row>
    <row r="9" spans="1:29" x14ac:dyDescent="0.35">
      <c r="A9" s="1" t="s">
        <v>171</v>
      </c>
      <c r="B9" s="245">
        <v>43889</v>
      </c>
      <c r="C9" s="245">
        <v>43997</v>
      </c>
      <c r="D9" s="245" t="s">
        <v>267</v>
      </c>
      <c r="E9" s="245" t="s">
        <v>267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13</v>
      </c>
      <c r="S9">
        <v>8</v>
      </c>
      <c r="T9">
        <v>9</v>
      </c>
      <c r="U9">
        <v>10</v>
      </c>
      <c r="V9">
        <v>11</v>
      </c>
      <c r="W9">
        <v>6</v>
      </c>
      <c r="X9">
        <v>7</v>
      </c>
      <c r="Y9">
        <v>8</v>
      </c>
      <c r="Z9">
        <v>9</v>
      </c>
      <c r="AA9">
        <v>10</v>
      </c>
      <c r="AB9">
        <v>11</v>
      </c>
      <c r="AC9">
        <v>12</v>
      </c>
    </row>
    <row r="10" spans="1:29" x14ac:dyDescent="0.35">
      <c r="A10" s="1" t="s">
        <v>174</v>
      </c>
      <c r="B10" s="245">
        <v>43678</v>
      </c>
      <c r="C10" s="245">
        <v>43862</v>
      </c>
      <c r="D10" s="245" t="s">
        <v>267</v>
      </c>
      <c r="E10" s="245" t="s">
        <v>267</v>
      </c>
      <c r="F10">
        <v>5</v>
      </c>
      <c r="G10">
        <v>4</v>
      </c>
      <c r="H10">
        <v>3</v>
      </c>
      <c r="I10">
        <v>2</v>
      </c>
      <c r="J10">
        <v>1</v>
      </c>
      <c r="K10">
        <v>0</v>
      </c>
      <c r="L10">
        <v>5</v>
      </c>
      <c r="M10">
        <v>4</v>
      </c>
      <c r="N10">
        <v>3</v>
      </c>
      <c r="O10">
        <v>2</v>
      </c>
      <c r="P10">
        <v>1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 x14ac:dyDescent="0.35">
      <c r="A11" s="1" t="s">
        <v>178</v>
      </c>
      <c r="B11" s="245">
        <v>43921</v>
      </c>
      <c r="C11" s="245">
        <v>44089</v>
      </c>
      <c r="D11" s="245" t="s">
        <v>267</v>
      </c>
      <c r="E11" s="245" t="s">
        <v>267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4</v>
      </c>
      <c r="S11">
        <v>5</v>
      </c>
      <c r="T11">
        <v>0</v>
      </c>
      <c r="U11">
        <v>1</v>
      </c>
      <c r="V11">
        <v>2</v>
      </c>
      <c r="W11">
        <v>3</v>
      </c>
      <c r="X11">
        <v>4</v>
      </c>
      <c r="Y11">
        <v>5</v>
      </c>
      <c r="Z11">
        <v>0</v>
      </c>
      <c r="AA11">
        <v>1</v>
      </c>
      <c r="AB11">
        <v>2</v>
      </c>
      <c r="AC11">
        <v>3</v>
      </c>
    </row>
    <row r="12" spans="1:29" x14ac:dyDescent="0.35">
      <c r="A12" s="1" t="s">
        <v>179</v>
      </c>
      <c r="B12" s="245">
        <v>43738</v>
      </c>
      <c r="C12" s="245" t="s">
        <v>267</v>
      </c>
      <c r="D12" s="245" t="s">
        <v>267</v>
      </c>
      <c r="E12" s="245" t="s">
        <v>267</v>
      </c>
      <c r="F12">
        <v>5</v>
      </c>
      <c r="G12">
        <v>4</v>
      </c>
      <c r="H12">
        <v>3</v>
      </c>
      <c r="I12">
        <v>2</v>
      </c>
      <c r="J12">
        <v>1</v>
      </c>
      <c r="K12">
        <v>12</v>
      </c>
      <c r="L12">
        <v>11</v>
      </c>
      <c r="M12">
        <v>10</v>
      </c>
      <c r="N12">
        <v>9</v>
      </c>
      <c r="O12">
        <v>8</v>
      </c>
      <c r="P12">
        <v>7</v>
      </c>
      <c r="Q12">
        <v>6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35">
      <c r="A13" s="1" t="s">
        <v>180</v>
      </c>
      <c r="B13" s="245">
        <v>44165</v>
      </c>
      <c r="C13" s="245" t="s">
        <v>267</v>
      </c>
      <c r="D13" s="245" t="s">
        <v>267</v>
      </c>
      <c r="E13" s="245" t="s">
        <v>267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1</v>
      </c>
      <c r="Q13">
        <v>0</v>
      </c>
      <c r="R13">
        <v>1</v>
      </c>
      <c r="S13">
        <v>2</v>
      </c>
      <c r="T13">
        <v>3</v>
      </c>
      <c r="U13">
        <v>4</v>
      </c>
      <c r="V13">
        <v>5</v>
      </c>
      <c r="W13">
        <v>6</v>
      </c>
      <c r="X13">
        <v>7</v>
      </c>
      <c r="Y13">
        <v>8</v>
      </c>
      <c r="Z13">
        <v>9</v>
      </c>
      <c r="AA13">
        <v>10</v>
      </c>
      <c r="AB13">
        <v>0</v>
      </c>
      <c r="AC13">
        <v>0</v>
      </c>
    </row>
    <row r="14" spans="1:29" x14ac:dyDescent="0.35">
      <c r="A14" s="1" t="s">
        <v>181</v>
      </c>
      <c r="B14" s="245">
        <v>44058</v>
      </c>
      <c r="C14" s="245" t="s">
        <v>267</v>
      </c>
      <c r="D14" s="245" t="s">
        <v>267</v>
      </c>
      <c r="E14" s="245" t="s">
        <v>267</v>
      </c>
      <c r="F14">
        <v>0</v>
      </c>
      <c r="G14">
        <v>0</v>
      </c>
      <c r="H14">
        <v>0</v>
      </c>
      <c r="I14">
        <v>0</v>
      </c>
      <c r="J14">
        <v>7</v>
      </c>
      <c r="K14">
        <v>6</v>
      </c>
      <c r="L14">
        <v>5</v>
      </c>
      <c r="M14">
        <v>4</v>
      </c>
      <c r="N14">
        <v>3</v>
      </c>
      <c r="O14">
        <v>2</v>
      </c>
      <c r="P14">
        <v>1</v>
      </c>
      <c r="Q14">
        <v>0</v>
      </c>
      <c r="R14">
        <v>1</v>
      </c>
      <c r="S14">
        <v>2</v>
      </c>
      <c r="T14">
        <v>3</v>
      </c>
      <c r="U14">
        <v>4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 x14ac:dyDescent="0.35">
      <c r="A15" s="1" t="s">
        <v>182</v>
      </c>
      <c r="B15" s="245">
        <v>43697</v>
      </c>
      <c r="C15" s="245">
        <v>43881</v>
      </c>
      <c r="D15" s="245" t="s">
        <v>267</v>
      </c>
      <c r="E15" s="245" t="s">
        <v>267</v>
      </c>
      <c r="F15">
        <v>0</v>
      </c>
      <c r="G15">
        <v>4</v>
      </c>
      <c r="H15">
        <v>3</v>
      </c>
      <c r="I15">
        <v>2</v>
      </c>
      <c r="J15">
        <v>1</v>
      </c>
      <c r="K15">
        <v>0</v>
      </c>
      <c r="L15">
        <v>0</v>
      </c>
      <c r="M15">
        <v>4</v>
      </c>
      <c r="N15">
        <v>3</v>
      </c>
      <c r="O15">
        <v>2</v>
      </c>
      <c r="P15">
        <v>1</v>
      </c>
      <c r="Q15">
        <v>0</v>
      </c>
      <c r="R15">
        <v>1</v>
      </c>
      <c r="S15">
        <v>0</v>
      </c>
      <c r="T15">
        <v>0</v>
      </c>
      <c r="U15">
        <v>0</v>
      </c>
      <c r="V15">
        <v>0</v>
      </c>
      <c r="W15">
        <v>0</v>
      </c>
      <c r="X15">
        <v>1</v>
      </c>
      <c r="Y15">
        <v>0</v>
      </c>
      <c r="Z15">
        <v>0</v>
      </c>
      <c r="AA15">
        <v>0</v>
      </c>
      <c r="AB15">
        <v>0</v>
      </c>
      <c r="AC15">
        <v>0</v>
      </c>
    </row>
    <row r="16" spans="1:29" x14ac:dyDescent="0.35">
      <c r="A16" s="1" t="s">
        <v>183</v>
      </c>
      <c r="B16" s="245">
        <v>43738</v>
      </c>
      <c r="C16" s="245">
        <v>43921</v>
      </c>
      <c r="D16" s="245" t="s">
        <v>267</v>
      </c>
      <c r="E16" s="245" t="s">
        <v>267</v>
      </c>
      <c r="F16">
        <v>0</v>
      </c>
      <c r="G16">
        <v>0</v>
      </c>
      <c r="H16">
        <v>3</v>
      </c>
      <c r="I16">
        <v>2</v>
      </c>
      <c r="J16">
        <v>1</v>
      </c>
      <c r="K16">
        <v>0</v>
      </c>
      <c r="L16">
        <v>0</v>
      </c>
      <c r="M16">
        <v>0</v>
      </c>
      <c r="N16">
        <v>3</v>
      </c>
      <c r="O16">
        <v>2</v>
      </c>
      <c r="P16">
        <v>1</v>
      </c>
      <c r="Q16">
        <v>0</v>
      </c>
      <c r="R16">
        <v>1</v>
      </c>
      <c r="S16">
        <v>2</v>
      </c>
      <c r="T16">
        <v>0</v>
      </c>
      <c r="U16">
        <v>0</v>
      </c>
      <c r="V16">
        <v>0</v>
      </c>
      <c r="W16">
        <v>0</v>
      </c>
      <c r="X16">
        <v>1</v>
      </c>
      <c r="Y16">
        <v>2</v>
      </c>
      <c r="Z16">
        <v>0</v>
      </c>
      <c r="AA16">
        <v>0</v>
      </c>
      <c r="AB16">
        <v>0</v>
      </c>
      <c r="AC16">
        <v>0</v>
      </c>
    </row>
    <row r="17" spans="1:29" x14ac:dyDescent="0.35">
      <c r="A17" s="1" t="s">
        <v>184</v>
      </c>
      <c r="B17" s="245">
        <v>43819</v>
      </c>
      <c r="C17" s="245">
        <v>44002</v>
      </c>
      <c r="D17" s="245" t="s">
        <v>267</v>
      </c>
      <c r="E17" s="245" t="s">
        <v>267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7</v>
      </c>
      <c r="S17">
        <v>8</v>
      </c>
      <c r="T17">
        <v>9</v>
      </c>
      <c r="U17">
        <v>10</v>
      </c>
      <c r="V17">
        <v>11</v>
      </c>
      <c r="W17">
        <v>6</v>
      </c>
      <c r="X17">
        <v>7</v>
      </c>
      <c r="Y17">
        <v>8</v>
      </c>
      <c r="Z17">
        <v>9</v>
      </c>
      <c r="AA17">
        <v>10</v>
      </c>
      <c r="AB17">
        <v>11</v>
      </c>
      <c r="AC17">
        <v>6</v>
      </c>
    </row>
    <row r="18" spans="1:29" x14ac:dyDescent="0.35">
      <c r="A18" s="1" t="s">
        <v>185</v>
      </c>
      <c r="B18" s="245">
        <v>43891</v>
      </c>
      <c r="C18" s="245">
        <v>44044</v>
      </c>
      <c r="D18" s="245" t="s">
        <v>267</v>
      </c>
      <c r="E18" s="245" t="s">
        <v>267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13</v>
      </c>
      <c r="S18">
        <v>8</v>
      </c>
      <c r="T18">
        <v>9</v>
      </c>
      <c r="U18">
        <v>10</v>
      </c>
      <c r="V18">
        <v>11</v>
      </c>
      <c r="W18">
        <v>12</v>
      </c>
      <c r="X18">
        <v>7</v>
      </c>
      <c r="Y18">
        <v>8</v>
      </c>
      <c r="Z18">
        <v>9</v>
      </c>
      <c r="AA18">
        <v>10</v>
      </c>
      <c r="AB18">
        <v>11</v>
      </c>
      <c r="AC18">
        <v>12</v>
      </c>
    </row>
    <row r="19" spans="1:29" x14ac:dyDescent="0.35">
      <c r="A19" s="1" t="s">
        <v>186</v>
      </c>
      <c r="B19" s="245">
        <v>43961</v>
      </c>
      <c r="C19" s="245">
        <v>44145</v>
      </c>
      <c r="D19" s="245" t="s">
        <v>267</v>
      </c>
      <c r="E19" s="245" t="s">
        <v>267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13</v>
      </c>
      <c r="S19">
        <v>14</v>
      </c>
      <c r="T19">
        <v>15</v>
      </c>
      <c r="U19">
        <v>16</v>
      </c>
      <c r="V19">
        <v>11</v>
      </c>
      <c r="W19">
        <v>12</v>
      </c>
      <c r="X19">
        <v>13</v>
      </c>
      <c r="Y19">
        <v>14</v>
      </c>
      <c r="Z19">
        <v>15</v>
      </c>
      <c r="AA19">
        <v>16</v>
      </c>
      <c r="AB19">
        <v>11</v>
      </c>
      <c r="AC19">
        <v>12</v>
      </c>
    </row>
    <row r="20" spans="1:29" x14ac:dyDescent="0.35">
      <c r="A20" s="1" t="s">
        <v>187</v>
      </c>
      <c r="B20" s="245">
        <v>43819</v>
      </c>
      <c r="C20" s="245">
        <v>43961</v>
      </c>
      <c r="D20" s="245" t="s">
        <v>267</v>
      </c>
      <c r="E20" s="245" t="s">
        <v>267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7</v>
      </c>
      <c r="S20">
        <v>8</v>
      </c>
      <c r="T20">
        <v>9</v>
      </c>
      <c r="U20">
        <v>10</v>
      </c>
      <c r="V20">
        <v>5</v>
      </c>
      <c r="W20">
        <v>6</v>
      </c>
      <c r="X20">
        <v>7</v>
      </c>
      <c r="Y20">
        <v>8</v>
      </c>
      <c r="Z20">
        <v>9</v>
      </c>
      <c r="AA20">
        <v>10</v>
      </c>
      <c r="AB20">
        <v>11</v>
      </c>
      <c r="AC20">
        <v>6</v>
      </c>
    </row>
    <row r="21" spans="1:29" x14ac:dyDescent="0.35">
      <c r="A21" s="1" t="s">
        <v>191</v>
      </c>
      <c r="B21" s="245">
        <v>44196</v>
      </c>
      <c r="C21" s="245" t="s">
        <v>267</v>
      </c>
      <c r="D21" s="245" t="s">
        <v>267</v>
      </c>
      <c r="E21" s="245" t="s">
        <v>267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2</v>
      </c>
      <c r="T21">
        <v>3</v>
      </c>
      <c r="U21">
        <v>4</v>
      </c>
      <c r="V21">
        <v>5</v>
      </c>
      <c r="W21">
        <v>6</v>
      </c>
      <c r="X21">
        <v>7</v>
      </c>
      <c r="Y21">
        <v>8</v>
      </c>
      <c r="Z21">
        <v>9</v>
      </c>
      <c r="AA21">
        <v>10</v>
      </c>
      <c r="AB21">
        <v>11</v>
      </c>
      <c r="AC21">
        <v>0</v>
      </c>
    </row>
    <row r="22" spans="1:29" x14ac:dyDescent="0.35">
      <c r="A22" s="1" t="s">
        <v>196</v>
      </c>
      <c r="B22" s="245">
        <v>44196</v>
      </c>
      <c r="C22" s="245" t="s">
        <v>267</v>
      </c>
      <c r="D22" s="245" t="s">
        <v>267</v>
      </c>
      <c r="E22" s="245" t="s">
        <v>267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2</v>
      </c>
      <c r="T22">
        <v>3</v>
      </c>
      <c r="U22">
        <v>4</v>
      </c>
      <c r="V22">
        <v>5</v>
      </c>
      <c r="W22">
        <v>6</v>
      </c>
      <c r="X22">
        <v>7</v>
      </c>
      <c r="Y22">
        <v>8</v>
      </c>
      <c r="Z22">
        <v>9</v>
      </c>
      <c r="AA22">
        <v>10</v>
      </c>
      <c r="AB22">
        <v>11</v>
      </c>
      <c r="AC22">
        <v>0</v>
      </c>
    </row>
    <row r="23" spans="1:29" x14ac:dyDescent="0.35">
      <c r="A23" s="1" t="s">
        <v>200</v>
      </c>
      <c r="B23" s="245">
        <v>43678</v>
      </c>
      <c r="C23" s="245">
        <v>43770</v>
      </c>
      <c r="D23" s="245">
        <v>43862</v>
      </c>
      <c r="E23" s="245">
        <v>43952</v>
      </c>
      <c r="F23">
        <v>2</v>
      </c>
      <c r="G23">
        <v>1</v>
      </c>
      <c r="H23">
        <v>0</v>
      </c>
      <c r="I23">
        <v>2</v>
      </c>
      <c r="J23">
        <v>1</v>
      </c>
      <c r="K23">
        <v>0</v>
      </c>
      <c r="L23">
        <v>2</v>
      </c>
      <c r="M23">
        <v>1</v>
      </c>
      <c r="N23">
        <v>0</v>
      </c>
      <c r="O23">
        <v>2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 x14ac:dyDescent="0.35">
      <c r="A24" s="1" t="s">
        <v>203</v>
      </c>
      <c r="B24" s="245">
        <v>43738</v>
      </c>
      <c r="C24" s="245" t="s">
        <v>267</v>
      </c>
      <c r="D24" s="245" t="s">
        <v>267</v>
      </c>
      <c r="E24" s="245" t="s">
        <v>267</v>
      </c>
      <c r="F24">
        <v>5</v>
      </c>
      <c r="G24">
        <v>4</v>
      </c>
      <c r="H24">
        <v>3</v>
      </c>
      <c r="I24">
        <v>2</v>
      </c>
      <c r="J24">
        <v>1</v>
      </c>
      <c r="K24">
        <v>0</v>
      </c>
      <c r="L24">
        <v>0</v>
      </c>
      <c r="M24">
        <v>0</v>
      </c>
      <c r="N24">
        <v>9</v>
      </c>
      <c r="O24">
        <v>8</v>
      </c>
      <c r="P24">
        <v>7</v>
      </c>
      <c r="Q24">
        <v>6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1</v>
      </c>
      <c r="Y24">
        <v>2</v>
      </c>
      <c r="Z24">
        <v>0</v>
      </c>
      <c r="AA24">
        <v>0</v>
      </c>
      <c r="AB24">
        <v>0</v>
      </c>
      <c r="AC24">
        <v>0</v>
      </c>
    </row>
    <row r="25" spans="1:29" x14ac:dyDescent="0.35">
      <c r="A25" s="1" t="s">
        <v>206</v>
      </c>
      <c r="B25" s="245" t="s">
        <v>268</v>
      </c>
      <c r="C25" s="245" t="s">
        <v>268</v>
      </c>
      <c r="D25" s="245" t="s">
        <v>268</v>
      </c>
      <c r="E25" s="245" t="s">
        <v>268</v>
      </c>
      <c r="F25" s="245" t="s">
        <v>269</v>
      </c>
      <c r="G25" s="245" t="s">
        <v>269</v>
      </c>
      <c r="H25" s="245" t="s">
        <v>269</v>
      </c>
      <c r="I25" s="245" t="s">
        <v>269</v>
      </c>
      <c r="J25" s="245" t="s">
        <v>269</v>
      </c>
      <c r="K25" s="245" t="s">
        <v>269</v>
      </c>
      <c r="L25" s="245" t="s">
        <v>269</v>
      </c>
      <c r="M25" s="245" t="s">
        <v>269</v>
      </c>
      <c r="N25" s="245" t="s">
        <v>269</v>
      </c>
      <c r="O25" s="245" t="s">
        <v>269</v>
      </c>
      <c r="P25" s="245" t="s">
        <v>269</v>
      </c>
      <c r="Q25" s="245" t="s">
        <v>269</v>
      </c>
      <c r="R25" s="245" t="s">
        <v>269</v>
      </c>
      <c r="S25" s="245" t="s">
        <v>269</v>
      </c>
      <c r="T25" s="245" t="s">
        <v>269</v>
      </c>
      <c r="U25" s="245" t="s">
        <v>269</v>
      </c>
      <c r="V25" s="245" t="s">
        <v>269</v>
      </c>
      <c r="W25" s="245" t="s">
        <v>269</v>
      </c>
      <c r="X25" s="245" t="s">
        <v>269</v>
      </c>
      <c r="Y25" s="245" t="s">
        <v>269</v>
      </c>
      <c r="Z25" s="245" t="s">
        <v>269</v>
      </c>
      <c r="AA25" s="245" t="s">
        <v>269</v>
      </c>
      <c r="AB25" s="245" t="s">
        <v>269</v>
      </c>
      <c r="AC25" s="245" t="s">
        <v>269</v>
      </c>
    </row>
    <row r="26" spans="1:29" x14ac:dyDescent="0.35">
      <c r="A26" s="1" t="s">
        <v>209</v>
      </c>
      <c r="B26" s="245">
        <v>43677</v>
      </c>
      <c r="C26" s="245" t="s">
        <v>267</v>
      </c>
      <c r="D26" s="245" t="s">
        <v>267</v>
      </c>
      <c r="E26" s="245" t="s">
        <v>267</v>
      </c>
      <c r="F26">
        <v>5</v>
      </c>
      <c r="G26">
        <v>4</v>
      </c>
      <c r="H26">
        <v>3</v>
      </c>
      <c r="I26">
        <v>2</v>
      </c>
      <c r="J26">
        <v>1</v>
      </c>
      <c r="K26">
        <v>0</v>
      </c>
      <c r="L26">
        <v>11</v>
      </c>
      <c r="M26">
        <v>10</v>
      </c>
      <c r="N26">
        <v>9</v>
      </c>
      <c r="O26">
        <v>8</v>
      </c>
      <c r="P26">
        <v>7</v>
      </c>
      <c r="Q26">
        <v>6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35">
      <c r="A27" s="1" t="s">
        <v>211</v>
      </c>
      <c r="B27" s="245">
        <v>43966</v>
      </c>
      <c r="C27" s="245">
        <v>44119</v>
      </c>
      <c r="D27" s="245" t="s">
        <v>267</v>
      </c>
      <c r="E27" s="245" t="s">
        <v>267</v>
      </c>
      <c r="F27">
        <v>0</v>
      </c>
      <c r="G27">
        <v>0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0</v>
      </c>
      <c r="O27">
        <v>2</v>
      </c>
      <c r="P27">
        <v>1</v>
      </c>
      <c r="Q27">
        <v>0</v>
      </c>
      <c r="R27">
        <v>1</v>
      </c>
      <c r="S27">
        <v>2</v>
      </c>
      <c r="T27">
        <v>3</v>
      </c>
      <c r="U27">
        <v>4</v>
      </c>
      <c r="V27">
        <v>0</v>
      </c>
      <c r="W27">
        <v>0</v>
      </c>
      <c r="X27">
        <v>1</v>
      </c>
      <c r="Y27">
        <v>2</v>
      </c>
      <c r="Z27">
        <v>3</v>
      </c>
      <c r="AA27">
        <v>0</v>
      </c>
      <c r="AB27">
        <v>0</v>
      </c>
      <c r="AC27">
        <v>0</v>
      </c>
    </row>
    <row r="28" spans="1:29" x14ac:dyDescent="0.35">
      <c r="A28" s="1" t="s">
        <v>213</v>
      </c>
      <c r="B28" s="245">
        <v>44196</v>
      </c>
      <c r="C28" s="245" t="s">
        <v>267</v>
      </c>
      <c r="D28" s="245" t="s">
        <v>267</v>
      </c>
      <c r="E28" s="245" t="s">
        <v>267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2</v>
      </c>
      <c r="T28">
        <v>3</v>
      </c>
      <c r="U28">
        <v>4</v>
      </c>
      <c r="V28">
        <v>5</v>
      </c>
      <c r="W28">
        <v>6</v>
      </c>
      <c r="X28">
        <v>7</v>
      </c>
      <c r="Y28">
        <v>8</v>
      </c>
      <c r="Z28">
        <v>9</v>
      </c>
      <c r="AA28">
        <v>10</v>
      </c>
      <c r="AB28">
        <v>11</v>
      </c>
      <c r="AC28">
        <v>0</v>
      </c>
    </row>
    <row r="29" spans="1:29" x14ac:dyDescent="0.35">
      <c r="A29" s="1" t="s">
        <v>215</v>
      </c>
      <c r="B29" s="245">
        <v>43862</v>
      </c>
      <c r="C29" s="245" t="s">
        <v>267</v>
      </c>
      <c r="D29" s="245" t="s">
        <v>267</v>
      </c>
      <c r="E29" s="245" t="s">
        <v>267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2</v>
      </c>
      <c r="T29">
        <v>3</v>
      </c>
      <c r="U29">
        <v>4</v>
      </c>
      <c r="V29">
        <v>5</v>
      </c>
      <c r="W29">
        <v>6</v>
      </c>
      <c r="X29">
        <v>7</v>
      </c>
      <c r="Y29">
        <v>8</v>
      </c>
      <c r="Z29">
        <v>9</v>
      </c>
      <c r="AA29">
        <v>10</v>
      </c>
      <c r="AB29">
        <v>11</v>
      </c>
      <c r="AC29">
        <v>12</v>
      </c>
    </row>
    <row r="30" spans="1:29" x14ac:dyDescent="0.35">
      <c r="A30" s="1" t="s">
        <v>217</v>
      </c>
      <c r="B30" s="245">
        <v>43799</v>
      </c>
      <c r="C30" s="245">
        <v>43982</v>
      </c>
      <c r="D30" s="245" t="s">
        <v>267</v>
      </c>
      <c r="E30" s="245" t="s">
        <v>267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7</v>
      </c>
      <c r="S30">
        <v>8</v>
      </c>
      <c r="T30">
        <v>9</v>
      </c>
      <c r="U30">
        <v>10</v>
      </c>
      <c r="V30">
        <v>5</v>
      </c>
      <c r="W30">
        <v>6</v>
      </c>
      <c r="X30">
        <v>7</v>
      </c>
      <c r="Y30">
        <v>8</v>
      </c>
      <c r="Z30">
        <v>9</v>
      </c>
      <c r="AA30">
        <v>10</v>
      </c>
      <c r="AB30">
        <v>5</v>
      </c>
      <c r="AC30">
        <v>6</v>
      </c>
    </row>
    <row r="31" spans="1:29" x14ac:dyDescent="0.35">
      <c r="A31" s="1" t="s">
        <v>169</v>
      </c>
      <c r="B31" s="245">
        <v>43831</v>
      </c>
      <c r="C31" s="245" t="s">
        <v>267</v>
      </c>
      <c r="D31" s="245" t="s">
        <v>267</v>
      </c>
      <c r="E31" s="245" t="s">
        <v>267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2</v>
      </c>
      <c r="T31">
        <v>3</v>
      </c>
      <c r="U31">
        <v>4</v>
      </c>
      <c r="V31">
        <v>5</v>
      </c>
      <c r="W31">
        <v>6</v>
      </c>
      <c r="X31">
        <v>7</v>
      </c>
      <c r="Y31">
        <v>8</v>
      </c>
      <c r="Z31">
        <v>9</v>
      </c>
      <c r="AA31">
        <v>10</v>
      </c>
      <c r="AB31">
        <v>11</v>
      </c>
      <c r="AC31">
        <v>0</v>
      </c>
    </row>
    <row r="32" spans="1:29" x14ac:dyDescent="0.35">
      <c r="A32" s="1" t="s">
        <v>232</v>
      </c>
      <c r="B32" s="245">
        <v>43891</v>
      </c>
      <c r="C32" s="245">
        <v>44119</v>
      </c>
      <c r="D32" s="245" t="s">
        <v>267</v>
      </c>
      <c r="E32" s="245" t="s">
        <v>267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13</v>
      </c>
      <c r="S32">
        <v>8</v>
      </c>
      <c r="T32">
        <v>9</v>
      </c>
      <c r="U32">
        <v>10</v>
      </c>
      <c r="V32">
        <v>11</v>
      </c>
      <c r="W32">
        <v>12</v>
      </c>
      <c r="X32">
        <v>13</v>
      </c>
      <c r="Y32">
        <v>14</v>
      </c>
      <c r="Z32">
        <v>15</v>
      </c>
      <c r="AA32">
        <v>10</v>
      </c>
      <c r="AB32">
        <v>11</v>
      </c>
      <c r="AC32">
        <v>12</v>
      </c>
    </row>
    <row r="33" spans="1:29" x14ac:dyDescent="0.35">
      <c r="A33" s="1" t="s">
        <v>237</v>
      </c>
      <c r="B33" s="245">
        <v>43951</v>
      </c>
      <c r="C33" s="245">
        <v>44074</v>
      </c>
      <c r="D33" s="245" t="s">
        <v>267</v>
      </c>
      <c r="E33" s="245" t="s">
        <v>267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13</v>
      </c>
      <c r="S33">
        <v>14</v>
      </c>
      <c r="T33">
        <v>15</v>
      </c>
      <c r="U33">
        <v>10</v>
      </c>
      <c r="V33">
        <v>11</v>
      </c>
      <c r="W33">
        <v>12</v>
      </c>
      <c r="X33">
        <v>13</v>
      </c>
      <c r="Y33">
        <v>8</v>
      </c>
      <c r="Z33">
        <v>9</v>
      </c>
      <c r="AA33">
        <v>10</v>
      </c>
      <c r="AB33">
        <v>11</v>
      </c>
      <c r="AC33">
        <v>12</v>
      </c>
    </row>
    <row r="34" spans="1:29" x14ac:dyDescent="0.35">
      <c r="A34" s="1" t="s">
        <v>241</v>
      </c>
      <c r="B34" s="245">
        <v>44013</v>
      </c>
      <c r="C34" s="245">
        <v>44166</v>
      </c>
      <c r="D34" s="245" t="s">
        <v>267</v>
      </c>
      <c r="E34" s="245" t="s">
        <v>267</v>
      </c>
      <c r="F34">
        <v>2</v>
      </c>
      <c r="G34">
        <v>1</v>
      </c>
      <c r="H34">
        <v>0</v>
      </c>
      <c r="I34">
        <v>0</v>
      </c>
      <c r="J34">
        <v>0</v>
      </c>
      <c r="K34">
        <v>3</v>
      </c>
      <c r="L34">
        <v>2</v>
      </c>
      <c r="M34">
        <v>1</v>
      </c>
      <c r="N34">
        <v>0</v>
      </c>
      <c r="O34">
        <v>0</v>
      </c>
      <c r="P34">
        <v>4</v>
      </c>
      <c r="Q34">
        <v>3</v>
      </c>
      <c r="R34">
        <v>0</v>
      </c>
      <c r="S34">
        <v>0</v>
      </c>
      <c r="T34">
        <v>0</v>
      </c>
      <c r="U34">
        <v>1</v>
      </c>
      <c r="V34">
        <v>2</v>
      </c>
      <c r="W34">
        <v>0</v>
      </c>
      <c r="X34">
        <v>0</v>
      </c>
      <c r="Y34">
        <v>0</v>
      </c>
      <c r="Z34">
        <v>0</v>
      </c>
      <c r="AA34">
        <v>1</v>
      </c>
      <c r="AB34">
        <v>0</v>
      </c>
      <c r="AC34">
        <v>0</v>
      </c>
    </row>
    <row r="35" spans="1:29" x14ac:dyDescent="0.35">
      <c r="A35" s="1" t="s">
        <v>243</v>
      </c>
      <c r="B35" s="245">
        <v>43862</v>
      </c>
      <c r="C35" s="245">
        <v>43952</v>
      </c>
      <c r="D35" s="245">
        <v>44044</v>
      </c>
      <c r="E35" s="245">
        <v>44136</v>
      </c>
      <c r="F35">
        <v>2</v>
      </c>
      <c r="G35">
        <v>1</v>
      </c>
      <c r="H35">
        <v>0</v>
      </c>
      <c r="I35">
        <v>2</v>
      </c>
      <c r="J35">
        <v>1</v>
      </c>
      <c r="K35">
        <v>0</v>
      </c>
      <c r="L35">
        <v>2</v>
      </c>
      <c r="M35">
        <v>1</v>
      </c>
      <c r="N35">
        <v>0</v>
      </c>
      <c r="O35">
        <v>2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</row>
    <row r="36" spans="1:29" x14ac:dyDescent="0.35">
      <c r="A36" s="1" t="s">
        <v>245</v>
      </c>
      <c r="B36" s="245">
        <v>44175</v>
      </c>
      <c r="C36" s="245">
        <v>44326</v>
      </c>
      <c r="D36" s="245" t="s">
        <v>267</v>
      </c>
      <c r="E36" s="245" t="s">
        <v>267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1</v>
      </c>
      <c r="S36">
        <v>2</v>
      </c>
      <c r="T36">
        <v>3</v>
      </c>
      <c r="U36">
        <v>4</v>
      </c>
      <c r="V36">
        <v>5</v>
      </c>
      <c r="W36">
        <v>6</v>
      </c>
      <c r="X36">
        <v>7</v>
      </c>
      <c r="Y36">
        <v>8</v>
      </c>
      <c r="Z36">
        <v>9</v>
      </c>
      <c r="AA36">
        <v>10</v>
      </c>
      <c r="AB36">
        <v>11</v>
      </c>
      <c r="AC36">
        <v>6</v>
      </c>
    </row>
    <row r="37" spans="1:29" x14ac:dyDescent="0.35">
      <c r="A37" s="1" t="s">
        <v>246</v>
      </c>
      <c r="B37" s="245">
        <v>43706</v>
      </c>
      <c r="C37" s="245">
        <v>43755</v>
      </c>
      <c r="D37" s="245">
        <v>43846</v>
      </c>
      <c r="E37" s="245">
        <v>43902</v>
      </c>
      <c r="F37">
        <v>2</v>
      </c>
      <c r="G37">
        <v>1</v>
      </c>
      <c r="H37">
        <v>3</v>
      </c>
      <c r="I37">
        <v>2</v>
      </c>
      <c r="J37">
        <v>1</v>
      </c>
      <c r="K37">
        <v>0</v>
      </c>
      <c r="L37">
        <v>0</v>
      </c>
      <c r="M37">
        <v>1</v>
      </c>
      <c r="N37">
        <v>0</v>
      </c>
      <c r="O37">
        <v>2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1</v>
      </c>
      <c r="Y37">
        <v>0</v>
      </c>
      <c r="Z37">
        <v>0</v>
      </c>
      <c r="AA37">
        <v>0</v>
      </c>
      <c r="AB37">
        <v>0</v>
      </c>
      <c r="AC37">
        <v>0</v>
      </c>
    </row>
    <row r="38" spans="1:29" x14ac:dyDescent="0.35">
      <c r="A38" s="1" t="s">
        <v>247</v>
      </c>
      <c r="B38" s="245">
        <v>43647</v>
      </c>
      <c r="C38" s="245">
        <v>43831</v>
      </c>
      <c r="D38" s="245" t="s">
        <v>267</v>
      </c>
      <c r="E38" s="245" t="s">
        <v>267</v>
      </c>
      <c r="F38">
        <v>5</v>
      </c>
      <c r="G38">
        <v>4</v>
      </c>
      <c r="H38">
        <v>3</v>
      </c>
      <c r="I38">
        <v>2</v>
      </c>
      <c r="J38">
        <v>1</v>
      </c>
      <c r="K38">
        <v>6</v>
      </c>
      <c r="L38">
        <v>5</v>
      </c>
      <c r="M38">
        <v>4</v>
      </c>
      <c r="N38">
        <v>3</v>
      </c>
      <c r="O38">
        <v>2</v>
      </c>
      <c r="P38">
        <v>1</v>
      </c>
      <c r="Q38">
        <v>6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</row>
    <row r="39" spans="1:29" x14ac:dyDescent="0.35">
      <c r="A39" s="1" t="s">
        <v>248</v>
      </c>
      <c r="B39" s="246">
        <v>43851</v>
      </c>
      <c r="C39" s="246">
        <v>44004</v>
      </c>
      <c r="D39" s="246" t="s">
        <v>267</v>
      </c>
      <c r="E39" s="246" t="s">
        <v>267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7</v>
      </c>
      <c r="S39">
        <v>8</v>
      </c>
      <c r="T39">
        <v>9</v>
      </c>
      <c r="U39">
        <v>10</v>
      </c>
      <c r="V39">
        <v>11</v>
      </c>
      <c r="W39">
        <v>6</v>
      </c>
      <c r="X39">
        <v>7</v>
      </c>
      <c r="Y39">
        <v>8</v>
      </c>
      <c r="Z39">
        <v>9</v>
      </c>
      <c r="AA39">
        <v>10</v>
      </c>
      <c r="AB39">
        <v>11</v>
      </c>
      <c r="AC39">
        <v>12</v>
      </c>
    </row>
    <row r="40" spans="1:29" x14ac:dyDescent="0.35">
      <c r="A40" s="1" t="s">
        <v>249</v>
      </c>
      <c r="B40" s="246">
        <v>43830</v>
      </c>
      <c r="C40" s="246">
        <v>43922</v>
      </c>
      <c r="D40" s="246" t="s">
        <v>267</v>
      </c>
      <c r="E40" s="246" t="s">
        <v>267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7</v>
      </c>
      <c r="S40">
        <v>8</v>
      </c>
      <c r="T40">
        <v>3</v>
      </c>
      <c r="U40">
        <v>4</v>
      </c>
      <c r="V40">
        <v>5</v>
      </c>
      <c r="W40">
        <v>6</v>
      </c>
      <c r="X40">
        <v>7</v>
      </c>
      <c r="Y40">
        <v>8</v>
      </c>
      <c r="Z40">
        <v>9</v>
      </c>
      <c r="AA40">
        <v>10</v>
      </c>
      <c r="AB40">
        <v>11</v>
      </c>
      <c r="AC40">
        <v>6</v>
      </c>
    </row>
    <row r="41" spans="1:29" x14ac:dyDescent="0.35">
      <c r="A41" s="1" t="s">
        <v>250</v>
      </c>
      <c r="B41" s="245">
        <v>43784</v>
      </c>
      <c r="C41" s="245">
        <v>43876</v>
      </c>
      <c r="D41" s="245">
        <v>43966</v>
      </c>
      <c r="E41" s="245" t="s">
        <v>267</v>
      </c>
      <c r="F41">
        <v>0</v>
      </c>
      <c r="G41">
        <v>0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3</v>
      </c>
      <c r="S41">
        <v>0</v>
      </c>
      <c r="T41">
        <v>1</v>
      </c>
      <c r="U41">
        <v>2</v>
      </c>
      <c r="V41">
        <v>0</v>
      </c>
      <c r="W41">
        <v>0</v>
      </c>
      <c r="X41">
        <v>1</v>
      </c>
      <c r="Y41">
        <v>2</v>
      </c>
      <c r="Z41">
        <v>3</v>
      </c>
      <c r="AA41">
        <v>4</v>
      </c>
      <c r="AB41">
        <v>1</v>
      </c>
      <c r="AC41">
        <v>2</v>
      </c>
    </row>
    <row r="42" spans="1:29" x14ac:dyDescent="0.35">
      <c r="A42" s="1" t="s">
        <v>251</v>
      </c>
      <c r="B42" s="245" t="s">
        <v>268</v>
      </c>
      <c r="C42" s="245" t="s">
        <v>268</v>
      </c>
      <c r="D42" s="245" t="s">
        <v>268</v>
      </c>
      <c r="E42" s="245" t="s">
        <v>268</v>
      </c>
      <c r="F42" s="245" t="s">
        <v>269</v>
      </c>
      <c r="G42" s="245" t="s">
        <v>269</v>
      </c>
      <c r="H42" s="245" t="s">
        <v>269</v>
      </c>
      <c r="I42" s="245" t="s">
        <v>269</v>
      </c>
      <c r="J42" s="245" t="s">
        <v>269</v>
      </c>
      <c r="K42" s="245" t="s">
        <v>269</v>
      </c>
      <c r="L42" s="245" t="s">
        <v>269</v>
      </c>
      <c r="M42" s="245" t="s">
        <v>269</v>
      </c>
      <c r="N42" s="245" t="s">
        <v>269</v>
      </c>
      <c r="O42" s="245" t="s">
        <v>269</v>
      </c>
      <c r="P42" s="245" t="s">
        <v>269</v>
      </c>
      <c r="Q42" s="245" t="s">
        <v>269</v>
      </c>
      <c r="R42" s="245" t="s">
        <v>269</v>
      </c>
      <c r="S42" s="245" t="s">
        <v>269</v>
      </c>
      <c r="T42" s="245" t="s">
        <v>269</v>
      </c>
      <c r="U42" s="245" t="s">
        <v>269</v>
      </c>
      <c r="V42" s="245" t="s">
        <v>269</v>
      </c>
      <c r="W42" s="245" t="s">
        <v>269</v>
      </c>
      <c r="X42" s="245" t="s">
        <v>269</v>
      </c>
      <c r="Y42" s="245" t="s">
        <v>269</v>
      </c>
      <c r="Z42" s="245" t="s">
        <v>269</v>
      </c>
      <c r="AA42" s="245" t="s">
        <v>269</v>
      </c>
      <c r="AB42" s="245" t="s">
        <v>269</v>
      </c>
      <c r="AC42" s="245" t="s">
        <v>269</v>
      </c>
    </row>
    <row r="43" spans="1:29" x14ac:dyDescent="0.35">
      <c r="A43" s="1" t="s">
        <v>252</v>
      </c>
      <c r="B43" s="245" t="s">
        <v>268</v>
      </c>
      <c r="C43" s="245" t="s">
        <v>268</v>
      </c>
      <c r="D43" s="245" t="s">
        <v>268</v>
      </c>
      <c r="E43" s="245" t="s">
        <v>268</v>
      </c>
      <c r="F43" s="245" t="s">
        <v>269</v>
      </c>
      <c r="G43" s="245" t="s">
        <v>269</v>
      </c>
      <c r="H43" s="245" t="s">
        <v>269</v>
      </c>
      <c r="I43" s="245" t="s">
        <v>269</v>
      </c>
      <c r="J43" s="245" t="s">
        <v>269</v>
      </c>
      <c r="K43" s="245" t="s">
        <v>269</v>
      </c>
      <c r="L43" s="245" t="s">
        <v>269</v>
      </c>
      <c r="M43" s="245" t="s">
        <v>269</v>
      </c>
      <c r="N43" s="245" t="s">
        <v>269</v>
      </c>
      <c r="O43" s="245" t="s">
        <v>269</v>
      </c>
      <c r="P43" s="245" t="s">
        <v>269</v>
      </c>
      <c r="Q43" s="245" t="s">
        <v>269</v>
      </c>
      <c r="R43" s="245" t="s">
        <v>269</v>
      </c>
      <c r="S43" s="245" t="s">
        <v>269</v>
      </c>
      <c r="T43" s="245" t="s">
        <v>269</v>
      </c>
      <c r="U43" s="245" t="s">
        <v>269</v>
      </c>
      <c r="V43" s="245" t="s">
        <v>269</v>
      </c>
      <c r="W43" s="245" t="s">
        <v>269</v>
      </c>
      <c r="X43" s="245" t="s">
        <v>269</v>
      </c>
      <c r="Y43" s="245" t="s">
        <v>269</v>
      </c>
      <c r="Z43" s="245" t="s">
        <v>269</v>
      </c>
      <c r="AA43" s="245" t="s">
        <v>269</v>
      </c>
      <c r="AB43" s="245" t="s">
        <v>269</v>
      </c>
      <c r="AC43" s="245" t="s">
        <v>269</v>
      </c>
    </row>
    <row r="44" spans="1:29" x14ac:dyDescent="0.35">
      <c r="A44" s="1" t="s">
        <v>253</v>
      </c>
      <c r="B44" s="246">
        <v>43845</v>
      </c>
      <c r="C44" s="246" t="s">
        <v>267</v>
      </c>
      <c r="D44" s="246" t="s">
        <v>267</v>
      </c>
      <c r="E44" s="246" t="s">
        <v>267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2</v>
      </c>
      <c r="T44">
        <v>3</v>
      </c>
      <c r="U44">
        <v>4</v>
      </c>
      <c r="V44">
        <v>5</v>
      </c>
      <c r="W44">
        <v>6</v>
      </c>
      <c r="X44">
        <v>7</v>
      </c>
      <c r="Y44">
        <v>8</v>
      </c>
      <c r="Z44">
        <v>9</v>
      </c>
      <c r="AA44">
        <v>10</v>
      </c>
      <c r="AB44">
        <v>11</v>
      </c>
      <c r="AC44">
        <v>12</v>
      </c>
    </row>
    <row r="45" spans="1:29" x14ac:dyDescent="0.35">
      <c r="A45" s="1" t="s">
        <v>254</v>
      </c>
      <c r="B45" s="246">
        <v>43889</v>
      </c>
      <c r="C45" s="246" t="s">
        <v>267</v>
      </c>
      <c r="D45" s="246" t="s">
        <v>267</v>
      </c>
      <c r="E45" s="246" t="s">
        <v>267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13</v>
      </c>
      <c r="S45">
        <v>2</v>
      </c>
      <c r="T45">
        <v>3</v>
      </c>
      <c r="U45">
        <v>4</v>
      </c>
      <c r="V45">
        <v>5</v>
      </c>
      <c r="W45">
        <v>6</v>
      </c>
      <c r="X45">
        <v>7</v>
      </c>
      <c r="Y45">
        <v>8</v>
      </c>
      <c r="Z45">
        <v>9</v>
      </c>
      <c r="AA45">
        <v>10</v>
      </c>
      <c r="AB45">
        <v>11</v>
      </c>
      <c r="AC45">
        <v>12</v>
      </c>
    </row>
    <row r="46" spans="1:29" x14ac:dyDescent="0.35">
      <c r="A46" s="1" t="s">
        <v>255</v>
      </c>
      <c r="B46" s="246">
        <v>43861</v>
      </c>
      <c r="C46" s="246" t="s">
        <v>267</v>
      </c>
      <c r="D46" s="246" t="s">
        <v>267</v>
      </c>
      <c r="E46" s="246" t="s">
        <v>267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2</v>
      </c>
      <c r="T46">
        <v>3</v>
      </c>
      <c r="U46">
        <v>4</v>
      </c>
      <c r="V46">
        <v>5</v>
      </c>
      <c r="W46">
        <v>6</v>
      </c>
      <c r="X46">
        <v>7</v>
      </c>
      <c r="Y46">
        <v>8</v>
      </c>
      <c r="Z46">
        <v>9</v>
      </c>
      <c r="AA46">
        <v>10</v>
      </c>
      <c r="AB46">
        <v>11</v>
      </c>
      <c r="AC46">
        <v>12</v>
      </c>
    </row>
    <row r="47" spans="1:29" x14ac:dyDescent="0.35">
      <c r="A47" s="1" t="s">
        <v>256</v>
      </c>
      <c r="B47" s="246">
        <v>44165</v>
      </c>
      <c r="C47" s="246" t="s">
        <v>267</v>
      </c>
      <c r="D47" s="246" t="s">
        <v>267</v>
      </c>
      <c r="E47" s="246" t="s">
        <v>267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1</v>
      </c>
      <c r="Q47">
        <v>0</v>
      </c>
      <c r="R47">
        <v>1</v>
      </c>
      <c r="S47">
        <v>2</v>
      </c>
      <c r="T47">
        <v>3</v>
      </c>
      <c r="U47">
        <v>4</v>
      </c>
      <c r="V47">
        <v>5</v>
      </c>
      <c r="W47">
        <v>6</v>
      </c>
      <c r="X47">
        <v>7</v>
      </c>
      <c r="Y47">
        <v>8</v>
      </c>
      <c r="Z47">
        <v>9</v>
      </c>
      <c r="AA47">
        <v>10</v>
      </c>
      <c r="AB47">
        <v>0</v>
      </c>
      <c r="AC47">
        <v>0</v>
      </c>
    </row>
    <row r="48" spans="1:29" x14ac:dyDescent="0.35">
      <c r="A48" s="1" t="s">
        <v>257</v>
      </c>
      <c r="B48" s="245" t="s">
        <v>268</v>
      </c>
      <c r="C48" s="245" t="s">
        <v>268</v>
      </c>
      <c r="D48" s="245" t="s">
        <v>268</v>
      </c>
      <c r="E48" s="245" t="s">
        <v>268</v>
      </c>
      <c r="F48" s="245" t="s">
        <v>269</v>
      </c>
      <c r="G48" s="245" t="s">
        <v>269</v>
      </c>
      <c r="H48" s="245" t="s">
        <v>269</v>
      </c>
      <c r="I48" s="245" t="s">
        <v>269</v>
      </c>
      <c r="J48" s="245" t="s">
        <v>269</v>
      </c>
      <c r="K48" s="245" t="s">
        <v>269</v>
      </c>
      <c r="L48" s="245" t="s">
        <v>269</v>
      </c>
      <c r="M48" s="245" t="s">
        <v>269</v>
      </c>
      <c r="N48" s="245" t="s">
        <v>269</v>
      </c>
      <c r="O48" s="245" t="s">
        <v>269</v>
      </c>
      <c r="P48" s="245" t="s">
        <v>269</v>
      </c>
      <c r="Q48" s="245" t="s">
        <v>269</v>
      </c>
      <c r="R48" s="245" t="s">
        <v>269</v>
      </c>
      <c r="S48" s="245" t="s">
        <v>269</v>
      </c>
      <c r="T48" s="245" t="s">
        <v>269</v>
      </c>
      <c r="U48" s="245" t="s">
        <v>269</v>
      </c>
      <c r="V48" s="245" t="s">
        <v>269</v>
      </c>
      <c r="W48" s="245" t="s">
        <v>269</v>
      </c>
      <c r="X48" s="245" t="s">
        <v>269</v>
      </c>
      <c r="Y48" s="245" t="s">
        <v>269</v>
      </c>
      <c r="Z48" s="245" t="s">
        <v>269</v>
      </c>
      <c r="AA48" s="245" t="s">
        <v>269</v>
      </c>
      <c r="AB48" s="245" t="s">
        <v>269</v>
      </c>
      <c r="AC48" s="245" t="s">
        <v>269</v>
      </c>
    </row>
    <row r="49" spans="1:29" x14ac:dyDescent="0.35">
      <c r="A49" s="1" t="s">
        <v>258</v>
      </c>
      <c r="B49" s="246">
        <v>43689</v>
      </c>
      <c r="C49" s="246">
        <v>43781</v>
      </c>
      <c r="D49" s="246">
        <v>43873</v>
      </c>
      <c r="E49" s="246">
        <v>43963</v>
      </c>
      <c r="F49">
        <v>0</v>
      </c>
      <c r="G49">
        <v>1</v>
      </c>
      <c r="H49">
        <v>0</v>
      </c>
      <c r="I49">
        <v>0</v>
      </c>
      <c r="J49">
        <v>1</v>
      </c>
      <c r="K49">
        <v>0</v>
      </c>
      <c r="L49">
        <v>0</v>
      </c>
      <c r="M49">
        <v>1</v>
      </c>
      <c r="N49">
        <v>0</v>
      </c>
      <c r="O49">
        <v>0</v>
      </c>
      <c r="P49">
        <v>1</v>
      </c>
      <c r="Q49">
        <v>0</v>
      </c>
      <c r="R49">
        <v>1</v>
      </c>
      <c r="S49">
        <v>0</v>
      </c>
      <c r="T49">
        <v>0</v>
      </c>
      <c r="U49">
        <v>1</v>
      </c>
      <c r="V49">
        <v>0</v>
      </c>
      <c r="W49">
        <v>0</v>
      </c>
      <c r="X49">
        <v>1</v>
      </c>
      <c r="Y49">
        <v>0</v>
      </c>
      <c r="Z49">
        <v>0</v>
      </c>
      <c r="AA49">
        <v>1</v>
      </c>
      <c r="AB49">
        <v>0</v>
      </c>
      <c r="AC49">
        <v>0</v>
      </c>
    </row>
    <row r="50" spans="1:29" x14ac:dyDescent="0.35">
      <c r="A50" s="1" t="s">
        <v>259</v>
      </c>
      <c r="B50" s="246">
        <v>43951</v>
      </c>
      <c r="C50" s="246">
        <v>44134</v>
      </c>
      <c r="D50" s="246" t="s">
        <v>267</v>
      </c>
      <c r="E50" s="246" t="s">
        <v>267</v>
      </c>
      <c r="F50">
        <v>0</v>
      </c>
      <c r="G50">
        <v>0</v>
      </c>
      <c r="H50">
        <v>0</v>
      </c>
      <c r="I50">
        <v>2</v>
      </c>
      <c r="J50">
        <v>1</v>
      </c>
      <c r="K50">
        <v>0</v>
      </c>
      <c r="L50">
        <v>0</v>
      </c>
      <c r="M50">
        <v>0</v>
      </c>
      <c r="N50">
        <v>0</v>
      </c>
      <c r="O50">
        <v>2</v>
      </c>
      <c r="P50">
        <v>1</v>
      </c>
      <c r="Q50">
        <v>0</v>
      </c>
      <c r="R50">
        <v>1</v>
      </c>
      <c r="S50">
        <v>2</v>
      </c>
      <c r="T50">
        <v>3</v>
      </c>
      <c r="U50">
        <v>0</v>
      </c>
      <c r="V50">
        <v>0</v>
      </c>
      <c r="W50">
        <v>0</v>
      </c>
      <c r="X50">
        <v>1</v>
      </c>
      <c r="Y50">
        <v>2</v>
      </c>
      <c r="Z50">
        <v>3</v>
      </c>
      <c r="AA50">
        <v>0</v>
      </c>
      <c r="AB50">
        <v>0</v>
      </c>
      <c r="AC50">
        <v>0</v>
      </c>
    </row>
    <row r="51" spans="1:29" x14ac:dyDescent="0.35">
      <c r="A51" s="1" t="s">
        <v>260</v>
      </c>
      <c r="B51" s="246">
        <v>43861</v>
      </c>
      <c r="C51" s="246">
        <v>44043</v>
      </c>
      <c r="D51" s="246" t="s">
        <v>267</v>
      </c>
      <c r="E51" s="246" t="s">
        <v>267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7</v>
      </c>
      <c r="S51">
        <v>8</v>
      </c>
      <c r="T51">
        <v>9</v>
      </c>
      <c r="U51">
        <v>10</v>
      </c>
      <c r="V51">
        <v>11</v>
      </c>
      <c r="W51">
        <v>12</v>
      </c>
      <c r="X51">
        <v>7</v>
      </c>
      <c r="Y51">
        <v>8</v>
      </c>
      <c r="Z51">
        <v>9</v>
      </c>
      <c r="AA51">
        <v>10</v>
      </c>
      <c r="AB51">
        <v>11</v>
      </c>
      <c r="AC51">
        <v>12</v>
      </c>
    </row>
    <row r="52" spans="1:29" x14ac:dyDescent="0.35">
      <c r="A52" s="1" t="s">
        <v>261</v>
      </c>
      <c r="B52" s="246">
        <v>44075</v>
      </c>
      <c r="C52" s="246" t="s">
        <v>267</v>
      </c>
      <c r="D52" s="246" t="s">
        <v>267</v>
      </c>
      <c r="E52" s="246" t="s">
        <v>267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7</v>
      </c>
      <c r="S52">
        <v>8</v>
      </c>
      <c r="T52">
        <v>9</v>
      </c>
      <c r="U52">
        <v>10</v>
      </c>
      <c r="V52">
        <v>11</v>
      </c>
      <c r="W52">
        <v>12</v>
      </c>
      <c r="X52">
        <v>13</v>
      </c>
      <c r="Y52">
        <v>2</v>
      </c>
      <c r="Z52">
        <v>3</v>
      </c>
      <c r="AA52">
        <v>4</v>
      </c>
      <c r="AB52">
        <v>5</v>
      </c>
      <c r="AC52">
        <v>6</v>
      </c>
    </row>
    <row r="53" spans="1:29" x14ac:dyDescent="0.35">
      <c r="A53" s="1" t="s">
        <v>262</v>
      </c>
      <c r="B53" s="246">
        <v>43779</v>
      </c>
      <c r="C53" s="246">
        <v>43961</v>
      </c>
      <c r="D53" s="246" t="s">
        <v>267</v>
      </c>
      <c r="E53" s="246" t="s">
        <v>267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7</v>
      </c>
      <c r="S53">
        <v>8</v>
      </c>
      <c r="T53">
        <v>9</v>
      </c>
      <c r="U53">
        <v>10</v>
      </c>
      <c r="V53">
        <v>5</v>
      </c>
      <c r="W53">
        <v>6</v>
      </c>
      <c r="X53">
        <v>7</v>
      </c>
      <c r="Y53">
        <v>8</v>
      </c>
      <c r="Z53">
        <v>9</v>
      </c>
      <c r="AA53">
        <v>10</v>
      </c>
      <c r="AB53">
        <v>5</v>
      </c>
      <c r="AC53">
        <v>6</v>
      </c>
    </row>
    <row r="54" spans="1:29" x14ac:dyDescent="0.35">
      <c r="B54" s="244"/>
      <c r="C54" s="244"/>
      <c r="D54" s="244"/>
      <c r="E54" s="244"/>
    </row>
    <row r="55" spans="1:29" x14ac:dyDescent="0.35">
      <c r="B55" s="244"/>
      <c r="C55" s="244"/>
      <c r="D55" s="244"/>
      <c r="E55" s="244"/>
    </row>
  </sheetData>
  <phoneticPr fontId="47" type="noConversion"/>
  <pageMargins left="0.7" right="0.7" top="0.75" bottom="0.75" header="0.3" footer="0.3"/>
  <pageSetup orientation="landscape" horizontalDpi="1200" verticalDpi="1200" r:id="rId1"/>
  <headerFooter>
    <oddFooter>&amp;LWednesday, November 09, 2022&amp;RPage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6763-0712-4559-B3BF-1D25DC559C8A}">
  <sheetPr codeName="Sheet4"/>
  <dimension ref="A1:Z55"/>
  <sheetViews>
    <sheetView workbookViewId="0">
      <selection activeCell="E4" sqref="E4"/>
    </sheetView>
  </sheetViews>
  <sheetFormatPr defaultColWidth="9.1796875" defaultRowHeight="14.5" x14ac:dyDescent="0.35"/>
  <cols>
    <col min="1" max="1" width="7.7265625" style="1" bestFit="1" customWidth="1"/>
    <col min="2" max="2" width="17.54296875" style="1" bestFit="1" customWidth="1"/>
    <col min="3" max="3" width="20.26953125" style="48" bestFit="1" customWidth="1"/>
    <col min="4" max="4" width="19.26953125" style="48" bestFit="1" customWidth="1"/>
    <col min="5" max="5" width="22" style="48" bestFit="1" customWidth="1"/>
    <col min="6" max="6" width="22.81640625" style="48" bestFit="1" customWidth="1"/>
    <col min="7" max="7" width="22.453125" style="48" bestFit="1" customWidth="1"/>
    <col min="8" max="8" width="22.26953125" style="48" bestFit="1" customWidth="1"/>
    <col min="9" max="9" width="20.26953125" style="48" bestFit="1" customWidth="1"/>
    <col min="10" max="10" width="19.26953125" style="48" bestFit="1" customWidth="1"/>
    <col min="11" max="11" width="22" style="48" bestFit="1" customWidth="1"/>
    <col min="12" max="12" width="22.81640625" style="48" bestFit="1" customWidth="1"/>
    <col min="13" max="13" width="22.453125" style="1" bestFit="1" customWidth="1"/>
    <col min="14" max="14" width="22.26953125" style="48" bestFit="1" customWidth="1"/>
    <col min="15" max="15" width="20.26953125" style="1" bestFit="1" customWidth="1"/>
    <col min="16" max="16" width="19.26953125" style="1" bestFit="1" customWidth="1"/>
    <col min="17" max="17" width="22" style="1" bestFit="1" customWidth="1"/>
    <col min="18" max="18" width="22.81640625" style="1" bestFit="1" customWidth="1"/>
    <col min="19" max="19" width="22.453125" style="1" bestFit="1" customWidth="1"/>
    <col min="20" max="20" width="22.26953125" style="1" bestFit="1" customWidth="1"/>
    <col min="21" max="21" width="20.26953125" style="1" bestFit="1" customWidth="1"/>
    <col min="22" max="22" width="19.26953125" style="1" bestFit="1" customWidth="1"/>
    <col min="23" max="23" width="22" style="1" bestFit="1" customWidth="1"/>
    <col min="24" max="24" width="22.81640625" style="1" bestFit="1" customWidth="1"/>
    <col min="25" max="25" width="22.453125" style="1" bestFit="1" customWidth="1"/>
    <col min="26" max="26" width="22.26953125" style="1" bestFit="1" customWidth="1"/>
    <col min="27" max="16384" width="9.1796875" style="1"/>
  </cols>
  <sheetData>
    <row r="1" spans="1:26" x14ac:dyDescent="0.35">
      <c r="A1" s="1">
        <v>1</v>
      </c>
      <c r="B1" s="1">
        <f>A1+1</f>
        <v>2</v>
      </c>
      <c r="C1" s="1">
        <f t="shared" ref="C1:Z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</row>
    <row r="2" spans="1:26" x14ac:dyDescent="0.35">
      <c r="A2" s="1" t="s">
        <v>9</v>
      </c>
      <c r="C2" s="1"/>
      <c r="D2" s="1"/>
      <c r="E2" s="1"/>
      <c r="F2" s="1"/>
      <c r="G2" s="1"/>
      <c r="H2" s="1"/>
      <c r="I2" s="1"/>
      <c r="J2" s="1"/>
      <c r="K2" s="1"/>
      <c r="L2" s="1"/>
      <c r="N2" s="1"/>
    </row>
    <row r="3" spans="1:26" x14ac:dyDescent="0.35">
      <c r="A3" s="242" t="s">
        <v>168</v>
      </c>
      <c r="B3" s="242" t="s">
        <v>270</v>
      </c>
      <c r="C3" s="243" t="s">
        <v>271</v>
      </c>
      <c r="D3" s="243" t="s">
        <v>272</v>
      </c>
      <c r="E3" s="243" t="s">
        <v>263</v>
      </c>
      <c r="F3" s="243" t="s">
        <v>264</v>
      </c>
      <c r="G3" s="243" t="s">
        <v>265</v>
      </c>
      <c r="H3" s="243" t="s">
        <v>266</v>
      </c>
      <c r="I3" s="243" t="s">
        <v>273</v>
      </c>
      <c r="J3" s="243" t="s">
        <v>274</v>
      </c>
      <c r="K3" s="243" t="s">
        <v>263</v>
      </c>
      <c r="L3" s="243" t="s">
        <v>264</v>
      </c>
      <c r="M3" s="243" t="s">
        <v>265</v>
      </c>
      <c r="N3" s="243" t="s">
        <v>266</v>
      </c>
      <c r="O3" s="243" t="s">
        <v>275</v>
      </c>
      <c r="P3" s="243" t="s">
        <v>276</v>
      </c>
      <c r="Q3" s="243" t="s">
        <v>263</v>
      </c>
      <c r="R3" s="243" t="s">
        <v>264</v>
      </c>
      <c r="S3" s="243" t="s">
        <v>265</v>
      </c>
      <c r="T3" s="243" t="s">
        <v>266</v>
      </c>
      <c r="U3" s="243" t="s">
        <v>277</v>
      </c>
      <c r="V3" s="243" t="s">
        <v>278</v>
      </c>
      <c r="W3" s="243" t="s">
        <v>263</v>
      </c>
      <c r="X3" s="243" t="s">
        <v>264</v>
      </c>
      <c r="Y3" s="243" t="s">
        <v>265</v>
      </c>
      <c r="Z3" s="243" t="s">
        <v>266</v>
      </c>
    </row>
    <row r="4" spans="1:26" x14ac:dyDescent="0.35">
      <c r="A4" s="1" t="s">
        <v>162</v>
      </c>
      <c r="B4" s="1">
        <v>1</v>
      </c>
      <c r="C4" s="186">
        <v>43831</v>
      </c>
      <c r="D4" s="186">
        <v>44196</v>
      </c>
      <c r="E4" s="186">
        <v>43997</v>
      </c>
      <c r="F4" s="186">
        <v>44058</v>
      </c>
      <c r="G4" s="186" t="s">
        <v>267</v>
      </c>
      <c r="H4" s="48" t="s">
        <v>267</v>
      </c>
      <c r="I4" s="48" t="s">
        <v>267</v>
      </c>
      <c r="J4" s="48" t="s">
        <v>267</v>
      </c>
      <c r="K4" s="48" t="s">
        <v>267</v>
      </c>
      <c r="L4" s="48" t="s">
        <v>267</v>
      </c>
      <c r="M4" s="48" t="s">
        <v>267</v>
      </c>
      <c r="N4" s="48" t="s">
        <v>267</v>
      </c>
      <c r="O4" s="48" t="s">
        <v>267</v>
      </c>
      <c r="P4" s="48" t="s">
        <v>267</v>
      </c>
      <c r="Q4" s="48" t="s">
        <v>267</v>
      </c>
      <c r="R4" s="48" t="s">
        <v>267</v>
      </c>
      <c r="S4" s="48" t="s">
        <v>267</v>
      </c>
      <c r="T4" s="48" t="s">
        <v>267</v>
      </c>
      <c r="U4" s="48" t="s">
        <v>267</v>
      </c>
      <c r="V4" s="48" t="s">
        <v>267</v>
      </c>
      <c r="W4" s="48" t="s">
        <v>267</v>
      </c>
      <c r="X4" s="48" t="s">
        <v>267</v>
      </c>
      <c r="Y4" s="48" t="s">
        <v>267</v>
      </c>
      <c r="Z4" s="48" t="s">
        <v>267</v>
      </c>
    </row>
    <row r="5" spans="1:26" x14ac:dyDescent="0.35">
      <c r="A5" s="1" t="s">
        <v>165</v>
      </c>
      <c r="B5" s="1">
        <v>1</v>
      </c>
      <c r="C5" s="186">
        <v>43739</v>
      </c>
      <c r="D5" s="186">
        <v>44104</v>
      </c>
      <c r="E5" s="186">
        <v>44196</v>
      </c>
      <c r="F5" s="48" t="s">
        <v>267</v>
      </c>
      <c r="G5" s="48" t="s">
        <v>267</v>
      </c>
      <c r="H5" s="48" t="s">
        <v>267</v>
      </c>
      <c r="I5" s="186">
        <v>44105</v>
      </c>
      <c r="J5" s="186">
        <v>44469</v>
      </c>
      <c r="K5" s="186">
        <v>44561</v>
      </c>
      <c r="L5" s="48" t="s">
        <v>267</v>
      </c>
      <c r="M5" s="48" t="s">
        <v>267</v>
      </c>
      <c r="N5" s="48" t="s">
        <v>267</v>
      </c>
      <c r="O5" s="48" t="s">
        <v>267</v>
      </c>
      <c r="P5" s="48" t="s">
        <v>267</v>
      </c>
      <c r="Q5" s="48" t="s">
        <v>267</v>
      </c>
      <c r="R5" s="48" t="s">
        <v>267</v>
      </c>
      <c r="S5" s="48" t="s">
        <v>267</v>
      </c>
      <c r="T5" s="48" t="s">
        <v>267</v>
      </c>
      <c r="U5" s="48" t="s">
        <v>267</v>
      </c>
      <c r="V5" s="48" t="s">
        <v>267</v>
      </c>
      <c r="W5" s="48" t="s">
        <v>267</v>
      </c>
      <c r="X5" s="48" t="s">
        <v>267</v>
      </c>
      <c r="Y5" s="48" t="s">
        <v>267</v>
      </c>
      <c r="Z5" s="48" t="s">
        <v>267</v>
      </c>
    </row>
    <row r="6" spans="1:26" x14ac:dyDescent="0.35">
      <c r="A6" s="1" t="s">
        <v>166</v>
      </c>
      <c r="B6" s="1">
        <v>1</v>
      </c>
      <c r="C6" s="186">
        <v>43466</v>
      </c>
      <c r="D6" s="186">
        <v>43830</v>
      </c>
      <c r="E6" s="186">
        <v>44119</v>
      </c>
      <c r="F6" s="186" t="s">
        <v>267</v>
      </c>
      <c r="G6" s="186" t="s">
        <v>267</v>
      </c>
      <c r="H6" s="48" t="s">
        <v>267</v>
      </c>
      <c r="I6" s="186">
        <v>43831</v>
      </c>
      <c r="J6" s="186">
        <v>44196</v>
      </c>
      <c r="K6" s="186">
        <v>44484</v>
      </c>
      <c r="L6" s="186" t="s">
        <v>267</v>
      </c>
      <c r="M6" s="186" t="s">
        <v>267</v>
      </c>
      <c r="N6" s="48" t="s">
        <v>267</v>
      </c>
      <c r="O6" s="48" t="s">
        <v>267</v>
      </c>
      <c r="P6" s="48" t="s">
        <v>267</v>
      </c>
      <c r="Q6" s="48" t="s">
        <v>267</v>
      </c>
      <c r="R6" s="48" t="s">
        <v>267</v>
      </c>
      <c r="S6" s="48" t="s">
        <v>267</v>
      </c>
      <c r="T6" s="48" t="s">
        <v>267</v>
      </c>
      <c r="U6" s="48" t="s">
        <v>267</v>
      </c>
      <c r="V6" s="48" t="s">
        <v>267</v>
      </c>
      <c r="W6" s="48" t="s">
        <v>267</v>
      </c>
      <c r="X6" s="48" t="s">
        <v>267</v>
      </c>
      <c r="Y6" s="48" t="s">
        <v>267</v>
      </c>
      <c r="Z6" s="48" t="s">
        <v>267</v>
      </c>
    </row>
    <row r="7" spans="1:26" x14ac:dyDescent="0.35">
      <c r="A7" s="1" t="s">
        <v>167</v>
      </c>
      <c r="B7" s="1">
        <v>2</v>
      </c>
      <c r="C7" s="186">
        <v>43466</v>
      </c>
      <c r="D7" s="186">
        <v>43830</v>
      </c>
      <c r="E7" s="186">
        <v>43770</v>
      </c>
      <c r="F7" s="186">
        <v>43952</v>
      </c>
      <c r="G7" s="48" t="s">
        <v>267</v>
      </c>
      <c r="H7" s="48" t="s">
        <v>267</v>
      </c>
      <c r="I7" s="186">
        <v>43831</v>
      </c>
      <c r="J7" s="186">
        <v>44196</v>
      </c>
      <c r="K7" s="186">
        <v>44136</v>
      </c>
      <c r="L7" s="186">
        <v>44317</v>
      </c>
      <c r="M7" s="48" t="s">
        <v>267</v>
      </c>
      <c r="N7" s="48" t="s">
        <v>267</v>
      </c>
      <c r="O7" s="48" t="s">
        <v>267</v>
      </c>
      <c r="P7" s="48" t="s">
        <v>267</v>
      </c>
      <c r="Q7" s="48" t="s">
        <v>267</v>
      </c>
      <c r="R7" s="48" t="s">
        <v>267</v>
      </c>
      <c r="S7" s="48" t="s">
        <v>267</v>
      </c>
      <c r="T7" s="48" t="s">
        <v>267</v>
      </c>
      <c r="U7" s="48" t="s">
        <v>267</v>
      </c>
      <c r="V7" s="48" t="s">
        <v>267</v>
      </c>
      <c r="W7" s="48" t="s">
        <v>267</v>
      </c>
      <c r="X7" s="48" t="s">
        <v>267</v>
      </c>
      <c r="Y7" s="48" t="s">
        <v>267</v>
      </c>
      <c r="Z7" s="48" t="s">
        <v>267</v>
      </c>
    </row>
    <row r="8" spans="1:26" x14ac:dyDescent="0.35">
      <c r="A8" s="1" t="s">
        <v>170</v>
      </c>
      <c r="B8" s="1">
        <v>2</v>
      </c>
      <c r="C8" s="186">
        <v>43647</v>
      </c>
      <c r="D8" s="186">
        <v>44012</v>
      </c>
      <c r="E8" s="186">
        <v>43809</v>
      </c>
      <c r="F8" s="186">
        <v>43931</v>
      </c>
      <c r="G8" s="186" t="s">
        <v>267</v>
      </c>
      <c r="H8" s="186" t="s">
        <v>267</v>
      </c>
      <c r="I8" s="186">
        <v>44013</v>
      </c>
      <c r="J8" s="186">
        <v>44377</v>
      </c>
      <c r="K8" s="186">
        <v>44175</v>
      </c>
      <c r="L8" s="186">
        <v>44296</v>
      </c>
      <c r="M8" s="186" t="s">
        <v>267</v>
      </c>
      <c r="N8" s="186" t="s">
        <v>267</v>
      </c>
      <c r="O8" s="48" t="s">
        <v>267</v>
      </c>
      <c r="P8" s="48" t="s">
        <v>267</v>
      </c>
      <c r="Q8" s="48" t="s">
        <v>267</v>
      </c>
      <c r="R8" s="48" t="s">
        <v>267</v>
      </c>
      <c r="S8" s="48" t="s">
        <v>267</v>
      </c>
      <c r="T8" s="48" t="s">
        <v>267</v>
      </c>
      <c r="U8" s="48" t="s">
        <v>267</v>
      </c>
      <c r="V8" s="48" t="s">
        <v>267</v>
      </c>
      <c r="W8" s="48" t="s">
        <v>267</v>
      </c>
      <c r="X8" s="48" t="s">
        <v>267</v>
      </c>
      <c r="Y8" s="48" t="s">
        <v>267</v>
      </c>
      <c r="Z8" s="48" t="s">
        <v>267</v>
      </c>
    </row>
    <row r="9" spans="1:26" x14ac:dyDescent="0.35">
      <c r="A9" s="1" t="s">
        <v>171</v>
      </c>
      <c r="B9" s="1">
        <v>2</v>
      </c>
      <c r="C9" s="186">
        <v>43466</v>
      </c>
      <c r="D9" s="186">
        <v>43830</v>
      </c>
      <c r="E9" s="186">
        <v>43889</v>
      </c>
      <c r="F9" s="186">
        <v>43997</v>
      </c>
      <c r="G9" s="186" t="s">
        <v>267</v>
      </c>
      <c r="H9" s="186" t="s">
        <v>267</v>
      </c>
      <c r="I9" s="186">
        <v>43831</v>
      </c>
      <c r="J9" s="186">
        <v>44196</v>
      </c>
      <c r="K9" s="186">
        <v>44255</v>
      </c>
      <c r="L9" s="186">
        <v>44359</v>
      </c>
      <c r="M9" s="186" t="s">
        <v>267</v>
      </c>
      <c r="N9" s="186" t="s">
        <v>267</v>
      </c>
      <c r="O9" s="48" t="s">
        <v>267</v>
      </c>
      <c r="P9" s="48" t="s">
        <v>267</v>
      </c>
      <c r="Q9" s="48" t="s">
        <v>267</v>
      </c>
      <c r="R9" s="48" t="s">
        <v>267</v>
      </c>
      <c r="S9" s="48" t="s">
        <v>267</v>
      </c>
      <c r="T9" s="48" t="s">
        <v>267</v>
      </c>
      <c r="U9" s="48" t="s">
        <v>267</v>
      </c>
      <c r="V9" s="48" t="s">
        <v>267</v>
      </c>
      <c r="W9" s="48" t="s">
        <v>267</v>
      </c>
      <c r="X9" s="48" t="s">
        <v>267</v>
      </c>
      <c r="Y9" s="48" t="s">
        <v>267</v>
      </c>
      <c r="Z9" s="48" t="s">
        <v>267</v>
      </c>
    </row>
    <row r="10" spans="1:26" x14ac:dyDescent="0.35">
      <c r="A10" s="1" t="s">
        <v>174</v>
      </c>
      <c r="B10" s="1">
        <v>2</v>
      </c>
      <c r="C10" s="186">
        <v>43647</v>
      </c>
      <c r="D10" s="186">
        <v>44012</v>
      </c>
      <c r="E10" s="186">
        <v>43678</v>
      </c>
      <c r="F10" s="186">
        <v>43862</v>
      </c>
      <c r="G10" s="186" t="s">
        <v>267</v>
      </c>
      <c r="H10" s="186" t="s">
        <v>267</v>
      </c>
      <c r="I10" s="186">
        <v>44013</v>
      </c>
      <c r="J10" s="186">
        <v>44377</v>
      </c>
      <c r="K10" s="186">
        <v>44044</v>
      </c>
      <c r="L10" s="186">
        <v>44228</v>
      </c>
      <c r="M10" s="186" t="s">
        <v>267</v>
      </c>
      <c r="N10" s="186" t="s">
        <v>267</v>
      </c>
      <c r="O10" s="48" t="s">
        <v>267</v>
      </c>
      <c r="P10" s="48" t="s">
        <v>267</v>
      </c>
      <c r="Q10" s="48" t="s">
        <v>267</v>
      </c>
      <c r="R10" s="48" t="s">
        <v>267</v>
      </c>
      <c r="S10" s="48" t="s">
        <v>267</v>
      </c>
      <c r="T10" s="48" t="s">
        <v>267</v>
      </c>
      <c r="U10" s="48" t="s">
        <v>267</v>
      </c>
      <c r="V10" s="48" t="s">
        <v>267</v>
      </c>
      <c r="W10" s="48" t="s">
        <v>267</v>
      </c>
      <c r="X10" s="48" t="s">
        <v>267</v>
      </c>
      <c r="Y10" s="48" t="s">
        <v>267</v>
      </c>
      <c r="Z10" s="48" t="s">
        <v>267</v>
      </c>
    </row>
    <row r="11" spans="1:26" x14ac:dyDescent="0.35">
      <c r="A11" s="1" t="s">
        <v>178</v>
      </c>
      <c r="B11" s="1">
        <v>2</v>
      </c>
      <c r="C11" s="186">
        <v>43739</v>
      </c>
      <c r="D11" s="186">
        <v>44104</v>
      </c>
      <c r="E11" s="186">
        <v>43921</v>
      </c>
      <c r="F11" s="186">
        <v>44089</v>
      </c>
      <c r="G11" s="48" t="s">
        <v>267</v>
      </c>
      <c r="H11" s="48" t="s">
        <v>267</v>
      </c>
      <c r="I11" s="186">
        <v>44105</v>
      </c>
      <c r="J11" s="186">
        <v>44469</v>
      </c>
      <c r="K11" s="186">
        <v>44286</v>
      </c>
      <c r="L11" s="186">
        <v>44454</v>
      </c>
      <c r="M11" s="48" t="s">
        <v>267</v>
      </c>
      <c r="N11" s="48" t="s">
        <v>267</v>
      </c>
      <c r="O11" s="48" t="s">
        <v>267</v>
      </c>
      <c r="P11" s="48" t="s">
        <v>267</v>
      </c>
      <c r="Q11" s="48" t="s">
        <v>267</v>
      </c>
      <c r="R11" s="48" t="s">
        <v>267</v>
      </c>
      <c r="S11" s="48" t="s">
        <v>267</v>
      </c>
      <c r="T11" s="48" t="s">
        <v>267</v>
      </c>
      <c r="U11" s="48" t="s">
        <v>267</v>
      </c>
      <c r="V11" s="48" t="s">
        <v>267</v>
      </c>
      <c r="W11" s="48" t="s">
        <v>267</v>
      </c>
      <c r="X11" s="48" t="s">
        <v>267</v>
      </c>
      <c r="Y11" s="48" t="s">
        <v>267</v>
      </c>
      <c r="Z11" s="48" t="s">
        <v>267</v>
      </c>
    </row>
    <row r="12" spans="1:26" x14ac:dyDescent="0.35">
      <c r="A12" s="1" t="s">
        <v>179</v>
      </c>
      <c r="B12" s="1">
        <v>4</v>
      </c>
      <c r="C12" s="186">
        <v>43647</v>
      </c>
      <c r="D12" s="186">
        <v>44012</v>
      </c>
      <c r="E12" s="186">
        <v>43738</v>
      </c>
      <c r="F12" s="186" t="s">
        <v>267</v>
      </c>
      <c r="G12" s="186" t="s">
        <v>267</v>
      </c>
      <c r="H12" s="186" t="s">
        <v>267</v>
      </c>
      <c r="I12" s="186">
        <v>44013</v>
      </c>
      <c r="J12" s="186">
        <v>44377</v>
      </c>
      <c r="K12" s="186">
        <v>44104</v>
      </c>
      <c r="L12" s="48" t="s">
        <v>267</v>
      </c>
      <c r="M12" s="48" t="s">
        <v>267</v>
      </c>
      <c r="N12" s="48" t="s">
        <v>267</v>
      </c>
      <c r="O12" s="48" t="s">
        <v>267</v>
      </c>
      <c r="P12" s="48" t="s">
        <v>267</v>
      </c>
      <c r="Q12" s="48" t="s">
        <v>267</v>
      </c>
      <c r="R12" s="48" t="s">
        <v>267</v>
      </c>
      <c r="S12" s="48" t="s">
        <v>267</v>
      </c>
      <c r="T12" s="48" t="s">
        <v>267</v>
      </c>
      <c r="U12" s="48" t="s">
        <v>267</v>
      </c>
      <c r="V12" s="48" t="s">
        <v>267</v>
      </c>
      <c r="W12" s="48" t="s">
        <v>267</v>
      </c>
      <c r="X12" s="48" t="s">
        <v>267</v>
      </c>
      <c r="Y12" s="48" t="s">
        <v>267</v>
      </c>
      <c r="Z12" s="48" t="s">
        <v>267</v>
      </c>
    </row>
    <row r="13" spans="1:26" x14ac:dyDescent="0.35">
      <c r="A13" s="1" t="s">
        <v>180</v>
      </c>
      <c r="B13" s="1">
        <v>1</v>
      </c>
      <c r="C13" s="186">
        <v>43831</v>
      </c>
      <c r="D13" s="186">
        <v>44196</v>
      </c>
      <c r="E13" s="186">
        <v>44165</v>
      </c>
      <c r="F13" s="48" t="s">
        <v>267</v>
      </c>
      <c r="G13" s="48" t="s">
        <v>267</v>
      </c>
      <c r="H13" s="48" t="s">
        <v>267</v>
      </c>
      <c r="I13" s="48" t="s">
        <v>267</v>
      </c>
      <c r="J13" s="48" t="s">
        <v>267</v>
      </c>
      <c r="K13" s="48" t="s">
        <v>267</v>
      </c>
      <c r="L13" s="48" t="s">
        <v>267</v>
      </c>
      <c r="M13" s="48" t="s">
        <v>267</v>
      </c>
      <c r="N13" s="48" t="s">
        <v>267</v>
      </c>
      <c r="O13" s="48" t="s">
        <v>267</v>
      </c>
      <c r="P13" s="48" t="s">
        <v>267</v>
      </c>
      <c r="Q13" s="48" t="s">
        <v>267</v>
      </c>
      <c r="R13" s="48" t="s">
        <v>267</v>
      </c>
      <c r="S13" s="48" t="s">
        <v>267</v>
      </c>
      <c r="T13" s="48" t="s">
        <v>267</v>
      </c>
      <c r="U13" s="48" t="s">
        <v>267</v>
      </c>
      <c r="V13" s="48" t="s">
        <v>267</v>
      </c>
      <c r="W13" s="48" t="s">
        <v>267</v>
      </c>
      <c r="X13" s="48" t="s">
        <v>267</v>
      </c>
      <c r="Y13" s="48" t="s">
        <v>267</v>
      </c>
      <c r="Z13" s="48" t="s">
        <v>267</v>
      </c>
    </row>
    <row r="14" spans="1:26" x14ac:dyDescent="0.35">
      <c r="A14" s="1" t="s">
        <v>181</v>
      </c>
      <c r="B14" s="1">
        <v>1</v>
      </c>
      <c r="C14" s="186">
        <v>43831</v>
      </c>
      <c r="D14" s="186">
        <v>44196</v>
      </c>
      <c r="E14" s="186">
        <v>44058</v>
      </c>
      <c r="F14" s="48" t="s">
        <v>267</v>
      </c>
      <c r="G14" s="48" t="s">
        <v>267</v>
      </c>
      <c r="H14" s="48" t="s">
        <v>267</v>
      </c>
      <c r="I14" s="48" t="s">
        <v>267</v>
      </c>
      <c r="J14" s="48" t="s">
        <v>267</v>
      </c>
      <c r="K14" s="48" t="s">
        <v>267</v>
      </c>
      <c r="L14" s="48" t="s">
        <v>267</v>
      </c>
      <c r="M14" s="48" t="s">
        <v>267</v>
      </c>
      <c r="N14" s="48" t="s">
        <v>267</v>
      </c>
      <c r="O14" s="48" t="s">
        <v>267</v>
      </c>
      <c r="P14" s="48" t="s">
        <v>267</v>
      </c>
      <c r="Q14" s="48" t="s">
        <v>267</v>
      </c>
      <c r="R14" s="48" t="s">
        <v>267</v>
      </c>
      <c r="S14" s="48" t="s">
        <v>267</v>
      </c>
      <c r="T14" s="48" t="s">
        <v>267</v>
      </c>
      <c r="U14" s="48" t="s">
        <v>267</v>
      </c>
      <c r="V14" s="48" t="s">
        <v>267</v>
      </c>
      <c r="W14" s="48" t="s">
        <v>267</v>
      </c>
      <c r="X14" s="48" t="s">
        <v>267</v>
      </c>
      <c r="Y14" s="48" t="s">
        <v>267</v>
      </c>
      <c r="Z14" s="48" t="s">
        <v>267</v>
      </c>
    </row>
    <row r="15" spans="1:26" x14ac:dyDescent="0.35">
      <c r="A15" s="1" t="s">
        <v>182</v>
      </c>
      <c r="B15" s="1">
        <v>2</v>
      </c>
      <c r="C15" s="186">
        <v>43647</v>
      </c>
      <c r="D15" s="186">
        <v>44012</v>
      </c>
      <c r="E15" s="186">
        <v>43697</v>
      </c>
      <c r="F15" s="186">
        <v>43881</v>
      </c>
      <c r="G15" s="186" t="s">
        <v>267</v>
      </c>
      <c r="H15" s="186" t="s">
        <v>267</v>
      </c>
      <c r="I15" s="186">
        <v>44013</v>
      </c>
      <c r="J15" s="186">
        <v>44377</v>
      </c>
      <c r="K15" s="186">
        <v>44063</v>
      </c>
      <c r="L15" s="186">
        <v>44247</v>
      </c>
      <c r="M15" s="48" t="s">
        <v>267</v>
      </c>
      <c r="N15" s="48" t="s">
        <v>267</v>
      </c>
      <c r="O15" s="48" t="s">
        <v>267</v>
      </c>
      <c r="P15" s="48" t="s">
        <v>267</v>
      </c>
      <c r="Q15" s="48" t="s">
        <v>267</v>
      </c>
      <c r="R15" s="48" t="s">
        <v>267</v>
      </c>
      <c r="S15" s="48" t="s">
        <v>267</v>
      </c>
      <c r="T15" s="48" t="s">
        <v>267</v>
      </c>
      <c r="U15" s="48" t="s">
        <v>267</v>
      </c>
      <c r="V15" s="48" t="s">
        <v>267</v>
      </c>
      <c r="W15" s="48" t="s">
        <v>267</v>
      </c>
      <c r="X15" s="48" t="s">
        <v>267</v>
      </c>
      <c r="Y15" s="48" t="s">
        <v>267</v>
      </c>
      <c r="Z15" s="48" t="s">
        <v>267</v>
      </c>
    </row>
    <row r="16" spans="1:26" x14ac:dyDescent="0.35">
      <c r="A16" s="1" t="s">
        <v>183</v>
      </c>
      <c r="B16" s="1">
        <v>2</v>
      </c>
      <c r="C16" s="186">
        <v>43647</v>
      </c>
      <c r="D16" s="186">
        <v>44012</v>
      </c>
      <c r="E16" s="186">
        <v>43738</v>
      </c>
      <c r="F16" s="186">
        <v>43921</v>
      </c>
      <c r="G16" s="186" t="s">
        <v>267</v>
      </c>
      <c r="H16" s="186" t="s">
        <v>267</v>
      </c>
      <c r="I16" s="186">
        <v>44013</v>
      </c>
      <c r="J16" s="186">
        <v>44377</v>
      </c>
      <c r="K16" s="186">
        <v>44104</v>
      </c>
      <c r="L16" s="186">
        <v>44286</v>
      </c>
      <c r="M16" s="48" t="s">
        <v>267</v>
      </c>
      <c r="N16" s="48" t="s">
        <v>267</v>
      </c>
      <c r="O16" s="48" t="s">
        <v>267</v>
      </c>
      <c r="P16" s="48" t="s">
        <v>267</v>
      </c>
      <c r="Q16" s="48" t="s">
        <v>267</v>
      </c>
      <c r="R16" s="48" t="s">
        <v>267</v>
      </c>
      <c r="S16" s="48" t="s">
        <v>267</v>
      </c>
      <c r="T16" s="48" t="s">
        <v>267</v>
      </c>
      <c r="U16" s="48" t="s">
        <v>267</v>
      </c>
      <c r="V16" s="48" t="s">
        <v>267</v>
      </c>
      <c r="W16" s="48" t="s">
        <v>267</v>
      </c>
      <c r="X16" s="48" t="s">
        <v>267</v>
      </c>
      <c r="Y16" s="48" t="s">
        <v>267</v>
      </c>
      <c r="Z16" s="48" t="s">
        <v>267</v>
      </c>
    </row>
    <row r="17" spans="1:26" x14ac:dyDescent="0.35">
      <c r="A17" s="1" t="s">
        <v>184</v>
      </c>
      <c r="B17" s="1">
        <v>2</v>
      </c>
      <c r="C17" s="186">
        <v>43466</v>
      </c>
      <c r="D17" s="186">
        <v>43830</v>
      </c>
      <c r="E17" s="186">
        <v>43819</v>
      </c>
      <c r="F17" s="186">
        <v>44002</v>
      </c>
      <c r="G17" s="186" t="s">
        <v>267</v>
      </c>
      <c r="H17" s="186" t="s">
        <v>267</v>
      </c>
      <c r="I17" s="186">
        <v>43831</v>
      </c>
      <c r="J17" s="186">
        <v>44196</v>
      </c>
      <c r="K17" s="186">
        <v>44185</v>
      </c>
      <c r="L17" s="186">
        <v>44367</v>
      </c>
      <c r="M17" s="48" t="s">
        <v>267</v>
      </c>
      <c r="N17" s="48" t="s">
        <v>267</v>
      </c>
      <c r="O17" s="48" t="s">
        <v>267</v>
      </c>
      <c r="P17" s="48" t="s">
        <v>267</v>
      </c>
      <c r="Q17" s="48" t="s">
        <v>267</v>
      </c>
      <c r="R17" s="48" t="s">
        <v>267</v>
      </c>
      <c r="S17" s="48" t="s">
        <v>267</v>
      </c>
      <c r="T17" s="48" t="s">
        <v>267</v>
      </c>
      <c r="U17" s="48" t="s">
        <v>267</v>
      </c>
      <c r="V17" s="48" t="s">
        <v>267</v>
      </c>
      <c r="W17" s="48" t="s">
        <v>267</v>
      </c>
      <c r="X17" s="48" t="s">
        <v>267</v>
      </c>
      <c r="Y17" s="48" t="s">
        <v>267</v>
      </c>
      <c r="Z17" s="48" t="s">
        <v>267</v>
      </c>
    </row>
    <row r="18" spans="1:26" x14ac:dyDescent="0.35">
      <c r="A18" s="1" t="s">
        <v>185</v>
      </c>
      <c r="B18" s="1">
        <v>2</v>
      </c>
      <c r="C18" s="186">
        <v>43466</v>
      </c>
      <c r="D18" s="186">
        <v>43830</v>
      </c>
      <c r="E18" s="186">
        <v>43891</v>
      </c>
      <c r="F18" s="186">
        <v>44044</v>
      </c>
      <c r="G18" s="186" t="s">
        <v>267</v>
      </c>
      <c r="H18" s="186" t="s">
        <v>267</v>
      </c>
      <c r="I18" s="186">
        <v>43831</v>
      </c>
      <c r="J18" s="186">
        <v>44196</v>
      </c>
      <c r="K18" s="186">
        <v>44256</v>
      </c>
      <c r="L18" s="186">
        <v>44409</v>
      </c>
      <c r="M18" s="48" t="s">
        <v>267</v>
      </c>
      <c r="N18" s="48" t="s">
        <v>267</v>
      </c>
      <c r="O18" s="48" t="s">
        <v>267</v>
      </c>
      <c r="P18" s="48" t="s">
        <v>267</v>
      </c>
      <c r="Q18" s="48" t="s">
        <v>267</v>
      </c>
      <c r="R18" s="48" t="s">
        <v>267</v>
      </c>
      <c r="S18" s="48" t="s">
        <v>267</v>
      </c>
      <c r="T18" s="48" t="s">
        <v>267</v>
      </c>
      <c r="U18" s="48" t="s">
        <v>267</v>
      </c>
      <c r="V18" s="48" t="s">
        <v>267</v>
      </c>
      <c r="W18" s="48" t="s">
        <v>267</v>
      </c>
      <c r="X18" s="48" t="s">
        <v>267</v>
      </c>
      <c r="Y18" s="48" t="s">
        <v>267</v>
      </c>
      <c r="Z18" s="48" t="s">
        <v>267</v>
      </c>
    </row>
    <row r="19" spans="1:26" x14ac:dyDescent="0.35">
      <c r="A19" s="1" t="s">
        <v>186</v>
      </c>
      <c r="B19" s="1">
        <v>2</v>
      </c>
      <c r="C19" s="186">
        <v>43466</v>
      </c>
      <c r="D19" s="186">
        <v>43830</v>
      </c>
      <c r="E19" s="186">
        <v>43961</v>
      </c>
      <c r="F19" s="186">
        <v>44145</v>
      </c>
      <c r="G19" s="186" t="s">
        <v>267</v>
      </c>
      <c r="H19" s="186" t="s">
        <v>267</v>
      </c>
      <c r="I19" s="186">
        <v>43831</v>
      </c>
      <c r="J19" s="186">
        <v>44196</v>
      </c>
      <c r="K19" s="186">
        <v>44326</v>
      </c>
      <c r="L19" s="186">
        <v>44510</v>
      </c>
      <c r="M19" s="48" t="s">
        <v>267</v>
      </c>
      <c r="N19" s="48" t="s">
        <v>267</v>
      </c>
      <c r="O19" s="48" t="s">
        <v>267</v>
      </c>
      <c r="P19" s="48" t="s">
        <v>267</v>
      </c>
      <c r="Q19" s="48" t="s">
        <v>267</v>
      </c>
      <c r="R19" s="48" t="s">
        <v>267</v>
      </c>
      <c r="S19" s="48" t="s">
        <v>267</v>
      </c>
      <c r="T19" s="48" t="s">
        <v>267</v>
      </c>
      <c r="U19" s="48" t="s">
        <v>267</v>
      </c>
      <c r="V19" s="48" t="s">
        <v>267</v>
      </c>
      <c r="W19" s="48" t="s">
        <v>267</v>
      </c>
      <c r="X19" s="48" t="s">
        <v>267</v>
      </c>
      <c r="Y19" s="48" t="s">
        <v>267</v>
      </c>
      <c r="Z19" s="48" t="s">
        <v>267</v>
      </c>
    </row>
    <row r="20" spans="1:26" x14ac:dyDescent="0.35">
      <c r="A20" s="1" t="s">
        <v>187</v>
      </c>
      <c r="B20" s="1">
        <v>2</v>
      </c>
      <c r="C20" s="186">
        <v>43466</v>
      </c>
      <c r="D20" s="186">
        <v>43830</v>
      </c>
      <c r="E20" s="186">
        <v>43819</v>
      </c>
      <c r="F20" s="186">
        <v>43961</v>
      </c>
      <c r="G20" s="48" t="s">
        <v>267</v>
      </c>
      <c r="H20" s="48" t="s">
        <v>267</v>
      </c>
      <c r="I20" s="186">
        <v>43831</v>
      </c>
      <c r="J20" s="186">
        <v>44196</v>
      </c>
      <c r="K20" s="186">
        <v>44185</v>
      </c>
      <c r="L20" s="186">
        <v>44326</v>
      </c>
      <c r="M20" s="48" t="s">
        <v>267</v>
      </c>
      <c r="N20" s="48" t="s">
        <v>267</v>
      </c>
      <c r="O20" s="48" t="s">
        <v>267</v>
      </c>
      <c r="P20" s="48" t="s">
        <v>267</v>
      </c>
      <c r="Q20" s="48" t="s">
        <v>267</v>
      </c>
      <c r="R20" s="48" t="s">
        <v>267</v>
      </c>
      <c r="S20" s="48" t="s">
        <v>267</v>
      </c>
      <c r="T20" s="48" t="s">
        <v>267</v>
      </c>
      <c r="U20" s="48" t="s">
        <v>267</v>
      </c>
      <c r="V20" s="48" t="s">
        <v>267</v>
      </c>
      <c r="W20" s="48" t="s">
        <v>267</v>
      </c>
      <c r="X20" s="48" t="s">
        <v>267</v>
      </c>
      <c r="Y20" s="48" t="s">
        <v>267</v>
      </c>
      <c r="Z20" s="48" t="s">
        <v>267</v>
      </c>
    </row>
    <row r="21" spans="1:26" x14ac:dyDescent="0.35">
      <c r="A21" s="1" t="s">
        <v>191</v>
      </c>
      <c r="B21" s="1">
        <v>1</v>
      </c>
      <c r="C21" s="186">
        <v>43831</v>
      </c>
      <c r="D21" s="186">
        <v>44196</v>
      </c>
      <c r="E21" s="186">
        <v>44196</v>
      </c>
      <c r="F21" s="48" t="s">
        <v>267</v>
      </c>
      <c r="G21" s="48" t="s">
        <v>267</v>
      </c>
      <c r="H21" s="48" t="s">
        <v>267</v>
      </c>
      <c r="I21" s="48" t="s">
        <v>267</v>
      </c>
      <c r="J21" s="48" t="s">
        <v>267</v>
      </c>
      <c r="K21" s="48" t="s">
        <v>267</v>
      </c>
      <c r="L21" s="48" t="s">
        <v>267</v>
      </c>
      <c r="M21" s="48" t="s">
        <v>267</v>
      </c>
      <c r="N21" s="48" t="s">
        <v>267</v>
      </c>
      <c r="O21" s="48" t="s">
        <v>267</v>
      </c>
      <c r="P21" s="48" t="s">
        <v>267</v>
      </c>
      <c r="Q21" s="48" t="s">
        <v>267</v>
      </c>
      <c r="R21" s="48" t="s">
        <v>267</v>
      </c>
      <c r="S21" s="48" t="s">
        <v>267</v>
      </c>
      <c r="T21" s="48" t="s">
        <v>267</v>
      </c>
      <c r="U21" s="48" t="s">
        <v>267</v>
      </c>
      <c r="V21" s="48" t="s">
        <v>267</v>
      </c>
      <c r="W21" s="48" t="s">
        <v>267</v>
      </c>
      <c r="X21" s="48" t="s">
        <v>267</v>
      </c>
      <c r="Y21" s="48" t="s">
        <v>267</v>
      </c>
      <c r="Z21" s="48" t="s">
        <v>267</v>
      </c>
    </row>
    <row r="22" spans="1:26" x14ac:dyDescent="0.35">
      <c r="A22" s="1" t="s">
        <v>196</v>
      </c>
      <c r="B22" s="1">
        <v>1</v>
      </c>
      <c r="C22" s="186">
        <v>43831</v>
      </c>
      <c r="D22" s="186">
        <v>44196</v>
      </c>
      <c r="E22" s="186">
        <v>44196</v>
      </c>
      <c r="F22" s="48" t="s">
        <v>267</v>
      </c>
      <c r="G22" s="48" t="s">
        <v>267</v>
      </c>
      <c r="H22" s="48" t="s">
        <v>267</v>
      </c>
      <c r="I22" s="48" t="s">
        <v>267</v>
      </c>
      <c r="J22" s="48" t="s">
        <v>267</v>
      </c>
      <c r="K22" s="48" t="s">
        <v>267</v>
      </c>
      <c r="L22" s="48" t="s">
        <v>267</v>
      </c>
      <c r="M22" s="48" t="s">
        <v>267</v>
      </c>
      <c r="N22" s="48" t="s">
        <v>267</v>
      </c>
      <c r="O22" s="48" t="s">
        <v>267</v>
      </c>
      <c r="P22" s="48" t="s">
        <v>267</v>
      </c>
      <c r="Q22" s="48" t="s">
        <v>267</v>
      </c>
      <c r="R22" s="48" t="s">
        <v>267</v>
      </c>
      <c r="S22" s="48" t="s">
        <v>267</v>
      </c>
      <c r="T22" s="48" t="s">
        <v>267</v>
      </c>
      <c r="U22" s="48" t="s">
        <v>267</v>
      </c>
      <c r="V22" s="48" t="s">
        <v>267</v>
      </c>
      <c r="W22" s="48" t="s">
        <v>267</v>
      </c>
      <c r="X22" s="48" t="s">
        <v>267</v>
      </c>
      <c r="Y22" s="48" t="s">
        <v>267</v>
      </c>
      <c r="Z22" s="48" t="s">
        <v>267</v>
      </c>
    </row>
    <row r="23" spans="1:26" x14ac:dyDescent="0.35">
      <c r="A23" s="1" t="s">
        <v>200</v>
      </c>
      <c r="B23" s="1">
        <v>4</v>
      </c>
      <c r="C23" s="186">
        <v>43647</v>
      </c>
      <c r="D23" s="186">
        <v>44012</v>
      </c>
      <c r="E23" s="186">
        <v>43678</v>
      </c>
      <c r="F23" s="186">
        <v>43770</v>
      </c>
      <c r="G23" s="186">
        <v>43862</v>
      </c>
      <c r="H23" s="186">
        <v>43952</v>
      </c>
      <c r="I23" s="186">
        <v>44013</v>
      </c>
      <c r="J23" s="186">
        <v>44377</v>
      </c>
      <c r="K23" s="186">
        <v>44044</v>
      </c>
      <c r="L23" s="186">
        <v>44136</v>
      </c>
      <c r="M23" s="186">
        <v>44228</v>
      </c>
      <c r="N23" s="186">
        <v>44317</v>
      </c>
      <c r="O23" s="48" t="s">
        <v>267</v>
      </c>
      <c r="P23" s="48" t="s">
        <v>267</v>
      </c>
      <c r="Q23" s="48" t="s">
        <v>267</v>
      </c>
      <c r="R23" s="48" t="s">
        <v>267</v>
      </c>
      <c r="S23" s="48" t="s">
        <v>267</v>
      </c>
      <c r="T23" s="48" t="s">
        <v>267</v>
      </c>
      <c r="U23" s="48" t="s">
        <v>267</v>
      </c>
      <c r="V23" s="48" t="s">
        <v>267</v>
      </c>
      <c r="W23" s="48" t="s">
        <v>267</v>
      </c>
      <c r="X23" s="48" t="s">
        <v>267</v>
      </c>
      <c r="Y23" s="48" t="s">
        <v>267</v>
      </c>
      <c r="Z23" s="48" t="s">
        <v>267</v>
      </c>
    </row>
    <row r="24" spans="1:26" x14ac:dyDescent="0.35">
      <c r="A24" s="1" t="s">
        <v>203</v>
      </c>
      <c r="B24" s="1">
        <v>1</v>
      </c>
      <c r="C24" s="186">
        <v>43647</v>
      </c>
      <c r="D24" s="186">
        <v>44012</v>
      </c>
      <c r="E24" s="186">
        <v>43738</v>
      </c>
      <c r="F24" s="48" t="s">
        <v>267</v>
      </c>
      <c r="G24" s="48" t="s">
        <v>267</v>
      </c>
      <c r="H24" s="48" t="s">
        <v>267</v>
      </c>
      <c r="I24" s="186">
        <v>44013</v>
      </c>
      <c r="J24" s="186">
        <v>44377</v>
      </c>
      <c r="K24" s="186">
        <v>44104</v>
      </c>
      <c r="L24" s="48" t="s">
        <v>267</v>
      </c>
      <c r="M24" s="48" t="s">
        <v>267</v>
      </c>
      <c r="N24" s="48" t="s">
        <v>267</v>
      </c>
      <c r="O24" s="48" t="s">
        <v>267</v>
      </c>
      <c r="P24" s="48" t="s">
        <v>267</v>
      </c>
      <c r="Q24" s="48" t="s">
        <v>267</v>
      </c>
      <c r="R24" s="48" t="s">
        <v>267</v>
      </c>
      <c r="S24" s="48" t="s">
        <v>267</v>
      </c>
      <c r="T24" s="48" t="s">
        <v>267</v>
      </c>
      <c r="U24" s="48" t="s">
        <v>267</v>
      </c>
      <c r="V24" s="48" t="s">
        <v>267</v>
      </c>
      <c r="W24" s="48" t="s">
        <v>267</v>
      </c>
      <c r="X24" s="48" t="s">
        <v>267</v>
      </c>
      <c r="Y24" s="48" t="s">
        <v>267</v>
      </c>
      <c r="Z24" s="48" t="s">
        <v>267</v>
      </c>
    </row>
    <row r="25" spans="1:26" x14ac:dyDescent="0.35">
      <c r="A25" s="1" t="s">
        <v>206</v>
      </c>
      <c r="B25" s="1">
        <v>1</v>
      </c>
      <c r="C25" s="48" t="s">
        <v>267</v>
      </c>
      <c r="D25" s="48" t="s">
        <v>267</v>
      </c>
      <c r="E25" s="48" t="s">
        <v>267</v>
      </c>
      <c r="F25" s="48" t="s">
        <v>267</v>
      </c>
      <c r="G25" s="48" t="s">
        <v>267</v>
      </c>
      <c r="H25" s="48" t="s">
        <v>267</v>
      </c>
      <c r="I25" s="48" t="s">
        <v>267</v>
      </c>
      <c r="J25" s="48" t="s">
        <v>267</v>
      </c>
      <c r="K25" s="48" t="s">
        <v>267</v>
      </c>
      <c r="L25" s="48" t="s">
        <v>267</v>
      </c>
      <c r="M25" s="48" t="s">
        <v>267</v>
      </c>
      <c r="N25" s="48" t="s">
        <v>267</v>
      </c>
      <c r="O25" s="48" t="s">
        <v>267</v>
      </c>
      <c r="P25" s="48" t="s">
        <v>267</v>
      </c>
      <c r="Q25" s="48" t="s">
        <v>267</v>
      </c>
      <c r="R25" s="48" t="s">
        <v>267</v>
      </c>
      <c r="S25" s="48" t="s">
        <v>267</v>
      </c>
      <c r="T25" s="48" t="s">
        <v>267</v>
      </c>
      <c r="U25" s="48" t="s">
        <v>267</v>
      </c>
      <c r="V25" s="48" t="s">
        <v>267</v>
      </c>
      <c r="W25" s="48" t="s">
        <v>267</v>
      </c>
      <c r="X25" s="48" t="s">
        <v>267</v>
      </c>
      <c r="Y25" s="48" t="s">
        <v>267</v>
      </c>
      <c r="Z25" s="48" t="s">
        <v>267</v>
      </c>
    </row>
    <row r="26" spans="1:26" x14ac:dyDescent="0.35">
      <c r="A26" s="1" t="s">
        <v>209</v>
      </c>
      <c r="B26" s="1">
        <v>2</v>
      </c>
      <c r="C26" s="186">
        <v>43647</v>
      </c>
      <c r="D26" s="186">
        <v>44012</v>
      </c>
      <c r="E26" s="186">
        <v>43677</v>
      </c>
      <c r="F26" s="48" t="s">
        <v>267</v>
      </c>
      <c r="G26" s="48" t="s">
        <v>267</v>
      </c>
      <c r="H26" s="48" t="s">
        <v>267</v>
      </c>
      <c r="I26" s="186">
        <v>44013</v>
      </c>
      <c r="J26" s="186">
        <v>44377</v>
      </c>
      <c r="K26" s="186">
        <v>44043</v>
      </c>
      <c r="L26" s="48" t="s">
        <v>267</v>
      </c>
      <c r="M26" s="48" t="s">
        <v>267</v>
      </c>
      <c r="N26" s="48" t="s">
        <v>267</v>
      </c>
      <c r="O26" s="2">
        <v>43466</v>
      </c>
      <c r="P26" s="2">
        <v>43830</v>
      </c>
      <c r="Q26" s="2">
        <v>43875</v>
      </c>
      <c r="R26" s="48" t="s">
        <v>267</v>
      </c>
      <c r="S26" s="48" t="s">
        <v>267</v>
      </c>
      <c r="T26" s="48" t="s">
        <v>267</v>
      </c>
      <c r="U26" s="2">
        <v>43831</v>
      </c>
      <c r="V26" s="2">
        <v>44196</v>
      </c>
      <c r="W26" s="2">
        <v>44241</v>
      </c>
      <c r="X26" s="48" t="s">
        <v>267</v>
      </c>
      <c r="Y26" s="48" t="s">
        <v>267</v>
      </c>
      <c r="Z26" s="48" t="s">
        <v>267</v>
      </c>
    </row>
    <row r="27" spans="1:26" x14ac:dyDescent="0.35">
      <c r="A27" s="1" t="s">
        <v>211</v>
      </c>
      <c r="B27" s="1">
        <v>2</v>
      </c>
      <c r="C27" s="186">
        <v>43831</v>
      </c>
      <c r="D27" s="186">
        <v>44196</v>
      </c>
      <c r="E27" s="186">
        <v>43966</v>
      </c>
      <c r="F27" s="186">
        <v>44119</v>
      </c>
      <c r="G27" s="48" t="s">
        <v>267</v>
      </c>
      <c r="H27" s="48" t="s">
        <v>267</v>
      </c>
      <c r="I27" s="48" t="s">
        <v>267</v>
      </c>
      <c r="J27" s="48" t="s">
        <v>267</v>
      </c>
      <c r="K27" s="48" t="s">
        <v>267</v>
      </c>
      <c r="L27" s="48" t="s">
        <v>267</v>
      </c>
      <c r="M27" s="48" t="s">
        <v>267</v>
      </c>
      <c r="N27" s="48" t="s">
        <v>267</v>
      </c>
      <c r="O27" s="48" t="s">
        <v>267</v>
      </c>
      <c r="P27" s="48" t="s">
        <v>267</v>
      </c>
      <c r="Q27" s="48" t="s">
        <v>267</v>
      </c>
      <c r="R27" s="48" t="s">
        <v>267</v>
      </c>
      <c r="S27" s="48" t="s">
        <v>267</v>
      </c>
      <c r="T27" s="48" t="s">
        <v>267</v>
      </c>
      <c r="U27" s="48" t="s">
        <v>267</v>
      </c>
      <c r="V27" s="48" t="s">
        <v>267</v>
      </c>
      <c r="W27" s="48" t="s">
        <v>267</v>
      </c>
      <c r="X27" s="48" t="s">
        <v>267</v>
      </c>
      <c r="Y27" s="48" t="s">
        <v>267</v>
      </c>
      <c r="Z27" s="48" t="s">
        <v>267</v>
      </c>
    </row>
    <row r="28" spans="1:26" x14ac:dyDescent="0.35">
      <c r="A28" s="1" t="s">
        <v>213</v>
      </c>
      <c r="B28" s="1">
        <v>1</v>
      </c>
      <c r="C28" s="186">
        <v>43831</v>
      </c>
      <c r="D28" s="186">
        <v>44196</v>
      </c>
      <c r="E28" s="186">
        <v>44196</v>
      </c>
      <c r="F28" s="48" t="s">
        <v>267</v>
      </c>
      <c r="G28" s="48" t="s">
        <v>267</v>
      </c>
      <c r="H28" s="48" t="s">
        <v>267</v>
      </c>
      <c r="I28" s="48" t="s">
        <v>267</v>
      </c>
      <c r="J28" s="48" t="s">
        <v>267</v>
      </c>
      <c r="K28" s="48" t="s">
        <v>267</v>
      </c>
      <c r="L28" s="48" t="s">
        <v>267</v>
      </c>
      <c r="M28" s="48" t="s">
        <v>267</v>
      </c>
      <c r="N28" s="48" t="s">
        <v>267</v>
      </c>
      <c r="O28" s="48" t="s">
        <v>267</v>
      </c>
      <c r="P28" s="48" t="s">
        <v>267</v>
      </c>
      <c r="Q28" s="48" t="s">
        <v>267</v>
      </c>
      <c r="R28" s="48" t="s">
        <v>267</v>
      </c>
      <c r="S28" s="48" t="s">
        <v>267</v>
      </c>
      <c r="T28" s="48" t="s">
        <v>267</v>
      </c>
      <c r="U28" s="48" t="s">
        <v>267</v>
      </c>
      <c r="V28" s="48" t="s">
        <v>267</v>
      </c>
      <c r="W28" s="48" t="s">
        <v>267</v>
      </c>
      <c r="X28" s="48" t="s">
        <v>267</v>
      </c>
      <c r="Y28" s="48" t="s">
        <v>267</v>
      </c>
      <c r="Z28" s="48" t="s">
        <v>267</v>
      </c>
    </row>
    <row r="29" spans="1:26" x14ac:dyDescent="0.35">
      <c r="A29" s="1" t="s">
        <v>215</v>
      </c>
      <c r="B29" s="1">
        <v>1</v>
      </c>
      <c r="C29" s="186">
        <v>43466</v>
      </c>
      <c r="D29" s="186">
        <v>43830</v>
      </c>
      <c r="E29" s="186">
        <v>43862</v>
      </c>
      <c r="F29" s="48" t="s">
        <v>267</v>
      </c>
      <c r="G29" s="48" t="s">
        <v>267</v>
      </c>
      <c r="H29" s="48" t="s">
        <v>267</v>
      </c>
      <c r="I29" s="186">
        <v>43831</v>
      </c>
      <c r="J29" s="186">
        <v>44196</v>
      </c>
      <c r="K29" s="186">
        <v>44228</v>
      </c>
      <c r="L29" s="48" t="s">
        <v>267</v>
      </c>
      <c r="M29" s="48" t="s">
        <v>267</v>
      </c>
      <c r="N29" s="48" t="s">
        <v>267</v>
      </c>
      <c r="O29" s="48" t="s">
        <v>267</v>
      </c>
      <c r="P29" s="48" t="s">
        <v>267</v>
      </c>
      <c r="Q29" s="48" t="s">
        <v>267</v>
      </c>
      <c r="R29" s="48" t="s">
        <v>267</v>
      </c>
      <c r="S29" s="48" t="s">
        <v>267</v>
      </c>
      <c r="T29" s="48" t="s">
        <v>267</v>
      </c>
      <c r="U29" s="48" t="s">
        <v>267</v>
      </c>
      <c r="V29" s="48" t="s">
        <v>267</v>
      </c>
      <c r="W29" s="48" t="s">
        <v>267</v>
      </c>
      <c r="X29" s="48" t="s">
        <v>267</v>
      </c>
      <c r="Y29" s="48" t="s">
        <v>267</v>
      </c>
      <c r="Z29" s="48" t="s">
        <v>267</v>
      </c>
    </row>
    <row r="30" spans="1:26" x14ac:dyDescent="0.35">
      <c r="A30" s="1" t="s">
        <v>217</v>
      </c>
      <c r="B30" s="1">
        <v>1</v>
      </c>
      <c r="C30" s="186">
        <v>43466</v>
      </c>
      <c r="D30" s="186">
        <v>43830</v>
      </c>
      <c r="E30" s="186">
        <v>43799</v>
      </c>
      <c r="F30" s="186">
        <v>43982</v>
      </c>
      <c r="G30" s="48" t="s">
        <v>267</v>
      </c>
      <c r="H30" s="48" t="s">
        <v>267</v>
      </c>
      <c r="I30" s="186">
        <v>43831</v>
      </c>
      <c r="J30" s="186">
        <v>44196</v>
      </c>
      <c r="K30" s="186">
        <v>44165</v>
      </c>
      <c r="L30" s="186">
        <v>44347</v>
      </c>
      <c r="M30" s="48" t="s">
        <v>267</v>
      </c>
      <c r="N30" s="48" t="s">
        <v>267</v>
      </c>
      <c r="O30" s="48" t="s">
        <v>267</v>
      </c>
      <c r="P30" s="48" t="s">
        <v>267</v>
      </c>
      <c r="Q30" s="48" t="s">
        <v>267</v>
      </c>
      <c r="R30" s="48" t="s">
        <v>267</v>
      </c>
      <c r="S30" s="48" t="s">
        <v>267</v>
      </c>
      <c r="T30" s="48" t="s">
        <v>267</v>
      </c>
      <c r="U30" s="48" t="s">
        <v>267</v>
      </c>
      <c r="V30" s="48" t="s">
        <v>267</v>
      </c>
      <c r="W30" s="48" t="s">
        <v>267</v>
      </c>
      <c r="X30" s="48" t="s">
        <v>267</v>
      </c>
      <c r="Y30" s="48" t="s">
        <v>267</v>
      </c>
      <c r="Z30" s="48" t="s">
        <v>267</v>
      </c>
    </row>
    <row r="31" spans="1:26" x14ac:dyDescent="0.35">
      <c r="A31" s="1" t="s">
        <v>169</v>
      </c>
      <c r="B31" s="1">
        <v>1</v>
      </c>
      <c r="C31" s="186">
        <v>43466</v>
      </c>
      <c r="D31" s="186">
        <v>43830</v>
      </c>
      <c r="E31" s="186">
        <v>43831</v>
      </c>
      <c r="F31" s="48" t="s">
        <v>267</v>
      </c>
      <c r="G31" s="48" t="s">
        <v>267</v>
      </c>
      <c r="H31" s="48" t="s">
        <v>267</v>
      </c>
      <c r="I31" s="186">
        <v>43831</v>
      </c>
      <c r="J31" s="186">
        <v>44196</v>
      </c>
      <c r="K31" s="186">
        <v>44197</v>
      </c>
      <c r="L31" s="48" t="s">
        <v>267</v>
      </c>
      <c r="M31" s="48" t="s">
        <v>267</v>
      </c>
      <c r="N31" s="48" t="s">
        <v>267</v>
      </c>
      <c r="O31" s="48" t="s">
        <v>267</v>
      </c>
      <c r="P31" s="48" t="s">
        <v>267</v>
      </c>
      <c r="Q31" s="48" t="s">
        <v>267</v>
      </c>
      <c r="R31" s="48" t="s">
        <v>267</v>
      </c>
      <c r="S31" s="48" t="s">
        <v>267</v>
      </c>
      <c r="T31" s="48" t="s">
        <v>267</v>
      </c>
      <c r="U31" s="48" t="s">
        <v>267</v>
      </c>
      <c r="V31" s="48" t="s">
        <v>267</v>
      </c>
      <c r="W31" s="48" t="s">
        <v>267</v>
      </c>
      <c r="X31" s="48" t="s">
        <v>267</v>
      </c>
      <c r="Y31" s="48" t="s">
        <v>267</v>
      </c>
      <c r="Z31" s="48" t="s">
        <v>267</v>
      </c>
    </row>
    <row r="32" spans="1:26" x14ac:dyDescent="0.35">
      <c r="A32" s="1" t="s">
        <v>232</v>
      </c>
      <c r="B32" s="1">
        <v>1</v>
      </c>
      <c r="C32" s="186">
        <v>43466</v>
      </c>
      <c r="D32" s="186">
        <v>43830</v>
      </c>
      <c r="E32" s="186">
        <v>43891</v>
      </c>
      <c r="F32" s="186">
        <v>44119</v>
      </c>
      <c r="G32" s="48" t="s">
        <v>267</v>
      </c>
      <c r="H32" s="48" t="s">
        <v>267</v>
      </c>
      <c r="I32" s="186">
        <v>43831</v>
      </c>
      <c r="J32" s="186">
        <v>44196</v>
      </c>
      <c r="K32" s="186">
        <v>44256</v>
      </c>
      <c r="L32" s="186">
        <v>44484</v>
      </c>
      <c r="M32" s="48" t="s">
        <v>267</v>
      </c>
      <c r="N32" s="48" t="s">
        <v>267</v>
      </c>
      <c r="O32" s="48" t="s">
        <v>267</v>
      </c>
      <c r="P32" s="48" t="s">
        <v>267</v>
      </c>
      <c r="Q32" s="48" t="s">
        <v>267</v>
      </c>
      <c r="R32" s="48" t="s">
        <v>267</v>
      </c>
      <c r="S32" s="48" t="s">
        <v>267</v>
      </c>
      <c r="T32" s="48" t="s">
        <v>267</v>
      </c>
      <c r="U32" s="48" t="s">
        <v>267</v>
      </c>
      <c r="V32" s="48" t="s">
        <v>267</v>
      </c>
      <c r="W32" s="48" t="s">
        <v>267</v>
      </c>
      <c r="X32" s="48" t="s">
        <v>267</v>
      </c>
      <c r="Y32" s="48" t="s">
        <v>267</v>
      </c>
      <c r="Z32" s="48" t="s">
        <v>267</v>
      </c>
    </row>
    <row r="33" spans="1:26" x14ac:dyDescent="0.35">
      <c r="A33" s="1" t="s">
        <v>237</v>
      </c>
      <c r="B33" s="1">
        <v>2</v>
      </c>
      <c r="C33" s="186">
        <v>43466</v>
      </c>
      <c r="D33" s="186">
        <v>43830</v>
      </c>
      <c r="E33" s="186">
        <v>43951</v>
      </c>
      <c r="F33" s="186">
        <v>44074</v>
      </c>
      <c r="G33" s="48" t="s">
        <v>267</v>
      </c>
      <c r="H33" s="48" t="s">
        <v>267</v>
      </c>
      <c r="I33" s="186">
        <v>43831</v>
      </c>
      <c r="J33" s="186">
        <v>44196</v>
      </c>
      <c r="K33" s="186">
        <v>44316</v>
      </c>
      <c r="L33" s="186">
        <v>44439</v>
      </c>
      <c r="M33" s="48" t="s">
        <v>267</v>
      </c>
      <c r="N33" s="48" t="s">
        <v>267</v>
      </c>
      <c r="O33" s="48" t="s">
        <v>267</v>
      </c>
      <c r="P33" s="48" t="s">
        <v>267</v>
      </c>
      <c r="Q33" s="48" t="s">
        <v>267</v>
      </c>
      <c r="R33" s="48" t="s">
        <v>267</v>
      </c>
      <c r="S33" s="48" t="s">
        <v>267</v>
      </c>
      <c r="T33" s="48" t="s">
        <v>267</v>
      </c>
      <c r="U33" s="48" t="s">
        <v>267</v>
      </c>
      <c r="V33" s="48" t="s">
        <v>267</v>
      </c>
      <c r="W33" s="48" t="s">
        <v>267</v>
      </c>
      <c r="X33" s="48" t="s">
        <v>267</v>
      </c>
      <c r="Y33" s="48" t="s">
        <v>267</v>
      </c>
      <c r="Z33" s="48" t="s">
        <v>267</v>
      </c>
    </row>
    <row r="34" spans="1:26" x14ac:dyDescent="0.35">
      <c r="A34" s="1" t="s">
        <v>241</v>
      </c>
      <c r="B34" s="1">
        <v>2</v>
      </c>
      <c r="C34" s="186">
        <v>43922</v>
      </c>
      <c r="D34" s="186">
        <v>44286</v>
      </c>
      <c r="E34" s="186">
        <v>44013</v>
      </c>
      <c r="F34" s="186">
        <v>44166</v>
      </c>
      <c r="G34" s="48" t="s">
        <v>267</v>
      </c>
      <c r="H34" s="48" t="s">
        <v>267</v>
      </c>
      <c r="I34" s="48" t="s">
        <v>267</v>
      </c>
      <c r="J34" s="48" t="s">
        <v>267</v>
      </c>
      <c r="K34" s="48" t="s">
        <v>267</v>
      </c>
      <c r="L34" s="48" t="s">
        <v>267</v>
      </c>
      <c r="M34" s="48" t="s">
        <v>267</v>
      </c>
      <c r="N34" s="48" t="s">
        <v>267</v>
      </c>
      <c r="O34" s="48" t="s">
        <v>267</v>
      </c>
      <c r="P34" s="48" t="s">
        <v>267</v>
      </c>
      <c r="Q34" s="48" t="s">
        <v>267</v>
      </c>
      <c r="R34" s="48" t="s">
        <v>267</v>
      </c>
      <c r="S34" s="48" t="s">
        <v>267</v>
      </c>
      <c r="T34" s="48" t="s">
        <v>267</v>
      </c>
      <c r="U34" s="48" t="s">
        <v>267</v>
      </c>
      <c r="V34" s="48" t="s">
        <v>267</v>
      </c>
      <c r="W34" s="48" t="s">
        <v>267</v>
      </c>
      <c r="X34" s="48" t="s">
        <v>267</v>
      </c>
      <c r="Y34" s="48" t="s">
        <v>267</v>
      </c>
      <c r="Z34" s="48" t="s">
        <v>267</v>
      </c>
    </row>
    <row r="35" spans="1:26" x14ac:dyDescent="0.35">
      <c r="A35" s="1" t="s">
        <v>243</v>
      </c>
      <c r="B35" s="1">
        <v>4</v>
      </c>
      <c r="C35" s="186">
        <v>43831</v>
      </c>
      <c r="D35" s="186">
        <v>44196</v>
      </c>
      <c r="E35" s="186">
        <v>43862</v>
      </c>
      <c r="F35" s="186">
        <v>43952</v>
      </c>
      <c r="G35" s="186">
        <v>44044</v>
      </c>
      <c r="H35" s="186">
        <v>44136</v>
      </c>
      <c r="I35" s="48" t="s">
        <v>267</v>
      </c>
      <c r="J35" s="48" t="s">
        <v>267</v>
      </c>
      <c r="K35" s="48" t="s">
        <v>267</v>
      </c>
      <c r="L35" s="48" t="s">
        <v>267</v>
      </c>
      <c r="M35" s="48" t="s">
        <v>267</v>
      </c>
      <c r="N35" s="48" t="s">
        <v>267</v>
      </c>
      <c r="O35" s="48" t="s">
        <v>267</v>
      </c>
      <c r="P35" s="48" t="s">
        <v>267</v>
      </c>
      <c r="Q35" s="48" t="s">
        <v>267</v>
      </c>
      <c r="R35" s="48" t="s">
        <v>267</v>
      </c>
      <c r="S35" s="48" t="s">
        <v>267</v>
      </c>
      <c r="T35" s="48" t="s">
        <v>267</v>
      </c>
      <c r="U35" s="48" t="s">
        <v>267</v>
      </c>
      <c r="V35" s="48" t="s">
        <v>267</v>
      </c>
      <c r="W35" s="48" t="s">
        <v>267</v>
      </c>
      <c r="X35" s="48" t="s">
        <v>267</v>
      </c>
      <c r="Y35" s="48" t="s">
        <v>267</v>
      </c>
      <c r="Z35" s="48" t="s">
        <v>267</v>
      </c>
    </row>
    <row r="36" spans="1:26" x14ac:dyDescent="0.35">
      <c r="A36" s="1" t="s">
        <v>245</v>
      </c>
      <c r="B36" s="1">
        <v>2</v>
      </c>
      <c r="C36" s="186">
        <v>43831</v>
      </c>
      <c r="D36" s="186">
        <v>44196</v>
      </c>
      <c r="E36" s="186">
        <v>44175</v>
      </c>
      <c r="F36" s="186">
        <v>44326</v>
      </c>
      <c r="G36" s="48" t="s">
        <v>267</v>
      </c>
      <c r="H36" s="48" t="s">
        <v>267</v>
      </c>
      <c r="I36" s="48" t="s">
        <v>267</v>
      </c>
      <c r="J36" s="48" t="s">
        <v>267</v>
      </c>
      <c r="K36" s="48" t="s">
        <v>267</v>
      </c>
      <c r="L36" s="48" t="s">
        <v>267</v>
      </c>
      <c r="M36" s="48" t="s">
        <v>267</v>
      </c>
      <c r="N36" s="48" t="s">
        <v>267</v>
      </c>
      <c r="O36" s="48" t="s">
        <v>267</v>
      </c>
      <c r="P36" s="48" t="s">
        <v>267</v>
      </c>
      <c r="Q36" s="48" t="s">
        <v>267</v>
      </c>
      <c r="R36" s="48" t="s">
        <v>267</v>
      </c>
      <c r="S36" s="48" t="s">
        <v>267</v>
      </c>
      <c r="T36" s="48" t="s">
        <v>267</v>
      </c>
      <c r="U36" s="48" t="s">
        <v>267</v>
      </c>
      <c r="V36" s="48" t="s">
        <v>267</v>
      </c>
      <c r="W36" s="48" t="s">
        <v>267</v>
      </c>
      <c r="X36" s="48" t="s">
        <v>267</v>
      </c>
      <c r="Y36" s="48" t="s">
        <v>267</v>
      </c>
      <c r="Z36" s="48" t="s">
        <v>267</v>
      </c>
    </row>
    <row r="37" spans="1:26" x14ac:dyDescent="0.35">
      <c r="A37" s="1" t="s">
        <v>246</v>
      </c>
      <c r="B37" s="1">
        <v>1</v>
      </c>
      <c r="C37" s="186">
        <v>43647</v>
      </c>
      <c r="D37" s="186">
        <v>44012</v>
      </c>
      <c r="E37" s="186">
        <v>43706</v>
      </c>
      <c r="F37" s="186">
        <v>43755</v>
      </c>
      <c r="G37" s="186">
        <v>43846</v>
      </c>
      <c r="H37" s="186">
        <v>43902</v>
      </c>
      <c r="I37" s="186">
        <v>44013</v>
      </c>
      <c r="J37" s="186">
        <v>44377</v>
      </c>
      <c r="K37" s="186">
        <v>44070</v>
      </c>
      <c r="L37" s="186">
        <v>44119</v>
      </c>
      <c r="M37" s="2">
        <v>44210</v>
      </c>
      <c r="N37" s="186">
        <v>44266</v>
      </c>
      <c r="O37" s="48" t="s">
        <v>267</v>
      </c>
      <c r="P37" s="48" t="s">
        <v>267</v>
      </c>
      <c r="Q37" s="48" t="s">
        <v>267</v>
      </c>
      <c r="R37" s="48" t="s">
        <v>267</v>
      </c>
      <c r="S37" s="48" t="s">
        <v>267</v>
      </c>
      <c r="T37" s="48" t="s">
        <v>267</v>
      </c>
      <c r="U37" s="48" t="s">
        <v>267</v>
      </c>
      <c r="V37" s="48" t="s">
        <v>267</v>
      </c>
      <c r="W37" s="48" t="s">
        <v>267</v>
      </c>
      <c r="X37" s="48" t="s">
        <v>267</v>
      </c>
      <c r="Y37" s="48" t="s">
        <v>267</v>
      </c>
      <c r="Z37" s="48" t="s">
        <v>267</v>
      </c>
    </row>
    <row r="38" spans="1:26" x14ac:dyDescent="0.35">
      <c r="A38" s="1" t="s">
        <v>247</v>
      </c>
      <c r="B38" s="1">
        <v>2</v>
      </c>
      <c r="C38" s="186">
        <v>43647</v>
      </c>
      <c r="D38" s="186">
        <v>44012</v>
      </c>
      <c r="E38" s="186">
        <v>43647</v>
      </c>
      <c r="F38" s="186">
        <v>43831</v>
      </c>
      <c r="G38" s="186" t="s">
        <v>267</v>
      </c>
      <c r="H38" s="186" t="s">
        <v>267</v>
      </c>
      <c r="I38" s="186">
        <v>44013</v>
      </c>
      <c r="J38" s="186">
        <v>44377</v>
      </c>
      <c r="K38" s="186">
        <v>44013</v>
      </c>
      <c r="L38" s="186">
        <v>44197</v>
      </c>
      <c r="M38" s="48" t="s">
        <v>267</v>
      </c>
      <c r="N38" s="48" t="s">
        <v>267</v>
      </c>
      <c r="O38" s="48" t="s">
        <v>267</v>
      </c>
      <c r="P38" s="48" t="s">
        <v>267</v>
      </c>
      <c r="Q38" s="48" t="s">
        <v>267</v>
      </c>
      <c r="R38" s="48" t="s">
        <v>267</v>
      </c>
      <c r="S38" s="48" t="s">
        <v>267</v>
      </c>
      <c r="T38" s="48" t="s">
        <v>267</v>
      </c>
      <c r="U38" s="48" t="s">
        <v>267</v>
      </c>
      <c r="V38" s="48" t="s">
        <v>267</v>
      </c>
      <c r="W38" s="48" t="s">
        <v>267</v>
      </c>
      <c r="X38" s="48" t="s">
        <v>267</v>
      </c>
      <c r="Y38" s="48" t="s">
        <v>267</v>
      </c>
      <c r="Z38" s="48" t="s">
        <v>267</v>
      </c>
    </row>
    <row r="39" spans="1:26" x14ac:dyDescent="0.35">
      <c r="A39" s="1" t="s">
        <v>248</v>
      </c>
      <c r="B39" s="1">
        <v>2</v>
      </c>
      <c r="C39" s="267">
        <v>43466</v>
      </c>
      <c r="D39" s="267">
        <v>43830</v>
      </c>
      <c r="E39" s="267">
        <v>43851</v>
      </c>
      <c r="F39" s="267">
        <v>44004</v>
      </c>
      <c r="G39" s="244" t="s">
        <v>267</v>
      </c>
      <c r="H39" s="244" t="s">
        <v>267</v>
      </c>
      <c r="I39" s="267">
        <v>43831</v>
      </c>
      <c r="J39" s="267">
        <v>44196</v>
      </c>
      <c r="K39" s="267">
        <v>44216</v>
      </c>
      <c r="L39" s="267">
        <v>44368</v>
      </c>
      <c r="M39" s="244" t="s">
        <v>267</v>
      </c>
      <c r="N39" s="244" t="s">
        <v>267</v>
      </c>
      <c r="O39" s="48" t="s">
        <v>267</v>
      </c>
      <c r="P39" s="48" t="s">
        <v>267</v>
      </c>
      <c r="Q39" s="48" t="s">
        <v>267</v>
      </c>
      <c r="R39" s="48" t="s">
        <v>267</v>
      </c>
      <c r="S39" s="48" t="s">
        <v>267</v>
      </c>
      <c r="T39" s="48" t="s">
        <v>267</v>
      </c>
      <c r="U39" s="48" t="s">
        <v>267</v>
      </c>
      <c r="V39" s="48" t="s">
        <v>267</v>
      </c>
      <c r="W39" s="48" t="s">
        <v>267</v>
      </c>
      <c r="X39" s="48" t="s">
        <v>267</v>
      </c>
      <c r="Y39" s="48" t="s">
        <v>267</v>
      </c>
      <c r="Z39" s="48" t="s">
        <v>267</v>
      </c>
    </row>
    <row r="40" spans="1:26" x14ac:dyDescent="0.35">
      <c r="A40" s="1" t="s">
        <v>249</v>
      </c>
      <c r="B40" s="1">
        <v>2</v>
      </c>
      <c r="C40" s="267">
        <v>43466</v>
      </c>
      <c r="D40" s="267">
        <v>43830</v>
      </c>
      <c r="E40" s="267">
        <v>43830</v>
      </c>
      <c r="F40" s="267">
        <v>43922</v>
      </c>
      <c r="G40" s="244" t="s">
        <v>267</v>
      </c>
      <c r="H40" s="244" t="s">
        <v>267</v>
      </c>
      <c r="I40" s="267">
        <v>43831</v>
      </c>
      <c r="J40" s="267">
        <v>44196</v>
      </c>
      <c r="K40" s="267">
        <v>44196</v>
      </c>
      <c r="L40" s="267">
        <v>43922</v>
      </c>
      <c r="M40" s="244" t="s">
        <v>267</v>
      </c>
      <c r="N40" s="244" t="s">
        <v>267</v>
      </c>
      <c r="O40" s="48" t="s">
        <v>267</v>
      </c>
      <c r="P40" s="48" t="s">
        <v>267</v>
      </c>
      <c r="Q40" s="48" t="s">
        <v>267</v>
      </c>
      <c r="R40" s="48" t="s">
        <v>267</v>
      </c>
      <c r="S40" s="48" t="s">
        <v>267</v>
      </c>
      <c r="T40" s="48" t="s">
        <v>267</v>
      </c>
      <c r="U40" s="48" t="s">
        <v>267</v>
      </c>
      <c r="V40" s="48" t="s">
        <v>267</v>
      </c>
      <c r="W40" s="48" t="s">
        <v>267</v>
      </c>
      <c r="X40" s="48" t="s">
        <v>267</v>
      </c>
      <c r="Y40" s="48" t="s">
        <v>267</v>
      </c>
      <c r="Z40" s="48" t="s">
        <v>267</v>
      </c>
    </row>
    <row r="41" spans="1:26" x14ac:dyDescent="0.35">
      <c r="A41" s="1" t="s">
        <v>250</v>
      </c>
      <c r="B41" s="1">
        <v>3</v>
      </c>
      <c r="C41" s="186">
        <v>43647</v>
      </c>
      <c r="D41" s="186">
        <v>44012</v>
      </c>
      <c r="E41" s="186">
        <v>43784</v>
      </c>
      <c r="F41" s="186">
        <v>43876</v>
      </c>
      <c r="G41" s="186">
        <v>43966</v>
      </c>
      <c r="H41" s="48" t="s">
        <v>267</v>
      </c>
      <c r="I41" s="186">
        <v>44013</v>
      </c>
      <c r="J41" s="186">
        <v>44377</v>
      </c>
      <c r="K41" s="186">
        <v>44150</v>
      </c>
      <c r="L41" s="186">
        <v>44242</v>
      </c>
      <c r="M41" s="2">
        <v>44331</v>
      </c>
      <c r="N41" s="48" t="s">
        <v>267</v>
      </c>
      <c r="O41" s="48" t="s">
        <v>267</v>
      </c>
      <c r="P41" s="48" t="s">
        <v>267</v>
      </c>
      <c r="Q41" s="48" t="s">
        <v>267</v>
      </c>
      <c r="R41" s="48" t="s">
        <v>267</v>
      </c>
      <c r="S41" s="48" t="s">
        <v>267</v>
      </c>
      <c r="T41" s="48" t="s">
        <v>267</v>
      </c>
      <c r="U41" s="48" t="s">
        <v>267</v>
      </c>
      <c r="V41" s="48" t="s">
        <v>267</v>
      </c>
      <c r="W41" s="48" t="s">
        <v>267</v>
      </c>
      <c r="X41" s="48" t="s">
        <v>267</v>
      </c>
      <c r="Y41" s="48" t="s">
        <v>267</v>
      </c>
      <c r="Z41" s="48" t="s">
        <v>267</v>
      </c>
    </row>
    <row r="42" spans="1:26" x14ac:dyDescent="0.35">
      <c r="A42" s="1" t="s">
        <v>251</v>
      </c>
      <c r="B42" s="1">
        <v>12</v>
      </c>
      <c r="C42" s="48" t="s">
        <v>267</v>
      </c>
      <c r="D42" s="48" t="s">
        <v>267</v>
      </c>
      <c r="E42" s="48" t="s">
        <v>267</v>
      </c>
      <c r="F42" s="48" t="s">
        <v>267</v>
      </c>
      <c r="G42" s="48" t="s">
        <v>267</v>
      </c>
      <c r="H42" s="48" t="s">
        <v>267</v>
      </c>
      <c r="I42" s="48" t="s">
        <v>267</v>
      </c>
      <c r="J42" s="48" t="s">
        <v>267</v>
      </c>
      <c r="K42" s="48" t="s">
        <v>267</v>
      </c>
      <c r="L42" s="48" t="s">
        <v>267</v>
      </c>
      <c r="M42" s="48" t="s">
        <v>267</v>
      </c>
      <c r="N42" s="48" t="s">
        <v>267</v>
      </c>
      <c r="O42" s="48" t="s">
        <v>267</v>
      </c>
      <c r="P42" s="48" t="s">
        <v>267</v>
      </c>
      <c r="Q42" s="48" t="s">
        <v>267</v>
      </c>
      <c r="R42" s="48" t="s">
        <v>267</v>
      </c>
      <c r="S42" s="48" t="s">
        <v>267</v>
      </c>
      <c r="T42" s="48" t="s">
        <v>267</v>
      </c>
      <c r="U42" s="48" t="s">
        <v>267</v>
      </c>
      <c r="V42" s="48" t="s">
        <v>267</v>
      </c>
      <c r="W42" s="48" t="s">
        <v>267</v>
      </c>
      <c r="X42" s="48" t="s">
        <v>267</v>
      </c>
      <c r="Y42" s="48" t="s">
        <v>267</v>
      </c>
      <c r="Z42" s="48" t="s">
        <v>267</v>
      </c>
    </row>
    <row r="43" spans="1:26" x14ac:dyDescent="0.35">
      <c r="A43" s="1" t="s">
        <v>252</v>
      </c>
      <c r="B43" s="1">
        <v>1</v>
      </c>
      <c r="C43" s="48" t="s">
        <v>267</v>
      </c>
      <c r="D43" s="48" t="s">
        <v>267</v>
      </c>
      <c r="E43" s="48" t="s">
        <v>267</v>
      </c>
      <c r="F43" s="48" t="s">
        <v>267</v>
      </c>
      <c r="G43" s="48" t="s">
        <v>267</v>
      </c>
      <c r="H43" s="48" t="s">
        <v>267</v>
      </c>
      <c r="I43" s="48" t="s">
        <v>267</v>
      </c>
      <c r="J43" s="48" t="s">
        <v>267</v>
      </c>
      <c r="K43" s="48" t="s">
        <v>267</v>
      </c>
      <c r="L43" s="48" t="s">
        <v>267</v>
      </c>
      <c r="M43" s="48" t="s">
        <v>267</v>
      </c>
      <c r="N43" s="48" t="s">
        <v>267</v>
      </c>
      <c r="O43" s="48" t="s">
        <v>267</v>
      </c>
      <c r="P43" s="48" t="s">
        <v>267</v>
      </c>
      <c r="Q43" s="48" t="s">
        <v>267</v>
      </c>
      <c r="R43" s="48" t="s">
        <v>267</v>
      </c>
      <c r="S43" s="48" t="s">
        <v>267</v>
      </c>
      <c r="T43" s="48" t="s">
        <v>267</v>
      </c>
      <c r="U43" s="48" t="s">
        <v>267</v>
      </c>
      <c r="V43" s="48" t="s">
        <v>267</v>
      </c>
      <c r="W43" s="48" t="s">
        <v>267</v>
      </c>
      <c r="X43" s="48" t="s">
        <v>267</v>
      </c>
      <c r="Y43" s="48" t="s">
        <v>267</v>
      </c>
      <c r="Z43" s="48" t="s">
        <v>267</v>
      </c>
    </row>
    <row r="44" spans="1:26" x14ac:dyDescent="0.35">
      <c r="A44" s="1" t="s">
        <v>253</v>
      </c>
      <c r="B44" s="1">
        <v>1</v>
      </c>
      <c r="C44" s="267">
        <v>43466</v>
      </c>
      <c r="D44" s="267">
        <v>43830</v>
      </c>
      <c r="E44" s="267">
        <v>43845</v>
      </c>
      <c r="F44" s="244" t="s">
        <v>267</v>
      </c>
      <c r="G44" s="244" t="s">
        <v>267</v>
      </c>
      <c r="H44" s="244" t="s">
        <v>267</v>
      </c>
      <c r="I44" s="267">
        <v>43831</v>
      </c>
      <c r="J44" s="267">
        <v>44196</v>
      </c>
      <c r="K44" s="267">
        <v>44211</v>
      </c>
      <c r="L44" s="244" t="s">
        <v>267</v>
      </c>
      <c r="M44" s="244" t="s">
        <v>267</v>
      </c>
      <c r="N44" s="244" t="s">
        <v>267</v>
      </c>
      <c r="O44" s="48" t="s">
        <v>267</v>
      </c>
      <c r="P44" s="48" t="s">
        <v>267</v>
      </c>
      <c r="Q44" s="48" t="s">
        <v>267</v>
      </c>
      <c r="R44" s="48" t="s">
        <v>267</v>
      </c>
      <c r="S44" s="48" t="s">
        <v>267</v>
      </c>
      <c r="T44" s="48" t="s">
        <v>267</v>
      </c>
      <c r="U44" s="48" t="s">
        <v>267</v>
      </c>
      <c r="V44" s="48" t="s">
        <v>267</v>
      </c>
      <c r="W44" s="48" t="s">
        <v>267</v>
      </c>
      <c r="X44" s="48" t="s">
        <v>267</v>
      </c>
      <c r="Y44" s="48" t="s">
        <v>267</v>
      </c>
      <c r="Z44" s="48" t="s">
        <v>267</v>
      </c>
    </row>
    <row r="45" spans="1:26" x14ac:dyDescent="0.35">
      <c r="A45" s="1" t="s">
        <v>254</v>
      </c>
      <c r="B45" s="1">
        <v>1</v>
      </c>
      <c r="C45" s="267">
        <v>43466</v>
      </c>
      <c r="D45" s="267">
        <v>43830</v>
      </c>
      <c r="E45" s="267">
        <v>43889</v>
      </c>
      <c r="F45" s="244" t="s">
        <v>267</v>
      </c>
      <c r="G45" s="244" t="s">
        <v>267</v>
      </c>
      <c r="H45" s="244" t="s">
        <v>267</v>
      </c>
      <c r="I45" s="267">
        <v>43831</v>
      </c>
      <c r="J45" s="267">
        <v>44196</v>
      </c>
      <c r="K45" s="267">
        <v>44253</v>
      </c>
      <c r="L45" s="244" t="s">
        <v>267</v>
      </c>
      <c r="M45" s="244" t="s">
        <v>267</v>
      </c>
      <c r="N45" s="244" t="s">
        <v>267</v>
      </c>
      <c r="O45" s="48" t="s">
        <v>267</v>
      </c>
      <c r="P45" s="48" t="s">
        <v>267</v>
      </c>
      <c r="Q45" s="48" t="s">
        <v>267</v>
      </c>
      <c r="R45" s="48" t="s">
        <v>267</v>
      </c>
      <c r="S45" s="48" t="s">
        <v>267</v>
      </c>
      <c r="T45" s="48" t="s">
        <v>267</v>
      </c>
      <c r="U45" s="48" t="s">
        <v>267</v>
      </c>
      <c r="V45" s="48" t="s">
        <v>267</v>
      </c>
      <c r="W45" s="48" t="s">
        <v>267</v>
      </c>
      <c r="X45" s="48" t="s">
        <v>267</v>
      </c>
      <c r="Y45" s="48" t="s">
        <v>267</v>
      </c>
      <c r="Z45" s="48" t="s">
        <v>267</v>
      </c>
    </row>
    <row r="46" spans="1:26" x14ac:dyDescent="0.35">
      <c r="A46" s="1" t="s">
        <v>255</v>
      </c>
      <c r="B46" s="1">
        <v>1</v>
      </c>
      <c r="C46" s="267">
        <v>43466</v>
      </c>
      <c r="D46" s="267">
        <v>43830</v>
      </c>
      <c r="E46" s="267">
        <v>43861</v>
      </c>
      <c r="F46" s="244" t="s">
        <v>267</v>
      </c>
      <c r="G46" s="244" t="s">
        <v>267</v>
      </c>
      <c r="H46" s="244" t="s">
        <v>267</v>
      </c>
      <c r="I46" s="267">
        <v>43831</v>
      </c>
      <c r="J46" s="267">
        <v>44196</v>
      </c>
      <c r="K46" s="267">
        <v>44225</v>
      </c>
      <c r="L46" s="244" t="s">
        <v>267</v>
      </c>
      <c r="M46" s="244" t="s">
        <v>267</v>
      </c>
      <c r="N46" s="244" t="s">
        <v>267</v>
      </c>
      <c r="O46" s="48" t="s">
        <v>267</v>
      </c>
      <c r="P46" s="48" t="s">
        <v>267</v>
      </c>
      <c r="Q46" s="48" t="s">
        <v>267</v>
      </c>
      <c r="R46" s="48" t="s">
        <v>267</v>
      </c>
      <c r="S46" s="48" t="s">
        <v>267</v>
      </c>
      <c r="T46" s="48" t="s">
        <v>267</v>
      </c>
      <c r="U46" s="48" t="s">
        <v>267</v>
      </c>
      <c r="V46" s="48" t="s">
        <v>267</v>
      </c>
      <c r="W46" s="48" t="s">
        <v>267</v>
      </c>
      <c r="X46" s="48" t="s">
        <v>267</v>
      </c>
      <c r="Y46" s="48" t="s">
        <v>267</v>
      </c>
      <c r="Z46" s="48" t="s">
        <v>267</v>
      </c>
    </row>
    <row r="47" spans="1:26" x14ac:dyDescent="0.35">
      <c r="A47" s="1" t="s">
        <v>256</v>
      </c>
      <c r="B47" s="1">
        <v>1</v>
      </c>
      <c r="C47" s="267">
        <v>43831</v>
      </c>
      <c r="D47" s="267">
        <v>44196</v>
      </c>
      <c r="E47" s="267">
        <v>44165</v>
      </c>
      <c r="F47" s="244" t="s">
        <v>267</v>
      </c>
      <c r="G47" s="244" t="s">
        <v>267</v>
      </c>
      <c r="H47" s="244" t="s">
        <v>267</v>
      </c>
      <c r="I47" s="244" t="s">
        <v>267</v>
      </c>
      <c r="J47" s="244" t="s">
        <v>267</v>
      </c>
      <c r="K47" s="244" t="s">
        <v>267</v>
      </c>
      <c r="L47" s="244" t="s">
        <v>267</v>
      </c>
      <c r="M47" s="244" t="s">
        <v>267</v>
      </c>
      <c r="N47" s="244" t="s">
        <v>267</v>
      </c>
      <c r="O47" s="48" t="s">
        <v>267</v>
      </c>
      <c r="P47" s="48" t="s">
        <v>267</v>
      </c>
      <c r="Q47" s="48" t="s">
        <v>267</v>
      </c>
      <c r="R47" s="48" t="s">
        <v>267</v>
      </c>
      <c r="S47" s="48" t="s">
        <v>267</v>
      </c>
      <c r="T47" s="48" t="s">
        <v>267</v>
      </c>
      <c r="U47" s="48" t="s">
        <v>267</v>
      </c>
      <c r="V47" s="48" t="s">
        <v>267</v>
      </c>
      <c r="W47" s="48" t="s">
        <v>267</v>
      </c>
      <c r="X47" s="48" t="s">
        <v>267</v>
      </c>
      <c r="Y47" s="48" t="s">
        <v>267</v>
      </c>
      <c r="Z47" s="48" t="s">
        <v>267</v>
      </c>
    </row>
    <row r="48" spans="1:26" x14ac:dyDescent="0.35">
      <c r="A48" s="1" t="s">
        <v>257</v>
      </c>
      <c r="B48" s="1">
        <v>12</v>
      </c>
      <c r="C48" s="48" t="s">
        <v>267</v>
      </c>
      <c r="D48" s="48" t="s">
        <v>267</v>
      </c>
      <c r="E48" s="48" t="s">
        <v>267</v>
      </c>
      <c r="F48" s="48" t="s">
        <v>267</v>
      </c>
      <c r="G48" s="48" t="s">
        <v>267</v>
      </c>
      <c r="H48" s="48" t="s">
        <v>267</v>
      </c>
      <c r="I48" s="48" t="s">
        <v>267</v>
      </c>
      <c r="J48" s="48" t="s">
        <v>267</v>
      </c>
      <c r="K48" s="48" t="s">
        <v>267</v>
      </c>
      <c r="L48" s="48" t="s">
        <v>267</v>
      </c>
      <c r="M48" s="48" t="s">
        <v>267</v>
      </c>
      <c r="N48" s="48" t="s">
        <v>267</v>
      </c>
      <c r="O48" s="48" t="s">
        <v>267</v>
      </c>
      <c r="P48" s="48" t="s">
        <v>267</v>
      </c>
      <c r="Q48" s="48" t="s">
        <v>267</v>
      </c>
      <c r="R48" s="48" t="s">
        <v>267</v>
      </c>
      <c r="S48" s="48" t="s">
        <v>267</v>
      </c>
      <c r="T48" s="48" t="s">
        <v>267</v>
      </c>
      <c r="U48" s="48" t="s">
        <v>267</v>
      </c>
      <c r="V48" s="48" t="s">
        <v>267</v>
      </c>
      <c r="W48" s="48" t="s">
        <v>267</v>
      </c>
      <c r="X48" s="48" t="s">
        <v>267</v>
      </c>
      <c r="Y48" s="48" t="s">
        <v>267</v>
      </c>
      <c r="Z48" s="48" t="s">
        <v>267</v>
      </c>
    </row>
    <row r="49" spans="1:26" x14ac:dyDescent="0.35">
      <c r="A49" s="1" t="s">
        <v>258</v>
      </c>
      <c r="B49" s="1">
        <v>1</v>
      </c>
      <c r="C49" s="267">
        <v>43647</v>
      </c>
      <c r="D49" s="267">
        <v>44012</v>
      </c>
      <c r="E49" s="267">
        <v>43689</v>
      </c>
      <c r="F49" s="267">
        <v>43781</v>
      </c>
      <c r="G49" s="267">
        <v>43873</v>
      </c>
      <c r="H49" s="267">
        <v>43963</v>
      </c>
      <c r="I49" s="267">
        <v>44013</v>
      </c>
      <c r="J49" s="267">
        <v>44377</v>
      </c>
      <c r="K49" s="267">
        <v>44055</v>
      </c>
      <c r="L49" s="267">
        <v>44147</v>
      </c>
      <c r="M49" s="267">
        <v>44239</v>
      </c>
      <c r="N49" s="267">
        <v>44328</v>
      </c>
      <c r="O49" s="48" t="s">
        <v>267</v>
      </c>
      <c r="P49" s="48" t="s">
        <v>267</v>
      </c>
      <c r="Q49" s="48" t="s">
        <v>267</v>
      </c>
      <c r="R49" s="48" t="s">
        <v>267</v>
      </c>
      <c r="S49" s="48" t="s">
        <v>267</v>
      </c>
      <c r="T49" s="48" t="s">
        <v>267</v>
      </c>
      <c r="U49" s="48" t="s">
        <v>267</v>
      </c>
      <c r="V49" s="48" t="s">
        <v>267</v>
      </c>
      <c r="W49" s="48" t="s">
        <v>267</v>
      </c>
      <c r="X49" s="48" t="s">
        <v>267</v>
      </c>
      <c r="Y49" s="48" t="s">
        <v>267</v>
      </c>
      <c r="Z49" s="48" t="s">
        <v>267</v>
      </c>
    </row>
    <row r="50" spans="1:26" x14ac:dyDescent="0.35">
      <c r="A50" s="1" t="s">
        <v>259</v>
      </c>
      <c r="B50" s="1">
        <v>2</v>
      </c>
      <c r="C50" s="267">
        <v>43831</v>
      </c>
      <c r="D50" s="267">
        <v>44196</v>
      </c>
      <c r="E50" s="267">
        <v>43951</v>
      </c>
      <c r="F50" s="267">
        <v>44134</v>
      </c>
      <c r="G50" s="244" t="s">
        <v>267</v>
      </c>
      <c r="H50" s="244" t="s">
        <v>267</v>
      </c>
      <c r="I50" s="244" t="s">
        <v>267</v>
      </c>
      <c r="J50" s="244" t="s">
        <v>267</v>
      </c>
      <c r="K50" s="244" t="s">
        <v>267</v>
      </c>
      <c r="L50" s="244" t="s">
        <v>267</v>
      </c>
      <c r="M50" s="244" t="s">
        <v>267</v>
      </c>
      <c r="N50" s="244" t="s">
        <v>267</v>
      </c>
      <c r="O50" s="48" t="s">
        <v>267</v>
      </c>
      <c r="P50" s="48" t="s">
        <v>267</v>
      </c>
      <c r="Q50" s="48" t="s">
        <v>267</v>
      </c>
      <c r="R50" s="48" t="s">
        <v>267</v>
      </c>
      <c r="S50" s="48" t="s">
        <v>267</v>
      </c>
      <c r="T50" s="48" t="s">
        <v>267</v>
      </c>
      <c r="U50" s="48" t="s">
        <v>267</v>
      </c>
      <c r="V50" s="48" t="s">
        <v>267</v>
      </c>
      <c r="W50" s="48" t="s">
        <v>267</v>
      </c>
      <c r="X50" s="48" t="s">
        <v>267</v>
      </c>
      <c r="Y50" s="48" t="s">
        <v>267</v>
      </c>
      <c r="Z50" s="48" t="s">
        <v>267</v>
      </c>
    </row>
    <row r="51" spans="1:26" x14ac:dyDescent="0.35">
      <c r="A51" s="1" t="s">
        <v>260</v>
      </c>
      <c r="B51" s="1">
        <v>1</v>
      </c>
      <c r="C51" s="267">
        <v>43466</v>
      </c>
      <c r="D51" s="267">
        <v>43830</v>
      </c>
      <c r="E51" s="267">
        <v>43861</v>
      </c>
      <c r="F51" s="267">
        <v>44043</v>
      </c>
      <c r="G51" s="267" t="s">
        <v>267</v>
      </c>
      <c r="H51" s="267" t="s">
        <v>267</v>
      </c>
      <c r="I51" s="267">
        <v>43831</v>
      </c>
      <c r="J51" s="267">
        <v>44196</v>
      </c>
      <c r="K51" s="267">
        <v>44227</v>
      </c>
      <c r="L51" s="267">
        <v>44408</v>
      </c>
      <c r="M51" s="267" t="s">
        <v>267</v>
      </c>
      <c r="N51" s="267" t="s">
        <v>267</v>
      </c>
      <c r="O51" s="48" t="s">
        <v>267</v>
      </c>
      <c r="P51" s="48" t="s">
        <v>267</v>
      </c>
      <c r="Q51" s="48" t="s">
        <v>267</v>
      </c>
      <c r="R51" s="48" t="s">
        <v>267</v>
      </c>
      <c r="S51" s="48" t="s">
        <v>267</v>
      </c>
      <c r="T51" s="48" t="s">
        <v>267</v>
      </c>
      <c r="U51" s="48" t="s">
        <v>267</v>
      </c>
      <c r="V51" s="48" t="s">
        <v>267</v>
      </c>
      <c r="W51" s="48" t="s">
        <v>267</v>
      </c>
      <c r="X51" s="48" t="s">
        <v>267</v>
      </c>
      <c r="Y51" s="48" t="s">
        <v>267</v>
      </c>
      <c r="Z51" s="48" t="s">
        <v>267</v>
      </c>
    </row>
    <row r="52" spans="1:26" x14ac:dyDescent="0.35">
      <c r="A52" s="1" t="s">
        <v>261</v>
      </c>
      <c r="B52" s="1">
        <v>1</v>
      </c>
      <c r="C52" s="267">
        <v>43647</v>
      </c>
      <c r="D52" s="267">
        <v>44012</v>
      </c>
      <c r="E52" s="267">
        <v>44075</v>
      </c>
      <c r="F52" s="244" t="s">
        <v>267</v>
      </c>
      <c r="G52" s="244" t="s">
        <v>267</v>
      </c>
      <c r="H52" s="244" t="s">
        <v>267</v>
      </c>
      <c r="I52" s="267">
        <v>44013</v>
      </c>
      <c r="J52" s="267">
        <v>44377</v>
      </c>
      <c r="K52" s="267">
        <v>44440</v>
      </c>
      <c r="L52" s="244" t="s">
        <v>267</v>
      </c>
      <c r="M52" s="244" t="s">
        <v>267</v>
      </c>
      <c r="N52" s="244" t="s">
        <v>267</v>
      </c>
      <c r="O52" s="48" t="s">
        <v>267</v>
      </c>
      <c r="P52" s="48" t="s">
        <v>267</v>
      </c>
      <c r="Q52" s="48" t="s">
        <v>267</v>
      </c>
      <c r="R52" s="48" t="s">
        <v>267</v>
      </c>
      <c r="S52" s="48" t="s">
        <v>267</v>
      </c>
      <c r="T52" s="48" t="s">
        <v>267</v>
      </c>
      <c r="U52" s="48" t="s">
        <v>267</v>
      </c>
      <c r="V52" s="48" t="s">
        <v>267</v>
      </c>
      <c r="W52" s="48" t="s">
        <v>267</v>
      </c>
      <c r="X52" s="48" t="s">
        <v>267</v>
      </c>
      <c r="Y52" s="48" t="s">
        <v>267</v>
      </c>
      <c r="Z52" s="48" t="s">
        <v>267</v>
      </c>
    </row>
    <row r="53" spans="1:26" x14ac:dyDescent="0.35">
      <c r="A53" s="1" t="s">
        <v>262</v>
      </c>
      <c r="B53" s="1">
        <v>2</v>
      </c>
      <c r="C53" s="267">
        <v>43466</v>
      </c>
      <c r="D53" s="267">
        <v>43830</v>
      </c>
      <c r="E53" s="267">
        <v>43779</v>
      </c>
      <c r="F53" s="267">
        <v>43961</v>
      </c>
      <c r="G53" s="244" t="s">
        <v>267</v>
      </c>
      <c r="H53" s="244" t="s">
        <v>267</v>
      </c>
      <c r="I53" s="267">
        <v>43831</v>
      </c>
      <c r="J53" s="267">
        <v>44196</v>
      </c>
      <c r="K53" s="267">
        <v>44145</v>
      </c>
      <c r="L53" s="267">
        <v>44326</v>
      </c>
      <c r="M53" s="244" t="s">
        <v>267</v>
      </c>
      <c r="N53" s="244" t="s">
        <v>267</v>
      </c>
      <c r="O53" s="48" t="s">
        <v>267</v>
      </c>
      <c r="P53" s="48" t="s">
        <v>267</v>
      </c>
      <c r="Q53" s="48" t="s">
        <v>267</v>
      </c>
      <c r="R53" s="48" t="s">
        <v>267</v>
      </c>
      <c r="S53" s="48" t="s">
        <v>267</v>
      </c>
      <c r="T53" s="48" t="s">
        <v>267</v>
      </c>
      <c r="U53" s="48" t="s">
        <v>267</v>
      </c>
      <c r="V53" s="48" t="s">
        <v>267</v>
      </c>
      <c r="W53" s="48" t="s">
        <v>267</v>
      </c>
      <c r="X53" s="48" t="s">
        <v>267</v>
      </c>
      <c r="Y53" s="48" t="s">
        <v>267</v>
      </c>
      <c r="Z53" s="48" t="s">
        <v>267</v>
      </c>
    </row>
    <row r="54" spans="1:26" x14ac:dyDescent="0.35">
      <c r="C54" s="244"/>
      <c r="D54" s="244"/>
      <c r="E54" s="244"/>
      <c r="F54" s="244"/>
      <c r="G54" s="244"/>
      <c r="H54" s="244"/>
      <c r="I54" s="244"/>
      <c r="J54" s="244"/>
      <c r="K54" s="244"/>
      <c r="L54" s="244"/>
      <c r="M54" s="268"/>
      <c r="N54" s="244"/>
    </row>
    <row r="55" spans="1:26" x14ac:dyDescent="0.35">
      <c r="C55" s="244"/>
      <c r="D55" s="244"/>
      <c r="E55" s="244"/>
      <c r="F55" s="244"/>
      <c r="G55" s="244"/>
      <c r="H55" s="244"/>
      <c r="I55" s="244"/>
      <c r="J55" s="244"/>
      <c r="K55" s="244"/>
      <c r="L55" s="244"/>
      <c r="M55" s="268"/>
      <c r="N55" s="244"/>
    </row>
  </sheetData>
  <pageMargins left="0.7" right="0.7" top="0.75" bottom="0.75" header="0.3" footer="0.3"/>
  <pageSetup orientation="landscape" horizontalDpi="1200" verticalDpi="1200" r:id="rId1"/>
  <headerFooter>
    <oddFooter>&amp;LWednesday, November 09, 2022&amp;RPage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7B69B-6772-4C41-8D19-B49F13F9C004}">
  <sheetPr codeName="Sheet9">
    <pageSetUpPr fitToPage="1"/>
  </sheetPr>
  <dimension ref="A1:M191"/>
  <sheetViews>
    <sheetView topLeftCell="A70" zoomScaleNormal="100" workbookViewId="0">
      <selection activeCell="C94" sqref="C94"/>
    </sheetView>
  </sheetViews>
  <sheetFormatPr defaultColWidth="9.1796875" defaultRowHeight="13" x14ac:dyDescent="0.3"/>
  <cols>
    <col min="1" max="1" width="16" style="50" customWidth="1"/>
    <col min="2" max="2" width="22.26953125" style="546" bestFit="1" customWidth="1"/>
    <col min="3" max="3" width="11.81640625" style="50" customWidth="1"/>
    <col min="4" max="4" width="19.54296875" style="50" customWidth="1"/>
    <col min="5" max="5" width="16.81640625" style="50" customWidth="1"/>
    <col min="6" max="6" width="39.7265625" style="50" customWidth="1"/>
    <col min="7" max="7" width="16.1796875" style="50" customWidth="1"/>
    <col min="8" max="8" width="12.54296875" style="50" customWidth="1"/>
    <col min="9" max="9" width="15.26953125" style="50" customWidth="1"/>
    <col min="10" max="10" width="84.453125" style="50" bestFit="1" customWidth="1"/>
    <col min="11" max="11" width="9.1796875" style="50"/>
    <col min="12" max="12" width="10.54296875" style="50" bestFit="1" customWidth="1"/>
    <col min="13" max="16384" width="9.1796875" style="50"/>
  </cols>
  <sheetData>
    <row r="1" spans="1:13" ht="21.75" customHeight="1" x14ac:dyDescent="0.5">
      <c r="A1" s="586" t="str">
        <f>'Input-Instructions'!B3</f>
        <v>Residences at Shiloh Crossing</v>
      </c>
      <c r="B1" s="586"/>
      <c r="C1" s="586"/>
      <c r="D1" s="586"/>
      <c r="E1" s="586"/>
      <c r="F1" s="586"/>
      <c r="G1" s="586"/>
      <c r="H1" s="444"/>
      <c r="I1" s="444"/>
      <c r="J1" s="444"/>
      <c r="K1" s="444"/>
      <c r="L1" s="444"/>
      <c r="M1" s="444"/>
    </row>
    <row r="2" spans="1:13" ht="21.75" customHeight="1" x14ac:dyDescent="0.5">
      <c r="A2" s="586" t="s">
        <v>279</v>
      </c>
      <c r="B2" s="586"/>
      <c r="C2" s="586"/>
      <c r="D2" s="586"/>
      <c r="E2" s="586"/>
      <c r="F2" s="586"/>
      <c r="G2" s="586"/>
      <c r="H2" s="444"/>
      <c r="I2" s="444"/>
      <c r="J2" s="444"/>
      <c r="K2" s="444"/>
      <c r="L2" s="444"/>
      <c r="M2" s="444"/>
    </row>
    <row r="3" spans="1:13" ht="21.75" customHeight="1" x14ac:dyDescent="0.5">
      <c r="A3" s="587" t="str">
        <f>TEXT('Input-Instructions'!$B$6,"MMMM YYYY")</f>
        <v>September 2026</v>
      </c>
      <c r="B3" s="587"/>
      <c r="C3" s="587"/>
      <c r="D3" s="587"/>
      <c r="E3" s="587"/>
      <c r="F3" s="587"/>
      <c r="G3" s="587"/>
      <c r="H3" s="444"/>
      <c r="I3" s="444"/>
      <c r="J3" s="444"/>
      <c r="K3" s="444"/>
      <c r="L3" s="444"/>
      <c r="M3" s="444"/>
    </row>
    <row r="4" spans="1:13" ht="15" customHeight="1" x14ac:dyDescent="0.35">
      <c r="A4" s="588" t="str">
        <f>IFERROR(IF(A5="","",VLOOKUP(A5,'Mapped COA'!A:G,2,0)),IF(A5="","",VLOOKUP(A5,COA!A:G,2,0)))</f>
        <v>Operating Expenses - Accrued</v>
      </c>
      <c r="B4" s="588"/>
      <c r="C4" s="51"/>
      <c r="D4" s="51"/>
      <c r="E4" s="51"/>
      <c r="F4" s="51"/>
      <c r="G4" s="51"/>
    </row>
    <row r="5" spans="1:13" ht="14.5" x14ac:dyDescent="0.35">
      <c r="A5" s="423" t="s">
        <v>280</v>
      </c>
      <c r="B5" s="543"/>
      <c r="C5" s="52"/>
      <c r="D5" s="52"/>
      <c r="E5" s="52"/>
      <c r="F5" s="52"/>
      <c r="G5" s="52"/>
    </row>
    <row r="6" spans="1:13" x14ac:dyDescent="0.3">
      <c r="A6" s="51" t="s">
        <v>137</v>
      </c>
      <c r="B6" s="85" t="s">
        <v>107</v>
      </c>
      <c r="C6" s="53" t="s">
        <v>281</v>
      </c>
      <c r="D6" s="53" t="s">
        <v>282</v>
      </c>
      <c r="E6" s="53" t="s">
        <v>283</v>
      </c>
      <c r="F6" s="53" t="s">
        <v>28</v>
      </c>
      <c r="G6" s="53" t="s">
        <v>284</v>
      </c>
    </row>
    <row r="7" spans="1:13" x14ac:dyDescent="0.3">
      <c r="A7" s="544" t="s">
        <v>1410</v>
      </c>
      <c r="B7" s="545" t="s">
        <v>1691</v>
      </c>
      <c r="C7" s="495"/>
      <c r="D7" s="189"/>
      <c r="E7" s="190"/>
      <c r="F7" s="190" t="s">
        <v>1631</v>
      </c>
      <c r="G7" s="191">
        <v>352</v>
      </c>
      <c r="I7" s="54"/>
    </row>
    <row r="8" spans="1:13" ht="12.75" customHeight="1" x14ac:dyDescent="0.3">
      <c r="A8" s="544" t="s">
        <v>287</v>
      </c>
      <c r="B8" s="545" t="s">
        <v>1692</v>
      </c>
      <c r="C8" s="495"/>
      <c r="D8" s="189"/>
      <c r="E8" s="190"/>
      <c r="F8" s="190" t="s">
        <v>1632</v>
      </c>
      <c r="G8" s="191">
        <v>109.28</v>
      </c>
      <c r="I8" s="54"/>
    </row>
    <row r="9" spans="1:13" ht="12.75" customHeight="1" x14ac:dyDescent="0.3">
      <c r="A9" s="544" t="s">
        <v>294</v>
      </c>
      <c r="B9" s="545" t="s">
        <v>1693</v>
      </c>
      <c r="C9" s="495"/>
      <c r="D9" s="189"/>
      <c r="E9" s="190"/>
      <c r="F9" s="190" t="s">
        <v>1633</v>
      </c>
      <c r="G9" s="191">
        <v>175</v>
      </c>
      <c r="I9" s="54"/>
    </row>
    <row r="10" spans="1:13" x14ac:dyDescent="0.3">
      <c r="A10" s="544" t="s">
        <v>294</v>
      </c>
      <c r="B10" s="545" t="s">
        <v>1693</v>
      </c>
      <c r="C10" s="495"/>
      <c r="D10" s="189"/>
      <c r="E10" s="190"/>
      <c r="F10" s="190" t="s">
        <v>1634</v>
      </c>
      <c r="G10" s="191">
        <v>96.8</v>
      </c>
      <c r="I10" s="54"/>
    </row>
    <row r="11" spans="1:13" x14ac:dyDescent="0.3">
      <c r="A11" s="544" t="s">
        <v>116</v>
      </c>
      <c r="B11" s="545" t="s">
        <v>1694</v>
      </c>
      <c r="C11" s="495"/>
      <c r="D11" s="189"/>
      <c r="E11" s="190"/>
      <c r="F11" s="190" t="s">
        <v>1635</v>
      </c>
      <c r="G11" s="191">
        <v>1041.43</v>
      </c>
      <c r="I11" s="54"/>
    </row>
    <row r="12" spans="1:13" x14ac:dyDescent="0.3">
      <c r="A12" s="544" t="s">
        <v>116</v>
      </c>
      <c r="B12" s="545" t="s">
        <v>1694</v>
      </c>
      <c r="C12" s="495"/>
      <c r="D12" s="189"/>
      <c r="E12" s="190"/>
      <c r="F12" s="190" t="s">
        <v>1636</v>
      </c>
      <c r="G12" s="191">
        <v>5175</v>
      </c>
      <c r="I12" s="54"/>
    </row>
    <row r="13" spans="1:13" x14ac:dyDescent="0.3">
      <c r="A13" s="544" t="s">
        <v>1421</v>
      </c>
      <c r="B13" s="545" t="s">
        <v>1695</v>
      </c>
      <c r="C13" s="495"/>
      <c r="D13" s="189"/>
      <c r="E13" s="190"/>
      <c r="F13" s="190" t="s">
        <v>1637</v>
      </c>
      <c r="G13" s="191">
        <v>37.35</v>
      </c>
      <c r="I13" s="54"/>
      <c r="J13" s="54"/>
    </row>
    <row r="14" spans="1:13" x14ac:dyDescent="0.3">
      <c r="A14" s="544" t="s">
        <v>289</v>
      </c>
      <c r="B14" s="545" t="s">
        <v>1696</v>
      </c>
      <c r="C14" s="495"/>
      <c r="D14" s="189"/>
      <c r="E14" s="190"/>
      <c r="F14" s="190" t="s">
        <v>1638</v>
      </c>
      <c r="G14" s="191">
        <v>350</v>
      </c>
      <c r="I14" s="54"/>
      <c r="J14" s="54"/>
    </row>
    <row r="15" spans="1:13" x14ac:dyDescent="0.3">
      <c r="A15" s="544" t="s">
        <v>114</v>
      </c>
      <c r="B15" s="545" t="s">
        <v>291</v>
      </c>
      <c r="C15" s="495"/>
      <c r="D15" s="189"/>
      <c r="E15" s="190"/>
      <c r="F15" s="190" t="s">
        <v>1639</v>
      </c>
      <c r="G15" s="191">
        <v>123.96</v>
      </c>
      <c r="I15" s="54"/>
      <c r="J15" s="54"/>
    </row>
    <row r="16" spans="1:13" x14ac:dyDescent="0.3">
      <c r="A16" s="544" t="s">
        <v>114</v>
      </c>
      <c r="B16" s="545" t="s">
        <v>291</v>
      </c>
      <c r="C16" s="495"/>
      <c r="D16" s="189"/>
      <c r="E16" s="190"/>
      <c r="F16" s="190" t="s">
        <v>1640</v>
      </c>
      <c r="G16" s="191">
        <v>40</v>
      </c>
      <c r="I16" s="54"/>
      <c r="J16" s="54"/>
    </row>
    <row r="17" spans="1:10" x14ac:dyDescent="0.3">
      <c r="A17" s="544" t="s">
        <v>121</v>
      </c>
      <c r="B17" s="545" t="s">
        <v>1489</v>
      </c>
      <c r="C17" s="495"/>
      <c r="D17" s="189"/>
      <c r="E17" s="190"/>
      <c r="F17" s="190" t="s">
        <v>1641</v>
      </c>
      <c r="G17" s="191">
        <v>140</v>
      </c>
      <c r="I17" s="54"/>
      <c r="J17" s="54"/>
    </row>
    <row r="18" spans="1:10" x14ac:dyDescent="0.3">
      <c r="A18" s="544" t="s">
        <v>292</v>
      </c>
      <c r="B18" s="545" t="s">
        <v>1697</v>
      </c>
      <c r="C18" s="495"/>
      <c r="D18" s="189"/>
      <c r="E18" s="190"/>
      <c r="F18" s="190" t="s">
        <v>1642</v>
      </c>
      <c r="G18" s="191">
        <v>53.75</v>
      </c>
      <c r="I18" s="54"/>
      <c r="J18" s="54"/>
    </row>
    <row r="19" spans="1:10" x14ac:dyDescent="0.3">
      <c r="A19" s="544" t="s">
        <v>116</v>
      </c>
      <c r="B19" s="545" t="s">
        <v>1694</v>
      </c>
      <c r="C19" s="495"/>
      <c r="D19" s="189"/>
      <c r="E19" s="190"/>
      <c r="F19" s="190" t="s">
        <v>1643</v>
      </c>
      <c r="G19" s="191">
        <v>333.9</v>
      </c>
      <c r="I19" s="54"/>
      <c r="J19" s="54"/>
    </row>
    <row r="20" spans="1:10" x14ac:dyDescent="0.3">
      <c r="A20" s="544" t="s">
        <v>116</v>
      </c>
      <c r="B20" s="545" t="s">
        <v>1694</v>
      </c>
      <c r="C20" s="495"/>
      <c r="D20" s="189"/>
      <c r="E20" s="190"/>
      <c r="F20" s="190" t="s">
        <v>1644</v>
      </c>
      <c r="G20" s="191">
        <v>333.9</v>
      </c>
      <c r="I20" s="54"/>
      <c r="J20" s="54"/>
    </row>
    <row r="21" spans="1:10" x14ac:dyDescent="0.3">
      <c r="A21" s="544" t="s">
        <v>116</v>
      </c>
      <c r="B21" s="545" t="s">
        <v>1694</v>
      </c>
      <c r="C21" s="495"/>
      <c r="D21" s="189"/>
      <c r="E21" s="190"/>
      <c r="F21" s="190" t="s">
        <v>1645</v>
      </c>
      <c r="G21" s="191">
        <v>333.9</v>
      </c>
      <c r="I21" s="54"/>
      <c r="J21" s="54"/>
    </row>
    <row r="22" spans="1:10" x14ac:dyDescent="0.3">
      <c r="A22" s="544" t="s">
        <v>293</v>
      </c>
      <c r="B22" s="545" t="s">
        <v>1698</v>
      </c>
      <c r="C22" s="495"/>
      <c r="D22" s="189"/>
      <c r="E22" s="190"/>
      <c r="F22" s="190" t="s">
        <v>1646</v>
      </c>
      <c r="G22" s="191">
        <v>1024.5899999999999</v>
      </c>
      <c r="I22" s="54"/>
      <c r="J22" s="54"/>
    </row>
    <row r="23" spans="1:10" x14ac:dyDescent="0.3">
      <c r="A23" s="544" t="s">
        <v>1094</v>
      </c>
      <c r="B23" s="545" t="s">
        <v>1699</v>
      </c>
      <c r="C23" s="495"/>
      <c r="D23" s="189"/>
      <c r="E23" s="190"/>
      <c r="F23" s="190" t="s">
        <v>1647</v>
      </c>
      <c r="G23" s="191">
        <v>-272</v>
      </c>
      <c r="I23" s="54"/>
    </row>
    <row r="24" spans="1:10" x14ac:dyDescent="0.3">
      <c r="A24" s="544" t="s">
        <v>29</v>
      </c>
      <c r="B24" s="545" t="s">
        <v>976</v>
      </c>
      <c r="C24" s="495"/>
      <c r="D24" s="189"/>
      <c r="E24" s="190"/>
      <c r="F24" s="190" t="s">
        <v>1647</v>
      </c>
      <c r="G24" s="191">
        <v>272</v>
      </c>
      <c r="I24" s="54"/>
    </row>
    <row r="25" spans="1:10" x14ac:dyDescent="0.3">
      <c r="A25" s="544" t="s">
        <v>1094</v>
      </c>
      <c r="B25" s="545" t="s">
        <v>1699</v>
      </c>
      <c r="C25" s="495"/>
      <c r="D25" s="189"/>
      <c r="E25" s="190"/>
      <c r="F25" s="190" t="s">
        <v>1648</v>
      </c>
      <c r="G25" s="191">
        <v>-367</v>
      </c>
      <c r="H25" s="55"/>
      <c r="I25" s="54"/>
    </row>
    <row r="26" spans="1:10" x14ac:dyDescent="0.3">
      <c r="A26" s="544" t="s">
        <v>29</v>
      </c>
      <c r="B26" s="545" t="s">
        <v>976</v>
      </c>
      <c r="C26" s="495"/>
      <c r="D26" s="189"/>
      <c r="E26" s="190"/>
      <c r="F26" s="190" t="s">
        <v>1648</v>
      </c>
      <c r="G26" s="191">
        <v>367</v>
      </c>
      <c r="H26" s="55"/>
      <c r="I26" s="54"/>
    </row>
    <row r="27" spans="1:10" x14ac:dyDescent="0.3">
      <c r="A27" s="544" t="s">
        <v>295</v>
      </c>
      <c r="B27" s="545" t="s">
        <v>1700</v>
      </c>
      <c r="C27" s="495"/>
      <c r="D27" s="189"/>
      <c r="E27" s="190"/>
      <c r="F27" s="190" t="s">
        <v>1626</v>
      </c>
      <c r="G27" s="191">
        <v>2815.73</v>
      </c>
      <c r="H27" s="55"/>
      <c r="I27" s="54"/>
    </row>
    <row r="28" spans="1:10" x14ac:dyDescent="0.3">
      <c r="A28" s="544" t="s">
        <v>51</v>
      </c>
      <c r="B28" s="545" t="s">
        <v>296</v>
      </c>
      <c r="C28" s="495"/>
      <c r="D28" s="189"/>
      <c r="E28" s="190"/>
      <c r="F28" s="190" t="s">
        <v>1626</v>
      </c>
      <c r="G28" s="191">
        <v>-2815.73</v>
      </c>
      <c r="H28" s="55"/>
      <c r="I28" s="54"/>
    </row>
    <row r="29" spans="1:10" x14ac:dyDescent="0.3">
      <c r="A29" s="544" t="s">
        <v>295</v>
      </c>
      <c r="B29" s="545" t="s">
        <v>1700</v>
      </c>
      <c r="C29" s="495"/>
      <c r="D29" s="189"/>
      <c r="E29" s="190"/>
      <c r="F29" s="190" t="s">
        <v>1649</v>
      </c>
      <c r="G29" s="191">
        <v>2815.73</v>
      </c>
      <c r="H29" s="55"/>
      <c r="I29" s="54"/>
    </row>
    <row r="30" spans="1:10" x14ac:dyDescent="0.3">
      <c r="A30" s="544" t="s">
        <v>51</v>
      </c>
      <c r="B30" s="545" t="s">
        <v>296</v>
      </c>
      <c r="C30" s="495"/>
      <c r="D30" s="189"/>
      <c r="E30" s="190"/>
      <c r="F30" s="190" t="s">
        <v>1649</v>
      </c>
      <c r="G30" s="191">
        <v>-2815.73</v>
      </c>
      <c r="I30" s="54"/>
    </row>
    <row r="31" spans="1:10" x14ac:dyDescent="0.3">
      <c r="A31" s="544" t="s">
        <v>286</v>
      </c>
      <c r="B31" s="545" t="s">
        <v>1701</v>
      </c>
      <c r="C31" s="495"/>
      <c r="D31" s="189"/>
      <c r="E31" s="190"/>
      <c r="F31" s="190" t="s">
        <v>1650</v>
      </c>
      <c r="G31" s="191">
        <v>2449.59</v>
      </c>
      <c r="H31" s="55"/>
      <c r="I31" s="54"/>
    </row>
    <row r="32" spans="1:10" x14ac:dyDescent="0.3">
      <c r="A32" s="544" t="s">
        <v>286</v>
      </c>
      <c r="B32" s="545" t="s">
        <v>1701</v>
      </c>
      <c r="C32" s="495"/>
      <c r="D32" s="189"/>
      <c r="E32" s="190"/>
      <c r="F32" s="190" t="s">
        <v>1651</v>
      </c>
      <c r="G32" s="191">
        <v>2449.59</v>
      </c>
      <c r="H32" s="55"/>
      <c r="I32" s="54"/>
    </row>
    <row r="33" spans="1:8" x14ac:dyDescent="0.3">
      <c r="A33" s="544" t="s">
        <v>297</v>
      </c>
      <c r="B33" s="545" t="s">
        <v>1702</v>
      </c>
      <c r="C33" s="495"/>
      <c r="D33" s="189"/>
      <c r="E33" s="190"/>
      <c r="F33" s="190" t="s">
        <v>1652</v>
      </c>
      <c r="G33" s="191">
        <v>3987.5</v>
      </c>
    </row>
    <row r="34" spans="1:8" x14ac:dyDescent="0.3">
      <c r="A34" s="544" t="s">
        <v>116</v>
      </c>
      <c r="B34" s="545" t="s">
        <v>1694</v>
      </c>
      <c r="C34" s="495"/>
      <c r="D34" s="189"/>
      <c r="E34" s="190"/>
      <c r="F34" s="190" t="s">
        <v>1653</v>
      </c>
      <c r="G34" s="191">
        <v>5175</v>
      </c>
    </row>
    <row r="35" spans="1:8" x14ac:dyDescent="0.3">
      <c r="A35" s="544" t="s">
        <v>116</v>
      </c>
      <c r="B35" s="545" t="s">
        <v>1694</v>
      </c>
      <c r="C35" s="495"/>
      <c r="D35" s="189"/>
      <c r="E35" s="190"/>
      <c r="F35" s="190" t="s">
        <v>1654</v>
      </c>
      <c r="G35" s="191">
        <v>5175</v>
      </c>
      <c r="H35" s="55"/>
    </row>
    <row r="36" spans="1:8" x14ac:dyDescent="0.3">
      <c r="A36" s="544" t="s">
        <v>118</v>
      </c>
      <c r="B36" s="545" t="s">
        <v>1703</v>
      </c>
      <c r="C36" s="495"/>
      <c r="D36" s="189"/>
      <c r="E36" s="190"/>
      <c r="F36" s="190" t="s">
        <v>1655</v>
      </c>
      <c r="G36" s="191">
        <v>3962.1</v>
      </c>
      <c r="H36" s="55"/>
    </row>
    <row r="37" spans="1:8" x14ac:dyDescent="0.3">
      <c r="A37" s="544" t="s">
        <v>118</v>
      </c>
      <c r="B37" s="545" t="s">
        <v>1703</v>
      </c>
      <c r="C37" s="495"/>
      <c r="D37" s="189"/>
      <c r="E37" s="190"/>
      <c r="F37" s="190" t="s">
        <v>1656</v>
      </c>
      <c r="G37" s="191">
        <v>3962.1</v>
      </c>
      <c r="H37" s="55"/>
    </row>
    <row r="38" spans="1:8" x14ac:dyDescent="0.3">
      <c r="A38" s="544" t="s">
        <v>302</v>
      </c>
      <c r="B38" s="545" t="s">
        <v>1704</v>
      </c>
      <c r="C38" s="495"/>
      <c r="D38" s="189"/>
      <c r="E38" s="190"/>
      <c r="F38" s="190" t="s">
        <v>1657</v>
      </c>
      <c r="G38" s="191">
        <v>5493</v>
      </c>
      <c r="H38" s="55"/>
    </row>
    <row r="39" spans="1:8" x14ac:dyDescent="0.3">
      <c r="A39" s="544" t="s">
        <v>1515</v>
      </c>
      <c r="B39" s="545" t="s">
        <v>1705</v>
      </c>
      <c r="C39" s="495"/>
      <c r="D39" s="189"/>
      <c r="E39" s="190"/>
      <c r="F39" s="190" t="s">
        <v>1658</v>
      </c>
      <c r="G39" s="191">
        <v>100.73</v>
      </c>
      <c r="H39" s="55"/>
    </row>
    <row r="40" spans="1:8" x14ac:dyDescent="0.3">
      <c r="A40" s="544" t="s">
        <v>1294</v>
      </c>
      <c r="B40" s="545" t="s">
        <v>1706</v>
      </c>
      <c r="C40" s="495"/>
      <c r="D40" s="189"/>
      <c r="E40" s="190"/>
      <c r="F40" s="190" t="s">
        <v>1659</v>
      </c>
      <c r="G40" s="191">
        <v>364.65</v>
      </c>
    </row>
    <row r="41" spans="1:8" x14ac:dyDescent="0.3">
      <c r="A41" s="544" t="s">
        <v>1294</v>
      </c>
      <c r="B41" s="545" t="s">
        <v>1706</v>
      </c>
      <c r="C41" s="495"/>
      <c r="D41" s="189"/>
      <c r="E41" s="190"/>
      <c r="F41" s="190" t="s">
        <v>1660</v>
      </c>
      <c r="G41" s="191">
        <v>471.9</v>
      </c>
    </row>
    <row r="42" spans="1:8" x14ac:dyDescent="0.3">
      <c r="A42" s="544" t="s">
        <v>1296</v>
      </c>
      <c r="B42" s="545" t="s">
        <v>1707</v>
      </c>
      <c r="C42" s="495"/>
      <c r="D42" s="189"/>
      <c r="E42" s="190"/>
      <c r="F42" s="190" t="s">
        <v>1661</v>
      </c>
      <c r="G42" s="191">
        <v>198.41</v>
      </c>
    </row>
    <row r="43" spans="1:8" x14ac:dyDescent="0.3">
      <c r="A43" s="544" t="s">
        <v>1296</v>
      </c>
      <c r="B43" s="545" t="s">
        <v>1707</v>
      </c>
      <c r="C43" s="495"/>
      <c r="D43" s="189"/>
      <c r="E43" s="190"/>
      <c r="F43" s="190" t="s">
        <v>1662</v>
      </c>
      <c r="G43" s="191">
        <v>198.41</v>
      </c>
    </row>
    <row r="44" spans="1:8" x14ac:dyDescent="0.3">
      <c r="A44" s="544" t="s">
        <v>848</v>
      </c>
      <c r="B44" s="545" t="s">
        <v>849</v>
      </c>
      <c r="C44" s="495"/>
      <c r="D44" s="189"/>
      <c r="E44" s="190"/>
      <c r="F44" s="190" t="s">
        <v>1663</v>
      </c>
      <c r="G44" s="191">
        <v>198.41</v>
      </c>
    </row>
    <row r="45" spans="1:8" x14ac:dyDescent="0.3">
      <c r="A45" s="544" t="s">
        <v>303</v>
      </c>
      <c r="B45" s="545" t="s">
        <v>1034</v>
      </c>
      <c r="C45" s="495"/>
      <c r="D45" s="189"/>
      <c r="E45" s="190"/>
      <c r="F45" s="190" t="s">
        <v>1663</v>
      </c>
      <c r="G45" s="191">
        <v>-198.41</v>
      </c>
    </row>
    <row r="46" spans="1:8" x14ac:dyDescent="0.3">
      <c r="A46" s="544" t="s">
        <v>848</v>
      </c>
      <c r="B46" s="545" t="s">
        <v>849</v>
      </c>
      <c r="C46" s="495"/>
      <c r="D46" s="189"/>
      <c r="E46" s="190"/>
      <c r="F46" s="191" t="s">
        <v>1664</v>
      </c>
      <c r="G46" s="191">
        <v>2986.26</v>
      </c>
    </row>
    <row r="47" spans="1:8" x14ac:dyDescent="0.3">
      <c r="A47" s="544" t="s">
        <v>303</v>
      </c>
      <c r="B47" s="545" t="s">
        <v>1034</v>
      </c>
      <c r="C47" s="495"/>
      <c r="D47" s="189"/>
      <c r="E47" s="190"/>
      <c r="F47" s="190" t="s">
        <v>1664</v>
      </c>
      <c r="G47" s="191">
        <v>-2986.26</v>
      </c>
    </row>
    <row r="48" spans="1:8" x14ac:dyDescent="0.3">
      <c r="A48" s="544" t="s">
        <v>292</v>
      </c>
      <c r="B48" s="545" t="s">
        <v>1697</v>
      </c>
      <c r="C48" s="495"/>
      <c r="D48" s="189"/>
      <c r="E48" s="190"/>
      <c r="F48" s="190" t="s">
        <v>1665</v>
      </c>
      <c r="G48" s="191">
        <v>37.28</v>
      </c>
    </row>
    <row r="49" spans="1:7" x14ac:dyDescent="0.3">
      <c r="A49" s="544" t="s">
        <v>287</v>
      </c>
      <c r="B49" s="545" t="s">
        <v>1692</v>
      </c>
      <c r="C49" s="495"/>
      <c r="D49" s="189"/>
      <c r="E49" s="190"/>
      <c r="F49" s="190" t="s">
        <v>1666</v>
      </c>
      <c r="G49" s="191">
        <v>33.409999999999997</v>
      </c>
    </row>
    <row r="50" spans="1:7" x14ac:dyDescent="0.3">
      <c r="A50" s="544" t="s">
        <v>287</v>
      </c>
      <c r="B50" s="545" t="s">
        <v>1692</v>
      </c>
      <c r="C50" s="495"/>
      <c r="D50" s="189"/>
      <c r="E50" s="190"/>
      <c r="F50" s="190" t="s">
        <v>1667</v>
      </c>
      <c r="G50" s="191">
        <v>73.19</v>
      </c>
    </row>
    <row r="51" spans="1:7" x14ac:dyDescent="0.3">
      <c r="A51" s="544" t="s">
        <v>292</v>
      </c>
      <c r="B51" s="545" t="s">
        <v>1697</v>
      </c>
      <c r="C51" s="495"/>
      <c r="D51" s="189"/>
      <c r="E51" s="190"/>
      <c r="F51" s="190" t="s">
        <v>1668</v>
      </c>
      <c r="G51" s="191">
        <v>7.33</v>
      </c>
    </row>
    <row r="52" spans="1:7" x14ac:dyDescent="0.3">
      <c r="A52" s="544" t="s">
        <v>1318</v>
      </c>
      <c r="B52" s="545" t="s">
        <v>1708</v>
      </c>
      <c r="C52" s="495"/>
      <c r="D52" s="189"/>
      <c r="E52" s="190"/>
      <c r="F52" s="190" t="s">
        <v>1669</v>
      </c>
      <c r="G52" s="191">
        <v>16.809999999999999</v>
      </c>
    </row>
    <row r="53" spans="1:7" x14ac:dyDescent="0.3">
      <c r="A53" s="544" t="s">
        <v>287</v>
      </c>
      <c r="B53" s="545" t="s">
        <v>1692</v>
      </c>
      <c r="C53" s="495"/>
      <c r="D53" s="189"/>
      <c r="E53" s="190"/>
      <c r="F53" s="190" t="s">
        <v>1670</v>
      </c>
      <c r="G53" s="191">
        <v>21.44</v>
      </c>
    </row>
    <row r="54" spans="1:7" x14ac:dyDescent="0.3">
      <c r="A54" s="544" t="s">
        <v>1247</v>
      </c>
      <c r="B54" s="545" t="s">
        <v>1709</v>
      </c>
      <c r="C54" s="495"/>
      <c r="D54" s="189"/>
      <c r="E54" s="190"/>
      <c r="F54" s="190" t="s">
        <v>1671</v>
      </c>
      <c r="G54" s="191">
        <v>111.54</v>
      </c>
    </row>
    <row r="55" spans="1:7" x14ac:dyDescent="0.3">
      <c r="A55" s="544" t="s">
        <v>286</v>
      </c>
      <c r="B55" s="545" t="s">
        <v>1701</v>
      </c>
      <c r="C55" s="495"/>
      <c r="D55" s="189"/>
      <c r="E55" s="190"/>
      <c r="F55" s="190" t="s">
        <v>1672</v>
      </c>
      <c r="G55" s="191">
        <v>2941.5</v>
      </c>
    </row>
    <row r="56" spans="1:7" x14ac:dyDescent="0.3">
      <c r="A56" s="544" t="s">
        <v>114</v>
      </c>
      <c r="B56" s="545" t="s">
        <v>291</v>
      </c>
      <c r="C56" s="495"/>
      <c r="D56" s="189"/>
      <c r="E56" s="190"/>
      <c r="F56" s="190" t="s">
        <v>1673</v>
      </c>
      <c r="G56" s="191">
        <v>355.53</v>
      </c>
    </row>
    <row r="57" spans="1:7" x14ac:dyDescent="0.3">
      <c r="A57" s="544" t="s">
        <v>301</v>
      </c>
      <c r="B57" s="545" t="s">
        <v>1710</v>
      </c>
      <c r="C57" s="495"/>
      <c r="D57" s="189"/>
      <c r="E57" s="190"/>
      <c r="F57" s="190" t="s">
        <v>1674</v>
      </c>
      <c r="G57" s="191">
        <v>475</v>
      </c>
    </row>
    <row r="58" spans="1:7" x14ac:dyDescent="0.3">
      <c r="A58" s="544" t="s">
        <v>301</v>
      </c>
      <c r="B58" s="545" t="s">
        <v>1710</v>
      </c>
      <c r="C58" s="495"/>
      <c r="D58" s="189"/>
      <c r="E58" s="190"/>
      <c r="F58" s="190" t="s">
        <v>1674</v>
      </c>
      <c r="G58" s="191">
        <v>555</v>
      </c>
    </row>
    <row r="59" spans="1:7" x14ac:dyDescent="0.3">
      <c r="A59" s="544" t="s">
        <v>301</v>
      </c>
      <c r="B59" s="545" t="s">
        <v>1710</v>
      </c>
      <c r="C59" s="495"/>
      <c r="D59" s="189"/>
      <c r="E59" s="190"/>
      <c r="F59" s="190" t="s">
        <v>1674</v>
      </c>
      <c r="G59" s="191">
        <v>80</v>
      </c>
    </row>
    <row r="60" spans="1:7" x14ac:dyDescent="0.3">
      <c r="A60" s="544" t="s">
        <v>301</v>
      </c>
      <c r="B60" s="545" t="s">
        <v>1710</v>
      </c>
      <c r="C60" s="495"/>
      <c r="D60" s="189"/>
      <c r="E60" s="190"/>
      <c r="F60" s="190" t="s">
        <v>1674</v>
      </c>
      <c r="G60" s="191">
        <v>555</v>
      </c>
    </row>
    <row r="61" spans="1:7" x14ac:dyDescent="0.3">
      <c r="A61" s="544" t="s">
        <v>301</v>
      </c>
      <c r="B61" s="545" t="s">
        <v>1710</v>
      </c>
      <c r="C61" s="495"/>
      <c r="D61" s="189"/>
      <c r="E61" s="190"/>
      <c r="F61" s="190" t="s">
        <v>1674</v>
      </c>
      <c r="G61" s="191">
        <v>655</v>
      </c>
    </row>
    <row r="62" spans="1:7" x14ac:dyDescent="0.3">
      <c r="A62" s="544" t="s">
        <v>301</v>
      </c>
      <c r="B62" s="545" t="s">
        <v>1710</v>
      </c>
      <c r="C62" s="495"/>
      <c r="D62" s="189"/>
      <c r="E62" s="190"/>
      <c r="F62" s="190" t="s">
        <v>1674</v>
      </c>
      <c r="G62" s="191">
        <v>590</v>
      </c>
    </row>
    <row r="63" spans="1:7" x14ac:dyDescent="0.3">
      <c r="A63" s="544" t="s">
        <v>301</v>
      </c>
      <c r="B63" s="545" t="s">
        <v>1710</v>
      </c>
      <c r="C63" s="495"/>
      <c r="D63" s="189"/>
      <c r="E63" s="190"/>
      <c r="F63" s="190" t="s">
        <v>1674</v>
      </c>
      <c r="G63" s="191">
        <v>635</v>
      </c>
    </row>
    <row r="64" spans="1:7" x14ac:dyDescent="0.3">
      <c r="A64" s="544" t="s">
        <v>301</v>
      </c>
      <c r="B64" s="545" t="s">
        <v>1710</v>
      </c>
      <c r="C64" s="495"/>
      <c r="D64" s="189"/>
      <c r="E64" s="190"/>
      <c r="F64" s="190" t="s">
        <v>1674</v>
      </c>
      <c r="G64" s="191">
        <v>650</v>
      </c>
    </row>
    <row r="65" spans="1:7" x14ac:dyDescent="0.3">
      <c r="A65" s="544" t="s">
        <v>116</v>
      </c>
      <c r="B65" s="545" t="s">
        <v>1694</v>
      </c>
      <c r="C65" s="495"/>
      <c r="D65" s="189"/>
      <c r="E65" s="190"/>
      <c r="F65" s="190" t="s">
        <v>1675</v>
      </c>
      <c r="G65" s="191">
        <v>1163.24</v>
      </c>
    </row>
    <row r="66" spans="1:7" x14ac:dyDescent="0.3">
      <c r="A66" s="544" t="s">
        <v>1296</v>
      </c>
      <c r="B66" s="545" t="s">
        <v>1707</v>
      </c>
      <c r="C66" s="495"/>
      <c r="D66" s="189"/>
      <c r="E66" s="190"/>
      <c r="F66" s="190" t="s">
        <v>1676</v>
      </c>
      <c r="G66" s="191">
        <v>252.28</v>
      </c>
    </row>
    <row r="67" spans="1:7" x14ac:dyDescent="0.3">
      <c r="A67" s="544" t="s">
        <v>1259</v>
      </c>
      <c r="B67" s="545" t="s">
        <v>1711</v>
      </c>
      <c r="C67" s="495"/>
      <c r="D67" s="189"/>
      <c r="E67" s="190"/>
      <c r="F67" s="190" t="s">
        <v>1677</v>
      </c>
      <c r="G67" s="191">
        <v>105.38</v>
      </c>
    </row>
    <row r="68" spans="1:7" x14ac:dyDescent="0.3">
      <c r="A68" s="544" t="s">
        <v>1336</v>
      </c>
      <c r="B68" s="545" t="s">
        <v>1726</v>
      </c>
      <c r="C68" s="495"/>
      <c r="D68" s="189"/>
      <c r="E68" s="190"/>
      <c r="F68" s="190" t="s">
        <v>1728</v>
      </c>
      <c r="G68" s="191">
        <v>427</v>
      </c>
    </row>
    <row r="69" spans="1:7" x14ac:dyDescent="0.3">
      <c r="A69" s="544" t="s">
        <v>286</v>
      </c>
      <c r="B69" s="545" t="s">
        <v>1701</v>
      </c>
      <c r="C69" s="495"/>
      <c r="D69" s="189"/>
      <c r="E69" s="190"/>
      <c r="F69" s="190" t="s">
        <v>1729</v>
      </c>
      <c r="G69" s="191">
        <v>-2941.5</v>
      </c>
    </row>
    <row r="70" spans="1:7" x14ac:dyDescent="0.3">
      <c r="A70" s="544" t="s">
        <v>116</v>
      </c>
      <c r="B70" s="545" t="s">
        <v>1694</v>
      </c>
      <c r="C70" s="495"/>
      <c r="D70" s="189"/>
      <c r="E70" s="190"/>
      <c r="F70" s="190" t="s">
        <v>1730</v>
      </c>
      <c r="G70" s="191">
        <v>40.11</v>
      </c>
    </row>
    <row r="71" spans="1:7" x14ac:dyDescent="0.3">
      <c r="A71" s="544" t="s">
        <v>288</v>
      </c>
      <c r="B71" s="545" t="s">
        <v>1727</v>
      </c>
      <c r="C71" s="495"/>
      <c r="D71" s="189"/>
      <c r="E71" s="190"/>
      <c r="F71" s="190" t="s">
        <v>1731</v>
      </c>
      <c r="G71" s="191">
        <v>340</v>
      </c>
    </row>
    <row r="72" spans="1:7" x14ac:dyDescent="0.3">
      <c r="A72" s="544" t="s">
        <v>288</v>
      </c>
      <c r="B72" s="545" t="s">
        <v>1727</v>
      </c>
      <c r="C72" s="495"/>
      <c r="D72" s="189"/>
      <c r="E72" s="190"/>
      <c r="F72" s="190" t="s">
        <v>1732</v>
      </c>
      <c r="G72" s="191">
        <v>340</v>
      </c>
    </row>
    <row r="73" spans="1:7" x14ac:dyDescent="0.3">
      <c r="A73" s="544" t="s">
        <v>288</v>
      </c>
      <c r="B73" s="545" t="s">
        <v>1727</v>
      </c>
      <c r="C73" s="495"/>
      <c r="D73" s="189"/>
      <c r="E73" s="190"/>
      <c r="F73" s="190" t="s">
        <v>1733</v>
      </c>
      <c r="G73" s="191">
        <v>340</v>
      </c>
    </row>
    <row r="74" spans="1:7" x14ac:dyDescent="0.3">
      <c r="A74" s="544" t="s">
        <v>288</v>
      </c>
      <c r="B74" s="545" t="s">
        <v>1727</v>
      </c>
      <c r="C74" s="495"/>
      <c r="D74" s="189"/>
      <c r="E74" s="190"/>
      <c r="F74" s="190" t="s">
        <v>1734</v>
      </c>
      <c r="G74" s="191">
        <v>341</v>
      </c>
    </row>
    <row r="75" spans="1:7" x14ac:dyDescent="0.3">
      <c r="A75" s="544" t="s">
        <v>116</v>
      </c>
      <c r="B75" s="545" t="s">
        <v>1694</v>
      </c>
      <c r="C75" s="495"/>
      <c r="D75" s="189"/>
      <c r="E75" s="190"/>
      <c r="F75" s="190" t="s">
        <v>1735</v>
      </c>
      <c r="G75" s="191">
        <v>-333.9</v>
      </c>
    </row>
    <row r="76" spans="1:7" x14ac:dyDescent="0.3">
      <c r="A76" s="544" t="s">
        <v>116</v>
      </c>
      <c r="B76" s="545" t="s">
        <v>1694</v>
      </c>
      <c r="C76" s="495"/>
      <c r="D76" s="189"/>
      <c r="E76" s="190"/>
      <c r="F76" s="190" t="s">
        <v>1736</v>
      </c>
      <c r="G76" s="191">
        <v>-333.9</v>
      </c>
    </row>
    <row r="77" spans="1:7" x14ac:dyDescent="0.3">
      <c r="A77" s="544" t="s">
        <v>116</v>
      </c>
      <c r="B77" s="545" t="s">
        <v>1694</v>
      </c>
      <c r="C77" s="495"/>
      <c r="D77" s="189"/>
      <c r="E77" s="190"/>
      <c r="F77" s="190" t="s">
        <v>1737</v>
      </c>
      <c r="G77" s="191">
        <v>-333.9</v>
      </c>
    </row>
    <row r="78" spans="1:7" x14ac:dyDescent="0.3">
      <c r="A78" s="544" t="s">
        <v>1318</v>
      </c>
      <c r="B78" s="545" t="s">
        <v>1708</v>
      </c>
      <c r="C78" s="495"/>
      <c r="D78" s="189"/>
      <c r="E78" s="190"/>
      <c r="F78" s="190" t="s">
        <v>1678</v>
      </c>
      <c r="G78" s="191">
        <v>229.69</v>
      </c>
    </row>
    <row r="79" spans="1:7" x14ac:dyDescent="0.3">
      <c r="A79" s="544" t="s">
        <v>1257</v>
      </c>
      <c r="B79" s="545" t="s">
        <v>1712</v>
      </c>
      <c r="C79" s="495"/>
      <c r="D79" s="189"/>
      <c r="E79" s="190"/>
      <c r="F79" s="190" t="s">
        <v>1679</v>
      </c>
      <c r="G79" s="191">
        <v>182.25</v>
      </c>
    </row>
    <row r="80" spans="1:7" x14ac:dyDescent="0.3">
      <c r="A80" s="544" t="s">
        <v>1249</v>
      </c>
      <c r="B80" s="545" t="s">
        <v>1713</v>
      </c>
      <c r="C80" s="495"/>
      <c r="D80" s="189"/>
      <c r="E80" s="190"/>
      <c r="F80" s="190" t="s">
        <v>1680</v>
      </c>
      <c r="G80" s="191">
        <v>131.96</v>
      </c>
    </row>
    <row r="81" spans="1:9" x14ac:dyDescent="0.3">
      <c r="A81" s="544" t="s">
        <v>1251</v>
      </c>
      <c r="B81" s="545" t="s">
        <v>1714</v>
      </c>
      <c r="C81" s="495"/>
      <c r="D81" s="189"/>
      <c r="E81" s="190"/>
      <c r="F81" s="190" t="s">
        <v>1681</v>
      </c>
      <c r="G81" s="191">
        <v>101.35</v>
      </c>
    </row>
    <row r="82" spans="1:9" x14ac:dyDescent="0.3">
      <c r="A82" s="544" t="s">
        <v>1144</v>
      </c>
      <c r="B82" s="545" t="s">
        <v>1715</v>
      </c>
      <c r="C82" s="495"/>
      <c r="D82" s="189"/>
      <c r="E82" s="190"/>
      <c r="F82" s="190" t="s">
        <v>1623</v>
      </c>
      <c r="G82" s="191">
        <v>-2490.5</v>
      </c>
    </row>
    <row r="83" spans="1:9" x14ac:dyDescent="0.3">
      <c r="A83" s="544" t="s">
        <v>26</v>
      </c>
      <c r="B83" s="545" t="s">
        <v>975</v>
      </c>
      <c r="C83" s="495"/>
      <c r="D83" s="189"/>
      <c r="E83" s="190"/>
      <c r="F83" s="190" t="s">
        <v>1623</v>
      </c>
      <c r="G83" s="191">
        <v>2490.5</v>
      </c>
    </row>
    <row r="84" spans="1:9" x14ac:dyDescent="0.3">
      <c r="A84" s="544" t="s">
        <v>1152</v>
      </c>
      <c r="B84" s="545" t="s">
        <v>1716</v>
      </c>
      <c r="C84" s="495"/>
      <c r="D84" s="189"/>
      <c r="E84" s="190"/>
      <c r="F84" s="190" t="s">
        <v>1624</v>
      </c>
      <c r="G84" s="191">
        <v>-31216.55</v>
      </c>
    </row>
    <row r="85" spans="1:9" x14ac:dyDescent="0.3">
      <c r="A85" s="544" t="s">
        <v>26</v>
      </c>
      <c r="B85" s="545" t="s">
        <v>975</v>
      </c>
      <c r="C85" s="495"/>
      <c r="D85" s="189"/>
      <c r="E85" s="190"/>
      <c r="F85" s="190" t="s">
        <v>1624</v>
      </c>
      <c r="G85" s="191">
        <v>31216.55</v>
      </c>
    </row>
    <row r="86" spans="1:9" x14ac:dyDescent="0.3">
      <c r="A86" s="544" t="s">
        <v>1361</v>
      </c>
      <c r="B86" s="545" t="s">
        <v>1717</v>
      </c>
      <c r="C86" s="495"/>
      <c r="D86" s="189"/>
      <c r="E86" s="190"/>
      <c r="F86" s="190" t="s">
        <v>1682</v>
      </c>
      <c r="G86" s="191">
        <v>28283.279999999999</v>
      </c>
    </row>
    <row r="87" spans="1:9" x14ac:dyDescent="0.3">
      <c r="A87" s="544" t="s">
        <v>1354</v>
      </c>
      <c r="B87" s="545" t="s">
        <v>1718</v>
      </c>
      <c r="C87" s="495"/>
      <c r="D87" s="189"/>
      <c r="E87" s="190"/>
      <c r="F87" s="190" t="s">
        <v>1683</v>
      </c>
      <c r="G87" s="191">
        <v>11463.64</v>
      </c>
    </row>
    <row r="88" spans="1:9" x14ac:dyDescent="0.3">
      <c r="A88" s="544" t="s">
        <v>1373</v>
      </c>
      <c r="B88" s="545" t="s">
        <v>1719</v>
      </c>
      <c r="C88" s="495"/>
      <c r="D88" s="189"/>
      <c r="E88" s="190"/>
      <c r="F88" s="190" t="s">
        <v>1684</v>
      </c>
      <c r="G88" s="191">
        <v>1582.83</v>
      </c>
    </row>
    <row r="89" spans="1:9" x14ac:dyDescent="0.3">
      <c r="A89" s="544" t="s">
        <v>1421</v>
      </c>
      <c r="B89" s="545" t="s">
        <v>1695</v>
      </c>
      <c r="C89" s="495"/>
      <c r="D89" s="189"/>
      <c r="E89" s="190"/>
      <c r="F89" s="190" t="s">
        <v>1685</v>
      </c>
      <c r="G89" s="191">
        <v>341.64</v>
      </c>
    </row>
    <row r="90" spans="1:9" x14ac:dyDescent="0.3">
      <c r="A90" s="544" t="s">
        <v>1424</v>
      </c>
      <c r="B90" s="545" t="s">
        <v>1720</v>
      </c>
      <c r="C90" s="495"/>
      <c r="D90" s="189"/>
      <c r="E90" s="190"/>
      <c r="F90" s="190" t="s">
        <v>1686</v>
      </c>
      <c r="G90" s="191">
        <v>1188.07</v>
      </c>
    </row>
    <row r="91" spans="1:9" x14ac:dyDescent="0.3">
      <c r="A91" s="544" t="s">
        <v>1424</v>
      </c>
      <c r="B91" s="545" t="s">
        <v>1720</v>
      </c>
      <c r="C91" s="495"/>
      <c r="D91" s="189"/>
      <c r="E91" s="190"/>
      <c r="F91" s="190" t="s">
        <v>1687</v>
      </c>
      <c r="G91" s="191">
        <v>1503.55</v>
      </c>
    </row>
    <row r="92" spans="1:9" ht="13.5" thickBot="1" x14ac:dyDescent="0.35">
      <c r="C92" s="481"/>
      <c r="D92" s="56"/>
      <c r="E92" s="56"/>
      <c r="F92" s="57"/>
      <c r="G92" s="57"/>
    </row>
    <row r="93" spans="1:9" x14ac:dyDescent="0.3">
      <c r="D93" s="58"/>
      <c r="E93" s="58"/>
      <c r="F93" s="85" t="str">
        <f>CONCATENATE("Total Calculated ",A4,":")</f>
        <v>Total Calculated Operating Expenses - Accrued:</v>
      </c>
      <c r="G93" s="59">
        <f>SUM(G7:G91)</f>
        <v>95915.940000000017</v>
      </c>
      <c r="H93" s="530"/>
    </row>
    <row r="94" spans="1:9" x14ac:dyDescent="0.3">
      <c r="D94" s="58"/>
      <c r="E94" s="58"/>
      <c r="F94" s="85"/>
      <c r="G94" s="59"/>
      <c r="I94" s="530"/>
    </row>
    <row r="95" spans="1:9" ht="14.5" x14ac:dyDescent="0.35">
      <c r="A95" s="588" t="str">
        <f>IFERROR(IF(A96="","",VLOOKUP(A96,'Mapped COA'!A:G,2,0)),IF(A96="","",VLOOKUP(A96,COA!A:G,2,0)))</f>
        <v>Capital Improvements- Accrued</v>
      </c>
      <c r="B95" s="588"/>
      <c r="C95" s="51"/>
      <c r="D95" s="51"/>
      <c r="E95" s="51"/>
      <c r="F95" s="51"/>
      <c r="G95" s="51"/>
    </row>
    <row r="96" spans="1:9" ht="14.5" x14ac:dyDescent="0.35">
      <c r="A96" s="423" t="s">
        <v>303</v>
      </c>
      <c r="B96" s="543"/>
      <c r="C96" s="52"/>
      <c r="D96" s="52"/>
      <c r="E96" s="52"/>
      <c r="F96" s="52"/>
      <c r="G96" s="52"/>
    </row>
    <row r="97" spans="1:7" x14ac:dyDescent="0.3">
      <c r="A97" s="53" t="s">
        <v>137</v>
      </c>
      <c r="B97" s="547" t="s">
        <v>107</v>
      </c>
      <c r="C97" s="53" t="s">
        <v>281</v>
      </c>
      <c r="D97" s="53" t="s">
        <v>282</v>
      </c>
      <c r="E97" s="53" t="s">
        <v>283</v>
      </c>
      <c r="F97" s="53" t="s">
        <v>28</v>
      </c>
      <c r="G97" s="53" t="s">
        <v>284</v>
      </c>
    </row>
    <row r="98" spans="1:7" x14ac:dyDescent="0.3">
      <c r="A98" s="542" t="s">
        <v>848</v>
      </c>
      <c r="B98" s="188" t="s">
        <v>1721</v>
      </c>
      <c r="C98" s="495"/>
      <c r="D98" s="189"/>
      <c r="E98" s="190"/>
      <c r="F98" s="190" t="s">
        <v>1688</v>
      </c>
      <c r="G98" s="191">
        <v>2986.26</v>
      </c>
    </row>
    <row r="99" spans="1:7" x14ac:dyDescent="0.3">
      <c r="A99" s="192" t="s">
        <v>848</v>
      </c>
      <c r="B99" s="188" t="s">
        <v>849</v>
      </c>
      <c r="C99" s="495"/>
      <c r="D99" s="189"/>
      <c r="E99" s="190"/>
      <c r="F99" s="190" t="s">
        <v>1689</v>
      </c>
      <c r="G99" s="191">
        <v>198.41</v>
      </c>
    </row>
    <row r="100" spans="1:7" x14ac:dyDescent="0.3">
      <c r="A100" s="192" t="s">
        <v>824</v>
      </c>
      <c r="B100" s="188" t="s">
        <v>825</v>
      </c>
      <c r="C100" s="495"/>
      <c r="D100" s="189"/>
      <c r="E100" s="190"/>
      <c r="F100" s="190" t="s">
        <v>1690</v>
      </c>
      <c r="G100" s="191">
        <v>8550</v>
      </c>
    </row>
    <row r="101" spans="1:7" x14ac:dyDescent="0.3">
      <c r="A101" s="192"/>
      <c r="B101" s="188"/>
      <c r="C101" s="495"/>
      <c r="D101" s="189"/>
      <c r="E101" s="190"/>
      <c r="F101" s="190"/>
      <c r="G101" s="191"/>
    </row>
    <row r="102" spans="1:7" x14ac:dyDescent="0.3">
      <c r="A102" s="542"/>
      <c r="C102" s="495"/>
      <c r="D102" s="189"/>
      <c r="E102" s="190"/>
      <c r="F102" s="190"/>
      <c r="G102" s="191"/>
    </row>
    <row r="103" spans="1:7" hidden="1" x14ac:dyDescent="0.3">
      <c r="A103" s="187"/>
      <c r="B103" s="188" t="str">
        <f>IFERROR(IF(A103="","",VLOOKUP(A103,'Mapped COA'!A:G,2,0)),IF(A103="","",VLOOKUP(A103,COA!A:G,2,0)))</f>
        <v/>
      </c>
      <c r="C103" s="495"/>
      <c r="D103" s="189"/>
      <c r="E103" s="190"/>
      <c r="F103" s="190"/>
      <c r="G103" s="191"/>
    </row>
    <row r="104" spans="1:7" ht="12.75" hidden="1" customHeight="1" x14ac:dyDescent="0.3">
      <c r="A104" s="187"/>
      <c r="B104" s="188" t="str">
        <f>IFERROR(IF(A104="","",VLOOKUP(A104,'Mapped COA'!A:G,2,0)),IF(A104="","",VLOOKUP(A104,COA!A:G,2,0)))</f>
        <v/>
      </c>
      <c r="C104" s="495"/>
      <c r="D104" s="189"/>
      <c r="E104" s="190"/>
      <c r="F104" s="190"/>
      <c r="G104" s="191"/>
    </row>
    <row r="105" spans="1:7" ht="12.75" hidden="1" customHeight="1" x14ac:dyDescent="0.3">
      <c r="A105" s="187"/>
      <c r="B105" s="188" t="str">
        <f>IFERROR(IF(A105="","",VLOOKUP(A105,'Mapped COA'!A:G,2,0)),IF(A105="","",VLOOKUP(A105,COA!A:G,2,0)))</f>
        <v/>
      </c>
      <c r="C105" s="495"/>
      <c r="D105" s="189"/>
      <c r="E105" s="190"/>
      <c r="F105" s="190"/>
      <c r="G105" s="191"/>
    </row>
    <row r="106" spans="1:7" ht="12.75" hidden="1" customHeight="1" x14ac:dyDescent="0.3">
      <c r="A106" s="187"/>
      <c r="B106" s="188" t="str">
        <f>IFERROR(IF(A106="","",VLOOKUP(A106,'Mapped COA'!A:G,2,0)),IF(A106="","",VLOOKUP(A106,COA!A:G,2,0)))</f>
        <v/>
      </c>
      <c r="C106" s="495"/>
      <c r="D106" s="189"/>
      <c r="E106" s="190"/>
      <c r="F106" s="190"/>
      <c r="G106" s="191"/>
    </row>
    <row r="107" spans="1:7" ht="12.75" hidden="1" customHeight="1" x14ac:dyDescent="0.3">
      <c r="A107" s="187"/>
      <c r="B107" s="188" t="str">
        <f>IFERROR(IF(A107="","",VLOOKUP(A107,'Mapped COA'!A:G,2,0)),IF(A107="","",VLOOKUP(A107,COA!A:G,2,0)))</f>
        <v/>
      </c>
      <c r="C107" s="495"/>
      <c r="D107" s="189"/>
      <c r="E107" s="190"/>
      <c r="F107" s="190"/>
      <c r="G107" s="191"/>
    </row>
    <row r="108" spans="1:7" ht="12.75" hidden="1" customHeight="1" x14ac:dyDescent="0.3">
      <c r="A108" s="187"/>
      <c r="B108" s="188" t="str">
        <f>IFERROR(IF(A108="","",VLOOKUP(A108,'Mapped COA'!A:G,2,0)),IF(A108="","",VLOOKUP(A108,COA!A:G,2,0)))</f>
        <v/>
      </c>
      <c r="C108" s="495"/>
      <c r="D108" s="189"/>
      <c r="E108" s="190"/>
      <c r="F108" s="190"/>
      <c r="G108" s="191"/>
    </row>
    <row r="109" spans="1:7" ht="12.75" hidden="1" customHeight="1" x14ac:dyDescent="0.3">
      <c r="A109" s="187"/>
      <c r="B109" s="188" t="str">
        <f>IFERROR(IF(A109="","",VLOOKUP(A109,'Mapped COA'!A:G,2,0)),IF(A109="","",VLOOKUP(A109,COA!A:G,2,0)))</f>
        <v/>
      </c>
      <c r="C109" s="495"/>
      <c r="D109" s="189"/>
      <c r="E109" s="190"/>
      <c r="F109" s="190"/>
      <c r="G109" s="191"/>
    </row>
    <row r="110" spans="1:7" ht="12.75" hidden="1" customHeight="1" x14ac:dyDescent="0.3">
      <c r="A110" s="187"/>
      <c r="B110" s="188" t="str">
        <f>IFERROR(IF(A110="","",VLOOKUP(A110,'Mapped COA'!A:G,2,0)),IF(A110="","",VLOOKUP(A110,COA!A:G,2,0)))</f>
        <v/>
      </c>
      <c r="C110" s="495"/>
      <c r="D110" s="189"/>
      <c r="E110" s="190"/>
      <c r="F110" s="190"/>
      <c r="G110" s="191"/>
    </row>
    <row r="111" spans="1:7" ht="12.75" hidden="1" customHeight="1" x14ac:dyDescent="0.3">
      <c r="A111" s="187"/>
      <c r="B111" s="188" t="str">
        <f>IFERROR(IF(A111="","",VLOOKUP(A111,'Mapped COA'!A:G,2,0)),IF(A111="","",VLOOKUP(A111,COA!A:G,2,0)))</f>
        <v/>
      </c>
      <c r="C111" s="495"/>
      <c r="D111" s="189"/>
      <c r="E111" s="190"/>
      <c r="F111" s="190"/>
      <c r="G111" s="191"/>
    </row>
    <row r="112" spans="1:7" ht="12.75" hidden="1" customHeight="1" x14ac:dyDescent="0.3">
      <c r="A112" s="187"/>
      <c r="B112" s="188" t="str">
        <f>IFERROR(IF(A112="","",VLOOKUP(A112,'Mapped COA'!A:G,2,0)),IF(A112="","",VLOOKUP(A112,COA!A:G,2,0)))</f>
        <v/>
      </c>
      <c r="C112" s="495"/>
      <c r="D112" s="189"/>
      <c r="E112" s="190"/>
      <c r="F112" s="190"/>
      <c r="G112" s="191"/>
    </row>
    <row r="113" spans="1:7" ht="12.75" hidden="1" customHeight="1" x14ac:dyDescent="0.3">
      <c r="A113" s="187"/>
      <c r="B113" s="188" t="str">
        <f>IFERROR(IF(A113="","",VLOOKUP(A113,'Mapped COA'!A:G,2,0)),IF(A113="","",VLOOKUP(A113,COA!A:G,2,0)))</f>
        <v/>
      </c>
      <c r="C113" s="495"/>
      <c r="D113" s="189"/>
      <c r="E113" s="190"/>
      <c r="F113" s="190"/>
      <c r="G113" s="191"/>
    </row>
    <row r="114" spans="1:7" ht="12.75" hidden="1" customHeight="1" x14ac:dyDescent="0.3">
      <c r="A114" s="187"/>
      <c r="B114" s="188" t="str">
        <f>IFERROR(IF(A114="","",VLOOKUP(A114,'Mapped COA'!A:G,2,0)),IF(A114="","",VLOOKUP(A114,COA!A:G,2,0)))</f>
        <v/>
      </c>
      <c r="C114" s="495"/>
      <c r="D114" s="189"/>
      <c r="E114" s="190"/>
      <c r="F114" s="190"/>
      <c r="G114" s="191"/>
    </row>
    <row r="115" spans="1:7" ht="12.75" hidden="1" customHeight="1" x14ac:dyDescent="0.3">
      <c r="A115" s="187"/>
      <c r="B115" s="188" t="str">
        <f>IFERROR(IF(A115="","",VLOOKUP(A115,'Mapped COA'!A:G,2,0)),IF(A115="","",VLOOKUP(A115,COA!A:G,2,0)))</f>
        <v/>
      </c>
      <c r="C115" s="495"/>
      <c r="D115" s="189"/>
      <c r="E115" s="190"/>
      <c r="F115" s="190"/>
      <c r="G115" s="191"/>
    </row>
    <row r="116" spans="1:7" ht="12.75" hidden="1" customHeight="1" x14ac:dyDescent="0.3">
      <c r="A116" s="187"/>
      <c r="B116" s="188" t="str">
        <f>IFERROR(IF(A116="","",VLOOKUP(A116,'Mapped COA'!A:G,2,0)),IF(A116="","",VLOOKUP(A116,COA!A:G,2,0)))</f>
        <v/>
      </c>
      <c r="C116" s="495"/>
      <c r="D116" s="189"/>
      <c r="E116" s="190"/>
      <c r="F116" s="190"/>
      <c r="G116" s="191"/>
    </row>
    <row r="117" spans="1:7" ht="12.75" hidden="1" customHeight="1" x14ac:dyDescent="0.3">
      <c r="A117" s="187"/>
      <c r="B117" s="188" t="str">
        <f>IFERROR(IF(A117="","",VLOOKUP(A117,'Mapped COA'!A:G,2,0)),IF(A117="","",VLOOKUP(A117,COA!A:G,2,0)))</f>
        <v/>
      </c>
      <c r="C117" s="495"/>
      <c r="D117" s="189"/>
      <c r="E117" s="190"/>
      <c r="F117" s="190"/>
      <c r="G117" s="191"/>
    </row>
    <row r="118" spans="1:7" ht="12.75" hidden="1" customHeight="1" x14ac:dyDescent="0.3">
      <c r="A118" s="187"/>
      <c r="B118" s="188" t="str">
        <f>IFERROR(IF(A118="","",VLOOKUP(A118,'Mapped COA'!A:G,2,0)),IF(A118="","",VLOOKUP(A118,COA!A:G,2,0)))</f>
        <v/>
      </c>
      <c r="C118" s="495"/>
      <c r="D118" s="189"/>
      <c r="E118" s="190"/>
      <c r="F118" s="190"/>
      <c r="G118" s="191"/>
    </row>
    <row r="119" spans="1:7" ht="12.75" hidden="1" customHeight="1" x14ac:dyDescent="0.3">
      <c r="A119" s="187"/>
      <c r="B119" s="188" t="str">
        <f>IFERROR(IF(A119="","",VLOOKUP(A119,'Mapped COA'!A:G,2,0)),IF(A119="","",VLOOKUP(A119,COA!A:G,2,0)))</f>
        <v/>
      </c>
      <c r="C119" s="495"/>
      <c r="D119" s="189"/>
      <c r="E119" s="190"/>
      <c r="F119" s="190"/>
      <c r="G119" s="191"/>
    </row>
    <row r="120" spans="1:7" ht="12.75" hidden="1" customHeight="1" x14ac:dyDescent="0.3">
      <c r="A120" s="187"/>
      <c r="B120" s="188" t="str">
        <f>IFERROR(IF(A120="","",VLOOKUP(A120,'Mapped COA'!A:G,2,0)),IF(A120="","",VLOOKUP(A120,COA!A:G,2,0)))</f>
        <v/>
      </c>
      <c r="C120" s="495"/>
      <c r="D120" s="189"/>
      <c r="E120" s="190"/>
      <c r="F120" s="190"/>
      <c r="G120" s="191"/>
    </row>
    <row r="121" spans="1:7" ht="12.75" hidden="1" customHeight="1" x14ac:dyDescent="0.3">
      <c r="A121" s="187"/>
      <c r="B121" s="188" t="str">
        <f>IFERROR(IF(A121="","",VLOOKUP(A121,'Mapped COA'!A:G,2,0)),IF(A121="","",VLOOKUP(A121,COA!A:G,2,0)))</f>
        <v/>
      </c>
      <c r="C121" s="495"/>
      <c r="D121" s="189"/>
      <c r="E121" s="190"/>
      <c r="F121" s="190"/>
      <c r="G121" s="191"/>
    </row>
    <row r="122" spans="1:7" ht="12.75" hidden="1" customHeight="1" x14ac:dyDescent="0.3">
      <c r="A122" s="187"/>
      <c r="B122" s="188" t="str">
        <f>IFERROR(IF(A122="","",VLOOKUP(A122,'Mapped COA'!A:G,2,0)),IF(A122="","",VLOOKUP(A122,COA!A:G,2,0)))</f>
        <v/>
      </c>
      <c r="C122" s="495"/>
      <c r="D122" s="189"/>
      <c r="E122" s="190"/>
      <c r="F122" s="190"/>
      <c r="G122" s="191"/>
    </row>
    <row r="123" spans="1:7" ht="12.75" hidden="1" customHeight="1" x14ac:dyDescent="0.3">
      <c r="A123" s="187"/>
      <c r="B123" s="188" t="str">
        <f>IFERROR(IF(A123="","",VLOOKUP(A123,'Mapped COA'!A:G,2,0)),IF(A123="","",VLOOKUP(A123,COA!A:G,2,0)))</f>
        <v/>
      </c>
      <c r="C123" s="495"/>
      <c r="D123" s="189"/>
      <c r="E123" s="190"/>
      <c r="F123" s="190"/>
      <c r="G123" s="191"/>
    </row>
    <row r="124" spans="1:7" ht="12.75" hidden="1" customHeight="1" x14ac:dyDescent="0.3">
      <c r="A124" s="187"/>
      <c r="B124" s="188" t="str">
        <f>IFERROR(IF(A124="","",VLOOKUP(A124,'Mapped COA'!A:G,2,0)),IF(A124="","",VLOOKUP(A124,COA!A:G,2,0)))</f>
        <v/>
      </c>
      <c r="C124" s="495"/>
      <c r="D124" s="189"/>
      <c r="E124" s="190"/>
      <c r="F124" s="190"/>
      <c r="G124" s="191"/>
    </row>
    <row r="125" spans="1:7" ht="12.75" hidden="1" customHeight="1" x14ac:dyDescent="0.3">
      <c r="A125" s="187"/>
      <c r="B125" s="188" t="str">
        <f>IFERROR(IF(A125="","",VLOOKUP(A125,'Mapped COA'!A:G,2,0)),IF(A125="","",VLOOKUP(A125,COA!A:G,2,0)))</f>
        <v/>
      </c>
      <c r="C125" s="495"/>
      <c r="D125" s="189"/>
      <c r="E125" s="190"/>
      <c r="F125" s="190"/>
      <c r="G125" s="191"/>
    </row>
    <row r="126" spans="1:7" ht="12.75" hidden="1" customHeight="1" x14ac:dyDescent="0.3">
      <c r="A126" s="187"/>
      <c r="B126" s="188" t="str">
        <f>IFERROR(IF(A126="","",VLOOKUP(A126,'Mapped COA'!A:G,2,0)),IF(A126="","",VLOOKUP(A126,COA!A:G,2,0)))</f>
        <v/>
      </c>
      <c r="C126" s="495"/>
      <c r="D126" s="189"/>
      <c r="E126" s="190"/>
      <c r="F126" s="190"/>
      <c r="G126" s="191"/>
    </row>
    <row r="127" spans="1:7" ht="12.75" hidden="1" customHeight="1" x14ac:dyDescent="0.3">
      <c r="A127" s="187"/>
      <c r="B127" s="188" t="str">
        <f>IFERROR(IF(A127="","",VLOOKUP(A127,'Mapped COA'!A:G,2,0)),IF(A127="","",VLOOKUP(A127,COA!A:G,2,0)))</f>
        <v/>
      </c>
      <c r="C127" s="495"/>
      <c r="D127" s="189"/>
      <c r="E127" s="190"/>
      <c r="F127" s="190"/>
      <c r="G127" s="191"/>
    </row>
    <row r="128" spans="1:7" ht="12.75" hidden="1" customHeight="1" x14ac:dyDescent="0.3">
      <c r="A128" s="187"/>
      <c r="B128" s="188" t="str">
        <f>IFERROR(IF(A128="","",VLOOKUP(A128,'Mapped COA'!A:G,2,0)),IF(A128="","",VLOOKUP(A128,COA!A:G,2,0)))</f>
        <v/>
      </c>
      <c r="C128" s="495"/>
      <c r="D128" s="189"/>
      <c r="E128" s="190"/>
      <c r="F128" s="190"/>
      <c r="G128" s="191"/>
    </row>
    <row r="129" spans="1:7" ht="12.75" hidden="1" customHeight="1" x14ac:dyDescent="0.3">
      <c r="A129" s="187"/>
      <c r="B129" s="188" t="str">
        <f>IFERROR(IF(A129="","",VLOOKUP(A129,'Mapped COA'!A:G,2,0)),IF(A129="","",VLOOKUP(A129,COA!A:G,2,0)))</f>
        <v/>
      </c>
      <c r="C129" s="495"/>
      <c r="D129" s="189"/>
      <c r="E129" s="190"/>
      <c r="F129" s="190"/>
      <c r="G129" s="191"/>
    </row>
    <row r="130" spans="1:7" ht="12.75" hidden="1" customHeight="1" x14ac:dyDescent="0.3">
      <c r="A130" s="187"/>
      <c r="B130" s="188" t="str">
        <f>IFERROR(IF(A130="","",VLOOKUP(A130,'Mapped COA'!A:G,2,0)),IF(A130="","",VLOOKUP(A130,COA!A:G,2,0)))</f>
        <v/>
      </c>
      <c r="C130" s="495"/>
      <c r="D130" s="189"/>
      <c r="E130" s="190"/>
      <c r="F130" s="190"/>
      <c r="G130" s="191"/>
    </row>
    <row r="131" spans="1:7" ht="12.75" hidden="1" customHeight="1" x14ac:dyDescent="0.3">
      <c r="A131" s="187"/>
      <c r="B131" s="188" t="str">
        <f>IFERROR(IF(A131="","",VLOOKUP(A131,'Mapped COA'!A:G,2,0)),IF(A131="","",VLOOKUP(A131,COA!A:G,2,0)))</f>
        <v/>
      </c>
      <c r="C131" s="495"/>
      <c r="D131" s="189"/>
      <c r="E131" s="190"/>
      <c r="F131" s="190"/>
      <c r="G131" s="191"/>
    </row>
    <row r="132" spans="1:7" ht="12.75" hidden="1" customHeight="1" x14ac:dyDescent="0.3">
      <c r="A132" s="187"/>
      <c r="B132" s="188" t="str">
        <f>IFERROR(IF(A132="","",VLOOKUP(A132,'Mapped COA'!A:G,2,0)),IF(A132="","",VLOOKUP(A132,COA!A:G,2,0)))</f>
        <v/>
      </c>
      <c r="C132" s="495"/>
      <c r="D132" s="189"/>
      <c r="E132" s="190"/>
      <c r="F132" s="190"/>
      <c r="G132" s="191"/>
    </row>
    <row r="133" spans="1:7" ht="12.75" hidden="1" customHeight="1" x14ac:dyDescent="0.3">
      <c r="A133" s="187"/>
      <c r="B133" s="188" t="str">
        <f>IFERROR(IF(A133="","",VLOOKUP(A133,'Mapped COA'!A:G,2,0)),IF(A133="","",VLOOKUP(A133,COA!A:G,2,0)))</f>
        <v/>
      </c>
      <c r="C133" s="495"/>
      <c r="D133" s="189"/>
      <c r="E133" s="190"/>
      <c r="F133" s="190"/>
      <c r="G133" s="191"/>
    </row>
    <row r="134" spans="1:7" ht="12.75" hidden="1" customHeight="1" x14ac:dyDescent="0.3">
      <c r="A134" s="187"/>
      <c r="B134" s="188" t="str">
        <f>IFERROR(IF(A134="","",VLOOKUP(A134,'Mapped COA'!A:G,2,0)),IF(A134="","",VLOOKUP(A134,COA!A:G,2,0)))</f>
        <v/>
      </c>
      <c r="C134" s="495"/>
      <c r="D134" s="189"/>
      <c r="E134" s="190"/>
      <c r="F134" s="190"/>
      <c r="G134" s="191"/>
    </row>
    <row r="135" spans="1:7" ht="12.75" hidden="1" customHeight="1" x14ac:dyDescent="0.3">
      <c r="A135" s="187"/>
      <c r="B135" s="188" t="str">
        <f>IFERROR(IF(A135="","",VLOOKUP(A135,'Mapped COA'!A:G,2,0)),IF(A135="","",VLOOKUP(A135,COA!A:G,2,0)))</f>
        <v/>
      </c>
      <c r="C135" s="495"/>
      <c r="D135" s="189"/>
      <c r="E135" s="190"/>
      <c r="F135" s="190"/>
      <c r="G135" s="191"/>
    </row>
    <row r="136" spans="1:7" ht="12.75" hidden="1" customHeight="1" x14ac:dyDescent="0.3">
      <c r="A136" s="187"/>
      <c r="B136" s="188" t="str">
        <f>IFERROR(IF(A136="","",VLOOKUP(A136,'Mapped COA'!A:G,2,0)),IF(A136="","",VLOOKUP(A136,COA!A:G,2,0)))</f>
        <v/>
      </c>
      <c r="C136" s="495"/>
      <c r="D136" s="189"/>
      <c r="E136" s="190"/>
      <c r="F136" s="190"/>
      <c r="G136" s="191"/>
    </row>
    <row r="137" spans="1:7" ht="12.75" hidden="1" customHeight="1" x14ac:dyDescent="0.3">
      <c r="A137" s="187"/>
      <c r="B137" s="188" t="str">
        <f>IFERROR(IF(A137="","",VLOOKUP(A137,'Mapped COA'!A:G,2,0)),IF(A137="","",VLOOKUP(A137,COA!A:G,2,0)))</f>
        <v/>
      </c>
      <c r="C137" s="495"/>
      <c r="D137" s="189"/>
      <c r="E137" s="190"/>
      <c r="F137" s="190"/>
      <c r="G137" s="191"/>
    </row>
    <row r="138" spans="1:7" hidden="1" x14ac:dyDescent="0.3">
      <c r="A138" s="187"/>
      <c r="B138" s="188" t="str">
        <f>IFERROR(IF(A138="","",VLOOKUP(A138,'Mapped COA'!A:G,2,0)),IF(A138="","",VLOOKUP(A138,COA!A:G,2,0)))</f>
        <v/>
      </c>
      <c r="C138" s="495"/>
      <c r="D138" s="189"/>
      <c r="E138" s="190"/>
      <c r="F138" s="190"/>
      <c r="G138" s="191"/>
    </row>
    <row r="139" spans="1:7" hidden="1" x14ac:dyDescent="0.3">
      <c r="A139" s="187"/>
      <c r="B139" s="188" t="str">
        <f>IFERROR(IF(A139="","",VLOOKUP(A139,'Mapped COA'!A:G,2,0)),IF(A139="","",VLOOKUP(A139,COA!A:G,2,0)))</f>
        <v/>
      </c>
      <c r="C139" s="495"/>
      <c r="D139" s="189"/>
      <c r="E139" s="190"/>
      <c r="F139" s="190"/>
      <c r="G139" s="191"/>
    </row>
    <row r="140" spans="1:7" hidden="1" x14ac:dyDescent="0.3">
      <c r="A140" s="187"/>
      <c r="B140" s="188" t="str">
        <f>IFERROR(IF(A140="","",VLOOKUP(A140,'Mapped COA'!A:G,2,0)),IF(A140="","",VLOOKUP(A140,COA!A:G,2,0)))</f>
        <v/>
      </c>
      <c r="C140" s="495"/>
      <c r="D140" s="189"/>
      <c r="E140" s="190"/>
      <c r="F140" s="190"/>
      <c r="G140" s="191"/>
    </row>
    <row r="141" spans="1:7" hidden="1" x14ac:dyDescent="0.3">
      <c r="A141" s="187"/>
      <c r="B141" s="188" t="str">
        <f>IFERROR(IF(A141="","",VLOOKUP(A141,'Mapped COA'!A:G,2,0)),IF(A141="","",VLOOKUP(A141,COA!A:G,2,0)))</f>
        <v/>
      </c>
      <c r="C141" s="495"/>
      <c r="D141" s="189"/>
      <c r="E141" s="190"/>
      <c r="F141" s="190"/>
      <c r="G141" s="191"/>
    </row>
    <row r="142" spans="1:7" hidden="1" x14ac:dyDescent="0.3">
      <c r="A142" s="187"/>
      <c r="B142" s="188" t="str">
        <f>IFERROR(IF(A142="","",VLOOKUP(A142,'Mapped COA'!A:G,2,0)),IF(A142="","",VLOOKUP(A142,COA!A:G,2,0)))</f>
        <v/>
      </c>
      <c r="C142" s="495"/>
      <c r="D142" s="189"/>
      <c r="E142" s="190"/>
      <c r="F142" s="190"/>
      <c r="G142" s="191"/>
    </row>
    <row r="143" spans="1:7" hidden="1" x14ac:dyDescent="0.3">
      <c r="A143" s="187"/>
      <c r="B143" s="188" t="str">
        <f>IFERROR(IF(A143="","",VLOOKUP(A143,'Mapped COA'!A:G,2,0)),IF(A143="","",VLOOKUP(A143,COA!A:G,2,0)))</f>
        <v/>
      </c>
      <c r="C143" s="495"/>
      <c r="D143" s="189"/>
      <c r="E143" s="190"/>
      <c r="F143" s="190"/>
      <c r="G143" s="191"/>
    </row>
    <row r="144" spans="1:7" hidden="1" x14ac:dyDescent="0.3">
      <c r="A144" s="187"/>
      <c r="B144" s="188" t="str">
        <f>IFERROR(IF(A144="","",VLOOKUP(A144,'Mapped COA'!A:G,2,0)),IF(A144="","",VLOOKUP(A144,COA!A:G,2,0)))</f>
        <v/>
      </c>
      <c r="C144" s="495"/>
      <c r="D144" s="189"/>
      <c r="E144" s="190"/>
      <c r="F144" s="190"/>
      <c r="G144" s="191"/>
    </row>
    <row r="145" spans="1:7" hidden="1" x14ac:dyDescent="0.3">
      <c r="A145" s="187"/>
      <c r="B145" s="188" t="str">
        <f>IFERROR(IF(A145="","",VLOOKUP(A145,'Mapped COA'!A:G,2,0)),IF(A145="","",VLOOKUP(A145,COA!A:G,2,0)))</f>
        <v/>
      </c>
      <c r="C145" s="495"/>
      <c r="D145" s="189"/>
      <c r="E145" s="190"/>
      <c r="F145" s="190"/>
      <c r="G145" s="191"/>
    </row>
    <row r="146" spans="1:7" hidden="1" x14ac:dyDescent="0.3">
      <c r="A146" s="187"/>
      <c r="B146" s="188" t="str">
        <f>IFERROR(IF(A146="","",VLOOKUP(A146,'Mapped COA'!A:G,2,0)),IF(A146="","",VLOOKUP(A146,COA!A:G,2,0)))</f>
        <v/>
      </c>
      <c r="C146" s="495"/>
      <c r="D146" s="189"/>
      <c r="E146" s="190"/>
      <c r="F146" s="190"/>
      <c r="G146" s="191"/>
    </row>
    <row r="147" spans="1:7" hidden="1" x14ac:dyDescent="0.3">
      <c r="A147" s="187"/>
      <c r="B147" s="188" t="str">
        <f>IFERROR(IF(A147="","",VLOOKUP(A147,'Mapped COA'!A:G,2,0)),IF(A147="","",VLOOKUP(A147,COA!A:G,2,0)))</f>
        <v/>
      </c>
      <c r="C147" s="495"/>
      <c r="D147" s="189"/>
      <c r="E147" s="190"/>
      <c r="F147" s="190"/>
      <c r="G147" s="191"/>
    </row>
    <row r="148" spans="1:7" hidden="1" x14ac:dyDescent="0.3">
      <c r="A148" s="187"/>
      <c r="B148" s="188" t="str">
        <f>IFERROR(IF(A148="","",VLOOKUP(A148,'Mapped COA'!A:G,2,0)),IF(A148="","",VLOOKUP(A148,COA!A:G,2,0)))</f>
        <v/>
      </c>
      <c r="C148" s="495"/>
      <c r="D148" s="189"/>
      <c r="E148" s="190"/>
      <c r="F148" s="190"/>
      <c r="G148" s="191"/>
    </row>
    <row r="149" spans="1:7" hidden="1" x14ac:dyDescent="0.3">
      <c r="A149" s="187"/>
      <c r="B149" s="188" t="str">
        <f>IFERROR(IF(A149="","",VLOOKUP(A149,'Mapped COA'!A:G,2,0)),IF(A149="","",VLOOKUP(A149,COA!A:G,2,0)))</f>
        <v/>
      </c>
      <c r="C149" s="495"/>
      <c r="D149" s="189"/>
      <c r="E149" s="190"/>
      <c r="F149" s="190"/>
      <c r="G149" s="191"/>
    </row>
    <row r="150" spans="1:7" hidden="1" x14ac:dyDescent="0.3">
      <c r="A150" s="187"/>
      <c r="B150" s="188" t="str">
        <f>IFERROR(IF(A150="","",VLOOKUP(A150,'Mapped COA'!A:G,2,0)),IF(A150="","",VLOOKUP(A150,COA!A:G,2,0)))</f>
        <v/>
      </c>
      <c r="C150" s="495"/>
      <c r="D150" s="189"/>
      <c r="E150" s="190"/>
      <c r="F150" s="190"/>
      <c r="G150" s="191"/>
    </row>
    <row r="151" spans="1:7" hidden="1" x14ac:dyDescent="0.3">
      <c r="A151" s="192"/>
      <c r="B151" s="188" t="str">
        <f>IFERROR(IF(A151="","",VLOOKUP(A151,'Mapped COA'!A:G,2,0)),IF(A151="","",VLOOKUP(A151,COA!A:G,2,0)))</f>
        <v/>
      </c>
      <c r="C151" s="495"/>
      <c r="D151" s="189"/>
      <c r="E151" s="190"/>
      <c r="F151" s="190"/>
      <c r="G151" s="191"/>
    </row>
    <row r="152" spans="1:7" hidden="1" x14ac:dyDescent="0.3">
      <c r="A152" s="192"/>
      <c r="B152" s="188" t="str">
        <f>IFERROR(IF(A152="","",VLOOKUP(A152,'Mapped COA'!A:G,2,0)),IF(A152="","",VLOOKUP(A152,COA!A:G,2,0)))</f>
        <v/>
      </c>
      <c r="C152" s="495"/>
      <c r="D152" s="189"/>
      <c r="E152" s="190"/>
      <c r="F152" s="190"/>
      <c r="G152" s="191"/>
    </row>
    <row r="153" spans="1:7" hidden="1" x14ac:dyDescent="0.3">
      <c r="A153" s="192"/>
      <c r="B153" s="188" t="str">
        <f>IFERROR(IF(A153="","",VLOOKUP(A153,'Mapped COA'!A:G,2,0)),IF(A153="","",VLOOKUP(A153,COA!A:G,2,0)))</f>
        <v/>
      </c>
      <c r="C153" s="495"/>
      <c r="D153" s="189"/>
      <c r="E153" s="190"/>
      <c r="F153" s="190"/>
      <c r="G153" s="191"/>
    </row>
    <row r="154" spans="1:7" hidden="1" x14ac:dyDescent="0.3">
      <c r="A154" s="192"/>
      <c r="B154" s="188" t="str">
        <f>IFERROR(IF(A154="","",VLOOKUP(A154,'Mapped COA'!A:G,2,0)),IF(A154="","",VLOOKUP(A154,COA!A:G,2,0)))</f>
        <v/>
      </c>
      <c r="C154" s="495"/>
      <c r="D154" s="189"/>
      <c r="E154" s="190"/>
      <c r="F154" s="190"/>
      <c r="G154" s="191"/>
    </row>
    <row r="155" spans="1:7" hidden="1" x14ac:dyDescent="0.3">
      <c r="A155" s="192"/>
      <c r="B155" s="188" t="str">
        <f>IFERROR(IF(A155="","",VLOOKUP(A155,'Mapped COA'!A:G,2,0)),IF(A155="","",VLOOKUP(A155,COA!A:G,2,0)))</f>
        <v/>
      </c>
      <c r="C155" s="495"/>
      <c r="D155" s="189"/>
      <c r="E155" s="190"/>
      <c r="F155" s="190"/>
      <c r="G155" s="191"/>
    </row>
    <row r="156" spans="1:7" hidden="1" x14ac:dyDescent="0.3">
      <c r="A156" s="192"/>
      <c r="B156" s="188" t="str">
        <f>IFERROR(IF(A156="","",VLOOKUP(A156,'Mapped COA'!A:G,2,0)),IF(A156="","",VLOOKUP(A156,COA!A:G,2,0)))</f>
        <v/>
      </c>
      <c r="C156" s="495"/>
      <c r="D156" s="189"/>
      <c r="E156" s="190"/>
      <c r="F156" s="190"/>
      <c r="G156" s="191"/>
    </row>
    <row r="157" spans="1:7" hidden="1" x14ac:dyDescent="0.3">
      <c r="A157" s="192"/>
      <c r="B157" s="188" t="str">
        <f>IFERROR(IF(A157="","",VLOOKUP(A157,'Mapped COA'!A:G,2,0)),IF(A157="","",VLOOKUP(A157,COA!A:G,2,0)))</f>
        <v/>
      </c>
      <c r="C157" s="495"/>
      <c r="D157" s="189"/>
      <c r="E157" s="190"/>
      <c r="F157" s="190"/>
      <c r="G157" s="191"/>
    </row>
    <row r="158" spans="1:7" hidden="1" x14ac:dyDescent="0.3">
      <c r="A158" s="192"/>
      <c r="B158" s="188" t="str">
        <f>IFERROR(IF(A158="","",VLOOKUP(A158,'Mapped COA'!A:G,2,0)),IF(A158="","",VLOOKUP(A158,COA!A:G,2,0)))</f>
        <v/>
      </c>
      <c r="C158" s="495"/>
      <c r="D158" s="189"/>
      <c r="E158" s="190"/>
      <c r="F158" s="190"/>
      <c r="G158" s="191"/>
    </row>
    <row r="159" spans="1:7" hidden="1" x14ac:dyDescent="0.3">
      <c r="A159" s="192"/>
      <c r="B159" s="188" t="str">
        <f>IFERROR(IF(A159="","",VLOOKUP(A159,'Mapped COA'!A:G,2,0)),IF(A159="","",VLOOKUP(A159,COA!A:G,2,0)))</f>
        <v/>
      </c>
      <c r="C159" s="495"/>
      <c r="D159" s="189"/>
      <c r="E159" s="190"/>
      <c r="F159" s="190"/>
      <c r="G159" s="191"/>
    </row>
    <row r="160" spans="1:7" hidden="1" x14ac:dyDescent="0.3">
      <c r="A160" s="192"/>
      <c r="B160" s="188" t="str">
        <f>IFERROR(IF(A160="","",VLOOKUP(A160,'Mapped COA'!A:G,2,0)),IF(A160="","",VLOOKUP(A160,COA!A:G,2,0)))</f>
        <v/>
      </c>
      <c r="C160" s="495"/>
      <c r="D160" s="189"/>
      <c r="E160" s="190"/>
      <c r="F160" s="190"/>
      <c r="G160" s="191"/>
    </row>
    <row r="161" spans="1:7" hidden="1" x14ac:dyDescent="0.3">
      <c r="A161" s="192"/>
      <c r="B161" s="188" t="str">
        <f>IFERROR(IF(A161="","",VLOOKUP(A161,'Mapped COA'!A:G,2,0)),IF(A161="","",VLOOKUP(A161,COA!A:G,2,0)))</f>
        <v/>
      </c>
      <c r="C161" s="495"/>
      <c r="D161" s="189"/>
      <c r="E161" s="190"/>
      <c r="F161" s="190"/>
      <c r="G161" s="191"/>
    </row>
    <row r="162" spans="1:7" hidden="1" x14ac:dyDescent="0.3">
      <c r="A162" s="192"/>
      <c r="B162" s="188" t="str">
        <f>IFERROR(IF(A162="","",VLOOKUP(A162,'Mapped COA'!A:G,2,0)),IF(A162="","",VLOOKUP(A162,COA!A:G,2,0)))</f>
        <v/>
      </c>
      <c r="C162" s="495"/>
      <c r="D162" s="189"/>
      <c r="E162" s="190"/>
      <c r="F162" s="190"/>
      <c r="G162" s="191"/>
    </row>
    <row r="163" spans="1:7" hidden="1" x14ac:dyDescent="0.3">
      <c r="A163" s="192"/>
      <c r="B163" s="188" t="str">
        <f>IFERROR(IF(A163="","",VLOOKUP(A163,'Mapped COA'!A:G,2,0)),IF(A163="","",VLOOKUP(A163,COA!A:G,2,0)))</f>
        <v/>
      </c>
      <c r="C163" s="495"/>
      <c r="D163" s="189"/>
      <c r="E163" s="190"/>
      <c r="F163" s="190"/>
      <c r="G163" s="191"/>
    </row>
    <row r="164" spans="1:7" hidden="1" x14ac:dyDescent="0.3">
      <c r="A164" s="192"/>
      <c r="B164" s="188" t="str">
        <f>IFERROR(IF(A164="","",VLOOKUP(A164,'Mapped COA'!A:G,2,0)),IF(A164="","",VLOOKUP(A164,COA!A:G,2,0)))</f>
        <v/>
      </c>
      <c r="C164" s="495"/>
      <c r="D164" s="189"/>
      <c r="E164" s="190"/>
      <c r="F164" s="190"/>
      <c r="G164" s="191"/>
    </row>
    <row r="165" spans="1:7" hidden="1" x14ac:dyDescent="0.3">
      <c r="A165" s="192"/>
      <c r="B165" s="188" t="str">
        <f>IFERROR(IF(A165="","",VLOOKUP(A165,'Mapped COA'!A:G,2,0)),IF(A165="","",VLOOKUP(A165,COA!A:G,2,0)))</f>
        <v/>
      </c>
      <c r="C165" s="495"/>
      <c r="D165" s="189"/>
      <c r="E165" s="190"/>
      <c r="F165" s="190"/>
      <c r="G165" s="191"/>
    </row>
    <row r="166" spans="1:7" hidden="1" x14ac:dyDescent="0.3">
      <c r="A166" s="192"/>
      <c r="B166" s="188" t="str">
        <f>IFERROR(IF(A166="","",VLOOKUP(A166,'Mapped COA'!A:G,2,0)),IF(A166="","",VLOOKUP(A166,COA!A:G,2,0)))</f>
        <v/>
      </c>
      <c r="C166" s="495"/>
      <c r="D166" s="189"/>
      <c r="E166" s="190"/>
      <c r="F166" s="190"/>
      <c r="G166" s="191"/>
    </row>
    <row r="167" spans="1:7" hidden="1" x14ac:dyDescent="0.3">
      <c r="A167" s="192"/>
      <c r="B167" s="188" t="str">
        <f>IFERROR(IF(A167="","",VLOOKUP(A167,'Mapped COA'!A:G,2,0)),IF(A167="","",VLOOKUP(A167,COA!A:G,2,0)))</f>
        <v/>
      </c>
      <c r="C167" s="495"/>
      <c r="D167" s="189"/>
      <c r="E167" s="190"/>
      <c r="F167" s="190"/>
      <c r="G167" s="191"/>
    </row>
    <row r="168" spans="1:7" hidden="1" x14ac:dyDescent="0.3">
      <c r="A168" s="192"/>
      <c r="B168" s="188" t="str">
        <f>IFERROR(IF(A168="","",VLOOKUP(A168,'Mapped COA'!A:G,2,0)),IF(A168="","",VLOOKUP(A168,COA!A:G,2,0)))</f>
        <v/>
      </c>
      <c r="C168" s="495"/>
      <c r="D168" s="189"/>
      <c r="E168" s="190"/>
      <c r="F168" s="190"/>
      <c r="G168" s="191"/>
    </row>
    <row r="169" spans="1:7" hidden="1" x14ac:dyDescent="0.3">
      <c r="A169" s="192"/>
      <c r="B169" s="188" t="str">
        <f>IFERROR(IF(A169="","",VLOOKUP(A169,'Mapped COA'!A:G,2,0)),IF(A169="","",VLOOKUP(A169,COA!A:G,2,0)))</f>
        <v/>
      </c>
      <c r="C169" s="495"/>
      <c r="D169" s="189"/>
      <c r="E169" s="190"/>
      <c r="F169" s="190"/>
      <c r="G169" s="191"/>
    </row>
    <row r="170" spans="1:7" hidden="1" x14ac:dyDescent="0.3">
      <c r="A170" s="192"/>
      <c r="B170" s="188" t="str">
        <f>IFERROR(IF(A170="","",VLOOKUP(A170,'Mapped COA'!A:G,2,0)),IF(A170="","",VLOOKUP(A170,COA!A:G,2,0)))</f>
        <v/>
      </c>
      <c r="C170" s="495"/>
      <c r="D170" s="189"/>
      <c r="E170" s="190"/>
      <c r="F170" s="190"/>
      <c r="G170" s="191"/>
    </row>
    <row r="171" spans="1:7" hidden="1" x14ac:dyDescent="0.3">
      <c r="A171" s="192"/>
      <c r="B171" s="188" t="str">
        <f>IFERROR(IF(A171="","",VLOOKUP(A171,'Mapped COA'!A:G,2,0)),IF(A171="","",VLOOKUP(A171,COA!A:G,2,0)))</f>
        <v/>
      </c>
      <c r="C171" s="495"/>
      <c r="D171" s="189"/>
      <c r="E171" s="190"/>
      <c r="F171" s="190"/>
      <c r="G171" s="191"/>
    </row>
    <row r="172" spans="1:7" hidden="1" x14ac:dyDescent="0.3">
      <c r="A172" s="192"/>
      <c r="B172" s="188" t="str">
        <f>IFERROR(IF(A172="","",VLOOKUP(A172,'Mapped COA'!A:G,2,0)),IF(A172="","",VLOOKUP(A172,COA!A:G,2,0)))</f>
        <v/>
      </c>
      <c r="C172" s="495"/>
      <c r="D172" s="189"/>
      <c r="E172" s="190"/>
      <c r="F172" s="190"/>
      <c r="G172" s="191"/>
    </row>
    <row r="173" spans="1:7" hidden="1" x14ac:dyDescent="0.3">
      <c r="A173" s="192"/>
      <c r="B173" s="188" t="str">
        <f>IFERROR(IF(A173="","",VLOOKUP(A173,'Mapped COA'!A:G,2,0)),IF(A173="","",VLOOKUP(A173,COA!A:G,2,0)))</f>
        <v/>
      </c>
      <c r="C173" s="495"/>
      <c r="D173" s="189"/>
      <c r="E173" s="190"/>
      <c r="F173" s="190"/>
      <c r="G173" s="191"/>
    </row>
    <row r="174" spans="1:7" hidden="1" x14ac:dyDescent="0.3">
      <c r="A174" s="192"/>
      <c r="B174" s="188" t="str">
        <f>IFERROR(IF(A174="","",VLOOKUP(A174,'Mapped COA'!A:G,2,0)),IF(A174="","",VLOOKUP(A174,COA!A:G,2,0)))</f>
        <v/>
      </c>
      <c r="C174" s="495"/>
      <c r="D174" s="189"/>
      <c r="E174" s="190"/>
      <c r="F174" s="190"/>
      <c r="G174" s="191"/>
    </row>
    <row r="175" spans="1:7" hidden="1" x14ac:dyDescent="0.3">
      <c r="A175" s="192"/>
      <c r="B175" s="188" t="str">
        <f>IFERROR(IF(A175="","",VLOOKUP(A175,'Mapped COA'!A:G,2,0)),IF(A175="","",VLOOKUP(A175,COA!A:G,2,0)))</f>
        <v/>
      </c>
      <c r="C175" s="495"/>
      <c r="D175" s="189"/>
      <c r="E175" s="190"/>
      <c r="F175" s="190"/>
      <c r="G175" s="191"/>
    </row>
    <row r="176" spans="1:7" hidden="1" x14ac:dyDescent="0.3">
      <c r="A176" s="192"/>
      <c r="B176" s="188" t="str">
        <f>IFERROR(IF(A176="","",VLOOKUP(A176,'Mapped COA'!A:G,2,0)),IF(A176="","",VLOOKUP(A176,COA!A:G,2,0)))</f>
        <v/>
      </c>
      <c r="C176" s="495"/>
      <c r="D176" s="189"/>
      <c r="E176" s="190"/>
      <c r="F176" s="190"/>
      <c r="G176" s="191"/>
    </row>
    <row r="177" spans="1:7" hidden="1" x14ac:dyDescent="0.3">
      <c r="A177" s="192"/>
      <c r="B177" s="188" t="str">
        <f>IFERROR(IF(A177="","",VLOOKUP(A177,'Mapped COA'!A:G,2,0)),IF(A177="","",VLOOKUP(A177,COA!A:G,2,0)))</f>
        <v/>
      </c>
      <c r="C177" s="495"/>
      <c r="D177" s="189"/>
      <c r="E177" s="190"/>
      <c r="F177" s="190"/>
      <c r="G177" s="191"/>
    </row>
    <row r="178" spans="1:7" hidden="1" x14ac:dyDescent="0.3">
      <c r="A178" s="192"/>
      <c r="B178" s="188" t="str">
        <f>IFERROR(IF(A178="","",VLOOKUP(A178,'Mapped COA'!A:G,2,0)),IF(A178="","",VLOOKUP(A178,COA!A:G,2,0)))</f>
        <v/>
      </c>
      <c r="C178" s="495"/>
      <c r="D178" s="189"/>
      <c r="E178" s="190"/>
      <c r="F178" s="190"/>
      <c r="G178" s="191"/>
    </row>
    <row r="179" spans="1:7" hidden="1" x14ac:dyDescent="0.3">
      <c r="A179" s="192"/>
      <c r="B179" s="188" t="str">
        <f>IFERROR(IF(A179="","",VLOOKUP(A179,'Mapped COA'!A:G,2,0)),IF(A179="","",VLOOKUP(A179,COA!A:G,2,0)))</f>
        <v/>
      </c>
      <c r="C179" s="495"/>
      <c r="D179" s="189"/>
      <c r="E179" s="190"/>
      <c r="F179" s="190"/>
      <c r="G179" s="191"/>
    </row>
    <row r="180" spans="1:7" hidden="1" x14ac:dyDescent="0.3">
      <c r="A180" s="192"/>
      <c r="B180" s="188" t="str">
        <f>IFERROR(IF(A180="","",VLOOKUP(A180,'Mapped COA'!A:G,2,0)),IF(A180="","",VLOOKUP(A180,COA!A:G,2,0)))</f>
        <v/>
      </c>
      <c r="C180" s="495"/>
      <c r="D180" s="189"/>
      <c r="E180" s="190"/>
      <c r="F180" s="190"/>
      <c r="G180" s="191"/>
    </row>
    <row r="181" spans="1:7" hidden="1" x14ac:dyDescent="0.3">
      <c r="A181" s="192"/>
      <c r="B181" s="188" t="str">
        <f>IFERROR(IF(A181="","",VLOOKUP(A181,'Mapped COA'!A:G,2,0)),IF(A181="","",VLOOKUP(A181,COA!A:G,2,0)))</f>
        <v/>
      </c>
      <c r="C181" s="495"/>
      <c r="D181" s="189"/>
      <c r="E181" s="190"/>
      <c r="F181" s="190"/>
      <c r="G181" s="191"/>
    </row>
    <row r="182" spans="1:7" hidden="1" x14ac:dyDescent="0.3">
      <c r="A182" s="192"/>
      <c r="B182" s="188" t="str">
        <f>IFERROR(IF(A182="","",VLOOKUP(A182,'Mapped COA'!A:G,2,0)),IF(A182="","",VLOOKUP(A182,COA!A:G,2,0)))</f>
        <v/>
      </c>
      <c r="C182" s="495"/>
      <c r="D182" s="189"/>
      <c r="E182" s="190"/>
      <c r="F182" s="190"/>
      <c r="G182" s="191"/>
    </row>
    <row r="183" spans="1:7" hidden="1" x14ac:dyDescent="0.3">
      <c r="A183" s="192"/>
      <c r="B183" s="188" t="str">
        <f>IFERROR(IF(A183="","",VLOOKUP(A183,'Mapped COA'!A:G,2,0)),IF(A183="","",VLOOKUP(A183,COA!A:G,2,0)))</f>
        <v/>
      </c>
      <c r="C183" s="495"/>
      <c r="D183" s="189"/>
      <c r="E183" s="190"/>
      <c r="F183" s="190"/>
      <c r="G183" s="191"/>
    </row>
    <row r="184" spans="1:7" hidden="1" x14ac:dyDescent="0.3">
      <c r="A184" s="192"/>
      <c r="B184" s="188" t="str">
        <f>IFERROR(IF(A184="","",VLOOKUP(A184,'Mapped COA'!A:G,2,0)),IF(A184="","",VLOOKUP(A184,COA!A:G,2,0)))</f>
        <v/>
      </c>
      <c r="C184" s="495"/>
      <c r="D184" s="189"/>
      <c r="E184" s="190"/>
      <c r="F184" s="190"/>
      <c r="G184" s="191"/>
    </row>
    <row r="185" spans="1:7" hidden="1" x14ac:dyDescent="0.3">
      <c r="A185" s="192"/>
      <c r="B185" s="188" t="str">
        <f>IFERROR(IF(A185="","",VLOOKUP(A185,'Mapped COA'!A:G,2,0)),IF(A185="","",VLOOKUP(A185,COA!A:G,2,0)))</f>
        <v/>
      </c>
      <c r="C185" s="495"/>
      <c r="D185" s="189"/>
      <c r="E185" s="190"/>
      <c r="F185" s="190"/>
      <c r="G185" s="191"/>
    </row>
    <row r="186" spans="1:7" hidden="1" x14ac:dyDescent="0.3">
      <c r="A186" s="192"/>
      <c r="B186" s="188" t="str">
        <f>IFERROR(IF(A186="","",VLOOKUP(A186,'Mapped COA'!A:G,2,0)),IF(A186="","",VLOOKUP(A186,COA!A:G,2,0)))</f>
        <v/>
      </c>
      <c r="C186" s="495"/>
      <c r="D186" s="189"/>
      <c r="E186" s="190"/>
      <c r="F186" s="190"/>
      <c r="G186" s="191"/>
    </row>
    <row r="187" spans="1:7" hidden="1" x14ac:dyDescent="0.3">
      <c r="A187" s="192"/>
      <c r="B187" s="188" t="str">
        <f>IFERROR(IF(A187="","",VLOOKUP(A187,'Mapped COA'!A:G,2,0)),IF(A187="","",VLOOKUP(A187,COA!A:G,2,0)))</f>
        <v/>
      </c>
      <c r="C187" s="495"/>
      <c r="D187" s="189"/>
      <c r="E187" s="190"/>
      <c r="F187" s="190"/>
      <c r="G187" s="191"/>
    </row>
    <row r="188" spans="1:7" hidden="1" x14ac:dyDescent="0.3">
      <c r="A188" s="192"/>
      <c r="B188" s="188" t="str">
        <f>IFERROR(IF(A188="","",VLOOKUP(A188,'Mapped COA'!A:G,2,0)),IF(A188="","",VLOOKUP(A188,COA!A:G,2,0)))</f>
        <v/>
      </c>
      <c r="C188" s="495"/>
      <c r="D188" s="189"/>
      <c r="E188" s="190"/>
      <c r="F188" s="190"/>
      <c r="G188" s="191"/>
    </row>
    <row r="189" spans="1:7" hidden="1" x14ac:dyDescent="0.3">
      <c r="A189" s="192"/>
      <c r="B189" s="188" t="str">
        <f>IFERROR(IF(A189="","",VLOOKUP(A189,'Mapped COA'!A:G,2,0)),IF(A189="","",VLOOKUP(A189,COA!A:G,2,0)))</f>
        <v/>
      </c>
      <c r="C189" s="495"/>
      <c r="D189" s="189"/>
      <c r="E189" s="190"/>
      <c r="F189" s="190"/>
      <c r="G189" s="191"/>
    </row>
    <row r="190" spans="1:7" ht="13.5" thickBot="1" x14ac:dyDescent="0.35">
      <c r="C190" s="496"/>
      <c r="F190" s="57"/>
      <c r="G190" s="57"/>
    </row>
    <row r="191" spans="1:7" x14ac:dyDescent="0.3">
      <c r="F191" s="85" t="str">
        <f>CONCATENATE("Total Calculated ",A95,":")</f>
        <v>Total Calculated Capital Improvements- Accrued:</v>
      </c>
      <c r="G191" s="59">
        <f>SUM(G98:G189)</f>
        <v>11734.67</v>
      </c>
    </row>
  </sheetData>
  <mergeCells count="5">
    <mergeCell ref="A1:G1"/>
    <mergeCell ref="A2:G2"/>
    <mergeCell ref="A3:G3"/>
    <mergeCell ref="A4:B4"/>
    <mergeCell ref="A95:B95"/>
  </mergeCells>
  <conditionalFormatting sqref="A7:B91">
    <cfRule type="expression" dxfId="35" priority="1">
      <formula>INDIRECT("A"&amp;ROW()) = "Yes"</formula>
    </cfRule>
  </conditionalFormatting>
  <printOptions horizontalCentered="1"/>
  <pageMargins left="0.25" right="0.25" top="0.35" bottom="0.75" header="0.3" footer="0.3"/>
  <pageSetup scale="71" fitToHeight="0" orientation="portrait" r:id="rId1"/>
  <rowBreaks count="1" manualBreakCount="1">
    <brk id="93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279E5-A195-47F3-8039-E5C3DD27090B}">
  <sheetPr codeName="Sheet11">
    <pageSetUpPr fitToPage="1"/>
  </sheetPr>
  <dimension ref="A1:AX55"/>
  <sheetViews>
    <sheetView topLeftCell="P23" zoomScaleNormal="100" workbookViewId="0">
      <selection activeCell="AI16" sqref="AI16"/>
    </sheetView>
  </sheetViews>
  <sheetFormatPr defaultColWidth="9.26953125" defaultRowHeight="13" x14ac:dyDescent="0.3"/>
  <cols>
    <col min="1" max="1" width="17.1796875" style="67" customWidth="1"/>
    <col min="2" max="2" width="10" style="67" hidden="1" customWidth="1"/>
    <col min="3" max="3" width="13.453125" style="67" hidden="1" customWidth="1"/>
    <col min="4" max="4" width="13.453125" style="236" hidden="1" customWidth="1"/>
    <col min="5" max="5" width="16.7265625" style="67" hidden="1" customWidth="1"/>
    <col min="6" max="6" width="16.1796875" style="67" hidden="1" customWidth="1"/>
    <col min="7" max="7" width="15.54296875" style="67" hidden="1" customWidth="1"/>
    <col min="8" max="8" width="14.7265625" style="67" hidden="1" customWidth="1"/>
    <col min="9" max="9" width="15" style="67" customWidth="1"/>
    <col min="10" max="10" width="13.1796875" style="67" hidden="1" customWidth="1"/>
    <col min="11" max="11" width="14.7265625" style="67" customWidth="1"/>
    <col min="12" max="12" width="6.1796875" style="67" hidden="1" customWidth="1"/>
    <col min="13" max="13" width="4.453125" style="67" hidden="1" customWidth="1"/>
    <col min="14" max="14" width="5.81640625" style="67" hidden="1" customWidth="1"/>
    <col min="15" max="15" width="14" style="67" hidden="1" customWidth="1"/>
    <col min="16" max="16" width="15.54296875" style="67" customWidth="1"/>
    <col min="17" max="17" width="13.7265625" style="67" hidden="1" customWidth="1"/>
    <col min="18" max="18" width="15.54296875" style="67" customWidth="1"/>
    <col min="19" max="19" width="7.1796875" style="67" hidden="1" customWidth="1"/>
    <col min="20" max="20" width="5.453125" style="67" hidden="1" customWidth="1"/>
    <col min="21" max="21" width="6.81640625" style="67" hidden="1" customWidth="1"/>
    <col min="22" max="22" width="15" style="67" hidden="1" customWidth="1"/>
    <col min="23" max="23" width="16.81640625" style="67" hidden="1" customWidth="1"/>
    <col min="24" max="24" width="36.54296875" style="67" customWidth="1"/>
    <col min="25" max="26" width="12.81640625" style="67" hidden="1" customWidth="1"/>
    <col min="27" max="27" width="18.26953125" style="67" customWidth="1"/>
    <col min="28" max="28" width="13.7265625" style="67" customWidth="1"/>
    <col min="29" max="29" width="9.54296875" style="67" customWidth="1"/>
    <col min="30" max="30" width="13" style="67" customWidth="1"/>
    <col min="31" max="32" width="15.7265625" style="67" hidden="1" customWidth="1"/>
    <col min="33" max="33" width="13.453125" style="67" customWidth="1"/>
    <col min="34" max="34" width="15.1796875" style="236" bestFit="1" customWidth="1"/>
    <col min="35" max="35" width="18.81640625" style="349" customWidth="1"/>
    <col min="36" max="36" width="12.1796875" style="67" hidden="1" customWidth="1"/>
    <col min="37" max="39" width="8.7265625" style="67" hidden="1" customWidth="1"/>
    <col min="40" max="49" width="9.26953125" style="67"/>
    <col min="50" max="50" width="0" style="67" hidden="1" customWidth="1"/>
    <col min="51" max="16384" width="9.26953125" style="67"/>
  </cols>
  <sheetData>
    <row r="1" spans="1:50" ht="23" x14ac:dyDescent="0.5">
      <c r="A1" s="596" t="str">
        <f>'Input-Instructions'!B3</f>
        <v>Residences at Shiloh Crossing</v>
      </c>
      <c r="B1" s="597"/>
      <c r="C1" s="597"/>
      <c r="D1" s="597"/>
      <c r="E1" s="597"/>
      <c r="F1" s="597"/>
      <c r="G1" s="597"/>
      <c r="H1" s="597"/>
      <c r="I1" s="597"/>
      <c r="J1" s="597"/>
      <c r="K1" s="597"/>
      <c r="L1" s="597"/>
      <c r="M1" s="597"/>
      <c r="N1" s="596"/>
      <c r="O1" s="596"/>
      <c r="P1" s="596"/>
      <c r="Q1" s="596"/>
      <c r="R1" s="596"/>
      <c r="S1" s="596"/>
      <c r="T1" s="596"/>
      <c r="U1" s="596"/>
      <c r="V1" s="596"/>
      <c r="W1" s="596"/>
      <c r="X1" s="596"/>
      <c r="Y1" s="596"/>
      <c r="Z1" s="596"/>
      <c r="AA1" s="596"/>
      <c r="AB1" s="596"/>
      <c r="AC1" s="596"/>
      <c r="AD1" s="596"/>
      <c r="AE1" s="596"/>
      <c r="AF1" s="596"/>
      <c r="AG1" s="596"/>
      <c r="AH1" s="596"/>
      <c r="AI1" s="596"/>
      <c r="AX1" s="67" t="s">
        <v>165</v>
      </c>
    </row>
    <row r="2" spans="1:50" ht="19.5" customHeight="1" x14ac:dyDescent="0.5">
      <c r="A2" s="596" t="s">
        <v>325</v>
      </c>
      <c r="B2" s="596"/>
      <c r="C2" s="596"/>
      <c r="D2" s="596"/>
      <c r="E2" s="596"/>
      <c r="F2" s="596"/>
      <c r="G2" s="596"/>
      <c r="H2" s="597"/>
      <c r="I2" s="597"/>
      <c r="J2" s="597"/>
      <c r="K2" s="597"/>
      <c r="L2" s="597"/>
      <c r="M2" s="597"/>
      <c r="N2" s="598"/>
      <c r="O2" s="598"/>
      <c r="P2" s="598"/>
      <c r="Q2" s="598"/>
      <c r="R2" s="598"/>
      <c r="S2" s="598"/>
      <c r="T2" s="598"/>
      <c r="U2" s="598"/>
      <c r="V2" s="598"/>
      <c r="W2" s="598"/>
      <c r="X2" s="598"/>
      <c r="Y2" s="598"/>
      <c r="Z2" s="598"/>
      <c r="AA2" s="598"/>
      <c r="AB2" s="598"/>
      <c r="AC2" s="598"/>
      <c r="AD2" s="598"/>
      <c r="AE2" s="598"/>
      <c r="AF2" s="598"/>
      <c r="AG2" s="598"/>
      <c r="AH2" s="598"/>
      <c r="AI2" s="598"/>
      <c r="AX2" s="67" t="s">
        <v>162</v>
      </c>
    </row>
    <row r="3" spans="1:50" ht="19.5" customHeight="1" x14ac:dyDescent="0.5">
      <c r="A3" s="599" t="str">
        <f>TEXT('Input-Instructions'!$B$6,"MMMM YYYY")</f>
        <v>September 2026</v>
      </c>
      <c r="B3" s="599"/>
      <c r="C3" s="599"/>
      <c r="D3" s="599"/>
      <c r="E3" s="599"/>
      <c r="F3" s="599"/>
      <c r="G3" s="599"/>
      <c r="H3" s="600"/>
      <c r="I3" s="600"/>
      <c r="J3" s="600"/>
      <c r="K3" s="600"/>
      <c r="L3" s="600"/>
      <c r="M3" s="600"/>
      <c r="N3" s="601"/>
      <c r="O3" s="601"/>
      <c r="P3" s="601"/>
      <c r="Q3" s="601"/>
      <c r="R3" s="601"/>
      <c r="S3" s="601"/>
      <c r="T3" s="601"/>
      <c r="U3" s="601"/>
      <c r="V3" s="601"/>
      <c r="W3" s="601"/>
      <c r="X3" s="601"/>
      <c r="Y3" s="601"/>
      <c r="Z3" s="601"/>
      <c r="AA3" s="601"/>
      <c r="AB3" s="601"/>
      <c r="AC3" s="601"/>
      <c r="AD3" s="601"/>
      <c r="AE3" s="601"/>
      <c r="AF3" s="601"/>
      <c r="AG3" s="601"/>
      <c r="AH3" s="601"/>
      <c r="AI3" s="601"/>
      <c r="AX3" s="67" t="s">
        <v>167</v>
      </c>
    </row>
    <row r="4" spans="1:50" ht="30.75" customHeight="1" x14ac:dyDescent="0.3">
      <c r="A4" s="602" t="s">
        <v>326</v>
      </c>
      <c r="B4" s="603"/>
      <c r="C4" s="603"/>
      <c r="D4" s="603"/>
      <c r="E4" s="603"/>
      <c r="F4" s="603"/>
      <c r="G4" s="603"/>
      <c r="H4" s="603"/>
      <c r="I4" s="603"/>
      <c r="J4" s="603"/>
      <c r="K4" s="604"/>
      <c r="L4" s="376"/>
      <c r="M4" s="376"/>
      <c r="N4" s="68"/>
      <c r="O4" s="68"/>
      <c r="P4" s="377" t="s">
        <v>327</v>
      </c>
      <c r="Q4" s="68"/>
      <c r="R4" s="377" t="s">
        <v>328</v>
      </c>
      <c r="S4" s="68"/>
      <c r="T4" s="68"/>
      <c r="U4" s="68"/>
      <c r="V4" s="68"/>
      <c r="W4" s="68"/>
      <c r="X4" s="377" t="s">
        <v>329</v>
      </c>
      <c r="Y4" s="68"/>
      <c r="Z4" s="68"/>
      <c r="AA4" s="378" t="s">
        <v>330</v>
      </c>
      <c r="AB4" s="377" t="s">
        <v>331</v>
      </c>
      <c r="AC4" s="605" t="s">
        <v>332</v>
      </c>
      <c r="AD4" s="605"/>
      <c r="AE4" s="605"/>
      <c r="AF4" s="68"/>
      <c r="AG4" s="602" t="s">
        <v>333</v>
      </c>
      <c r="AH4" s="603"/>
      <c r="AI4" s="604"/>
      <c r="AJ4" s="231"/>
      <c r="AK4" s="231"/>
      <c r="AO4" s="257"/>
      <c r="AX4" s="67" t="s">
        <v>166</v>
      </c>
    </row>
    <row r="5" spans="1:50" ht="14.5" customHeight="1" x14ac:dyDescent="0.3">
      <c r="A5" s="589" t="str">
        <f>'Input-Instructions'!$B$3</f>
        <v>Residences at Shiloh Crossing</v>
      </c>
      <c r="B5" s="590"/>
      <c r="C5" s="590"/>
      <c r="D5" s="590"/>
      <c r="E5" s="590"/>
      <c r="F5" s="590"/>
      <c r="G5" s="590"/>
      <c r="H5" s="590"/>
      <c r="I5" s="590"/>
      <c r="J5" s="590"/>
      <c r="K5" s="591"/>
      <c r="L5" s="350"/>
      <c r="M5" s="350"/>
      <c r="N5" s="68"/>
      <c r="O5" s="68"/>
      <c r="P5" s="521" t="s">
        <v>334</v>
      </c>
      <c r="Q5" s="68"/>
      <c r="R5" s="348" t="s">
        <v>179</v>
      </c>
      <c r="S5" s="68"/>
      <c r="T5" s="68"/>
      <c r="U5" s="68"/>
      <c r="V5" s="68"/>
      <c r="W5" s="68"/>
      <c r="X5" s="522">
        <v>43712</v>
      </c>
      <c r="Y5" s="68"/>
      <c r="Z5" s="68"/>
      <c r="AA5" s="523" t="s">
        <v>335</v>
      </c>
      <c r="AB5" s="391" t="s">
        <v>336</v>
      </c>
      <c r="AC5" s="592" t="s">
        <v>337</v>
      </c>
      <c r="AD5" s="592"/>
      <c r="AE5" s="592"/>
      <c r="AF5" s="68"/>
      <c r="AG5" s="593" t="s">
        <v>338</v>
      </c>
      <c r="AH5" s="594"/>
      <c r="AI5" s="595"/>
      <c r="AJ5" s="232"/>
      <c r="AK5" s="232"/>
      <c r="AO5" s="257" t="s">
        <v>339</v>
      </c>
      <c r="AX5" s="67" t="s">
        <v>170</v>
      </c>
    </row>
    <row r="6" spans="1:50" x14ac:dyDescent="0.3">
      <c r="A6" s="386"/>
      <c r="B6" s="386"/>
      <c r="C6" s="386"/>
      <c r="D6" s="387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386"/>
      <c r="R6" s="386"/>
      <c r="S6" s="386"/>
      <c r="T6" s="386"/>
      <c r="U6" s="386"/>
      <c r="V6" s="386"/>
      <c r="W6" s="386"/>
      <c r="X6" s="386"/>
      <c r="Y6" s="386"/>
      <c r="Z6" s="386"/>
      <c r="AA6" s="386"/>
      <c r="AB6" s="386"/>
      <c r="AC6" s="386"/>
      <c r="AD6" s="386"/>
      <c r="AE6" s="386"/>
      <c r="AF6" s="386"/>
      <c r="AG6" s="386"/>
      <c r="AH6" s="257"/>
      <c r="AO6" s="368" t="s">
        <v>340</v>
      </c>
      <c r="AX6" s="67" t="s">
        <v>171</v>
      </c>
    </row>
    <row r="7" spans="1:50" s="233" customFormat="1" x14ac:dyDescent="0.3">
      <c r="C7" s="388"/>
      <c r="D7" s="389"/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88"/>
      <c r="P7" s="388"/>
      <c r="Q7" s="388"/>
      <c r="R7" s="388"/>
      <c r="S7" s="388"/>
      <c r="T7" s="388"/>
      <c r="U7" s="388"/>
      <c r="V7" s="388"/>
      <c r="X7" s="388"/>
      <c r="Z7" s="388"/>
      <c r="AA7" s="388"/>
      <c r="AB7" s="388"/>
      <c r="AC7" s="388"/>
      <c r="AD7" s="388"/>
      <c r="AE7" s="388"/>
      <c r="AF7" s="388"/>
      <c r="AG7" s="388"/>
      <c r="AI7" s="390"/>
      <c r="AO7" s="258" t="s">
        <v>341</v>
      </c>
      <c r="AX7" s="67" t="s">
        <v>174</v>
      </c>
    </row>
    <row r="8" spans="1:50" s="233" customFormat="1" ht="15" hidden="1" customHeight="1" x14ac:dyDescent="0.35">
      <c r="A8" s="351" t="s">
        <v>342</v>
      </c>
      <c r="B8" s="351" t="s">
        <v>343</v>
      </c>
      <c r="C8" s="351" t="s">
        <v>344</v>
      </c>
      <c r="D8" s="352" t="s">
        <v>345</v>
      </c>
      <c r="E8" s="351" t="s">
        <v>346</v>
      </c>
      <c r="F8" s="351" t="s">
        <v>347</v>
      </c>
      <c r="G8" s="353" t="s">
        <v>348</v>
      </c>
      <c r="H8" s="353" t="s">
        <v>349</v>
      </c>
      <c r="I8" s="351" t="s">
        <v>350</v>
      </c>
      <c r="J8" s="354" t="s">
        <v>351</v>
      </c>
      <c r="K8" s="351" t="s">
        <v>352</v>
      </c>
      <c r="L8" s="354" t="s">
        <v>353</v>
      </c>
      <c r="M8" s="353" t="s">
        <v>354</v>
      </c>
      <c r="N8" s="353" t="s">
        <v>355</v>
      </c>
      <c r="O8" s="353" t="s">
        <v>356</v>
      </c>
      <c r="P8" s="351" t="s">
        <v>357</v>
      </c>
      <c r="Q8" s="354" t="s">
        <v>358</v>
      </c>
      <c r="R8" s="351" t="s">
        <v>359</v>
      </c>
      <c r="S8" s="353" t="s">
        <v>360</v>
      </c>
      <c r="T8" s="353" t="s">
        <v>361</v>
      </c>
      <c r="U8" s="353" t="s">
        <v>362</v>
      </c>
      <c r="V8" s="353" t="s">
        <v>363</v>
      </c>
      <c r="W8" s="353" t="s">
        <v>364</v>
      </c>
      <c r="X8" s="351" t="s">
        <v>365</v>
      </c>
      <c r="Y8" s="353" t="s">
        <v>366</v>
      </c>
      <c r="Z8" s="353" t="s">
        <v>367</v>
      </c>
      <c r="AA8" s="351" t="s">
        <v>368</v>
      </c>
      <c r="AB8" s="351" t="s">
        <v>168</v>
      </c>
      <c r="AC8" s="351" t="s">
        <v>369</v>
      </c>
      <c r="AD8" s="351" t="s">
        <v>370</v>
      </c>
      <c r="AE8" s="353" t="s">
        <v>371</v>
      </c>
      <c r="AF8" s="353" t="s">
        <v>372</v>
      </c>
      <c r="AG8" s="351" t="s">
        <v>373</v>
      </c>
      <c r="AH8" s="351" t="s">
        <v>374</v>
      </c>
      <c r="AI8" s="355" t="s">
        <v>284</v>
      </c>
      <c r="AJ8" s="353" t="s">
        <v>375</v>
      </c>
      <c r="AK8" s="356" t="s">
        <v>376</v>
      </c>
      <c r="AL8" s="356" t="s">
        <v>377</v>
      </c>
      <c r="AM8" s="356" t="s">
        <v>378</v>
      </c>
      <c r="AX8" s="67" t="s">
        <v>179</v>
      </c>
    </row>
    <row r="9" spans="1:50" s="359" customFormat="1" ht="39" x14ac:dyDescent="0.3">
      <c r="A9" s="357" t="s">
        <v>379</v>
      </c>
      <c r="B9" s="357" t="s">
        <v>380</v>
      </c>
      <c r="C9" s="357" t="s">
        <v>381</v>
      </c>
      <c r="D9" s="358" t="s">
        <v>382</v>
      </c>
      <c r="E9" s="357" t="s">
        <v>383</v>
      </c>
      <c r="F9" s="357" t="s">
        <v>384</v>
      </c>
      <c r="G9" s="357" t="s">
        <v>348</v>
      </c>
      <c r="H9" s="357" t="s">
        <v>349</v>
      </c>
      <c r="I9" s="357" t="s">
        <v>385</v>
      </c>
      <c r="J9" s="357" t="s">
        <v>351</v>
      </c>
      <c r="K9" s="357" t="s">
        <v>386</v>
      </c>
      <c r="L9" s="357"/>
      <c r="M9" s="357"/>
      <c r="N9" s="357"/>
      <c r="O9" s="357"/>
      <c r="P9" s="357" t="s">
        <v>387</v>
      </c>
      <c r="Q9" s="357" t="s">
        <v>388</v>
      </c>
      <c r="R9" s="357" t="s">
        <v>389</v>
      </c>
      <c r="S9" s="357"/>
      <c r="T9" s="357"/>
      <c r="U9" s="357"/>
      <c r="V9" s="357"/>
      <c r="W9" s="357"/>
      <c r="X9" s="357" t="s">
        <v>390</v>
      </c>
      <c r="Y9" s="357"/>
      <c r="Z9" s="357"/>
      <c r="AA9" s="357" t="s">
        <v>368</v>
      </c>
      <c r="AB9" s="357" t="s">
        <v>168</v>
      </c>
      <c r="AC9" s="357" t="s">
        <v>391</v>
      </c>
      <c r="AD9" s="357" t="s">
        <v>392</v>
      </c>
      <c r="AF9" s="357"/>
      <c r="AG9" s="357" t="s">
        <v>393</v>
      </c>
      <c r="AH9" s="357" t="s">
        <v>394</v>
      </c>
      <c r="AI9" s="360" t="s">
        <v>395</v>
      </c>
      <c r="AJ9" s="359" t="s">
        <v>375</v>
      </c>
      <c r="AK9" s="359" t="s">
        <v>376</v>
      </c>
      <c r="AL9" s="359" t="s">
        <v>377</v>
      </c>
      <c r="AM9" s="359" t="s">
        <v>378</v>
      </c>
      <c r="AX9" s="67" t="s">
        <v>180</v>
      </c>
    </row>
    <row r="10" spans="1:50" x14ac:dyDescent="0.3">
      <c r="A10" s="483" t="str">
        <f t="shared" ref="A10:A52" si="0">IFERROR(IF(I10="","",$A$5),"")</f>
        <v>Residences at Shiloh Crossing</v>
      </c>
      <c r="B10" s="361" t="str">
        <f>IFERROR(IF(I10="","",$P$5),"")</f>
        <v>42-2638838</v>
      </c>
      <c r="C10" s="361" t="str">
        <f>IFERROR(IF(I10="","",$R$5),"")</f>
        <v>DE</v>
      </c>
      <c r="D10" s="362">
        <f>IFERROR(IF(I10="","",$X$5),"")</f>
        <v>43712</v>
      </c>
      <c r="E10" s="362" t="str">
        <f>IFERROR(IF(I10="","",$AA$5),"")</f>
        <v>720-358-1200</v>
      </c>
      <c r="F10" s="361" t="str">
        <f>IFERROR(IF(I10="","",CONCATENATE($AB$5,"-",AG10)),"")</f>
        <v>rpresshi-279</v>
      </c>
      <c r="G10" s="361"/>
      <c r="H10" s="361"/>
      <c r="I10" s="524" t="s">
        <v>396</v>
      </c>
      <c r="J10" s="363"/>
      <c r="K10" s="524" t="s">
        <v>397</v>
      </c>
      <c r="L10" s="363"/>
      <c r="M10" s="363"/>
      <c r="N10" s="363"/>
      <c r="O10" s="363"/>
      <c r="P10" s="363"/>
      <c r="Q10" s="363"/>
      <c r="R10" s="363"/>
      <c r="S10" s="363"/>
      <c r="T10" s="363"/>
      <c r="U10" s="363"/>
      <c r="V10" s="363"/>
      <c r="W10" s="363"/>
      <c r="X10" s="521" t="s">
        <v>398</v>
      </c>
      <c r="Y10" s="364"/>
      <c r="Z10" s="364"/>
      <c r="AA10" s="521" t="s">
        <v>399</v>
      </c>
      <c r="AB10" s="521" t="s">
        <v>169</v>
      </c>
      <c r="AC10" s="521" t="s">
        <v>400</v>
      </c>
      <c r="AD10" s="521" t="s">
        <v>401</v>
      </c>
      <c r="AE10" s="69"/>
      <c r="AF10" s="364"/>
      <c r="AG10" s="521">
        <v>279</v>
      </c>
      <c r="AH10" s="522">
        <v>44545</v>
      </c>
      <c r="AI10" s="521">
        <v>235</v>
      </c>
      <c r="AX10" s="67" t="s">
        <v>181</v>
      </c>
    </row>
    <row r="11" spans="1:50" x14ac:dyDescent="0.3">
      <c r="A11" s="483" t="str">
        <f t="shared" si="0"/>
        <v>Residences at Shiloh Crossing</v>
      </c>
      <c r="B11" s="361" t="str">
        <f t="shared" ref="B11:B52" si="1">IFERROR(IF(I11="","",$P$5),"")</f>
        <v>42-2638838</v>
      </c>
      <c r="C11" s="361" t="str">
        <f t="shared" ref="C11:C52" si="2">IFERROR(IF(I11="","",$R$5),"")</f>
        <v>DE</v>
      </c>
      <c r="D11" s="362">
        <f t="shared" ref="D11:D52" si="3">IFERROR(IF(I11="","",$X$5),"")</f>
        <v>43712</v>
      </c>
      <c r="E11" s="362" t="str">
        <f t="shared" ref="E11:E52" si="4">IFERROR(IF(I11="","",$AA$5),"")</f>
        <v>720-358-1200</v>
      </c>
      <c r="F11" s="361" t="str">
        <f t="shared" ref="F11:F52" si="5">IFERROR(IF(I11="","",CONCATENATE($AB$5,"-",AG11)),"")</f>
        <v>rpresshi-280</v>
      </c>
      <c r="G11" s="365"/>
      <c r="H11" s="365"/>
      <c r="I11" s="525" t="s">
        <v>402</v>
      </c>
      <c r="J11" s="234"/>
      <c r="K11" s="525" t="s">
        <v>403</v>
      </c>
      <c r="L11" s="234"/>
      <c r="M11" s="234"/>
      <c r="N11" s="234"/>
      <c r="O11" s="234"/>
      <c r="P11" s="234"/>
      <c r="Q11" s="234"/>
      <c r="R11" s="234"/>
      <c r="S11" s="234"/>
      <c r="T11" s="363"/>
      <c r="U11" s="234"/>
      <c r="V11" s="234"/>
      <c r="W11" s="363"/>
      <c r="X11" s="521" t="s">
        <v>404</v>
      </c>
      <c r="Y11" s="364"/>
      <c r="Z11" s="364"/>
      <c r="AA11" s="526" t="s">
        <v>405</v>
      </c>
      <c r="AB11" s="526" t="s">
        <v>169</v>
      </c>
      <c r="AC11" s="526" t="s">
        <v>406</v>
      </c>
      <c r="AD11" s="521" t="s">
        <v>401</v>
      </c>
      <c r="AE11" s="69"/>
      <c r="AF11" s="235"/>
      <c r="AG11" s="521">
        <v>280</v>
      </c>
      <c r="AH11" s="522">
        <v>44545</v>
      </c>
      <c r="AI11" s="521">
        <v>150</v>
      </c>
      <c r="AX11" s="67" t="s">
        <v>182</v>
      </c>
    </row>
    <row r="12" spans="1:50" x14ac:dyDescent="0.3">
      <c r="A12" s="483" t="str">
        <f t="shared" si="0"/>
        <v>Residences at Shiloh Crossing</v>
      </c>
      <c r="B12" s="361" t="str">
        <f t="shared" si="1"/>
        <v>42-2638838</v>
      </c>
      <c r="C12" s="361" t="str">
        <f t="shared" si="2"/>
        <v>DE</v>
      </c>
      <c r="D12" s="362">
        <f t="shared" si="3"/>
        <v>43712</v>
      </c>
      <c r="E12" s="362" t="str">
        <f t="shared" si="4"/>
        <v>720-358-1200</v>
      </c>
      <c r="F12" s="361" t="str">
        <f t="shared" si="5"/>
        <v>rpresshi-281</v>
      </c>
      <c r="G12" s="366"/>
      <c r="H12" s="366"/>
      <c r="I12" s="525" t="s">
        <v>407</v>
      </c>
      <c r="J12" s="237"/>
      <c r="K12" s="525" t="s">
        <v>408</v>
      </c>
      <c r="L12" s="237"/>
      <c r="M12" s="237"/>
      <c r="N12" s="237"/>
      <c r="O12" s="237"/>
      <c r="P12" s="237"/>
      <c r="Q12" s="237"/>
      <c r="R12" s="237"/>
      <c r="S12" s="237"/>
      <c r="T12" s="239"/>
      <c r="U12" s="237"/>
      <c r="V12" s="237"/>
      <c r="W12" s="239"/>
      <c r="X12" s="521" t="s">
        <v>409</v>
      </c>
      <c r="Y12" s="240"/>
      <c r="Z12" s="364"/>
      <c r="AA12" s="526" t="s">
        <v>410</v>
      </c>
      <c r="AB12" s="526" t="s">
        <v>169</v>
      </c>
      <c r="AC12" s="526" t="s">
        <v>411</v>
      </c>
      <c r="AD12" s="521" t="s">
        <v>401</v>
      </c>
      <c r="AE12" s="69"/>
      <c r="AF12" s="238"/>
      <c r="AG12" s="521">
        <v>281</v>
      </c>
      <c r="AH12" s="522">
        <v>44545</v>
      </c>
      <c r="AI12" s="521">
        <v>150</v>
      </c>
      <c r="AX12" s="67" t="s">
        <v>184</v>
      </c>
    </row>
    <row r="13" spans="1:50" x14ac:dyDescent="0.3">
      <c r="A13" s="483" t="str">
        <f t="shared" si="0"/>
        <v>Residences at Shiloh Crossing</v>
      </c>
      <c r="B13" s="361" t="str">
        <f t="shared" si="1"/>
        <v>42-2638838</v>
      </c>
      <c r="C13" s="361" t="str">
        <f t="shared" si="2"/>
        <v>DE</v>
      </c>
      <c r="D13" s="362">
        <f t="shared" si="3"/>
        <v>43712</v>
      </c>
      <c r="E13" s="362" t="str">
        <f t="shared" si="4"/>
        <v>720-358-1200</v>
      </c>
      <c r="F13" s="361" t="str">
        <f t="shared" si="5"/>
        <v>rpresshi-237</v>
      </c>
      <c r="G13" s="366"/>
      <c r="H13" s="366"/>
      <c r="I13" s="525" t="s">
        <v>412</v>
      </c>
      <c r="J13" s="237"/>
      <c r="K13" s="525" t="s">
        <v>413</v>
      </c>
      <c r="L13" s="237"/>
      <c r="M13" s="237"/>
      <c r="N13" s="237"/>
      <c r="O13" s="237"/>
      <c r="P13" s="237"/>
      <c r="Q13" s="237"/>
      <c r="R13" s="237"/>
      <c r="S13" s="237"/>
      <c r="T13" s="239"/>
      <c r="U13" s="237"/>
      <c r="V13" s="237"/>
      <c r="W13" s="239"/>
      <c r="X13" s="521" t="s">
        <v>414</v>
      </c>
      <c r="Y13" s="240"/>
      <c r="Z13" s="364"/>
      <c r="AA13" s="526" t="s">
        <v>399</v>
      </c>
      <c r="AB13" s="526" t="s">
        <v>169</v>
      </c>
      <c r="AC13" s="526" t="s">
        <v>400</v>
      </c>
      <c r="AD13" s="521" t="s">
        <v>401</v>
      </c>
      <c r="AE13" s="69"/>
      <c r="AF13" s="238"/>
      <c r="AG13" s="521">
        <v>237</v>
      </c>
      <c r="AH13" s="522">
        <v>44496</v>
      </c>
      <c r="AI13" s="521">
        <v>69.62</v>
      </c>
      <c r="AX13" s="67" t="s">
        <v>185</v>
      </c>
    </row>
    <row r="14" spans="1:50" x14ac:dyDescent="0.3">
      <c r="A14" s="483" t="str">
        <f t="shared" si="0"/>
        <v>Residences at Shiloh Crossing</v>
      </c>
      <c r="B14" s="361" t="str">
        <f t="shared" si="1"/>
        <v>42-2638838</v>
      </c>
      <c r="C14" s="361" t="str">
        <f t="shared" si="2"/>
        <v>DE</v>
      </c>
      <c r="D14" s="362">
        <f t="shared" si="3"/>
        <v>43712</v>
      </c>
      <c r="E14" s="362" t="str">
        <f t="shared" si="4"/>
        <v>720-358-1200</v>
      </c>
      <c r="F14" s="361" t="str">
        <f t="shared" si="5"/>
        <v>rpresshi-263</v>
      </c>
      <c r="G14" s="366"/>
      <c r="H14" s="366"/>
      <c r="I14" s="525" t="s">
        <v>415</v>
      </c>
      <c r="J14" s="237"/>
      <c r="K14" s="525" t="s">
        <v>416</v>
      </c>
      <c r="L14" s="237"/>
      <c r="M14" s="237"/>
      <c r="N14" s="237"/>
      <c r="O14" s="237"/>
      <c r="P14" s="237"/>
      <c r="Q14" s="237"/>
      <c r="R14" s="237"/>
      <c r="S14" s="237"/>
      <c r="T14" s="239"/>
      <c r="U14" s="237"/>
      <c r="V14" s="237"/>
      <c r="W14" s="363"/>
      <c r="X14" s="521" t="s">
        <v>417</v>
      </c>
      <c r="Y14" s="240"/>
      <c r="Z14" s="364"/>
      <c r="AA14" s="526" t="s">
        <v>418</v>
      </c>
      <c r="AB14" s="526" t="s">
        <v>169</v>
      </c>
      <c r="AC14" s="526" t="s">
        <v>419</v>
      </c>
      <c r="AD14" s="521" t="s">
        <v>401</v>
      </c>
      <c r="AE14" s="69"/>
      <c r="AF14" s="238"/>
      <c r="AG14" s="521">
        <v>263</v>
      </c>
      <c r="AH14" s="522">
        <v>44574</v>
      </c>
      <c r="AI14" s="521">
        <v>150</v>
      </c>
      <c r="AX14" s="67" t="s">
        <v>186</v>
      </c>
    </row>
    <row r="15" spans="1:50" x14ac:dyDescent="0.3">
      <c r="A15" s="483" t="str">
        <f t="shared" si="0"/>
        <v>Residences at Shiloh Crossing</v>
      </c>
      <c r="B15" s="361" t="str">
        <f t="shared" si="1"/>
        <v>42-2638838</v>
      </c>
      <c r="C15" s="361" t="str">
        <f t="shared" si="2"/>
        <v>DE</v>
      </c>
      <c r="D15" s="362">
        <f t="shared" si="3"/>
        <v>43712</v>
      </c>
      <c r="E15" s="362" t="str">
        <f t="shared" si="4"/>
        <v>720-358-1200</v>
      </c>
      <c r="F15" s="361" t="str">
        <f t="shared" si="5"/>
        <v>rpresshi-359</v>
      </c>
      <c r="G15" s="366"/>
      <c r="H15" s="366"/>
      <c r="I15" s="525" t="s">
        <v>420</v>
      </c>
      <c r="J15" s="237"/>
      <c r="K15" s="525" t="s">
        <v>421</v>
      </c>
      <c r="L15" s="237"/>
      <c r="M15" s="237"/>
      <c r="N15" s="237"/>
      <c r="O15" s="237"/>
      <c r="P15" s="237"/>
      <c r="Q15" s="237"/>
      <c r="R15" s="237"/>
      <c r="S15" s="237"/>
      <c r="T15" s="239"/>
      <c r="U15" s="237"/>
      <c r="V15" s="237"/>
      <c r="W15" s="363"/>
      <c r="X15" s="521" t="s">
        <v>422</v>
      </c>
      <c r="Y15" s="240"/>
      <c r="Z15" s="364"/>
      <c r="AA15" s="526" t="s">
        <v>399</v>
      </c>
      <c r="AB15" s="526" t="s">
        <v>169</v>
      </c>
      <c r="AC15" s="526" t="s">
        <v>400</v>
      </c>
      <c r="AD15" s="521" t="s">
        <v>401</v>
      </c>
      <c r="AE15" s="69"/>
      <c r="AF15" s="238"/>
      <c r="AG15" s="521">
        <v>359</v>
      </c>
      <c r="AH15" s="522">
        <v>44636</v>
      </c>
      <c r="AI15" s="521">
        <v>90</v>
      </c>
      <c r="AX15" s="67" t="s">
        <v>183</v>
      </c>
    </row>
    <row r="16" spans="1:50" x14ac:dyDescent="0.3">
      <c r="A16" s="483" t="str">
        <f t="shared" si="0"/>
        <v/>
      </c>
      <c r="B16" s="361" t="str">
        <f t="shared" si="1"/>
        <v/>
      </c>
      <c r="C16" s="361" t="str">
        <f t="shared" si="2"/>
        <v/>
      </c>
      <c r="D16" s="362" t="str">
        <f t="shared" si="3"/>
        <v/>
      </c>
      <c r="E16" s="362" t="str">
        <f t="shared" si="4"/>
        <v/>
      </c>
      <c r="F16" s="361" t="str">
        <f t="shared" si="5"/>
        <v/>
      </c>
      <c r="G16" s="366"/>
      <c r="H16" s="366"/>
      <c r="I16" s="525"/>
      <c r="J16" s="237"/>
      <c r="K16" s="525"/>
      <c r="L16" s="237"/>
      <c r="M16" s="237"/>
      <c r="N16" s="237"/>
      <c r="O16" s="237"/>
      <c r="P16" s="237"/>
      <c r="Q16" s="237"/>
      <c r="R16" s="237"/>
      <c r="S16" s="237"/>
      <c r="T16" s="239"/>
      <c r="U16" s="237"/>
      <c r="V16" s="237"/>
      <c r="W16" s="239"/>
      <c r="X16" s="521"/>
      <c r="Y16" s="240"/>
      <c r="Z16" s="364"/>
      <c r="AA16" s="526"/>
      <c r="AB16" s="526"/>
      <c r="AC16" s="526"/>
      <c r="AD16" s="521"/>
      <c r="AE16" s="69"/>
      <c r="AF16" s="238"/>
      <c r="AG16" s="521"/>
      <c r="AH16" s="522"/>
      <c r="AI16" s="521"/>
      <c r="AX16" s="67" t="s">
        <v>187</v>
      </c>
    </row>
    <row r="17" spans="1:50" x14ac:dyDescent="0.3">
      <c r="A17" s="483" t="str">
        <f t="shared" si="0"/>
        <v>Residences at Shiloh Crossing</v>
      </c>
      <c r="B17" s="361" t="str">
        <f t="shared" si="1"/>
        <v>42-2638838</v>
      </c>
      <c r="C17" s="361" t="str">
        <f t="shared" si="2"/>
        <v>DE</v>
      </c>
      <c r="D17" s="362">
        <f t="shared" si="3"/>
        <v>43712</v>
      </c>
      <c r="E17" s="362" t="str">
        <f t="shared" si="4"/>
        <v>720-358-1200</v>
      </c>
      <c r="F17" s="361" t="str">
        <f t="shared" si="5"/>
        <v>rpresshi-866</v>
      </c>
      <c r="G17" s="366"/>
      <c r="H17" s="366"/>
      <c r="I17" s="525" t="s">
        <v>423</v>
      </c>
      <c r="J17" s="237"/>
      <c r="K17" s="525" t="s">
        <v>424</v>
      </c>
      <c r="L17" s="237"/>
      <c r="M17" s="237"/>
      <c r="N17" s="237"/>
      <c r="O17" s="237"/>
      <c r="P17" s="237"/>
      <c r="Q17" s="237"/>
      <c r="R17" s="237"/>
      <c r="S17" s="237"/>
      <c r="T17" s="239"/>
      <c r="U17" s="237"/>
      <c r="V17" s="237"/>
      <c r="W17" s="239"/>
      <c r="X17" s="521" t="s">
        <v>425</v>
      </c>
      <c r="Y17" s="240"/>
      <c r="Z17" s="364"/>
      <c r="AA17" s="526" t="s">
        <v>410</v>
      </c>
      <c r="AB17" s="526" t="s">
        <v>169</v>
      </c>
      <c r="AC17" s="526">
        <v>27703</v>
      </c>
      <c r="AD17" s="521" t="s">
        <v>401</v>
      </c>
      <c r="AE17" s="69"/>
      <c r="AF17" s="238"/>
      <c r="AG17" s="521">
        <v>866</v>
      </c>
      <c r="AH17" s="522">
        <v>44886</v>
      </c>
      <c r="AI17" s="521">
        <v>150</v>
      </c>
      <c r="AX17" s="67" t="s">
        <v>191</v>
      </c>
    </row>
    <row r="18" spans="1:50" x14ac:dyDescent="0.3">
      <c r="A18" s="483" t="str">
        <f t="shared" si="0"/>
        <v>Residences at Shiloh Crossing</v>
      </c>
      <c r="B18" s="361" t="str">
        <f t="shared" si="1"/>
        <v>42-2638838</v>
      </c>
      <c r="C18" s="361" t="str">
        <f t="shared" si="2"/>
        <v>DE</v>
      </c>
      <c r="D18" s="362">
        <f t="shared" si="3"/>
        <v>43712</v>
      </c>
      <c r="E18" s="362" t="str">
        <f t="shared" si="4"/>
        <v>720-358-1200</v>
      </c>
      <c r="F18" s="361" t="str">
        <f t="shared" si="5"/>
        <v>rpresshi-1025</v>
      </c>
      <c r="G18" s="366"/>
      <c r="H18" s="366"/>
      <c r="I18" s="525" t="s">
        <v>426</v>
      </c>
      <c r="J18" s="237"/>
      <c r="K18" s="525" t="s">
        <v>427</v>
      </c>
      <c r="L18" s="237"/>
      <c r="M18" s="237"/>
      <c r="N18" s="237"/>
      <c r="O18" s="237"/>
      <c r="P18" s="237"/>
      <c r="Q18" s="237"/>
      <c r="R18" s="237"/>
      <c r="S18" s="237"/>
      <c r="T18" s="239"/>
      <c r="U18" s="237"/>
      <c r="V18" s="237"/>
      <c r="W18" s="363"/>
      <c r="X18" s="521" t="s">
        <v>428</v>
      </c>
      <c r="Y18" s="240"/>
      <c r="Z18" s="364"/>
      <c r="AA18" s="526" t="s">
        <v>429</v>
      </c>
      <c r="AB18" s="526" t="s">
        <v>247</v>
      </c>
      <c r="AC18" s="526">
        <v>10453</v>
      </c>
      <c r="AD18" s="521" t="s">
        <v>401</v>
      </c>
      <c r="AE18" s="69"/>
      <c r="AF18" s="238"/>
      <c r="AG18" s="521">
        <v>1025</v>
      </c>
      <c r="AH18" s="522">
        <v>44971</v>
      </c>
      <c r="AI18" s="521">
        <v>150</v>
      </c>
      <c r="AX18" s="67" t="s">
        <v>196</v>
      </c>
    </row>
    <row r="19" spans="1:50" x14ac:dyDescent="0.3">
      <c r="A19" s="483" t="str">
        <f t="shared" si="0"/>
        <v>Residences at Shiloh Crossing</v>
      </c>
      <c r="B19" s="361" t="str">
        <f t="shared" si="1"/>
        <v>42-2638838</v>
      </c>
      <c r="C19" s="361" t="str">
        <f t="shared" si="2"/>
        <v>DE</v>
      </c>
      <c r="D19" s="362">
        <f t="shared" si="3"/>
        <v>43712</v>
      </c>
      <c r="E19" s="362" t="str">
        <f t="shared" si="4"/>
        <v>720-358-1200</v>
      </c>
      <c r="F19" s="361" t="str">
        <f t="shared" si="5"/>
        <v>rpresshi-1419</v>
      </c>
      <c r="G19" s="366"/>
      <c r="H19" s="366"/>
      <c r="I19" s="525" t="s">
        <v>430</v>
      </c>
      <c r="J19" s="237"/>
      <c r="K19" s="525" t="s">
        <v>431</v>
      </c>
      <c r="L19" s="237"/>
      <c r="M19" s="237"/>
      <c r="N19" s="237"/>
      <c r="O19" s="237"/>
      <c r="P19" s="237"/>
      <c r="Q19" s="237"/>
      <c r="R19" s="237"/>
      <c r="S19" s="237"/>
      <c r="T19" s="239"/>
      <c r="U19" s="237"/>
      <c r="V19" s="237"/>
      <c r="W19" s="363"/>
      <c r="X19" s="521" t="s">
        <v>432</v>
      </c>
      <c r="Y19" s="240"/>
      <c r="Z19" s="364"/>
      <c r="AA19" s="526" t="s">
        <v>433</v>
      </c>
      <c r="AB19" s="526" t="s">
        <v>170</v>
      </c>
      <c r="AC19" s="526">
        <v>95035</v>
      </c>
      <c r="AD19" s="521" t="s">
        <v>401</v>
      </c>
      <c r="AE19" s="69"/>
      <c r="AF19" s="238"/>
      <c r="AG19" s="521">
        <v>1419</v>
      </c>
      <c r="AH19" s="522">
        <v>45275</v>
      </c>
      <c r="AI19" s="521">
        <v>125.37</v>
      </c>
      <c r="AX19" s="67" t="s">
        <v>206</v>
      </c>
    </row>
    <row r="20" spans="1:50" x14ac:dyDescent="0.3">
      <c r="A20" s="483" t="str">
        <f t="shared" si="0"/>
        <v>Residences at Shiloh Crossing</v>
      </c>
      <c r="B20" s="361" t="str">
        <f t="shared" si="1"/>
        <v>42-2638838</v>
      </c>
      <c r="C20" s="361" t="str">
        <f t="shared" si="2"/>
        <v>DE</v>
      </c>
      <c r="D20" s="362">
        <f t="shared" si="3"/>
        <v>43712</v>
      </c>
      <c r="E20" s="362" t="str">
        <f t="shared" si="4"/>
        <v>720-358-1200</v>
      </c>
      <c r="F20" s="361" t="str">
        <f t="shared" si="5"/>
        <v>rpresshi-1350</v>
      </c>
      <c r="G20" s="366"/>
      <c r="H20" s="366"/>
      <c r="I20" s="525" t="s">
        <v>434</v>
      </c>
      <c r="J20" s="237"/>
      <c r="K20" s="525" t="s">
        <v>435</v>
      </c>
      <c r="L20" s="237"/>
      <c r="M20" s="237"/>
      <c r="N20" s="237"/>
      <c r="O20" s="237"/>
      <c r="P20" s="237"/>
      <c r="Q20" s="237"/>
      <c r="R20" s="237"/>
      <c r="S20" s="237"/>
      <c r="T20" s="239"/>
      <c r="U20" s="237"/>
      <c r="V20" s="237"/>
      <c r="W20" s="363"/>
      <c r="X20" s="521" t="s">
        <v>436</v>
      </c>
      <c r="Y20" s="240"/>
      <c r="Z20" s="364"/>
      <c r="AA20" s="526" t="s">
        <v>437</v>
      </c>
      <c r="AB20" s="526" t="s">
        <v>169</v>
      </c>
      <c r="AC20" s="526">
        <v>27519</v>
      </c>
      <c r="AD20" s="521" t="s">
        <v>401</v>
      </c>
      <c r="AE20" s="69"/>
      <c r="AF20" s="238"/>
      <c r="AG20" s="521">
        <v>1350</v>
      </c>
      <c r="AH20" s="522">
        <v>45275</v>
      </c>
      <c r="AI20" s="521">
        <v>123.73</v>
      </c>
      <c r="AX20" s="67" t="s">
        <v>203</v>
      </c>
    </row>
    <row r="21" spans="1:50" x14ac:dyDescent="0.3">
      <c r="A21" s="483" t="str">
        <f t="shared" si="0"/>
        <v>Residences at Shiloh Crossing</v>
      </c>
      <c r="B21" s="361" t="str">
        <f t="shared" si="1"/>
        <v>42-2638838</v>
      </c>
      <c r="C21" s="361" t="str">
        <f t="shared" si="2"/>
        <v>DE</v>
      </c>
      <c r="D21" s="362">
        <f t="shared" si="3"/>
        <v>43712</v>
      </c>
      <c r="E21" s="362" t="str">
        <f t="shared" si="4"/>
        <v>720-358-1200</v>
      </c>
      <c r="F21" s="361" t="str">
        <f t="shared" si="5"/>
        <v>rpresshi-1393</v>
      </c>
      <c r="G21" s="366"/>
      <c r="H21" s="366"/>
      <c r="I21" s="525" t="s">
        <v>438</v>
      </c>
      <c r="J21" s="237"/>
      <c r="K21" s="525" t="s">
        <v>439</v>
      </c>
      <c r="L21" s="237"/>
      <c r="M21" s="237"/>
      <c r="N21" s="237"/>
      <c r="O21" s="237"/>
      <c r="P21" s="237"/>
      <c r="Q21" s="237"/>
      <c r="R21" s="237"/>
      <c r="S21" s="237"/>
      <c r="T21" s="239"/>
      <c r="U21" s="237"/>
      <c r="V21" s="237"/>
      <c r="W21" s="363"/>
      <c r="X21" s="521" t="s">
        <v>440</v>
      </c>
      <c r="Y21" s="240"/>
      <c r="Z21" s="364"/>
      <c r="AA21" s="526" t="s">
        <v>399</v>
      </c>
      <c r="AB21" s="526" t="s">
        <v>169</v>
      </c>
      <c r="AC21" s="526">
        <v>27560</v>
      </c>
      <c r="AD21" s="521" t="s">
        <v>401</v>
      </c>
      <c r="AE21" s="69"/>
      <c r="AF21" s="238"/>
      <c r="AG21" s="521">
        <v>1393</v>
      </c>
      <c r="AH21" s="522">
        <v>45275</v>
      </c>
      <c r="AI21" s="521">
        <v>251.61</v>
      </c>
      <c r="AX21" s="67" t="s">
        <v>200</v>
      </c>
    </row>
    <row r="22" spans="1:50" x14ac:dyDescent="0.3">
      <c r="A22" s="483" t="str">
        <f t="shared" si="0"/>
        <v>Residences at Shiloh Crossing</v>
      </c>
      <c r="B22" s="361" t="str">
        <f t="shared" si="1"/>
        <v>42-2638838</v>
      </c>
      <c r="C22" s="361" t="str">
        <f t="shared" si="2"/>
        <v>DE</v>
      </c>
      <c r="D22" s="362">
        <f t="shared" si="3"/>
        <v>43712</v>
      </c>
      <c r="E22" s="362" t="str">
        <f t="shared" si="4"/>
        <v>720-358-1200</v>
      </c>
      <c r="F22" s="361" t="str">
        <f t="shared" si="5"/>
        <v>rpresshi-1385</v>
      </c>
      <c r="G22" s="366"/>
      <c r="H22" s="366"/>
      <c r="I22" s="525" t="s">
        <v>441</v>
      </c>
      <c r="J22" s="237"/>
      <c r="K22" s="525" t="s">
        <v>442</v>
      </c>
      <c r="L22" s="237"/>
      <c r="M22" s="237"/>
      <c r="N22" s="237"/>
      <c r="O22" s="237"/>
      <c r="P22" s="237"/>
      <c r="Q22" s="237"/>
      <c r="R22" s="237"/>
      <c r="S22" s="237"/>
      <c r="T22" s="239"/>
      <c r="U22" s="237"/>
      <c r="V22" s="237"/>
      <c r="W22" s="239"/>
      <c r="X22" s="521" t="s">
        <v>443</v>
      </c>
      <c r="Y22" s="240"/>
      <c r="Z22" s="240"/>
      <c r="AA22" s="526" t="s">
        <v>444</v>
      </c>
      <c r="AB22" s="526" t="s">
        <v>169</v>
      </c>
      <c r="AC22" s="526">
        <v>27514</v>
      </c>
      <c r="AD22" s="521" t="s">
        <v>401</v>
      </c>
      <c r="AE22" s="69"/>
      <c r="AF22" s="238"/>
      <c r="AG22" s="521">
        <v>1385</v>
      </c>
      <c r="AH22" s="522">
        <v>45275</v>
      </c>
      <c r="AI22" s="521">
        <v>188.46</v>
      </c>
      <c r="AX22" s="67" t="s">
        <v>209</v>
      </c>
    </row>
    <row r="23" spans="1:50" x14ac:dyDescent="0.3">
      <c r="A23" s="483" t="str">
        <f t="shared" si="0"/>
        <v>Residences at Shiloh Crossing</v>
      </c>
      <c r="B23" s="361" t="str">
        <f t="shared" si="1"/>
        <v>42-2638838</v>
      </c>
      <c r="C23" s="361" t="str">
        <f t="shared" si="2"/>
        <v>DE</v>
      </c>
      <c r="D23" s="362">
        <f t="shared" si="3"/>
        <v>43712</v>
      </c>
      <c r="E23" s="362" t="str">
        <f t="shared" si="4"/>
        <v>720-358-1200</v>
      </c>
      <c r="F23" s="361" t="str">
        <f t="shared" si="5"/>
        <v>rpresshi-1392</v>
      </c>
      <c r="G23" s="366"/>
      <c r="H23" s="366"/>
      <c r="I23" s="525" t="s">
        <v>445</v>
      </c>
      <c r="J23" s="237"/>
      <c r="K23" s="525" t="s">
        <v>446</v>
      </c>
      <c r="L23" s="237"/>
      <c r="M23" s="237"/>
      <c r="N23" s="237"/>
      <c r="O23" s="237"/>
      <c r="P23" s="237"/>
      <c r="Q23" s="237"/>
      <c r="R23" s="237"/>
      <c r="S23" s="237"/>
      <c r="T23" s="239"/>
      <c r="U23" s="237"/>
      <c r="V23" s="237"/>
      <c r="W23" s="363"/>
      <c r="X23" s="521" t="s">
        <v>447</v>
      </c>
      <c r="Y23" s="240"/>
      <c r="Z23" s="240"/>
      <c r="AA23" s="526" t="s">
        <v>448</v>
      </c>
      <c r="AB23" s="526" t="s">
        <v>169</v>
      </c>
      <c r="AC23" s="526">
        <v>27587</v>
      </c>
      <c r="AD23" s="521" t="s">
        <v>401</v>
      </c>
      <c r="AE23" s="69"/>
      <c r="AF23" s="238"/>
      <c r="AG23" s="521">
        <v>1392</v>
      </c>
      <c r="AH23" s="522">
        <v>45275</v>
      </c>
      <c r="AI23" s="521">
        <v>404.76</v>
      </c>
      <c r="AX23" s="67" t="s">
        <v>211</v>
      </c>
    </row>
    <row r="24" spans="1:50" x14ac:dyDescent="0.3">
      <c r="A24" s="483" t="str">
        <f t="shared" si="0"/>
        <v>Residences at Shiloh Crossing</v>
      </c>
      <c r="B24" s="361" t="str">
        <f t="shared" si="1"/>
        <v>42-2638838</v>
      </c>
      <c r="C24" s="361" t="str">
        <f t="shared" si="2"/>
        <v>DE</v>
      </c>
      <c r="D24" s="362">
        <f t="shared" si="3"/>
        <v>43712</v>
      </c>
      <c r="E24" s="362" t="str">
        <f t="shared" si="4"/>
        <v>720-358-1200</v>
      </c>
      <c r="F24" s="361" t="str">
        <f t="shared" si="5"/>
        <v>rpresshi-1478</v>
      </c>
      <c r="G24" s="366"/>
      <c r="H24" s="366"/>
      <c r="I24" s="525" t="s">
        <v>449</v>
      </c>
      <c r="J24" s="237"/>
      <c r="K24" s="525" t="s">
        <v>450</v>
      </c>
      <c r="L24" s="237"/>
      <c r="M24" s="237"/>
      <c r="N24" s="237"/>
      <c r="O24" s="237"/>
      <c r="P24" s="237"/>
      <c r="Q24" s="237"/>
      <c r="R24" s="237"/>
      <c r="S24" s="237"/>
      <c r="T24" s="239"/>
      <c r="U24" s="237"/>
      <c r="V24" s="237"/>
      <c r="W24" s="363"/>
      <c r="X24" s="521" t="s">
        <v>451</v>
      </c>
      <c r="Y24" s="240"/>
      <c r="Z24" s="240"/>
      <c r="AA24" s="526" t="s">
        <v>399</v>
      </c>
      <c r="AB24" s="526" t="s">
        <v>169</v>
      </c>
      <c r="AC24" s="526">
        <v>27560</v>
      </c>
      <c r="AD24" s="521" t="s">
        <v>401</v>
      </c>
      <c r="AE24" s="69"/>
      <c r="AF24" s="238"/>
      <c r="AG24" s="521">
        <v>1478</v>
      </c>
      <c r="AH24" s="522">
        <v>45275</v>
      </c>
      <c r="AI24" s="521">
        <v>123.76</v>
      </c>
      <c r="AX24" s="67" t="s">
        <v>215</v>
      </c>
    </row>
    <row r="25" spans="1:50" x14ac:dyDescent="0.3">
      <c r="A25" s="483" t="str">
        <f t="shared" si="0"/>
        <v>Residences at Shiloh Crossing</v>
      </c>
      <c r="B25" s="361" t="str">
        <f t="shared" si="1"/>
        <v>42-2638838</v>
      </c>
      <c r="C25" s="361" t="str">
        <f t="shared" si="2"/>
        <v>DE</v>
      </c>
      <c r="D25" s="362">
        <f t="shared" si="3"/>
        <v>43712</v>
      </c>
      <c r="E25" s="362" t="str">
        <f t="shared" si="4"/>
        <v>720-358-1200</v>
      </c>
      <c r="F25" s="361" t="str">
        <f t="shared" si="5"/>
        <v>rpresshi-1573</v>
      </c>
      <c r="G25" s="366"/>
      <c r="H25" s="366"/>
      <c r="I25" s="525" t="s">
        <v>452</v>
      </c>
      <c r="J25" s="237"/>
      <c r="K25" s="525" t="s">
        <v>453</v>
      </c>
      <c r="L25" s="237"/>
      <c r="M25" s="237"/>
      <c r="N25" s="237"/>
      <c r="O25" s="237"/>
      <c r="P25" s="237"/>
      <c r="Q25" s="237"/>
      <c r="R25" s="237"/>
      <c r="S25" s="237"/>
      <c r="T25" s="239"/>
      <c r="U25" s="237"/>
      <c r="V25" s="237"/>
      <c r="W25" s="239"/>
      <c r="X25" s="521" t="s">
        <v>454</v>
      </c>
      <c r="Y25" s="240"/>
      <c r="Z25" s="240"/>
      <c r="AA25" s="526" t="s">
        <v>399</v>
      </c>
      <c r="AB25" s="526" t="s">
        <v>169</v>
      </c>
      <c r="AC25" s="526">
        <v>27560</v>
      </c>
      <c r="AD25" s="521" t="s">
        <v>401</v>
      </c>
      <c r="AE25" s="69"/>
      <c r="AF25" s="238"/>
      <c r="AG25" s="521">
        <v>1573</v>
      </c>
      <c r="AH25" s="522">
        <v>45349</v>
      </c>
      <c r="AI25" s="521">
        <v>200</v>
      </c>
      <c r="AX25" s="67" t="s">
        <v>213</v>
      </c>
    </row>
    <row r="26" spans="1:50" x14ac:dyDescent="0.3">
      <c r="A26" s="483" t="str">
        <f t="shared" si="0"/>
        <v>Residences at Shiloh Crossing</v>
      </c>
      <c r="B26" s="361" t="str">
        <f t="shared" si="1"/>
        <v>42-2638838</v>
      </c>
      <c r="C26" s="361" t="str">
        <f t="shared" si="2"/>
        <v>DE</v>
      </c>
      <c r="D26" s="362">
        <f t="shared" si="3"/>
        <v>43712</v>
      </c>
      <c r="E26" s="362" t="str">
        <f t="shared" si="4"/>
        <v>720-358-1200</v>
      </c>
      <c r="F26" s="361" t="str">
        <f t="shared" si="5"/>
        <v>rpresshi-1596</v>
      </c>
      <c r="G26" s="366"/>
      <c r="H26" s="366"/>
      <c r="I26" s="525" t="s">
        <v>455</v>
      </c>
      <c r="J26" s="237"/>
      <c r="K26" s="525" t="s">
        <v>456</v>
      </c>
      <c r="L26" s="237"/>
      <c r="M26" s="237"/>
      <c r="N26" s="237"/>
      <c r="O26" s="237"/>
      <c r="P26" s="237"/>
      <c r="Q26" s="237"/>
      <c r="R26" s="237"/>
      <c r="S26" s="237"/>
      <c r="T26" s="239"/>
      <c r="U26" s="237"/>
      <c r="V26" s="237"/>
      <c r="W26" s="239"/>
      <c r="X26" s="521" t="s">
        <v>457</v>
      </c>
      <c r="Y26" s="240"/>
      <c r="Z26" s="240"/>
      <c r="AA26" s="526" t="s">
        <v>410</v>
      </c>
      <c r="AB26" s="526" t="s">
        <v>169</v>
      </c>
      <c r="AC26" s="526">
        <v>27703</v>
      </c>
      <c r="AD26" s="521" t="s">
        <v>401</v>
      </c>
      <c r="AE26" s="69"/>
      <c r="AF26" s="238"/>
      <c r="AG26" s="521">
        <v>1596</v>
      </c>
      <c r="AH26" s="522">
        <v>45349</v>
      </c>
      <c r="AI26" s="521">
        <v>4.57</v>
      </c>
      <c r="AX26" s="67" t="s">
        <v>217</v>
      </c>
    </row>
    <row r="27" spans="1:50" x14ac:dyDescent="0.3">
      <c r="A27" s="483" t="str">
        <f t="shared" si="0"/>
        <v>Residences at Shiloh Crossing</v>
      </c>
      <c r="B27" s="361" t="str">
        <f t="shared" si="1"/>
        <v>42-2638838</v>
      </c>
      <c r="C27" s="361" t="str">
        <f t="shared" si="2"/>
        <v>DE</v>
      </c>
      <c r="D27" s="362">
        <f t="shared" si="3"/>
        <v>43712</v>
      </c>
      <c r="E27" s="362" t="str">
        <f t="shared" si="4"/>
        <v>720-358-1200</v>
      </c>
      <c r="F27" s="361" t="str">
        <f t="shared" si="5"/>
        <v>rpresshi-1420</v>
      </c>
      <c r="G27" s="366"/>
      <c r="H27" s="366"/>
      <c r="I27" s="525" t="s">
        <v>458</v>
      </c>
      <c r="J27" s="237"/>
      <c r="K27" s="525" t="s">
        <v>459</v>
      </c>
      <c r="L27" s="237"/>
      <c r="M27" s="237"/>
      <c r="N27" s="237"/>
      <c r="O27" s="237"/>
      <c r="P27" s="237"/>
      <c r="Q27" s="237"/>
      <c r="R27" s="237"/>
      <c r="S27" s="237"/>
      <c r="T27" s="239"/>
      <c r="U27" s="237"/>
      <c r="V27" s="237"/>
      <c r="W27" s="239"/>
      <c r="X27" s="521" t="s">
        <v>460</v>
      </c>
      <c r="Y27" s="240"/>
      <c r="Z27" s="240"/>
      <c r="AA27" s="526" t="s">
        <v>437</v>
      </c>
      <c r="AB27" s="526" t="s">
        <v>169</v>
      </c>
      <c r="AC27" s="526">
        <v>27519</v>
      </c>
      <c r="AD27" s="521" t="s">
        <v>401</v>
      </c>
      <c r="AE27" s="69"/>
      <c r="AF27" s="238"/>
      <c r="AG27" s="521">
        <v>1420</v>
      </c>
      <c r="AH27" s="522">
        <v>45153</v>
      </c>
      <c r="AI27" s="521">
        <v>75</v>
      </c>
      <c r="AX27" s="67" t="s">
        <v>237</v>
      </c>
    </row>
    <row r="28" spans="1:50" x14ac:dyDescent="0.3">
      <c r="A28" s="483" t="str">
        <f t="shared" si="0"/>
        <v>Residences at Shiloh Crossing</v>
      </c>
      <c r="B28" s="361" t="str">
        <f t="shared" si="1"/>
        <v>42-2638838</v>
      </c>
      <c r="C28" s="361" t="str">
        <f t="shared" si="2"/>
        <v>DE</v>
      </c>
      <c r="D28" s="362">
        <f t="shared" si="3"/>
        <v>43712</v>
      </c>
      <c r="E28" s="362" t="str">
        <f t="shared" si="4"/>
        <v>720-358-1200</v>
      </c>
      <c r="F28" s="361" t="str">
        <f t="shared" si="5"/>
        <v>rpresshi-1480</v>
      </c>
      <c r="G28" s="366"/>
      <c r="H28" s="366"/>
      <c r="I28" s="525" t="s">
        <v>461</v>
      </c>
      <c r="J28" s="237"/>
      <c r="K28" s="525" t="s">
        <v>462</v>
      </c>
      <c r="L28" s="237"/>
      <c r="M28" s="237"/>
      <c r="N28" s="237"/>
      <c r="O28" s="237"/>
      <c r="P28" s="237"/>
      <c r="Q28" s="237"/>
      <c r="R28" s="237"/>
      <c r="S28" s="237"/>
      <c r="T28" s="239"/>
      <c r="U28" s="237"/>
      <c r="V28" s="237"/>
      <c r="W28" s="239"/>
      <c r="X28" s="521" t="s">
        <v>463</v>
      </c>
      <c r="Y28" s="240"/>
      <c r="Z28" s="240"/>
      <c r="AA28" s="526" t="s">
        <v>464</v>
      </c>
      <c r="AB28" s="526" t="s">
        <v>200</v>
      </c>
      <c r="AC28" s="526" t="s">
        <v>465</v>
      </c>
      <c r="AD28" s="521" t="s">
        <v>401</v>
      </c>
      <c r="AE28" s="69"/>
      <c r="AF28" s="238"/>
      <c r="AG28" s="521">
        <v>1480</v>
      </c>
      <c r="AH28" s="522">
        <v>45175</v>
      </c>
      <c r="AI28" s="521">
        <v>150</v>
      </c>
      <c r="AX28" s="67" t="s">
        <v>246</v>
      </c>
    </row>
    <row r="29" spans="1:50" x14ac:dyDescent="0.3">
      <c r="A29" s="483" t="str">
        <f t="shared" si="0"/>
        <v>Residences at Shiloh Crossing</v>
      </c>
      <c r="B29" s="361" t="str">
        <f t="shared" si="1"/>
        <v>42-2638838</v>
      </c>
      <c r="C29" s="361" t="str">
        <f t="shared" si="2"/>
        <v>DE</v>
      </c>
      <c r="D29" s="362">
        <f t="shared" si="3"/>
        <v>43712</v>
      </c>
      <c r="E29" s="362" t="str">
        <f t="shared" si="4"/>
        <v>720-358-1200</v>
      </c>
      <c r="F29" s="361" t="str">
        <f t="shared" si="5"/>
        <v>rpresshi-1481</v>
      </c>
      <c r="G29" s="366"/>
      <c r="H29" s="366"/>
      <c r="I29" s="525" t="s">
        <v>466</v>
      </c>
      <c r="J29" s="237"/>
      <c r="K29" s="525" t="s">
        <v>467</v>
      </c>
      <c r="L29" s="237"/>
      <c r="M29" s="237"/>
      <c r="N29" s="237"/>
      <c r="O29" s="237"/>
      <c r="P29" s="237"/>
      <c r="Q29" s="237"/>
      <c r="R29" s="237"/>
      <c r="S29" s="237"/>
      <c r="T29" s="239"/>
      <c r="U29" s="237"/>
      <c r="V29" s="237"/>
      <c r="W29" s="239"/>
      <c r="X29" s="521" t="s">
        <v>468</v>
      </c>
      <c r="Y29" s="240"/>
      <c r="Z29" s="240"/>
      <c r="AA29" s="526" t="s">
        <v>399</v>
      </c>
      <c r="AB29" s="526" t="s">
        <v>169</v>
      </c>
      <c r="AC29" s="526">
        <v>27703</v>
      </c>
      <c r="AD29" s="521" t="s">
        <v>401</v>
      </c>
      <c r="AE29" s="69"/>
      <c r="AF29" s="238"/>
      <c r="AG29" s="521">
        <v>1481</v>
      </c>
      <c r="AH29" s="522">
        <v>45175</v>
      </c>
      <c r="AI29" s="521">
        <v>150</v>
      </c>
      <c r="AX29" s="67" t="s">
        <v>241</v>
      </c>
    </row>
    <row r="30" spans="1:50" x14ac:dyDescent="0.3">
      <c r="A30" s="483" t="str">
        <f t="shared" si="0"/>
        <v>Residences at Shiloh Crossing</v>
      </c>
      <c r="B30" s="361" t="str">
        <f t="shared" si="1"/>
        <v>42-2638838</v>
      </c>
      <c r="C30" s="361" t="str">
        <f t="shared" si="2"/>
        <v>DE</v>
      </c>
      <c r="D30" s="362">
        <f t="shared" si="3"/>
        <v>43712</v>
      </c>
      <c r="E30" s="362" t="str">
        <f t="shared" si="4"/>
        <v>720-358-1200</v>
      </c>
      <c r="F30" s="361" t="str">
        <f t="shared" si="5"/>
        <v>rpresshi-1567</v>
      </c>
      <c r="G30" s="366"/>
      <c r="H30" s="366"/>
      <c r="I30" s="525" t="s">
        <v>469</v>
      </c>
      <c r="J30" s="237"/>
      <c r="K30" s="525" t="s">
        <v>470</v>
      </c>
      <c r="L30" s="237"/>
      <c r="M30" s="237"/>
      <c r="N30" s="237"/>
      <c r="O30" s="237"/>
      <c r="P30" s="237"/>
      <c r="Q30" s="237"/>
      <c r="R30" s="237"/>
      <c r="S30" s="237"/>
      <c r="T30" s="239"/>
      <c r="U30" s="237"/>
      <c r="V30" s="237"/>
      <c r="W30" s="239"/>
      <c r="X30" s="521" t="s">
        <v>471</v>
      </c>
      <c r="Y30" s="240"/>
      <c r="Z30" s="240"/>
      <c r="AA30" s="526" t="s">
        <v>472</v>
      </c>
      <c r="AB30" s="526" t="s">
        <v>186</v>
      </c>
      <c r="AC30" s="526">
        <v>46038</v>
      </c>
      <c r="AD30" s="521" t="s">
        <v>401</v>
      </c>
      <c r="AE30" s="69"/>
      <c r="AF30" s="238"/>
      <c r="AG30" s="521">
        <v>1567</v>
      </c>
      <c r="AH30" s="522">
        <v>45212</v>
      </c>
      <c r="AI30" s="521">
        <v>150</v>
      </c>
      <c r="AX30" s="67" t="s">
        <v>243</v>
      </c>
    </row>
    <row r="31" spans="1:50" x14ac:dyDescent="0.3">
      <c r="A31" s="483" t="str">
        <f t="shared" si="0"/>
        <v>Residences at Shiloh Crossing</v>
      </c>
      <c r="B31" s="361" t="str">
        <f t="shared" si="1"/>
        <v>42-2638838</v>
      </c>
      <c r="C31" s="361" t="str">
        <f t="shared" si="2"/>
        <v>DE</v>
      </c>
      <c r="D31" s="362">
        <f t="shared" si="3"/>
        <v>43712</v>
      </c>
      <c r="E31" s="362" t="str">
        <f t="shared" si="4"/>
        <v>720-358-1200</v>
      </c>
      <c r="F31" s="361" t="str">
        <f t="shared" si="5"/>
        <v>rpresshi-1210</v>
      </c>
      <c r="G31" s="366"/>
      <c r="H31" s="366"/>
      <c r="I31" s="525" t="s">
        <v>473</v>
      </c>
      <c r="J31" s="237"/>
      <c r="K31" s="525" t="s">
        <v>474</v>
      </c>
      <c r="L31" s="237"/>
      <c r="M31" s="237"/>
      <c r="N31" s="237"/>
      <c r="O31" s="237"/>
      <c r="P31" s="237"/>
      <c r="Q31" s="237"/>
      <c r="R31" s="237"/>
      <c r="S31" s="237"/>
      <c r="T31" s="239"/>
      <c r="U31" s="237"/>
      <c r="V31" s="237"/>
      <c r="W31" s="239"/>
      <c r="X31" s="521" t="s">
        <v>475</v>
      </c>
      <c r="Y31" s="240"/>
      <c r="Z31" s="240"/>
      <c r="AA31" s="526" t="s">
        <v>399</v>
      </c>
      <c r="AB31" s="526" t="s">
        <v>169</v>
      </c>
      <c r="AC31" s="526">
        <v>27560</v>
      </c>
      <c r="AD31" s="521" t="s">
        <v>401</v>
      </c>
      <c r="AE31" s="69"/>
      <c r="AF31" s="238"/>
      <c r="AG31" s="521">
        <v>1210</v>
      </c>
      <c r="AH31" s="522">
        <v>45056</v>
      </c>
      <c r="AI31" s="521">
        <v>150</v>
      </c>
      <c r="AX31" s="67" t="s">
        <v>245</v>
      </c>
    </row>
    <row r="32" spans="1:50" x14ac:dyDescent="0.3">
      <c r="A32" s="483" t="str">
        <f t="shared" si="0"/>
        <v>Residences at Shiloh Crossing</v>
      </c>
      <c r="B32" s="361" t="str">
        <f t="shared" si="1"/>
        <v>42-2638838</v>
      </c>
      <c r="C32" s="361" t="str">
        <f t="shared" si="2"/>
        <v>DE</v>
      </c>
      <c r="D32" s="362">
        <f t="shared" si="3"/>
        <v>43712</v>
      </c>
      <c r="E32" s="362" t="str">
        <f t="shared" si="4"/>
        <v>720-358-1200</v>
      </c>
      <c r="F32" s="361" t="str">
        <f t="shared" si="5"/>
        <v>rpresshi-9999</v>
      </c>
      <c r="G32" s="366"/>
      <c r="H32" s="366"/>
      <c r="I32" s="525" t="s">
        <v>476</v>
      </c>
      <c r="J32" s="237"/>
      <c r="K32" s="525" t="s">
        <v>477</v>
      </c>
      <c r="L32" s="237"/>
      <c r="M32" s="237"/>
      <c r="N32" s="237"/>
      <c r="O32" s="237"/>
      <c r="P32" s="237"/>
      <c r="Q32" s="237"/>
      <c r="R32" s="237"/>
      <c r="S32" s="237"/>
      <c r="T32" s="239"/>
      <c r="U32" s="237"/>
      <c r="V32" s="237"/>
      <c r="W32" s="239"/>
      <c r="X32" s="521" t="s">
        <v>478</v>
      </c>
      <c r="Y32" s="240"/>
      <c r="Z32" s="240"/>
      <c r="AA32" s="526" t="s">
        <v>479</v>
      </c>
      <c r="AB32" s="526" t="s">
        <v>169</v>
      </c>
      <c r="AC32" s="526">
        <v>27607</v>
      </c>
      <c r="AD32" s="521" t="s">
        <v>401</v>
      </c>
      <c r="AE32" s="69"/>
      <c r="AF32" s="238"/>
      <c r="AG32" s="521">
        <v>9999</v>
      </c>
      <c r="AH32" s="522">
        <v>45404</v>
      </c>
      <c r="AI32" s="521">
        <v>150</v>
      </c>
      <c r="AX32" s="67" t="s">
        <v>247</v>
      </c>
    </row>
    <row r="33" spans="1:50" x14ac:dyDescent="0.3">
      <c r="A33" s="483" t="str">
        <f t="shared" si="0"/>
        <v>Residences at Shiloh Crossing</v>
      </c>
      <c r="B33" s="361" t="str">
        <f t="shared" si="1"/>
        <v>42-2638838</v>
      </c>
      <c r="C33" s="361" t="str">
        <f t="shared" si="2"/>
        <v>DE</v>
      </c>
      <c r="D33" s="362">
        <f t="shared" si="3"/>
        <v>43712</v>
      </c>
      <c r="E33" s="362" t="str">
        <f t="shared" si="4"/>
        <v>720-358-1200</v>
      </c>
      <c r="F33" s="361" t="str">
        <f t="shared" si="5"/>
        <v>rpresshi-1717</v>
      </c>
      <c r="G33" s="366"/>
      <c r="H33" s="366"/>
      <c r="I33" s="525" t="s">
        <v>480</v>
      </c>
      <c r="J33" s="237"/>
      <c r="K33" s="525" t="s">
        <v>413</v>
      </c>
      <c r="L33" s="237"/>
      <c r="M33" s="237"/>
      <c r="N33" s="237"/>
      <c r="O33" s="237"/>
      <c r="P33" s="237"/>
      <c r="Q33" s="237"/>
      <c r="R33" s="237"/>
      <c r="S33" s="237"/>
      <c r="T33" s="239"/>
      <c r="U33" s="237"/>
      <c r="V33" s="237"/>
      <c r="W33" s="239"/>
      <c r="X33" s="521" t="s">
        <v>481</v>
      </c>
      <c r="Y33" s="240"/>
      <c r="Z33" s="240"/>
      <c r="AA33" s="526" t="s">
        <v>399</v>
      </c>
      <c r="AB33" s="526" t="s">
        <v>169</v>
      </c>
      <c r="AC33" s="526">
        <v>27560</v>
      </c>
      <c r="AD33" s="521" t="s">
        <v>401</v>
      </c>
      <c r="AE33" s="69"/>
      <c r="AF33" s="238"/>
      <c r="AG33" s="521">
        <v>1717</v>
      </c>
      <c r="AH33" s="522">
        <v>45489</v>
      </c>
      <c r="AI33" s="521">
        <v>19.16</v>
      </c>
      <c r="AX33" s="67" t="s">
        <v>169</v>
      </c>
    </row>
    <row r="34" spans="1:50" x14ac:dyDescent="0.3">
      <c r="A34" s="483" t="str">
        <f t="shared" si="0"/>
        <v>Residences at Shiloh Crossing</v>
      </c>
      <c r="B34" s="361" t="str">
        <f t="shared" si="1"/>
        <v>42-2638838</v>
      </c>
      <c r="C34" s="361" t="str">
        <f t="shared" si="2"/>
        <v>DE</v>
      </c>
      <c r="D34" s="362">
        <f t="shared" si="3"/>
        <v>43712</v>
      </c>
      <c r="E34" s="362" t="str">
        <f t="shared" si="4"/>
        <v>720-358-1200</v>
      </c>
      <c r="F34" s="361" t="str">
        <f t="shared" si="5"/>
        <v>rpresshi-1661</v>
      </c>
      <c r="G34" s="366"/>
      <c r="H34" s="366"/>
      <c r="I34" s="525" t="s">
        <v>482</v>
      </c>
      <c r="J34" s="237"/>
      <c r="K34" s="525" t="s">
        <v>483</v>
      </c>
      <c r="L34" s="237"/>
      <c r="M34" s="237"/>
      <c r="N34" s="237"/>
      <c r="O34" s="237"/>
      <c r="P34" s="237"/>
      <c r="Q34" s="237"/>
      <c r="R34" s="237"/>
      <c r="S34" s="237"/>
      <c r="T34" s="239"/>
      <c r="U34" s="237"/>
      <c r="V34" s="237"/>
      <c r="W34" s="239"/>
      <c r="X34" s="521" t="s">
        <v>484</v>
      </c>
      <c r="Y34" s="240"/>
      <c r="Z34" s="240"/>
      <c r="AA34" s="526" t="s">
        <v>399</v>
      </c>
      <c r="AB34" s="526" t="s">
        <v>169</v>
      </c>
      <c r="AC34" s="526">
        <v>27560</v>
      </c>
      <c r="AD34" s="521" t="s">
        <v>401</v>
      </c>
      <c r="AE34" s="69"/>
      <c r="AF34" s="238"/>
      <c r="AG34" s="521">
        <v>1661</v>
      </c>
      <c r="AH34" s="522">
        <v>45489</v>
      </c>
      <c r="AI34" s="521">
        <v>22.73</v>
      </c>
      <c r="AX34" s="67" t="s">
        <v>232</v>
      </c>
    </row>
    <row r="35" spans="1:50" x14ac:dyDescent="0.3">
      <c r="A35" s="483" t="str">
        <f t="shared" si="0"/>
        <v>Residences at Shiloh Crossing</v>
      </c>
      <c r="B35" s="361" t="str">
        <f t="shared" si="1"/>
        <v>42-2638838</v>
      </c>
      <c r="C35" s="361" t="str">
        <f t="shared" si="2"/>
        <v>DE</v>
      </c>
      <c r="D35" s="362">
        <f t="shared" si="3"/>
        <v>43712</v>
      </c>
      <c r="E35" s="362" t="str">
        <f t="shared" si="4"/>
        <v>720-358-1200</v>
      </c>
      <c r="F35" s="361" t="str">
        <f t="shared" si="5"/>
        <v>rpresshi-1753</v>
      </c>
      <c r="G35" s="366"/>
      <c r="H35" s="366"/>
      <c r="I35" s="525" t="s">
        <v>485</v>
      </c>
      <c r="J35" s="237"/>
      <c r="K35" s="525" t="s">
        <v>486</v>
      </c>
      <c r="L35" s="237"/>
      <c r="M35" s="237"/>
      <c r="N35" s="237"/>
      <c r="O35" s="237"/>
      <c r="P35" s="237"/>
      <c r="Q35" s="237"/>
      <c r="R35" s="237"/>
      <c r="S35" s="237"/>
      <c r="T35" s="239"/>
      <c r="U35" s="237"/>
      <c r="V35" s="237"/>
      <c r="W35" s="239"/>
      <c r="X35" s="521" t="s">
        <v>487</v>
      </c>
      <c r="Y35" s="240"/>
      <c r="Z35" s="240"/>
      <c r="AA35" s="526" t="s">
        <v>488</v>
      </c>
      <c r="AB35" s="526" t="s">
        <v>169</v>
      </c>
      <c r="AC35" s="526">
        <v>27562</v>
      </c>
      <c r="AD35" s="521" t="s">
        <v>401</v>
      </c>
      <c r="AE35" s="69"/>
      <c r="AF35" s="238"/>
      <c r="AG35" s="521">
        <v>1753</v>
      </c>
      <c r="AH35" s="522">
        <v>45489</v>
      </c>
      <c r="AI35" s="521">
        <v>109.11</v>
      </c>
      <c r="AX35" s="67" t="s">
        <v>248</v>
      </c>
    </row>
    <row r="36" spans="1:50" x14ac:dyDescent="0.3">
      <c r="A36" s="483" t="str">
        <f t="shared" si="0"/>
        <v>Residences at Shiloh Crossing</v>
      </c>
      <c r="B36" s="361" t="str">
        <f t="shared" si="1"/>
        <v>42-2638838</v>
      </c>
      <c r="C36" s="361" t="str">
        <f t="shared" si="2"/>
        <v>DE</v>
      </c>
      <c r="D36" s="362">
        <f t="shared" si="3"/>
        <v>43712</v>
      </c>
      <c r="E36" s="362" t="str">
        <f t="shared" si="4"/>
        <v>720-358-1200</v>
      </c>
      <c r="F36" s="361" t="str">
        <f t="shared" si="5"/>
        <v>rpresshi-1721</v>
      </c>
      <c r="G36" s="366"/>
      <c r="H36" s="366"/>
      <c r="I36" s="525" t="s">
        <v>489</v>
      </c>
      <c r="J36" s="237"/>
      <c r="K36" s="525" t="s">
        <v>490</v>
      </c>
      <c r="L36" s="237"/>
      <c r="M36" s="237"/>
      <c r="N36" s="237"/>
      <c r="O36" s="237"/>
      <c r="P36" s="237"/>
      <c r="Q36" s="237"/>
      <c r="R36" s="237"/>
      <c r="S36" s="237"/>
      <c r="T36" s="239"/>
      <c r="U36" s="237"/>
      <c r="V36" s="237"/>
      <c r="W36" s="239"/>
      <c r="X36" s="521" t="s">
        <v>491</v>
      </c>
      <c r="Y36" s="240"/>
      <c r="Z36" s="240"/>
      <c r="AA36" s="526" t="s">
        <v>410</v>
      </c>
      <c r="AB36" s="526" t="s">
        <v>169</v>
      </c>
      <c r="AC36" s="526">
        <v>27705</v>
      </c>
      <c r="AD36" s="521" t="s">
        <v>401</v>
      </c>
      <c r="AE36" s="69"/>
      <c r="AF36" s="238"/>
      <c r="AG36" s="521">
        <v>1721</v>
      </c>
      <c r="AH36" s="522">
        <v>45489</v>
      </c>
      <c r="AI36" s="521">
        <v>150</v>
      </c>
      <c r="AX36" s="67" t="s">
        <v>249</v>
      </c>
    </row>
    <row r="37" spans="1:50" x14ac:dyDescent="0.3">
      <c r="A37" s="483" t="str">
        <f t="shared" si="0"/>
        <v>Residences at Shiloh Crossing</v>
      </c>
      <c r="B37" s="361" t="str">
        <f t="shared" si="1"/>
        <v>42-2638838</v>
      </c>
      <c r="C37" s="361" t="str">
        <f t="shared" si="2"/>
        <v>DE</v>
      </c>
      <c r="D37" s="362">
        <f t="shared" si="3"/>
        <v>43712</v>
      </c>
      <c r="E37" s="362" t="str">
        <f t="shared" si="4"/>
        <v>720-358-1200</v>
      </c>
      <c r="F37" s="361" t="str">
        <f t="shared" si="5"/>
        <v>rpresshi-1719</v>
      </c>
      <c r="G37" s="366"/>
      <c r="H37" s="366"/>
      <c r="I37" s="525" t="s">
        <v>492</v>
      </c>
      <c r="J37" s="237"/>
      <c r="K37" s="525" t="s">
        <v>493</v>
      </c>
      <c r="L37" s="237"/>
      <c r="M37" s="237"/>
      <c r="N37" s="237"/>
      <c r="O37" s="237"/>
      <c r="P37" s="237"/>
      <c r="Q37" s="237"/>
      <c r="R37" s="237"/>
      <c r="S37" s="237"/>
      <c r="T37" s="239"/>
      <c r="U37" s="237"/>
      <c r="V37" s="237"/>
      <c r="W37" s="239"/>
      <c r="X37" s="521" t="s">
        <v>494</v>
      </c>
      <c r="Y37" s="240"/>
      <c r="Z37" s="240"/>
      <c r="AA37" s="526" t="s">
        <v>399</v>
      </c>
      <c r="AB37" s="526" t="s">
        <v>169</v>
      </c>
      <c r="AC37" s="526">
        <v>27560</v>
      </c>
      <c r="AD37" s="521" t="s">
        <v>401</v>
      </c>
      <c r="AE37" s="69"/>
      <c r="AF37" s="238"/>
      <c r="AG37" s="521">
        <v>1719</v>
      </c>
      <c r="AH37" s="522">
        <v>45489</v>
      </c>
      <c r="AI37" s="521">
        <v>200</v>
      </c>
      <c r="AX37" s="67" t="s">
        <v>250</v>
      </c>
    </row>
    <row r="38" spans="1:50" x14ac:dyDescent="0.3">
      <c r="A38" s="483" t="str">
        <f t="shared" si="0"/>
        <v>Residences at Shiloh Crossing</v>
      </c>
      <c r="B38" s="361" t="str">
        <f t="shared" si="1"/>
        <v>42-2638838</v>
      </c>
      <c r="C38" s="361" t="str">
        <f t="shared" si="2"/>
        <v>DE</v>
      </c>
      <c r="D38" s="362">
        <f t="shared" si="3"/>
        <v>43712</v>
      </c>
      <c r="E38" s="362" t="str">
        <f t="shared" si="4"/>
        <v>720-358-1200</v>
      </c>
      <c r="F38" s="361" t="str">
        <f t="shared" si="5"/>
        <v>rpresshi-1718</v>
      </c>
      <c r="G38" s="366"/>
      <c r="H38" s="366"/>
      <c r="I38" s="525" t="s">
        <v>495</v>
      </c>
      <c r="J38" s="237"/>
      <c r="K38" s="525" t="s">
        <v>496</v>
      </c>
      <c r="L38" s="237"/>
      <c r="M38" s="237"/>
      <c r="N38" s="237"/>
      <c r="O38" s="237"/>
      <c r="P38" s="237"/>
      <c r="Q38" s="237"/>
      <c r="R38" s="237"/>
      <c r="S38" s="237"/>
      <c r="T38" s="239"/>
      <c r="U38" s="237"/>
      <c r="V38" s="237"/>
      <c r="W38" s="239"/>
      <c r="X38" s="521" t="s">
        <v>497</v>
      </c>
      <c r="Y38" s="240"/>
      <c r="Z38" s="240"/>
      <c r="AA38" s="526" t="s">
        <v>498</v>
      </c>
      <c r="AB38" s="526" t="s">
        <v>169</v>
      </c>
      <c r="AC38" s="526">
        <v>28206</v>
      </c>
      <c r="AD38" s="521" t="s">
        <v>401</v>
      </c>
      <c r="AE38" s="69"/>
      <c r="AF38" s="238"/>
      <c r="AG38" s="521">
        <v>1718</v>
      </c>
      <c r="AH38" s="522">
        <v>45489</v>
      </c>
      <c r="AI38" s="521">
        <v>150</v>
      </c>
      <c r="AX38" s="67" t="s">
        <v>251</v>
      </c>
    </row>
    <row r="39" spans="1:50" x14ac:dyDescent="0.3">
      <c r="A39" s="483" t="str">
        <f t="shared" si="0"/>
        <v>Residences at Shiloh Crossing</v>
      </c>
      <c r="B39" s="361" t="str">
        <f t="shared" si="1"/>
        <v>42-2638838</v>
      </c>
      <c r="C39" s="361" t="str">
        <f t="shared" si="2"/>
        <v>DE</v>
      </c>
      <c r="D39" s="362">
        <f t="shared" si="3"/>
        <v>43712</v>
      </c>
      <c r="E39" s="362" t="str">
        <f t="shared" si="4"/>
        <v>720-358-1200</v>
      </c>
      <c r="F39" s="361" t="str">
        <f t="shared" si="5"/>
        <v>rpresshi-1722</v>
      </c>
      <c r="G39" s="366"/>
      <c r="H39" s="366"/>
      <c r="I39" s="525" t="s">
        <v>499</v>
      </c>
      <c r="J39" s="237"/>
      <c r="K39" s="525" t="s">
        <v>500</v>
      </c>
      <c r="L39" s="237"/>
      <c r="M39" s="237"/>
      <c r="N39" s="237"/>
      <c r="O39" s="237"/>
      <c r="P39" s="237"/>
      <c r="Q39" s="237"/>
      <c r="R39" s="237"/>
      <c r="S39" s="237"/>
      <c r="T39" s="239"/>
      <c r="U39" s="237"/>
      <c r="V39" s="237"/>
      <c r="W39" s="239"/>
      <c r="X39" s="521" t="s">
        <v>501</v>
      </c>
      <c r="Y39" s="240"/>
      <c r="Z39" s="240"/>
      <c r="AA39" s="526" t="s">
        <v>410</v>
      </c>
      <c r="AB39" s="526" t="s">
        <v>169</v>
      </c>
      <c r="AC39" s="526">
        <v>27703</v>
      </c>
      <c r="AD39" s="521" t="s">
        <v>401</v>
      </c>
      <c r="AE39" s="69"/>
      <c r="AF39" s="238"/>
      <c r="AG39" s="521">
        <v>1722</v>
      </c>
      <c r="AH39" s="522">
        <v>45489</v>
      </c>
      <c r="AI39" s="521">
        <v>150</v>
      </c>
      <c r="AX39" s="67" t="s">
        <v>252</v>
      </c>
    </row>
    <row r="40" spans="1:50" ht="26" x14ac:dyDescent="0.3">
      <c r="A40" s="483" t="str">
        <f t="shared" si="0"/>
        <v>Residences at Shiloh Crossing</v>
      </c>
      <c r="B40" s="361" t="str">
        <f t="shared" si="1"/>
        <v>42-2638838</v>
      </c>
      <c r="C40" s="361" t="str">
        <f t="shared" si="2"/>
        <v>DE</v>
      </c>
      <c r="D40" s="362">
        <f t="shared" si="3"/>
        <v>43712</v>
      </c>
      <c r="E40" s="362" t="str">
        <f t="shared" si="4"/>
        <v>720-358-1200</v>
      </c>
      <c r="F40" s="361" t="str">
        <f t="shared" si="5"/>
        <v>rpresshi-1756</v>
      </c>
      <c r="G40" s="366"/>
      <c r="H40" s="366"/>
      <c r="I40" s="525" t="s">
        <v>502</v>
      </c>
      <c r="J40" s="237"/>
      <c r="K40" s="525" t="s">
        <v>503</v>
      </c>
      <c r="L40" s="237"/>
      <c r="M40" s="237"/>
      <c r="N40" s="237"/>
      <c r="O40" s="237"/>
      <c r="P40" s="237"/>
      <c r="Q40" s="237"/>
      <c r="R40" s="237"/>
      <c r="S40" s="237"/>
      <c r="T40" s="239"/>
      <c r="U40" s="237"/>
      <c r="V40" s="237"/>
      <c r="W40" s="239"/>
      <c r="X40" s="521" t="s">
        <v>504</v>
      </c>
      <c r="Y40" s="240"/>
      <c r="Z40" s="240"/>
      <c r="AA40" s="526" t="s">
        <v>505</v>
      </c>
      <c r="AB40" s="526" t="s">
        <v>169</v>
      </c>
      <c r="AC40" s="526">
        <v>27520</v>
      </c>
      <c r="AD40" s="521" t="s">
        <v>401</v>
      </c>
      <c r="AE40" s="69"/>
      <c r="AF40" s="238"/>
      <c r="AG40" s="521">
        <v>1756</v>
      </c>
      <c r="AH40" s="522">
        <v>45489</v>
      </c>
      <c r="AI40" s="521">
        <v>150</v>
      </c>
      <c r="AX40" s="67" t="s">
        <v>253</v>
      </c>
    </row>
    <row r="41" spans="1:50" x14ac:dyDescent="0.3">
      <c r="A41" s="483" t="str">
        <f t="shared" si="0"/>
        <v>Residences at Shiloh Crossing</v>
      </c>
      <c r="B41" s="361" t="str">
        <f t="shared" si="1"/>
        <v>42-2638838</v>
      </c>
      <c r="C41" s="361" t="str">
        <f t="shared" si="2"/>
        <v>DE</v>
      </c>
      <c r="D41" s="362">
        <f t="shared" si="3"/>
        <v>43712</v>
      </c>
      <c r="E41" s="362" t="str">
        <f t="shared" si="4"/>
        <v>720-358-1200</v>
      </c>
      <c r="F41" s="361" t="str">
        <f t="shared" si="5"/>
        <v>rpresshi-1660</v>
      </c>
      <c r="G41" s="366"/>
      <c r="H41" s="366"/>
      <c r="I41" s="525" t="s">
        <v>506</v>
      </c>
      <c r="J41" s="237"/>
      <c r="K41" s="525" t="s">
        <v>507</v>
      </c>
      <c r="L41" s="237"/>
      <c r="M41" s="237"/>
      <c r="N41" s="237"/>
      <c r="O41" s="237"/>
      <c r="P41" s="237"/>
      <c r="Q41" s="237"/>
      <c r="R41" s="237"/>
      <c r="S41" s="237"/>
      <c r="T41" s="239"/>
      <c r="U41" s="237"/>
      <c r="V41" s="237"/>
      <c r="W41" s="239"/>
      <c r="X41" s="521" t="s">
        <v>508</v>
      </c>
      <c r="Y41" s="240"/>
      <c r="Z41" s="240"/>
      <c r="AA41" s="526" t="s">
        <v>437</v>
      </c>
      <c r="AB41" s="526" t="s">
        <v>169</v>
      </c>
      <c r="AC41" s="526">
        <v>27511</v>
      </c>
      <c r="AD41" s="521" t="s">
        <v>401</v>
      </c>
      <c r="AE41" s="69"/>
      <c r="AF41" s="238"/>
      <c r="AG41" s="521">
        <v>1660</v>
      </c>
      <c r="AH41" s="522">
        <v>45489</v>
      </c>
      <c r="AI41" s="521">
        <v>150</v>
      </c>
      <c r="AX41" s="67" t="s">
        <v>509</v>
      </c>
    </row>
    <row r="42" spans="1:50" x14ac:dyDescent="0.3">
      <c r="A42" s="483" t="str">
        <f t="shared" si="0"/>
        <v>Residences at Shiloh Crossing</v>
      </c>
      <c r="B42" s="361" t="str">
        <f t="shared" si="1"/>
        <v>42-2638838</v>
      </c>
      <c r="C42" s="361" t="str">
        <f t="shared" si="2"/>
        <v>DE</v>
      </c>
      <c r="D42" s="362">
        <f t="shared" si="3"/>
        <v>43712</v>
      </c>
      <c r="E42" s="362" t="str">
        <f t="shared" si="4"/>
        <v>720-358-1200</v>
      </c>
      <c r="F42" s="361" t="str">
        <f t="shared" si="5"/>
        <v>rpresshi-1659</v>
      </c>
      <c r="G42" s="366"/>
      <c r="H42" s="366"/>
      <c r="I42" s="525" t="s">
        <v>510</v>
      </c>
      <c r="J42" s="237"/>
      <c r="K42" s="525" t="s">
        <v>511</v>
      </c>
      <c r="L42" s="237"/>
      <c r="M42" s="237"/>
      <c r="N42" s="237"/>
      <c r="O42" s="237"/>
      <c r="P42" s="237"/>
      <c r="Q42" s="237"/>
      <c r="R42" s="237"/>
      <c r="S42" s="237"/>
      <c r="T42" s="239"/>
      <c r="U42" s="237"/>
      <c r="V42" s="237"/>
      <c r="W42" s="239"/>
      <c r="X42" s="521" t="s">
        <v>512</v>
      </c>
      <c r="Y42" s="240"/>
      <c r="Z42" s="240"/>
      <c r="AA42" s="526" t="s">
        <v>513</v>
      </c>
      <c r="AB42" s="526" t="s">
        <v>169</v>
      </c>
      <c r="AC42" s="526">
        <v>27302</v>
      </c>
      <c r="AD42" s="521" t="s">
        <v>401</v>
      </c>
      <c r="AE42" s="69"/>
      <c r="AF42" s="238"/>
      <c r="AG42" s="521">
        <v>1659</v>
      </c>
      <c r="AH42" s="522">
        <v>45489</v>
      </c>
      <c r="AI42" s="521">
        <v>150</v>
      </c>
      <c r="AX42" s="67" t="s">
        <v>254</v>
      </c>
    </row>
    <row r="43" spans="1:50" x14ac:dyDescent="0.3">
      <c r="A43" s="483" t="str">
        <f t="shared" si="0"/>
        <v>Residences at Shiloh Crossing</v>
      </c>
      <c r="B43" s="361" t="str">
        <f t="shared" si="1"/>
        <v>42-2638838</v>
      </c>
      <c r="C43" s="361" t="str">
        <f t="shared" si="2"/>
        <v>DE</v>
      </c>
      <c r="D43" s="362">
        <f t="shared" si="3"/>
        <v>43712</v>
      </c>
      <c r="E43" s="362" t="str">
        <f t="shared" si="4"/>
        <v>720-358-1200</v>
      </c>
      <c r="F43" s="361" t="str">
        <f t="shared" si="5"/>
        <v>rpresshi-1751</v>
      </c>
      <c r="G43" s="366"/>
      <c r="H43" s="366"/>
      <c r="I43" s="525" t="s">
        <v>514</v>
      </c>
      <c r="J43" s="237"/>
      <c r="K43" s="525" t="s">
        <v>515</v>
      </c>
      <c r="L43" s="237"/>
      <c r="M43" s="237"/>
      <c r="N43" s="237"/>
      <c r="O43" s="237"/>
      <c r="P43" s="237"/>
      <c r="Q43" s="237"/>
      <c r="R43" s="237"/>
      <c r="S43" s="237"/>
      <c r="T43" s="239"/>
      <c r="U43" s="237"/>
      <c r="V43" s="237"/>
      <c r="W43" s="239"/>
      <c r="X43" s="521" t="s">
        <v>516</v>
      </c>
      <c r="Y43" s="240"/>
      <c r="Z43" s="240"/>
      <c r="AA43" s="526" t="s">
        <v>517</v>
      </c>
      <c r="AB43" s="526" t="s">
        <v>169</v>
      </c>
      <c r="AC43" s="526">
        <v>27896</v>
      </c>
      <c r="AD43" s="521" t="s">
        <v>401</v>
      </c>
      <c r="AE43" s="69"/>
      <c r="AF43" s="238"/>
      <c r="AG43" s="521">
        <v>1751</v>
      </c>
      <c r="AH43" s="522">
        <v>45489</v>
      </c>
      <c r="AI43" s="521">
        <v>150</v>
      </c>
      <c r="AX43" s="67" t="s">
        <v>255</v>
      </c>
    </row>
    <row r="44" spans="1:50" x14ac:dyDescent="0.3">
      <c r="A44" s="483" t="str">
        <f t="shared" si="0"/>
        <v>Residences at Shiloh Crossing</v>
      </c>
      <c r="B44" s="361" t="str">
        <f t="shared" si="1"/>
        <v>42-2638838</v>
      </c>
      <c r="C44" s="361" t="str">
        <f t="shared" si="2"/>
        <v>DE</v>
      </c>
      <c r="D44" s="362">
        <f t="shared" si="3"/>
        <v>43712</v>
      </c>
      <c r="E44" s="362" t="str">
        <f t="shared" si="4"/>
        <v>720-358-1200</v>
      </c>
      <c r="F44" s="361" t="str">
        <f t="shared" si="5"/>
        <v>rpresshi-2035</v>
      </c>
      <c r="G44" s="366"/>
      <c r="H44" s="366"/>
      <c r="I44" s="525" t="s">
        <v>518</v>
      </c>
      <c r="J44" s="237"/>
      <c r="K44" s="525" t="s">
        <v>519</v>
      </c>
      <c r="L44" s="237"/>
      <c r="M44" s="237"/>
      <c r="N44" s="237"/>
      <c r="O44" s="237"/>
      <c r="P44" s="237"/>
      <c r="Q44" s="237"/>
      <c r="R44" s="237"/>
      <c r="S44" s="237"/>
      <c r="T44" s="239"/>
      <c r="U44" s="237"/>
      <c r="V44" s="237"/>
      <c r="W44" s="239"/>
      <c r="X44" s="521" t="s">
        <v>520</v>
      </c>
      <c r="Y44" s="240"/>
      <c r="Z44" s="240"/>
      <c r="AA44" s="526" t="s">
        <v>399</v>
      </c>
      <c r="AB44" s="526" t="s">
        <v>169</v>
      </c>
      <c r="AC44" s="526">
        <v>27560</v>
      </c>
      <c r="AD44" s="521" t="s">
        <v>401</v>
      </c>
      <c r="AE44" s="69"/>
      <c r="AF44" s="238"/>
      <c r="AG44" s="521">
        <v>2035</v>
      </c>
      <c r="AH44" s="522">
        <v>45671</v>
      </c>
      <c r="AI44" s="521">
        <v>75.91</v>
      </c>
      <c r="AX44" s="67" t="s">
        <v>256</v>
      </c>
    </row>
    <row r="45" spans="1:50" x14ac:dyDescent="0.3">
      <c r="A45" s="483" t="str">
        <f t="shared" si="0"/>
        <v>Residences at Shiloh Crossing</v>
      </c>
      <c r="B45" s="361" t="str">
        <f t="shared" si="1"/>
        <v>42-2638838</v>
      </c>
      <c r="C45" s="361" t="str">
        <f t="shared" si="2"/>
        <v>DE</v>
      </c>
      <c r="D45" s="362">
        <f t="shared" si="3"/>
        <v>43712</v>
      </c>
      <c r="E45" s="362" t="str">
        <f t="shared" si="4"/>
        <v>720-358-1200</v>
      </c>
      <c r="F45" s="361" t="str">
        <f t="shared" si="5"/>
        <v>rpresshi-2092</v>
      </c>
      <c r="G45" s="366"/>
      <c r="H45" s="366"/>
      <c r="I45" s="525" t="s">
        <v>521</v>
      </c>
      <c r="J45" s="237"/>
      <c r="K45" s="525" t="s">
        <v>522</v>
      </c>
      <c r="L45" s="237"/>
      <c r="M45" s="237"/>
      <c r="N45" s="237"/>
      <c r="O45" s="237"/>
      <c r="P45" s="237"/>
      <c r="Q45" s="237"/>
      <c r="R45" s="237"/>
      <c r="S45" s="237"/>
      <c r="T45" s="239"/>
      <c r="U45" s="237"/>
      <c r="V45" s="237"/>
      <c r="W45" s="239"/>
      <c r="X45" s="521" t="s">
        <v>523</v>
      </c>
      <c r="Y45" s="240"/>
      <c r="Z45" s="240"/>
      <c r="AA45" s="526" t="s">
        <v>524</v>
      </c>
      <c r="AB45" s="526" t="s">
        <v>169</v>
      </c>
      <c r="AC45" s="526">
        <v>27526</v>
      </c>
      <c r="AD45" s="521" t="s">
        <v>401</v>
      </c>
      <c r="AE45" s="69"/>
      <c r="AF45" s="238"/>
      <c r="AG45" s="521">
        <v>2092</v>
      </c>
      <c r="AH45" s="522">
        <v>45671</v>
      </c>
      <c r="AI45" s="521">
        <v>134.72</v>
      </c>
      <c r="AX45" s="67" t="s">
        <v>258</v>
      </c>
    </row>
    <row r="46" spans="1:50" x14ac:dyDescent="0.3">
      <c r="A46" s="483" t="str">
        <f t="shared" si="0"/>
        <v>Residences at Shiloh Crossing</v>
      </c>
      <c r="B46" s="361" t="str">
        <f t="shared" si="1"/>
        <v>42-2638838</v>
      </c>
      <c r="C46" s="361" t="str">
        <f t="shared" si="2"/>
        <v>DE</v>
      </c>
      <c r="D46" s="362">
        <f t="shared" si="3"/>
        <v>43712</v>
      </c>
      <c r="E46" s="362" t="str">
        <f t="shared" si="4"/>
        <v>720-358-1200</v>
      </c>
      <c r="F46" s="361" t="str">
        <f t="shared" si="5"/>
        <v>rpresshi-2163</v>
      </c>
      <c r="G46" s="366"/>
      <c r="H46" s="366"/>
      <c r="I46" s="525" t="s">
        <v>525</v>
      </c>
      <c r="J46" s="237"/>
      <c r="K46" s="525" t="s">
        <v>526</v>
      </c>
      <c r="L46" s="237"/>
      <c r="M46" s="237"/>
      <c r="N46" s="237"/>
      <c r="O46" s="237"/>
      <c r="P46" s="237"/>
      <c r="Q46" s="237"/>
      <c r="R46" s="237"/>
      <c r="S46" s="237"/>
      <c r="T46" s="239"/>
      <c r="U46" s="237"/>
      <c r="V46" s="237"/>
      <c r="W46" s="239"/>
      <c r="X46" s="521" t="s">
        <v>527</v>
      </c>
      <c r="Y46" s="240"/>
      <c r="Z46" s="240"/>
      <c r="AA46" s="526" t="s">
        <v>479</v>
      </c>
      <c r="AB46" s="526" t="s">
        <v>169</v>
      </c>
      <c r="AC46" s="526">
        <v>27560</v>
      </c>
      <c r="AD46" s="521" t="s">
        <v>401</v>
      </c>
      <c r="AE46" s="69"/>
      <c r="AF46" s="238"/>
      <c r="AG46" s="521">
        <v>2163</v>
      </c>
      <c r="AH46" s="522">
        <v>45671</v>
      </c>
      <c r="AI46" s="521">
        <v>0.62</v>
      </c>
      <c r="AX46" s="67" t="s">
        <v>257</v>
      </c>
    </row>
    <row r="47" spans="1:50" x14ac:dyDescent="0.3">
      <c r="A47" s="483" t="str">
        <f t="shared" si="0"/>
        <v>Residences at Shiloh Crossing</v>
      </c>
      <c r="B47" s="361" t="str">
        <f t="shared" si="1"/>
        <v>42-2638838</v>
      </c>
      <c r="C47" s="361" t="str">
        <f t="shared" si="2"/>
        <v>DE</v>
      </c>
      <c r="D47" s="362">
        <f t="shared" si="3"/>
        <v>43712</v>
      </c>
      <c r="E47" s="362" t="str">
        <f t="shared" si="4"/>
        <v>720-358-1200</v>
      </c>
      <c r="F47" s="361" t="str">
        <f t="shared" si="5"/>
        <v>rpresshi-2168</v>
      </c>
      <c r="G47" s="366"/>
      <c r="H47" s="366"/>
      <c r="I47" s="237" t="s">
        <v>528</v>
      </c>
      <c r="J47" s="237"/>
      <c r="K47" s="237" t="s">
        <v>529</v>
      </c>
      <c r="L47" s="237"/>
      <c r="M47" s="237"/>
      <c r="N47" s="237"/>
      <c r="O47" s="237"/>
      <c r="P47" s="237"/>
      <c r="Q47" s="237"/>
      <c r="R47" s="237"/>
      <c r="S47" s="237"/>
      <c r="T47" s="239"/>
      <c r="U47" s="237"/>
      <c r="V47" s="237"/>
      <c r="W47" s="239"/>
      <c r="X47" s="364" t="s">
        <v>530</v>
      </c>
      <c r="Y47" s="240"/>
      <c r="Z47" s="240"/>
      <c r="AA47" s="238" t="s">
        <v>399</v>
      </c>
      <c r="AB47" s="238" t="s">
        <v>169</v>
      </c>
      <c r="AC47" s="527">
        <v>27560</v>
      </c>
      <c r="AD47" s="521" t="s">
        <v>401</v>
      </c>
      <c r="AE47" s="69"/>
      <c r="AF47" s="238"/>
      <c r="AG47" s="364">
        <v>2168</v>
      </c>
      <c r="AH47" s="528">
        <v>45671</v>
      </c>
      <c r="AI47" s="529">
        <v>48.29</v>
      </c>
      <c r="AX47" s="67" t="s">
        <v>259</v>
      </c>
    </row>
    <row r="48" spans="1:50" ht="26" x14ac:dyDescent="0.3">
      <c r="A48" s="483" t="str">
        <f t="shared" si="0"/>
        <v>Residences at Shiloh Crossing</v>
      </c>
      <c r="B48" s="361" t="str">
        <f t="shared" si="1"/>
        <v>42-2638838</v>
      </c>
      <c r="C48" s="361" t="str">
        <f t="shared" si="2"/>
        <v>DE</v>
      </c>
      <c r="D48" s="362">
        <f t="shared" si="3"/>
        <v>43712</v>
      </c>
      <c r="E48" s="362" t="str">
        <f t="shared" si="4"/>
        <v>720-358-1200</v>
      </c>
      <c r="F48" s="361" t="str">
        <f t="shared" si="5"/>
        <v>rpresshi-2226</v>
      </c>
      <c r="G48" s="366"/>
      <c r="H48" s="366"/>
      <c r="I48" s="237" t="s">
        <v>531</v>
      </c>
      <c r="J48" s="237"/>
      <c r="K48" s="237" t="s">
        <v>532</v>
      </c>
      <c r="L48" s="237"/>
      <c r="M48" s="237"/>
      <c r="N48" s="237"/>
      <c r="O48" s="237"/>
      <c r="P48" s="237"/>
      <c r="Q48" s="237"/>
      <c r="R48" s="237"/>
      <c r="S48" s="237"/>
      <c r="T48" s="239"/>
      <c r="U48" s="237"/>
      <c r="V48" s="237"/>
      <c r="W48" s="239"/>
      <c r="X48" s="364" t="s">
        <v>533</v>
      </c>
      <c r="Y48" s="240"/>
      <c r="Z48" s="240"/>
      <c r="AA48" s="238" t="s">
        <v>418</v>
      </c>
      <c r="AB48" s="238" t="s">
        <v>169</v>
      </c>
      <c r="AC48" s="527">
        <v>27523</v>
      </c>
      <c r="AD48" s="521" t="s">
        <v>401</v>
      </c>
      <c r="AE48" s="69"/>
      <c r="AF48" s="238"/>
      <c r="AG48" s="364">
        <v>2226</v>
      </c>
      <c r="AH48" s="528">
        <v>45671</v>
      </c>
      <c r="AI48" s="529">
        <v>62.8</v>
      </c>
      <c r="AX48" s="67" t="s">
        <v>261</v>
      </c>
    </row>
    <row r="49" spans="1:50" x14ac:dyDescent="0.3">
      <c r="A49" s="483" t="str">
        <f t="shared" si="0"/>
        <v>Residences at Shiloh Crossing</v>
      </c>
      <c r="B49" s="361" t="str">
        <f t="shared" si="1"/>
        <v>42-2638838</v>
      </c>
      <c r="C49" s="361" t="str">
        <f t="shared" si="2"/>
        <v>DE</v>
      </c>
      <c r="D49" s="362">
        <f t="shared" si="3"/>
        <v>43712</v>
      </c>
      <c r="E49" s="362" t="str">
        <f t="shared" si="4"/>
        <v>720-358-1200</v>
      </c>
      <c r="F49" s="361" t="str">
        <f t="shared" si="5"/>
        <v>rpresshi-2249</v>
      </c>
      <c r="G49" s="366"/>
      <c r="H49" s="366"/>
      <c r="I49" s="237" t="s">
        <v>534</v>
      </c>
      <c r="J49" s="237"/>
      <c r="K49" s="237" t="s">
        <v>535</v>
      </c>
      <c r="L49" s="237"/>
      <c r="M49" s="237"/>
      <c r="N49" s="237"/>
      <c r="O49" s="237"/>
      <c r="P49" s="237"/>
      <c r="Q49" s="237"/>
      <c r="R49" s="237"/>
      <c r="S49" s="237"/>
      <c r="T49" s="239"/>
      <c r="U49" s="237"/>
      <c r="V49" s="237"/>
      <c r="W49" s="239"/>
      <c r="X49" s="364" t="s">
        <v>536</v>
      </c>
      <c r="Y49" s="240"/>
      <c r="Z49" s="240"/>
      <c r="AA49" s="238" t="s">
        <v>537</v>
      </c>
      <c r="AB49" s="238" t="s">
        <v>169</v>
      </c>
      <c r="AC49" s="527">
        <v>28562</v>
      </c>
      <c r="AD49" s="521" t="s">
        <v>401</v>
      </c>
      <c r="AE49" s="69"/>
      <c r="AF49" s="238"/>
      <c r="AG49" s="364">
        <v>2249</v>
      </c>
      <c r="AH49" s="528">
        <v>45671</v>
      </c>
      <c r="AI49" s="529">
        <v>41.43</v>
      </c>
      <c r="AX49" s="67" t="s">
        <v>260</v>
      </c>
    </row>
    <row r="50" spans="1:50" x14ac:dyDescent="0.3">
      <c r="A50" s="483" t="str">
        <f t="shared" si="0"/>
        <v/>
      </c>
      <c r="B50" s="361" t="str">
        <f t="shared" si="1"/>
        <v/>
      </c>
      <c r="C50" s="361" t="str">
        <f t="shared" si="2"/>
        <v/>
      </c>
      <c r="D50" s="362" t="str">
        <f t="shared" si="3"/>
        <v/>
      </c>
      <c r="E50" s="362" t="str">
        <f t="shared" si="4"/>
        <v/>
      </c>
      <c r="F50" s="361" t="str">
        <f t="shared" si="5"/>
        <v/>
      </c>
      <c r="G50" s="366"/>
      <c r="H50" s="366"/>
      <c r="I50" s="237"/>
      <c r="J50" s="237"/>
      <c r="K50" s="237"/>
      <c r="L50" s="237"/>
      <c r="M50" s="237"/>
      <c r="N50" s="237"/>
      <c r="O50" s="237"/>
      <c r="P50" s="237"/>
      <c r="Q50" s="237"/>
      <c r="R50" s="237"/>
      <c r="S50" s="237"/>
      <c r="T50" s="239"/>
      <c r="U50" s="237"/>
      <c r="V50" s="237"/>
      <c r="W50" s="239"/>
      <c r="X50" s="364"/>
      <c r="Y50" s="240"/>
      <c r="Z50" s="240"/>
      <c r="AA50" s="238"/>
      <c r="AB50" s="238"/>
      <c r="AC50" s="527"/>
      <c r="AD50" s="235"/>
      <c r="AE50" s="69"/>
      <c r="AF50" s="238"/>
      <c r="AG50" s="364"/>
      <c r="AH50" s="528"/>
      <c r="AI50" s="529"/>
      <c r="AX50" s="67" t="s">
        <v>262</v>
      </c>
    </row>
    <row r="51" spans="1:50" x14ac:dyDescent="0.3">
      <c r="A51" s="483" t="str">
        <f t="shared" si="0"/>
        <v/>
      </c>
      <c r="B51" s="361" t="str">
        <f t="shared" si="1"/>
        <v/>
      </c>
      <c r="C51" s="361" t="str">
        <f t="shared" si="2"/>
        <v/>
      </c>
      <c r="D51" s="362" t="str">
        <f t="shared" si="3"/>
        <v/>
      </c>
      <c r="E51" s="362" t="str">
        <f t="shared" si="4"/>
        <v/>
      </c>
      <c r="F51" s="361" t="str">
        <f t="shared" si="5"/>
        <v/>
      </c>
      <c r="G51" s="366"/>
      <c r="H51" s="366"/>
      <c r="I51" s="237"/>
      <c r="J51" s="237"/>
      <c r="K51" s="237"/>
      <c r="L51" s="237"/>
      <c r="M51" s="237"/>
      <c r="N51" s="237"/>
      <c r="O51" s="237"/>
      <c r="P51" s="237"/>
      <c r="Q51" s="237"/>
      <c r="R51" s="237"/>
      <c r="S51" s="237"/>
      <c r="T51" s="239"/>
      <c r="U51" s="237"/>
      <c r="V51" s="237"/>
      <c r="W51" s="239"/>
      <c r="X51" s="364"/>
      <c r="Y51" s="240"/>
      <c r="Z51" s="240"/>
      <c r="AA51" s="238"/>
      <c r="AB51" s="238"/>
      <c r="AC51" s="527"/>
      <c r="AD51" s="235"/>
      <c r="AE51" s="69"/>
      <c r="AF51" s="238"/>
      <c r="AG51" s="364"/>
      <c r="AH51" s="528"/>
      <c r="AI51" s="529"/>
    </row>
    <row r="52" spans="1:50" x14ac:dyDescent="0.3">
      <c r="A52" s="483" t="str">
        <f t="shared" si="0"/>
        <v/>
      </c>
      <c r="B52" s="361" t="str">
        <f t="shared" si="1"/>
        <v/>
      </c>
      <c r="C52" s="361" t="str">
        <f t="shared" si="2"/>
        <v/>
      </c>
      <c r="D52" s="362" t="str">
        <f t="shared" si="3"/>
        <v/>
      </c>
      <c r="E52" s="362" t="str">
        <f t="shared" si="4"/>
        <v/>
      </c>
      <c r="F52" s="361" t="str">
        <f t="shared" si="5"/>
        <v/>
      </c>
      <c r="G52" s="366"/>
      <c r="H52" s="366"/>
      <c r="I52" s="484"/>
      <c r="J52" s="237"/>
      <c r="K52" s="484"/>
      <c r="L52" s="237"/>
      <c r="M52" s="237"/>
      <c r="N52" s="237"/>
      <c r="O52" s="237"/>
      <c r="P52" s="484"/>
      <c r="Q52" s="237"/>
      <c r="R52" s="484"/>
      <c r="S52" s="237"/>
      <c r="T52" s="239"/>
      <c r="U52" s="237"/>
      <c r="V52" s="237"/>
      <c r="W52" s="239"/>
      <c r="X52" s="485"/>
      <c r="Y52" s="240"/>
      <c r="Z52" s="240"/>
      <c r="AA52" s="487"/>
      <c r="AB52" s="487"/>
      <c r="AC52" s="488"/>
      <c r="AD52" s="486"/>
      <c r="AE52" s="69"/>
      <c r="AF52" s="238"/>
      <c r="AG52" s="485"/>
      <c r="AH52" s="489"/>
      <c r="AI52" s="490"/>
    </row>
    <row r="54" spans="1:50" ht="13.5" thickBot="1" x14ac:dyDescent="0.35">
      <c r="AH54" s="367" t="s">
        <v>128</v>
      </c>
      <c r="AI54" s="241">
        <f>SUM(AI10:AI52)</f>
        <v>5156.6500000000015</v>
      </c>
    </row>
    <row r="55" spans="1:50" ht="13.5" thickTop="1" x14ac:dyDescent="0.3"/>
  </sheetData>
  <mergeCells count="9">
    <mergeCell ref="A5:K5"/>
    <mergeCell ref="AC5:AE5"/>
    <mergeCell ref="AG5:AI5"/>
    <mergeCell ref="A1:AI1"/>
    <mergeCell ref="A2:AI2"/>
    <mergeCell ref="A3:AI3"/>
    <mergeCell ref="A4:K4"/>
    <mergeCell ref="AC4:AE4"/>
    <mergeCell ref="AG4:AI4"/>
  </mergeCells>
  <conditionalFormatting sqref="AE52">
    <cfRule type="cellIs" dxfId="34" priority="2" operator="lessThan">
      <formula>0</formula>
    </cfRule>
  </conditionalFormatting>
  <conditionalFormatting sqref="AE10:AE51">
    <cfRule type="cellIs" dxfId="33" priority="1" operator="lessThan">
      <formula>0</formula>
    </cfRule>
  </conditionalFormatting>
  <dataValidations count="2">
    <dataValidation type="list" allowBlank="1" showInputMessage="1" showErrorMessage="1" sqref="R5" xr:uid="{8957AC02-48E6-4210-B795-23687DE8AA48}">
      <formula1>$AX$1:$AX$50</formula1>
    </dataValidation>
    <dataValidation type="date" allowBlank="1" showInputMessage="1" showErrorMessage="1" sqref="AH10:AH52 X5" xr:uid="{A6A2B2DC-5608-4A2B-B5FB-7B23AA81CE31}">
      <formula1>367</formula1>
      <formula2>401404</formula2>
    </dataValidation>
  </dataValidations>
  <printOptions horizontalCentered="1"/>
  <pageMargins left="0.25" right="0.25" top="0.75" bottom="0.75" header="0.3" footer="0.3"/>
  <pageSetup scale="61" fitToHeight="0" orientation="landscape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5FCCD-6BCD-4349-A450-BC49925FF0B1}">
  <sheetPr codeName="Sheet20">
    <pageSetUpPr fitToPage="1"/>
  </sheetPr>
  <dimension ref="A1:AG335"/>
  <sheetViews>
    <sheetView topLeftCell="B1" zoomScale="85" zoomScaleNormal="85" workbookViewId="0">
      <pane ySplit="8" topLeftCell="A221" activePane="bottomLeft" state="frozen"/>
      <selection sqref="A1:H186"/>
      <selection pane="bottomLeft" activeCell="I332" sqref="I332"/>
    </sheetView>
  </sheetViews>
  <sheetFormatPr defaultRowHeight="14.5" x14ac:dyDescent="0.35"/>
  <cols>
    <col min="1" max="1" width="22.7265625" bestFit="1" customWidth="1"/>
    <col min="2" max="2" width="28.1796875" bestFit="1" customWidth="1"/>
    <col min="3" max="3" width="29.453125" bestFit="1" customWidth="1"/>
    <col min="4" max="4" width="29.1796875" customWidth="1"/>
    <col min="5" max="5" width="47.81640625" bestFit="1" customWidth="1"/>
    <col min="6" max="6" width="14.26953125" bestFit="1" customWidth="1"/>
  </cols>
  <sheetData>
    <row r="1" spans="1:33" ht="23.5" x14ac:dyDescent="0.55000000000000004">
      <c r="A1" s="606" t="str">
        <f>'Input-Instructions'!B3</f>
        <v>Residences at Shiloh Crossing</v>
      </c>
      <c r="B1" s="607"/>
      <c r="C1" s="607"/>
      <c r="D1" s="607"/>
      <c r="E1" s="607"/>
      <c r="F1" s="607"/>
      <c r="G1" s="442"/>
      <c r="H1" s="442"/>
      <c r="I1" s="442"/>
      <c r="J1" s="442"/>
    </row>
    <row r="2" spans="1:33" ht="23.5" x14ac:dyDescent="0.55000000000000004">
      <c r="A2" s="608" t="s">
        <v>313</v>
      </c>
      <c r="B2" s="608"/>
      <c r="C2" s="608"/>
      <c r="D2" s="608"/>
      <c r="E2" s="608"/>
      <c r="F2" s="608"/>
      <c r="G2" s="442"/>
      <c r="H2" s="442"/>
      <c r="I2" s="442"/>
      <c r="J2" s="442"/>
    </row>
    <row r="3" spans="1:33" ht="23.5" x14ac:dyDescent="0.55000000000000004">
      <c r="A3" s="609" t="str">
        <f>TEXT('Input-Instructions'!$B$6,"MMMM YYYY")</f>
        <v>September 2026</v>
      </c>
      <c r="B3" s="609"/>
      <c r="C3" s="609"/>
      <c r="D3" s="609"/>
      <c r="E3" s="609"/>
      <c r="F3" s="609"/>
      <c r="G3" s="442"/>
      <c r="H3" s="443"/>
      <c r="I3" s="443"/>
      <c r="J3" s="443"/>
      <c r="K3" s="396"/>
      <c r="L3" s="396"/>
      <c r="M3" s="396"/>
      <c r="N3" s="396"/>
      <c r="O3" s="396"/>
      <c r="P3" s="396"/>
      <c r="Q3" s="396"/>
      <c r="R3" s="396"/>
      <c r="S3" s="396"/>
      <c r="T3" s="396"/>
      <c r="U3" s="396"/>
      <c r="V3" s="396"/>
      <c r="W3" s="396"/>
      <c r="X3" s="396"/>
      <c r="Y3" s="396"/>
      <c r="Z3" s="396"/>
      <c r="AA3" s="396"/>
      <c r="AB3" s="396"/>
      <c r="AC3" s="396"/>
      <c r="AD3" s="396"/>
      <c r="AE3" s="396"/>
      <c r="AF3" s="396"/>
      <c r="AG3" s="396"/>
    </row>
    <row r="4" spans="1:33" ht="20.5" x14ac:dyDescent="0.45">
      <c r="A4" s="426" t="s">
        <v>314</v>
      </c>
      <c r="B4" s="426"/>
      <c r="C4" s="426"/>
      <c r="D4" s="426"/>
      <c r="E4" s="426"/>
      <c r="F4" s="426"/>
      <c r="H4" s="396"/>
      <c r="I4" s="396"/>
      <c r="J4" s="396"/>
      <c r="K4" s="396"/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  <c r="Z4" s="396"/>
      <c r="AA4" s="396"/>
      <c r="AB4" s="396"/>
      <c r="AC4" s="396"/>
      <c r="AD4" s="396"/>
      <c r="AE4" s="396"/>
      <c r="AF4" s="396"/>
      <c r="AG4" s="396"/>
    </row>
    <row r="5" spans="1:33" ht="29" x14ac:dyDescent="0.35">
      <c r="A5" s="417" t="s">
        <v>315</v>
      </c>
      <c r="B5" s="417" t="s">
        <v>316</v>
      </c>
      <c r="C5" s="417" t="s">
        <v>317</v>
      </c>
      <c r="D5" s="417" t="s">
        <v>318</v>
      </c>
      <c r="E5" s="417" t="s">
        <v>319</v>
      </c>
      <c r="F5" s="418" t="s">
        <v>320</v>
      </c>
      <c r="H5" s="396"/>
      <c r="I5" s="396"/>
      <c r="J5" s="396"/>
      <c r="K5" s="396"/>
      <c r="L5" s="396"/>
      <c r="M5" s="396"/>
      <c r="N5" s="396"/>
      <c r="O5" s="396"/>
      <c r="P5" s="396"/>
      <c r="Q5" s="396"/>
      <c r="R5" s="396"/>
      <c r="S5" s="396"/>
      <c r="T5" s="396"/>
      <c r="U5" s="396"/>
      <c r="V5" s="396"/>
      <c r="W5" s="396"/>
      <c r="X5" s="396"/>
      <c r="Y5" s="396"/>
      <c r="Z5" s="396"/>
      <c r="AA5" s="396"/>
      <c r="AB5" s="396"/>
      <c r="AC5" s="396"/>
      <c r="AD5" s="396"/>
      <c r="AE5" s="396"/>
      <c r="AF5" s="396"/>
      <c r="AG5" s="396"/>
    </row>
    <row r="6" spans="1:33" x14ac:dyDescent="0.35">
      <c r="A6" s="482"/>
      <c r="B6" s="399"/>
      <c r="C6" s="397"/>
      <c r="D6" s="471"/>
      <c r="E6" s="471"/>
      <c r="F6" s="470">
        <f>D6-F112</f>
        <v>0</v>
      </c>
      <c r="H6" s="396"/>
      <c r="I6" s="396"/>
      <c r="J6" s="396"/>
      <c r="K6" s="396"/>
      <c r="L6" s="396"/>
      <c r="M6" s="396"/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  <c r="Z6" s="396"/>
      <c r="AA6" s="396"/>
      <c r="AB6" s="396"/>
      <c r="AC6" s="396"/>
      <c r="AD6" s="396"/>
      <c r="AE6" s="396"/>
      <c r="AF6" s="396"/>
      <c r="AG6" s="396"/>
    </row>
    <row r="7" spans="1:33" ht="21" customHeight="1" x14ac:dyDescent="0.35">
      <c r="A7" s="422"/>
      <c r="B7" s="422"/>
      <c r="C7" s="422"/>
      <c r="D7" s="422"/>
      <c r="E7" s="422"/>
      <c r="F7" s="422"/>
      <c r="H7" s="396"/>
      <c r="I7" s="396"/>
      <c r="J7" s="396"/>
      <c r="K7" s="396"/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  <c r="Z7" s="396"/>
      <c r="AA7" s="396"/>
      <c r="AB7" s="396"/>
      <c r="AC7" s="396"/>
      <c r="AD7" s="396"/>
      <c r="AE7" s="396"/>
      <c r="AF7" s="396"/>
      <c r="AG7" s="396"/>
    </row>
    <row r="8" spans="1:33" s="400" customFormat="1" ht="34.5" customHeight="1" x14ac:dyDescent="0.35">
      <c r="A8" s="416" t="s">
        <v>137</v>
      </c>
      <c r="B8" s="417" t="s">
        <v>107</v>
      </c>
      <c r="C8" s="417" t="s">
        <v>282</v>
      </c>
      <c r="D8" s="417" t="s">
        <v>321</v>
      </c>
      <c r="E8" s="417" t="s">
        <v>322</v>
      </c>
      <c r="F8" s="417" t="s">
        <v>284</v>
      </c>
      <c r="G8"/>
    </row>
    <row r="9" spans="1:33" x14ac:dyDescent="0.35">
      <c r="A9" s="411"/>
      <c r="B9" s="424" t="str">
        <f>IFERROR(IF(A9="","",VLOOKUP(A9,'Mapped COA'!A:G,2,0)),IF(A9="","",VLOOKUP(A9,COA!A:G,2,0)))</f>
        <v/>
      </c>
      <c r="C9" s="272"/>
      <c r="D9" s="272"/>
      <c r="E9" s="398"/>
      <c r="F9" s="397"/>
    </row>
    <row r="10" spans="1:33" x14ac:dyDescent="0.35">
      <c r="A10" s="411"/>
      <c r="B10" s="424" t="str">
        <f>IFERROR(IF(A10="","",VLOOKUP(A10,'Mapped COA'!A:G,2,0)),IF(A10="","",VLOOKUP(A10,COA!A:G,2,0)))</f>
        <v/>
      </c>
      <c r="C10" s="272"/>
      <c r="D10" s="272"/>
      <c r="E10" s="398"/>
      <c r="F10" s="397"/>
    </row>
    <row r="11" spans="1:33" x14ac:dyDescent="0.35">
      <c r="A11" s="411"/>
      <c r="B11" s="424" t="str">
        <f>IFERROR(IF(A11="","",VLOOKUP(A11,'Mapped COA'!A:G,2,0)),IF(A11="","",VLOOKUP(A11,COA!A:G,2,0)))</f>
        <v/>
      </c>
      <c r="C11" s="272"/>
      <c r="D11" s="272"/>
      <c r="E11" s="398"/>
      <c r="F11" s="397"/>
    </row>
    <row r="12" spans="1:33" x14ac:dyDescent="0.35">
      <c r="A12" s="411"/>
      <c r="B12" s="424" t="str">
        <f>IFERROR(IF(A12="","",VLOOKUP(A12,'Mapped COA'!A:G,2,0)),IF(A12="","",VLOOKUP(A12,COA!A:G,2,0)))</f>
        <v/>
      </c>
      <c r="C12" s="272"/>
      <c r="D12" s="272"/>
      <c r="E12" s="398"/>
      <c r="F12" s="397"/>
    </row>
    <row r="13" spans="1:33" x14ac:dyDescent="0.35">
      <c r="A13" s="411"/>
      <c r="B13" s="424" t="str">
        <f>IFERROR(IF(A13="","",VLOOKUP(A13,'Mapped COA'!A:G,2,0)),IF(A13="","",VLOOKUP(A13,COA!A:G,2,0)))</f>
        <v/>
      </c>
      <c r="C13" s="272"/>
      <c r="D13" s="272"/>
      <c r="E13" s="398"/>
      <c r="F13" s="397"/>
    </row>
    <row r="14" spans="1:33" x14ac:dyDescent="0.35">
      <c r="A14" s="411"/>
      <c r="B14" s="424" t="str">
        <f>IFERROR(IF(A14="","",VLOOKUP(A14,'Mapped COA'!A:G,2,0)),IF(A14="","",VLOOKUP(A14,COA!A:G,2,0)))</f>
        <v/>
      </c>
      <c r="C14" s="272"/>
      <c r="D14" s="272"/>
      <c r="E14" s="398"/>
      <c r="F14" s="397"/>
    </row>
    <row r="15" spans="1:33" x14ac:dyDescent="0.35">
      <c r="A15" s="411"/>
      <c r="B15" s="424" t="str">
        <f>IFERROR(IF(A15="","",VLOOKUP(A15,'Mapped COA'!A:G,2,0)),IF(A15="","",VLOOKUP(A15,COA!A:G,2,0)))</f>
        <v/>
      </c>
      <c r="C15" s="272"/>
      <c r="D15" s="272"/>
      <c r="E15" s="398"/>
      <c r="F15" s="397"/>
    </row>
    <row r="16" spans="1:33" hidden="1" x14ac:dyDescent="0.35">
      <c r="A16" s="411"/>
      <c r="B16" s="424" t="str">
        <f>IFERROR(IF(A16="","",VLOOKUP(A16,'Mapped COA'!A:G,2,0)),IF(A16="","",VLOOKUP(A16,COA!A:G,2,0)))</f>
        <v/>
      </c>
      <c r="C16" s="272"/>
      <c r="D16" s="272"/>
      <c r="E16" s="398"/>
      <c r="F16" s="397"/>
    </row>
    <row r="17" spans="1:6" hidden="1" x14ac:dyDescent="0.35">
      <c r="A17" s="411"/>
      <c r="B17" s="424" t="str">
        <f>IFERROR(IF(A17="","",VLOOKUP(A17,'Mapped COA'!A:G,2,0)),IF(A17="","",VLOOKUP(A17,COA!A:G,2,0)))</f>
        <v/>
      </c>
      <c r="C17" s="272"/>
      <c r="D17" s="272"/>
      <c r="E17" s="398"/>
      <c r="F17" s="397"/>
    </row>
    <row r="18" spans="1:6" hidden="1" x14ac:dyDescent="0.35">
      <c r="A18" s="411"/>
      <c r="B18" s="424" t="str">
        <f>IFERROR(IF(A18="","",VLOOKUP(A18,'Mapped COA'!A:G,2,0)),IF(A18="","",VLOOKUP(A18,COA!A:G,2,0)))</f>
        <v/>
      </c>
      <c r="C18" s="272"/>
      <c r="D18" s="272"/>
      <c r="E18" s="398"/>
      <c r="F18" s="397"/>
    </row>
    <row r="19" spans="1:6" hidden="1" x14ac:dyDescent="0.35">
      <c r="A19" s="411"/>
      <c r="B19" s="424" t="str">
        <f>IFERROR(IF(A19="","",VLOOKUP(A19,'Mapped COA'!A:G,2,0)),IF(A19="","",VLOOKUP(A19,COA!A:G,2,0)))</f>
        <v/>
      </c>
      <c r="C19" s="272"/>
      <c r="D19" s="272"/>
      <c r="E19" s="398"/>
      <c r="F19" s="397"/>
    </row>
    <row r="20" spans="1:6" hidden="1" x14ac:dyDescent="0.35">
      <c r="A20" s="411"/>
      <c r="B20" s="424" t="str">
        <f>IFERROR(IF(A20="","",VLOOKUP(A20,'Mapped COA'!A:G,2,0)),IF(A20="","",VLOOKUP(A20,COA!A:G,2,0)))</f>
        <v/>
      </c>
      <c r="C20" s="272"/>
      <c r="D20" s="272"/>
      <c r="E20" s="398"/>
      <c r="F20" s="397"/>
    </row>
    <row r="21" spans="1:6" hidden="1" x14ac:dyDescent="0.35">
      <c r="A21" s="411"/>
      <c r="B21" s="424" t="str">
        <f>IFERROR(IF(A21="","",VLOOKUP(A21,'Mapped COA'!A:G,2,0)),IF(A21="","",VLOOKUP(A21,COA!A:G,2,0)))</f>
        <v/>
      </c>
      <c r="C21" s="272"/>
      <c r="D21" s="272"/>
      <c r="E21" s="398"/>
      <c r="F21" s="397"/>
    </row>
    <row r="22" spans="1:6" hidden="1" x14ac:dyDescent="0.35">
      <c r="A22" s="411"/>
      <c r="B22" s="424" t="str">
        <f>IFERROR(IF(A22="","",VLOOKUP(A22,'Mapped COA'!A:G,2,0)),IF(A22="","",VLOOKUP(A22,COA!A:G,2,0)))</f>
        <v/>
      </c>
      <c r="C22" s="272"/>
      <c r="D22" s="272"/>
      <c r="E22" s="398"/>
      <c r="F22" s="397"/>
    </row>
    <row r="23" spans="1:6" hidden="1" x14ac:dyDescent="0.35">
      <c r="A23" s="411"/>
      <c r="B23" s="424" t="str">
        <f>IFERROR(IF(A23="","",VLOOKUP(A23,'Mapped COA'!A:G,2,0)),IF(A23="","",VLOOKUP(A23,COA!A:G,2,0)))</f>
        <v/>
      </c>
      <c r="C23" s="272"/>
      <c r="D23" s="272"/>
      <c r="E23" s="398"/>
      <c r="F23" s="397"/>
    </row>
    <row r="24" spans="1:6" hidden="1" x14ac:dyDescent="0.35">
      <c r="A24" s="411"/>
      <c r="B24" s="424" t="str">
        <f>IFERROR(IF(A24="","",VLOOKUP(A24,'Mapped COA'!A:G,2,0)),IF(A24="","",VLOOKUP(A24,COA!A:G,2,0)))</f>
        <v/>
      </c>
      <c r="C24" s="272"/>
      <c r="D24" s="272"/>
      <c r="E24" s="398"/>
      <c r="F24" s="397"/>
    </row>
    <row r="25" spans="1:6" hidden="1" x14ac:dyDescent="0.35">
      <c r="A25" s="411"/>
      <c r="B25" s="424" t="str">
        <f>IFERROR(IF(A25="","",VLOOKUP(A25,'Mapped COA'!A:G,2,0)),IF(A25="","",VLOOKUP(A25,COA!A:G,2,0)))</f>
        <v/>
      </c>
      <c r="C25" s="272"/>
      <c r="D25" s="272"/>
      <c r="E25" s="398"/>
      <c r="F25" s="397"/>
    </row>
    <row r="26" spans="1:6" hidden="1" x14ac:dyDescent="0.35">
      <c r="A26" s="411"/>
      <c r="B26" s="424" t="str">
        <f>IFERROR(IF(A26="","",VLOOKUP(A26,'Mapped COA'!A:G,2,0)),IF(A26="","",VLOOKUP(A26,COA!A:G,2,0)))</f>
        <v/>
      </c>
      <c r="C26" s="272"/>
      <c r="D26" s="272"/>
      <c r="E26" s="398"/>
      <c r="F26" s="397"/>
    </row>
    <row r="27" spans="1:6" hidden="1" x14ac:dyDescent="0.35">
      <c r="A27" s="411"/>
      <c r="B27" s="424" t="str">
        <f>IFERROR(IF(A27="","",VLOOKUP(A27,'Mapped COA'!A:G,2,0)),IF(A27="","",VLOOKUP(A27,COA!A:G,2,0)))</f>
        <v/>
      </c>
      <c r="C27" s="272"/>
      <c r="D27" s="272"/>
      <c r="E27" s="398"/>
      <c r="F27" s="397"/>
    </row>
    <row r="28" spans="1:6" hidden="1" x14ac:dyDescent="0.35">
      <c r="A28" s="411"/>
      <c r="B28" s="424" t="str">
        <f>IFERROR(IF(A28="","",VLOOKUP(A28,'Mapped COA'!A:G,2,0)),IF(A28="","",VLOOKUP(A28,COA!A:G,2,0)))</f>
        <v/>
      </c>
      <c r="C28" s="272"/>
      <c r="D28" s="272"/>
      <c r="E28" s="398"/>
      <c r="F28" s="397"/>
    </row>
    <row r="29" spans="1:6" hidden="1" x14ac:dyDescent="0.35">
      <c r="A29" s="411"/>
      <c r="B29" s="424" t="str">
        <f>IFERROR(IF(A29="","",VLOOKUP(A29,'Mapped COA'!A:G,2,0)),IF(A29="","",VLOOKUP(A29,COA!A:G,2,0)))</f>
        <v/>
      </c>
      <c r="C29" s="272"/>
      <c r="D29" s="272"/>
      <c r="E29" s="398"/>
      <c r="F29" s="397"/>
    </row>
    <row r="30" spans="1:6" hidden="1" x14ac:dyDescent="0.35">
      <c r="A30" s="411"/>
      <c r="B30" s="424" t="str">
        <f>IFERROR(IF(A30="","",VLOOKUP(A30,'Mapped COA'!A:G,2,0)),IF(A30="","",VLOOKUP(A30,COA!A:G,2,0)))</f>
        <v/>
      </c>
      <c r="C30" s="272"/>
      <c r="D30" s="272"/>
      <c r="E30" s="398"/>
      <c r="F30" s="397"/>
    </row>
    <row r="31" spans="1:6" hidden="1" x14ac:dyDescent="0.35">
      <c r="A31" s="411"/>
      <c r="B31" s="424" t="str">
        <f>IFERROR(IF(A31="","",VLOOKUP(A31,'Mapped COA'!A:G,2,0)),IF(A31="","",VLOOKUP(A31,COA!A:G,2,0)))</f>
        <v/>
      </c>
      <c r="C31" s="272"/>
      <c r="D31" s="272"/>
      <c r="E31" s="398"/>
      <c r="F31" s="397"/>
    </row>
    <row r="32" spans="1:6" hidden="1" x14ac:dyDescent="0.35">
      <c r="A32" s="411"/>
      <c r="B32" s="424" t="str">
        <f>IFERROR(IF(A32="","",VLOOKUP(A32,'Mapped COA'!A:G,2,0)),IF(A32="","",VLOOKUP(A32,COA!A:G,2,0)))</f>
        <v/>
      </c>
      <c r="C32" s="272"/>
      <c r="D32" s="272"/>
      <c r="E32" s="398"/>
      <c r="F32" s="397"/>
    </row>
    <row r="33" spans="1:6" hidden="1" x14ac:dyDescent="0.35">
      <c r="A33" s="411"/>
      <c r="B33" s="424" t="str">
        <f>IFERROR(IF(A33="","",VLOOKUP(A33,'Mapped COA'!A:G,2,0)),IF(A33="","",VLOOKUP(A33,COA!A:G,2,0)))</f>
        <v/>
      </c>
      <c r="C33" s="272"/>
      <c r="D33" s="272"/>
      <c r="E33" s="398"/>
      <c r="F33" s="397"/>
    </row>
    <row r="34" spans="1:6" hidden="1" x14ac:dyDescent="0.35">
      <c r="A34" s="411"/>
      <c r="B34" s="424" t="str">
        <f>IFERROR(IF(A34="","",VLOOKUP(A34,'Mapped COA'!A:G,2,0)),IF(A34="","",VLOOKUP(A34,COA!A:G,2,0)))</f>
        <v/>
      </c>
      <c r="C34" s="272"/>
      <c r="D34" s="272"/>
      <c r="E34" s="398"/>
      <c r="F34" s="397"/>
    </row>
    <row r="35" spans="1:6" hidden="1" x14ac:dyDescent="0.35">
      <c r="A35" s="411"/>
      <c r="B35" s="424" t="str">
        <f>IFERROR(IF(A35="","",VLOOKUP(A35,'Mapped COA'!A:G,2,0)),IF(A35="","",VLOOKUP(A35,COA!A:G,2,0)))</f>
        <v/>
      </c>
      <c r="C35" s="272"/>
      <c r="D35" s="272"/>
      <c r="E35" s="398"/>
      <c r="F35" s="397"/>
    </row>
    <row r="36" spans="1:6" hidden="1" x14ac:dyDescent="0.35">
      <c r="A36" s="411"/>
      <c r="B36" s="424" t="str">
        <f>IFERROR(IF(A36="","",VLOOKUP(A36,'Mapped COA'!A:G,2,0)),IF(A36="","",VLOOKUP(A36,COA!A:G,2,0)))</f>
        <v/>
      </c>
      <c r="C36" s="272"/>
      <c r="D36" s="272"/>
      <c r="E36" s="398"/>
      <c r="F36" s="397"/>
    </row>
    <row r="37" spans="1:6" hidden="1" x14ac:dyDescent="0.35">
      <c r="A37" s="411"/>
      <c r="B37" s="424" t="str">
        <f>IFERROR(IF(A37="","",VLOOKUP(A37,'Mapped COA'!A:G,2,0)),IF(A37="","",VLOOKUP(A37,COA!A:G,2,0)))</f>
        <v/>
      </c>
      <c r="C37" s="272"/>
      <c r="D37" s="272"/>
      <c r="E37" s="398"/>
      <c r="F37" s="397"/>
    </row>
    <row r="38" spans="1:6" hidden="1" x14ac:dyDescent="0.35">
      <c r="A38" s="411"/>
      <c r="B38" s="424" t="str">
        <f>IFERROR(IF(A38="","",VLOOKUP(A38,'Mapped COA'!A:G,2,0)),IF(A38="","",VLOOKUP(A38,COA!A:G,2,0)))</f>
        <v/>
      </c>
      <c r="C38" s="272"/>
      <c r="D38" s="272"/>
      <c r="E38" s="398"/>
      <c r="F38" s="397"/>
    </row>
    <row r="39" spans="1:6" hidden="1" x14ac:dyDescent="0.35">
      <c r="A39" s="411"/>
      <c r="B39" s="424" t="str">
        <f>IFERROR(IF(A39="","",VLOOKUP(A39,'Mapped COA'!A:G,2,0)),IF(A39="","",VLOOKUP(A39,COA!A:G,2,0)))</f>
        <v/>
      </c>
      <c r="C39" s="272"/>
      <c r="D39" s="272"/>
      <c r="E39" s="398"/>
      <c r="F39" s="397"/>
    </row>
    <row r="40" spans="1:6" hidden="1" x14ac:dyDescent="0.35">
      <c r="A40" s="411"/>
      <c r="B40" s="424" t="str">
        <f>IFERROR(IF(A40="","",VLOOKUP(A40,'Mapped COA'!A:G,2,0)),IF(A40="","",VLOOKUP(A40,COA!A:G,2,0)))</f>
        <v/>
      </c>
      <c r="C40" s="272"/>
      <c r="D40" s="272"/>
      <c r="E40" s="398"/>
      <c r="F40" s="397"/>
    </row>
    <row r="41" spans="1:6" hidden="1" x14ac:dyDescent="0.35">
      <c r="A41" s="411"/>
      <c r="B41" s="424" t="str">
        <f>IFERROR(IF(A41="","",VLOOKUP(A41,'Mapped COA'!A:G,2,0)),IF(A41="","",VLOOKUP(A41,COA!A:G,2,0)))</f>
        <v/>
      </c>
      <c r="C41" s="272"/>
      <c r="D41" s="272"/>
      <c r="E41" s="398"/>
      <c r="F41" s="397"/>
    </row>
    <row r="42" spans="1:6" hidden="1" x14ac:dyDescent="0.35">
      <c r="A42" s="411"/>
      <c r="B42" s="424" t="str">
        <f>IFERROR(IF(A42="","",VLOOKUP(A42,'Mapped COA'!A:G,2,0)),IF(A42="","",VLOOKUP(A42,COA!A:G,2,0)))</f>
        <v/>
      </c>
      <c r="C42" s="272"/>
      <c r="D42" s="272"/>
      <c r="E42" s="398"/>
      <c r="F42" s="397"/>
    </row>
    <row r="43" spans="1:6" hidden="1" x14ac:dyDescent="0.35">
      <c r="A43" s="411"/>
      <c r="B43" s="424" t="str">
        <f>IFERROR(IF(A43="","",VLOOKUP(A43,'Mapped COA'!A:G,2,0)),IF(A43="","",VLOOKUP(A43,COA!A:G,2,0)))</f>
        <v/>
      </c>
      <c r="C43" s="272"/>
      <c r="D43" s="272"/>
      <c r="E43" s="398"/>
      <c r="F43" s="397"/>
    </row>
    <row r="44" spans="1:6" hidden="1" x14ac:dyDescent="0.35">
      <c r="A44" s="411"/>
      <c r="B44" s="424" t="str">
        <f>IFERROR(IF(A44="","",VLOOKUP(A44,'Mapped COA'!A:G,2,0)),IF(A44="","",VLOOKUP(A44,COA!A:G,2,0)))</f>
        <v/>
      </c>
      <c r="C44" s="272"/>
      <c r="D44" s="272"/>
      <c r="E44" s="398"/>
      <c r="F44" s="397"/>
    </row>
    <row r="45" spans="1:6" hidden="1" x14ac:dyDescent="0.35">
      <c r="A45" s="411"/>
      <c r="B45" s="424" t="str">
        <f>IFERROR(IF(A45="","",VLOOKUP(A45,'Mapped COA'!A:G,2,0)),IF(A45="","",VLOOKUP(A45,COA!A:G,2,0)))</f>
        <v/>
      </c>
      <c r="C45" s="272"/>
      <c r="D45" s="272"/>
      <c r="E45" s="398"/>
      <c r="F45" s="397"/>
    </row>
    <row r="46" spans="1:6" hidden="1" x14ac:dyDescent="0.35">
      <c r="A46" s="411"/>
      <c r="B46" s="424" t="str">
        <f>IFERROR(IF(A46="","",VLOOKUP(A46,'Mapped COA'!A:G,2,0)),IF(A46="","",VLOOKUP(A46,COA!A:G,2,0)))</f>
        <v/>
      </c>
      <c r="C46" s="272"/>
      <c r="D46" s="272"/>
      <c r="E46" s="398"/>
      <c r="F46" s="397"/>
    </row>
    <row r="47" spans="1:6" hidden="1" x14ac:dyDescent="0.35">
      <c r="A47" s="411"/>
      <c r="B47" s="424" t="str">
        <f>IFERROR(IF(A47="","",VLOOKUP(A47,'Mapped COA'!A:G,2,0)),IF(A47="","",VLOOKUP(A47,COA!A:G,2,0)))</f>
        <v/>
      </c>
      <c r="C47" s="272"/>
      <c r="D47" s="272"/>
      <c r="E47" s="398"/>
      <c r="F47" s="397"/>
    </row>
    <row r="48" spans="1:6" hidden="1" x14ac:dyDescent="0.35">
      <c r="A48" s="411"/>
      <c r="B48" s="424" t="str">
        <f>IFERROR(IF(A48="","",VLOOKUP(A48,'Mapped COA'!A:G,2,0)),IF(A48="","",VLOOKUP(A48,COA!A:G,2,0)))</f>
        <v/>
      </c>
      <c r="C48" s="272"/>
      <c r="D48" s="272"/>
      <c r="E48" s="398"/>
      <c r="F48" s="397"/>
    </row>
    <row r="49" spans="1:6" hidden="1" x14ac:dyDescent="0.35">
      <c r="A49" s="411"/>
      <c r="B49" s="424" t="str">
        <f>IFERROR(IF(A49="","",VLOOKUP(A49,'Mapped COA'!A:G,2,0)),IF(A49="","",VLOOKUP(A49,COA!A:G,2,0)))</f>
        <v/>
      </c>
      <c r="C49" s="272"/>
      <c r="D49" s="272"/>
      <c r="E49" s="398"/>
      <c r="F49" s="397"/>
    </row>
    <row r="50" spans="1:6" hidden="1" x14ac:dyDescent="0.35">
      <c r="A50" s="411"/>
      <c r="B50" s="424" t="str">
        <f>IFERROR(IF(A50="","",VLOOKUP(A50,'Mapped COA'!A:G,2,0)),IF(A50="","",VLOOKUP(A50,COA!A:G,2,0)))</f>
        <v/>
      </c>
      <c r="C50" s="272"/>
      <c r="D50" s="272"/>
      <c r="E50" s="398"/>
      <c r="F50" s="397"/>
    </row>
    <row r="51" spans="1:6" hidden="1" x14ac:dyDescent="0.35">
      <c r="A51" s="411"/>
      <c r="B51" s="424" t="str">
        <f>IFERROR(IF(A51="","",VLOOKUP(A51,'Mapped COA'!A:G,2,0)),IF(A51="","",VLOOKUP(A51,COA!A:G,2,0)))</f>
        <v/>
      </c>
      <c r="C51" s="272"/>
      <c r="D51" s="272"/>
      <c r="E51" s="398"/>
      <c r="F51" s="397"/>
    </row>
    <row r="52" spans="1:6" hidden="1" x14ac:dyDescent="0.35">
      <c r="A52" s="411"/>
      <c r="B52" s="424" t="str">
        <f>IFERROR(IF(A52="","",VLOOKUP(A52,'Mapped COA'!A:G,2,0)),IF(A52="","",VLOOKUP(A52,COA!A:G,2,0)))</f>
        <v/>
      </c>
      <c r="C52" s="272"/>
      <c r="D52" s="272"/>
      <c r="E52" s="398"/>
      <c r="F52" s="397"/>
    </row>
    <row r="53" spans="1:6" hidden="1" x14ac:dyDescent="0.35">
      <c r="A53" s="411"/>
      <c r="B53" s="424" t="str">
        <f>IFERROR(IF(A53="","",VLOOKUP(A53,'Mapped COA'!A:G,2,0)),IF(A53="","",VLOOKUP(A53,COA!A:G,2,0)))</f>
        <v/>
      </c>
      <c r="C53" s="272"/>
      <c r="D53" s="272"/>
      <c r="E53" s="398"/>
      <c r="F53" s="397"/>
    </row>
    <row r="54" spans="1:6" hidden="1" x14ac:dyDescent="0.35">
      <c r="A54" s="411"/>
      <c r="B54" s="424" t="str">
        <f>IFERROR(IF(A54="","",VLOOKUP(A54,'Mapped COA'!A:G,2,0)),IF(A54="","",VLOOKUP(A54,COA!A:G,2,0)))</f>
        <v/>
      </c>
      <c r="C54" s="272"/>
      <c r="D54" s="272"/>
      <c r="E54" s="398"/>
      <c r="F54" s="397"/>
    </row>
    <row r="55" spans="1:6" hidden="1" x14ac:dyDescent="0.35">
      <c r="A55" s="411"/>
      <c r="B55" s="424" t="str">
        <f>IFERROR(IF(A55="","",VLOOKUP(A55,'Mapped COA'!A:G,2,0)),IF(A55="","",VLOOKUP(A55,COA!A:G,2,0)))</f>
        <v/>
      </c>
      <c r="C55" s="272"/>
      <c r="D55" s="272"/>
      <c r="E55" s="398"/>
      <c r="F55" s="397"/>
    </row>
    <row r="56" spans="1:6" hidden="1" x14ac:dyDescent="0.35">
      <c r="A56" s="411"/>
      <c r="B56" s="424" t="str">
        <f>IFERROR(IF(A56="","",VLOOKUP(A56,'Mapped COA'!A:G,2,0)),IF(A56="","",VLOOKUP(A56,COA!A:G,2,0)))</f>
        <v/>
      </c>
      <c r="C56" s="272"/>
      <c r="D56" s="272"/>
      <c r="E56" s="398"/>
      <c r="F56" s="397"/>
    </row>
    <row r="57" spans="1:6" hidden="1" x14ac:dyDescent="0.35">
      <c r="A57" s="411"/>
      <c r="B57" s="424" t="str">
        <f>IFERROR(IF(A57="","",VLOOKUP(A57,'Mapped COA'!A:G,2,0)),IF(A57="","",VLOOKUP(A57,COA!A:G,2,0)))</f>
        <v/>
      </c>
      <c r="C57" s="272"/>
      <c r="D57" s="272"/>
      <c r="E57" s="398"/>
      <c r="F57" s="397"/>
    </row>
    <row r="58" spans="1:6" hidden="1" x14ac:dyDescent="0.35">
      <c r="A58" s="411"/>
      <c r="B58" s="424" t="str">
        <f>IFERROR(IF(A58="","",VLOOKUP(A58,'Mapped COA'!A:G,2,0)),IF(A58="","",VLOOKUP(A58,COA!A:G,2,0)))</f>
        <v/>
      </c>
      <c r="C58" s="272"/>
      <c r="D58" s="272"/>
      <c r="E58" s="398"/>
      <c r="F58" s="397"/>
    </row>
    <row r="59" spans="1:6" hidden="1" x14ac:dyDescent="0.35">
      <c r="A59" s="411"/>
      <c r="B59" s="424" t="str">
        <f>IFERROR(IF(A59="","",VLOOKUP(A59,'Mapped COA'!A:G,2,0)),IF(A59="","",VLOOKUP(A59,COA!A:G,2,0)))</f>
        <v/>
      </c>
      <c r="C59" s="272"/>
      <c r="D59" s="272"/>
      <c r="E59" s="398"/>
      <c r="F59" s="397"/>
    </row>
    <row r="60" spans="1:6" hidden="1" x14ac:dyDescent="0.35">
      <c r="A60" s="411"/>
      <c r="B60" s="424" t="str">
        <f>IFERROR(IF(A60="","",VLOOKUP(A60,'Mapped COA'!A:G,2,0)),IF(A60="","",VLOOKUP(A60,COA!A:G,2,0)))</f>
        <v/>
      </c>
      <c r="C60" s="272"/>
      <c r="D60" s="272"/>
      <c r="E60" s="398"/>
      <c r="F60" s="397"/>
    </row>
    <row r="61" spans="1:6" hidden="1" x14ac:dyDescent="0.35">
      <c r="A61" s="411"/>
      <c r="B61" s="424" t="str">
        <f>IFERROR(IF(A61="","",VLOOKUP(A61,'Mapped COA'!A:G,2,0)),IF(A61="","",VLOOKUP(A61,COA!A:G,2,0)))</f>
        <v/>
      </c>
      <c r="C61" s="272"/>
      <c r="D61" s="272"/>
      <c r="E61" s="398"/>
      <c r="F61" s="397"/>
    </row>
    <row r="62" spans="1:6" hidden="1" x14ac:dyDescent="0.35">
      <c r="A62" s="411"/>
      <c r="B62" s="424" t="str">
        <f>IFERROR(IF(A62="","",VLOOKUP(A62,'Mapped COA'!A:G,2,0)),IF(A62="","",VLOOKUP(A62,COA!A:G,2,0)))</f>
        <v/>
      </c>
      <c r="C62" s="272"/>
      <c r="D62" s="272"/>
      <c r="E62" s="398"/>
      <c r="F62" s="397"/>
    </row>
    <row r="63" spans="1:6" hidden="1" x14ac:dyDescent="0.35">
      <c r="A63" s="411"/>
      <c r="B63" s="424" t="str">
        <f>IFERROR(IF(A63="","",VLOOKUP(A63,'Mapped COA'!A:G,2,0)),IF(A63="","",VLOOKUP(A63,COA!A:G,2,0)))</f>
        <v/>
      </c>
      <c r="C63" s="272"/>
      <c r="D63" s="272"/>
      <c r="E63" s="398"/>
      <c r="F63" s="397"/>
    </row>
    <row r="64" spans="1:6" hidden="1" x14ac:dyDescent="0.35">
      <c r="A64" s="411"/>
      <c r="B64" s="424" t="str">
        <f>IFERROR(IF(A64="","",VLOOKUP(A64,'Mapped COA'!A:G,2,0)),IF(A64="","",VLOOKUP(A64,COA!A:G,2,0)))</f>
        <v/>
      </c>
      <c r="C64" s="272"/>
      <c r="D64" s="272"/>
      <c r="E64" s="398"/>
      <c r="F64" s="397"/>
    </row>
    <row r="65" spans="1:6" hidden="1" x14ac:dyDescent="0.35">
      <c r="A65" s="411"/>
      <c r="B65" s="424" t="str">
        <f>IFERROR(IF(A65="","",VLOOKUP(A65,'Mapped COA'!A:G,2,0)),IF(A65="","",VLOOKUP(A65,COA!A:G,2,0)))</f>
        <v/>
      </c>
      <c r="C65" s="272"/>
      <c r="D65" s="272"/>
      <c r="E65" s="398"/>
      <c r="F65" s="397"/>
    </row>
    <row r="66" spans="1:6" hidden="1" x14ac:dyDescent="0.35">
      <c r="A66" s="411"/>
      <c r="B66" s="424" t="str">
        <f>IFERROR(IF(A66="","",VLOOKUP(A66,'Mapped COA'!A:G,2,0)),IF(A66="","",VLOOKUP(A66,COA!A:G,2,0)))</f>
        <v/>
      </c>
      <c r="C66" s="272"/>
      <c r="D66" s="272"/>
      <c r="E66" s="398"/>
      <c r="F66" s="397"/>
    </row>
    <row r="67" spans="1:6" hidden="1" x14ac:dyDescent="0.35">
      <c r="A67" s="411"/>
      <c r="B67" s="424" t="str">
        <f>IFERROR(IF(A67="","",VLOOKUP(A67,'Mapped COA'!A:G,2,0)),IF(A67="","",VLOOKUP(A67,COA!A:G,2,0)))</f>
        <v/>
      </c>
      <c r="C67" s="272"/>
      <c r="D67" s="272"/>
      <c r="E67" s="398"/>
      <c r="F67" s="397"/>
    </row>
    <row r="68" spans="1:6" hidden="1" x14ac:dyDescent="0.35">
      <c r="A68" s="411"/>
      <c r="B68" s="424" t="str">
        <f>IFERROR(IF(A68="","",VLOOKUP(A68,'Mapped COA'!A:G,2,0)),IF(A68="","",VLOOKUP(A68,COA!A:G,2,0)))</f>
        <v/>
      </c>
      <c r="C68" s="272"/>
      <c r="D68" s="272"/>
      <c r="E68" s="398"/>
      <c r="F68" s="397"/>
    </row>
    <row r="69" spans="1:6" hidden="1" x14ac:dyDescent="0.35">
      <c r="A69" s="411"/>
      <c r="B69" s="424" t="str">
        <f>IFERROR(IF(A69="","",VLOOKUP(A69,'Mapped COA'!A:G,2,0)),IF(A69="","",VLOOKUP(A69,COA!A:G,2,0)))</f>
        <v/>
      </c>
      <c r="C69" s="272"/>
      <c r="D69" s="272"/>
      <c r="E69" s="398"/>
      <c r="F69" s="397"/>
    </row>
    <row r="70" spans="1:6" hidden="1" x14ac:dyDescent="0.35">
      <c r="A70" s="411"/>
      <c r="B70" s="424" t="str">
        <f>IFERROR(IF(A70="","",VLOOKUP(A70,'Mapped COA'!A:G,2,0)),IF(A70="","",VLOOKUP(A70,COA!A:G,2,0)))</f>
        <v/>
      </c>
      <c r="C70" s="272"/>
      <c r="D70" s="272"/>
      <c r="E70" s="398"/>
      <c r="F70" s="397"/>
    </row>
    <row r="71" spans="1:6" hidden="1" x14ac:dyDescent="0.35">
      <c r="A71" s="411"/>
      <c r="B71" s="424" t="str">
        <f>IFERROR(IF(A71="","",VLOOKUP(A71,'Mapped COA'!A:G,2,0)),IF(A71="","",VLOOKUP(A71,COA!A:G,2,0)))</f>
        <v/>
      </c>
      <c r="C71" s="272"/>
      <c r="D71" s="272"/>
      <c r="E71" s="398"/>
      <c r="F71" s="397"/>
    </row>
    <row r="72" spans="1:6" hidden="1" x14ac:dyDescent="0.35">
      <c r="A72" s="411"/>
      <c r="B72" s="424" t="str">
        <f>IFERROR(IF(A72="","",VLOOKUP(A72,'Mapped COA'!A:G,2,0)),IF(A72="","",VLOOKUP(A72,COA!A:G,2,0)))</f>
        <v/>
      </c>
      <c r="C72" s="272"/>
      <c r="D72" s="272"/>
      <c r="E72" s="398"/>
      <c r="F72" s="397"/>
    </row>
    <row r="73" spans="1:6" hidden="1" x14ac:dyDescent="0.35">
      <c r="A73" s="411"/>
      <c r="B73" s="424" t="str">
        <f>IFERROR(IF(A73="","",VLOOKUP(A73,'Mapped COA'!A:G,2,0)),IF(A73="","",VLOOKUP(A73,COA!A:G,2,0)))</f>
        <v/>
      </c>
      <c r="C73" s="272"/>
      <c r="D73" s="272"/>
      <c r="E73" s="398"/>
      <c r="F73" s="397"/>
    </row>
    <row r="74" spans="1:6" hidden="1" x14ac:dyDescent="0.35">
      <c r="A74" s="411"/>
      <c r="B74" s="424" t="str">
        <f>IFERROR(IF(A74="","",VLOOKUP(A74,'Mapped COA'!A:G,2,0)),IF(A74="","",VLOOKUP(A74,COA!A:G,2,0)))</f>
        <v/>
      </c>
      <c r="C74" s="272"/>
      <c r="D74" s="272"/>
      <c r="E74" s="398"/>
      <c r="F74" s="397"/>
    </row>
    <row r="75" spans="1:6" hidden="1" x14ac:dyDescent="0.35">
      <c r="A75" s="411"/>
      <c r="B75" s="424" t="str">
        <f>IFERROR(IF(A75="","",VLOOKUP(A75,'Mapped COA'!A:G,2,0)),IF(A75="","",VLOOKUP(A75,COA!A:G,2,0)))</f>
        <v/>
      </c>
      <c r="C75" s="272"/>
      <c r="D75" s="272"/>
      <c r="E75" s="398"/>
      <c r="F75" s="397"/>
    </row>
    <row r="76" spans="1:6" hidden="1" x14ac:dyDescent="0.35">
      <c r="A76" s="411"/>
      <c r="B76" s="424" t="str">
        <f>IFERROR(IF(A76="","",VLOOKUP(A76,'Mapped COA'!A:G,2,0)),IF(A76="","",VLOOKUP(A76,COA!A:G,2,0)))</f>
        <v/>
      </c>
      <c r="C76" s="272"/>
      <c r="D76" s="272"/>
      <c r="E76" s="398"/>
      <c r="F76" s="397"/>
    </row>
    <row r="77" spans="1:6" hidden="1" x14ac:dyDescent="0.35">
      <c r="A77" s="411"/>
      <c r="B77" s="424" t="str">
        <f>IFERROR(IF(A77="","",VLOOKUP(A77,'Mapped COA'!A:G,2,0)),IF(A77="","",VLOOKUP(A77,COA!A:G,2,0)))</f>
        <v/>
      </c>
      <c r="C77" s="272"/>
      <c r="D77" s="272"/>
      <c r="E77" s="398"/>
      <c r="F77" s="397"/>
    </row>
    <row r="78" spans="1:6" hidden="1" x14ac:dyDescent="0.35">
      <c r="A78" s="411"/>
      <c r="B78" s="424" t="str">
        <f>IFERROR(IF(A78="","",VLOOKUP(A78,'Mapped COA'!A:G,2,0)),IF(A78="","",VLOOKUP(A78,COA!A:G,2,0)))</f>
        <v/>
      </c>
      <c r="C78" s="272"/>
      <c r="D78" s="272"/>
      <c r="E78" s="398"/>
      <c r="F78" s="397"/>
    </row>
    <row r="79" spans="1:6" hidden="1" x14ac:dyDescent="0.35">
      <c r="A79" s="411"/>
      <c r="B79" s="424" t="str">
        <f>IFERROR(IF(A79="","",VLOOKUP(A79,'Mapped COA'!A:G,2,0)),IF(A79="","",VLOOKUP(A79,COA!A:G,2,0)))</f>
        <v/>
      </c>
      <c r="C79" s="272"/>
      <c r="D79" s="272"/>
      <c r="E79" s="398"/>
      <c r="F79" s="397"/>
    </row>
    <row r="80" spans="1:6" hidden="1" x14ac:dyDescent="0.35">
      <c r="A80" s="411"/>
      <c r="B80" s="424" t="str">
        <f>IFERROR(IF(A80="","",VLOOKUP(A80,'Mapped COA'!A:G,2,0)),IF(A80="","",VLOOKUP(A80,COA!A:G,2,0)))</f>
        <v/>
      </c>
      <c r="C80" s="272"/>
      <c r="D80" s="272"/>
      <c r="E80" s="398"/>
      <c r="F80" s="397"/>
    </row>
    <row r="81" spans="1:6" hidden="1" x14ac:dyDescent="0.35">
      <c r="A81" s="411"/>
      <c r="B81" s="424" t="str">
        <f>IFERROR(IF(A81="","",VLOOKUP(A81,'Mapped COA'!A:G,2,0)),IF(A81="","",VLOOKUP(A81,COA!A:G,2,0)))</f>
        <v/>
      </c>
      <c r="C81" s="272"/>
      <c r="D81" s="272"/>
      <c r="E81" s="398"/>
      <c r="F81" s="397"/>
    </row>
    <row r="82" spans="1:6" hidden="1" x14ac:dyDescent="0.35">
      <c r="A82" s="411"/>
      <c r="B82" s="424" t="str">
        <f>IFERROR(IF(A82="","",VLOOKUP(A82,'Mapped COA'!A:G,2,0)),IF(A82="","",VLOOKUP(A82,COA!A:G,2,0)))</f>
        <v/>
      </c>
      <c r="C82" s="272"/>
      <c r="D82" s="272"/>
      <c r="E82" s="398"/>
      <c r="F82" s="397"/>
    </row>
    <row r="83" spans="1:6" hidden="1" x14ac:dyDescent="0.35">
      <c r="A83" s="411"/>
      <c r="B83" s="424" t="str">
        <f>IFERROR(IF(A83="","",VLOOKUP(A83,'Mapped COA'!A:G,2,0)),IF(A83="","",VLOOKUP(A83,COA!A:G,2,0)))</f>
        <v/>
      </c>
      <c r="C83" s="272"/>
      <c r="D83" s="272"/>
      <c r="E83" s="398"/>
      <c r="F83" s="397"/>
    </row>
    <row r="84" spans="1:6" hidden="1" x14ac:dyDescent="0.35">
      <c r="A84" s="411"/>
      <c r="B84" s="424" t="str">
        <f>IFERROR(IF(A84="","",VLOOKUP(A84,'Mapped COA'!A:G,2,0)),IF(A84="","",VLOOKUP(A84,COA!A:G,2,0)))</f>
        <v/>
      </c>
      <c r="C84" s="272"/>
      <c r="D84" s="272"/>
      <c r="E84" s="398"/>
      <c r="F84" s="397"/>
    </row>
    <row r="85" spans="1:6" hidden="1" x14ac:dyDescent="0.35">
      <c r="A85" s="411"/>
      <c r="B85" s="424" t="str">
        <f>IFERROR(IF(A85="","",VLOOKUP(A85,'Mapped COA'!A:G,2,0)),IF(A85="","",VLOOKUP(A85,COA!A:G,2,0)))</f>
        <v/>
      </c>
      <c r="C85" s="272"/>
      <c r="D85" s="272"/>
      <c r="E85" s="398"/>
      <c r="F85" s="397"/>
    </row>
    <row r="86" spans="1:6" hidden="1" x14ac:dyDescent="0.35">
      <c r="A86" s="411"/>
      <c r="B86" s="424" t="str">
        <f>IFERROR(IF(A86="","",VLOOKUP(A86,'Mapped COA'!A:G,2,0)),IF(A86="","",VLOOKUP(A86,COA!A:G,2,0)))</f>
        <v/>
      </c>
      <c r="C86" s="272"/>
      <c r="D86" s="272"/>
      <c r="E86" s="398"/>
      <c r="F86" s="397"/>
    </row>
    <row r="87" spans="1:6" hidden="1" x14ac:dyDescent="0.35">
      <c r="A87" s="411"/>
      <c r="B87" s="424" t="str">
        <f>IFERROR(IF(A87="","",VLOOKUP(A87,'Mapped COA'!A:G,2,0)),IF(A87="","",VLOOKUP(A87,COA!A:G,2,0)))</f>
        <v/>
      </c>
      <c r="C87" s="272"/>
      <c r="D87" s="272"/>
      <c r="E87" s="398"/>
      <c r="F87" s="397"/>
    </row>
    <row r="88" spans="1:6" hidden="1" x14ac:dyDescent="0.35">
      <c r="A88" s="411"/>
      <c r="B88" s="424" t="str">
        <f>IFERROR(IF(A88="","",VLOOKUP(A88,'Mapped COA'!A:G,2,0)),IF(A88="","",VLOOKUP(A88,COA!A:G,2,0)))</f>
        <v/>
      </c>
      <c r="C88" s="272"/>
      <c r="D88" s="272"/>
      <c r="E88" s="398"/>
      <c r="F88" s="397"/>
    </row>
    <row r="89" spans="1:6" hidden="1" x14ac:dyDescent="0.35">
      <c r="A89" s="411"/>
      <c r="B89" s="424" t="str">
        <f>IFERROR(IF(A89="","",VLOOKUP(A89,'Mapped COA'!A:G,2,0)),IF(A89="","",VLOOKUP(A89,COA!A:G,2,0)))</f>
        <v/>
      </c>
      <c r="C89" s="272"/>
      <c r="D89" s="272"/>
      <c r="E89" s="398"/>
      <c r="F89" s="397"/>
    </row>
    <row r="90" spans="1:6" hidden="1" x14ac:dyDescent="0.35">
      <c r="A90" s="411"/>
      <c r="B90" s="424" t="str">
        <f>IFERROR(IF(A90="","",VLOOKUP(A90,'Mapped COA'!A:G,2,0)),IF(A90="","",VLOOKUP(A90,COA!A:G,2,0)))</f>
        <v/>
      </c>
      <c r="C90" s="272"/>
      <c r="D90" s="272"/>
      <c r="E90" s="398"/>
      <c r="F90" s="397"/>
    </row>
    <row r="91" spans="1:6" hidden="1" x14ac:dyDescent="0.35">
      <c r="A91" s="411"/>
      <c r="B91" s="424" t="str">
        <f>IFERROR(IF(A91="","",VLOOKUP(A91,'Mapped COA'!A:G,2,0)),IF(A91="","",VLOOKUP(A91,COA!A:G,2,0)))</f>
        <v/>
      </c>
      <c r="C91" s="272"/>
      <c r="D91" s="272"/>
      <c r="E91" s="398"/>
      <c r="F91" s="397"/>
    </row>
    <row r="92" spans="1:6" hidden="1" x14ac:dyDescent="0.35">
      <c r="A92" s="411"/>
      <c r="B92" s="424" t="str">
        <f>IFERROR(IF(A92="","",VLOOKUP(A92,'Mapped COA'!A:G,2,0)),IF(A92="","",VLOOKUP(A92,COA!A:G,2,0)))</f>
        <v/>
      </c>
      <c r="C92" s="272"/>
      <c r="D92" s="272"/>
      <c r="E92" s="398"/>
      <c r="F92" s="397"/>
    </row>
    <row r="93" spans="1:6" hidden="1" x14ac:dyDescent="0.35">
      <c r="A93" s="411"/>
      <c r="B93" s="424" t="str">
        <f>IFERROR(IF(A93="","",VLOOKUP(A93,'Mapped COA'!A:G,2,0)),IF(A93="","",VLOOKUP(A93,COA!A:G,2,0)))</f>
        <v/>
      </c>
      <c r="C93" s="272"/>
      <c r="D93" s="272"/>
      <c r="E93" s="398"/>
      <c r="F93" s="397"/>
    </row>
    <row r="94" spans="1:6" hidden="1" x14ac:dyDescent="0.35">
      <c r="A94" s="411"/>
      <c r="B94" s="424" t="str">
        <f>IFERROR(IF(A94="","",VLOOKUP(A94,'Mapped COA'!A:G,2,0)),IF(A94="","",VLOOKUP(A94,COA!A:G,2,0)))</f>
        <v/>
      </c>
      <c r="C94" s="272"/>
      <c r="D94" s="272"/>
      <c r="E94" s="398"/>
      <c r="F94" s="397"/>
    </row>
    <row r="95" spans="1:6" hidden="1" x14ac:dyDescent="0.35">
      <c r="A95" s="411"/>
      <c r="B95" s="424" t="str">
        <f>IFERROR(IF(A95="","",VLOOKUP(A95,'Mapped COA'!A:G,2,0)),IF(A95="","",VLOOKUP(A95,COA!A:G,2,0)))</f>
        <v/>
      </c>
      <c r="C95" s="272"/>
      <c r="D95" s="272"/>
      <c r="E95" s="398"/>
      <c r="F95" s="397"/>
    </row>
    <row r="96" spans="1:6" hidden="1" x14ac:dyDescent="0.35">
      <c r="A96" s="411"/>
      <c r="B96" s="424" t="str">
        <f>IFERROR(IF(A96="","",VLOOKUP(A96,'Mapped COA'!A:G,2,0)),IF(A96="","",VLOOKUP(A96,COA!A:G,2,0)))</f>
        <v/>
      </c>
      <c r="C96" s="272"/>
      <c r="D96" s="272"/>
      <c r="E96" s="398"/>
      <c r="F96" s="397"/>
    </row>
    <row r="97" spans="1:6" hidden="1" x14ac:dyDescent="0.35">
      <c r="A97" s="411"/>
      <c r="B97" s="424" t="str">
        <f>IFERROR(IF(A97="","",VLOOKUP(A97,'Mapped COA'!A:G,2,0)),IF(A97="","",VLOOKUP(A97,COA!A:G,2,0)))</f>
        <v/>
      </c>
      <c r="C97" s="272"/>
      <c r="D97" s="272"/>
      <c r="E97" s="398"/>
      <c r="F97" s="397"/>
    </row>
    <row r="98" spans="1:6" hidden="1" x14ac:dyDescent="0.35">
      <c r="A98" s="411"/>
      <c r="B98" s="424" t="str">
        <f>IFERROR(IF(A98="","",VLOOKUP(A98,'Mapped COA'!A:G,2,0)),IF(A98="","",VLOOKUP(A98,COA!A:G,2,0)))</f>
        <v/>
      </c>
      <c r="C98" s="272"/>
      <c r="D98" s="272"/>
      <c r="E98" s="398"/>
      <c r="F98" s="397"/>
    </row>
    <row r="99" spans="1:6" hidden="1" x14ac:dyDescent="0.35">
      <c r="A99" s="411"/>
      <c r="B99" s="424" t="str">
        <f>IFERROR(IF(A99="","",VLOOKUP(A99,'Mapped COA'!A:G,2,0)),IF(A99="","",VLOOKUP(A99,COA!A:G,2,0)))</f>
        <v/>
      </c>
      <c r="C99" s="272"/>
      <c r="D99" s="272"/>
      <c r="E99" s="398"/>
      <c r="F99" s="397"/>
    </row>
    <row r="100" spans="1:6" hidden="1" x14ac:dyDescent="0.35">
      <c r="A100" s="411"/>
      <c r="B100" s="424" t="str">
        <f>IFERROR(IF(A100="","",VLOOKUP(A100,'Mapped COA'!A:G,2,0)),IF(A100="","",VLOOKUP(A100,COA!A:G,2,0)))</f>
        <v/>
      </c>
      <c r="C100" s="272"/>
      <c r="D100" s="272"/>
      <c r="E100" s="398"/>
      <c r="F100" s="397"/>
    </row>
    <row r="101" spans="1:6" hidden="1" x14ac:dyDescent="0.35">
      <c r="A101" s="411"/>
      <c r="B101" s="424" t="str">
        <f>IFERROR(IF(A101="","",VLOOKUP(A101,'Mapped COA'!A:G,2,0)),IF(A101="","",VLOOKUP(A101,COA!A:G,2,0)))</f>
        <v/>
      </c>
      <c r="C101" s="272"/>
      <c r="D101" s="272"/>
      <c r="E101" s="398"/>
      <c r="F101" s="397"/>
    </row>
    <row r="102" spans="1:6" hidden="1" x14ac:dyDescent="0.35">
      <c r="A102" s="411"/>
      <c r="B102" s="424" t="str">
        <f>IFERROR(IF(A102="","",VLOOKUP(A102,'Mapped COA'!A:G,2,0)),IF(A102="","",VLOOKUP(A102,COA!A:G,2,0)))</f>
        <v/>
      </c>
      <c r="C102" s="272"/>
      <c r="D102" s="272"/>
      <c r="E102" s="398"/>
      <c r="F102" s="397"/>
    </row>
    <row r="103" spans="1:6" hidden="1" x14ac:dyDescent="0.35">
      <c r="A103" s="411"/>
      <c r="B103" s="424" t="str">
        <f>IFERROR(IF(A103="","",VLOOKUP(A103,'Mapped COA'!A:G,2,0)),IF(A103="","",VLOOKUP(A103,COA!A:G,2,0)))</f>
        <v/>
      </c>
      <c r="C103" s="272"/>
      <c r="D103" s="272"/>
      <c r="E103" s="398"/>
      <c r="F103" s="397"/>
    </row>
    <row r="104" spans="1:6" hidden="1" x14ac:dyDescent="0.35">
      <c r="A104" s="411"/>
      <c r="B104" s="424" t="str">
        <f>IFERROR(IF(A104="","",VLOOKUP(A104,'Mapped COA'!A:G,2,0)),IF(A104="","",VLOOKUP(A104,COA!A:G,2,0)))</f>
        <v/>
      </c>
      <c r="C104" s="272"/>
      <c r="D104" s="272"/>
      <c r="E104" s="398"/>
      <c r="F104" s="397"/>
    </row>
    <row r="105" spans="1:6" hidden="1" x14ac:dyDescent="0.35">
      <c r="A105" s="411"/>
      <c r="B105" s="424" t="str">
        <f>IFERROR(IF(A105="","",VLOOKUP(A105,'Mapped COA'!A:G,2,0)),IF(A105="","",VLOOKUP(A105,COA!A:G,2,0)))</f>
        <v/>
      </c>
      <c r="C105" s="272"/>
      <c r="D105" s="272"/>
      <c r="E105" s="398"/>
      <c r="F105" s="397"/>
    </row>
    <row r="106" spans="1:6" hidden="1" x14ac:dyDescent="0.35">
      <c r="A106" s="411"/>
      <c r="B106" s="424" t="str">
        <f>IFERROR(IF(A106="","",VLOOKUP(A106,'Mapped COA'!A:G,2,0)),IF(A106="","",VLOOKUP(A106,COA!A:G,2,0)))</f>
        <v/>
      </c>
      <c r="C106" s="272"/>
      <c r="D106" s="272"/>
      <c r="E106" s="398"/>
      <c r="F106" s="397"/>
    </row>
    <row r="107" spans="1:6" hidden="1" x14ac:dyDescent="0.35">
      <c r="A107" s="411"/>
      <c r="B107" s="424" t="str">
        <f>IFERROR(IF(A107="","",VLOOKUP(A107,'Mapped COA'!A:G,2,0)),IF(A107="","",VLOOKUP(A107,COA!A:G,2,0)))</f>
        <v/>
      </c>
      <c r="C107" s="272"/>
      <c r="D107" s="272"/>
      <c r="E107" s="398"/>
      <c r="F107" s="397"/>
    </row>
    <row r="108" spans="1:6" hidden="1" x14ac:dyDescent="0.35">
      <c r="A108" s="411"/>
      <c r="B108" s="424" t="str">
        <f>IFERROR(IF(A108="","",VLOOKUP(A108,'Mapped COA'!A:G,2,0)),IF(A108="","",VLOOKUP(A108,COA!A:G,2,0)))</f>
        <v/>
      </c>
      <c r="C108" s="272"/>
      <c r="D108" s="272"/>
      <c r="E108" s="398"/>
      <c r="F108" s="397"/>
    </row>
    <row r="109" spans="1:6" x14ac:dyDescent="0.35">
      <c r="A109" s="412"/>
      <c r="B109" s="425" t="str">
        <f>IFERROR(IF(A109="","",VLOOKUP(A109,'Mapped COA'!A:G,2,0)),IF(A109="","",VLOOKUP(A109,COA!A:G,2,0)))</f>
        <v/>
      </c>
      <c r="C109" s="413"/>
      <c r="D109" s="413"/>
      <c r="E109" s="414"/>
      <c r="F109" s="415"/>
    </row>
    <row r="112" spans="1:6" ht="15" thickBot="1" x14ac:dyDescent="0.4">
      <c r="E112" s="465" t="s">
        <v>128</v>
      </c>
      <c r="F112" s="466">
        <f>SUM(F9:F109)</f>
        <v>0</v>
      </c>
    </row>
    <row r="113" spans="1:6" ht="15" thickTop="1" x14ac:dyDescent="0.35"/>
    <row r="115" spans="1:6" ht="20.5" x14ac:dyDescent="0.45">
      <c r="A115" s="426" t="s">
        <v>323</v>
      </c>
      <c r="B115" s="426"/>
      <c r="C115" s="426"/>
      <c r="D115" s="426"/>
      <c r="E115" s="426"/>
      <c r="F115" s="426"/>
    </row>
    <row r="116" spans="1:6" ht="29" x14ac:dyDescent="0.35">
      <c r="A116" s="417" t="s">
        <v>315</v>
      </c>
      <c r="B116" s="417" t="s">
        <v>316</v>
      </c>
      <c r="C116" s="417" t="s">
        <v>317</v>
      </c>
      <c r="D116" s="417" t="s">
        <v>318</v>
      </c>
      <c r="E116" s="417" t="s">
        <v>319</v>
      </c>
      <c r="F116" s="418" t="s">
        <v>320</v>
      </c>
    </row>
    <row r="117" spans="1:6" x14ac:dyDescent="0.35">
      <c r="A117" s="482"/>
      <c r="B117" s="399"/>
      <c r="C117" s="397"/>
      <c r="D117" s="471"/>
      <c r="E117" s="471"/>
      <c r="F117" s="470">
        <f>D117-F223</f>
        <v>0</v>
      </c>
    </row>
    <row r="118" spans="1:6" x14ac:dyDescent="0.35">
      <c r="A118" s="422"/>
      <c r="B118" s="422"/>
      <c r="C118" s="422"/>
      <c r="D118" s="422"/>
      <c r="E118" s="422"/>
      <c r="F118" s="422"/>
    </row>
    <row r="119" spans="1:6" x14ac:dyDescent="0.35">
      <c r="A119" s="416" t="s">
        <v>137</v>
      </c>
      <c r="B119" s="417" t="s">
        <v>107</v>
      </c>
      <c r="C119" s="417" t="s">
        <v>282</v>
      </c>
      <c r="D119" s="417" t="s">
        <v>321</v>
      </c>
      <c r="E119" s="417" t="s">
        <v>322</v>
      </c>
      <c r="F119" s="417" t="s">
        <v>284</v>
      </c>
    </row>
    <row r="120" spans="1:6" x14ac:dyDescent="0.35">
      <c r="A120" s="411"/>
      <c r="B120" s="424" t="str">
        <f>IFERROR(IF(A120="","",VLOOKUP(A120,'Mapped COA'!A:G,2,0)),IF(A120="","",VLOOKUP(A120,COA!A:G,2,0)))</f>
        <v/>
      </c>
      <c r="C120" s="272"/>
      <c r="D120" s="272"/>
      <c r="E120" s="398"/>
      <c r="F120" s="397"/>
    </row>
    <row r="121" spans="1:6" x14ac:dyDescent="0.35">
      <c r="A121" s="411"/>
      <c r="B121" s="424" t="str">
        <f>IFERROR(IF(A121="","",VLOOKUP(A121,'Mapped COA'!A:G,2,0)),IF(A121="","",VLOOKUP(A121,COA!A:G,2,0)))</f>
        <v/>
      </c>
      <c r="C121" s="272"/>
      <c r="D121" s="272"/>
      <c r="E121" s="398"/>
      <c r="F121" s="397"/>
    </row>
    <row r="122" spans="1:6" x14ac:dyDescent="0.35">
      <c r="A122" s="411"/>
      <c r="B122" s="424" t="str">
        <f>IFERROR(IF(A122="","",VLOOKUP(A122,'Mapped COA'!A:G,2,0)),IF(A122="","",VLOOKUP(A122,COA!A:G,2,0)))</f>
        <v/>
      </c>
      <c r="C122" s="272"/>
      <c r="D122" s="272"/>
      <c r="E122" s="398"/>
      <c r="F122" s="397"/>
    </row>
    <row r="123" spans="1:6" x14ac:dyDescent="0.35">
      <c r="A123" s="411"/>
      <c r="B123" s="424" t="str">
        <f>IFERROR(IF(A123="","",VLOOKUP(A123,'Mapped COA'!A:G,2,0)),IF(A123="","",VLOOKUP(A123,COA!A:G,2,0)))</f>
        <v/>
      </c>
      <c r="C123" s="272"/>
      <c r="D123" s="272"/>
      <c r="E123" s="398"/>
      <c r="F123" s="397"/>
    </row>
    <row r="124" spans="1:6" x14ac:dyDescent="0.35">
      <c r="A124" s="411"/>
      <c r="B124" s="424" t="str">
        <f>IFERROR(IF(A124="","",VLOOKUP(A124,'Mapped COA'!A:G,2,0)),IF(A124="","",VLOOKUP(A124,COA!A:G,2,0)))</f>
        <v/>
      </c>
      <c r="C124" s="272"/>
      <c r="D124" s="272"/>
      <c r="E124" s="398"/>
      <c r="F124" s="397"/>
    </row>
    <row r="125" spans="1:6" x14ac:dyDescent="0.35">
      <c r="A125" s="411"/>
      <c r="B125" s="424" t="str">
        <f>IFERROR(IF(A125="","",VLOOKUP(A125,'Mapped COA'!A:G,2,0)),IF(A125="","",VLOOKUP(A125,COA!A:G,2,0)))</f>
        <v/>
      </c>
      <c r="C125" s="272"/>
      <c r="D125" s="272"/>
      <c r="E125" s="398"/>
      <c r="F125" s="397"/>
    </row>
    <row r="126" spans="1:6" x14ac:dyDescent="0.35">
      <c r="A126" s="411"/>
      <c r="B126" s="424" t="str">
        <f>IFERROR(IF(A126="","",VLOOKUP(A126,'Mapped COA'!A:G,2,0)),IF(A126="","",VLOOKUP(A126,COA!A:G,2,0)))</f>
        <v/>
      </c>
      <c r="C126" s="272"/>
      <c r="D126" s="272"/>
      <c r="E126" s="398"/>
      <c r="F126" s="397"/>
    </row>
    <row r="127" spans="1:6" hidden="1" x14ac:dyDescent="0.35">
      <c r="A127" s="411"/>
      <c r="B127" s="424" t="str">
        <f>IFERROR(IF(A127="","",VLOOKUP(A127,'Mapped COA'!A:G,2,0)),IF(A127="","",VLOOKUP(A127,COA!A:G,2,0)))</f>
        <v/>
      </c>
      <c r="C127" s="272"/>
      <c r="D127" s="272"/>
      <c r="E127" s="398"/>
      <c r="F127" s="397"/>
    </row>
    <row r="128" spans="1:6" hidden="1" x14ac:dyDescent="0.35">
      <c r="A128" s="411"/>
      <c r="B128" s="424" t="str">
        <f>IFERROR(IF(A128="","",VLOOKUP(A128,'Mapped COA'!A:G,2,0)),IF(A128="","",VLOOKUP(A128,COA!A:G,2,0)))</f>
        <v/>
      </c>
      <c r="C128" s="272"/>
      <c r="D128" s="272"/>
      <c r="E128" s="398"/>
      <c r="F128" s="397"/>
    </row>
    <row r="129" spans="1:6" hidden="1" x14ac:dyDescent="0.35">
      <c r="A129" s="411"/>
      <c r="B129" s="424" t="str">
        <f>IFERROR(IF(A129="","",VLOOKUP(A129,'Mapped COA'!A:G,2,0)),IF(A129="","",VLOOKUP(A129,COA!A:G,2,0)))</f>
        <v/>
      </c>
      <c r="C129" s="272"/>
      <c r="D129" s="272"/>
      <c r="E129" s="398"/>
      <c r="F129" s="397"/>
    </row>
    <row r="130" spans="1:6" hidden="1" x14ac:dyDescent="0.35">
      <c r="A130" s="411"/>
      <c r="B130" s="424" t="str">
        <f>IFERROR(IF(A130="","",VLOOKUP(A130,'Mapped COA'!A:G,2,0)),IF(A130="","",VLOOKUP(A130,COA!A:G,2,0)))</f>
        <v/>
      </c>
      <c r="C130" s="272"/>
      <c r="D130" s="272"/>
      <c r="E130" s="398"/>
      <c r="F130" s="397"/>
    </row>
    <row r="131" spans="1:6" hidden="1" x14ac:dyDescent="0.35">
      <c r="A131" s="411"/>
      <c r="B131" s="424" t="str">
        <f>IFERROR(IF(A131="","",VLOOKUP(A131,'Mapped COA'!A:G,2,0)),IF(A131="","",VLOOKUP(A131,COA!A:G,2,0)))</f>
        <v/>
      </c>
      <c r="C131" s="272"/>
      <c r="D131" s="272"/>
      <c r="E131" s="398"/>
      <c r="F131" s="397"/>
    </row>
    <row r="132" spans="1:6" hidden="1" x14ac:dyDescent="0.35">
      <c r="A132" s="411"/>
      <c r="B132" s="424" t="str">
        <f>IFERROR(IF(A132="","",VLOOKUP(A132,'Mapped COA'!A:G,2,0)),IF(A132="","",VLOOKUP(A132,COA!A:G,2,0)))</f>
        <v/>
      </c>
      <c r="C132" s="272"/>
      <c r="D132" s="272"/>
      <c r="E132" s="398"/>
      <c r="F132" s="397"/>
    </row>
    <row r="133" spans="1:6" hidden="1" x14ac:dyDescent="0.35">
      <c r="A133" s="411"/>
      <c r="B133" s="424" t="str">
        <f>IFERROR(IF(A133="","",VLOOKUP(A133,'Mapped COA'!A:G,2,0)),IF(A133="","",VLOOKUP(A133,COA!A:G,2,0)))</f>
        <v/>
      </c>
      <c r="C133" s="272"/>
      <c r="D133" s="272"/>
      <c r="E133" s="398"/>
      <c r="F133" s="397"/>
    </row>
    <row r="134" spans="1:6" hidden="1" x14ac:dyDescent="0.35">
      <c r="A134" s="411"/>
      <c r="B134" s="424" t="str">
        <f>IFERROR(IF(A134="","",VLOOKUP(A134,'Mapped COA'!A:G,2,0)),IF(A134="","",VLOOKUP(A134,COA!A:G,2,0)))</f>
        <v/>
      </c>
      <c r="C134" s="272"/>
      <c r="D134" s="272"/>
      <c r="E134" s="398"/>
      <c r="F134" s="397"/>
    </row>
    <row r="135" spans="1:6" hidden="1" x14ac:dyDescent="0.35">
      <c r="A135" s="411"/>
      <c r="B135" s="424" t="str">
        <f>IFERROR(IF(A135="","",VLOOKUP(A135,'Mapped COA'!A:G,2,0)),IF(A135="","",VLOOKUP(A135,COA!A:G,2,0)))</f>
        <v/>
      </c>
      <c r="C135" s="272"/>
      <c r="D135" s="272"/>
      <c r="E135" s="398"/>
      <c r="F135" s="397"/>
    </row>
    <row r="136" spans="1:6" hidden="1" x14ac:dyDescent="0.35">
      <c r="A136" s="411"/>
      <c r="B136" s="424" t="str">
        <f>IFERROR(IF(A136="","",VLOOKUP(A136,'Mapped COA'!A:G,2,0)),IF(A136="","",VLOOKUP(A136,COA!A:G,2,0)))</f>
        <v/>
      </c>
      <c r="C136" s="272"/>
      <c r="D136" s="272"/>
      <c r="E136" s="398"/>
      <c r="F136" s="397"/>
    </row>
    <row r="137" spans="1:6" hidden="1" x14ac:dyDescent="0.35">
      <c r="A137" s="411"/>
      <c r="B137" s="424" t="str">
        <f>IFERROR(IF(A137="","",VLOOKUP(A137,'Mapped COA'!A:G,2,0)),IF(A137="","",VLOOKUP(A137,COA!A:G,2,0)))</f>
        <v/>
      </c>
      <c r="C137" s="272"/>
      <c r="D137" s="272"/>
      <c r="E137" s="398"/>
      <c r="F137" s="397"/>
    </row>
    <row r="138" spans="1:6" hidden="1" x14ac:dyDescent="0.35">
      <c r="A138" s="411"/>
      <c r="B138" s="424" t="str">
        <f>IFERROR(IF(A138="","",VLOOKUP(A138,'Mapped COA'!A:G,2,0)),IF(A138="","",VLOOKUP(A138,COA!A:G,2,0)))</f>
        <v/>
      </c>
      <c r="C138" s="272"/>
      <c r="D138" s="272"/>
      <c r="E138" s="398"/>
      <c r="F138" s="397"/>
    </row>
    <row r="139" spans="1:6" hidden="1" x14ac:dyDescent="0.35">
      <c r="A139" s="411"/>
      <c r="B139" s="424" t="str">
        <f>IFERROR(IF(A139="","",VLOOKUP(A139,'Mapped COA'!A:G,2,0)),IF(A139="","",VLOOKUP(A139,COA!A:G,2,0)))</f>
        <v/>
      </c>
      <c r="C139" s="272"/>
      <c r="D139" s="272"/>
      <c r="E139" s="398"/>
      <c r="F139" s="397"/>
    </row>
    <row r="140" spans="1:6" hidden="1" x14ac:dyDescent="0.35">
      <c r="A140" s="411"/>
      <c r="B140" s="424" t="str">
        <f>IFERROR(IF(A140="","",VLOOKUP(A140,'Mapped COA'!A:G,2,0)),IF(A140="","",VLOOKUP(A140,COA!A:G,2,0)))</f>
        <v/>
      </c>
      <c r="C140" s="272"/>
      <c r="D140" s="272"/>
      <c r="E140" s="398"/>
      <c r="F140" s="397"/>
    </row>
    <row r="141" spans="1:6" hidden="1" x14ac:dyDescent="0.35">
      <c r="A141" s="411"/>
      <c r="B141" s="424" t="str">
        <f>IFERROR(IF(A141="","",VLOOKUP(A141,'Mapped COA'!A:G,2,0)),IF(A141="","",VLOOKUP(A141,COA!A:G,2,0)))</f>
        <v/>
      </c>
      <c r="C141" s="272"/>
      <c r="D141" s="272"/>
      <c r="E141" s="398"/>
      <c r="F141" s="397"/>
    </row>
    <row r="142" spans="1:6" hidden="1" x14ac:dyDescent="0.35">
      <c r="A142" s="411"/>
      <c r="B142" s="424" t="str">
        <f>IFERROR(IF(A142="","",VLOOKUP(A142,'Mapped COA'!A:G,2,0)),IF(A142="","",VLOOKUP(A142,COA!A:G,2,0)))</f>
        <v/>
      </c>
      <c r="C142" s="272"/>
      <c r="D142" s="272"/>
      <c r="E142" s="398"/>
      <c r="F142" s="397"/>
    </row>
    <row r="143" spans="1:6" hidden="1" x14ac:dyDescent="0.35">
      <c r="A143" s="411"/>
      <c r="B143" s="424" t="str">
        <f>IFERROR(IF(A143="","",VLOOKUP(A143,'Mapped COA'!A:G,2,0)),IF(A143="","",VLOOKUP(A143,COA!A:G,2,0)))</f>
        <v/>
      </c>
      <c r="C143" s="272"/>
      <c r="D143" s="272"/>
      <c r="E143" s="398"/>
      <c r="F143" s="397"/>
    </row>
    <row r="144" spans="1:6" hidden="1" x14ac:dyDescent="0.35">
      <c r="A144" s="411"/>
      <c r="B144" s="424" t="str">
        <f>IFERROR(IF(A144="","",VLOOKUP(A144,'Mapped COA'!A:G,2,0)),IF(A144="","",VLOOKUP(A144,COA!A:G,2,0)))</f>
        <v/>
      </c>
      <c r="C144" s="272"/>
      <c r="D144" s="272"/>
      <c r="E144" s="398"/>
      <c r="F144" s="397"/>
    </row>
    <row r="145" spans="1:6" hidden="1" x14ac:dyDescent="0.35">
      <c r="A145" s="411"/>
      <c r="B145" s="424" t="str">
        <f>IFERROR(IF(A145="","",VLOOKUP(A145,'Mapped COA'!A:G,2,0)),IF(A145="","",VLOOKUP(A145,COA!A:G,2,0)))</f>
        <v/>
      </c>
      <c r="C145" s="272"/>
      <c r="D145" s="272"/>
      <c r="E145" s="398"/>
      <c r="F145" s="397"/>
    </row>
    <row r="146" spans="1:6" hidden="1" x14ac:dyDescent="0.35">
      <c r="A146" s="411"/>
      <c r="B146" s="424" t="str">
        <f>IFERROR(IF(A146="","",VLOOKUP(A146,'Mapped COA'!A:G,2,0)),IF(A146="","",VLOOKUP(A146,COA!A:G,2,0)))</f>
        <v/>
      </c>
      <c r="C146" s="272"/>
      <c r="D146" s="272"/>
      <c r="E146" s="398"/>
      <c r="F146" s="397"/>
    </row>
    <row r="147" spans="1:6" hidden="1" x14ac:dyDescent="0.35">
      <c r="A147" s="411"/>
      <c r="B147" s="424" t="str">
        <f>IFERROR(IF(A147="","",VLOOKUP(A147,'Mapped COA'!A:G,2,0)),IF(A147="","",VLOOKUP(A147,COA!A:G,2,0)))</f>
        <v/>
      </c>
      <c r="C147" s="272"/>
      <c r="D147" s="272"/>
      <c r="E147" s="398"/>
      <c r="F147" s="397"/>
    </row>
    <row r="148" spans="1:6" hidden="1" x14ac:dyDescent="0.35">
      <c r="A148" s="411"/>
      <c r="B148" s="424" t="str">
        <f>IFERROR(IF(A148="","",VLOOKUP(A148,'Mapped COA'!A:G,2,0)),IF(A148="","",VLOOKUP(A148,COA!A:G,2,0)))</f>
        <v/>
      </c>
      <c r="C148" s="272"/>
      <c r="D148" s="272"/>
      <c r="E148" s="398"/>
      <c r="F148" s="397"/>
    </row>
    <row r="149" spans="1:6" hidden="1" x14ac:dyDescent="0.35">
      <c r="A149" s="411"/>
      <c r="B149" s="424" t="str">
        <f>IFERROR(IF(A149="","",VLOOKUP(A149,'Mapped COA'!A:G,2,0)),IF(A149="","",VLOOKUP(A149,COA!A:G,2,0)))</f>
        <v/>
      </c>
      <c r="C149" s="272"/>
      <c r="D149" s="272"/>
      <c r="E149" s="398"/>
      <c r="F149" s="397"/>
    </row>
    <row r="150" spans="1:6" hidden="1" x14ac:dyDescent="0.35">
      <c r="A150" s="411"/>
      <c r="B150" s="424" t="str">
        <f>IFERROR(IF(A150="","",VLOOKUP(A150,'Mapped COA'!A:G,2,0)),IF(A150="","",VLOOKUP(A150,COA!A:G,2,0)))</f>
        <v/>
      </c>
      <c r="C150" s="272"/>
      <c r="D150" s="272"/>
      <c r="E150" s="398"/>
      <c r="F150" s="397"/>
    </row>
    <row r="151" spans="1:6" hidden="1" x14ac:dyDescent="0.35">
      <c r="A151" s="411"/>
      <c r="B151" s="424" t="str">
        <f>IFERROR(IF(A151="","",VLOOKUP(A151,'Mapped COA'!A:G,2,0)),IF(A151="","",VLOOKUP(A151,COA!A:G,2,0)))</f>
        <v/>
      </c>
      <c r="C151" s="272"/>
      <c r="D151" s="272"/>
      <c r="E151" s="398"/>
      <c r="F151" s="397"/>
    </row>
    <row r="152" spans="1:6" hidden="1" x14ac:dyDescent="0.35">
      <c r="A152" s="411"/>
      <c r="B152" s="424" t="str">
        <f>IFERROR(IF(A152="","",VLOOKUP(A152,'Mapped COA'!A:G,2,0)),IF(A152="","",VLOOKUP(A152,COA!A:G,2,0)))</f>
        <v/>
      </c>
      <c r="C152" s="272"/>
      <c r="D152" s="272"/>
      <c r="E152" s="398"/>
      <c r="F152" s="397"/>
    </row>
    <row r="153" spans="1:6" hidden="1" x14ac:dyDescent="0.35">
      <c r="A153" s="411"/>
      <c r="B153" s="424" t="str">
        <f>IFERROR(IF(A153="","",VLOOKUP(A153,'Mapped COA'!A:G,2,0)),IF(A153="","",VLOOKUP(A153,COA!A:G,2,0)))</f>
        <v/>
      </c>
      <c r="C153" s="272"/>
      <c r="D153" s="272"/>
      <c r="E153" s="398"/>
      <c r="F153" s="397"/>
    </row>
    <row r="154" spans="1:6" hidden="1" x14ac:dyDescent="0.35">
      <c r="A154" s="411"/>
      <c r="B154" s="424" t="str">
        <f>IFERROR(IF(A154="","",VLOOKUP(A154,'Mapped COA'!A:G,2,0)),IF(A154="","",VLOOKUP(A154,COA!A:G,2,0)))</f>
        <v/>
      </c>
      <c r="C154" s="272"/>
      <c r="D154" s="272"/>
      <c r="E154" s="398"/>
      <c r="F154" s="397"/>
    </row>
    <row r="155" spans="1:6" hidden="1" x14ac:dyDescent="0.35">
      <c r="A155" s="411"/>
      <c r="B155" s="424" t="str">
        <f>IFERROR(IF(A155="","",VLOOKUP(A155,'Mapped COA'!A:G,2,0)),IF(A155="","",VLOOKUP(A155,COA!A:G,2,0)))</f>
        <v/>
      </c>
      <c r="C155" s="272"/>
      <c r="D155" s="272"/>
      <c r="E155" s="398"/>
      <c r="F155" s="397"/>
    </row>
    <row r="156" spans="1:6" hidden="1" x14ac:dyDescent="0.35">
      <c r="A156" s="411"/>
      <c r="B156" s="424" t="str">
        <f>IFERROR(IF(A156="","",VLOOKUP(A156,'Mapped COA'!A:G,2,0)),IF(A156="","",VLOOKUP(A156,COA!A:G,2,0)))</f>
        <v/>
      </c>
      <c r="C156" s="272"/>
      <c r="D156" s="272"/>
      <c r="E156" s="398"/>
      <c r="F156" s="397"/>
    </row>
    <row r="157" spans="1:6" hidden="1" x14ac:dyDescent="0.35">
      <c r="A157" s="411"/>
      <c r="B157" s="424" t="str">
        <f>IFERROR(IF(A157="","",VLOOKUP(A157,'Mapped COA'!A:G,2,0)),IF(A157="","",VLOOKUP(A157,COA!A:G,2,0)))</f>
        <v/>
      </c>
      <c r="C157" s="272"/>
      <c r="D157" s="272"/>
      <c r="E157" s="398"/>
      <c r="F157" s="397"/>
    </row>
    <row r="158" spans="1:6" hidden="1" x14ac:dyDescent="0.35">
      <c r="A158" s="411"/>
      <c r="B158" s="424" t="str">
        <f>IFERROR(IF(A158="","",VLOOKUP(A158,'Mapped COA'!A:G,2,0)),IF(A158="","",VLOOKUP(A158,COA!A:G,2,0)))</f>
        <v/>
      </c>
      <c r="C158" s="272"/>
      <c r="D158" s="272"/>
      <c r="E158" s="398"/>
      <c r="F158" s="397"/>
    </row>
    <row r="159" spans="1:6" hidden="1" x14ac:dyDescent="0.35">
      <c r="A159" s="411"/>
      <c r="B159" s="424" t="str">
        <f>IFERROR(IF(A159="","",VLOOKUP(A159,'Mapped COA'!A:G,2,0)),IF(A159="","",VLOOKUP(A159,COA!A:G,2,0)))</f>
        <v/>
      </c>
      <c r="C159" s="272"/>
      <c r="D159" s="272"/>
      <c r="E159" s="398"/>
      <c r="F159" s="397"/>
    </row>
    <row r="160" spans="1:6" hidden="1" x14ac:dyDescent="0.35">
      <c r="A160" s="411"/>
      <c r="B160" s="424" t="str">
        <f>IFERROR(IF(A160="","",VLOOKUP(A160,'Mapped COA'!A:G,2,0)),IF(A160="","",VLOOKUP(A160,COA!A:G,2,0)))</f>
        <v/>
      </c>
      <c r="C160" s="272"/>
      <c r="D160" s="272"/>
      <c r="E160" s="398"/>
      <c r="F160" s="397"/>
    </row>
    <row r="161" spans="1:6" hidden="1" x14ac:dyDescent="0.35">
      <c r="A161" s="411"/>
      <c r="B161" s="424" t="str">
        <f>IFERROR(IF(A161="","",VLOOKUP(A161,'Mapped COA'!A:G,2,0)),IF(A161="","",VLOOKUP(A161,COA!A:G,2,0)))</f>
        <v/>
      </c>
      <c r="C161" s="272"/>
      <c r="D161" s="272"/>
      <c r="E161" s="398"/>
      <c r="F161" s="397"/>
    </row>
    <row r="162" spans="1:6" hidden="1" x14ac:dyDescent="0.35">
      <c r="A162" s="411"/>
      <c r="B162" s="424" t="str">
        <f>IFERROR(IF(A162="","",VLOOKUP(A162,'Mapped COA'!A:G,2,0)),IF(A162="","",VLOOKUP(A162,COA!A:G,2,0)))</f>
        <v/>
      </c>
      <c r="C162" s="272"/>
      <c r="D162" s="272"/>
      <c r="E162" s="398"/>
      <c r="F162" s="397"/>
    </row>
    <row r="163" spans="1:6" hidden="1" x14ac:dyDescent="0.35">
      <c r="A163" s="411"/>
      <c r="B163" s="424" t="str">
        <f>IFERROR(IF(A163="","",VLOOKUP(A163,'Mapped COA'!A:G,2,0)),IF(A163="","",VLOOKUP(A163,COA!A:G,2,0)))</f>
        <v/>
      </c>
      <c r="C163" s="272"/>
      <c r="D163" s="272"/>
      <c r="E163" s="398"/>
      <c r="F163" s="397"/>
    </row>
    <row r="164" spans="1:6" hidden="1" x14ac:dyDescent="0.35">
      <c r="A164" s="411"/>
      <c r="B164" s="424" t="str">
        <f>IFERROR(IF(A164="","",VLOOKUP(A164,'Mapped COA'!A:G,2,0)),IF(A164="","",VLOOKUP(A164,COA!A:G,2,0)))</f>
        <v/>
      </c>
      <c r="C164" s="272"/>
      <c r="D164" s="272"/>
      <c r="E164" s="398"/>
      <c r="F164" s="397"/>
    </row>
    <row r="165" spans="1:6" hidden="1" x14ac:dyDescent="0.35">
      <c r="A165" s="411"/>
      <c r="B165" s="424" t="str">
        <f>IFERROR(IF(A165="","",VLOOKUP(A165,'Mapped COA'!A:G,2,0)),IF(A165="","",VLOOKUP(A165,COA!A:G,2,0)))</f>
        <v/>
      </c>
      <c r="C165" s="272"/>
      <c r="D165" s="272"/>
      <c r="E165" s="398"/>
      <c r="F165" s="397"/>
    </row>
    <row r="166" spans="1:6" hidden="1" x14ac:dyDescent="0.35">
      <c r="A166" s="411"/>
      <c r="B166" s="424" t="str">
        <f>IFERROR(IF(A166="","",VLOOKUP(A166,'Mapped COA'!A:G,2,0)),IF(A166="","",VLOOKUP(A166,COA!A:G,2,0)))</f>
        <v/>
      </c>
      <c r="C166" s="272"/>
      <c r="D166" s="272"/>
      <c r="E166" s="398"/>
      <c r="F166" s="397"/>
    </row>
    <row r="167" spans="1:6" hidden="1" x14ac:dyDescent="0.35">
      <c r="A167" s="411"/>
      <c r="B167" s="424" t="str">
        <f>IFERROR(IF(A167="","",VLOOKUP(A167,'Mapped COA'!A:G,2,0)),IF(A167="","",VLOOKUP(A167,COA!A:G,2,0)))</f>
        <v/>
      </c>
      <c r="C167" s="272"/>
      <c r="D167" s="272"/>
      <c r="E167" s="398"/>
      <c r="F167" s="397"/>
    </row>
    <row r="168" spans="1:6" hidden="1" x14ac:dyDescent="0.35">
      <c r="A168" s="411"/>
      <c r="B168" s="424" t="str">
        <f>IFERROR(IF(A168="","",VLOOKUP(A168,'Mapped COA'!A:G,2,0)),IF(A168="","",VLOOKUP(A168,COA!A:G,2,0)))</f>
        <v/>
      </c>
      <c r="C168" s="272"/>
      <c r="D168" s="272"/>
      <c r="E168" s="398"/>
      <c r="F168" s="397"/>
    </row>
    <row r="169" spans="1:6" hidden="1" x14ac:dyDescent="0.35">
      <c r="A169" s="411"/>
      <c r="B169" s="424" t="str">
        <f>IFERROR(IF(A169="","",VLOOKUP(A169,'Mapped COA'!A:G,2,0)),IF(A169="","",VLOOKUP(A169,COA!A:G,2,0)))</f>
        <v/>
      </c>
      <c r="C169" s="272"/>
      <c r="D169" s="272"/>
      <c r="E169" s="398"/>
      <c r="F169" s="397"/>
    </row>
    <row r="170" spans="1:6" hidden="1" x14ac:dyDescent="0.35">
      <c r="A170" s="411"/>
      <c r="B170" s="424" t="str">
        <f>IFERROR(IF(A170="","",VLOOKUP(A170,'Mapped COA'!A:G,2,0)),IF(A170="","",VLOOKUP(A170,COA!A:G,2,0)))</f>
        <v/>
      </c>
      <c r="C170" s="272"/>
      <c r="D170" s="272"/>
      <c r="E170" s="398"/>
      <c r="F170" s="397"/>
    </row>
    <row r="171" spans="1:6" hidden="1" x14ac:dyDescent="0.35">
      <c r="A171" s="411"/>
      <c r="B171" s="424" t="str">
        <f>IFERROR(IF(A171="","",VLOOKUP(A171,'Mapped COA'!A:G,2,0)),IF(A171="","",VLOOKUP(A171,COA!A:G,2,0)))</f>
        <v/>
      </c>
      <c r="C171" s="272"/>
      <c r="D171" s="272"/>
      <c r="E171" s="398"/>
      <c r="F171" s="397"/>
    </row>
    <row r="172" spans="1:6" hidden="1" x14ac:dyDescent="0.35">
      <c r="A172" s="411"/>
      <c r="B172" s="424" t="str">
        <f>IFERROR(IF(A172="","",VLOOKUP(A172,'Mapped COA'!A:G,2,0)),IF(A172="","",VLOOKUP(A172,COA!A:G,2,0)))</f>
        <v/>
      </c>
      <c r="C172" s="272"/>
      <c r="D172" s="272"/>
      <c r="E172" s="398"/>
      <c r="F172" s="397"/>
    </row>
    <row r="173" spans="1:6" hidden="1" x14ac:dyDescent="0.35">
      <c r="A173" s="411"/>
      <c r="B173" s="424" t="str">
        <f>IFERROR(IF(A173="","",VLOOKUP(A173,'Mapped COA'!A:G,2,0)),IF(A173="","",VLOOKUP(A173,COA!A:G,2,0)))</f>
        <v/>
      </c>
      <c r="C173" s="272"/>
      <c r="D173" s="272"/>
      <c r="E173" s="398"/>
      <c r="F173" s="397"/>
    </row>
    <row r="174" spans="1:6" hidden="1" x14ac:dyDescent="0.35">
      <c r="A174" s="411"/>
      <c r="B174" s="424" t="str">
        <f>IFERROR(IF(A174="","",VLOOKUP(A174,'Mapped COA'!A:G,2,0)),IF(A174="","",VLOOKUP(A174,COA!A:G,2,0)))</f>
        <v/>
      </c>
      <c r="C174" s="272"/>
      <c r="D174" s="272"/>
      <c r="E174" s="398"/>
      <c r="F174" s="397"/>
    </row>
    <row r="175" spans="1:6" hidden="1" x14ac:dyDescent="0.35">
      <c r="A175" s="411"/>
      <c r="B175" s="424" t="str">
        <f>IFERROR(IF(A175="","",VLOOKUP(A175,'Mapped COA'!A:G,2,0)),IF(A175="","",VLOOKUP(A175,COA!A:G,2,0)))</f>
        <v/>
      </c>
      <c r="C175" s="272"/>
      <c r="D175" s="272"/>
      <c r="E175" s="398"/>
      <c r="F175" s="397"/>
    </row>
    <row r="176" spans="1:6" hidden="1" x14ac:dyDescent="0.35">
      <c r="A176" s="411"/>
      <c r="B176" s="424" t="str">
        <f>IFERROR(IF(A176="","",VLOOKUP(A176,'Mapped COA'!A:G,2,0)),IF(A176="","",VLOOKUP(A176,COA!A:G,2,0)))</f>
        <v/>
      </c>
      <c r="C176" s="272"/>
      <c r="D176" s="272"/>
      <c r="E176" s="398"/>
      <c r="F176" s="397"/>
    </row>
    <row r="177" spans="1:6" hidden="1" x14ac:dyDescent="0.35">
      <c r="A177" s="411"/>
      <c r="B177" s="424" t="str">
        <f>IFERROR(IF(A177="","",VLOOKUP(A177,'Mapped COA'!A:G,2,0)),IF(A177="","",VLOOKUP(A177,COA!A:G,2,0)))</f>
        <v/>
      </c>
      <c r="C177" s="272"/>
      <c r="D177" s="272"/>
      <c r="E177" s="398"/>
      <c r="F177" s="397"/>
    </row>
    <row r="178" spans="1:6" hidden="1" x14ac:dyDescent="0.35">
      <c r="A178" s="411"/>
      <c r="B178" s="424" t="str">
        <f>IFERROR(IF(A178="","",VLOOKUP(A178,'Mapped COA'!A:G,2,0)),IF(A178="","",VLOOKUP(A178,COA!A:G,2,0)))</f>
        <v/>
      </c>
      <c r="C178" s="272"/>
      <c r="D178" s="272"/>
      <c r="E178" s="398"/>
      <c r="F178" s="397"/>
    </row>
    <row r="179" spans="1:6" hidden="1" x14ac:dyDescent="0.35">
      <c r="A179" s="411"/>
      <c r="B179" s="424" t="str">
        <f>IFERROR(IF(A179="","",VLOOKUP(A179,'Mapped COA'!A:G,2,0)),IF(A179="","",VLOOKUP(A179,COA!A:G,2,0)))</f>
        <v/>
      </c>
      <c r="C179" s="272"/>
      <c r="D179" s="272"/>
      <c r="E179" s="398"/>
      <c r="F179" s="397"/>
    </row>
    <row r="180" spans="1:6" hidden="1" x14ac:dyDescent="0.35">
      <c r="A180" s="411"/>
      <c r="B180" s="424" t="str">
        <f>IFERROR(IF(A180="","",VLOOKUP(A180,'Mapped COA'!A:G,2,0)),IF(A180="","",VLOOKUP(A180,COA!A:G,2,0)))</f>
        <v/>
      </c>
      <c r="C180" s="272"/>
      <c r="D180" s="272"/>
      <c r="E180" s="398"/>
      <c r="F180" s="397"/>
    </row>
    <row r="181" spans="1:6" hidden="1" x14ac:dyDescent="0.35">
      <c r="A181" s="411"/>
      <c r="B181" s="424" t="str">
        <f>IFERROR(IF(A181="","",VLOOKUP(A181,'Mapped COA'!A:G,2,0)),IF(A181="","",VLOOKUP(A181,COA!A:G,2,0)))</f>
        <v/>
      </c>
      <c r="C181" s="272"/>
      <c r="D181" s="272"/>
      <c r="E181" s="398"/>
      <c r="F181" s="397"/>
    </row>
    <row r="182" spans="1:6" hidden="1" x14ac:dyDescent="0.35">
      <c r="A182" s="411"/>
      <c r="B182" s="424" t="str">
        <f>IFERROR(IF(A182="","",VLOOKUP(A182,'Mapped COA'!A:G,2,0)),IF(A182="","",VLOOKUP(A182,COA!A:G,2,0)))</f>
        <v/>
      </c>
      <c r="C182" s="272"/>
      <c r="D182" s="272"/>
      <c r="E182" s="398"/>
      <c r="F182" s="397"/>
    </row>
    <row r="183" spans="1:6" hidden="1" x14ac:dyDescent="0.35">
      <c r="A183" s="411"/>
      <c r="B183" s="424" t="str">
        <f>IFERROR(IF(A183="","",VLOOKUP(A183,'Mapped COA'!A:G,2,0)),IF(A183="","",VLOOKUP(A183,COA!A:G,2,0)))</f>
        <v/>
      </c>
      <c r="C183" s="272"/>
      <c r="D183" s="272"/>
      <c r="E183" s="398"/>
      <c r="F183" s="397"/>
    </row>
    <row r="184" spans="1:6" hidden="1" x14ac:dyDescent="0.35">
      <c r="A184" s="411"/>
      <c r="B184" s="424" t="str">
        <f>IFERROR(IF(A184="","",VLOOKUP(A184,'Mapped COA'!A:G,2,0)),IF(A184="","",VLOOKUP(A184,COA!A:G,2,0)))</f>
        <v/>
      </c>
      <c r="C184" s="272"/>
      <c r="D184" s="272"/>
      <c r="E184" s="398"/>
      <c r="F184" s="397"/>
    </row>
    <row r="185" spans="1:6" hidden="1" x14ac:dyDescent="0.35">
      <c r="A185" s="411"/>
      <c r="B185" s="424" t="str">
        <f>IFERROR(IF(A185="","",VLOOKUP(A185,'Mapped COA'!A:G,2,0)),IF(A185="","",VLOOKUP(A185,COA!A:G,2,0)))</f>
        <v/>
      </c>
      <c r="C185" s="272"/>
      <c r="D185" s="272"/>
      <c r="E185" s="398"/>
      <c r="F185" s="397"/>
    </row>
    <row r="186" spans="1:6" hidden="1" x14ac:dyDescent="0.35">
      <c r="A186" s="411"/>
      <c r="B186" s="424" t="str">
        <f>IFERROR(IF(A186="","",VLOOKUP(A186,'Mapped COA'!A:G,2,0)),IF(A186="","",VLOOKUP(A186,COA!A:G,2,0)))</f>
        <v/>
      </c>
      <c r="C186" s="272"/>
      <c r="D186" s="272"/>
      <c r="E186" s="398"/>
      <c r="F186" s="397"/>
    </row>
    <row r="187" spans="1:6" hidden="1" x14ac:dyDescent="0.35">
      <c r="A187" s="411"/>
      <c r="B187" s="424" t="str">
        <f>IFERROR(IF(A187="","",VLOOKUP(A187,'Mapped COA'!A:G,2,0)),IF(A187="","",VLOOKUP(A187,COA!A:G,2,0)))</f>
        <v/>
      </c>
      <c r="C187" s="272"/>
      <c r="D187" s="272"/>
      <c r="E187" s="398"/>
      <c r="F187" s="397"/>
    </row>
    <row r="188" spans="1:6" hidden="1" x14ac:dyDescent="0.35">
      <c r="A188" s="411"/>
      <c r="B188" s="424" t="str">
        <f>IFERROR(IF(A188="","",VLOOKUP(A188,'Mapped COA'!A:G,2,0)),IF(A188="","",VLOOKUP(A188,COA!A:G,2,0)))</f>
        <v/>
      </c>
      <c r="C188" s="272"/>
      <c r="D188" s="272"/>
      <c r="E188" s="398"/>
      <c r="F188" s="397"/>
    </row>
    <row r="189" spans="1:6" hidden="1" x14ac:dyDescent="0.35">
      <c r="A189" s="411"/>
      <c r="B189" s="424" t="str">
        <f>IFERROR(IF(A189="","",VLOOKUP(A189,'Mapped COA'!A:G,2,0)),IF(A189="","",VLOOKUP(A189,COA!A:G,2,0)))</f>
        <v/>
      </c>
      <c r="C189" s="272"/>
      <c r="D189" s="272"/>
      <c r="E189" s="398"/>
      <c r="F189" s="397"/>
    </row>
    <row r="190" spans="1:6" hidden="1" x14ac:dyDescent="0.35">
      <c r="A190" s="411"/>
      <c r="B190" s="424" t="str">
        <f>IFERROR(IF(A190="","",VLOOKUP(A190,'Mapped COA'!A:G,2,0)),IF(A190="","",VLOOKUP(A190,COA!A:G,2,0)))</f>
        <v/>
      </c>
      <c r="C190" s="272"/>
      <c r="D190" s="272"/>
      <c r="E190" s="398"/>
      <c r="F190" s="397"/>
    </row>
    <row r="191" spans="1:6" hidden="1" x14ac:dyDescent="0.35">
      <c r="A191" s="411"/>
      <c r="B191" s="424" t="str">
        <f>IFERROR(IF(A191="","",VLOOKUP(A191,'Mapped COA'!A:G,2,0)),IF(A191="","",VLOOKUP(A191,COA!A:G,2,0)))</f>
        <v/>
      </c>
      <c r="C191" s="272"/>
      <c r="D191" s="272"/>
      <c r="E191" s="398"/>
      <c r="F191" s="397"/>
    </row>
    <row r="192" spans="1:6" hidden="1" x14ac:dyDescent="0.35">
      <c r="A192" s="411"/>
      <c r="B192" s="424" t="str">
        <f>IFERROR(IF(A192="","",VLOOKUP(A192,'Mapped COA'!A:G,2,0)),IF(A192="","",VLOOKUP(A192,COA!A:G,2,0)))</f>
        <v/>
      </c>
      <c r="C192" s="272"/>
      <c r="D192" s="272"/>
      <c r="E192" s="398"/>
      <c r="F192" s="397"/>
    </row>
    <row r="193" spans="1:6" hidden="1" x14ac:dyDescent="0.35">
      <c r="A193" s="411"/>
      <c r="B193" s="424" t="str">
        <f>IFERROR(IF(A193="","",VLOOKUP(A193,'Mapped COA'!A:G,2,0)),IF(A193="","",VLOOKUP(A193,COA!A:G,2,0)))</f>
        <v/>
      </c>
      <c r="C193" s="272"/>
      <c r="D193" s="272"/>
      <c r="E193" s="398"/>
      <c r="F193" s="397"/>
    </row>
    <row r="194" spans="1:6" hidden="1" x14ac:dyDescent="0.35">
      <c r="A194" s="411"/>
      <c r="B194" s="424" t="str">
        <f>IFERROR(IF(A194="","",VLOOKUP(A194,'Mapped COA'!A:G,2,0)),IF(A194="","",VLOOKUP(A194,COA!A:G,2,0)))</f>
        <v/>
      </c>
      <c r="C194" s="272"/>
      <c r="D194" s="272"/>
      <c r="E194" s="398"/>
      <c r="F194" s="397"/>
    </row>
    <row r="195" spans="1:6" hidden="1" x14ac:dyDescent="0.35">
      <c r="A195" s="411"/>
      <c r="B195" s="424" t="str">
        <f>IFERROR(IF(A195="","",VLOOKUP(A195,'Mapped COA'!A:G,2,0)),IF(A195="","",VLOOKUP(A195,COA!A:G,2,0)))</f>
        <v/>
      </c>
      <c r="C195" s="272"/>
      <c r="D195" s="272"/>
      <c r="E195" s="398"/>
      <c r="F195" s="397"/>
    </row>
    <row r="196" spans="1:6" hidden="1" x14ac:dyDescent="0.35">
      <c r="A196" s="411"/>
      <c r="B196" s="424" t="str">
        <f>IFERROR(IF(A196="","",VLOOKUP(A196,'Mapped COA'!A:G,2,0)),IF(A196="","",VLOOKUP(A196,COA!A:G,2,0)))</f>
        <v/>
      </c>
      <c r="C196" s="272"/>
      <c r="D196" s="272"/>
      <c r="E196" s="398"/>
      <c r="F196" s="397"/>
    </row>
    <row r="197" spans="1:6" hidden="1" x14ac:dyDescent="0.35">
      <c r="A197" s="411"/>
      <c r="B197" s="424" t="str">
        <f>IFERROR(IF(A197="","",VLOOKUP(A197,'Mapped COA'!A:G,2,0)),IF(A197="","",VLOOKUP(A197,COA!A:G,2,0)))</f>
        <v/>
      </c>
      <c r="C197" s="272"/>
      <c r="D197" s="272"/>
      <c r="E197" s="398"/>
      <c r="F197" s="397"/>
    </row>
    <row r="198" spans="1:6" hidden="1" x14ac:dyDescent="0.35">
      <c r="A198" s="411"/>
      <c r="B198" s="424" t="str">
        <f>IFERROR(IF(A198="","",VLOOKUP(A198,'Mapped COA'!A:G,2,0)),IF(A198="","",VLOOKUP(A198,COA!A:G,2,0)))</f>
        <v/>
      </c>
      <c r="C198" s="272"/>
      <c r="D198" s="272"/>
      <c r="E198" s="398"/>
      <c r="F198" s="397"/>
    </row>
    <row r="199" spans="1:6" hidden="1" x14ac:dyDescent="0.35">
      <c r="A199" s="411"/>
      <c r="B199" s="424" t="str">
        <f>IFERROR(IF(A199="","",VLOOKUP(A199,'Mapped COA'!A:G,2,0)),IF(A199="","",VLOOKUP(A199,COA!A:G,2,0)))</f>
        <v/>
      </c>
      <c r="C199" s="272"/>
      <c r="D199" s="272"/>
      <c r="E199" s="398"/>
      <c r="F199" s="397"/>
    </row>
    <row r="200" spans="1:6" hidden="1" x14ac:dyDescent="0.35">
      <c r="A200" s="411"/>
      <c r="B200" s="424" t="str">
        <f>IFERROR(IF(A200="","",VLOOKUP(A200,'Mapped COA'!A:G,2,0)),IF(A200="","",VLOOKUP(A200,COA!A:G,2,0)))</f>
        <v/>
      </c>
      <c r="C200" s="272"/>
      <c r="D200" s="272"/>
      <c r="E200" s="398"/>
      <c r="F200" s="397"/>
    </row>
    <row r="201" spans="1:6" hidden="1" x14ac:dyDescent="0.35">
      <c r="A201" s="411"/>
      <c r="B201" s="424" t="str">
        <f>IFERROR(IF(A201="","",VLOOKUP(A201,'Mapped COA'!A:G,2,0)),IF(A201="","",VLOOKUP(A201,COA!A:G,2,0)))</f>
        <v/>
      </c>
      <c r="C201" s="272"/>
      <c r="D201" s="272"/>
      <c r="E201" s="398"/>
      <c r="F201" s="397"/>
    </row>
    <row r="202" spans="1:6" hidden="1" x14ac:dyDescent="0.35">
      <c r="A202" s="411"/>
      <c r="B202" s="424" t="str">
        <f>IFERROR(IF(A202="","",VLOOKUP(A202,'Mapped COA'!A:G,2,0)),IF(A202="","",VLOOKUP(A202,COA!A:G,2,0)))</f>
        <v/>
      </c>
      <c r="C202" s="272"/>
      <c r="D202" s="272"/>
      <c r="E202" s="398"/>
      <c r="F202" s="397"/>
    </row>
    <row r="203" spans="1:6" hidden="1" x14ac:dyDescent="0.35">
      <c r="A203" s="411"/>
      <c r="B203" s="424" t="str">
        <f>IFERROR(IF(A203="","",VLOOKUP(A203,'Mapped COA'!A:G,2,0)),IF(A203="","",VLOOKUP(A203,COA!A:G,2,0)))</f>
        <v/>
      </c>
      <c r="C203" s="272"/>
      <c r="D203" s="272"/>
      <c r="E203" s="398"/>
      <c r="F203" s="397"/>
    </row>
    <row r="204" spans="1:6" hidden="1" x14ac:dyDescent="0.35">
      <c r="A204" s="411"/>
      <c r="B204" s="424" t="str">
        <f>IFERROR(IF(A204="","",VLOOKUP(A204,'Mapped COA'!A:G,2,0)),IF(A204="","",VLOOKUP(A204,COA!A:G,2,0)))</f>
        <v/>
      </c>
      <c r="C204" s="272"/>
      <c r="D204" s="272"/>
      <c r="E204" s="398"/>
      <c r="F204" s="397"/>
    </row>
    <row r="205" spans="1:6" hidden="1" x14ac:dyDescent="0.35">
      <c r="A205" s="411"/>
      <c r="B205" s="424" t="str">
        <f>IFERROR(IF(A205="","",VLOOKUP(A205,'Mapped COA'!A:G,2,0)),IF(A205="","",VLOOKUP(A205,COA!A:G,2,0)))</f>
        <v/>
      </c>
      <c r="C205" s="272"/>
      <c r="D205" s="272"/>
      <c r="E205" s="398"/>
      <c r="F205" s="397"/>
    </row>
    <row r="206" spans="1:6" hidden="1" x14ac:dyDescent="0.35">
      <c r="A206" s="411"/>
      <c r="B206" s="424" t="str">
        <f>IFERROR(IF(A206="","",VLOOKUP(A206,'Mapped COA'!A:G,2,0)),IF(A206="","",VLOOKUP(A206,COA!A:G,2,0)))</f>
        <v/>
      </c>
      <c r="C206" s="272"/>
      <c r="D206" s="272"/>
      <c r="E206" s="398"/>
      <c r="F206" s="397"/>
    </row>
    <row r="207" spans="1:6" hidden="1" x14ac:dyDescent="0.35">
      <c r="A207" s="411"/>
      <c r="B207" s="424" t="str">
        <f>IFERROR(IF(A207="","",VLOOKUP(A207,'Mapped COA'!A:G,2,0)),IF(A207="","",VLOOKUP(A207,COA!A:G,2,0)))</f>
        <v/>
      </c>
      <c r="C207" s="272"/>
      <c r="D207" s="272"/>
      <c r="E207" s="398"/>
      <c r="F207" s="397"/>
    </row>
    <row r="208" spans="1:6" hidden="1" x14ac:dyDescent="0.35">
      <c r="A208" s="411"/>
      <c r="B208" s="424" t="str">
        <f>IFERROR(IF(A208="","",VLOOKUP(A208,'Mapped COA'!A:G,2,0)),IF(A208="","",VLOOKUP(A208,COA!A:G,2,0)))</f>
        <v/>
      </c>
      <c r="C208" s="272"/>
      <c r="D208" s="272"/>
      <c r="E208" s="398"/>
      <c r="F208" s="397"/>
    </row>
    <row r="209" spans="1:6" hidden="1" x14ac:dyDescent="0.35">
      <c r="A209" s="411"/>
      <c r="B209" s="424" t="str">
        <f>IFERROR(IF(A209="","",VLOOKUP(A209,'Mapped COA'!A:G,2,0)),IF(A209="","",VLOOKUP(A209,COA!A:G,2,0)))</f>
        <v/>
      </c>
      <c r="C209" s="272"/>
      <c r="D209" s="272"/>
      <c r="E209" s="398"/>
      <c r="F209" s="397"/>
    </row>
    <row r="210" spans="1:6" hidden="1" x14ac:dyDescent="0.35">
      <c r="A210" s="411"/>
      <c r="B210" s="424" t="str">
        <f>IFERROR(IF(A210="","",VLOOKUP(A210,'Mapped COA'!A:G,2,0)),IF(A210="","",VLOOKUP(A210,COA!A:G,2,0)))</f>
        <v/>
      </c>
      <c r="C210" s="272"/>
      <c r="D210" s="272"/>
      <c r="E210" s="398"/>
      <c r="F210" s="397"/>
    </row>
    <row r="211" spans="1:6" hidden="1" x14ac:dyDescent="0.35">
      <c r="A211" s="411"/>
      <c r="B211" s="424" t="str">
        <f>IFERROR(IF(A211="","",VLOOKUP(A211,'Mapped COA'!A:G,2,0)),IF(A211="","",VLOOKUP(A211,COA!A:G,2,0)))</f>
        <v/>
      </c>
      <c r="C211" s="272"/>
      <c r="D211" s="272"/>
      <c r="E211" s="398"/>
      <c r="F211" s="397"/>
    </row>
    <row r="212" spans="1:6" hidden="1" x14ac:dyDescent="0.35">
      <c r="A212" s="411"/>
      <c r="B212" s="424" t="str">
        <f>IFERROR(IF(A212="","",VLOOKUP(A212,'Mapped COA'!A:G,2,0)),IF(A212="","",VLOOKUP(A212,COA!A:G,2,0)))</f>
        <v/>
      </c>
      <c r="C212" s="272"/>
      <c r="D212" s="272"/>
      <c r="E212" s="398"/>
      <c r="F212" s="397"/>
    </row>
    <row r="213" spans="1:6" hidden="1" x14ac:dyDescent="0.35">
      <c r="A213" s="411"/>
      <c r="B213" s="424" t="str">
        <f>IFERROR(IF(A213="","",VLOOKUP(A213,'Mapped COA'!A:G,2,0)),IF(A213="","",VLOOKUP(A213,COA!A:G,2,0)))</f>
        <v/>
      </c>
      <c r="C213" s="272"/>
      <c r="D213" s="272"/>
      <c r="E213" s="398"/>
      <c r="F213" s="397"/>
    </row>
    <row r="214" spans="1:6" hidden="1" x14ac:dyDescent="0.35">
      <c r="A214" s="411"/>
      <c r="B214" s="424" t="str">
        <f>IFERROR(IF(A214="","",VLOOKUP(A214,'Mapped COA'!A:G,2,0)),IF(A214="","",VLOOKUP(A214,COA!A:G,2,0)))</f>
        <v/>
      </c>
      <c r="C214" s="272"/>
      <c r="D214" s="272"/>
      <c r="E214" s="398"/>
      <c r="F214" s="397"/>
    </row>
    <row r="215" spans="1:6" hidden="1" x14ac:dyDescent="0.35">
      <c r="A215" s="411"/>
      <c r="B215" s="424" t="str">
        <f>IFERROR(IF(A215="","",VLOOKUP(A215,'Mapped COA'!A:G,2,0)),IF(A215="","",VLOOKUP(A215,COA!A:G,2,0)))</f>
        <v/>
      </c>
      <c r="C215" s="272"/>
      <c r="D215" s="272"/>
      <c r="E215" s="398"/>
      <c r="F215" s="397"/>
    </row>
    <row r="216" spans="1:6" hidden="1" x14ac:dyDescent="0.35">
      <c r="A216" s="411"/>
      <c r="B216" s="424" t="str">
        <f>IFERROR(IF(A216="","",VLOOKUP(A216,'Mapped COA'!A:G,2,0)),IF(A216="","",VLOOKUP(A216,COA!A:G,2,0)))</f>
        <v/>
      </c>
      <c r="C216" s="272"/>
      <c r="D216" s="272"/>
      <c r="E216" s="398"/>
      <c r="F216" s="397"/>
    </row>
    <row r="217" spans="1:6" hidden="1" x14ac:dyDescent="0.35">
      <c r="A217" s="411"/>
      <c r="B217" s="424" t="str">
        <f>IFERROR(IF(A217="","",VLOOKUP(A217,'Mapped COA'!A:G,2,0)),IF(A217="","",VLOOKUP(A217,COA!A:G,2,0)))</f>
        <v/>
      </c>
      <c r="C217" s="272"/>
      <c r="D217" s="272"/>
      <c r="E217" s="398"/>
      <c r="F217" s="397"/>
    </row>
    <row r="218" spans="1:6" hidden="1" x14ac:dyDescent="0.35">
      <c r="A218" s="411"/>
      <c r="B218" s="424" t="str">
        <f>IFERROR(IF(A218="","",VLOOKUP(A218,'Mapped COA'!A:G,2,0)),IF(A218="","",VLOOKUP(A218,COA!A:G,2,0)))</f>
        <v/>
      </c>
      <c r="C218" s="272"/>
      <c r="D218" s="272"/>
      <c r="E218" s="398"/>
      <c r="F218" s="397"/>
    </row>
    <row r="219" spans="1:6" hidden="1" x14ac:dyDescent="0.35">
      <c r="A219" s="411"/>
      <c r="B219" s="424" t="str">
        <f>IFERROR(IF(A219="","",VLOOKUP(A219,'Mapped COA'!A:G,2,0)),IF(A219="","",VLOOKUP(A219,COA!A:G,2,0)))</f>
        <v/>
      </c>
      <c r="C219" s="272"/>
      <c r="D219" s="272"/>
      <c r="E219" s="398"/>
      <c r="F219" s="397"/>
    </row>
    <row r="220" spans="1:6" x14ac:dyDescent="0.35">
      <c r="A220" s="412"/>
      <c r="B220" s="425" t="str">
        <f>IFERROR(IF(A220="","",VLOOKUP(A220,'Mapped COA'!A:G,2,0)),IF(A220="","",VLOOKUP(A220,COA!A:G,2,0)))</f>
        <v/>
      </c>
      <c r="C220" s="413"/>
      <c r="D220" s="413"/>
      <c r="E220" s="414"/>
      <c r="F220" s="415"/>
    </row>
    <row r="223" spans="1:6" ht="15" thickBot="1" x14ac:dyDescent="0.4">
      <c r="E223" s="465" t="s">
        <v>128</v>
      </c>
      <c r="F223" s="466">
        <f>SUM(F120:F220)</f>
        <v>0</v>
      </c>
    </row>
    <row r="224" spans="1:6" ht="15" thickTop="1" x14ac:dyDescent="0.35"/>
    <row r="226" spans="1:6" ht="20.5" x14ac:dyDescent="0.45">
      <c r="A226" s="426" t="s">
        <v>324</v>
      </c>
      <c r="B226" s="426"/>
      <c r="C226" s="426"/>
      <c r="D226" s="426"/>
      <c r="E226" s="426"/>
      <c r="F226" s="426"/>
    </row>
    <row r="227" spans="1:6" ht="29" x14ac:dyDescent="0.35">
      <c r="A227" s="417" t="s">
        <v>315</v>
      </c>
      <c r="B227" s="417" t="s">
        <v>316</v>
      </c>
      <c r="C227" s="417" t="s">
        <v>317</v>
      </c>
      <c r="D227" s="417" t="s">
        <v>318</v>
      </c>
      <c r="E227" s="417" t="s">
        <v>319</v>
      </c>
      <c r="F227" s="418" t="s">
        <v>320</v>
      </c>
    </row>
    <row r="228" spans="1:6" x14ac:dyDescent="0.35">
      <c r="A228" s="482"/>
      <c r="B228" s="399"/>
      <c r="C228" s="397"/>
      <c r="D228" s="471"/>
      <c r="E228" s="471"/>
      <c r="F228" s="470">
        <f>D228-F334</f>
        <v>0</v>
      </c>
    </row>
    <row r="229" spans="1:6" x14ac:dyDescent="0.35">
      <c r="A229" s="422"/>
      <c r="B229" s="422"/>
      <c r="C229" s="422"/>
      <c r="D229" s="422"/>
      <c r="E229" s="422"/>
      <c r="F229" s="422"/>
    </row>
    <row r="230" spans="1:6" x14ac:dyDescent="0.35">
      <c r="A230" s="416" t="s">
        <v>137</v>
      </c>
      <c r="B230" s="417" t="s">
        <v>107</v>
      </c>
      <c r="C230" s="417" t="s">
        <v>282</v>
      </c>
      <c r="D230" s="417" t="s">
        <v>321</v>
      </c>
      <c r="E230" s="417" t="s">
        <v>322</v>
      </c>
      <c r="F230" s="417" t="s">
        <v>284</v>
      </c>
    </row>
    <row r="231" spans="1:6" x14ac:dyDescent="0.35">
      <c r="A231" s="411"/>
      <c r="B231" s="424" t="str">
        <f>IFERROR(IF(A231="","",VLOOKUP(A231,'Mapped COA'!A:G,2,0)),IF(A231="","",VLOOKUP(A231,COA!A:G,2,0)))</f>
        <v/>
      </c>
      <c r="C231" s="272"/>
      <c r="D231" s="272"/>
      <c r="E231" s="398"/>
      <c r="F231" s="397"/>
    </row>
    <row r="232" spans="1:6" x14ac:dyDescent="0.35">
      <c r="A232" s="411"/>
      <c r="B232" s="424" t="str">
        <f>IFERROR(IF(A232="","",VLOOKUP(A232,'Mapped COA'!A:G,2,0)),IF(A232="","",VLOOKUP(A232,COA!A:G,2,0)))</f>
        <v/>
      </c>
      <c r="C232" s="272"/>
      <c r="D232" s="272"/>
      <c r="E232" s="398"/>
      <c r="F232" s="397"/>
    </row>
    <row r="233" spans="1:6" x14ac:dyDescent="0.35">
      <c r="A233" s="411"/>
      <c r="B233" s="424" t="str">
        <f>IFERROR(IF(A233="","",VLOOKUP(A233,'Mapped COA'!A:G,2,0)),IF(A233="","",VLOOKUP(A233,COA!A:G,2,0)))</f>
        <v/>
      </c>
      <c r="C233" s="272"/>
      <c r="D233" s="272"/>
      <c r="E233" s="398"/>
      <c r="F233" s="397"/>
    </row>
    <row r="234" spans="1:6" x14ac:dyDescent="0.35">
      <c r="A234" s="411"/>
      <c r="B234" s="424" t="str">
        <f>IFERROR(IF(A234="","",VLOOKUP(A234,'Mapped COA'!A:G,2,0)),IF(A234="","",VLOOKUP(A234,COA!A:G,2,0)))</f>
        <v/>
      </c>
      <c r="C234" s="272"/>
      <c r="D234" s="272"/>
      <c r="E234" s="398"/>
      <c r="F234" s="397"/>
    </row>
    <row r="235" spans="1:6" x14ac:dyDescent="0.35">
      <c r="A235" s="411"/>
      <c r="B235" s="424" t="str">
        <f>IFERROR(IF(A235="","",VLOOKUP(A235,'Mapped COA'!A:G,2,0)),IF(A235="","",VLOOKUP(A235,COA!A:G,2,0)))</f>
        <v/>
      </c>
      <c r="C235" s="272"/>
      <c r="D235" s="272"/>
      <c r="E235" s="398"/>
      <c r="F235" s="397"/>
    </row>
    <row r="236" spans="1:6" x14ac:dyDescent="0.35">
      <c r="A236" s="411"/>
      <c r="B236" s="424" t="str">
        <f>IFERROR(IF(A236="","",VLOOKUP(A236,'Mapped COA'!A:G,2,0)),IF(A236="","",VLOOKUP(A236,COA!A:G,2,0)))</f>
        <v/>
      </c>
      <c r="C236" s="272"/>
      <c r="D236" s="272"/>
      <c r="E236" s="398"/>
      <c r="F236" s="397"/>
    </row>
    <row r="237" spans="1:6" x14ac:dyDescent="0.35">
      <c r="A237" s="411"/>
      <c r="B237" s="424" t="str">
        <f>IFERROR(IF(A237="","",VLOOKUP(A237,'Mapped COA'!A:G,2,0)),IF(A237="","",VLOOKUP(A237,COA!A:G,2,0)))</f>
        <v/>
      </c>
      <c r="C237" s="272"/>
      <c r="D237" s="272"/>
      <c r="E237" s="398"/>
      <c r="F237" s="397"/>
    </row>
    <row r="238" spans="1:6" hidden="1" x14ac:dyDescent="0.35">
      <c r="A238" s="411"/>
      <c r="B238" s="424" t="str">
        <f>IFERROR(IF(A238="","",VLOOKUP(A238,'Mapped COA'!A:G,2,0)),IF(A238="","",VLOOKUP(A238,COA!A:G,2,0)))</f>
        <v/>
      </c>
      <c r="C238" s="272"/>
      <c r="D238" s="272"/>
      <c r="E238" s="398"/>
      <c r="F238" s="397"/>
    </row>
    <row r="239" spans="1:6" hidden="1" x14ac:dyDescent="0.35">
      <c r="A239" s="411"/>
      <c r="B239" s="424" t="str">
        <f>IFERROR(IF(A239="","",VLOOKUP(A239,'Mapped COA'!A:G,2,0)),IF(A239="","",VLOOKUP(A239,COA!A:G,2,0)))</f>
        <v/>
      </c>
      <c r="C239" s="272"/>
      <c r="D239" s="272"/>
      <c r="E239" s="398"/>
      <c r="F239" s="397"/>
    </row>
    <row r="240" spans="1:6" hidden="1" x14ac:dyDescent="0.35">
      <c r="A240" s="411"/>
      <c r="B240" s="424" t="str">
        <f>IFERROR(IF(A240="","",VLOOKUP(A240,'Mapped COA'!A:G,2,0)),IF(A240="","",VLOOKUP(A240,COA!A:G,2,0)))</f>
        <v/>
      </c>
      <c r="C240" s="272"/>
      <c r="D240" s="272"/>
      <c r="E240" s="398"/>
      <c r="F240" s="397"/>
    </row>
    <row r="241" spans="1:6" hidden="1" x14ac:dyDescent="0.35">
      <c r="A241" s="411"/>
      <c r="B241" s="424" t="str">
        <f>IFERROR(IF(A241="","",VLOOKUP(A241,'Mapped COA'!A:G,2,0)),IF(A241="","",VLOOKUP(A241,COA!A:G,2,0)))</f>
        <v/>
      </c>
      <c r="C241" s="272"/>
      <c r="D241" s="272"/>
      <c r="E241" s="398"/>
      <c r="F241" s="397"/>
    </row>
    <row r="242" spans="1:6" hidden="1" x14ac:dyDescent="0.35">
      <c r="A242" s="411"/>
      <c r="B242" s="424" t="str">
        <f>IFERROR(IF(A242="","",VLOOKUP(A242,'Mapped COA'!A:G,2,0)),IF(A242="","",VLOOKUP(A242,COA!A:G,2,0)))</f>
        <v/>
      </c>
      <c r="C242" s="272"/>
      <c r="D242" s="272"/>
      <c r="E242" s="398"/>
      <c r="F242" s="397"/>
    </row>
    <row r="243" spans="1:6" hidden="1" x14ac:dyDescent="0.35">
      <c r="A243" s="411"/>
      <c r="B243" s="424" t="str">
        <f>IFERROR(IF(A243="","",VLOOKUP(A243,'Mapped COA'!A:G,2,0)),IF(A243="","",VLOOKUP(A243,COA!A:G,2,0)))</f>
        <v/>
      </c>
      <c r="C243" s="272"/>
      <c r="D243" s="272"/>
      <c r="E243" s="398"/>
      <c r="F243" s="397"/>
    </row>
    <row r="244" spans="1:6" hidden="1" x14ac:dyDescent="0.35">
      <c r="A244" s="411"/>
      <c r="B244" s="424" t="str">
        <f>IFERROR(IF(A244="","",VLOOKUP(A244,'Mapped COA'!A:G,2,0)),IF(A244="","",VLOOKUP(A244,COA!A:G,2,0)))</f>
        <v/>
      </c>
      <c r="C244" s="272"/>
      <c r="D244" s="272"/>
      <c r="E244" s="398"/>
      <c r="F244" s="397"/>
    </row>
    <row r="245" spans="1:6" hidden="1" x14ac:dyDescent="0.35">
      <c r="A245" s="411"/>
      <c r="B245" s="424" t="str">
        <f>IFERROR(IF(A245="","",VLOOKUP(A245,'Mapped COA'!A:G,2,0)),IF(A245="","",VLOOKUP(A245,COA!A:G,2,0)))</f>
        <v/>
      </c>
      <c r="C245" s="272"/>
      <c r="D245" s="272"/>
      <c r="E245" s="398"/>
      <c r="F245" s="397"/>
    </row>
    <row r="246" spans="1:6" hidden="1" x14ac:dyDescent="0.35">
      <c r="A246" s="411"/>
      <c r="B246" s="424" t="str">
        <f>IFERROR(IF(A246="","",VLOOKUP(A246,'Mapped COA'!A:G,2,0)),IF(A246="","",VLOOKUP(A246,COA!A:G,2,0)))</f>
        <v/>
      </c>
      <c r="C246" s="272"/>
      <c r="D246" s="272"/>
      <c r="E246" s="398"/>
      <c r="F246" s="397"/>
    </row>
    <row r="247" spans="1:6" hidden="1" x14ac:dyDescent="0.35">
      <c r="A247" s="411"/>
      <c r="B247" s="424" t="str">
        <f>IFERROR(IF(A247="","",VLOOKUP(A247,'Mapped COA'!A:G,2,0)),IF(A247="","",VLOOKUP(A247,COA!A:G,2,0)))</f>
        <v/>
      </c>
      <c r="C247" s="272"/>
      <c r="D247" s="272"/>
      <c r="E247" s="398"/>
      <c r="F247" s="397"/>
    </row>
    <row r="248" spans="1:6" hidden="1" x14ac:dyDescent="0.35">
      <c r="A248" s="411"/>
      <c r="B248" s="424" t="str">
        <f>IFERROR(IF(A248="","",VLOOKUP(A248,'Mapped COA'!A:G,2,0)),IF(A248="","",VLOOKUP(A248,COA!A:G,2,0)))</f>
        <v/>
      </c>
      <c r="C248" s="272"/>
      <c r="D248" s="272"/>
      <c r="E248" s="398"/>
      <c r="F248" s="397"/>
    </row>
    <row r="249" spans="1:6" hidden="1" x14ac:dyDescent="0.35">
      <c r="A249" s="411"/>
      <c r="B249" s="424" t="str">
        <f>IFERROR(IF(A249="","",VLOOKUP(A249,'Mapped COA'!A:G,2,0)),IF(A249="","",VLOOKUP(A249,COA!A:G,2,0)))</f>
        <v/>
      </c>
      <c r="C249" s="272"/>
      <c r="D249" s="272"/>
      <c r="E249" s="398"/>
      <c r="F249" s="397"/>
    </row>
    <row r="250" spans="1:6" hidden="1" x14ac:dyDescent="0.35">
      <c r="A250" s="411"/>
      <c r="B250" s="424" t="str">
        <f>IFERROR(IF(A250="","",VLOOKUP(A250,'Mapped COA'!A:G,2,0)),IF(A250="","",VLOOKUP(A250,COA!A:G,2,0)))</f>
        <v/>
      </c>
      <c r="C250" s="272"/>
      <c r="D250" s="272"/>
      <c r="E250" s="398"/>
      <c r="F250" s="397"/>
    </row>
    <row r="251" spans="1:6" hidden="1" x14ac:dyDescent="0.35">
      <c r="A251" s="411"/>
      <c r="B251" s="424" t="str">
        <f>IFERROR(IF(A251="","",VLOOKUP(A251,'Mapped COA'!A:G,2,0)),IF(A251="","",VLOOKUP(A251,COA!A:G,2,0)))</f>
        <v/>
      </c>
      <c r="C251" s="272"/>
      <c r="D251" s="272"/>
      <c r="E251" s="398"/>
      <c r="F251" s="397"/>
    </row>
    <row r="252" spans="1:6" hidden="1" x14ac:dyDescent="0.35">
      <c r="A252" s="411"/>
      <c r="B252" s="424" t="str">
        <f>IFERROR(IF(A252="","",VLOOKUP(A252,'Mapped COA'!A:G,2,0)),IF(A252="","",VLOOKUP(A252,COA!A:G,2,0)))</f>
        <v/>
      </c>
      <c r="C252" s="272"/>
      <c r="D252" s="272"/>
      <c r="E252" s="398"/>
      <c r="F252" s="397"/>
    </row>
    <row r="253" spans="1:6" hidden="1" x14ac:dyDescent="0.35">
      <c r="A253" s="411"/>
      <c r="B253" s="424" t="str">
        <f>IFERROR(IF(A253="","",VLOOKUP(A253,'Mapped COA'!A:G,2,0)),IF(A253="","",VLOOKUP(A253,COA!A:G,2,0)))</f>
        <v/>
      </c>
      <c r="C253" s="272"/>
      <c r="D253" s="272"/>
      <c r="E253" s="398"/>
      <c r="F253" s="397"/>
    </row>
    <row r="254" spans="1:6" hidden="1" x14ac:dyDescent="0.35">
      <c r="A254" s="411"/>
      <c r="B254" s="424" t="str">
        <f>IFERROR(IF(A254="","",VLOOKUP(A254,'Mapped COA'!A:G,2,0)),IF(A254="","",VLOOKUP(A254,COA!A:G,2,0)))</f>
        <v/>
      </c>
      <c r="C254" s="272"/>
      <c r="D254" s="272"/>
      <c r="E254" s="398"/>
      <c r="F254" s="397"/>
    </row>
    <row r="255" spans="1:6" hidden="1" x14ac:dyDescent="0.35">
      <c r="A255" s="411"/>
      <c r="B255" s="424" t="str">
        <f>IFERROR(IF(A255="","",VLOOKUP(A255,'Mapped COA'!A:G,2,0)),IF(A255="","",VLOOKUP(A255,COA!A:G,2,0)))</f>
        <v/>
      </c>
      <c r="C255" s="272"/>
      <c r="D255" s="272"/>
      <c r="E255" s="398"/>
      <c r="F255" s="397"/>
    </row>
    <row r="256" spans="1:6" hidden="1" x14ac:dyDescent="0.35">
      <c r="A256" s="411"/>
      <c r="B256" s="424" t="str">
        <f>IFERROR(IF(A256="","",VLOOKUP(A256,'Mapped COA'!A:G,2,0)),IF(A256="","",VLOOKUP(A256,COA!A:G,2,0)))</f>
        <v/>
      </c>
      <c r="C256" s="272"/>
      <c r="D256" s="272"/>
      <c r="E256" s="398"/>
      <c r="F256" s="397"/>
    </row>
    <row r="257" spans="1:6" hidden="1" x14ac:dyDescent="0.35">
      <c r="A257" s="411"/>
      <c r="B257" s="424" t="str">
        <f>IFERROR(IF(A257="","",VLOOKUP(A257,'Mapped COA'!A:G,2,0)),IF(A257="","",VLOOKUP(A257,COA!A:G,2,0)))</f>
        <v/>
      </c>
      <c r="C257" s="272"/>
      <c r="D257" s="272"/>
      <c r="E257" s="398"/>
      <c r="F257" s="397"/>
    </row>
    <row r="258" spans="1:6" hidden="1" x14ac:dyDescent="0.35">
      <c r="A258" s="411"/>
      <c r="B258" s="424" t="str">
        <f>IFERROR(IF(A258="","",VLOOKUP(A258,'Mapped COA'!A:G,2,0)),IF(A258="","",VLOOKUP(A258,COA!A:G,2,0)))</f>
        <v/>
      </c>
      <c r="C258" s="272"/>
      <c r="D258" s="272"/>
      <c r="E258" s="398"/>
      <c r="F258" s="397"/>
    </row>
    <row r="259" spans="1:6" hidden="1" x14ac:dyDescent="0.35">
      <c r="A259" s="411"/>
      <c r="B259" s="424" t="str">
        <f>IFERROR(IF(A259="","",VLOOKUP(A259,'Mapped COA'!A:G,2,0)),IF(A259="","",VLOOKUP(A259,COA!A:G,2,0)))</f>
        <v/>
      </c>
      <c r="C259" s="272"/>
      <c r="D259" s="272"/>
      <c r="E259" s="398"/>
      <c r="F259" s="397"/>
    </row>
    <row r="260" spans="1:6" hidden="1" x14ac:dyDescent="0.35">
      <c r="A260" s="411"/>
      <c r="B260" s="424" t="str">
        <f>IFERROR(IF(A260="","",VLOOKUP(A260,'Mapped COA'!A:G,2,0)),IF(A260="","",VLOOKUP(A260,COA!A:G,2,0)))</f>
        <v/>
      </c>
      <c r="C260" s="272"/>
      <c r="D260" s="272"/>
      <c r="E260" s="398"/>
      <c r="F260" s="397"/>
    </row>
    <row r="261" spans="1:6" hidden="1" x14ac:dyDescent="0.35">
      <c r="A261" s="411"/>
      <c r="B261" s="424" t="str">
        <f>IFERROR(IF(A261="","",VLOOKUP(A261,'Mapped COA'!A:G,2,0)),IF(A261="","",VLOOKUP(A261,COA!A:G,2,0)))</f>
        <v/>
      </c>
      <c r="C261" s="272"/>
      <c r="D261" s="272"/>
      <c r="E261" s="398"/>
      <c r="F261" s="397"/>
    </row>
    <row r="262" spans="1:6" hidden="1" x14ac:dyDescent="0.35">
      <c r="A262" s="411"/>
      <c r="B262" s="424" t="str">
        <f>IFERROR(IF(A262="","",VLOOKUP(A262,'Mapped COA'!A:G,2,0)),IF(A262="","",VLOOKUP(A262,COA!A:G,2,0)))</f>
        <v/>
      </c>
      <c r="C262" s="272"/>
      <c r="D262" s="272"/>
      <c r="E262" s="398"/>
      <c r="F262" s="397"/>
    </row>
    <row r="263" spans="1:6" hidden="1" x14ac:dyDescent="0.35">
      <c r="A263" s="411"/>
      <c r="B263" s="424" t="str">
        <f>IFERROR(IF(A263="","",VLOOKUP(A263,'Mapped COA'!A:G,2,0)),IF(A263="","",VLOOKUP(A263,COA!A:G,2,0)))</f>
        <v/>
      </c>
      <c r="C263" s="272"/>
      <c r="D263" s="272"/>
      <c r="E263" s="398"/>
      <c r="F263" s="397"/>
    </row>
    <row r="264" spans="1:6" hidden="1" x14ac:dyDescent="0.35">
      <c r="A264" s="411"/>
      <c r="B264" s="424" t="str">
        <f>IFERROR(IF(A264="","",VLOOKUP(A264,'Mapped COA'!A:G,2,0)),IF(A264="","",VLOOKUP(A264,COA!A:G,2,0)))</f>
        <v/>
      </c>
      <c r="C264" s="272"/>
      <c r="D264" s="272"/>
      <c r="E264" s="398"/>
      <c r="F264" s="397"/>
    </row>
    <row r="265" spans="1:6" hidden="1" x14ac:dyDescent="0.35">
      <c r="A265" s="411"/>
      <c r="B265" s="424" t="str">
        <f>IFERROR(IF(A265="","",VLOOKUP(A265,'Mapped COA'!A:G,2,0)),IF(A265="","",VLOOKUP(A265,COA!A:G,2,0)))</f>
        <v/>
      </c>
      <c r="C265" s="272"/>
      <c r="D265" s="272"/>
      <c r="E265" s="398"/>
      <c r="F265" s="397"/>
    </row>
    <row r="266" spans="1:6" hidden="1" x14ac:dyDescent="0.35">
      <c r="A266" s="411"/>
      <c r="B266" s="424" t="str">
        <f>IFERROR(IF(A266="","",VLOOKUP(A266,'Mapped COA'!A:G,2,0)),IF(A266="","",VLOOKUP(A266,COA!A:G,2,0)))</f>
        <v/>
      </c>
      <c r="C266" s="272"/>
      <c r="D266" s="272"/>
      <c r="E266" s="398"/>
      <c r="F266" s="397"/>
    </row>
    <row r="267" spans="1:6" hidden="1" x14ac:dyDescent="0.35">
      <c r="A267" s="411"/>
      <c r="B267" s="424" t="str">
        <f>IFERROR(IF(A267="","",VLOOKUP(A267,'Mapped COA'!A:G,2,0)),IF(A267="","",VLOOKUP(A267,COA!A:G,2,0)))</f>
        <v/>
      </c>
      <c r="C267" s="272"/>
      <c r="D267" s="272"/>
      <c r="E267" s="398"/>
      <c r="F267" s="397"/>
    </row>
    <row r="268" spans="1:6" hidden="1" x14ac:dyDescent="0.35">
      <c r="A268" s="411"/>
      <c r="B268" s="424" t="str">
        <f>IFERROR(IF(A268="","",VLOOKUP(A268,'Mapped COA'!A:G,2,0)),IF(A268="","",VLOOKUP(A268,COA!A:G,2,0)))</f>
        <v/>
      </c>
      <c r="C268" s="272"/>
      <c r="D268" s="272"/>
      <c r="E268" s="398"/>
      <c r="F268" s="397"/>
    </row>
    <row r="269" spans="1:6" hidden="1" x14ac:dyDescent="0.35">
      <c r="A269" s="411"/>
      <c r="B269" s="424" t="str">
        <f>IFERROR(IF(A269="","",VLOOKUP(A269,'Mapped COA'!A:G,2,0)),IF(A269="","",VLOOKUP(A269,COA!A:G,2,0)))</f>
        <v/>
      </c>
      <c r="C269" s="272"/>
      <c r="D269" s="272"/>
      <c r="E269" s="398"/>
      <c r="F269" s="397"/>
    </row>
    <row r="270" spans="1:6" hidden="1" x14ac:dyDescent="0.35">
      <c r="A270" s="411"/>
      <c r="B270" s="424" t="str">
        <f>IFERROR(IF(A270="","",VLOOKUP(A270,'Mapped COA'!A:G,2,0)),IF(A270="","",VLOOKUP(A270,COA!A:G,2,0)))</f>
        <v/>
      </c>
      <c r="C270" s="272"/>
      <c r="D270" s="272"/>
      <c r="E270" s="398"/>
      <c r="F270" s="397"/>
    </row>
    <row r="271" spans="1:6" hidden="1" x14ac:dyDescent="0.35">
      <c r="A271" s="411"/>
      <c r="B271" s="424" t="str">
        <f>IFERROR(IF(A271="","",VLOOKUP(A271,'Mapped COA'!A:G,2,0)),IF(A271="","",VLOOKUP(A271,COA!A:G,2,0)))</f>
        <v/>
      </c>
      <c r="C271" s="272"/>
      <c r="D271" s="272"/>
      <c r="E271" s="398"/>
      <c r="F271" s="397"/>
    </row>
    <row r="272" spans="1:6" hidden="1" x14ac:dyDescent="0.35">
      <c r="A272" s="411"/>
      <c r="B272" s="424" t="str">
        <f>IFERROR(IF(A272="","",VLOOKUP(A272,'Mapped COA'!A:G,2,0)),IF(A272="","",VLOOKUP(A272,COA!A:G,2,0)))</f>
        <v/>
      </c>
      <c r="C272" s="272"/>
      <c r="D272" s="272"/>
      <c r="E272" s="398"/>
      <c r="F272" s="397"/>
    </row>
    <row r="273" spans="1:6" hidden="1" x14ac:dyDescent="0.35">
      <c r="A273" s="411"/>
      <c r="B273" s="424" t="str">
        <f>IFERROR(IF(A273="","",VLOOKUP(A273,'Mapped COA'!A:G,2,0)),IF(A273="","",VLOOKUP(A273,COA!A:G,2,0)))</f>
        <v/>
      </c>
      <c r="C273" s="272"/>
      <c r="D273" s="272"/>
      <c r="E273" s="398"/>
      <c r="F273" s="397"/>
    </row>
    <row r="274" spans="1:6" hidden="1" x14ac:dyDescent="0.35">
      <c r="A274" s="411"/>
      <c r="B274" s="424" t="str">
        <f>IFERROR(IF(A274="","",VLOOKUP(A274,'Mapped COA'!A:G,2,0)),IF(A274="","",VLOOKUP(A274,COA!A:G,2,0)))</f>
        <v/>
      </c>
      <c r="C274" s="272"/>
      <c r="D274" s="272"/>
      <c r="E274" s="398"/>
      <c r="F274" s="397"/>
    </row>
    <row r="275" spans="1:6" hidden="1" x14ac:dyDescent="0.35">
      <c r="A275" s="411"/>
      <c r="B275" s="424" t="str">
        <f>IFERROR(IF(A275="","",VLOOKUP(A275,'Mapped COA'!A:G,2,0)),IF(A275="","",VLOOKUP(A275,COA!A:G,2,0)))</f>
        <v/>
      </c>
      <c r="C275" s="272"/>
      <c r="D275" s="272"/>
      <c r="E275" s="398"/>
      <c r="F275" s="397"/>
    </row>
    <row r="276" spans="1:6" hidden="1" x14ac:dyDescent="0.35">
      <c r="A276" s="411"/>
      <c r="B276" s="424" t="str">
        <f>IFERROR(IF(A276="","",VLOOKUP(A276,'Mapped COA'!A:G,2,0)),IF(A276="","",VLOOKUP(A276,COA!A:G,2,0)))</f>
        <v/>
      </c>
      <c r="C276" s="272"/>
      <c r="D276" s="272"/>
      <c r="E276" s="398"/>
      <c r="F276" s="397"/>
    </row>
    <row r="277" spans="1:6" hidden="1" x14ac:dyDescent="0.35">
      <c r="A277" s="411"/>
      <c r="B277" s="424" t="str">
        <f>IFERROR(IF(A277="","",VLOOKUP(A277,'Mapped COA'!A:G,2,0)),IF(A277="","",VLOOKUP(A277,COA!A:G,2,0)))</f>
        <v/>
      </c>
      <c r="C277" s="272"/>
      <c r="D277" s="272"/>
      <c r="E277" s="398"/>
      <c r="F277" s="397"/>
    </row>
    <row r="278" spans="1:6" hidden="1" x14ac:dyDescent="0.35">
      <c r="A278" s="411"/>
      <c r="B278" s="424" t="str">
        <f>IFERROR(IF(A278="","",VLOOKUP(A278,'Mapped COA'!A:G,2,0)),IF(A278="","",VLOOKUP(A278,COA!A:G,2,0)))</f>
        <v/>
      </c>
      <c r="C278" s="272"/>
      <c r="D278" s="272"/>
      <c r="E278" s="398"/>
      <c r="F278" s="397"/>
    </row>
    <row r="279" spans="1:6" hidden="1" x14ac:dyDescent="0.35">
      <c r="A279" s="411"/>
      <c r="B279" s="424" t="str">
        <f>IFERROR(IF(A279="","",VLOOKUP(A279,'Mapped COA'!A:G,2,0)),IF(A279="","",VLOOKUP(A279,COA!A:G,2,0)))</f>
        <v/>
      </c>
      <c r="C279" s="272"/>
      <c r="D279" s="272"/>
      <c r="E279" s="398"/>
      <c r="F279" s="397"/>
    </row>
    <row r="280" spans="1:6" hidden="1" x14ac:dyDescent="0.35">
      <c r="A280" s="411"/>
      <c r="B280" s="424" t="str">
        <f>IFERROR(IF(A280="","",VLOOKUP(A280,'Mapped COA'!A:G,2,0)),IF(A280="","",VLOOKUP(A280,COA!A:G,2,0)))</f>
        <v/>
      </c>
      <c r="C280" s="272"/>
      <c r="D280" s="272"/>
      <c r="E280" s="398"/>
      <c r="F280" s="397"/>
    </row>
    <row r="281" spans="1:6" hidden="1" x14ac:dyDescent="0.35">
      <c r="A281" s="411"/>
      <c r="B281" s="424" t="str">
        <f>IFERROR(IF(A281="","",VLOOKUP(A281,'Mapped COA'!A:G,2,0)),IF(A281="","",VLOOKUP(A281,COA!A:G,2,0)))</f>
        <v/>
      </c>
      <c r="C281" s="272"/>
      <c r="D281" s="272"/>
      <c r="E281" s="398"/>
      <c r="F281" s="397"/>
    </row>
    <row r="282" spans="1:6" hidden="1" x14ac:dyDescent="0.35">
      <c r="A282" s="411"/>
      <c r="B282" s="424" t="str">
        <f>IFERROR(IF(A282="","",VLOOKUP(A282,'Mapped COA'!A:G,2,0)),IF(A282="","",VLOOKUP(A282,COA!A:G,2,0)))</f>
        <v/>
      </c>
      <c r="C282" s="272"/>
      <c r="D282" s="272"/>
      <c r="E282" s="398"/>
      <c r="F282" s="397"/>
    </row>
    <row r="283" spans="1:6" hidden="1" x14ac:dyDescent="0.35">
      <c r="A283" s="411"/>
      <c r="B283" s="424" t="str">
        <f>IFERROR(IF(A283="","",VLOOKUP(A283,'Mapped COA'!A:G,2,0)),IF(A283="","",VLOOKUP(A283,COA!A:G,2,0)))</f>
        <v/>
      </c>
      <c r="C283" s="272"/>
      <c r="D283" s="272"/>
      <c r="E283" s="398"/>
      <c r="F283" s="397"/>
    </row>
    <row r="284" spans="1:6" hidden="1" x14ac:dyDescent="0.35">
      <c r="A284" s="411"/>
      <c r="B284" s="424" t="str">
        <f>IFERROR(IF(A284="","",VLOOKUP(A284,'Mapped COA'!A:G,2,0)),IF(A284="","",VLOOKUP(A284,COA!A:G,2,0)))</f>
        <v/>
      </c>
      <c r="C284" s="272"/>
      <c r="D284" s="272"/>
      <c r="E284" s="398"/>
      <c r="F284" s="397"/>
    </row>
    <row r="285" spans="1:6" hidden="1" x14ac:dyDescent="0.35">
      <c r="A285" s="411"/>
      <c r="B285" s="424" t="str">
        <f>IFERROR(IF(A285="","",VLOOKUP(A285,'Mapped COA'!A:G,2,0)),IF(A285="","",VLOOKUP(A285,COA!A:G,2,0)))</f>
        <v/>
      </c>
      <c r="C285" s="272"/>
      <c r="D285" s="272"/>
      <c r="E285" s="398"/>
      <c r="F285" s="397"/>
    </row>
    <row r="286" spans="1:6" hidden="1" x14ac:dyDescent="0.35">
      <c r="A286" s="411"/>
      <c r="B286" s="424" t="str">
        <f>IFERROR(IF(A286="","",VLOOKUP(A286,'Mapped COA'!A:G,2,0)),IF(A286="","",VLOOKUP(A286,COA!A:G,2,0)))</f>
        <v/>
      </c>
      <c r="C286" s="272"/>
      <c r="D286" s="272"/>
      <c r="E286" s="398"/>
      <c r="F286" s="397"/>
    </row>
    <row r="287" spans="1:6" hidden="1" x14ac:dyDescent="0.35">
      <c r="A287" s="411"/>
      <c r="B287" s="424" t="str">
        <f>IFERROR(IF(A287="","",VLOOKUP(A287,'Mapped COA'!A:G,2,0)),IF(A287="","",VLOOKUP(A287,COA!A:G,2,0)))</f>
        <v/>
      </c>
      <c r="C287" s="272"/>
      <c r="D287" s="272"/>
      <c r="E287" s="398"/>
      <c r="F287" s="397"/>
    </row>
    <row r="288" spans="1:6" hidden="1" x14ac:dyDescent="0.35">
      <c r="A288" s="411"/>
      <c r="B288" s="424" t="str">
        <f>IFERROR(IF(A288="","",VLOOKUP(A288,'Mapped COA'!A:G,2,0)),IF(A288="","",VLOOKUP(A288,COA!A:G,2,0)))</f>
        <v/>
      </c>
      <c r="C288" s="272"/>
      <c r="D288" s="272"/>
      <c r="E288" s="398"/>
      <c r="F288" s="397"/>
    </row>
    <row r="289" spans="1:6" hidden="1" x14ac:dyDescent="0.35">
      <c r="A289" s="411"/>
      <c r="B289" s="424" t="str">
        <f>IFERROR(IF(A289="","",VLOOKUP(A289,'Mapped COA'!A:G,2,0)),IF(A289="","",VLOOKUP(A289,COA!A:G,2,0)))</f>
        <v/>
      </c>
      <c r="C289" s="272"/>
      <c r="D289" s="272"/>
      <c r="E289" s="398"/>
      <c r="F289" s="397"/>
    </row>
    <row r="290" spans="1:6" hidden="1" x14ac:dyDescent="0.35">
      <c r="A290" s="411"/>
      <c r="B290" s="424" t="str">
        <f>IFERROR(IF(A290="","",VLOOKUP(A290,'Mapped COA'!A:G,2,0)),IF(A290="","",VLOOKUP(A290,COA!A:G,2,0)))</f>
        <v/>
      </c>
      <c r="C290" s="272"/>
      <c r="D290" s="272"/>
      <c r="E290" s="398"/>
      <c r="F290" s="397"/>
    </row>
    <row r="291" spans="1:6" hidden="1" x14ac:dyDescent="0.35">
      <c r="A291" s="411"/>
      <c r="B291" s="424" t="str">
        <f>IFERROR(IF(A291="","",VLOOKUP(A291,'Mapped COA'!A:G,2,0)),IF(A291="","",VLOOKUP(A291,COA!A:G,2,0)))</f>
        <v/>
      </c>
      <c r="C291" s="272"/>
      <c r="D291" s="272"/>
      <c r="E291" s="398"/>
      <c r="F291" s="397"/>
    </row>
    <row r="292" spans="1:6" hidden="1" x14ac:dyDescent="0.35">
      <c r="A292" s="411"/>
      <c r="B292" s="424" t="str">
        <f>IFERROR(IF(A292="","",VLOOKUP(A292,'Mapped COA'!A:G,2,0)),IF(A292="","",VLOOKUP(A292,COA!A:G,2,0)))</f>
        <v/>
      </c>
      <c r="C292" s="272"/>
      <c r="D292" s="272"/>
      <c r="E292" s="398"/>
      <c r="F292" s="397"/>
    </row>
    <row r="293" spans="1:6" hidden="1" x14ac:dyDescent="0.35">
      <c r="A293" s="411"/>
      <c r="B293" s="424" t="str">
        <f>IFERROR(IF(A293="","",VLOOKUP(A293,'Mapped COA'!A:G,2,0)),IF(A293="","",VLOOKUP(A293,COA!A:G,2,0)))</f>
        <v/>
      </c>
      <c r="C293" s="272"/>
      <c r="D293" s="272"/>
      <c r="E293" s="398"/>
      <c r="F293" s="397"/>
    </row>
    <row r="294" spans="1:6" hidden="1" x14ac:dyDescent="0.35">
      <c r="A294" s="411"/>
      <c r="B294" s="424" t="str">
        <f>IFERROR(IF(A294="","",VLOOKUP(A294,'Mapped COA'!A:G,2,0)),IF(A294="","",VLOOKUP(A294,COA!A:G,2,0)))</f>
        <v/>
      </c>
      <c r="C294" s="272"/>
      <c r="D294" s="272"/>
      <c r="E294" s="398"/>
      <c r="F294" s="397"/>
    </row>
    <row r="295" spans="1:6" hidden="1" x14ac:dyDescent="0.35">
      <c r="A295" s="411"/>
      <c r="B295" s="424" t="str">
        <f>IFERROR(IF(A295="","",VLOOKUP(A295,'Mapped COA'!A:G,2,0)),IF(A295="","",VLOOKUP(A295,COA!A:G,2,0)))</f>
        <v/>
      </c>
      <c r="C295" s="272"/>
      <c r="D295" s="272"/>
      <c r="E295" s="398"/>
      <c r="F295" s="397"/>
    </row>
    <row r="296" spans="1:6" hidden="1" x14ac:dyDescent="0.35">
      <c r="A296" s="411"/>
      <c r="B296" s="424" t="str">
        <f>IFERROR(IF(A296="","",VLOOKUP(A296,'Mapped COA'!A:G,2,0)),IF(A296="","",VLOOKUP(A296,COA!A:G,2,0)))</f>
        <v/>
      </c>
      <c r="C296" s="272"/>
      <c r="D296" s="272"/>
      <c r="E296" s="398"/>
      <c r="F296" s="397"/>
    </row>
    <row r="297" spans="1:6" hidden="1" x14ac:dyDescent="0.35">
      <c r="A297" s="411"/>
      <c r="B297" s="424" t="str">
        <f>IFERROR(IF(A297="","",VLOOKUP(A297,'Mapped COA'!A:G,2,0)),IF(A297="","",VLOOKUP(A297,COA!A:G,2,0)))</f>
        <v/>
      </c>
      <c r="C297" s="272"/>
      <c r="D297" s="272"/>
      <c r="E297" s="398"/>
      <c r="F297" s="397"/>
    </row>
    <row r="298" spans="1:6" hidden="1" x14ac:dyDescent="0.35">
      <c r="A298" s="411"/>
      <c r="B298" s="424" t="str">
        <f>IFERROR(IF(A298="","",VLOOKUP(A298,'Mapped COA'!A:G,2,0)),IF(A298="","",VLOOKUP(A298,COA!A:G,2,0)))</f>
        <v/>
      </c>
      <c r="C298" s="272"/>
      <c r="D298" s="272"/>
      <c r="E298" s="398"/>
      <c r="F298" s="397"/>
    </row>
    <row r="299" spans="1:6" hidden="1" x14ac:dyDescent="0.35">
      <c r="A299" s="411"/>
      <c r="B299" s="424" t="str">
        <f>IFERROR(IF(A299="","",VLOOKUP(A299,'Mapped COA'!A:G,2,0)),IF(A299="","",VLOOKUP(A299,COA!A:G,2,0)))</f>
        <v/>
      </c>
      <c r="C299" s="272"/>
      <c r="D299" s="272"/>
      <c r="E299" s="398"/>
      <c r="F299" s="397"/>
    </row>
    <row r="300" spans="1:6" hidden="1" x14ac:dyDescent="0.35">
      <c r="A300" s="411"/>
      <c r="B300" s="424" t="str">
        <f>IFERROR(IF(A300="","",VLOOKUP(A300,'Mapped COA'!A:G,2,0)),IF(A300="","",VLOOKUP(A300,COA!A:G,2,0)))</f>
        <v/>
      </c>
      <c r="C300" s="272"/>
      <c r="D300" s="272"/>
      <c r="E300" s="398"/>
      <c r="F300" s="397"/>
    </row>
    <row r="301" spans="1:6" hidden="1" x14ac:dyDescent="0.35">
      <c r="A301" s="411"/>
      <c r="B301" s="424" t="str">
        <f>IFERROR(IF(A301="","",VLOOKUP(A301,'Mapped COA'!A:G,2,0)),IF(A301="","",VLOOKUP(A301,COA!A:G,2,0)))</f>
        <v/>
      </c>
      <c r="C301" s="272"/>
      <c r="D301" s="272"/>
      <c r="E301" s="398"/>
      <c r="F301" s="397"/>
    </row>
    <row r="302" spans="1:6" hidden="1" x14ac:dyDescent="0.35">
      <c r="A302" s="411"/>
      <c r="B302" s="424" t="str">
        <f>IFERROR(IF(A302="","",VLOOKUP(A302,'Mapped COA'!A:G,2,0)),IF(A302="","",VLOOKUP(A302,COA!A:G,2,0)))</f>
        <v/>
      </c>
      <c r="C302" s="272"/>
      <c r="D302" s="272"/>
      <c r="E302" s="398"/>
      <c r="F302" s="397"/>
    </row>
    <row r="303" spans="1:6" hidden="1" x14ac:dyDescent="0.35">
      <c r="A303" s="411"/>
      <c r="B303" s="424" t="str">
        <f>IFERROR(IF(A303="","",VLOOKUP(A303,'Mapped COA'!A:G,2,0)),IF(A303="","",VLOOKUP(A303,COA!A:G,2,0)))</f>
        <v/>
      </c>
      <c r="C303" s="272"/>
      <c r="D303" s="272"/>
      <c r="E303" s="398"/>
      <c r="F303" s="397"/>
    </row>
    <row r="304" spans="1:6" hidden="1" x14ac:dyDescent="0.35">
      <c r="A304" s="411"/>
      <c r="B304" s="424" t="str">
        <f>IFERROR(IF(A304="","",VLOOKUP(A304,'Mapped COA'!A:G,2,0)),IF(A304="","",VLOOKUP(A304,COA!A:G,2,0)))</f>
        <v/>
      </c>
      <c r="C304" s="272"/>
      <c r="D304" s="272"/>
      <c r="E304" s="398"/>
      <c r="F304" s="397"/>
    </row>
    <row r="305" spans="1:6" hidden="1" x14ac:dyDescent="0.35">
      <c r="A305" s="411"/>
      <c r="B305" s="424" t="str">
        <f>IFERROR(IF(A305="","",VLOOKUP(A305,'Mapped COA'!A:G,2,0)),IF(A305="","",VLOOKUP(A305,COA!A:G,2,0)))</f>
        <v/>
      </c>
      <c r="C305" s="272"/>
      <c r="D305" s="272"/>
      <c r="E305" s="398"/>
      <c r="F305" s="397"/>
    </row>
    <row r="306" spans="1:6" hidden="1" x14ac:dyDescent="0.35">
      <c r="A306" s="411"/>
      <c r="B306" s="424" t="str">
        <f>IFERROR(IF(A306="","",VLOOKUP(A306,'Mapped COA'!A:G,2,0)),IF(A306="","",VLOOKUP(A306,COA!A:G,2,0)))</f>
        <v/>
      </c>
      <c r="C306" s="272"/>
      <c r="D306" s="272"/>
      <c r="E306" s="398"/>
      <c r="F306" s="397"/>
    </row>
    <row r="307" spans="1:6" hidden="1" x14ac:dyDescent="0.35">
      <c r="A307" s="411"/>
      <c r="B307" s="424" t="str">
        <f>IFERROR(IF(A307="","",VLOOKUP(A307,'Mapped COA'!A:G,2,0)),IF(A307="","",VLOOKUP(A307,COA!A:G,2,0)))</f>
        <v/>
      </c>
      <c r="C307" s="272"/>
      <c r="D307" s="272"/>
      <c r="E307" s="398"/>
      <c r="F307" s="397"/>
    </row>
    <row r="308" spans="1:6" hidden="1" x14ac:dyDescent="0.35">
      <c r="A308" s="411"/>
      <c r="B308" s="424" t="str">
        <f>IFERROR(IF(A308="","",VLOOKUP(A308,'Mapped COA'!A:G,2,0)),IF(A308="","",VLOOKUP(A308,COA!A:G,2,0)))</f>
        <v/>
      </c>
      <c r="C308" s="272"/>
      <c r="D308" s="272"/>
      <c r="E308" s="398"/>
      <c r="F308" s="397"/>
    </row>
    <row r="309" spans="1:6" hidden="1" x14ac:dyDescent="0.35">
      <c r="A309" s="411"/>
      <c r="B309" s="424" t="str">
        <f>IFERROR(IF(A309="","",VLOOKUP(A309,'Mapped COA'!A:G,2,0)),IF(A309="","",VLOOKUP(A309,COA!A:G,2,0)))</f>
        <v/>
      </c>
      <c r="C309" s="272"/>
      <c r="D309" s="272"/>
      <c r="E309" s="398"/>
      <c r="F309" s="397"/>
    </row>
    <row r="310" spans="1:6" hidden="1" x14ac:dyDescent="0.35">
      <c r="A310" s="411"/>
      <c r="B310" s="424" t="str">
        <f>IFERROR(IF(A310="","",VLOOKUP(A310,'Mapped COA'!A:G,2,0)),IF(A310="","",VLOOKUP(A310,COA!A:G,2,0)))</f>
        <v/>
      </c>
      <c r="C310" s="272"/>
      <c r="D310" s="272"/>
      <c r="E310" s="398"/>
      <c r="F310" s="397"/>
    </row>
    <row r="311" spans="1:6" hidden="1" x14ac:dyDescent="0.35">
      <c r="A311" s="411"/>
      <c r="B311" s="424" t="str">
        <f>IFERROR(IF(A311="","",VLOOKUP(A311,'Mapped COA'!A:G,2,0)),IF(A311="","",VLOOKUP(A311,COA!A:G,2,0)))</f>
        <v/>
      </c>
      <c r="C311" s="272"/>
      <c r="D311" s="272"/>
      <c r="E311" s="398"/>
      <c r="F311" s="397"/>
    </row>
    <row r="312" spans="1:6" hidden="1" x14ac:dyDescent="0.35">
      <c r="A312" s="411"/>
      <c r="B312" s="424" t="str">
        <f>IFERROR(IF(A312="","",VLOOKUP(A312,'Mapped COA'!A:G,2,0)),IF(A312="","",VLOOKUP(A312,COA!A:G,2,0)))</f>
        <v/>
      </c>
      <c r="C312" s="272"/>
      <c r="D312" s="272"/>
      <c r="E312" s="398"/>
      <c r="F312" s="397"/>
    </row>
    <row r="313" spans="1:6" hidden="1" x14ac:dyDescent="0.35">
      <c r="A313" s="411"/>
      <c r="B313" s="424" t="str">
        <f>IFERROR(IF(A313="","",VLOOKUP(A313,'Mapped COA'!A:G,2,0)),IF(A313="","",VLOOKUP(A313,COA!A:G,2,0)))</f>
        <v/>
      </c>
      <c r="C313" s="272"/>
      <c r="D313" s="272"/>
      <c r="E313" s="398"/>
      <c r="F313" s="397"/>
    </row>
    <row r="314" spans="1:6" hidden="1" x14ac:dyDescent="0.35">
      <c r="A314" s="411"/>
      <c r="B314" s="424" t="str">
        <f>IFERROR(IF(A314="","",VLOOKUP(A314,'Mapped COA'!A:G,2,0)),IF(A314="","",VLOOKUP(A314,COA!A:G,2,0)))</f>
        <v/>
      </c>
      <c r="C314" s="272"/>
      <c r="D314" s="272"/>
      <c r="E314" s="398"/>
      <c r="F314" s="397"/>
    </row>
    <row r="315" spans="1:6" hidden="1" x14ac:dyDescent="0.35">
      <c r="A315" s="411"/>
      <c r="B315" s="424" t="str">
        <f>IFERROR(IF(A315="","",VLOOKUP(A315,'Mapped COA'!A:G,2,0)),IF(A315="","",VLOOKUP(A315,COA!A:G,2,0)))</f>
        <v/>
      </c>
      <c r="C315" s="272"/>
      <c r="D315" s="272"/>
      <c r="E315" s="398"/>
      <c r="F315" s="397"/>
    </row>
    <row r="316" spans="1:6" hidden="1" x14ac:dyDescent="0.35">
      <c r="A316" s="411"/>
      <c r="B316" s="424" t="str">
        <f>IFERROR(IF(A316="","",VLOOKUP(A316,'Mapped COA'!A:G,2,0)),IF(A316="","",VLOOKUP(A316,COA!A:G,2,0)))</f>
        <v/>
      </c>
      <c r="C316" s="272"/>
      <c r="D316" s="272"/>
      <c r="E316" s="398"/>
      <c r="F316" s="397"/>
    </row>
    <row r="317" spans="1:6" hidden="1" x14ac:dyDescent="0.35">
      <c r="A317" s="411"/>
      <c r="B317" s="424" t="str">
        <f>IFERROR(IF(A317="","",VLOOKUP(A317,'Mapped COA'!A:G,2,0)),IF(A317="","",VLOOKUP(A317,COA!A:G,2,0)))</f>
        <v/>
      </c>
      <c r="C317" s="272"/>
      <c r="D317" s="272"/>
      <c r="E317" s="398"/>
      <c r="F317" s="397"/>
    </row>
    <row r="318" spans="1:6" hidden="1" x14ac:dyDescent="0.35">
      <c r="A318" s="411"/>
      <c r="B318" s="424" t="str">
        <f>IFERROR(IF(A318="","",VLOOKUP(A318,'Mapped COA'!A:G,2,0)),IF(A318="","",VLOOKUP(A318,COA!A:G,2,0)))</f>
        <v/>
      </c>
      <c r="C318" s="272"/>
      <c r="D318" s="272"/>
      <c r="E318" s="398"/>
      <c r="F318" s="397"/>
    </row>
    <row r="319" spans="1:6" hidden="1" x14ac:dyDescent="0.35">
      <c r="A319" s="411"/>
      <c r="B319" s="424" t="str">
        <f>IFERROR(IF(A319="","",VLOOKUP(A319,'Mapped COA'!A:G,2,0)),IF(A319="","",VLOOKUP(A319,COA!A:G,2,0)))</f>
        <v/>
      </c>
      <c r="C319" s="272"/>
      <c r="D319" s="272"/>
      <c r="E319" s="398"/>
      <c r="F319" s="397"/>
    </row>
    <row r="320" spans="1:6" hidden="1" x14ac:dyDescent="0.35">
      <c r="A320" s="411"/>
      <c r="B320" s="424" t="str">
        <f>IFERROR(IF(A320="","",VLOOKUP(A320,'Mapped COA'!A:G,2,0)),IF(A320="","",VLOOKUP(A320,COA!A:G,2,0)))</f>
        <v/>
      </c>
      <c r="C320" s="272"/>
      <c r="D320" s="272"/>
      <c r="E320" s="398"/>
      <c r="F320" s="397"/>
    </row>
    <row r="321" spans="1:6" hidden="1" x14ac:dyDescent="0.35">
      <c r="A321" s="411"/>
      <c r="B321" s="424" t="str">
        <f>IFERROR(IF(A321="","",VLOOKUP(A321,'Mapped COA'!A:G,2,0)),IF(A321="","",VLOOKUP(A321,COA!A:G,2,0)))</f>
        <v/>
      </c>
      <c r="C321" s="272"/>
      <c r="D321" s="272"/>
      <c r="E321" s="398"/>
      <c r="F321" s="397"/>
    </row>
    <row r="322" spans="1:6" hidden="1" x14ac:dyDescent="0.35">
      <c r="A322" s="411"/>
      <c r="B322" s="424" t="str">
        <f>IFERROR(IF(A322="","",VLOOKUP(A322,'Mapped COA'!A:G,2,0)),IF(A322="","",VLOOKUP(A322,COA!A:G,2,0)))</f>
        <v/>
      </c>
      <c r="C322" s="272"/>
      <c r="D322" s="272"/>
      <c r="E322" s="398"/>
      <c r="F322" s="397"/>
    </row>
    <row r="323" spans="1:6" hidden="1" x14ac:dyDescent="0.35">
      <c r="A323" s="411"/>
      <c r="B323" s="424" t="str">
        <f>IFERROR(IF(A323="","",VLOOKUP(A323,'Mapped COA'!A:G,2,0)),IF(A323="","",VLOOKUP(A323,COA!A:G,2,0)))</f>
        <v/>
      </c>
      <c r="C323" s="272"/>
      <c r="D323" s="272"/>
      <c r="E323" s="398"/>
      <c r="F323" s="397"/>
    </row>
    <row r="324" spans="1:6" hidden="1" x14ac:dyDescent="0.35">
      <c r="A324" s="411"/>
      <c r="B324" s="424" t="str">
        <f>IFERROR(IF(A324="","",VLOOKUP(A324,'Mapped COA'!A:G,2,0)),IF(A324="","",VLOOKUP(A324,COA!A:G,2,0)))</f>
        <v/>
      </c>
      <c r="C324" s="272"/>
      <c r="D324" s="272"/>
      <c r="E324" s="398"/>
      <c r="F324" s="397"/>
    </row>
    <row r="325" spans="1:6" hidden="1" x14ac:dyDescent="0.35">
      <c r="A325" s="411"/>
      <c r="B325" s="424" t="str">
        <f>IFERROR(IF(A325="","",VLOOKUP(A325,'Mapped COA'!A:G,2,0)),IF(A325="","",VLOOKUP(A325,COA!A:G,2,0)))</f>
        <v/>
      </c>
      <c r="C325" s="272"/>
      <c r="D325" s="272"/>
      <c r="E325" s="398"/>
      <c r="F325" s="397"/>
    </row>
    <row r="326" spans="1:6" hidden="1" x14ac:dyDescent="0.35">
      <c r="A326" s="411"/>
      <c r="B326" s="424" t="str">
        <f>IFERROR(IF(A326="","",VLOOKUP(A326,'Mapped COA'!A:G,2,0)),IF(A326="","",VLOOKUP(A326,COA!A:G,2,0)))</f>
        <v/>
      </c>
      <c r="C326" s="272"/>
      <c r="D326" s="272"/>
      <c r="E326" s="398"/>
      <c r="F326" s="397"/>
    </row>
    <row r="327" spans="1:6" hidden="1" x14ac:dyDescent="0.35">
      <c r="A327" s="411"/>
      <c r="B327" s="424" t="str">
        <f>IFERROR(IF(A327="","",VLOOKUP(A327,'Mapped COA'!A:G,2,0)),IF(A327="","",VLOOKUP(A327,COA!A:G,2,0)))</f>
        <v/>
      </c>
      <c r="C327" s="272"/>
      <c r="D327" s="272"/>
      <c r="E327" s="398"/>
      <c r="F327" s="397"/>
    </row>
    <row r="328" spans="1:6" hidden="1" x14ac:dyDescent="0.35">
      <c r="A328" s="411"/>
      <c r="B328" s="424" t="str">
        <f>IFERROR(IF(A328="","",VLOOKUP(A328,'Mapped COA'!A:G,2,0)),IF(A328="","",VLOOKUP(A328,COA!A:G,2,0)))</f>
        <v/>
      </c>
      <c r="C328" s="272"/>
      <c r="D328" s="272"/>
      <c r="E328" s="398"/>
      <c r="F328" s="397"/>
    </row>
    <row r="329" spans="1:6" hidden="1" x14ac:dyDescent="0.35">
      <c r="A329" s="411"/>
      <c r="B329" s="424" t="str">
        <f>IFERROR(IF(A329="","",VLOOKUP(A329,'Mapped COA'!A:G,2,0)),IF(A329="","",VLOOKUP(A329,COA!A:G,2,0)))</f>
        <v/>
      </c>
      <c r="C329" s="272"/>
      <c r="D329" s="272"/>
      <c r="E329" s="398"/>
      <c r="F329" s="397"/>
    </row>
    <row r="330" spans="1:6" hidden="1" x14ac:dyDescent="0.35">
      <c r="A330" s="411"/>
      <c r="B330" s="424" t="str">
        <f>IFERROR(IF(A330="","",VLOOKUP(A330,'Mapped COA'!A:G,2,0)),IF(A330="","",VLOOKUP(A330,COA!A:G,2,0)))</f>
        <v/>
      </c>
      <c r="C330" s="272"/>
      <c r="D330" s="272"/>
      <c r="E330" s="398"/>
      <c r="F330" s="397"/>
    </row>
    <row r="331" spans="1:6" x14ac:dyDescent="0.35">
      <c r="A331" s="412"/>
      <c r="B331" s="425" t="str">
        <f>IFERROR(IF(A331="","",VLOOKUP(A331,'Mapped COA'!A:G,2,0)),IF(A331="","",VLOOKUP(A331,COA!A:G,2,0)))</f>
        <v/>
      </c>
      <c r="C331" s="413"/>
      <c r="D331" s="413"/>
      <c r="E331" s="414"/>
      <c r="F331" s="415"/>
    </row>
    <row r="334" spans="1:6" ht="15" thickBot="1" x14ac:dyDescent="0.4">
      <c r="E334" s="465" t="s">
        <v>128</v>
      </c>
      <c r="F334" s="466">
        <f>SUM(F231:F331)</f>
        <v>0</v>
      </c>
    </row>
    <row r="335" spans="1:6" ht="15" thickTop="1" x14ac:dyDescent="0.35"/>
  </sheetData>
  <autoFilter ref="A8:F8" xr:uid="{3FF0BE37-8D41-43EB-A220-34C6361858A3}"/>
  <mergeCells count="3">
    <mergeCell ref="A1:F1"/>
    <mergeCell ref="A2:F2"/>
    <mergeCell ref="A3:F3"/>
  </mergeCells>
  <conditionalFormatting sqref="A9:A109">
    <cfRule type="expression" dxfId="32" priority="18">
      <formula>INDIRECT("A"&amp;ROW()) = "Yes"</formula>
    </cfRule>
  </conditionalFormatting>
  <conditionalFormatting sqref="C9:F109">
    <cfRule type="expression" dxfId="31" priority="17">
      <formula>INDIRECT("A"&amp;ROW()) = "Yes"</formula>
    </cfRule>
  </conditionalFormatting>
  <conditionalFormatting sqref="A109">
    <cfRule type="expression" dxfId="30" priority="16">
      <formula>INDIRECT("A"&amp;ROW()) = "Yes"</formula>
    </cfRule>
  </conditionalFormatting>
  <conditionalFormatting sqref="B9:B109">
    <cfRule type="expression" dxfId="29" priority="15">
      <formula>INDIRECT("A"&amp;ROW()) = "Yes"</formula>
    </cfRule>
  </conditionalFormatting>
  <conditionalFormatting sqref="A6:F6">
    <cfRule type="expression" dxfId="28" priority="14">
      <formula>INDIRECT("A"&amp;ROW()) = "Yes"</formula>
    </cfRule>
  </conditionalFormatting>
  <conditionalFormatting sqref="A120:A220">
    <cfRule type="expression" dxfId="27" priority="13">
      <formula>INDIRECT("A"&amp;ROW()) = "Yes"</formula>
    </cfRule>
  </conditionalFormatting>
  <conditionalFormatting sqref="C120:F220">
    <cfRule type="expression" dxfId="26" priority="12">
      <formula>INDIRECT("A"&amp;ROW()) = "Yes"</formula>
    </cfRule>
  </conditionalFormatting>
  <conditionalFormatting sqref="A220">
    <cfRule type="expression" dxfId="25" priority="11">
      <formula>INDIRECT("A"&amp;ROW()) = "Yes"</formula>
    </cfRule>
  </conditionalFormatting>
  <conditionalFormatting sqref="B120:B220">
    <cfRule type="expression" dxfId="24" priority="10">
      <formula>INDIRECT("A"&amp;ROW()) = "Yes"</formula>
    </cfRule>
  </conditionalFormatting>
  <conditionalFormatting sqref="A231:A331">
    <cfRule type="expression" dxfId="23" priority="8">
      <formula>INDIRECT("A"&amp;ROW()) = "Yes"</formula>
    </cfRule>
  </conditionalFormatting>
  <conditionalFormatting sqref="C231:F331">
    <cfRule type="expression" dxfId="22" priority="7">
      <formula>INDIRECT("A"&amp;ROW()) = "Yes"</formula>
    </cfRule>
  </conditionalFormatting>
  <conditionalFormatting sqref="A331">
    <cfRule type="expression" dxfId="21" priority="6">
      <formula>INDIRECT("A"&amp;ROW()) = "Yes"</formula>
    </cfRule>
  </conditionalFormatting>
  <conditionalFormatting sqref="B231:B331">
    <cfRule type="expression" dxfId="20" priority="5">
      <formula>INDIRECT("A"&amp;ROW()) = "Yes"</formula>
    </cfRule>
  </conditionalFormatting>
  <conditionalFormatting sqref="A117:F117">
    <cfRule type="expression" dxfId="19" priority="2">
      <formula>INDIRECT("A"&amp;ROW()) = "Yes"</formula>
    </cfRule>
  </conditionalFormatting>
  <conditionalFormatting sqref="A228:F228">
    <cfRule type="expression" dxfId="18" priority="1">
      <formula>INDIRECT("A"&amp;ROW()) = "Yes"</formula>
    </cfRule>
  </conditionalFormatting>
  <printOptions horizontalCentered="1"/>
  <pageMargins left="0.25" right="0.25" top="0.25" bottom="0.75" header="0.3" footer="0.3"/>
  <pageSetup scale="78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9BA39-E0A5-4BCD-AD86-5BFEDD08901E}">
  <sheetPr codeName="Sheet10">
    <pageSetUpPr fitToPage="1"/>
  </sheetPr>
  <dimension ref="A1:AA41"/>
  <sheetViews>
    <sheetView zoomScale="90" zoomScaleNormal="90" workbookViewId="0">
      <selection activeCell="A3" sqref="A3:E3"/>
    </sheetView>
  </sheetViews>
  <sheetFormatPr defaultColWidth="9.1796875" defaultRowHeight="14.5" x14ac:dyDescent="0.35"/>
  <cols>
    <col min="1" max="1" width="18.54296875" style="1" customWidth="1"/>
    <col min="2" max="2" width="28.453125" style="1" bestFit="1" customWidth="1"/>
    <col min="3" max="3" width="16" style="1" customWidth="1"/>
    <col min="4" max="4" width="94.81640625" style="1" bestFit="1" customWidth="1"/>
    <col min="5" max="5" width="20.81640625" style="61" customWidth="1"/>
    <col min="6" max="26" width="9.1796875" style="1"/>
    <col min="27" max="27" width="0" style="1" hidden="1" customWidth="1"/>
    <col min="28" max="16384" width="9.1796875" style="1"/>
  </cols>
  <sheetData>
    <row r="1" spans="1:27" ht="18" x14ac:dyDescent="0.4">
      <c r="A1" s="553" t="str">
        <f>'Input-Instructions'!B3</f>
        <v>Residences at Shiloh Crossing</v>
      </c>
      <c r="B1" s="553"/>
      <c r="C1" s="553"/>
      <c r="D1" s="553"/>
      <c r="E1" s="553"/>
      <c r="F1" s="218"/>
      <c r="G1" s="218"/>
      <c r="AA1" s="1" t="s">
        <v>304</v>
      </c>
    </row>
    <row r="2" spans="1:27" ht="15.5" x14ac:dyDescent="0.35">
      <c r="A2" s="610" t="s">
        <v>305</v>
      </c>
      <c r="B2" s="610"/>
      <c r="C2" s="610"/>
      <c r="D2" s="610"/>
      <c r="E2" s="610"/>
      <c r="F2" s="195"/>
      <c r="G2" s="195"/>
      <c r="AA2" s="1" t="s">
        <v>306</v>
      </c>
    </row>
    <row r="3" spans="1:27" x14ac:dyDescent="0.35">
      <c r="A3" s="611">
        <f>'Input-Instructions'!B6</f>
        <v>46266</v>
      </c>
      <c r="B3" s="611"/>
      <c r="C3" s="611"/>
      <c r="D3" s="611"/>
      <c r="E3" s="611"/>
      <c r="F3" s="219"/>
      <c r="G3" s="219"/>
    </row>
    <row r="5" spans="1:27" ht="15" customHeight="1" x14ac:dyDescent="0.35">
      <c r="A5" s="8" t="s">
        <v>307</v>
      </c>
      <c r="B5" s="60"/>
    </row>
    <row r="6" spans="1:27" ht="15" customHeight="1" x14ac:dyDescent="0.45">
      <c r="A6" s="8" t="s">
        <v>308</v>
      </c>
      <c r="B6" s="60"/>
      <c r="H6" s="197" t="s">
        <v>309</v>
      </c>
    </row>
    <row r="7" spans="1:27" ht="20.5" x14ac:dyDescent="0.45">
      <c r="A7" s="8"/>
      <c r="B7" s="62"/>
      <c r="H7" s="197"/>
    </row>
    <row r="8" spans="1:27" x14ac:dyDescent="0.35">
      <c r="A8" s="63" t="s">
        <v>281</v>
      </c>
      <c r="B8" s="63" t="s">
        <v>310</v>
      </c>
      <c r="C8" s="63" t="s">
        <v>284</v>
      </c>
      <c r="D8" s="63" t="s">
        <v>28</v>
      </c>
      <c r="E8" s="63" t="s">
        <v>311</v>
      </c>
    </row>
    <row r="9" spans="1:27" x14ac:dyDescent="0.35">
      <c r="A9" s="223"/>
      <c r="B9" s="224"/>
      <c r="C9" s="225"/>
      <c r="D9" s="224"/>
      <c r="E9" s="226"/>
    </row>
    <row r="10" spans="1:27" x14ac:dyDescent="0.35">
      <c r="A10" s="223"/>
      <c r="B10" s="224"/>
      <c r="C10" s="225"/>
      <c r="D10" s="224"/>
      <c r="E10" s="226"/>
    </row>
    <row r="11" spans="1:27" x14ac:dyDescent="0.35">
      <c r="A11" s="223"/>
      <c r="B11" s="224"/>
      <c r="C11" s="225"/>
      <c r="D11" s="224"/>
      <c r="E11" s="226"/>
    </row>
    <row r="12" spans="1:27" x14ac:dyDescent="0.35">
      <c r="A12" s="223"/>
      <c r="B12" s="224"/>
      <c r="C12" s="225"/>
      <c r="D12" s="224"/>
      <c r="E12" s="226"/>
    </row>
    <row r="13" spans="1:27" x14ac:dyDescent="0.35">
      <c r="A13" s="223"/>
      <c r="B13" s="224"/>
      <c r="C13" s="225"/>
      <c r="D13" s="224"/>
      <c r="E13" s="226"/>
    </row>
    <row r="14" spans="1:27" x14ac:dyDescent="0.35">
      <c r="A14" s="223"/>
      <c r="B14" s="224"/>
      <c r="C14" s="225"/>
      <c r="D14" s="224"/>
      <c r="E14" s="226"/>
    </row>
    <row r="15" spans="1:27" x14ac:dyDescent="0.35">
      <c r="A15" s="223"/>
      <c r="B15" s="224"/>
      <c r="C15" s="225"/>
      <c r="D15" s="224"/>
      <c r="E15" s="226"/>
    </row>
    <row r="16" spans="1:27" x14ac:dyDescent="0.35">
      <c r="A16" s="223"/>
      <c r="B16" s="224"/>
      <c r="C16" s="225"/>
      <c r="D16" s="224"/>
      <c r="E16" s="226"/>
    </row>
    <row r="17" spans="1:5" x14ac:dyDescent="0.35">
      <c r="A17" s="223"/>
      <c r="B17" s="224"/>
      <c r="C17" s="225"/>
      <c r="D17" s="224"/>
      <c r="E17" s="226"/>
    </row>
    <row r="18" spans="1:5" x14ac:dyDescent="0.35">
      <c r="A18" s="223"/>
      <c r="B18" s="224"/>
      <c r="C18" s="225"/>
      <c r="D18" s="224"/>
      <c r="E18" s="226"/>
    </row>
    <row r="19" spans="1:5" x14ac:dyDescent="0.35">
      <c r="A19" s="223"/>
      <c r="B19" s="224"/>
      <c r="C19" s="225"/>
      <c r="D19" s="224"/>
      <c r="E19" s="226"/>
    </row>
    <row r="20" spans="1:5" x14ac:dyDescent="0.35">
      <c r="A20" s="223"/>
      <c r="B20" s="224"/>
      <c r="C20" s="225"/>
      <c r="D20" s="224"/>
      <c r="E20" s="226"/>
    </row>
    <row r="21" spans="1:5" x14ac:dyDescent="0.35">
      <c r="A21" s="223"/>
      <c r="B21" s="224"/>
      <c r="C21" s="225"/>
      <c r="D21" s="224"/>
      <c r="E21" s="226"/>
    </row>
    <row r="22" spans="1:5" x14ac:dyDescent="0.35">
      <c r="A22" s="223"/>
      <c r="B22" s="224"/>
      <c r="C22" s="225"/>
      <c r="D22" s="224"/>
      <c r="E22" s="226"/>
    </row>
    <row r="23" spans="1:5" x14ac:dyDescent="0.35">
      <c r="A23" s="223"/>
      <c r="B23" s="224"/>
      <c r="C23" s="225"/>
      <c r="D23" s="224"/>
      <c r="E23" s="226"/>
    </row>
    <row r="24" spans="1:5" x14ac:dyDescent="0.35">
      <c r="A24" s="223"/>
      <c r="B24" s="224"/>
      <c r="C24" s="225"/>
      <c r="D24" s="224"/>
      <c r="E24" s="226"/>
    </row>
    <row r="25" spans="1:5" x14ac:dyDescent="0.35">
      <c r="A25" s="223"/>
      <c r="B25" s="224"/>
      <c r="C25" s="225"/>
      <c r="D25" s="224"/>
      <c r="E25" s="226"/>
    </row>
    <row r="26" spans="1:5" x14ac:dyDescent="0.35">
      <c r="A26" s="223"/>
      <c r="B26" s="224"/>
      <c r="C26" s="225"/>
      <c r="D26" s="224"/>
      <c r="E26" s="226"/>
    </row>
    <row r="27" spans="1:5" x14ac:dyDescent="0.35">
      <c r="A27" s="223"/>
      <c r="B27" s="224"/>
      <c r="C27" s="225"/>
      <c r="D27" s="224"/>
      <c r="E27" s="226"/>
    </row>
    <row r="28" spans="1:5" x14ac:dyDescent="0.35">
      <c r="A28" s="223"/>
      <c r="B28" s="224"/>
      <c r="C28" s="225"/>
      <c r="D28" s="224"/>
      <c r="E28" s="226"/>
    </row>
    <row r="29" spans="1:5" x14ac:dyDescent="0.35">
      <c r="A29" s="223"/>
      <c r="B29" s="224"/>
      <c r="C29" s="225"/>
      <c r="D29" s="224"/>
      <c r="E29" s="226"/>
    </row>
    <row r="30" spans="1:5" x14ac:dyDescent="0.35">
      <c r="A30" s="223"/>
      <c r="B30" s="224"/>
      <c r="C30" s="225"/>
      <c r="D30" s="224"/>
      <c r="E30" s="226"/>
    </row>
    <row r="31" spans="1:5" x14ac:dyDescent="0.35">
      <c r="A31" s="223"/>
      <c r="B31" s="224"/>
      <c r="C31" s="225"/>
      <c r="D31" s="224"/>
      <c r="E31" s="226"/>
    </row>
    <row r="32" spans="1:5" x14ac:dyDescent="0.35">
      <c r="A32" s="223"/>
      <c r="B32" s="224"/>
      <c r="C32" s="225"/>
      <c r="D32" s="224"/>
      <c r="E32" s="226"/>
    </row>
    <row r="33" spans="1:5" x14ac:dyDescent="0.35">
      <c r="A33" s="223"/>
      <c r="B33" s="224"/>
      <c r="C33" s="225"/>
      <c r="D33" s="224"/>
      <c r="E33" s="226"/>
    </row>
    <row r="34" spans="1:5" x14ac:dyDescent="0.35">
      <c r="A34" s="223"/>
      <c r="B34" s="224"/>
      <c r="C34" s="225"/>
      <c r="D34" s="224"/>
      <c r="E34" s="226"/>
    </row>
    <row r="35" spans="1:5" x14ac:dyDescent="0.35">
      <c r="A35" s="223"/>
      <c r="B35" s="224"/>
      <c r="C35" s="225"/>
      <c r="D35" s="224"/>
      <c r="E35" s="226"/>
    </row>
    <row r="36" spans="1:5" x14ac:dyDescent="0.35">
      <c r="A36" s="223"/>
      <c r="B36" s="224"/>
      <c r="C36" s="225"/>
      <c r="D36" s="224"/>
      <c r="E36" s="226"/>
    </row>
    <row r="37" spans="1:5" x14ac:dyDescent="0.35">
      <c r="A37" s="223"/>
      <c r="B37" s="224"/>
      <c r="C37" s="225"/>
      <c r="D37" s="224"/>
      <c r="E37" s="227"/>
    </row>
    <row r="38" spans="1:5" x14ac:dyDescent="0.35">
      <c r="A38" s="223"/>
      <c r="B38" s="224"/>
      <c r="C38" s="225"/>
      <c r="D38" s="224"/>
      <c r="E38" s="227"/>
    </row>
    <row r="39" spans="1:5" x14ac:dyDescent="0.35">
      <c r="A39" s="223"/>
      <c r="B39" s="224"/>
      <c r="C39" s="225"/>
      <c r="D39" s="228"/>
      <c r="E39" s="229"/>
    </row>
    <row r="40" spans="1:5" x14ac:dyDescent="0.35">
      <c r="A40" s="49"/>
      <c r="B40" s="49"/>
      <c r="C40" s="49"/>
      <c r="D40" s="49"/>
      <c r="E40" s="230"/>
    </row>
    <row r="41" spans="1:5" ht="15" thickBot="1" x14ac:dyDescent="0.4">
      <c r="B41" s="64" t="s">
        <v>312</v>
      </c>
      <c r="C41" s="65">
        <f>SUM(C9:C40)</f>
        <v>0</v>
      </c>
      <c r="E41" s="66"/>
    </row>
  </sheetData>
  <mergeCells count="3">
    <mergeCell ref="A1:E1"/>
    <mergeCell ref="A2:E2"/>
    <mergeCell ref="A3:E3"/>
  </mergeCells>
  <dataValidations count="1">
    <dataValidation type="list" allowBlank="1" showInputMessage="1" showErrorMessage="1" sqref="E9:E38" xr:uid="{E4086C5B-6D1A-4564-A9C5-E479B3333EC1}">
      <formula1>$AA$1:$AA$2</formula1>
    </dataValidation>
  </dataValidations>
  <printOptions horizontalCentered="1"/>
  <pageMargins left="0.7" right="0.7" top="0.75" bottom="0.75" header="0.3" footer="0.3"/>
  <pageSetup scale="68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D744-822F-473A-9AA6-91ADBABE2762}">
  <sheetPr codeName="Sheet15">
    <pageSetUpPr fitToPage="1"/>
  </sheetPr>
  <dimension ref="A1:Q126"/>
  <sheetViews>
    <sheetView zoomScale="85" zoomScaleNormal="85" workbookViewId="0">
      <selection activeCell="B7" sqref="B7"/>
    </sheetView>
  </sheetViews>
  <sheetFormatPr defaultColWidth="9.1796875" defaultRowHeight="14.5" x14ac:dyDescent="0.35"/>
  <cols>
    <col min="1" max="1" width="53.1796875" style="87" bestFit="1" customWidth="1"/>
    <col min="2" max="2" width="24.1796875" style="317" bestFit="1" customWidth="1"/>
    <col min="3" max="14" width="14.7265625" style="87" customWidth="1"/>
    <col min="15" max="15" width="18.54296875" style="87" bestFit="1" customWidth="1"/>
    <col min="16" max="16384" width="9.1796875" style="87"/>
  </cols>
  <sheetData>
    <row r="1" spans="1:17" s="1" customFormat="1" ht="18" customHeight="1" x14ac:dyDescent="0.5">
      <c r="A1" s="612" t="str">
        <f>'Input-Instructions'!B3</f>
        <v>Residences at Shiloh Crossing</v>
      </c>
      <c r="B1" s="613"/>
      <c r="C1" s="613"/>
      <c r="D1" s="613"/>
      <c r="E1" s="613"/>
      <c r="F1" s="613"/>
      <c r="G1" s="613"/>
      <c r="H1" s="613"/>
      <c r="I1" s="613"/>
      <c r="J1" s="613"/>
      <c r="K1" s="613"/>
      <c r="L1" s="613"/>
      <c r="M1" s="613"/>
      <c r="N1" s="612"/>
      <c r="O1" s="612"/>
    </row>
    <row r="2" spans="1:17" s="1" customFormat="1" ht="23" x14ac:dyDescent="0.5">
      <c r="A2" s="612" t="s">
        <v>538</v>
      </c>
      <c r="B2" s="612"/>
      <c r="C2" s="612"/>
      <c r="D2" s="612"/>
      <c r="E2" s="612"/>
      <c r="F2" s="612"/>
      <c r="G2" s="612"/>
      <c r="H2" s="613"/>
      <c r="I2" s="613"/>
      <c r="J2" s="613"/>
      <c r="K2" s="613"/>
      <c r="L2" s="613"/>
      <c r="M2" s="613"/>
      <c r="N2" s="612"/>
      <c r="O2" s="612"/>
    </row>
    <row r="3" spans="1:17" s="1" customFormat="1" ht="23" x14ac:dyDescent="0.35">
      <c r="A3" s="614" t="str">
        <f>TEXT('Input-Instructions'!B6,"YYYY")</f>
        <v>2026</v>
      </c>
      <c r="B3" s="614"/>
      <c r="C3" s="614"/>
      <c r="D3" s="614"/>
      <c r="E3" s="614"/>
      <c r="F3" s="614"/>
      <c r="G3" s="614"/>
      <c r="H3" s="615"/>
      <c r="I3" s="615"/>
      <c r="J3" s="615"/>
      <c r="K3" s="615"/>
      <c r="L3" s="615"/>
      <c r="M3" s="615"/>
      <c r="N3" s="614"/>
      <c r="O3" s="614"/>
    </row>
    <row r="4" spans="1:17" s="1" customFormat="1" x14ac:dyDescent="0.35">
      <c r="A4" s="332"/>
      <c r="B4" s="308"/>
    </row>
    <row r="5" spans="1:17" s="70" customFormat="1" ht="18.5" x14ac:dyDescent="0.45">
      <c r="A5" s="64" t="s">
        <v>539</v>
      </c>
      <c r="B5" s="309" t="e">
        <f>IFERROR(IF(A5="","",VLOOKUP(A5,'Mapped COA'!A:G,2,0)),IF(A5="","",VLOOKUP(A5,COA!A:G,2,0)))</f>
        <v>#N/A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Q5" s="476"/>
    </row>
    <row r="6" spans="1:17" s="70" customFormat="1" ht="13.5" customHeight="1" x14ac:dyDescent="0.3">
      <c r="A6" s="71" t="s">
        <v>540</v>
      </c>
      <c r="B6" s="333" t="s">
        <v>541</v>
      </c>
      <c r="C6" s="72" t="s">
        <v>542</v>
      </c>
      <c r="D6" s="73" t="s">
        <v>543</v>
      </c>
      <c r="E6" s="73" t="s">
        <v>544</v>
      </c>
      <c r="F6" s="73" t="s">
        <v>545</v>
      </c>
      <c r="G6" s="73" t="s">
        <v>546</v>
      </c>
      <c r="H6" s="73" t="s">
        <v>547</v>
      </c>
      <c r="I6" s="73" t="s">
        <v>548</v>
      </c>
      <c r="J6" s="73" t="s">
        <v>549</v>
      </c>
      <c r="K6" s="73" t="s">
        <v>550</v>
      </c>
      <c r="L6" s="73" t="s">
        <v>551</v>
      </c>
      <c r="M6" s="73" t="s">
        <v>552</v>
      </c>
      <c r="N6" s="74" t="s">
        <v>553</v>
      </c>
      <c r="O6" s="74" t="s">
        <v>554</v>
      </c>
    </row>
    <row r="7" spans="1:17" s="70" customFormat="1" ht="13" x14ac:dyDescent="0.3">
      <c r="A7" s="75" t="s">
        <v>555</v>
      </c>
      <c r="B7" s="310"/>
      <c r="C7" s="304"/>
      <c r="D7" s="305"/>
      <c r="E7" s="305"/>
      <c r="F7" s="305"/>
      <c r="G7" s="305"/>
      <c r="H7" s="305"/>
      <c r="I7" s="305"/>
      <c r="J7" s="305"/>
      <c r="K7" s="305"/>
      <c r="L7" s="305"/>
      <c r="M7" s="305"/>
      <c r="N7" s="306"/>
      <c r="O7" s="306">
        <f>SUM(B7:N7)</f>
        <v>0</v>
      </c>
    </row>
    <row r="8" spans="1:17" s="70" customFormat="1" ht="13" x14ac:dyDescent="0.3">
      <c r="A8" s="77"/>
      <c r="B8" s="311"/>
      <c r="C8" s="78"/>
      <c r="D8" s="79"/>
      <c r="E8" s="79"/>
      <c r="F8" s="79"/>
      <c r="G8" s="79"/>
      <c r="H8" s="79"/>
      <c r="I8" s="79"/>
      <c r="J8" s="79"/>
      <c r="K8" s="79"/>
      <c r="L8" s="79"/>
      <c r="M8" s="79"/>
      <c r="N8" s="76"/>
      <c r="O8" s="76">
        <f>SUM(C8:N8)</f>
        <v>0</v>
      </c>
    </row>
    <row r="9" spans="1:17" s="70" customFormat="1" ht="13" x14ac:dyDescent="0.3">
      <c r="A9" s="77"/>
      <c r="B9" s="311"/>
      <c r="C9" s="80"/>
      <c r="D9" s="81"/>
      <c r="E9" s="81"/>
      <c r="F9" s="81"/>
      <c r="G9" s="81"/>
      <c r="H9" s="81"/>
      <c r="I9" s="81"/>
      <c r="J9" s="81"/>
      <c r="K9" s="81"/>
      <c r="L9" s="81"/>
      <c r="M9" s="81"/>
      <c r="N9" s="82"/>
      <c r="O9" s="76">
        <f>SUM(C9:N9)</f>
        <v>0</v>
      </c>
    </row>
    <row r="10" spans="1:17" s="70" customFormat="1" ht="13" x14ac:dyDescent="0.3">
      <c r="A10" s="307" t="e">
        <f>CONCATENATE("Ending Balance ", A5, " ", B5)</f>
        <v>#N/A</v>
      </c>
      <c r="B10" s="312"/>
      <c r="C10" s="83">
        <f>SUM(C7:C9)</f>
        <v>0</v>
      </c>
      <c r="D10" s="83">
        <f t="shared" ref="D10:N10" si="0">SUM(D7:D9)</f>
        <v>0</v>
      </c>
      <c r="E10" s="83">
        <f t="shared" si="0"/>
        <v>0</v>
      </c>
      <c r="F10" s="83">
        <f t="shared" si="0"/>
        <v>0</v>
      </c>
      <c r="G10" s="83">
        <f t="shared" si="0"/>
        <v>0</v>
      </c>
      <c r="H10" s="83">
        <f t="shared" si="0"/>
        <v>0</v>
      </c>
      <c r="I10" s="83">
        <f t="shared" si="0"/>
        <v>0</v>
      </c>
      <c r="J10" s="83">
        <f t="shared" si="0"/>
        <v>0</v>
      </c>
      <c r="K10" s="83">
        <f t="shared" si="0"/>
        <v>0</v>
      </c>
      <c r="L10" s="83">
        <f t="shared" si="0"/>
        <v>0</v>
      </c>
      <c r="M10" s="83">
        <f t="shared" si="0"/>
        <v>0</v>
      </c>
      <c r="N10" s="83">
        <f t="shared" si="0"/>
        <v>0</v>
      </c>
      <c r="O10" s="84">
        <f>SUM(O7:O9)</f>
        <v>0</v>
      </c>
    </row>
    <row r="11" spans="1:17" s="70" customFormat="1" ht="13" x14ac:dyDescent="0.3">
      <c r="B11" s="313"/>
    </row>
    <row r="12" spans="1:17" s="70" customFormat="1" ht="13" x14ac:dyDescent="0.3">
      <c r="A12" s="85" t="s">
        <v>556</v>
      </c>
      <c r="B12" s="309" t="e">
        <f>IFERROR(IF(A12="","",VLOOKUP(A12,'Mapped COA'!A:G,2,0)),IF(A12="","",VLOOKUP(A12,COA!A:G,2,0)))</f>
        <v>#N/A</v>
      </c>
      <c r="C12" s="85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17" s="70" customFormat="1" ht="13.5" customHeight="1" x14ac:dyDescent="0.3">
      <c r="A13" s="71" t="s">
        <v>540</v>
      </c>
      <c r="B13" s="333" t="s">
        <v>541</v>
      </c>
      <c r="C13" s="72" t="s">
        <v>542</v>
      </c>
      <c r="D13" s="73" t="s">
        <v>543</v>
      </c>
      <c r="E13" s="73" t="s">
        <v>544</v>
      </c>
      <c r="F13" s="73" t="s">
        <v>545</v>
      </c>
      <c r="G13" s="73" t="s">
        <v>546</v>
      </c>
      <c r="H13" s="73" t="s">
        <v>547</v>
      </c>
      <c r="I13" s="73" t="s">
        <v>548</v>
      </c>
      <c r="J13" s="73" t="s">
        <v>549</v>
      </c>
      <c r="K13" s="73" t="s">
        <v>550</v>
      </c>
      <c r="L13" s="73" t="s">
        <v>551</v>
      </c>
      <c r="M13" s="73" t="s">
        <v>552</v>
      </c>
      <c r="N13" s="74" t="s">
        <v>553</v>
      </c>
      <c r="O13" s="74" t="s">
        <v>554</v>
      </c>
    </row>
    <row r="14" spans="1:17" s="70" customFormat="1" ht="13" x14ac:dyDescent="0.3">
      <c r="A14" s="75" t="s">
        <v>555</v>
      </c>
      <c r="B14" s="310"/>
      <c r="C14" s="304"/>
      <c r="D14" s="305"/>
      <c r="E14" s="305"/>
      <c r="F14" s="305"/>
      <c r="G14" s="305"/>
      <c r="H14" s="305"/>
      <c r="I14" s="305"/>
      <c r="J14" s="305"/>
      <c r="K14" s="305"/>
      <c r="L14" s="305"/>
      <c r="M14" s="305"/>
      <c r="N14" s="306"/>
      <c r="O14" s="306">
        <f>SUM(B14:N14)</f>
        <v>0</v>
      </c>
    </row>
    <row r="15" spans="1:17" s="70" customFormat="1" ht="13" x14ac:dyDescent="0.3">
      <c r="A15" s="77"/>
      <c r="B15" s="311"/>
      <c r="C15" s="78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6"/>
      <c r="O15" s="76">
        <f>SUM(C15:N15)</f>
        <v>0</v>
      </c>
    </row>
    <row r="16" spans="1:17" s="70" customFormat="1" ht="13" x14ac:dyDescent="0.3">
      <c r="A16" s="77"/>
      <c r="B16" s="311"/>
      <c r="C16" s="80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2"/>
      <c r="O16" s="76">
        <f>SUM(C16:N16)</f>
        <v>0</v>
      </c>
    </row>
    <row r="17" spans="1:15" s="70" customFormat="1" ht="13" x14ac:dyDescent="0.3">
      <c r="A17" s="307" t="e">
        <f>CONCATENATE("Ending Balance ", A12, " ", B12)</f>
        <v>#N/A</v>
      </c>
      <c r="B17" s="312"/>
      <c r="C17" s="83">
        <f>SUM(C14:C16)</f>
        <v>0</v>
      </c>
      <c r="D17" s="83">
        <f t="shared" ref="D17:N17" si="1">SUM(D14:D16)</f>
        <v>0</v>
      </c>
      <c r="E17" s="83">
        <f t="shared" si="1"/>
        <v>0</v>
      </c>
      <c r="F17" s="83">
        <f t="shared" si="1"/>
        <v>0</v>
      </c>
      <c r="G17" s="83">
        <f t="shared" si="1"/>
        <v>0</v>
      </c>
      <c r="H17" s="83">
        <f t="shared" si="1"/>
        <v>0</v>
      </c>
      <c r="I17" s="83">
        <f t="shared" si="1"/>
        <v>0</v>
      </c>
      <c r="J17" s="83">
        <f t="shared" si="1"/>
        <v>0</v>
      </c>
      <c r="K17" s="83">
        <f t="shared" si="1"/>
        <v>0</v>
      </c>
      <c r="L17" s="83">
        <f t="shared" si="1"/>
        <v>0</v>
      </c>
      <c r="M17" s="83">
        <f t="shared" si="1"/>
        <v>0</v>
      </c>
      <c r="N17" s="83">
        <f t="shared" si="1"/>
        <v>0</v>
      </c>
      <c r="O17" s="84">
        <f>SUM(O14:O16)</f>
        <v>0</v>
      </c>
    </row>
    <row r="18" spans="1:15" s="70" customFormat="1" ht="13" x14ac:dyDescent="0.3">
      <c r="B18" s="313"/>
    </row>
    <row r="19" spans="1:15" s="70" customFormat="1" ht="13" x14ac:dyDescent="0.3">
      <c r="A19" s="85" t="s">
        <v>557</v>
      </c>
      <c r="B19" s="309" t="e">
        <f>IFERROR(IF(A19="","",VLOOKUP(A19,'Mapped COA'!A:G,2,0)),IF(A19="","",VLOOKUP(A19,COA!A:G,2,0)))</f>
        <v>#N/A</v>
      </c>
      <c r="C19" s="85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</row>
    <row r="20" spans="1:15" s="70" customFormat="1" ht="13.5" customHeight="1" x14ac:dyDescent="0.3">
      <c r="A20" s="71" t="s">
        <v>540</v>
      </c>
      <c r="B20" s="333" t="s">
        <v>541</v>
      </c>
      <c r="C20" s="72" t="s">
        <v>542</v>
      </c>
      <c r="D20" s="73" t="s">
        <v>543</v>
      </c>
      <c r="E20" s="73" t="s">
        <v>544</v>
      </c>
      <c r="F20" s="73" t="s">
        <v>545</v>
      </c>
      <c r="G20" s="73" t="s">
        <v>546</v>
      </c>
      <c r="H20" s="73" t="s">
        <v>547</v>
      </c>
      <c r="I20" s="73" t="s">
        <v>548</v>
      </c>
      <c r="J20" s="73" t="s">
        <v>549</v>
      </c>
      <c r="K20" s="73" t="s">
        <v>550</v>
      </c>
      <c r="L20" s="73" t="s">
        <v>551</v>
      </c>
      <c r="M20" s="73" t="s">
        <v>552</v>
      </c>
      <c r="N20" s="74" t="s">
        <v>553</v>
      </c>
      <c r="O20" s="74" t="s">
        <v>554</v>
      </c>
    </row>
    <row r="21" spans="1:15" s="70" customFormat="1" ht="13" x14ac:dyDescent="0.3">
      <c r="A21" s="75" t="s">
        <v>555</v>
      </c>
      <c r="B21" s="310"/>
      <c r="C21" s="304"/>
      <c r="D21" s="305"/>
      <c r="E21" s="305"/>
      <c r="F21" s="305"/>
      <c r="G21" s="305"/>
      <c r="H21" s="305"/>
      <c r="I21" s="305"/>
      <c r="J21" s="305"/>
      <c r="K21" s="305"/>
      <c r="L21" s="305"/>
      <c r="M21" s="305"/>
      <c r="N21" s="306"/>
      <c r="O21" s="306">
        <f>SUM(B21:N21)</f>
        <v>0</v>
      </c>
    </row>
    <row r="22" spans="1:15" s="70" customFormat="1" ht="13" x14ac:dyDescent="0.3">
      <c r="A22" s="77"/>
      <c r="B22" s="311"/>
      <c r="C22" s="78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6"/>
      <c r="O22" s="76">
        <f>SUM(C22:N22)</f>
        <v>0</v>
      </c>
    </row>
    <row r="23" spans="1:15" s="70" customFormat="1" ht="13" x14ac:dyDescent="0.3">
      <c r="A23" s="77"/>
      <c r="B23" s="311"/>
      <c r="C23" s="80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2"/>
      <c r="O23" s="76">
        <f>SUM(C23:N23)</f>
        <v>0</v>
      </c>
    </row>
    <row r="24" spans="1:15" s="70" customFormat="1" ht="13" x14ac:dyDescent="0.3">
      <c r="A24" s="307" t="e">
        <f>CONCATENATE("Ending Balance ", A19, " ", B19)</f>
        <v>#N/A</v>
      </c>
      <c r="B24" s="312"/>
      <c r="C24" s="83">
        <f>SUM(C21:C23)</f>
        <v>0</v>
      </c>
      <c r="D24" s="83">
        <f t="shared" ref="D24:N24" si="2">SUM(D21:D23)</f>
        <v>0</v>
      </c>
      <c r="E24" s="83">
        <f t="shared" si="2"/>
        <v>0</v>
      </c>
      <c r="F24" s="83">
        <f t="shared" si="2"/>
        <v>0</v>
      </c>
      <c r="G24" s="83">
        <f t="shared" si="2"/>
        <v>0</v>
      </c>
      <c r="H24" s="83">
        <f t="shared" si="2"/>
        <v>0</v>
      </c>
      <c r="I24" s="83">
        <f t="shared" si="2"/>
        <v>0</v>
      </c>
      <c r="J24" s="83">
        <f t="shared" si="2"/>
        <v>0</v>
      </c>
      <c r="K24" s="83">
        <f t="shared" si="2"/>
        <v>0</v>
      </c>
      <c r="L24" s="83">
        <f t="shared" si="2"/>
        <v>0</v>
      </c>
      <c r="M24" s="83">
        <f t="shared" si="2"/>
        <v>0</v>
      </c>
      <c r="N24" s="83">
        <f t="shared" si="2"/>
        <v>0</v>
      </c>
      <c r="O24" s="84">
        <f>SUM(O21:O23)</f>
        <v>0</v>
      </c>
    </row>
    <row r="25" spans="1:15" s="70" customFormat="1" ht="13" x14ac:dyDescent="0.3">
      <c r="B25" s="313"/>
    </row>
    <row r="26" spans="1:15" s="70" customFormat="1" ht="13" x14ac:dyDescent="0.3">
      <c r="A26" s="85" t="s">
        <v>558</v>
      </c>
      <c r="B26" s="309" t="e">
        <f>IFERROR(IF(A26="","",VLOOKUP(A26,'Mapped COA'!A:G,2,0)),IF(A26="","",VLOOKUP(A26,COA!A:G,2,0)))</f>
        <v>#N/A</v>
      </c>
      <c r="C26" s="85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</row>
    <row r="27" spans="1:15" s="70" customFormat="1" ht="13.5" customHeight="1" x14ac:dyDescent="0.3">
      <c r="A27" s="71" t="s">
        <v>540</v>
      </c>
      <c r="B27" s="333" t="s">
        <v>541</v>
      </c>
      <c r="C27" s="72" t="s">
        <v>542</v>
      </c>
      <c r="D27" s="73" t="s">
        <v>543</v>
      </c>
      <c r="E27" s="73" t="s">
        <v>544</v>
      </c>
      <c r="F27" s="73" t="s">
        <v>545</v>
      </c>
      <c r="G27" s="73" t="s">
        <v>546</v>
      </c>
      <c r="H27" s="73" t="s">
        <v>547</v>
      </c>
      <c r="I27" s="73" t="s">
        <v>548</v>
      </c>
      <c r="J27" s="73" t="s">
        <v>549</v>
      </c>
      <c r="K27" s="73" t="s">
        <v>550</v>
      </c>
      <c r="L27" s="73" t="s">
        <v>551</v>
      </c>
      <c r="M27" s="73" t="s">
        <v>552</v>
      </c>
      <c r="N27" s="74" t="s">
        <v>553</v>
      </c>
      <c r="O27" s="74" t="s">
        <v>554</v>
      </c>
    </row>
    <row r="28" spans="1:15" s="70" customFormat="1" ht="13" x14ac:dyDescent="0.3">
      <c r="A28" s="75" t="s">
        <v>555</v>
      </c>
      <c r="B28" s="310"/>
      <c r="C28" s="304"/>
      <c r="D28" s="305"/>
      <c r="E28" s="305"/>
      <c r="F28" s="305"/>
      <c r="G28" s="305"/>
      <c r="H28" s="305"/>
      <c r="I28" s="305"/>
      <c r="J28" s="305"/>
      <c r="K28" s="305"/>
      <c r="L28" s="305"/>
      <c r="M28" s="305"/>
      <c r="N28" s="306"/>
      <c r="O28" s="306">
        <f>SUM(B28:N28)</f>
        <v>0</v>
      </c>
    </row>
    <row r="29" spans="1:15" s="70" customFormat="1" ht="13" x14ac:dyDescent="0.3">
      <c r="A29" s="77"/>
      <c r="B29" s="311"/>
      <c r="C29" s="78"/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6"/>
      <c r="O29" s="76">
        <f>SUM(C29:N29)</f>
        <v>0</v>
      </c>
    </row>
    <row r="30" spans="1:15" s="70" customFormat="1" ht="13" x14ac:dyDescent="0.3">
      <c r="A30" s="77"/>
      <c r="B30" s="311"/>
      <c r="C30" s="80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2"/>
      <c r="O30" s="76">
        <f>SUM(C30:N30)</f>
        <v>0</v>
      </c>
    </row>
    <row r="31" spans="1:15" s="70" customFormat="1" ht="13" x14ac:dyDescent="0.3">
      <c r="A31" s="307" t="e">
        <f>CONCATENATE("Ending Balance ", A26, " ", B26)</f>
        <v>#N/A</v>
      </c>
      <c r="B31" s="312"/>
      <c r="C31" s="83">
        <f>SUM(C28:C30)</f>
        <v>0</v>
      </c>
      <c r="D31" s="83">
        <f t="shared" ref="D31:N31" si="3">SUM(D28:D30)</f>
        <v>0</v>
      </c>
      <c r="E31" s="83">
        <f t="shared" si="3"/>
        <v>0</v>
      </c>
      <c r="F31" s="83">
        <f t="shared" si="3"/>
        <v>0</v>
      </c>
      <c r="G31" s="83">
        <f t="shared" si="3"/>
        <v>0</v>
      </c>
      <c r="H31" s="83">
        <f t="shared" si="3"/>
        <v>0</v>
      </c>
      <c r="I31" s="83">
        <f t="shared" si="3"/>
        <v>0</v>
      </c>
      <c r="J31" s="83">
        <f t="shared" si="3"/>
        <v>0</v>
      </c>
      <c r="K31" s="83">
        <f t="shared" si="3"/>
        <v>0</v>
      </c>
      <c r="L31" s="83">
        <f t="shared" si="3"/>
        <v>0</v>
      </c>
      <c r="M31" s="83">
        <f t="shared" si="3"/>
        <v>0</v>
      </c>
      <c r="N31" s="83">
        <f t="shared" si="3"/>
        <v>0</v>
      </c>
      <c r="O31" s="84">
        <f>SUM(O28:O30)</f>
        <v>0</v>
      </c>
    </row>
    <row r="32" spans="1:15" s="70" customFormat="1" ht="13" x14ac:dyDescent="0.3">
      <c r="B32" s="313"/>
    </row>
    <row r="33" spans="1:15" s="70" customFormat="1" ht="13" x14ac:dyDescent="0.3">
      <c r="A33" s="85" t="s">
        <v>559</v>
      </c>
      <c r="B33" s="309" t="e">
        <f>IFERROR(IF(A33="","",VLOOKUP(A33,'Mapped COA'!A:G,2,0)),IF(A33="","",VLOOKUP(A33,COA!A:G,2,0)))</f>
        <v>#N/A</v>
      </c>
      <c r="C33" s="85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</row>
    <row r="34" spans="1:15" s="70" customFormat="1" ht="13.5" customHeight="1" x14ac:dyDescent="0.3">
      <c r="A34" s="71" t="s">
        <v>540</v>
      </c>
      <c r="B34" s="333" t="s">
        <v>541</v>
      </c>
      <c r="C34" s="72" t="s">
        <v>542</v>
      </c>
      <c r="D34" s="73" t="s">
        <v>543</v>
      </c>
      <c r="E34" s="73" t="s">
        <v>544</v>
      </c>
      <c r="F34" s="73" t="s">
        <v>545</v>
      </c>
      <c r="G34" s="73" t="s">
        <v>546</v>
      </c>
      <c r="H34" s="73" t="s">
        <v>547</v>
      </c>
      <c r="I34" s="73" t="s">
        <v>548</v>
      </c>
      <c r="J34" s="73" t="s">
        <v>549</v>
      </c>
      <c r="K34" s="73" t="s">
        <v>550</v>
      </c>
      <c r="L34" s="73" t="s">
        <v>551</v>
      </c>
      <c r="M34" s="73" t="s">
        <v>552</v>
      </c>
      <c r="N34" s="74" t="s">
        <v>553</v>
      </c>
      <c r="O34" s="74" t="s">
        <v>554</v>
      </c>
    </row>
    <row r="35" spans="1:15" s="70" customFormat="1" ht="13" x14ac:dyDescent="0.3">
      <c r="A35" s="75" t="s">
        <v>555</v>
      </c>
      <c r="B35" s="310"/>
      <c r="C35" s="304"/>
      <c r="D35" s="305"/>
      <c r="E35" s="305"/>
      <c r="F35" s="305"/>
      <c r="G35" s="305"/>
      <c r="H35" s="305"/>
      <c r="I35" s="305"/>
      <c r="J35" s="305"/>
      <c r="K35" s="305"/>
      <c r="L35" s="305"/>
      <c r="M35" s="305"/>
      <c r="N35" s="306"/>
      <c r="O35" s="306">
        <f>SUM(B35:N35)</f>
        <v>0</v>
      </c>
    </row>
    <row r="36" spans="1:15" s="70" customFormat="1" ht="13" x14ac:dyDescent="0.3">
      <c r="A36" s="77"/>
      <c r="B36" s="311"/>
      <c r="C36" s="78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6"/>
      <c r="O36" s="76">
        <f>SUM(C36:N36)</f>
        <v>0</v>
      </c>
    </row>
    <row r="37" spans="1:15" s="70" customFormat="1" ht="13" x14ac:dyDescent="0.3">
      <c r="A37" s="77"/>
      <c r="B37" s="311"/>
      <c r="C37" s="80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2"/>
      <c r="O37" s="76">
        <f>SUM(C37:N37)</f>
        <v>0</v>
      </c>
    </row>
    <row r="38" spans="1:15" s="70" customFormat="1" ht="13" x14ac:dyDescent="0.3">
      <c r="A38" s="307" t="e">
        <f>CONCATENATE("Ending Balance ", A33, " ", B33)</f>
        <v>#N/A</v>
      </c>
      <c r="B38" s="312"/>
      <c r="C38" s="83">
        <f>SUM(C35:C37)</f>
        <v>0</v>
      </c>
      <c r="D38" s="83">
        <f t="shared" ref="D38:N38" si="4">SUM(D35:D37)</f>
        <v>0</v>
      </c>
      <c r="E38" s="83">
        <f t="shared" si="4"/>
        <v>0</v>
      </c>
      <c r="F38" s="83">
        <f t="shared" si="4"/>
        <v>0</v>
      </c>
      <c r="G38" s="83">
        <f t="shared" si="4"/>
        <v>0</v>
      </c>
      <c r="H38" s="83">
        <f t="shared" si="4"/>
        <v>0</v>
      </c>
      <c r="I38" s="83">
        <f t="shared" si="4"/>
        <v>0</v>
      </c>
      <c r="J38" s="83">
        <f t="shared" si="4"/>
        <v>0</v>
      </c>
      <c r="K38" s="83">
        <f t="shared" si="4"/>
        <v>0</v>
      </c>
      <c r="L38" s="83">
        <f t="shared" si="4"/>
        <v>0</v>
      </c>
      <c r="M38" s="83">
        <f t="shared" si="4"/>
        <v>0</v>
      </c>
      <c r="N38" s="83">
        <f t="shared" si="4"/>
        <v>0</v>
      </c>
      <c r="O38" s="84">
        <f>SUM(O35:O37)</f>
        <v>0</v>
      </c>
    </row>
    <row r="39" spans="1:15" s="70" customFormat="1" ht="13" x14ac:dyDescent="0.3">
      <c r="B39" s="313"/>
    </row>
    <row r="40" spans="1:15" s="70" customFormat="1" ht="13" x14ac:dyDescent="0.3">
      <c r="A40" s="85" t="s">
        <v>560</v>
      </c>
      <c r="B40" s="309" t="e">
        <f>IFERROR(IF(A40="","",VLOOKUP(A40,'Mapped COA'!A:G,2,0)),IF(A40="","",VLOOKUP(A40,COA!A:G,2,0)))</f>
        <v>#N/A</v>
      </c>
      <c r="C40" s="85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</row>
    <row r="41" spans="1:15" s="70" customFormat="1" ht="13.5" customHeight="1" x14ac:dyDescent="0.3">
      <c r="A41" s="71" t="s">
        <v>540</v>
      </c>
      <c r="B41" s="333" t="s">
        <v>541</v>
      </c>
      <c r="C41" s="72" t="s">
        <v>542</v>
      </c>
      <c r="D41" s="73" t="s">
        <v>543</v>
      </c>
      <c r="E41" s="73" t="s">
        <v>544</v>
      </c>
      <c r="F41" s="73" t="s">
        <v>545</v>
      </c>
      <c r="G41" s="73" t="s">
        <v>546</v>
      </c>
      <c r="H41" s="73" t="s">
        <v>547</v>
      </c>
      <c r="I41" s="73" t="s">
        <v>548</v>
      </c>
      <c r="J41" s="73" t="s">
        <v>549</v>
      </c>
      <c r="K41" s="73" t="s">
        <v>550</v>
      </c>
      <c r="L41" s="73" t="s">
        <v>551</v>
      </c>
      <c r="M41" s="73" t="s">
        <v>552</v>
      </c>
      <c r="N41" s="74" t="s">
        <v>553</v>
      </c>
      <c r="O41" s="74" t="s">
        <v>554</v>
      </c>
    </row>
    <row r="42" spans="1:15" s="70" customFormat="1" ht="13" x14ac:dyDescent="0.3">
      <c r="A42" s="75" t="s">
        <v>555</v>
      </c>
      <c r="B42" s="310"/>
      <c r="C42" s="304"/>
      <c r="D42" s="305"/>
      <c r="E42" s="305"/>
      <c r="F42" s="305"/>
      <c r="G42" s="305"/>
      <c r="H42" s="305"/>
      <c r="I42" s="305"/>
      <c r="J42" s="305"/>
      <c r="K42" s="305"/>
      <c r="L42" s="305"/>
      <c r="M42" s="305"/>
      <c r="N42" s="306"/>
      <c r="O42" s="306">
        <f>SUM(B42:N42)</f>
        <v>0</v>
      </c>
    </row>
    <row r="43" spans="1:15" s="70" customFormat="1" ht="13" x14ac:dyDescent="0.3">
      <c r="A43" s="77"/>
      <c r="B43" s="311"/>
      <c r="C43" s="78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6"/>
      <c r="O43" s="76">
        <f>SUM(C43:N43)</f>
        <v>0</v>
      </c>
    </row>
    <row r="44" spans="1:15" s="70" customFormat="1" ht="13" x14ac:dyDescent="0.3">
      <c r="A44" s="77"/>
      <c r="B44" s="311"/>
      <c r="C44" s="80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2"/>
      <c r="O44" s="76">
        <f>SUM(C44:N44)</f>
        <v>0</v>
      </c>
    </row>
    <row r="45" spans="1:15" s="70" customFormat="1" ht="13" x14ac:dyDescent="0.3">
      <c r="A45" s="307" t="e">
        <f>CONCATENATE("Ending Balance ", A40, " ", B40)</f>
        <v>#N/A</v>
      </c>
      <c r="B45" s="312"/>
      <c r="C45" s="83">
        <f>SUM(C42:C44)</f>
        <v>0</v>
      </c>
      <c r="D45" s="83">
        <f t="shared" ref="D45:N45" si="5">SUM(D42:D44)</f>
        <v>0</v>
      </c>
      <c r="E45" s="83">
        <f t="shared" si="5"/>
        <v>0</v>
      </c>
      <c r="F45" s="83">
        <f t="shared" si="5"/>
        <v>0</v>
      </c>
      <c r="G45" s="83">
        <f t="shared" si="5"/>
        <v>0</v>
      </c>
      <c r="H45" s="83">
        <f t="shared" si="5"/>
        <v>0</v>
      </c>
      <c r="I45" s="83">
        <f t="shared" si="5"/>
        <v>0</v>
      </c>
      <c r="J45" s="83">
        <f t="shared" si="5"/>
        <v>0</v>
      </c>
      <c r="K45" s="83">
        <f t="shared" si="5"/>
        <v>0</v>
      </c>
      <c r="L45" s="83">
        <f t="shared" si="5"/>
        <v>0</v>
      </c>
      <c r="M45" s="83">
        <f t="shared" si="5"/>
        <v>0</v>
      </c>
      <c r="N45" s="83">
        <f t="shared" si="5"/>
        <v>0</v>
      </c>
      <c r="O45" s="84">
        <f>SUM(O42:O44)</f>
        <v>0</v>
      </c>
    </row>
    <row r="46" spans="1:15" s="70" customFormat="1" ht="13" x14ac:dyDescent="0.3">
      <c r="B46" s="313"/>
    </row>
    <row r="47" spans="1:15" s="70" customFormat="1" ht="13" x14ac:dyDescent="0.3">
      <c r="A47" s="85" t="s">
        <v>561</v>
      </c>
      <c r="B47" s="309" t="e">
        <f>IFERROR(IF(A47="","",VLOOKUP(A47,'Mapped COA'!A:G,2,0)),IF(A47="","",VLOOKUP(A47,COA!A:G,2,0)))</f>
        <v>#N/A</v>
      </c>
      <c r="C47" s="85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</row>
    <row r="48" spans="1:15" s="70" customFormat="1" ht="13.5" customHeight="1" x14ac:dyDescent="0.3">
      <c r="A48" s="71" t="s">
        <v>540</v>
      </c>
      <c r="B48" s="333" t="s">
        <v>541</v>
      </c>
      <c r="C48" s="72" t="s">
        <v>542</v>
      </c>
      <c r="D48" s="73" t="s">
        <v>543</v>
      </c>
      <c r="E48" s="73" t="s">
        <v>544</v>
      </c>
      <c r="F48" s="73" t="s">
        <v>545</v>
      </c>
      <c r="G48" s="73" t="s">
        <v>546</v>
      </c>
      <c r="H48" s="73" t="s">
        <v>547</v>
      </c>
      <c r="I48" s="73" t="s">
        <v>548</v>
      </c>
      <c r="J48" s="73" t="s">
        <v>549</v>
      </c>
      <c r="K48" s="73" t="s">
        <v>550</v>
      </c>
      <c r="L48" s="73" t="s">
        <v>551</v>
      </c>
      <c r="M48" s="73" t="s">
        <v>552</v>
      </c>
      <c r="N48" s="74" t="s">
        <v>553</v>
      </c>
      <c r="O48" s="74" t="s">
        <v>554</v>
      </c>
    </row>
    <row r="49" spans="1:15" s="70" customFormat="1" ht="13" x14ac:dyDescent="0.3">
      <c r="A49" s="75" t="s">
        <v>555</v>
      </c>
      <c r="B49" s="310"/>
      <c r="C49" s="304"/>
      <c r="D49" s="305"/>
      <c r="E49" s="305"/>
      <c r="F49" s="305"/>
      <c r="G49" s="305"/>
      <c r="H49" s="305"/>
      <c r="I49" s="305"/>
      <c r="J49" s="305"/>
      <c r="K49" s="305"/>
      <c r="L49" s="305"/>
      <c r="M49" s="305"/>
      <c r="N49" s="306"/>
      <c r="O49" s="306">
        <f>SUM(B49:N49)</f>
        <v>0</v>
      </c>
    </row>
    <row r="50" spans="1:15" s="70" customFormat="1" ht="13" x14ac:dyDescent="0.3">
      <c r="A50" s="77"/>
      <c r="B50" s="311"/>
      <c r="C50" s="78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6"/>
      <c r="O50" s="76">
        <f>SUM(C50:N50)</f>
        <v>0</v>
      </c>
    </row>
    <row r="51" spans="1:15" s="70" customFormat="1" ht="13" x14ac:dyDescent="0.3">
      <c r="A51" s="77"/>
      <c r="B51" s="311"/>
      <c r="C51" s="80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2"/>
      <c r="O51" s="76">
        <f>SUM(C51:N51)</f>
        <v>0</v>
      </c>
    </row>
    <row r="52" spans="1:15" s="70" customFormat="1" ht="13" x14ac:dyDescent="0.3">
      <c r="A52" s="307" t="e">
        <f>CONCATENATE("Ending Balance ", A47, " ", B47)</f>
        <v>#N/A</v>
      </c>
      <c r="B52" s="312"/>
      <c r="C52" s="83">
        <f>SUM(C49:C51)</f>
        <v>0</v>
      </c>
      <c r="D52" s="83">
        <f t="shared" ref="D52:N52" si="6">SUM(D49:D51)</f>
        <v>0</v>
      </c>
      <c r="E52" s="83">
        <f t="shared" si="6"/>
        <v>0</v>
      </c>
      <c r="F52" s="83">
        <f t="shared" si="6"/>
        <v>0</v>
      </c>
      <c r="G52" s="83">
        <f t="shared" si="6"/>
        <v>0</v>
      </c>
      <c r="H52" s="83">
        <f t="shared" si="6"/>
        <v>0</v>
      </c>
      <c r="I52" s="83">
        <f t="shared" si="6"/>
        <v>0</v>
      </c>
      <c r="J52" s="83">
        <f t="shared" si="6"/>
        <v>0</v>
      </c>
      <c r="K52" s="83">
        <f t="shared" si="6"/>
        <v>0</v>
      </c>
      <c r="L52" s="83">
        <f t="shared" si="6"/>
        <v>0</v>
      </c>
      <c r="M52" s="83">
        <f t="shared" si="6"/>
        <v>0</v>
      </c>
      <c r="N52" s="83">
        <f t="shared" si="6"/>
        <v>0</v>
      </c>
      <c r="O52" s="84">
        <f>SUM(O49:O51)</f>
        <v>0</v>
      </c>
    </row>
    <row r="53" spans="1:15" s="70" customFormat="1" ht="13" x14ac:dyDescent="0.3">
      <c r="B53" s="313"/>
    </row>
    <row r="54" spans="1:15" s="70" customFormat="1" ht="13" x14ac:dyDescent="0.3">
      <c r="A54" s="85" t="s">
        <v>562</v>
      </c>
      <c r="B54" s="309" t="e">
        <f>IFERROR(IF(A54="","",VLOOKUP(A54,'Mapped COA'!A:G,2,0)),IF(A54="","",VLOOKUP(A54,COA!A:G,2,0)))</f>
        <v>#N/A</v>
      </c>
      <c r="C54" s="85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</row>
    <row r="55" spans="1:15" s="70" customFormat="1" ht="13.5" customHeight="1" x14ac:dyDescent="0.3">
      <c r="A55" s="71" t="s">
        <v>540</v>
      </c>
      <c r="B55" s="333" t="s">
        <v>541</v>
      </c>
      <c r="C55" s="72" t="s">
        <v>542</v>
      </c>
      <c r="D55" s="73" t="s">
        <v>543</v>
      </c>
      <c r="E55" s="73" t="s">
        <v>544</v>
      </c>
      <c r="F55" s="73" t="s">
        <v>545</v>
      </c>
      <c r="G55" s="73" t="s">
        <v>546</v>
      </c>
      <c r="H55" s="73" t="s">
        <v>547</v>
      </c>
      <c r="I55" s="73" t="s">
        <v>548</v>
      </c>
      <c r="J55" s="73" t="s">
        <v>549</v>
      </c>
      <c r="K55" s="73" t="s">
        <v>550</v>
      </c>
      <c r="L55" s="73" t="s">
        <v>551</v>
      </c>
      <c r="M55" s="73" t="s">
        <v>552</v>
      </c>
      <c r="N55" s="74" t="s">
        <v>553</v>
      </c>
      <c r="O55" s="74" t="s">
        <v>554</v>
      </c>
    </row>
    <row r="56" spans="1:15" s="70" customFormat="1" ht="13" x14ac:dyDescent="0.3">
      <c r="A56" s="75" t="s">
        <v>555</v>
      </c>
      <c r="B56" s="310"/>
      <c r="C56" s="304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6"/>
      <c r="O56" s="306">
        <f>SUM(B56:N56)</f>
        <v>0</v>
      </c>
    </row>
    <row r="57" spans="1:15" s="70" customFormat="1" ht="13" x14ac:dyDescent="0.3">
      <c r="A57" s="77"/>
      <c r="B57" s="311"/>
      <c r="C57" s="78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6"/>
      <c r="O57" s="76">
        <f>SUM(C57:N57)</f>
        <v>0</v>
      </c>
    </row>
    <row r="58" spans="1:15" s="70" customFormat="1" ht="13" x14ac:dyDescent="0.3">
      <c r="A58" s="77"/>
      <c r="B58" s="311"/>
      <c r="C58" s="80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2"/>
      <c r="O58" s="76">
        <f>SUM(C58:N58)</f>
        <v>0</v>
      </c>
    </row>
    <row r="59" spans="1:15" s="70" customFormat="1" ht="13" x14ac:dyDescent="0.3">
      <c r="A59" s="307" t="e">
        <f>CONCATENATE("Ending Balance ", A54, " ", B54)</f>
        <v>#N/A</v>
      </c>
      <c r="B59" s="312"/>
      <c r="C59" s="83">
        <f>SUM(C56:C58)</f>
        <v>0</v>
      </c>
      <c r="D59" s="83">
        <f t="shared" ref="D59:N59" si="7">SUM(D56:D58)</f>
        <v>0</v>
      </c>
      <c r="E59" s="83">
        <f t="shared" si="7"/>
        <v>0</v>
      </c>
      <c r="F59" s="83">
        <f t="shared" si="7"/>
        <v>0</v>
      </c>
      <c r="G59" s="83">
        <f t="shared" si="7"/>
        <v>0</v>
      </c>
      <c r="H59" s="83">
        <f t="shared" si="7"/>
        <v>0</v>
      </c>
      <c r="I59" s="83">
        <f t="shared" si="7"/>
        <v>0</v>
      </c>
      <c r="J59" s="83">
        <f t="shared" si="7"/>
        <v>0</v>
      </c>
      <c r="K59" s="83">
        <f t="shared" si="7"/>
        <v>0</v>
      </c>
      <c r="L59" s="83">
        <f t="shared" si="7"/>
        <v>0</v>
      </c>
      <c r="M59" s="83">
        <f t="shared" si="7"/>
        <v>0</v>
      </c>
      <c r="N59" s="83">
        <f t="shared" si="7"/>
        <v>0</v>
      </c>
      <c r="O59" s="84">
        <f>SUM(O56:O58)</f>
        <v>0</v>
      </c>
    </row>
    <row r="60" spans="1:15" s="70" customFormat="1" ht="13" x14ac:dyDescent="0.3">
      <c r="B60" s="313"/>
    </row>
    <row r="61" spans="1:15" s="70" customFormat="1" ht="13" x14ac:dyDescent="0.3">
      <c r="A61" s="85" t="s">
        <v>563</v>
      </c>
      <c r="B61" s="309" t="e">
        <f>IFERROR(IF(A61="","",VLOOKUP(A61,'Mapped COA'!A:G,2,0)),IF(A61="","",VLOOKUP(A61,COA!A:G,2,0)))</f>
        <v>#N/A</v>
      </c>
      <c r="C61" s="85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86"/>
    </row>
    <row r="62" spans="1:15" s="70" customFormat="1" ht="13.5" customHeight="1" x14ac:dyDescent="0.3">
      <c r="A62" s="71" t="s">
        <v>540</v>
      </c>
      <c r="B62" s="333" t="s">
        <v>541</v>
      </c>
      <c r="C62" s="72" t="s">
        <v>542</v>
      </c>
      <c r="D62" s="73" t="s">
        <v>543</v>
      </c>
      <c r="E62" s="73" t="s">
        <v>544</v>
      </c>
      <c r="F62" s="73" t="s">
        <v>545</v>
      </c>
      <c r="G62" s="73" t="s">
        <v>546</v>
      </c>
      <c r="H62" s="73" t="s">
        <v>547</v>
      </c>
      <c r="I62" s="73" t="s">
        <v>548</v>
      </c>
      <c r="J62" s="73" t="s">
        <v>549</v>
      </c>
      <c r="K62" s="73" t="s">
        <v>550</v>
      </c>
      <c r="L62" s="73" t="s">
        <v>551</v>
      </c>
      <c r="M62" s="73" t="s">
        <v>552</v>
      </c>
      <c r="N62" s="74" t="s">
        <v>553</v>
      </c>
      <c r="O62" s="74" t="s">
        <v>554</v>
      </c>
    </row>
    <row r="63" spans="1:15" s="70" customFormat="1" ht="13" x14ac:dyDescent="0.3">
      <c r="A63" s="75" t="s">
        <v>555</v>
      </c>
      <c r="B63" s="310"/>
      <c r="C63" s="304"/>
      <c r="D63" s="305"/>
      <c r="E63" s="305"/>
      <c r="F63" s="305"/>
      <c r="G63" s="305"/>
      <c r="H63" s="305"/>
      <c r="I63" s="305"/>
      <c r="J63" s="305"/>
      <c r="K63" s="305"/>
      <c r="L63" s="305"/>
      <c r="M63" s="305"/>
      <c r="N63" s="306"/>
      <c r="O63" s="306">
        <f>SUM(B63:N63)</f>
        <v>0</v>
      </c>
    </row>
    <row r="64" spans="1:15" s="70" customFormat="1" ht="13" x14ac:dyDescent="0.3">
      <c r="A64" s="77"/>
      <c r="B64" s="311"/>
      <c r="C64" s="78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6"/>
      <c r="O64" s="76">
        <f>SUM(C64:N64)</f>
        <v>0</v>
      </c>
    </row>
    <row r="65" spans="1:15" s="70" customFormat="1" ht="13" x14ac:dyDescent="0.3">
      <c r="A65" s="77"/>
      <c r="B65" s="311"/>
      <c r="C65" s="80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2"/>
      <c r="O65" s="76">
        <f>SUM(C65:N65)</f>
        <v>0</v>
      </c>
    </row>
    <row r="66" spans="1:15" s="70" customFormat="1" ht="13" x14ac:dyDescent="0.3">
      <c r="A66" s="307" t="e">
        <f>CONCATENATE("Ending Balance ", A61, " ", B61)</f>
        <v>#N/A</v>
      </c>
      <c r="B66" s="312"/>
      <c r="C66" s="83">
        <f>SUM(C63:C65)</f>
        <v>0</v>
      </c>
      <c r="D66" s="83">
        <f t="shared" ref="D66:N66" si="8">SUM(D63:D65)</f>
        <v>0</v>
      </c>
      <c r="E66" s="83">
        <f t="shared" si="8"/>
        <v>0</v>
      </c>
      <c r="F66" s="83">
        <f t="shared" si="8"/>
        <v>0</v>
      </c>
      <c r="G66" s="83">
        <f t="shared" si="8"/>
        <v>0</v>
      </c>
      <c r="H66" s="83">
        <f t="shared" si="8"/>
        <v>0</v>
      </c>
      <c r="I66" s="83">
        <f t="shared" si="8"/>
        <v>0</v>
      </c>
      <c r="J66" s="83">
        <f t="shared" si="8"/>
        <v>0</v>
      </c>
      <c r="K66" s="83">
        <f t="shared" si="8"/>
        <v>0</v>
      </c>
      <c r="L66" s="83">
        <f t="shared" si="8"/>
        <v>0</v>
      </c>
      <c r="M66" s="83">
        <f t="shared" si="8"/>
        <v>0</v>
      </c>
      <c r="N66" s="83">
        <f t="shared" si="8"/>
        <v>0</v>
      </c>
      <c r="O66" s="84">
        <f>SUM(O63:O65)</f>
        <v>0</v>
      </c>
    </row>
    <row r="67" spans="1:15" s="70" customFormat="1" ht="13" x14ac:dyDescent="0.3">
      <c r="B67" s="313"/>
    </row>
    <row r="68" spans="1:15" s="70" customFormat="1" ht="13" x14ac:dyDescent="0.3">
      <c r="A68" s="85" t="s">
        <v>564</v>
      </c>
      <c r="B68" s="309" t="e">
        <f>IFERROR(IF(A68="","",VLOOKUP(A68,'Mapped COA'!A:G,2,0)),IF(A68="","",VLOOKUP(A68,COA!A:G,2,0)))</f>
        <v>#N/A</v>
      </c>
      <c r="C68" s="85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</row>
    <row r="69" spans="1:15" s="70" customFormat="1" ht="13.5" customHeight="1" x14ac:dyDescent="0.3">
      <c r="A69" s="71" t="s">
        <v>540</v>
      </c>
      <c r="B69" s="333" t="s">
        <v>541</v>
      </c>
      <c r="C69" s="72" t="s">
        <v>542</v>
      </c>
      <c r="D69" s="73" t="s">
        <v>543</v>
      </c>
      <c r="E69" s="73" t="s">
        <v>544</v>
      </c>
      <c r="F69" s="73" t="s">
        <v>545</v>
      </c>
      <c r="G69" s="73" t="s">
        <v>546</v>
      </c>
      <c r="H69" s="73" t="s">
        <v>547</v>
      </c>
      <c r="I69" s="73" t="s">
        <v>548</v>
      </c>
      <c r="J69" s="73" t="s">
        <v>549</v>
      </c>
      <c r="K69" s="73" t="s">
        <v>550</v>
      </c>
      <c r="L69" s="73" t="s">
        <v>551</v>
      </c>
      <c r="M69" s="73" t="s">
        <v>552</v>
      </c>
      <c r="N69" s="74" t="s">
        <v>553</v>
      </c>
      <c r="O69" s="74" t="s">
        <v>554</v>
      </c>
    </row>
    <row r="70" spans="1:15" s="70" customFormat="1" ht="13" x14ac:dyDescent="0.3">
      <c r="A70" s="75" t="s">
        <v>555</v>
      </c>
      <c r="B70" s="310"/>
      <c r="C70" s="304"/>
      <c r="D70" s="305"/>
      <c r="E70" s="305"/>
      <c r="F70" s="305"/>
      <c r="G70" s="305"/>
      <c r="H70" s="305"/>
      <c r="I70" s="305"/>
      <c r="J70" s="305"/>
      <c r="K70" s="305"/>
      <c r="L70" s="305"/>
      <c r="M70" s="305"/>
      <c r="N70" s="306"/>
      <c r="O70" s="306">
        <f>SUM(B70:N70)</f>
        <v>0</v>
      </c>
    </row>
    <row r="71" spans="1:15" s="70" customFormat="1" ht="13" x14ac:dyDescent="0.3">
      <c r="A71" s="77"/>
      <c r="B71" s="311"/>
      <c r="C71" s="78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6"/>
      <c r="O71" s="76">
        <f>SUM(C71:N71)</f>
        <v>0</v>
      </c>
    </row>
    <row r="72" spans="1:15" s="70" customFormat="1" ht="13" x14ac:dyDescent="0.3">
      <c r="A72" s="77"/>
      <c r="B72" s="311"/>
      <c r="C72" s="80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2"/>
      <c r="O72" s="76">
        <f>SUM(C72:N72)</f>
        <v>0</v>
      </c>
    </row>
    <row r="73" spans="1:15" s="70" customFormat="1" ht="13" x14ac:dyDescent="0.3">
      <c r="A73" s="307" t="e">
        <f>CONCATENATE("Ending Balance ", A68, " ", B68)</f>
        <v>#N/A</v>
      </c>
      <c r="B73" s="312"/>
      <c r="C73" s="83">
        <f>SUM(C70:C72)</f>
        <v>0</v>
      </c>
      <c r="D73" s="83">
        <f t="shared" ref="D73:N73" si="9">SUM(D70:D72)</f>
        <v>0</v>
      </c>
      <c r="E73" s="83">
        <f t="shared" si="9"/>
        <v>0</v>
      </c>
      <c r="F73" s="83">
        <f t="shared" si="9"/>
        <v>0</v>
      </c>
      <c r="G73" s="83">
        <f t="shared" si="9"/>
        <v>0</v>
      </c>
      <c r="H73" s="83">
        <f t="shared" si="9"/>
        <v>0</v>
      </c>
      <c r="I73" s="83">
        <f t="shared" si="9"/>
        <v>0</v>
      </c>
      <c r="J73" s="83">
        <f t="shared" si="9"/>
        <v>0</v>
      </c>
      <c r="K73" s="83">
        <f t="shared" si="9"/>
        <v>0</v>
      </c>
      <c r="L73" s="83">
        <f t="shared" si="9"/>
        <v>0</v>
      </c>
      <c r="M73" s="83">
        <f t="shared" si="9"/>
        <v>0</v>
      </c>
      <c r="N73" s="83">
        <f t="shared" si="9"/>
        <v>0</v>
      </c>
      <c r="O73" s="84">
        <f>SUM(O70:O72)</f>
        <v>0</v>
      </c>
    </row>
    <row r="74" spans="1:15" s="70" customFormat="1" ht="13" x14ac:dyDescent="0.3">
      <c r="B74" s="313"/>
    </row>
    <row r="75" spans="1:15" s="70" customFormat="1" ht="13" x14ac:dyDescent="0.3">
      <c r="A75" s="85" t="s">
        <v>565</v>
      </c>
      <c r="B75" s="309" t="e">
        <f>IFERROR(IF(A75="","",VLOOKUP(A75,'Mapped COA'!A:G,2,0)),IF(A75="","",VLOOKUP(A75,COA!A:G,2,0)))</f>
        <v>#N/A</v>
      </c>
      <c r="C75" s="85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</row>
    <row r="76" spans="1:15" s="70" customFormat="1" ht="13.5" customHeight="1" x14ac:dyDescent="0.3">
      <c r="A76" s="71" t="s">
        <v>540</v>
      </c>
      <c r="B76" s="333" t="s">
        <v>541</v>
      </c>
      <c r="C76" s="72" t="s">
        <v>542</v>
      </c>
      <c r="D76" s="73" t="s">
        <v>543</v>
      </c>
      <c r="E76" s="73" t="s">
        <v>544</v>
      </c>
      <c r="F76" s="73" t="s">
        <v>545</v>
      </c>
      <c r="G76" s="73" t="s">
        <v>546</v>
      </c>
      <c r="H76" s="73" t="s">
        <v>547</v>
      </c>
      <c r="I76" s="73" t="s">
        <v>548</v>
      </c>
      <c r="J76" s="73" t="s">
        <v>549</v>
      </c>
      <c r="K76" s="73" t="s">
        <v>550</v>
      </c>
      <c r="L76" s="73" t="s">
        <v>551</v>
      </c>
      <c r="M76" s="73" t="s">
        <v>552</v>
      </c>
      <c r="N76" s="74" t="s">
        <v>553</v>
      </c>
      <c r="O76" s="74" t="s">
        <v>554</v>
      </c>
    </row>
    <row r="77" spans="1:15" s="70" customFormat="1" ht="13" x14ac:dyDescent="0.3">
      <c r="A77" s="75" t="s">
        <v>555</v>
      </c>
      <c r="B77" s="310"/>
      <c r="C77" s="304"/>
      <c r="D77" s="305"/>
      <c r="E77" s="305"/>
      <c r="F77" s="305"/>
      <c r="G77" s="305"/>
      <c r="H77" s="305"/>
      <c r="I77" s="305"/>
      <c r="J77" s="305"/>
      <c r="K77" s="305"/>
      <c r="L77" s="305"/>
      <c r="M77" s="305"/>
      <c r="N77" s="306"/>
      <c r="O77" s="306">
        <f>SUM(B77:N77)</f>
        <v>0</v>
      </c>
    </row>
    <row r="78" spans="1:15" s="70" customFormat="1" ht="13" x14ac:dyDescent="0.3">
      <c r="A78" s="77"/>
      <c r="B78" s="311"/>
      <c r="C78" s="78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6"/>
      <c r="O78" s="76">
        <f>SUM(C78:N78)</f>
        <v>0</v>
      </c>
    </row>
    <row r="79" spans="1:15" s="70" customFormat="1" ht="13" x14ac:dyDescent="0.3">
      <c r="A79" s="77"/>
      <c r="B79" s="311"/>
      <c r="C79" s="80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2"/>
      <c r="O79" s="76">
        <f>SUM(C79:N79)</f>
        <v>0</v>
      </c>
    </row>
    <row r="80" spans="1:15" s="70" customFormat="1" ht="13" x14ac:dyDescent="0.3">
      <c r="A80" s="307" t="e">
        <f>CONCATENATE("Ending Balance ", A75, " ", B75)</f>
        <v>#N/A</v>
      </c>
      <c r="B80" s="312"/>
      <c r="C80" s="83">
        <f>SUM(C77:C79)</f>
        <v>0</v>
      </c>
      <c r="D80" s="83">
        <f t="shared" ref="D80:N80" si="10">SUM(D77:D79)</f>
        <v>0</v>
      </c>
      <c r="E80" s="83">
        <f t="shared" si="10"/>
        <v>0</v>
      </c>
      <c r="F80" s="83">
        <f t="shared" si="10"/>
        <v>0</v>
      </c>
      <c r="G80" s="83">
        <f t="shared" si="10"/>
        <v>0</v>
      </c>
      <c r="H80" s="83">
        <f t="shared" si="10"/>
        <v>0</v>
      </c>
      <c r="I80" s="83">
        <f t="shared" si="10"/>
        <v>0</v>
      </c>
      <c r="J80" s="83">
        <f t="shared" si="10"/>
        <v>0</v>
      </c>
      <c r="K80" s="83">
        <f t="shared" si="10"/>
        <v>0</v>
      </c>
      <c r="L80" s="83">
        <f t="shared" si="10"/>
        <v>0</v>
      </c>
      <c r="M80" s="83">
        <f t="shared" si="10"/>
        <v>0</v>
      </c>
      <c r="N80" s="83">
        <f t="shared" si="10"/>
        <v>0</v>
      </c>
      <c r="O80" s="84">
        <f>SUM(O77:O79)</f>
        <v>0</v>
      </c>
    </row>
    <row r="81" spans="1:15" s="70" customFormat="1" ht="13" x14ac:dyDescent="0.3">
      <c r="B81" s="313"/>
    </row>
    <row r="82" spans="1:15" s="70" customFormat="1" ht="12.65" customHeight="1" x14ac:dyDescent="0.3">
      <c r="A82" s="85" t="s">
        <v>566</v>
      </c>
      <c r="B82" s="309" t="e">
        <f>IFERROR(IF(A82="","",VLOOKUP(A82,'Mapped COA'!A:G,2,0)),IF(A82="","",VLOOKUP(A82,COA!A:G,2,0)))</f>
        <v>#N/A</v>
      </c>
      <c r="C82" s="85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</row>
    <row r="83" spans="1:15" s="70" customFormat="1" ht="13.5" customHeight="1" x14ac:dyDescent="0.3">
      <c r="A83" s="71" t="s">
        <v>540</v>
      </c>
      <c r="B83" s="333" t="s">
        <v>541</v>
      </c>
      <c r="C83" s="72" t="s">
        <v>542</v>
      </c>
      <c r="D83" s="73" t="s">
        <v>543</v>
      </c>
      <c r="E83" s="73" t="s">
        <v>544</v>
      </c>
      <c r="F83" s="73" t="s">
        <v>545</v>
      </c>
      <c r="G83" s="73" t="s">
        <v>546</v>
      </c>
      <c r="H83" s="73" t="s">
        <v>547</v>
      </c>
      <c r="I83" s="73" t="s">
        <v>548</v>
      </c>
      <c r="J83" s="73" t="s">
        <v>549</v>
      </c>
      <c r="K83" s="73" t="s">
        <v>550</v>
      </c>
      <c r="L83" s="73" t="s">
        <v>551</v>
      </c>
      <c r="M83" s="73" t="s">
        <v>552</v>
      </c>
      <c r="N83" s="74" t="s">
        <v>553</v>
      </c>
      <c r="O83" s="74" t="s">
        <v>554</v>
      </c>
    </row>
    <row r="84" spans="1:15" s="70" customFormat="1" ht="13" x14ac:dyDescent="0.3">
      <c r="A84" s="75" t="s">
        <v>555</v>
      </c>
      <c r="B84" s="310"/>
      <c r="C84" s="304"/>
      <c r="D84" s="305"/>
      <c r="E84" s="305"/>
      <c r="F84" s="305"/>
      <c r="G84" s="305"/>
      <c r="H84" s="305"/>
      <c r="I84" s="305"/>
      <c r="J84" s="305"/>
      <c r="K84" s="305"/>
      <c r="L84" s="305"/>
      <c r="M84" s="305"/>
      <c r="N84" s="306"/>
      <c r="O84" s="306">
        <f>SUM(B84:N84)</f>
        <v>0</v>
      </c>
    </row>
    <row r="85" spans="1:15" s="70" customFormat="1" ht="13" x14ac:dyDescent="0.3">
      <c r="A85" s="77"/>
      <c r="B85" s="311"/>
      <c r="C85" s="78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6"/>
      <c r="O85" s="76">
        <f>SUM(C85:N85)</f>
        <v>0</v>
      </c>
    </row>
    <row r="86" spans="1:15" s="70" customFormat="1" ht="13" x14ac:dyDescent="0.3">
      <c r="A86" s="77"/>
      <c r="B86" s="311"/>
      <c r="C86" s="80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2"/>
      <c r="O86" s="76">
        <f>SUM(C86:N86)</f>
        <v>0</v>
      </c>
    </row>
    <row r="87" spans="1:15" s="70" customFormat="1" ht="13" x14ac:dyDescent="0.3">
      <c r="A87" s="307" t="e">
        <f>CONCATENATE("Ending Balance ", A82, " ", B82)</f>
        <v>#N/A</v>
      </c>
      <c r="B87" s="312"/>
      <c r="C87" s="83">
        <f>SUM(C84:C86)</f>
        <v>0</v>
      </c>
      <c r="D87" s="83">
        <f t="shared" ref="D87:N87" si="11">SUM(D84:D86)</f>
        <v>0</v>
      </c>
      <c r="E87" s="83">
        <f t="shared" si="11"/>
        <v>0</v>
      </c>
      <c r="F87" s="83">
        <f t="shared" si="11"/>
        <v>0</v>
      </c>
      <c r="G87" s="83">
        <f t="shared" si="11"/>
        <v>0</v>
      </c>
      <c r="H87" s="83">
        <f t="shared" si="11"/>
        <v>0</v>
      </c>
      <c r="I87" s="83">
        <f t="shared" si="11"/>
        <v>0</v>
      </c>
      <c r="J87" s="83">
        <f t="shared" si="11"/>
        <v>0</v>
      </c>
      <c r="K87" s="83">
        <f t="shared" si="11"/>
        <v>0</v>
      </c>
      <c r="L87" s="83">
        <f t="shared" si="11"/>
        <v>0</v>
      </c>
      <c r="M87" s="83">
        <f t="shared" si="11"/>
        <v>0</v>
      </c>
      <c r="N87" s="83">
        <f t="shared" si="11"/>
        <v>0</v>
      </c>
      <c r="O87" s="84">
        <f>SUM(O84:O86)</f>
        <v>0</v>
      </c>
    </row>
    <row r="88" spans="1:15" s="70" customFormat="1" ht="13" x14ac:dyDescent="0.3">
      <c r="B88" s="313"/>
    </row>
    <row r="89" spans="1:15" s="70" customFormat="1" ht="13" x14ac:dyDescent="0.3">
      <c r="A89" s="85" t="s">
        <v>567</v>
      </c>
      <c r="B89" s="309" t="e">
        <f>IFERROR(IF(A89="","",VLOOKUP(A89,'Mapped COA'!A:G,2,0)),IF(A89="","",VLOOKUP(A89,COA!A:G,2,0)))</f>
        <v>#N/A</v>
      </c>
      <c r="C89" s="85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</row>
    <row r="90" spans="1:15" s="70" customFormat="1" ht="13.5" customHeight="1" x14ac:dyDescent="0.3">
      <c r="A90" s="71" t="s">
        <v>540</v>
      </c>
      <c r="B90" s="333" t="s">
        <v>541</v>
      </c>
      <c r="C90" s="72" t="s">
        <v>542</v>
      </c>
      <c r="D90" s="73" t="s">
        <v>543</v>
      </c>
      <c r="E90" s="73" t="s">
        <v>544</v>
      </c>
      <c r="F90" s="73" t="s">
        <v>545</v>
      </c>
      <c r="G90" s="73" t="s">
        <v>546</v>
      </c>
      <c r="H90" s="73" t="s">
        <v>547</v>
      </c>
      <c r="I90" s="73" t="s">
        <v>548</v>
      </c>
      <c r="J90" s="73" t="s">
        <v>549</v>
      </c>
      <c r="K90" s="73" t="s">
        <v>550</v>
      </c>
      <c r="L90" s="73" t="s">
        <v>551</v>
      </c>
      <c r="M90" s="73" t="s">
        <v>552</v>
      </c>
      <c r="N90" s="74" t="s">
        <v>553</v>
      </c>
      <c r="O90" s="74" t="s">
        <v>554</v>
      </c>
    </row>
    <row r="91" spans="1:15" s="70" customFormat="1" ht="13" x14ac:dyDescent="0.3">
      <c r="A91" s="75" t="s">
        <v>555</v>
      </c>
      <c r="B91" s="310"/>
      <c r="C91" s="304"/>
      <c r="D91" s="305"/>
      <c r="E91" s="305"/>
      <c r="F91" s="305"/>
      <c r="G91" s="305"/>
      <c r="H91" s="305"/>
      <c r="I91" s="305"/>
      <c r="J91" s="305"/>
      <c r="K91" s="305"/>
      <c r="L91" s="305"/>
      <c r="M91" s="305"/>
      <c r="N91" s="306"/>
      <c r="O91" s="306">
        <f>SUM(B91:N91)</f>
        <v>0</v>
      </c>
    </row>
    <row r="92" spans="1:15" s="70" customFormat="1" ht="13" x14ac:dyDescent="0.3">
      <c r="A92" s="77"/>
      <c r="B92" s="311"/>
      <c r="C92" s="78"/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6"/>
      <c r="O92" s="76">
        <f>SUM(C92:N92)</f>
        <v>0</v>
      </c>
    </row>
    <row r="93" spans="1:15" s="70" customFormat="1" ht="13" x14ac:dyDescent="0.3">
      <c r="A93" s="77"/>
      <c r="B93" s="311"/>
      <c r="C93" s="80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2"/>
      <c r="O93" s="76">
        <f>SUM(C93:N93)</f>
        <v>0</v>
      </c>
    </row>
    <row r="94" spans="1:15" s="70" customFormat="1" ht="13" x14ac:dyDescent="0.3">
      <c r="A94" s="307" t="e">
        <f>CONCATENATE("Ending Balance ", A89, " ", B89)</f>
        <v>#N/A</v>
      </c>
      <c r="B94" s="312"/>
      <c r="C94" s="83">
        <f>SUM(C91:C93)</f>
        <v>0</v>
      </c>
      <c r="D94" s="83">
        <f t="shared" ref="D94:N94" si="12">SUM(D91:D93)</f>
        <v>0</v>
      </c>
      <c r="E94" s="83">
        <f t="shared" si="12"/>
        <v>0</v>
      </c>
      <c r="F94" s="83">
        <f t="shared" si="12"/>
        <v>0</v>
      </c>
      <c r="G94" s="83">
        <f t="shared" si="12"/>
        <v>0</v>
      </c>
      <c r="H94" s="83">
        <f t="shared" si="12"/>
        <v>0</v>
      </c>
      <c r="I94" s="83">
        <f t="shared" si="12"/>
        <v>0</v>
      </c>
      <c r="J94" s="83">
        <f t="shared" si="12"/>
        <v>0</v>
      </c>
      <c r="K94" s="83">
        <f t="shared" si="12"/>
        <v>0</v>
      </c>
      <c r="L94" s="83">
        <f t="shared" si="12"/>
        <v>0</v>
      </c>
      <c r="M94" s="83">
        <f t="shared" si="12"/>
        <v>0</v>
      </c>
      <c r="N94" s="83">
        <f t="shared" si="12"/>
        <v>0</v>
      </c>
      <c r="O94" s="84">
        <f>SUM(O91:O93)</f>
        <v>0</v>
      </c>
    </row>
    <row r="95" spans="1:15" s="70" customFormat="1" ht="13" x14ac:dyDescent="0.3">
      <c r="B95" s="313"/>
    </row>
    <row r="96" spans="1:15" s="70" customFormat="1" ht="13" x14ac:dyDescent="0.3">
      <c r="A96" s="85" t="s">
        <v>568</v>
      </c>
      <c r="B96" s="309" t="e">
        <f>IFERROR(IF(A96="","",VLOOKUP(A96,'Mapped COA'!A:G,2,0)),IF(A96="","",VLOOKUP(A96,COA!A:G,2,0)))</f>
        <v>#N/A</v>
      </c>
      <c r="C96" s="85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</row>
    <row r="97" spans="1:15" s="70" customFormat="1" ht="13.5" customHeight="1" x14ac:dyDescent="0.3">
      <c r="A97" s="71" t="s">
        <v>540</v>
      </c>
      <c r="B97" s="333" t="s">
        <v>541</v>
      </c>
      <c r="C97" s="72" t="s">
        <v>542</v>
      </c>
      <c r="D97" s="73" t="s">
        <v>543</v>
      </c>
      <c r="E97" s="73" t="s">
        <v>544</v>
      </c>
      <c r="F97" s="73" t="s">
        <v>545</v>
      </c>
      <c r="G97" s="73" t="s">
        <v>546</v>
      </c>
      <c r="H97" s="73" t="s">
        <v>547</v>
      </c>
      <c r="I97" s="73" t="s">
        <v>548</v>
      </c>
      <c r="J97" s="73" t="s">
        <v>549</v>
      </c>
      <c r="K97" s="73" t="s">
        <v>550</v>
      </c>
      <c r="L97" s="73" t="s">
        <v>551</v>
      </c>
      <c r="M97" s="73" t="s">
        <v>552</v>
      </c>
      <c r="N97" s="74" t="s">
        <v>553</v>
      </c>
      <c r="O97" s="74" t="s">
        <v>554</v>
      </c>
    </row>
    <row r="98" spans="1:15" s="70" customFormat="1" ht="13" x14ac:dyDescent="0.3">
      <c r="A98" s="75" t="s">
        <v>555</v>
      </c>
      <c r="B98" s="310"/>
      <c r="C98" s="304"/>
      <c r="D98" s="305"/>
      <c r="E98" s="305"/>
      <c r="F98" s="305"/>
      <c r="G98" s="305"/>
      <c r="H98" s="305"/>
      <c r="I98" s="305"/>
      <c r="J98" s="305"/>
      <c r="K98" s="305"/>
      <c r="L98" s="305"/>
      <c r="M98" s="305"/>
      <c r="N98" s="306"/>
      <c r="O98" s="306">
        <f>SUM(B98:N98)</f>
        <v>0</v>
      </c>
    </row>
    <row r="99" spans="1:15" s="70" customFormat="1" ht="13" x14ac:dyDescent="0.3">
      <c r="A99" s="77"/>
      <c r="B99" s="311"/>
      <c r="C99" s="78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6"/>
      <c r="O99" s="76">
        <f>SUM(C99:N99)</f>
        <v>0</v>
      </c>
    </row>
    <row r="100" spans="1:15" s="70" customFormat="1" ht="13" x14ac:dyDescent="0.3">
      <c r="A100" s="77"/>
      <c r="B100" s="311"/>
      <c r="C100" s="80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2"/>
      <c r="O100" s="76">
        <f>SUM(C100:N100)</f>
        <v>0</v>
      </c>
    </row>
    <row r="101" spans="1:15" s="70" customFormat="1" ht="13" x14ac:dyDescent="0.3">
      <c r="A101" s="307" t="e">
        <f>CONCATENATE("Ending Balance ", A96, " ", B96)</f>
        <v>#N/A</v>
      </c>
      <c r="B101" s="312"/>
      <c r="C101" s="83">
        <f>SUM(C98:C100)</f>
        <v>0</v>
      </c>
      <c r="D101" s="83">
        <f t="shared" ref="D101:N101" si="13">SUM(D98:D100)</f>
        <v>0</v>
      </c>
      <c r="E101" s="83">
        <f t="shared" si="13"/>
        <v>0</v>
      </c>
      <c r="F101" s="83">
        <f t="shared" si="13"/>
        <v>0</v>
      </c>
      <c r="G101" s="83">
        <f t="shared" si="13"/>
        <v>0</v>
      </c>
      <c r="H101" s="83">
        <f t="shared" si="13"/>
        <v>0</v>
      </c>
      <c r="I101" s="83">
        <f t="shared" si="13"/>
        <v>0</v>
      </c>
      <c r="J101" s="83">
        <f t="shared" si="13"/>
        <v>0</v>
      </c>
      <c r="K101" s="83">
        <f t="shared" si="13"/>
        <v>0</v>
      </c>
      <c r="L101" s="83">
        <f t="shared" si="13"/>
        <v>0</v>
      </c>
      <c r="M101" s="83">
        <f t="shared" si="13"/>
        <v>0</v>
      </c>
      <c r="N101" s="83">
        <f t="shared" si="13"/>
        <v>0</v>
      </c>
      <c r="O101" s="84">
        <f>SUM(O98:O100)</f>
        <v>0</v>
      </c>
    </row>
    <row r="102" spans="1:15" s="70" customFormat="1" ht="13" x14ac:dyDescent="0.3">
      <c r="B102" s="313"/>
    </row>
    <row r="103" spans="1:15" s="70" customFormat="1" ht="13" x14ac:dyDescent="0.3">
      <c r="A103" s="85" t="s">
        <v>569</v>
      </c>
      <c r="B103" s="309" t="e">
        <f>IFERROR(IF(A103="","",VLOOKUP(A103,'Mapped COA'!A:G,2,0)),IF(A103="","",VLOOKUP(A103,COA!A:G,2,0)))</f>
        <v>#N/A</v>
      </c>
      <c r="C103" s="85"/>
      <c r="D103" s="86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86"/>
    </row>
    <row r="104" spans="1:15" s="70" customFormat="1" ht="13.5" customHeight="1" x14ac:dyDescent="0.3">
      <c r="A104" s="71" t="s">
        <v>540</v>
      </c>
      <c r="B104" s="333" t="s">
        <v>541</v>
      </c>
      <c r="C104" s="72" t="s">
        <v>542</v>
      </c>
      <c r="D104" s="73" t="s">
        <v>543</v>
      </c>
      <c r="E104" s="73" t="s">
        <v>544</v>
      </c>
      <c r="F104" s="73" t="s">
        <v>545</v>
      </c>
      <c r="G104" s="73" t="s">
        <v>546</v>
      </c>
      <c r="H104" s="73" t="s">
        <v>547</v>
      </c>
      <c r="I104" s="73" t="s">
        <v>548</v>
      </c>
      <c r="J104" s="73" t="s">
        <v>549</v>
      </c>
      <c r="K104" s="73" t="s">
        <v>550</v>
      </c>
      <c r="L104" s="73" t="s">
        <v>551</v>
      </c>
      <c r="M104" s="73" t="s">
        <v>552</v>
      </c>
      <c r="N104" s="74" t="s">
        <v>553</v>
      </c>
      <c r="O104" s="74" t="s">
        <v>554</v>
      </c>
    </row>
    <row r="105" spans="1:15" s="70" customFormat="1" ht="13" x14ac:dyDescent="0.3">
      <c r="A105" s="75" t="s">
        <v>555</v>
      </c>
      <c r="B105" s="310">
        <v>0</v>
      </c>
      <c r="C105" s="304"/>
      <c r="D105" s="305"/>
      <c r="E105" s="305"/>
      <c r="F105" s="305"/>
      <c r="G105" s="305"/>
      <c r="H105" s="305"/>
      <c r="I105" s="305"/>
      <c r="J105" s="305"/>
      <c r="K105" s="305"/>
      <c r="L105" s="305"/>
      <c r="M105" s="305"/>
      <c r="N105" s="306"/>
      <c r="O105" s="306">
        <f>SUM(B105:N105)</f>
        <v>0</v>
      </c>
    </row>
    <row r="106" spans="1:15" s="70" customFormat="1" ht="13" x14ac:dyDescent="0.3">
      <c r="A106" s="77"/>
      <c r="B106" s="311"/>
      <c r="C106" s="78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6"/>
      <c r="O106" s="76">
        <f>SUM(C106:N106)</f>
        <v>0</v>
      </c>
    </row>
    <row r="107" spans="1:15" s="70" customFormat="1" ht="13" x14ac:dyDescent="0.3">
      <c r="A107" s="77"/>
      <c r="B107" s="311"/>
      <c r="C107" s="80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2"/>
      <c r="O107" s="76">
        <f>SUM(C107:N107)</f>
        <v>0</v>
      </c>
    </row>
    <row r="108" spans="1:15" s="70" customFormat="1" ht="13" x14ac:dyDescent="0.3">
      <c r="A108" s="307" t="e">
        <f>CONCATENATE("Ending Balance ", A103, " ", B103)</f>
        <v>#N/A</v>
      </c>
      <c r="B108" s="312"/>
      <c r="C108" s="83">
        <f>SUM(C105:C107)</f>
        <v>0</v>
      </c>
      <c r="D108" s="83">
        <f t="shared" ref="D108:N108" si="14">SUM(D105:D107)</f>
        <v>0</v>
      </c>
      <c r="E108" s="83">
        <f t="shared" si="14"/>
        <v>0</v>
      </c>
      <c r="F108" s="83">
        <f t="shared" si="14"/>
        <v>0</v>
      </c>
      <c r="G108" s="83">
        <f t="shared" si="14"/>
        <v>0</v>
      </c>
      <c r="H108" s="83">
        <f t="shared" si="14"/>
        <v>0</v>
      </c>
      <c r="I108" s="83">
        <f t="shared" si="14"/>
        <v>0</v>
      </c>
      <c r="J108" s="83">
        <f t="shared" si="14"/>
        <v>0</v>
      </c>
      <c r="K108" s="83">
        <f t="shared" si="14"/>
        <v>0</v>
      </c>
      <c r="L108" s="83">
        <f t="shared" si="14"/>
        <v>0</v>
      </c>
      <c r="M108" s="83">
        <f t="shared" si="14"/>
        <v>0</v>
      </c>
      <c r="N108" s="83">
        <f t="shared" si="14"/>
        <v>0</v>
      </c>
      <c r="O108" s="84">
        <f>SUM(O105:O107)</f>
        <v>0</v>
      </c>
    </row>
    <row r="109" spans="1:15" s="70" customFormat="1" ht="13" x14ac:dyDescent="0.3">
      <c r="B109" s="313"/>
    </row>
    <row r="110" spans="1:15" s="70" customFormat="1" ht="13" x14ac:dyDescent="0.3">
      <c r="A110" s="85" t="s">
        <v>570</v>
      </c>
      <c r="B110" s="309" t="e">
        <f>IFERROR(IF(A110="","",VLOOKUP(A110,'Mapped COA'!A:G,2,0)),IF(A110="","",VLOOKUP(A110,COA!A:G,2,0)))</f>
        <v>#N/A</v>
      </c>
      <c r="C110" s="85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86"/>
    </row>
    <row r="111" spans="1:15" s="70" customFormat="1" ht="13.5" customHeight="1" x14ac:dyDescent="0.3">
      <c r="A111" s="71" t="s">
        <v>540</v>
      </c>
      <c r="B111" s="333" t="s">
        <v>541</v>
      </c>
      <c r="C111" s="72" t="s">
        <v>542</v>
      </c>
      <c r="D111" s="73" t="s">
        <v>543</v>
      </c>
      <c r="E111" s="73" t="s">
        <v>544</v>
      </c>
      <c r="F111" s="73" t="s">
        <v>545</v>
      </c>
      <c r="G111" s="73" t="s">
        <v>546</v>
      </c>
      <c r="H111" s="73" t="s">
        <v>547</v>
      </c>
      <c r="I111" s="73" t="s">
        <v>548</v>
      </c>
      <c r="J111" s="73" t="s">
        <v>549</v>
      </c>
      <c r="K111" s="73" t="s">
        <v>550</v>
      </c>
      <c r="L111" s="73" t="s">
        <v>551</v>
      </c>
      <c r="M111" s="73" t="s">
        <v>552</v>
      </c>
      <c r="N111" s="74" t="s">
        <v>553</v>
      </c>
      <c r="O111" s="74" t="s">
        <v>554</v>
      </c>
    </row>
    <row r="112" spans="1:15" s="70" customFormat="1" ht="13" x14ac:dyDescent="0.3">
      <c r="A112" s="75" t="s">
        <v>555</v>
      </c>
      <c r="B112" s="310"/>
      <c r="C112" s="304"/>
      <c r="D112" s="305"/>
      <c r="E112" s="305"/>
      <c r="F112" s="305"/>
      <c r="G112" s="305"/>
      <c r="H112" s="305"/>
      <c r="I112" s="305"/>
      <c r="J112" s="305"/>
      <c r="K112" s="305"/>
      <c r="L112" s="305"/>
      <c r="M112" s="305"/>
      <c r="N112" s="306"/>
      <c r="O112" s="306">
        <f>SUM(B112:N112)</f>
        <v>0</v>
      </c>
    </row>
    <row r="113" spans="1:15" s="70" customFormat="1" ht="13" x14ac:dyDescent="0.3">
      <c r="A113" s="77"/>
      <c r="B113" s="311"/>
      <c r="C113" s="78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6"/>
      <c r="O113" s="76">
        <f>SUM(C113:N113)</f>
        <v>0</v>
      </c>
    </row>
    <row r="114" spans="1:15" s="70" customFormat="1" ht="13" x14ac:dyDescent="0.3">
      <c r="A114" s="77"/>
      <c r="B114" s="311"/>
      <c r="C114" s="80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2"/>
      <c r="O114" s="76">
        <f>SUM(C114:N114)</f>
        <v>0</v>
      </c>
    </row>
    <row r="115" spans="1:15" s="70" customFormat="1" ht="13" x14ac:dyDescent="0.3">
      <c r="A115" s="307" t="e">
        <f>CONCATENATE("Ending Balance ", A110, " ", B110)</f>
        <v>#N/A</v>
      </c>
      <c r="B115" s="312"/>
      <c r="C115" s="83">
        <f>SUM(C112:C114)</f>
        <v>0</v>
      </c>
      <c r="D115" s="83">
        <f t="shared" ref="D115:N115" si="15">SUM(D112:D114)</f>
        <v>0</v>
      </c>
      <c r="E115" s="83">
        <f t="shared" si="15"/>
        <v>0</v>
      </c>
      <c r="F115" s="83">
        <f t="shared" si="15"/>
        <v>0</v>
      </c>
      <c r="G115" s="83">
        <f t="shared" si="15"/>
        <v>0</v>
      </c>
      <c r="H115" s="83">
        <f t="shared" si="15"/>
        <v>0</v>
      </c>
      <c r="I115" s="83">
        <f t="shared" si="15"/>
        <v>0</v>
      </c>
      <c r="J115" s="83">
        <f t="shared" si="15"/>
        <v>0</v>
      </c>
      <c r="K115" s="83">
        <f t="shared" si="15"/>
        <v>0</v>
      </c>
      <c r="L115" s="83">
        <f t="shared" si="15"/>
        <v>0</v>
      </c>
      <c r="M115" s="83">
        <f t="shared" si="15"/>
        <v>0</v>
      </c>
      <c r="N115" s="83">
        <f t="shared" si="15"/>
        <v>0</v>
      </c>
      <c r="O115" s="84">
        <f>SUM(O112:O114)</f>
        <v>0</v>
      </c>
    </row>
    <row r="116" spans="1:15" s="70" customFormat="1" ht="13.5" thickBot="1" x14ac:dyDescent="0.35">
      <c r="B116" s="313"/>
    </row>
    <row r="117" spans="1:15" ht="16.5" customHeight="1" x14ac:dyDescent="0.35">
      <c r="A117" s="303" t="s">
        <v>541</v>
      </c>
      <c r="B117" s="314">
        <f>SUMIF($A:$A,"Beginning Balance",B:B)</f>
        <v>0</v>
      </c>
      <c r="C117" s="334"/>
      <c r="D117" s="334"/>
      <c r="E117" s="334"/>
      <c r="F117" s="334"/>
      <c r="G117" s="334"/>
      <c r="H117" s="334"/>
      <c r="I117" s="334"/>
      <c r="J117" s="334"/>
      <c r="K117" s="334"/>
      <c r="L117" s="334"/>
      <c r="M117" s="334"/>
      <c r="N117" s="334"/>
      <c r="O117" s="293">
        <f>SUM(B117:N117)</f>
        <v>0</v>
      </c>
    </row>
    <row r="118" spans="1:15" ht="16.5" customHeight="1" thickBot="1" x14ac:dyDescent="0.4">
      <c r="A118" s="335" t="s">
        <v>571</v>
      </c>
      <c r="B118" s="315"/>
      <c r="C118" s="336">
        <f t="shared" ref="C118:N118" si="16">SUMIF($A:$A,"Ending Balance"&amp;"*",C:C)</f>
        <v>0</v>
      </c>
      <c r="D118" s="336">
        <f t="shared" si="16"/>
        <v>0</v>
      </c>
      <c r="E118" s="336">
        <f t="shared" si="16"/>
        <v>0</v>
      </c>
      <c r="F118" s="336">
        <f t="shared" si="16"/>
        <v>0</v>
      </c>
      <c r="G118" s="336">
        <f t="shared" si="16"/>
        <v>0</v>
      </c>
      <c r="H118" s="336">
        <f t="shared" si="16"/>
        <v>0</v>
      </c>
      <c r="I118" s="336">
        <f t="shared" si="16"/>
        <v>0</v>
      </c>
      <c r="J118" s="336">
        <f t="shared" si="16"/>
        <v>0</v>
      </c>
      <c r="K118" s="336">
        <f t="shared" si="16"/>
        <v>0</v>
      </c>
      <c r="L118" s="336">
        <f t="shared" si="16"/>
        <v>0</v>
      </c>
      <c r="M118" s="336">
        <f t="shared" si="16"/>
        <v>0</v>
      </c>
      <c r="N118" s="336">
        <f t="shared" si="16"/>
        <v>0</v>
      </c>
      <c r="O118" s="337">
        <f>SUM(C118:N118)</f>
        <v>0</v>
      </c>
    </row>
    <row r="119" spans="1:15" ht="6.65" customHeight="1" x14ac:dyDescent="0.35">
      <c r="A119" s="335"/>
      <c r="B119" s="331"/>
      <c r="C119" s="338"/>
      <c r="D119" s="338"/>
      <c r="E119" s="338"/>
      <c r="F119" s="338"/>
      <c r="G119" s="338"/>
      <c r="H119" s="338"/>
      <c r="I119" s="338"/>
      <c r="J119" s="338"/>
      <c r="K119" s="338"/>
      <c r="L119" s="338"/>
      <c r="M119" s="338"/>
      <c r="N119" s="338"/>
      <c r="O119" s="339"/>
    </row>
    <row r="120" spans="1:15" ht="16.5" customHeight="1" thickBot="1" x14ac:dyDescent="0.4">
      <c r="A120" s="335" t="s">
        <v>572</v>
      </c>
      <c r="B120" s="315"/>
      <c r="C120" s="340"/>
      <c r="D120" s="340"/>
      <c r="E120" s="340"/>
      <c r="F120" s="340"/>
      <c r="G120" s="340"/>
      <c r="H120" s="340"/>
      <c r="I120" s="340"/>
      <c r="J120" s="340"/>
      <c r="K120" s="340"/>
      <c r="L120" s="340"/>
      <c r="M120" s="340"/>
      <c r="N120" s="340"/>
      <c r="O120" s="341">
        <f>SUM(O117:O119)</f>
        <v>0</v>
      </c>
    </row>
    <row r="121" spans="1:15" ht="15" thickTop="1" x14ac:dyDescent="0.35">
      <c r="A121" s="294"/>
      <c r="B121" s="315"/>
      <c r="C121" s="315"/>
      <c r="D121" s="295"/>
      <c r="E121" s="295"/>
      <c r="F121" s="295"/>
      <c r="G121" s="295"/>
      <c r="H121" s="295"/>
      <c r="I121" s="295"/>
      <c r="J121" s="295"/>
      <c r="K121" s="295"/>
      <c r="L121" s="295"/>
      <c r="M121" s="295"/>
      <c r="N121" s="295"/>
      <c r="O121" s="297"/>
    </row>
    <row r="122" spans="1:15" x14ac:dyDescent="0.35">
      <c r="A122" s="294"/>
      <c r="B122" s="315"/>
      <c r="C122" s="295"/>
      <c r="D122" s="295"/>
      <c r="E122" s="295"/>
      <c r="F122" s="295"/>
      <c r="G122" s="295"/>
      <c r="H122" s="295"/>
      <c r="I122" s="295"/>
      <c r="J122" s="295"/>
      <c r="K122" s="295"/>
      <c r="L122" s="298" t="s">
        <v>573</v>
      </c>
      <c r="M122" s="298"/>
      <c r="N122" s="295"/>
      <c r="O122" s="299">
        <v>0</v>
      </c>
    </row>
    <row r="123" spans="1:15" x14ac:dyDescent="0.35">
      <c r="A123" s="294"/>
      <c r="B123" s="315"/>
      <c r="C123" s="295"/>
      <c r="D123" s="295"/>
      <c r="E123" s="295"/>
      <c r="F123" s="295"/>
      <c r="G123" s="295"/>
      <c r="H123" s="295"/>
      <c r="I123" s="295"/>
      <c r="J123" s="295"/>
      <c r="K123" s="295"/>
      <c r="L123" s="298" t="s">
        <v>574</v>
      </c>
      <c r="M123" s="295"/>
      <c r="N123" s="295"/>
      <c r="O123" s="299">
        <v>0</v>
      </c>
    </row>
    <row r="124" spans="1:15" x14ac:dyDescent="0.35">
      <c r="A124" s="294"/>
      <c r="B124" s="315"/>
      <c r="C124" s="295"/>
      <c r="D124" s="295"/>
      <c r="E124" s="295"/>
      <c r="F124" s="295"/>
      <c r="G124" s="295"/>
      <c r="H124" s="295"/>
      <c r="I124" s="295"/>
      <c r="J124" s="295"/>
      <c r="K124" s="295"/>
      <c r="L124" s="298"/>
      <c r="M124" s="295"/>
      <c r="N124" s="295"/>
      <c r="O124" s="296"/>
    </row>
    <row r="125" spans="1:15" x14ac:dyDescent="0.35">
      <c r="A125" s="294"/>
      <c r="B125" s="315"/>
      <c r="C125" s="295"/>
      <c r="D125" s="295"/>
      <c r="E125" s="295"/>
      <c r="F125" s="295"/>
      <c r="G125" s="295"/>
      <c r="H125" s="295"/>
      <c r="I125" s="295"/>
      <c r="J125" s="295"/>
      <c r="K125" s="295"/>
      <c r="L125" s="295"/>
      <c r="M125" s="295" t="s">
        <v>575</v>
      </c>
      <c r="N125" s="295"/>
      <c r="O125" s="296">
        <f>+O120-O122-O123</f>
        <v>0</v>
      </c>
    </row>
    <row r="126" spans="1:15" ht="15" thickBot="1" x14ac:dyDescent="0.4">
      <c r="A126" s="300"/>
      <c r="B126" s="316"/>
      <c r="C126" s="301"/>
      <c r="D126" s="301"/>
      <c r="E126" s="301"/>
      <c r="F126" s="301"/>
      <c r="G126" s="301"/>
      <c r="H126" s="301"/>
      <c r="I126" s="301"/>
      <c r="J126" s="301"/>
      <c r="K126" s="301"/>
      <c r="L126" s="301"/>
      <c r="M126" s="301"/>
      <c r="N126" s="301"/>
      <c r="O126" s="302"/>
    </row>
  </sheetData>
  <mergeCells count="3">
    <mergeCell ref="A1:O1"/>
    <mergeCell ref="A2:O2"/>
    <mergeCell ref="A3:O3"/>
  </mergeCells>
  <conditionalFormatting sqref="O125">
    <cfRule type="cellIs" dxfId="17" priority="2" operator="notEqual">
      <formula>0</formula>
    </cfRule>
  </conditionalFormatting>
  <conditionalFormatting sqref="O124">
    <cfRule type="cellIs" dxfId="16" priority="1" operator="notEqual">
      <formula>0</formula>
    </cfRule>
  </conditionalFormatting>
  <printOptions horizontalCentered="1"/>
  <pageMargins left="0.25" right="0.25" top="0.25" bottom="0.75" header="0.3" footer="0.3"/>
  <pageSetup scale="49" fitToHeight="0" orientation="landscape" r:id="rId1"/>
  <rowBreaks count="1" manualBreakCount="1">
    <brk id="80" max="16383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BDDF-4ACB-45B4-B560-1CA1A87AF605}">
  <sheetPr codeName="Sheet21">
    <tabColor rgb="FF92D050"/>
  </sheetPr>
  <dimension ref="A1:S40"/>
  <sheetViews>
    <sheetView workbookViewId="0">
      <selection activeCell="B6" sqref="B6"/>
    </sheetView>
  </sheetViews>
  <sheetFormatPr defaultRowHeight="14.5" x14ac:dyDescent="0.35"/>
  <cols>
    <col min="1" max="1" width="25.1796875" customWidth="1"/>
    <col min="2" max="2" width="28.26953125" customWidth="1"/>
    <col min="3" max="3" width="14.54296875" customWidth="1"/>
    <col min="4" max="4" width="28.453125" style="347" customWidth="1"/>
    <col min="19" max="19" width="37.1796875" customWidth="1"/>
  </cols>
  <sheetData>
    <row r="1" spans="1:19" x14ac:dyDescent="0.35">
      <c r="A1" s="262" t="s">
        <v>576</v>
      </c>
      <c r="B1" s="402" t="s">
        <v>577</v>
      </c>
    </row>
    <row r="2" spans="1:19" ht="16" thickBot="1" x14ac:dyDescent="0.4">
      <c r="A2" s="262" t="s">
        <v>578</v>
      </c>
      <c r="B2" s="420">
        <f>MONTH('Input-Instructions'!$B$6)</f>
        <v>9</v>
      </c>
    </row>
    <row r="3" spans="1:19" hidden="1" x14ac:dyDescent="0.35">
      <c r="A3" s="262" t="s">
        <v>579</v>
      </c>
      <c r="B3" s="402" t="s">
        <v>580</v>
      </c>
    </row>
    <row r="4" spans="1:19" ht="28.5" thickBot="1" x14ac:dyDescent="0.65">
      <c r="G4" s="619" t="s">
        <v>581</v>
      </c>
      <c r="H4" s="620"/>
      <c r="I4" s="620"/>
      <c r="J4" s="620"/>
      <c r="K4" s="620"/>
      <c r="L4" s="620"/>
      <c r="M4" s="620"/>
      <c r="N4" s="620"/>
      <c r="O4" s="620"/>
      <c r="P4" s="620"/>
      <c r="Q4" s="620"/>
      <c r="R4" s="620"/>
      <c r="S4" s="621"/>
    </row>
    <row r="5" spans="1:19" ht="15.65" customHeight="1" thickTop="1" thickBot="1" x14ac:dyDescent="0.4">
      <c r="A5" s="616" t="s">
        <v>582</v>
      </c>
      <c r="B5" s="392" t="str">
        <f>_xlfn.TEXTJOIN(" ",TRUE,'Property Insurance'!G9,)</f>
        <v/>
      </c>
      <c r="C5" s="393" t="s">
        <v>131</v>
      </c>
      <c r="D5" s="392" t="str">
        <f>IFERROR(IF(C5="","",VLOOKUP(C5,'Mapped COA'!A:G,2,0)),IF(C5="","",VLOOKUP(C5,COA!A:G,2,0)))</f>
        <v>Prepaid Property Insurance</v>
      </c>
      <c r="G5" s="622"/>
      <c r="H5" s="623"/>
      <c r="I5" s="623"/>
      <c r="J5" s="623"/>
      <c r="K5" s="623"/>
      <c r="L5" s="623"/>
      <c r="M5" s="623"/>
      <c r="N5" s="623"/>
      <c r="O5" s="623"/>
      <c r="P5" s="623"/>
      <c r="Q5" s="623"/>
      <c r="R5" s="623"/>
      <c r="S5" s="624"/>
    </row>
    <row r="6" spans="1:19" ht="15.5" thickTop="1" thickBot="1" x14ac:dyDescent="0.4">
      <c r="A6" s="617"/>
      <c r="B6" s="392" t="str">
        <f>_xlfn.TEXTJOIN(" ",TRUE,'Property Insurance'!G10,)</f>
        <v/>
      </c>
      <c r="C6" s="393" t="s">
        <v>131</v>
      </c>
      <c r="D6" s="392" t="str">
        <f>IFERROR(IF(C6="","",VLOOKUP(C6,'Mapped COA'!A:G,2,0)),IF(C6="","",VLOOKUP(C6,COA!A:G,2,0)))</f>
        <v>Prepaid Property Insurance</v>
      </c>
      <c r="G6" s="458" t="s">
        <v>583</v>
      </c>
      <c r="H6" s="459" t="s">
        <v>584</v>
      </c>
      <c r="I6" s="461"/>
      <c r="J6" s="461"/>
      <c r="K6" s="461"/>
      <c r="L6" s="461"/>
      <c r="M6" s="461"/>
      <c r="N6" s="461"/>
      <c r="O6" s="461"/>
      <c r="P6" s="461"/>
      <c r="Q6" s="461"/>
      <c r="R6" s="461"/>
      <c r="S6" s="462"/>
    </row>
    <row r="7" spans="1:19" ht="15.5" thickTop="1" thickBot="1" x14ac:dyDescent="0.4">
      <c r="A7" s="617"/>
      <c r="B7" s="392" t="e">
        <f>_xlfn.TEXTJOIN(" ",TRUE,'Property Insurance'!#REF!,)</f>
        <v>#REF!</v>
      </c>
      <c r="C7" s="393" t="s">
        <v>131</v>
      </c>
      <c r="D7" s="392" t="str">
        <f>IFERROR(IF(C7="","",VLOOKUP(C7,'Mapped COA'!A:G,2,0)),IF(C7="","",VLOOKUP(C7,COA!A:G,2,0)))</f>
        <v>Prepaid Property Insurance</v>
      </c>
      <c r="G7" s="458"/>
      <c r="H7" s="459" t="s">
        <v>585</v>
      </c>
      <c r="I7" s="264"/>
      <c r="J7" s="264"/>
      <c r="K7" s="264"/>
      <c r="L7" s="264"/>
      <c r="M7" s="264"/>
      <c r="N7" s="264"/>
      <c r="O7" s="264"/>
      <c r="P7" s="264"/>
      <c r="Q7" s="264"/>
      <c r="R7" s="264"/>
      <c r="S7" s="455"/>
    </row>
    <row r="8" spans="1:19" ht="15.5" thickTop="1" thickBot="1" x14ac:dyDescent="0.4">
      <c r="A8" s="617"/>
      <c r="B8" s="392" t="str">
        <f>_xlfn.TEXTJOIN(" ",TRUE,'Property Insurance'!G11,)</f>
        <v/>
      </c>
      <c r="C8" s="393" t="s">
        <v>131</v>
      </c>
      <c r="D8" s="392" t="str">
        <f>IFERROR(IF(C8="","",VLOOKUP(C8,'Mapped COA'!A:G,2,0)),IF(C8="","",VLOOKUP(C8,COA!A:G,2,0)))</f>
        <v>Prepaid Property Insurance</v>
      </c>
      <c r="G8" s="458"/>
      <c r="H8" s="459" t="s">
        <v>586</v>
      </c>
      <c r="I8" s="459"/>
      <c r="J8" s="459"/>
      <c r="K8" s="459"/>
      <c r="L8" s="459"/>
      <c r="M8" s="459"/>
      <c r="N8" s="459"/>
      <c r="O8" s="459"/>
      <c r="P8" s="459"/>
      <c r="Q8" s="459"/>
      <c r="R8" s="459"/>
      <c r="S8" s="460"/>
    </row>
    <row r="9" spans="1:19" ht="15.5" thickTop="1" thickBot="1" x14ac:dyDescent="0.4">
      <c r="A9" s="617"/>
      <c r="B9" s="392" t="str">
        <f>_xlfn.TEXTJOIN(" ",TRUE,'Property Insurance'!G12,)</f>
        <v/>
      </c>
      <c r="C9" s="393" t="s">
        <v>131</v>
      </c>
      <c r="D9" s="392" t="str">
        <f>IFERROR(IF(C9="","",VLOOKUP(C9,'Mapped COA'!A:G,2,0)),IF(C9="","",VLOOKUP(C9,COA!A:G,2,0)))</f>
        <v>Prepaid Property Insurance</v>
      </c>
      <c r="G9" s="458"/>
      <c r="H9" s="459"/>
      <c r="I9" s="459"/>
      <c r="J9" s="459"/>
      <c r="K9" s="459"/>
      <c r="L9" s="459"/>
      <c r="M9" s="459"/>
      <c r="N9" s="459"/>
      <c r="O9" s="459"/>
      <c r="P9" s="459"/>
      <c r="Q9" s="459"/>
      <c r="R9" s="459"/>
      <c r="S9" s="460"/>
    </row>
    <row r="10" spans="1:19" ht="15.5" thickTop="1" thickBot="1" x14ac:dyDescent="0.4">
      <c r="A10" s="617"/>
      <c r="B10" s="392" t="str">
        <f>_xlfn.TEXTJOIN(" ",TRUE,'Property Insurance'!G13,)</f>
        <v/>
      </c>
      <c r="C10" s="393" t="s">
        <v>131</v>
      </c>
      <c r="D10" s="392" t="str">
        <f>IFERROR(IF(C10="","",VLOOKUP(C10,'Mapped COA'!A:G,2,0)),IF(C10="","",VLOOKUP(C10,COA!A:G,2,0)))</f>
        <v>Prepaid Property Insurance</v>
      </c>
      <c r="G10" s="458" t="s">
        <v>587</v>
      </c>
      <c r="H10" s="459" t="s">
        <v>588</v>
      </c>
      <c r="I10" s="459"/>
      <c r="J10" s="459"/>
      <c r="K10" s="459"/>
      <c r="L10" s="459"/>
      <c r="M10" s="459"/>
      <c r="N10" s="459"/>
      <c r="O10" s="459"/>
      <c r="P10" s="459"/>
      <c r="Q10" s="459"/>
      <c r="R10" s="459"/>
      <c r="S10" s="460"/>
    </row>
    <row r="11" spans="1:19" ht="15.5" thickTop="1" thickBot="1" x14ac:dyDescent="0.4">
      <c r="A11" s="617"/>
      <c r="B11" s="392" t="str">
        <f>_xlfn.TEXTJOIN(" ",TRUE,'Property Insurance'!G14,)</f>
        <v/>
      </c>
      <c r="C11" s="393" t="s">
        <v>131</v>
      </c>
      <c r="D11" s="392" t="str">
        <f>IFERROR(IF(C11="","",VLOOKUP(C11,'Mapped COA'!A:G,2,0)),IF(C11="","",VLOOKUP(C11,COA!A:G,2,0)))</f>
        <v>Prepaid Property Insurance</v>
      </c>
      <c r="G11" s="458"/>
      <c r="H11" s="459"/>
      <c r="I11" s="459"/>
      <c r="J11" s="459"/>
      <c r="K11" s="459"/>
      <c r="L11" s="459"/>
      <c r="M11" s="459"/>
      <c r="N11" s="459"/>
      <c r="O11" s="459"/>
      <c r="P11" s="459"/>
      <c r="Q11" s="459"/>
      <c r="R11" s="459"/>
      <c r="S11" s="460"/>
    </row>
    <row r="12" spans="1:19" ht="15.5" thickTop="1" thickBot="1" x14ac:dyDescent="0.4">
      <c r="A12" s="617"/>
      <c r="B12" s="392" t="str">
        <f>_xlfn.TEXTJOIN(" ",TRUE,'Property Insurance'!G15,)</f>
        <v/>
      </c>
      <c r="C12" s="393" t="s">
        <v>131</v>
      </c>
      <c r="D12" s="392" t="str">
        <f>IFERROR(IF(C12="","",VLOOKUP(C12,'Mapped COA'!A:G,2,0)),IF(C12="","",VLOOKUP(C12,COA!A:G,2,0)))</f>
        <v>Prepaid Property Insurance</v>
      </c>
      <c r="G12" s="458" t="s">
        <v>589</v>
      </c>
      <c r="H12" s="459" t="s">
        <v>590</v>
      </c>
      <c r="I12" s="459"/>
      <c r="J12" s="459"/>
      <c r="K12" s="459"/>
      <c r="L12" s="459"/>
      <c r="M12" s="459"/>
      <c r="N12" s="459"/>
      <c r="O12" s="459"/>
      <c r="P12" s="459"/>
      <c r="Q12" s="459"/>
      <c r="R12" s="459"/>
      <c r="S12" s="460"/>
    </row>
    <row r="13" spans="1:19" ht="15.5" thickTop="1" thickBot="1" x14ac:dyDescent="0.4">
      <c r="A13" s="617"/>
      <c r="B13" s="392" t="str">
        <f>_xlfn.TEXTJOIN(" ",TRUE,'Property Insurance'!G16,)</f>
        <v/>
      </c>
      <c r="C13" s="393" t="s">
        <v>131</v>
      </c>
      <c r="D13" s="392" t="str">
        <f>IFERROR(IF(C13="","",VLOOKUP(C13,'Mapped COA'!A:G,2,0)),IF(C13="","",VLOOKUP(C13,COA!A:G,2,0)))</f>
        <v>Prepaid Property Insurance</v>
      </c>
      <c r="G13" s="458"/>
      <c r="H13" s="459" t="s">
        <v>591</v>
      </c>
      <c r="I13" s="459"/>
      <c r="J13" s="459"/>
      <c r="K13" s="459"/>
      <c r="L13" s="459"/>
      <c r="M13" s="459"/>
      <c r="N13" s="459"/>
      <c r="O13" s="459"/>
      <c r="P13" s="459"/>
      <c r="Q13" s="459"/>
      <c r="R13" s="459"/>
      <c r="S13" s="460"/>
    </row>
    <row r="14" spans="1:19" ht="15.5" thickTop="1" thickBot="1" x14ac:dyDescent="0.4">
      <c r="A14" s="617"/>
      <c r="B14" s="392" t="str">
        <f>_xlfn.TEXTJOIN(" ",TRUE,'Property Insurance'!G17,)</f>
        <v/>
      </c>
      <c r="C14" s="393" t="s">
        <v>131</v>
      </c>
      <c r="D14" s="392" t="str">
        <f>IFERROR(IF(C14="","",VLOOKUP(C14,'Mapped COA'!A:G,2,0)),IF(C14="","",VLOOKUP(C14,COA!A:G,2,0)))</f>
        <v>Prepaid Property Insurance</v>
      </c>
      <c r="G14" s="458"/>
      <c r="H14" s="459" t="s">
        <v>592</v>
      </c>
      <c r="I14" s="459"/>
      <c r="J14" s="459"/>
      <c r="K14" s="459"/>
      <c r="L14" s="459"/>
      <c r="M14" s="459"/>
      <c r="N14" s="459"/>
      <c r="O14" s="459"/>
      <c r="P14" s="459"/>
      <c r="Q14" s="459"/>
      <c r="R14" s="459"/>
      <c r="S14" s="460"/>
    </row>
    <row r="15" spans="1:19" ht="15.5" thickTop="1" thickBot="1" x14ac:dyDescent="0.4">
      <c r="A15" s="617"/>
      <c r="B15" s="392" t="str">
        <f>_xlfn.TEXTJOIN(" ",TRUE,'Real Estate Taxes'!G9,)</f>
        <v/>
      </c>
      <c r="C15" s="393" t="s">
        <v>173</v>
      </c>
      <c r="D15" s="392" t="str">
        <f>IFERROR(IF(C15="","",VLOOKUP(C15,'Mapped COA'!A:G,2,0)),IF(C15="","",VLOOKUP(C15,COA!A:G,2,0)))</f>
        <v>Prepaid Property Tax</v>
      </c>
      <c r="G15" s="458"/>
      <c r="H15" s="459" t="s">
        <v>593</v>
      </c>
      <c r="I15" s="459"/>
      <c r="J15" s="459"/>
      <c r="K15" s="459"/>
      <c r="L15" s="459"/>
      <c r="M15" s="459"/>
      <c r="N15" s="459"/>
      <c r="O15" s="459"/>
      <c r="P15" s="459"/>
      <c r="Q15" s="459"/>
      <c r="R15" s="459"/>
      <c r="S15" s="460"/>
    </row>
    <row r="16" spans="1:19" ht="15.5" thickTop="1" thickBot="1" x14ac:dyDescent="0.4">
      <c r="A16" s="617"/>
      <c r="B16" s="392" t="str">
        <f>_xlfn.TEXTJOIN(" ",TRUE,'Real Estate Taxes'!G10,)</f>
        <v/>
      </c>
      <c r="C16" s="393" t="s">
        <v>173</v>
      </c>
      <c r="D16" s="392" t="str">
        <f>IFERROR(IF(C16="","",VLOOKUP(C16,'Mapped COA'!A:G,2,0)),IF(C16="","",VLOOKUP(C16,COA!A:G,2,0)))</f>
        <v>Prepaid Property Tax</v>
      </c>
      <c r="G16" s="458"/>
      <c r="H16" s="459"/>
      <c r="I16" s="459"/>
      <c r="J16" s="459"/>
      <c r="K16" s="459"/>
      <c r="L16" s="459"/>
      <c r="M16" s="459"/>
      <c r="N16" s="459"/>
      <c r="O16" s="459"/>
      <c r="P16" s="459"/>
      <c r="Q16" s="459"/>
      <c r="R16" s="459"/>
      <c r="S16" s="460"/>
    </row>
    <row r="17" spans="1:19" ht="15.5" thickTop="1" thickBot="1" x14ac:dyDescent="0.4">
      <c r="A17" s="617"/>
      <c r="B17" s="392" t="str">
        <f>_xlfn.TEXTJOIN(" ",TRUE,'Real Estate Taxes'!G11,)</f>
        <v/>
      </c>
      <c r="C17" s="393" t="s">
        <v>173</v>
      </c>
      <c r="D17" s="392" t="str">
        <f>IFERROR(IF(C17="","",VLOOKUP(C17,'Mapped COA'!A:G,2,0)),IF(C17="","",VLOOKUP(C17,COA!A:G,2,0)))</f>
        <v>Prepaid Property Tax</v>
      </c>
      <c r="G17" s="458" t="s">
        <v>594</v>
      </c>
      <c r="H17" s="459" t="s">
        <v>595</v>
      </c>
      <c r="I17" s="459"/>
      <c r="J17" s="459"/>
      <c r="K17" s="459"/>
      <c r="L17" s="459"/>
      <c r="M17" s="459"/>
      <c r="N17" s="459"/>
      <c r="O17" s="459"/>
      <c r="P17" s="459"/>
      <c r="Q17" s="459"/>
      <c r="R17" s="459"/>
      <c r="S17" s="460"/>
    </row>
    <row r="18" spans="1:19" ht="15.5" thickTop="1" thickBot="1" x14ac:dyDescent="0.4">
      <c r="A18" s="617"/>
      <c r="B18" s="392" t="str">
        <f>_xlfn.TEXTJOIN(" ",TRUE,'Real Estate Taxes'!G12,)</f>
        <v/>
      </c>
      <c r="C18" s="393" t="s">
        <v>173</v>
      </c>
      <c r="D18" s="392" t="str">
        <f>IFERROR(IF(C18="","",VLOOKUP(C18,'Mapped COA'!A:G,2,0)),IF(C18="","",VLOOKUP(C18,COA!A:G,2,0)))</f>
        <v>Prepaid Property Tax</v>
      </c>
      <c r="G18" s="454"/>
      <c r="H18" s="459" t="s">
        <v>596</v>
      </c>
      <c r="I18" s="459"/>
      <c r="J18" s="459"/>
      <c r="K18" s="459"/>
      <c r="L18" s="459"/>
      <c r="M18" s="459"/>
      <c r="N18" s="459"/>
      <c r="O18" s="459"/>
      <c r="P18" s="459"/>
      <c r="Q18" s="459"/>
      <c r="R18" s="459"/>
      <c r="S18" s="460"/>
    </row>
    <row r="19" spans="1:19" ht="15.5" thickTop="1" thickBot="1" x14ac:dyDescent="0.4">
      <c r="A19" s="617"/>
      <c r="B19" s="392" t="str">
        <f>_xlfn.TEXTJOIN(" ",TRUE,'Real Estate Taxes'!G13,)</f>
        <v/>
      </c>
      <c r="C19" s="393" t="s">
        <v>173</v>
      </c>
      <c r="D19" s="392" t="str">
        <f>IFERROR(IF(C19="","",VLOOKUP(C19,'Mapped COA'!A:G,2,0)),IF(C19="","",VLOOKUP(C19,COA!A:G,2,0)))</f>
        <v>Prepaid Property Tax</v>
      </c>
      <c r="G19" s="463"/>
      <c r="H19" s="456"/>
      <c r="I19" s="456"/>
      <c r="J19" s="456"/>
      <c r="K19" s="456"/>
      <c r="L19" s="456"/>
      <c r="M19" s="456"/>
      <c r="N19" s="456"/>
      <c r="O19" s="456"/>
      <c r="P19" s="456"/>
      <c r="Q19" s="456"/>
      <c r="R19" s="456"/>
      <c r="S19" s="457"/>
    </row>
    <row r="20" spans="1:19" ht="15.5" thickTop="1" thickBot="1" x14ac:dyDescent="0.4">
      <c r="A20" s="617"/>
      <c r="B20" s="392" t="str">
        <f>_xlfn.TEXTJOIN(" ",TRUE,'Real Estate Taxes'!G14,)</f>
        <v/>
      </c>
      <c r="C20" s="393" t="s">
        <v>173</v>
      </c>
      <c r="D20" s="392" t="str">
        <f>IFERROR(IF(C20="","",VLOOKUP(C20,'Mapped COA'!A:G,2,0)),IF(C20="","",VLOOKUP(C20,COA!A:G,2,0)))</f>
        <v>Prepaid Property Tax</v>
      </c>
    </row>
    <row r="21" spans="1:19" ht="15.5" thickTop="1" thickBot="1" x14ac:dyDescent="0.4">
      <c r="A21" s="618"/>
      <c r="B21" s="392" t="s">
        <v>597</v>
      </c>
      <c r="C21" s="393" t="s">
        <v>104</v>
      </c>
      <c r="D21" s="392" t="str">
        <f>IFERROR(IF(C21="","",VLOOKUP(C21,'Mapped COA'!A:G,2,0)),IF(C21="","",VLOOKUP(C21,COA!A:G,2,0)))</f>
        <v>Prepaid Expenses - Other 1</v>
      </c>
    </row>
    <row r="22" spans="1:19" ht="15" thickTop="1" x14ac:dyDescent="0.35">
      <c r="A22" s="261"/>
      <c r="B22" s="347"/>
      <c r="C22" s="261"/>
    </row>
    <row r="23" spans="1:19" ht="15" thickBot="1" x14ac:dyDescent="0.4">
      <c r="A23" s="261"/>
      <c r="B23" s="347"/>
      <c r="C23" s="261"/>
    </row>
    <row r="24" spans="1:19" ht="15.65" customHeight="1" thickTop="1" thickBot="1" x14ac:dyDescent="0.4">
      <c r="A24" s="616" t="s">
        <v>598</v>
      </c>
      <c r="B24" s="392" t="str">
        <f>_xlfn.TEXTJOIN(" ",TRUE,'Property Insurance'!G9,)</f>
        <v/>
      </c>
      <c r="C24" s="393" t="s">
        <v>154</v>
      </c>
      <c r="D24" s="392" t="str">
        <f>IFERROR(IF(C24="","",VLOOKUP(C24,'Mapped COA'!A:G,2,0)),IF(C24="","",VLOOKUP(C24,COA!A:G,2,0)))</f>
        <v>Accrued Insurance Expense</v>
      </c>
    </row>
    <row r="25" spans="1:19" ht="15.5" thickTop="1" thickBot="1" x14ac:dyDescent="0.4">
      <c r="A25" s="617"/>
      <c r="B25" s="392" t="str">
        <f>_xlfn.TEXTJOIN(" ",TRUE,'Property Insurance'!G10,)</f>
        <v/>
      </c>
      <c r="C25" s="393" t="s">
        <v>154</v>
      </c>
      <c r="D25" s="392" t="str">
        <f>IFERROR(IF(C25="","",VLOOKUP(C25,'Mapped COA'!A:G,2,0)),IF(C25="","",VLOOKUP(C25,COA!A:G,2,0)))</f>
        <v>Accrued Insurance Expense</v>
      </c>
    </row>
    <row r="26" spans="1:19" ht="15.5" thickTop="1" thickBot="1" x14ac:dyDescent="0.4">
      <c r="A26" s="617"/>
      <c r="B26" s="392" t="e">
        <f>_xlfn.TEXTJOIN(" ",TRUE,'Property Insurance'!#REF!,)</f>
        <v>#REF!</v>
      </c>
      <c r="C26" s="393" t="s">
        <v>154</v>
      </c>
      <c r="D26" s="392" t="str">
        <f>IFERROR(IF(C26="","",VLOOKUP(C26,'Mapped COA'!A:G,2,0)),IF(C26="","",VLOOKUP(C26,COA!A:G,2,0)))</f>
        <v>Accrued Insurance Expense</v>
      </c>
    </row>
    <row r="27" spans="1:19" ht="15.5" thickTop="1" thickBot="1" x14ac:dyDescent="0.4">
      <c r="A27" s="617"/>
      <c r="B27" s="392" t="str">
        <f>_xlfn.TEXTJOIN(" ",TRUE,'Property Insurance'!G11,)</f>
        <v/>
      </c>
      <c r="C27" s="393" t="s">
        <v>154</v>
      </c>
      <c r="D27" s="392" t="str">
        <f>IFERROR(IF(C27="","",VLOOKUP(C27,'Mapped COA'!A:G,2,0)),IF(C27="","",VLOOKUP(C27,COA!A:G,2,0)))</f>
        <v>Accrued Insurance Expense</v>
      </c>
    </row>
    <row r="28" spans="1:19" ht="15.5" thickTop="1" thickBot="1" x14ac:dyDescent="0.4">
      <c r="A28" s="617"/>
      <c r="B28" s="392" t="str">
        <f>_xlfn.TEXTJOIN(" ",TRUE,'Property Insurance'!G12,)</f>
        <v/>
      </c>
      <c r="C28" s="393" t="s">
        <v>154</v>
      </c>
      <c r="D28" s="392" t="str">
        <f>IFERROR(IF(C28="","",VLOOKUP(C28,'Mapped COA'!A:G,2,0)),IF(C28="","",VLOOKUP(C28,COA!A:G,2,0)))</f>
        <v>Accrued Insurance Expense</v>
      </c>
    </row>
    <row r="29" spans="1:19" ht="15.5" thickTop="1" thickBot="1" x14ac:dyDescent="0.4">
      <c r="A29" s="617"/>
      <c r="B29" s="392" t="str">
        <f>_xlfn.TEXTJOIN(" ",TRUE,'Property Insurance'!G13,)</f>
        <v/>
      </c>
      <c r="C29" s="393" t="s">
        <v>154</v>
      </c>
      <c r="D29" s="392" t="str">
        <f>IFERROR(IF(C29="","",VLOOKUP(C29,'Mapped COA'!A:G,2,0)),IF(C29="","",VLOOKUP(C29,COA!A:G,2,0)))</f>
        <v>Accrued Insurance Expense</v>
      </c>
    </row>
    <row r="30" spans="1:19" ht="15.5" thickTop="1" thickBot="1" x14ac:dyDescent="0.4">
      <c r="A30" s="617"/>
      <c r="B30" s="392" t="str">
        <f>_xlfn.TEXTJOIN(" ",TRUE,'Property Insurance'!G14,)</f>
        <v/>
      </c>
      <c r="C30" s="393" t="s">
        <v>154</v>
      </c>
      <c r="D30" s="392" t="str">
        <f>IFERROR(IF(C30="","",VLOOKUP(C30,'Mapped COA'!A:G,2,0)),IF(C30="","",VLOOKUP(C30,COA!A:G,2,0)))</f>
        <v>Accrued Insurance Expense</v>
      </c>
    </row>
    <row r="31" spans="1:19" ht="15.5" thickTop="1" thickBot="1" x14ac:dyDescent="0.4">
      <c r="A31" s="617"/>
      <c r="B31" s="392" t="str">
        <f>_xlfn.TEXTJOIN(" ",TRUE,'Property Insurance'!G15,)</f>
        <v/>
      </c>
      <c r="C31" s="393" t="s">
        <v>154</v>
      </c>
      <c r="D31" s="392" t="str">
        <f>IFERROR(IF(C31="","",VLOOKUP(C31,'Mapped COA'!A:G,2,0)),IF(C31="","",VLOOKUP(C31,COA!A:G,2,0)))</f>
        <v>Accrued Insurance Expense</v>
      </c>
    </row>
    <row r="32" spans="1:19" ht="15.5" thickTop="1" thickBot="1" x14ac:dyDescent="0.4">
      <c r="A32" s="617"/>
      <c r="B32" s="392" t="str">
        <f>_xlfn.TEXTJOIN(" ",TRUE,'Property Insurance'!G16,)</f>
        <v/>
      </c>
      <c r="C32" s="393" t="s">
        <v>154</v>
      </c>
      <c r="D32" s="392" t="str">
        <f>IFERROR(IF(C32="","",VLOOKUP(C32,'Mapped COA'!A:G,2,0)),IF(C32="","",VLOOKUP(C32,COA!A:G,2,0)))</f>
        <v>Accrued Insurance Expense</v>
      </c>
    </row>
    <row r="33" spans="1:4" ht="15.5" thickTop="1" thickBot="1" x14ac:dyDescent="0.4">
      <c r="A33" s="617"/>
      <c r="B33" s="392" t="str">
        <f>_xlfn.TEXTJOIN(" ",TRUE,'Property Insurance'!G17,)</f>
        <v/>
      </c>
      <c r="C33" s="393" t="s">
        <v>154</v>
      </c>
      <c r="D33" s="392" t="str">
        <f>IFERROR(IF(C33="","",VLOOKUP(C33,'Mapped COA'!A:G,2,0)),IF(C33="","",VLOOKUP(C33,COA!A:G,2,0)))</f>
        <v>Accrued Insurance Expense</v>
      </c>
    </row>
    <row r="34" spans="1:4" ht="15.5" thickTop="1" thickBot="1" x14ac:dyDescent="0.4">
      <c r="A34" s="617"/>
      <c r="B34" s="392" t="str">
        <f>_xlfn.TEXTJOIN(" ",TRUE,'Real Estate Taxes'!G9,)</f>
        <v/>
      </c>
      <c r="C34" s="393" t="s">
        <v>189</v>
      </c>
      <c r="D34" s="392" t="str">
        <f>IFERROR(IF(C34="","",VLOOKUP(C34,'Mapped COA'!A:G,2,0)),IF(C34="","",VLOOKUP(C34,COA!A:G,2,0)))</f>
        <v>Property - RE Tax Accrued Expense</v>
      </c>
    </row>
    <row r="35" spans="1:4" ht="15.5" thickTop="1" thickBot="1" x14ac:dyDescent="0.4">
      <c r="A35" s="617"/>
      <c r="B35" s="392" t="str">
        <f>_xlfn.TEXTJOIN(" ",TRUE,'Real Estate Taxes'!G10,)</f>
        <v/>
      </c>
      <c r="C35" s="393" t="s">
        <v>189</v>
      </c>
      <c r="D35" s="392" t="str">
        <f>IFERROR(IF(C35="","",VLOOKUP(C35,'Mapped COA'!A:G,2,0)),IF(C35="","",VLOOKUP(C35,COA!A:G,2,0)))</f>
        <v>Property - RE Tax Accrued Expense</v>
      </c>
    </row>
    <row r="36" spans="1:4" ht="15.5" thickTop="1" thickBot="1" x14ac:dyDescent="0.4">
      <c r="A36" s="617"/>
      <c r="B36" s="392" t="str">
        <f>_xlfn.TEXTJOIN(" ",TRUE,'Real Estate Taxes'!G11,)</f>
        <v/>
      </c>
      <c r="C36" s="393" t="s">
        <v>189</v>
      </c>
      <c r="D36" s="392" t="str">
        <f>IFERROR(IF(C36="","",VLOOKUP(C36,'Mapped COA'!A:G,2,0)),IF(C36="","",VLOOKUP(C36,COA!A:G,2,0)))</f>
        <v>Property - RE Tax Accrued Expense</v>
      </c>
    </row>
    <row r="37" spans="1:4" ht="15.5" thickTop="1" thickBot="1" x14ac:dyDescent="0.4">
      <c r="A37" s="617"/>
      <c r="B37" s="392" t="str">
        <f>_xlfn.TEXTJOIN(" ",TRUE,'Real Estate Taxes'!G12,)</f>
        <v/>
      </c>
      <c r="C37" s="393" t="s">
        <v>189</v>
      </c>
      <c r="D37" s="392" t="str">
        <f>IFERROR(IF(C37="","",VLOOKUP(C37,'Mapped COA'!A:G,2,0)),IF(C37="","",VLOOKUP(C37,COA!A:G,2,0)))</f>
        <v>Property - RE Tax Accrued Expense</v>
      </c>
    </row>
    <row r="38" spans="1:4" ht="15.5" thickTop="1" thickBot="1" x14ac:dyDescent="0.4">
      <c r="A38" s="394"/>
      <c r="B38" s="392" t="str">
        <f>_xlfn.TEXTJOIN(" ",TRUE,'Real Estate Taxes'!G13,)</f>
        <v/>
      </c>
      <c r="C38" s="393" t="s">
        <v>189</v>
      </c>
      <c r="D38" s="392" t="str">
        <f>IFERROR(IF(C38="","",VLOOKUP(C38,'Mapped COA'!A:G,2,0)),IF(C38="","",VLOOKUP(C38,COA!A:G,2,0)))</f>
        <v>Property - RE Tax Accrued Expense</v>
      </c>
    </row>
    <row r="39" spans="1:4" ht="15.5" thickTop="1" thickBot="1" x14ac:dyDescent="0.4">
      <c r="A39" s="395"/>
      <c r="B39" s="392" t="str">
        <f>_xlfn.TEXTJOIN(" ",TRUE,'Real Estate Taxes'!G14,)</f>
        <v/>
      </c>
      <c r="C39" s="393" t="s">
        <v>189</v>
      </c>
      <c r="D39" s="392" t="str">
        <f>IFERROR(IF(C39="","",VLOOKUP(C39,'Mapped COA'!A:G,2,0)),IF(C39="","",VLOOKUP(C39,COA!A:G,2,0)))</f>
        <v>Property - RE Tax Accrued Expense</v>
      </c>
    </row>
    <row r="40" spans="1:4" ht="15" thickTop="1" x14ac:dyDescent="0.35"/>
  </sheetData>
  <mergeCells count="4">
    <mergeCell ref="A24:A37"/>
    <mergeCell ref="A5:A21"/>
    <mergeCell ref="G4:S4"/>
    <mergeCell ref="G5:S5"/>
  </mergeCells>
  <phoneticPr fontId="47" type="noConversion"/>
  <conditionalFormatting sqref="C5:C21">
    <cfRule type="expression" dxfId="15" priority="10">
      <formula>INDIRECT("A"&amp;ROW()) = "Yes"</formula>
    </cfRule>
  </conditionalFormatting>
  <conditionalFormatting sqref="C25:C39">
    <cfRule type="expression" dxfId="14" priority="6">
      <formula>INDIRECT("A"&amp;ROW()) = "Yes"</formula>
    </cfRule>
  </conditionalFormatting>
  <conditionalFormatting sqref="B1">
    <cfRule type="expression" dxfId="13" priority="4">
      <formula>INDIRECT("A"&amp;ROW()) = "Yes"</formula>
    </cfRule>
  </conditionalFormatting>
  <conditionalFormatting sqref="B3">
    <cfRule type="expression" dxfId="12" priority="2">
      <formula>INDIRECT("A"&amp;ROW()) = "Yes"</formula>
    </cfRule>
  </conditionalFormatting>
  <conditionalFormatting sqref="C24:C39">
    <cfRule type="expression" dxfId="11" priority="1">
      <formula>INDIRECT("A"&amp;ROW()) = "Yes"</formula>
    </cfRule>
  </conditionalFormatting>
  <dataValidations count="1">
    <dataValidation type="list" allowBlank="1" showInputMessage="1" showErrorMessage="1" sqref="B1" xr:uid="{820E1912-F8AD-4E22-8632-8A2BC997A40A}">
      <formula1>"Entrata, MRI, OneSite, Yardi"</formula1>
    </dataValidation>
  </dataValidations>
  <pageMargins left="0.7" right="0.7" top="0.75" bottom="0.75" header="0.3" footer="0.3"/>
  <pageSetup orientation="landscape" r:id="rId1"/>
  <headerFooter>
    <oddFooter>&amp;LWednesday, November 09, 2022&amp;RPage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GenerateUploadCSV">
                <anchor moveWithCells="1" sizeWithCells="1">
                  <from>
                    <xdr:col>3</xdr:col>
                    <xdr:colOff>190500</xdr:colOff>
                    <xdr:row>0</xdr:row>
                    <xdr:rowOff>50800</xdr:rowOff>
                  </from>
                  <to>
                    <xdr:col>3</xdr:col>
                    <xdr:colOff>1504950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C011C36-AB6C-464C-B19B-826F7D4E215C}">
          <x14:formula1>
            <xm:f>'Mapped COA'!$P$2:$P$3</xm:f>
          </x14:formula1>
          <xm:sqref>B3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EB3A3-9E79-40D9-9703-54FA216BA80B}">
  <sheetPr codeName="Sheet2"/>
  <dimension ref="A2:Y165"/>
  <sheetViews>
    <sheetView workbookViewId="0">
      <selection sqref="A1:BY165"/>
    </sheetView>
  </sheetViews>
  <sheetFormatPr defaultRowHeight="14.5" x14ac:dyDescent="0.35"/>
  <cols>
    <col min="5" max="6" width="9.453125" style="259" bestFit="1" customWidth="1"/>
    <col min="7" max="7" width="22.453125" bestFit="1" customWidth="1"/>
    <col min="8" max="8" width="19.453125" bestFit="1" customWidth="1"/>
    <col min="10" max="10" width="20" style="318" customWidth="1"/>
    <col min="11" max="11" width="11.1796875" bestFit="1" customWidth="1"/>
    <col min="15" max="15" width="63" bestFit="1" customWidth="1"/>
    <col min="17" max="17" width="24.7265625" bestFit="1" customWidth="1"/>
    <col min="18" max="18" width="21" bestFit="1" customWidth="1"/>
    <col min="19" max="19" width="30.453125" customWidth="1"/>
    <col min="20" max="20" width="32.453125" bestFit="1" customWidth="1"/>
    <col min="21" max="21" width="43.54296875" bestFit="1" customWidth="1"/>
    <col min="22" max="22" width="41.453125" bestFit="1" customWidth="1"/>
    <col min="24" max="24" width="42.26953125" bestFit="1" customWidth="1"/>
  </cols>
  <sheetData>
    <row r="2" spans="1:19" x14ac:dyDescent="0.35">
      <c r="A2" t="s">
        <v>599</v>
      </c>
      <c r="B2">
        <v>1</v>
      </c>
      <c r="E2" s="259">
        <f>'Input-Instructions'!$B$6</f>
        <v>46266</v>
      </c>
      <c r="F2" s="259">
        <f>'Input-Instructions'!$B$6</f>
        <v>46266</v>
      </c>
      <c r="G2" t="str">
        <f>TEXT(F2,"mmmm")&amp;" Recurring Entries"</f>
        <v>September Recurring Entries</v>
      </c>
      <c r="H2" t="s">
        <v>600</v>
      </c>
      <c r="I2" t="str">
        <f>'Input-Instructions'!$B$4</f>
        <v>'c6us087a</v>
      </c>
      <c r="J2" s="318">
        <f>IF('Property Insurance'!$A$9="Yes",0,'Property Insurance'!$L$9)</f>
        <v>0</v>
      </c>
      <c r="K2" t="str">
        <f>IF('Upload Setup'!$B$3="Chart of Accounts A",IFERROR(VLOOKUP('Property Insurance'!$E$9,'Mapped COA'!A:G,1,0),'Property Insurance'!$E$9),IFERROR(VLOOKUP('Property Insurance'!$E$9,'Mapped COA'!A:G,3,0),'Property Insurance'!$E$9))</f>
        <v>5510-0100</v>
      </c>
      <c r="N2">
        <v>1</v>
      </c>
      <c r="O2" t="str">
        <f>_xlfn.TEXTJOIN(" ",TRUE,TEXT('Input-Instructions'!$B$6,"MM/YYYY"),"Prepaid",'Property Insurance'!$G$9,,"Amortization")</f>
        <v>09/2026 Prepaid Amortization</v>
      </c>
      <c r="P2">
        <v>0</v>
      </c>
      <c r="Q2" s="292"/>
      <c r="S2" s="292"/>
    </row>
    <row r="3" spans="1:19" x14ac:dyDescent="0.35">
      <c r="A3" t="s">
        <v>599</v>
      </c>
      <c r="B3">
        <v>1</v>
      </c>
      <c r="E3" s="259">
        <f>'Input-Instructions'!$B$6</f>
        <v>46266</v>
      </c>
      <c r="F3" s="259">
        <f>'Input-Instructions'!$B$6</f>
        <v>46266</v>
      </c>
      <c r="G3" t="str">
        <f t="shared" ref="G3:G74" si="0">TEXT(F3,"mmmm")&amp;" Recurring Entries"</f>
        <v>September Recurring Entries</v>
      </c>
      <c r="H3" t="s">
        <v>600</v>
      </c>
      <c r="I3" t="str">
        <f>'Input-Instructions'!$B$4</f>
        <v>'c6us087a</v>
      </c>
      <c r="J3" s="318">
        <f>IF('Property Insurance'!$A$9="Yes",0,-'Property Insurance'!$L$9)</f>
        <v>0</v>
      </c>
      <c r="K3" t="str">
        <f>IF('Upload Setup'!$B$3="Chart of Accounts A",IFERROR(VLOOKUP(IFERROR(VLOOKUP(VLOOKUP(K2,'Mapped COA'!A:G,2,0),'Upload Setup'!$B$5:$C$21,2,FALSE),'Property Insurance'!$D$7),'Mapped COA'!A:G,1,0),IFERROR(VLOOKUP(VLOOKUP(K2,COA!A:G,2,0),'Upload Setup'!$B$5:$C$21,2,FALSE),'Property Insurance'!$D$7)),IFERROR(VLOOKUP(IFERROR(VLOOKUP(VLOOKUP(K2,'Mapped COA'!A:G,2,0),'Upload Setup'!$B$5:$C$21,2,FALSE),'Property Insurance'!$D$7),'Mapped COA'!A:G,3,0),IFERROR(VLOOKUP(VLOOKUP(K2,COA!A:G,2,0),'Upload Setup'!$B$5:$C$21,2,FALSE),'Property Insurance'!$D$7)))</f>
        <v>1630-2010</v>
      </c>
      <c r="N3">
        <v>1</v>
      </c>
      <c r="O3" t="str">
        <f>_xlfn.TEXTJOIN(" ",TRUE,TEXT('Input-Instructions'!$B$6,"MM/YYYY"),"Prepaid",'Property Insurance'!$G$9,,"Amortization")</f>
        <v>09/2026 Prepaid Amortization</v>
      </c>
      <c r="P3">
        <v>0</v>
      </c>
      <c r="Q3" s="292"/>
      <c r="S3" s="292"/>
    </row>
    <row r="4" spans="1:19" x14ac:dyDescent="0.35">
      <c r="A4" t="s">
        <v>599</v>
      </c>
      <c r="B4">
        <v>1</v>
      </c>
      <c r="E4" s="259">
        <f>'Input-Instructions'!$B$6</f>
        <v>46266</v>
      </c>
      <c r="F4" s="259">
        <f>'Input-Instructions'!$B$6</f>
        <v>46266</v>
      </c>
      <c r="G4" t="str">
        <f t="shared" si="0"/>
        <v>September Recurring Entries</v>
      </c>
      <c r="H4" t="s">
        <v>600</v>
      </c>
      <c r="I4" t="str">
        <f>'Input-Instructions'!$B$4</f>
        <v>'c6us087a</v>
      </c>
      <c r="J4" s="318">
        <f>IF('Property Insurance'!$A$10="Yes",0,'Property Insurance'!$L$10)</f>
        <v>0</v>
      </c>
      <c r="K4" t="str">
        <f>IF('Upload Setup'!$B$3="Chart of Accounts A",IFERROR(VLOOKUP('Property Insurance'!$E$10,'Mapped COA'!A:G,1,0),'Property Insurance'!$E$10),IFERROR(VLOOKUP('Property Insurance'!$E$10,'Mapped COA'!A:G,3,0),'Property Insurance'!$E$10))</f>
        <v>5510-1500</v>
      </c>
      <c r="N4">
        <v>1</v>
      </c>
      <c r="O4" t="str">
        <f>_xlfn.TEXTJOIN(" ",TRUE,TEXT('Input-Instructions'!$B$6,"MM/YYYY"),"Prepaid",'Property Insurance'!$G$10,,"Amortization")</f>
        <v>09/2026 Prepaid Amortization</v>
      </c>
      <c r="P4">
        <v>0</v>
      </c>
      <c r="Q4" s="292"/>
      <c r="S4" s="292"/>
    </row>
    <row r="5" spans="1:19" x14ac:dyDescent="0.35">
      <c r="A5" t="s">
        <v>599</v>
      </c>
      <c r="B5">
        <v>1</v>
      </c>
      <c r="E5" s="259">
        <f>'Input-Instructions'!$B$6</f>
        <v>46266</v>
      </c>
      <c r="F5" s="259">
        <f>'Input-Instructions'!$B$6</f>
        <v>46266</v>
      </c>
      <c r="G5" t="str">
        <f t="shared" si="0"/>
        <v>September Recurring Entries</v>
      </c>
      <c r="H5" t="s">
        <v>600</v>
      </c>
      <c r="I5" t="str">
        <f>'Input-Instructions'!$B$4</f>
        <v>'c6us087a</v>
      </c>
      <c r="J5" s="318">
        <f>IF('Property Insurance'!$A$10="Yes",0,-'Property Insurance'!$L$10)</f>
        <v>0</v>
      </c>
      <c r="K5" t="str">
        <f>IF('Upload Setup'!$B$3="Chart of Accounts A",IFERROR(VLOOKUP(IFERROR(VLOOKUP(VLOOKUP(K4,'Mapped COA'!A:G,2,0),'Upload Setup'!$B$5:$C$21,2,FALSE),'Property Insurance'!$D$7),'Mapped COA'!A:G,1,0),IFERROR(VLOOKUP(VLOOKUP(K4,COA!A:G,2,0),'Upload Setup'!$B$5:$C$21,2,FALSE),'Property Insurance'!$D$7)),IFERROR(VLOOKUP(IFERROR(VLOOKUP(VLOOKUP(K4,'Mapped COA'!A:G,2,0),'Upload Setup'!$B$5:$C$21,2,FALSE),'Property Insurance'!$D$7),'Mapped COA'!A:G,3,0),IFERROR(VLOOKUP(VLOOKUP(K4,COA!A:G,2,0),'Upload Setup'!$B$5:$C$21,2,FALSE),'Property Insurance'!$D$7)))</f>
        <v>1630-2010</v>
      </c>
      <c r="N5">
        <v>1</v>
      </c>
      <c r="O5" t="str">
        <f>_xlfn.TEXTJOIN(" ",TRUE,TEXT('Input-Instructions'!$B$6,"MM/YYYY"),"Prepaid",'Property Insurance'!$G$10,,"Amortization")</f>
        <v>09/2026 Prepaid Amortization</v>
      </c>
      <c r="P5">
        <v>0</v>
      </c>
      <c r="Q5" s="292"/>
      <c r="S5" s="292"/>
    </row>
    <row r="6" spans="1:19" x14ac:dyDescent="0.35">
      <c r="A6" t="s">
        <v>599</v>
      </c>
      <c r="B6">
        <v>1</v>
      </c>
      <c r="E6" s="259">
        <f>'Input-Instructions'!$B$6</f>
        <v>46266</v>
      </c>
      <c r="F6" s="259">
        <f>'Input-Instructions'!$B$6</f>
        <v>46266</v>
      </c>
      <c r="G6" t="str">
        <f t="shared" si="0"/>
        <v>September Recurring Entries</v>
      </c>
      <c r="H6" t="s">
        <v>600</v>
      </c>
      <c r="I6" t="str">
        <f>'Input-Instructions'!$B$4</f>
        <v>'c6us087a</v>
      </c>
      <c r="J6" s="318" t="e">
        <f>IF('Property Insurance'!#REF!="Yes",0,'Property Insurance'!#REF!)</f>
        <v>#REF!</v>
      </c>
      <c r="K6" t="e">
        <f>IF('Upload Setup'!$B$3="Chart of Accounts A",IFERROR(VLOOKUP('Property Insurance'!#REF!,'Mapped COA'!A:G,1,0),'Property Insurance'!#REF!),IFERROR(VLOOKUP('Property Insurance'!#REF!,'Mapped COA'!A:G,3,0),'Property Insurance'!#REF!))</f>
        <v>#REF!</v>
      </c>
      <c r="N6">
        <v>1</v>
      </c>
      <c r="O6" t="e">
        <f>_xlfn.TEXTJOIN(" ",TRUE,TEXT('Input-Instructions'!$B$6,"MM/YYYY"),"Prepaid",'Property Insurance'!#REF!,,"Amortization")</f>
        <v>#REF!</v>
      </c>
      <c r="P6">
        <v>0</v>
      </c>
      <c r="Q6" s="292"/>
      <c r="S6" s="292"/>
    </row>
    <row r="7" spans="1:19" x14ac:dyDescent="0.35">
      <c r="A7" t="s">
        <v>599</v>
      </c>
      <c r="B7">
        <v>1</v>
      </c>
      <c r="E7" s="259">
        <f>'Input-Instructions'!$B$6</f>
        <v>46266</v>
      </c>
      <c r="F7" s="259">
        <f>'Input-Instructions'!$B$6</f>
        <v>46266</v>
      </c>
      <c r="G7" t="str">
        <f t="shared" si="0"/>
        <v>September Recurring Entries</v>
      </c>
      <c r="H7" t="s">
        <v>600</v>
      </c>
      <c r="I7" t="str">
        <f>'Input-Instructions'!$B$4</f>
        <v>'c6us087a</v>
      </c>
      <c r="J7" s="318" t="e">
        <f>IF('Property Insurance'!#REF!="Yes",0,-'Property Insurance'!#REF!)</f>
        <v>#REF!</v>
      </c>
      <c r="K7" t="str">
        <f>IF('Upload Setup'!$B$3="Chart of Accounts A",IFERROR(VLOOKUP(IFERROR(VLOOKUP(VLOOKUP(K6,'Mapped COA'!A:G,2,0),'Upload Setup'!$B$5:$C$21,2,FALSE),'Property Insurance'!$D$7),'Mapped COA'!A:G,1,0),IFERROR(VLOOKUP(VLOOKUP(K6,COA!A:G,2,0),'Upload Setup'!$B$5:$C$21,2,FALSE),'Property Insurance'!$D$7)),IFERROR(VLOOKUP(IFERROR(VLOOKUP(VLOOKUP(K6,'Mapped COA'!A:G,2,0),'Upload Setup'!$B$5:$C$21,2,FALSE),'Property Insurance'!$D$7),'Mapped COA'!A:G,3,0),IFERROR(VLOOKUP(VLOOKUP(K6,COA!A:G,2,0),'Upload Setup'!$B$5:$C$21,2,FALSE),'Property Insurance'!$D$7)))</f>
        <v>1630-2010</v>
      </c>
      <c r="N7">
        <v>1</v>
      </c>
      <c r="O7" t="e">
        <f>_xlfn.TEXTJOIN(" ",TRUE,TEXT('Input-Instructions'!$B$6,"MM/YYYY"),"Prepaid",'Property Insurance'!#REF!,,"Amortization")</f>
        <v>#REF!</v>
      </c>
      <c r="P7">
        <v>0</v>
      </c>
      <c r="Q7" s="292"/>
      <c r="S7" s="292"/>
    </row>
    <row r="8" spans="1:19" x14ac:dyDescent="0.35">
      <c r="A8" t="s">
        <v>599</v>
      </c>
      <c r="B8">
        <v>1</v>
      </c>
      <c r="E8" s="259">
        <f>'Input-Instructions'!$B$6</f>
        <v>46266</v>
      </c>
      <c r="F8" s="259">
        <f>'Input-Instructions'!$B$6</f>
        <v>46266</v>
      </c>
      <c r="G8" t="str">
        <f t="shared" si="0"/>
        <v>September Recurring Entries</v>
      </c>
      <c r="H8" t="s">
        <v>600</v>
      </c>
      <c r="I8" t="str">
        <f>'Input-Instructions'!$B$4</f>
        <v>'c6us087a</v>
      </c>
      <c r="J8" s="318">
        <f>IF('Property Insurance'!$A$11="Yes",0,'Property Insurance'!$L$11)</f>
        <v>0</v>
      </c>
      <c r="K8" t="str">
        <f>IF('Upload Setup'!$B$3="Chart of Accounts A",IFERROR(VLOOKUP('Property Insurance'!$E$11,'Mapped COA'!A:G,1,0),'Property Insurance'!$E$11),IFERROR(VLOOKUP('Property Insurance'!$E$11,'Mapped COA'!A:G,3,0),'Property Insurance'!$E$11))</f>
        <v>5510-2100</v>
      </c>
      <c r="N8">
        <v>1</v>
      </c>
      <c r="O8" t="str">
        <f>_xlfn.TEXTJOIN(" ",TRUE,TEXT('Input-Instructions'!$B$6,"MM/YYYY"),"Prepaid",'Property Insurance'!$G$11,,"Amortization")</f>
        <v>09/2026 Prepaid Amortization</v>
      </c>
      <c r="P8">
        <v>0</v>
      </c>
      <c r="Q8" s="292"/>
      <c r="S8" s="292"/>
    </row>
    <row r="9" spans="1:19" x14ac:dyDescent="0.35">
      <c r="A9" t="s">
        <v>599</v>
      </c>
      <c r="B9">
        <v>1</v>
      </c>
      <c r="E9" s="259">
        <f>'Input-Instructions'!$B$6</f>
        <v>46266</v>
      </c>
      <c r="F9" s="259">
        <f>'Input-Instructions'!$B$6</f>
        <v>46266</v>
      </c>
      <c r="G9" t="str">
        <f t="shared" si="0"/>
        <v>September Recurring Entries</v>
      </c>
      <c r="H9" t="s">
        <v>600</v>
      </c>
      <c r="I9" t="str">
        <f>'Input-Instructions'!$B$4</f>
        <v>'c6us087a</v>
      </c>
      <c r="J9" s="318">
        <f>IF('Property Insurance'!$A$11="Yes",0,-'Property Insurance'!$L$11)</f>
        <v>0</v>
      </c>
      <c r="K9" t="str">
        <f>IF('Upload Setup'!$B$3="Chart of Accounts A",IFERROR(VLOOKUP(IFERROR(VLOOKUP(VLOOKUP(K8,'Mapped COA'!A:G,2,0),'Upload Setup'!$B$5:$C$21,2,FALSE),'Property Insurance'!$D$7),'Mapped COA'!A:G,1,0),IFERROR(VLOOKUP(VLOOKUP(K8,COA!A:G,2,0),'Upload Setup'!$B$5:$C$21,2,FALSE),'Property Insurance'!$D$7)),IFERROR(VLOOKUP(IFERROR(VLOOKUP(VLOOKUP(K8,'Mapped COA'!A:G,2,0),'Upload Setup'!$B$5:$C$21,2,FALSE),'Property Insurance'!$D$7),'Mapped COA'!A:G,3,0),IFERROR(VLOOKUP(VLOOKUP(K8,COA!A:G,2,0),'Upload Setup'!$B$5:$C$21,2,FALSE),'Property Insurance'!$D$7)))</f>
        <v>1630-2010</v>
      </c>
      <c r="N9">
        <v>1</v>
      </c>
      <c r="O9" t="str">
        <f>_xlfn.TEXTJOIN(" ",TRUE,TEXT('Input-Instructions'!$B$6,"MM/YYYY"),"Prepaid",'Property Insurance'!$G$11,,"Amortization")</f>
        <v>09/2026 Prepaid Amortization</v>
      </c>
      <c r="P9">
        <v>0</v>
      </c>
      <c r="Q9" s="292"/>
      <c r="S9" s="292"/>
    </row>
    <row r="10" spans="1:19" x14ac:dyDescent="0.35">
      <c r="A10" t="s">
        <v>599</v>
      </c>
      <c r="B10">
        <v>1</v>
      </c>
      <c r="E10" s="259">
        <f>'Input-Instructions'!$B$6</f>
        <v>46266</v>
      </c>
      <c r="F10" s="259">
        <f>'Input-Instructions'!$B$6</f>
        <v>46266</v>
      </c>
      <c r="G10" t="str">
        <f t="shared" si="0"/>
        <v>September Recurring Entries</v>
      </c>
      <c r="H10" t="s">
        <v>600</v>
      </c>
      <c r="I10" t="str">
        <f>'Input-Instructions'!$B$4</f>
        <v>'c6us087a</v>
      </c>
      <c r="J10" s="318">
        <f>IF('Property Insurance'!$A$12="Yes",0,'Property Insurance'!$L$12)</f>
        <v>74.73</v>
      </c>
      <c r="K10" t="str">
        <f>IF('Upload Setup'!$B$3="Chart of Accounts A",IFERROR(VLOOKUP('Property Insurance'!$E$12,'Mapped COA'!A:G,1,0),'Property Insurance'!$E$12),IFERROR(VLOOKUP('Property Insurance'!$E$12,'Mapped COA'!A:G,3,0),'Property Insurance'!$E$12))</f>
        <v>5510-3500</v>
      </c>
      <c r="N10">
        <v>1</v>
      </c>
      <c r="O10" t="str">
        <f>_xlfn.TEXTJOIN(" ",TRUE,TEXT('Input-Instructions'!$B$6,"MM/YYYY"),"Prepaid",'Property Insurance'!$G$12,,"Amortization")</f>
        <v>09/2026 Prepaid Amortization</v>
      </c>
      <c r="P10">
        <v>0</v>
      </c>
      <c r="Q10" s="292"/>
      <c r="S10" s="292"/>
    </row>
    <row r="11" spans="1:19" x14ac:dyDescent="0.35">
      <c r="A11" t="s">
        <v>599</v>
      </c>
      <c r="B11">
        <v>1</v>
      </c>
      <c r="E11" s="259">
        <f>'Input-Instructions'!$B$6</f>
        <v>46266</v>
      </c>
      <c r="F11" s="259">
        <f>'Input-Instructions'!$B$6</f>
        <v>46266</v>
      </c>
      <c r="G11" t="str">
        <f t="shared" si="0"/>
        <v>September Recurring Entries</v>
      </c>
      <c r="H11" t="s">
        <v>600</v>
      </c>
      <c r="I11" t="str">
        <f>'Input-Instructions'!$B$4</f>
        <v>'c6us087a</v>
      </c>
      <c r="J11" s="318">
        <f>IF('Property Insurance'!$A$12="Yes",0,-'Property Insurance'!$L$12)</f>
        <v>-74.73</v>
      </c>
      <c r="K11" t="str">
        <f>IF('Upload Setup'!$B$3="Chart of Accounts A",IFERROR(VLOOKUP(IFERROR(VLOOKUP(VLOOKUP(K10,'Mapped COA'!A:G,2,0),'Upload Setup'!$B$5:$C$21,2,FALSE),'Property Insurance'!$D$7),'Mapped COA'!A:G,1,0),IFERROR(VLOOKUP(VLOOKUP(K10,COA!A:G,2,0),'Upload Setup'!$B$5:$C$21,2,FALSE),'Property Insurance'!$D$7)),IFERROR(VLOOKUP(IFERROR(VLOOKUP(VLOOKUP(K10,'Mapped COA'!A:G,2,0),'Upload Setup'!$B$5:$C$21,2,FALSE),'Property Insurance'!$D$7),'Mapped COA'!A:G,3,0),IFERROR(VLOOKUP(VLOOKUP(K10,COA!A:G,2,0),'Upload Setup'!$B$5:$C$21,2,FALSE),'Property Insurance'!$D$7)))</f>
        <v>1630-2010</v>
      </c>
      <c r="N11">
        <v>1</v>
      </c>
      <c r="O11" t="str">
        <f>_xlfn.TEXTJOIN(" ",TRUE,TEXT('Input-Instructions'!$B$6,"MM/YYYY"),"Prepaid",'Property Insurance'!$G$12,,"Amortization")</f>
        <v>09/2026 Prepaid Amortization</v>
      </c>
      <c r="P11">
        <v>0</v>
      </c>
      <c r="Q11" s="292"/>
      <c r="S11" s="292"/>
    </row>
    <row r="12" spans="1:19" x14ac:dyDescent="0.35">
      <c r="A12" t="s">
        <v>599</v>
      </c>
      <c r="B12">
        <v>1</v>
      </c>
      <c r="E12" s="259">
        <f>'Input-Instructions'!$B$6</f>
        <v>46266</v>
      </c>
      <c r="F12" s="259">
        <f>'Input-Instructions'!$B$6</f>
        <v>46266</v>
      </c>
      <c r="G12" t="str">
        <f t="shared" si="0"/>
        <v>September Recurring Entries</v>
      </c>
      <c r="H12" t="s">
        <v>600</v>
      </c>
      <c r="I12" t="str">
        <f>'Input-Instructions'!$B$4</f>
        <v>'c6us087a</v>
      </c>
      <c r="J12" s="318">
        <f>IF('Property Insurance'!$A$13="Yes",0,'Property Insurance'!$L$13)</f>
        <v>0</v>
      </c>
      <c r="K12" s="385">
        <f>IF('Upload Setup'!$B$3="Chart of Accounts A",IFERROR(VLOOKUP('Property Insurance'!$E$13,'Mapped COA'!A:G,1,0),'Property Insurance'!$E$13),IFERROR(VLOOKUP('Property Insurance'!$E$13,'Mapped COA'!A:G,3,0),'Property Insurance'!$E$13))</f>
        <v>0</v>
      </c>
      <c r="N12">
        <v>1</v>
      </c>
      <c r="O12" t="str">
        <f>_xlfn.TEXTJOIN(" ",TRUE,TEXT('Input-Instructions'!$B$6,"MM/YYYY"),"Prepaid",'Property Insurance'!$G$13,,"Amortization")</f>
        <v>09/2026 Prepaid Amortization</v>
      </c>
      <c r="P12">
        <v>0</v>
      </c>
      <c r="Q12" s="292"/>
      <c r="S12" s="292"/>
    </row>
    <row r="13" spans="1:19" x14ac:dyDescent="0.35">
      <c r="A13" t="s">
        <v>599</v>
      </c>
      <c r="B13">
        <v>1</v>
      </c>
      <c r="E13" s="259">
        <f>'Input-Instructions'!$B$6</f>
        <v>46266</v>
      </c>
      <c r="F13" s="259">
        <f>'Input-Instructions'!$B$6</f>
        <v>46266</v>
      </c>
      <c r="G13" t="str">
        <f t="shared" si="0"/>
        <v>September Recurring Entries</v>
      </c>
      <c r="H13" t="s">
        <v>600</v>
      </c>
      <c r="I13" t="str">
        <f>'Input-Instructions'!$B$4</f>
        <v>'c6us087a</v>
      </c>
      <c r="J13" s="318">
        <f>IF('Property Insurance'!$A$13="Yes",0,-'Property Insurance'!$L$13)</f>
        <v>0</v>
      </c>
      <c r="K13" t="str">
        <f>IF('Upload Setup'!$B$3="Chart of Accounts A",IFERROR(VLOOKUP(IFERROR(VLOOKUP(VLOOKUP(K12,'Mapped COA'!A:G,2,0),'Upload Setup'!$B$5:$C$21,2,FALSE),'Property Insurance'!$D$7),'Mapped COA'!A:G,1,0),IFERROR(VLOOKUP(VLOOKUP(K12,COA!A:G,2,0),'Upload Setup'!$B$5:$C$21,2,FALSE),'Property Insurance'!$D$7)),IFERROR(VLOOKUP(IFERROR(VLOOKUP(VLOOKUP(K12,'Mapped COA'!A:G,2,0),'Upload Setup'!$B$5:$C$21,2,FALSE),'Property Insurance'!$D$7),'Mapped COA'!A:G,3,0),IFERROR(VLOOKUP(VLOOKUP(K12,COA!A:G,2,0),'Upload Setup'!$B$5:$C$21,2,FALSE),'Property Insurance'!$D$7)))</f>
        <v>1630-2010</v>
      </c>
      <c r="N13">
        <v>1</v>
      </c>
      <c r="O13" t="str">
        <f>_xlfn.TEXTJOIN(" ",TRUE,TEXT('Input-Instructions'!$B$6,"MM/YYYY"),"Prepaid",'Property Insurance'!$G$13,,"Amortization")</f>
        <v>09/2026 Prepaid Amortization</v>
      </c>
      <c r="P13">
        <v>0</v>
      </c>
      <c r="Q13" s="292"/>
      <c r="S13" s="292"/>
    </row>
    <row r="14" spans="1:19" x14ac:dyDescent="0.35">
      <c r="A14" t="s">
        <v>599</v>
      </c>
      <c r="B14">
        <v>1</v>
      </c>
      <c r="E14" s="259">
        <f>'Input-Instructions'!$B$6</f>
        <v>46266</v>
      </c>
      <c r="F14" s="259">
        <f>'Input-Instructions'!$B$6</f>
        <v>46266</v>
      </c>
      <c r="G14" t="str">
        <f t="shared" si="0"/>
        <v>September Recurring Entries</v>
      </c>
      <c r="H14" t="s">
        <v>600</v>
      </c>
      <c r="I14" t="str">
        <f>'Input-Instructions'!$B$4</f>
        <v>'c6us087a</v>
      </c>
      <c r="J14" s="318">
        <f>IF('Property Insurance'!$A$14="Yes",0,'Property Insurance'!$L$14)</f>
        <v>0</v>
      </c>
      <c r="K14" s="385">
        <f>IF('Upload Setup'!$B$3="Chart of Accounts A",IFERROR(VLOOKUP('Property Insurance'!$E$14,'Mapped COA'!A:G,1,0),'Property Insurance'!$E$14),IFERROR(VLOOKUP('Property Insurance'!$E$14,'Mapped COA'!A:G,3,0),'Property Insurance'!$E$14))</f>
        <v>0</v>
      </c>
      <c r="N14">
        <v>1</v>
      </c>
      <c r="O14" t="str">
        <f>_xlfn.TEXTJOIN(" ",TRUE,TEXT('Input-Instructions'!$B$6,"MM/YYYY"),"Prepaid",'Property Insurance'!$G$14,,"Amortization")</f>
        <v>09/2026 Prepaid Amortization</v>
      </c>
      <c r="P14">
        <v>0</v>
      </c>
      <c r="Q14" s="292"/>
      <c r="S14" s="292"/>
    </row>
    <row r="15" spans="1:19" x14ac:dyDescent="0.35">
      <c r="A15" t="s">
        <v>599</v>
      </c>
      <c r="B15">
        <v>1</v>
      </c>
      <c r="E15" s="259">
        <f>'Input-Instructions'!$B$6</f>
        <v>46266</v>
      </c>
      <c r="F15" s="259">
        <f>'Input-Instructions'!$B$6</f>
        <v>46266</v>
      </c>
      <c r="G15" t="str">
        <f t="shared" si="0"/>
        <v>September Recurring Entries</v>
      </c>
      <c r="H15" t="s">
        <v>600</v>
      </c>
      <c r="I15" t="str">
        <f>'Input-Instructions'!$B$4</f>
        <v>'c6us087a</v>
      </c>
      <c r="J15" s="318">
        <f>IF('Property Insurance'!$A$14="Yes",0,-'Property Insurance'!$L$14)</f>
        <v>0</v>
      </c>
      <c r="K15" t="str">
        <f>IF('Upload Setup'!$B$3="Chart of Accounts A",IFERROR(VLOOKUP(IFERROR(VLOOKUP(VLOOKUP(K14,'Mapped COA'!A:G,2,0),'Upload Setup'!$B$5:$C$21,2,FALSE),'Property Insurance'!$D$7),'Mapped COA'!A:G,1,0),IFERROR(VLOOKUP(VLOOKUP(K14,COA!A:G,2,0),'Upload Setup'!$B$5:$C$21,2,FALSE),'Property Insurance'!$D$7)),IFERROR(VLOOKUP(IFERROR(VLOOKUP(VLOOKUP(K14,'Mapped COA'!A:G,2,0),'Upload Setup'!$B$5:$C$21,2,FALSE),'Property Insurance'!$D$7),'Mapped COA'!A:G,3,0),IFERROR(VLOOKUP(VLOOKUP(K14,COA!A:G,2,0),'Upload Setup'!$B$5:$C$21,2,FALSE),'Property Insurance'!$D$7)))</f>
        <v>1630-2010</v>
      </c>
      <c r="N15">
        <v>1</v>
      </c>
      <c r="O15" t="str">
        <f>_xlfn.TEXTJOIN(" ",TRUE,TEXT('Input-Instructions'!$B$6,"MM/YYYY"),"Prepaid",'Property Insurance'!$G$14,,"Amortization")</f>
        <v>09/2026 Prepaid Amortization</v>
      </c>
      <c r="P15">
        <v>0</v>
      </c>
      <c r="Q15" s="292"/>
      <c r="S15" s="292"/>
    </row>
    <row r="16" spans="1:19" x14ac:dyDescent="0.35">
      <c r="A16" t="s">
        <v>599</v>
      </c>
      <c r="B16">
        <v>1</v>
      </c>
      <c r="E16" s="259">
        <f>'Input-Instructions'!$B$6</f>
        <v>46266</v>
      </c>
      <c r="F16" s="259">
        <f>'Input-Instructions'!$B$6</f>
        <v>46266</v>
      </c>
      <c r="G16" t="str">
        <f t="shared" si="0"/>
        <v>September Recurring Entries</v>
      </c>
      <c r="H16" t="s">
        <v>600</v>
      </c>
      <c r="I16" t="str">
        <f>'Input-Instructions'!$B$4</f>
        <v>'c6us087a</v>
      </c>
      <c r="J16" s="318">
        <f>IF('Property Insurance'!$A$15="Yes",0,'Property Insurance'!$L$15)</f>
        <v>0</v>
      </c>
      <c r="K16" s="385">
        <f>IF('Upload Setup'!$B$3="Chart of Accounts A",IFERROR(VLOOKUP('Property Insurance'!$E$15,'Mapped COA'!A:G,1,0),'Property Insurance'!$E$15),IFERROR(VLOOKUP('Property Insurance'!$E$15,'Mapped COA'!A:G,3,0),'Property Insurance'!$E$15))</f>
        <v>0</v>
      </c>
      <c r="N16">
        <v>1</v>
      </c>
      <c r="O16" t="str">
        <f>_xlfn.TEXTJOIN(" ",TRUE,TEXT('Input-Instructions'!$B$6,"MM/YYYY"),"Prepaid",'Property Insurance'!$G$15,,"Amortization")</f>
        <v>09/2026 Prepaid Amortization</v>
      </c>
      <c r="P16">
        <v>0</v>
      </c>
      <c r="Q16" s="292"/>
      <c r="S16" s="292"/>
    </row>
    <row r="17" spans="1:19" x14ac:dyDescent="0.35">
      <c r="A17" t="s">
        <v>599</v>
      </c>
      <c r="B17">
        <v>1</v>
      </c>
      <c r="E17" s="259">
        <f>'Input-Instructions'!$B$6</f>
        <v>46266</v>
      </c>
      <c r="F17" s="259">
        <f>'Input-Instructions'!$B$6</f>
        <v>46266</v>
      </c>
      <c r="G17" t="str">
        <f t="shared" si="0"/>
        <v>September Recurring Entries</v>
      </c>
      <c r="H17" t="s">
        <v>600</v>
      </c>
      <c r="I17" t="str">
        <f>'Input-Instructions'!$B$4</f>
        <v>'c6us087a</v>
      </c>
      <c r="J17" s="318">
        <f>IF('Property Insurance'!$A$15="Yes",0,-'Property Insurance'!$L$15)</f>
        <v>0</v>
      </c>
      <c r="K17" t="str">
        <f>IF('Upload Setup'!$B$3="Chart of Accounts A",IFERROR(VLOOKUP(IFERROR(VLOOKUP(VLOOKUP(K16,'Mapped COA'!A:G,2,0),'Upload Setup'!$B$5:$C$21,2,FALSE),'Property Insurance'!$D$7),'Mapped COA'!A:G,1,0),IFERROR(VLOOKUP(VLOOKUP(K16,COA!A:G,2,0),'Upload Setup'!$B$5:$C$21,2,FALSE),'Property Insurance'!$D$7)),IFERROR(VLOOKUP(IFERROR(VLOOKUP(VLOOKUP(K16,'Mapped COA'!A:G,2,0),'Upload Setup'!$B$5:$C$21,2,FALSE),'Property Insurance'!$D$7),'Mapped COA'!A:G,3,0),IFERROR(VLOOKUP(VLOOKUP(K16,COA!A:G,2,0),'Upload Setup'!$B$5:$C$21,2,FALSE),'Property Insurance'!$D$7)))</f>
        <v>1630-2010</v>
      </c>
      <c r="N17">
        <v>1</v>
      </c>
      <c r="O17" t="str">
        <f>_xlfn.TEXTJOIN(" ",TRUE,TEXT('Input-Instructions'!$B$6,"MM/YYYY"),"Prepaid",'Property Insurance'!$G$15,,"Amortization")</f>
        <v>09/2026 Prepaid Amortization</v>
      </c>
      <c r="P17">
        <v>0</v>
      </c>
      <c r="Q17" s="292"/>
      <c r="S17" s="292"/>
    </row>
    <row r="18" spans="1:19" x14ac:dyDescent="0.35">
      <c r="A18" t="s">
        <v>599</v>
      </c>
      <c r="B18">
        <v>1</v>
      </c>
      <c r="E18" s="259">
        <f>'Input-Instructions'!$B$6</f>
        <v>46266</v>
      </c>
      <c r="F18" s="259">
        <f>'Input-Instructions'!$B$6</f>
        <v>46266</v>
      </c>
      <c r="G18" t="str">
        <f t="shared" si="0"/>
        <v>September Recurring Entries</v>
      </c>
      <c r="H18" t="s">
        <v>600</v>
      </c>
      <c r="I18" t="str">
        <f>'Input-Instructions'!$B$4</f>
        <v>'c6us087a</v>
      </c>
      <c r="J18" s="318">
        <f>IF('Property Insurance'!$A$16="Yes",0,'Property Insurance'!$L$16)</f>
        <v>0</v>
      </c>
      <c r="K18" s="385">
        <f>IF('Upload Setup'!$B$3="Chart of Accounts A",IFERROR(VLOOKUP('Property Insurance'!$E$16,'Mapped COA'!A:G,1,0),'Property Insurance'!$E$16),IFERROR(VLOOKUP('Property Insurance'!$E$16,'Mapped COA'!A:G,3,0),'Property Insurance'!$E$16))</f>
        <v>0</v>
      </c>
      <c r="N18">
        <v>1</v>
      </c>
      <c r="O18" t="str">
        <f>_xlfn.TEXTJOIN(" ",TRUE,TEXT('Input-Instructions'!$B$6,"MM/YYYY"),"Prepaid",'Property Insurance'!$G$16,,"Amortization")</f>
        <v>09/2026 Prepaid Amortization</v>
      </c>
      <c r="P18">
        <v>0</v>
      </c>
      <c r="Q18" s="292"/>
      <c r="S18" s="292"/>
    </row>
    <row r="19" spans="1:19" x14ac:dyDescent="0.35">
      <c r="A19" t="s">
        <v>599</v>
      </c>
      <c r="B19">
        <v>1</v>
      </c>
      <c r="E19" s="259">
        <f>'Input-Instructions'!$B$6</f>
        <v>46266</v>
      </c>
      <c r="F19" s="259">
        <f>'Input-Instructions'!$B$6</f>
        <v>46266</v>
      </c>
      <c r="G19" t="str">
        <f t="shared" si="0"/>
        <v>September Recurring Entries</v>
      </c>
      <c r="H19" t="s">
        <v>600</v>
      </c>
      <c r="I19" t="str">
        <f>'Input-Instructions'!$B$4</f>
        <v>'c6us087a</v>
      </c>
      <c r="J19" s="318">
        <f>IF('Property Insurance'!$A$16="Yes",0,-'Property Insurance'!$L$16)</f>
        <v>0</v>
      </c>
      <c r="K19" t="str">
        <f>IF('Upload Setup'!$B$3="Chart of Accounts A",IFERROR(VLOOKUP(IFERROR(VLOOKUP(VLOOKUP(K18,'Mapped COA'!A:G,2,0),'Upload Setup'!$B$5:$C$21,2,FALSE),'Property Insurance'!$D$7),'Mapped COA'!A:G,1,0),IFERROR(VLOOKUP(VLOOKUP(K18,COA!A:G,2,0),'Upload Setup'!$B$5:$C$21,2,FALSE),'Property Insurance'!$D$7)),IFERROR(VLOOKUP(IFERROR(VLOOKUP(VLOOKUP(K18,'Mapped COA'!A:G,2,0),'Upload Setup'!$B$5:$C$21,2,FALSE),'Property Insurance'!$D$7),'Mapped COA'!A:G,3,0),IFERROR(VLOOKUP(VLOOKUP(K18,COA!A:G,2,0),'Upload Setup'!$B$5:$C$21,2,FALSE),'Property Insurance'!$D$7)))</f>
        <v>1630-2010</v>
      </c>
      <c r="N19">
        <v>1</v>
      </c>
      <c r="O19" t="str">
        <f>_xlfn.TEXTJOIN(" ",TRUE,TEXT('Input-Instructions'!$B$6,"MM/YYYY"),"Prepaid",'Property Insurance'!$G$16,,"Amortization")</f>
        <v>09/2026 Prepaid Amortization</v>
      </c>
      <c r="P19">
        <v>0</v>
      </c>
      <c r="Q19" s="292"/>
      <c r="S19" s="292"/>
    </row>
    <row r="20" spans="1:19" x14ac:dyDescent="0.35">
      <c r="A20" t="s">
        <v>599</v>
      </c>
      <c r="B20">
        <v>1</v>
      </c>
      <c r="E20" s="259">
        <f>'Input-Instructions'!$B$6</f>
        <v>46266</v>
      </c>
      <c r="F20" s="259">
        <f>'Input-Instructions'!$B$6</f>
        <v>46266</v>
      </c>
      <c r="G20" t="str">
        <f t="shared" si="0"/>
        <v>September Recurring Entries</v>
      </c>
      <c r="H20" t="s">
        <v>600</v>
      </c>
      <c r="I20" t="str">
        <f>'Input-Instructions'!$B$4</f>
        <v>'c6us087a</v>
      </c>
      <c r="J20" s="318">
        <f>IF('Property Insurance'!$A$17="Yes",0,'Property Insurance'!$L$17)</f>
        <v>0</v>
      </c>
      <c r="K20" s="385">
        <f>IF('Upload Setup'!$B$3="Chart of Accounts A",IFERROR(VLOOKUP('Property Insurance'!$E$17,'Mapped COA'!A:G,1,0),'Property Insurance'!$E$17),IFERROR(VLOOKUP('Property Insurance'!$E$17,'Mapped COA'!A:G,3,0),'Property Insurance'!$E$17))</f>
        <v>0</v>
      </c>
      <c r="N20">
        <v>1</v>
      </c>
      <c r="O20" t="str">
        <f>_xlfn.TEXTJOIN(" ",TRUE,TEXT('Input-Instructions'!$B$6,"MM/YYYY"),"Prepaid",'Property Insurance'!$G$17,,"Amortization")</f>
        <v>09/2026 Prepaid Amortization</v>
      </c>
      <c r="P20">
        <v>0</v>
      </c>
      <c r="Q20" s="292"/>
      <c r="S20" s="292"/>
    </row>
    <row r="21" spans="1:19" x14ac:dyDescent="0.35">
      <c r="A21" t="s">
        <v>599</v>
      </c>
      <c r="B21">
        <v>1</v>
      </c>
      <c r="E21" s="259">
        <f>'Input-Instructions'!$B$6</f>
        <v>46266</v>
      </c>
      <c r="F21" s="259">
        <f>'Input-Instructions'!$B$6</f>
        <v>46266</v>
      </c>
      <c r="G21" t="str">
        <f t="shared" si="0"/>
        <v>September Recurring Entries</v>
      </c>
      <c r="H21" t="s">
        <v>600</v>
      </c>
      <c r="I21" t="str">
        <f>'Input-Instructions'!$B$4</f>
        <v>'c6us087a</v>
      </c>
      <c r="J21" s="318">
        <f>IF('Property Insurance'!$A$17="Yes",0,-'Property Insurance'!$L$17)</f>
        <v>0</v>
      </c>
      <c r="K21" t="str">
        <f>IF('Upload Setup'!$B$3="Chart of Accounts A",IFERROR(VLOOKUP(IFERROR(VLOOKUP(VLOOKUP(K20,'Mapped COA'!A:G,2,0),'Upload Setup'!$B$5:$C$21,2,FALSE),'Property Insurance'!$D$7),'Mapped COA'!A:G,1,0),IFERROR(VLOOKUP(VLOOKUP(K20,COA!A:G,2,0),'Upload Setup'!$B$5:$C$21,2,FALSE),'Property Insurance'!$D$7)),IFERROR(VLOOKUP(IFERROR(VLOOKUP(VLOOKUP(K20,'Mapped COA'!A:G,2,0),'Upload Setup'!$B$5:$C$21,2,FALSE),'Property Insurance'!$D$7),'Mapped COA'!A:G,3,0),IFERROR(VLOOKUP(VLOOKUP(K20,COA!A:G,2,0),'Upload Setup'!$B$5:$C$21,2,FALSE),'Property Insurance'!$D$7)))</f>
        <v>1630-2010</v>
      </c>
      <c r="N21">
        <v>1</v>
      </c>
      <c r="O21" t="str">
        <f>_xlfn.TEXTJOIN(" ",TRUE,TEXT('Input-Instructions'!$B$6,"MM/YYYY"),"Prepaid",'Property Insurance'!$G$17,,"Amortization")</f>
        <v>09/2026 Prepaid Amortization</v>
      </c>
      <c r="P21">
        <v>0</v>
      </c>
      <c r="Q21" s="292"/>
      <c r="S21" s="292"/>
    </row>
    <row r="22" spans="1:19" x14ac:dyDescent="0.35">
      <c r="A22" t="s">
        <v>599</v>
      </c>
      <c r="B22">
        <v>1</v>
      </c>
      <c r="E22" s="259">
        <f>'Input-Instructions'!$B$6</f>
        <v>46266</v>
      </c>
      <c r="F22" s="259">
        <f>'Input-Instructions'!$B$6</f>
        <v>46266</v>
      </c>
      <c r="G22" t="str">
        <f t="shared" si="0"/>
        <v>September Recurring Entries</v>
      </c>
      <c r="H22" t="s">
        <v>600</v>
      </c>
      <c r="I22" t="str">
        <f>'Input-Instructions'!$B$4</f>
        <v>'c6us087a</v>
      </c>
      <c r="J22" s="318">
        <f>IF('Property Insurance'!$A$23="Yes",0,'Property Insurance'!$L$23)</f>
        <v>12630.33</v>
      </c>
      <c r="K22" t="str">
        <f>IF('Upload Setup'!$B$3="Chart of Accounts A",IFERROR(VLOOKUP('Property Insurance'!$E$23,'Mapped COA'!A:G,1,0),'Property Insurance'!$E$23),IFERROR(VLOOKUP('Property Insurance'!$E$23,'Mapped COA'!A:G,3,0),'Property Insurance'!$E$23))</f>
        <v>5510-0100</v>
      </c>
      <c r="N22">
        <v>1</v>
      </c>
      <c r="O22" t="str">
        <f>_xlfn.TEXTJOIN(" ",TRUE,TEXT('Input-Instructions'!$B$6,"MM/YYYY"),'Property Insurance'!$G$23,,"Accrual")</f>
        <v>09/2026 Accrual</v>
      </c>
      <c r="P22">
        <v>0</v>
      </c>
      <c r="Q22" s="292"/>
      <c r="S22" s="292"/>
    </row>
    <row r="23" spans="1:19" x14ac:dyDescent="0.35">
      <c r="A23" t="s">
        <v>599</v>
      </c>
      <c r="B23">
        <v>1</v>
      </c>
      <c r="E23" s="259">
        <f>'Input-Instructions'!$B$6</f>
        <v>46266</v>
      </c>
      <c r="F23" s="259">
        <f>'Input-Instructions'!$B$6</f>
        <v>46266</v>
      </c>
      <c r="G23" t="str">
        <f t="shared" si="0"/>
        <v>September Recurring Entries</v>
      </c>
      <c r="H23" t="s">
        <v>600</v>
      </c>
      <c r="I23" t="str">
        <f>'Input-Instructions'!$B$4</f>
        <v>'c6us087a</v>
      </c>
      <c r="J23" s="318">
        <f>IF('Property Insurance'!$A$23="Yes",0,-'Property Insurance'!$L$23)</f>
        <v>-12630.33</v>
      </c>
      <c r="K23" t="str">
        <f>IF('Upload Setup'!$B$3="Chart of Accounts A",IFERROR(VLOOKUP(IFERROR(VLOOKUP(VLOOKUP(K22,'Mapped COA'!A:G,2,0),'Upload Setup'!$B$24:$C$39,2,FALSE),'Property Insurance'!$D$21),'Mapped COA'!A:G,1,0),IFERROR(VLOOKUP(VLOOKUP(K22,COA!A:G,2,0),'Upload Setup'!$B$24:$C$39,2,FALSE),'Property Insurance'!$D$21)),IFERROR(VLOOKUP(IFERROR(VLOOKUP(VLOOKUP(K22,'Mapped COA'!A:G,2,0),'Upload Setup'!$B$24:$C$39,2,FALSE),'Property Insurance'!$D$21),'Mapped COA'!A:G,3,0),IFERROR(VLOOKUP(VLOOKUP(K22,COA!A:G,2,0),'Upload Setup'!$B$24:$C$39,2,FALSE),'Property Insurance'!$D$21)))</f>
        <v>2611-7110</v>
      </c>
      <c r="N23">
        <v>1</v>
      </c>
      <c r="O23" t="str">
        <f>_xlfn.TEXTJOIN(" ",TRUE,TEXT('Input-Instructions'!$B$6,"MM/YYYY"),'Property Insurance'!$G$23,,"Accrual")</f>
        <v>09/2026 Accrual</v>
      </c>
      <c r="P23">
        <v>0</v>
      </c>
      <c r="Q23" s="292"/>
      <c r="S23" s="292"/>
    </row>
    <row r="24" spans="1:19" x14ac:dyDescent="0.35">
      <c r="A24" t="s">
        <v>599</v>
      </c>
      <c r="B24">
        <v>1</v>
      </c>
      <c r="E24" s="259">
        <f>'Input-Instructions'!$B$6</f>
        <v>46266</v>
      </c>
      <c r="F24" s="259">
        <f>'Input-Instructions'!$B$6</f>
        <v>46266</v>
      </c>
      <c r="G24" t="str">
        <f t="shared" si="0"/>
        <v>September Recurring Entries</v>
      </c>
      <c r="H24" t="s">
        <v>600</v>
      </c>
      <c r="I24" t="str">
        <f>'Input-Instructions'!$B$4</f>
        <v>'c6us087a</v>
      </c>
      <c r="J24" s="318">
        <f>IF('Property Insurance'!$A$24="Yes",0,'Property Insurance'!$L$24)</f>
        <v>4739.33</v>
      </c>
      <c r="K24" t="str">
        <f>IF('Upload Setup'!$B$3="Chart of Accounts A",IFERROR(VLOOKUP('Property Insurance'!$E$24,'Mapped COA'!A:G,1,0),'Property Insurance'!$E$24),IFERROR(VLOOKUP('Property Insurance'!$E$24,'Mapped COA'!A:G,3,0),'Property Insurance'!$E$24))</f>
        <v>5510-1500</v>
      </c>
      <c r="N24">
        <v>1</v>
      </c>
      <c r="O24" t="str">
        <f>_xlfn.TEXTJOIN(" ",TRUE,TEXT('Input-Instructions'!$B$6,"MM/YYYY"),'Property Insurance'!$G$24,,"Accrual")</f>
        <v>09/2026 Accrual</v>
      </c>
      <c r="P24">
        <v>0</v>
      </c>
      <c r="Q24" s="292"/>
      <c r="S24" s="292"/>
    </row>
    <row r="25" spans="1:19" x14ac:dyDescent="0.35">
      <c r="A25" t="s">
        <v>599</v>
      </c>
      <c r="B25">
        <v>1</v>
      </c>
      <c r="E25" s="259">
        <f>'Input-Instructions'!$B$6</f>
        <v>46266</v>
      </c>
      <c r="F25" s="259">
        <f>'Input-Instructions'!$B$6</f>
        <v>46266</v>
      </c>
      <c r="G25" t="str">
        <f t="shared" si="0"/>
        <v>September Recurring Entries</v>
      </c>
      <c r="H25" t="s">
        <v>600</v>
      </c>
      <c r="I25" t="str">
        <f>'Input-Instructions'!$B$4</f>
        <v>'c6us087a</v>
      </c>
      <c r="J25" s="318">
        <f>IF('Property Insurance'!$A$24="Yes",0,-'Property Insurance'!$L$24)</f>
        <v>-4739.33</v>
      </c>
      <c r="K25" t="str">
        <f>IF('Upload Setup'!$B$3="Chart of Accounts A",IFERROR(VLOOKUP(IFERROR(VLOOKUP(VLOOKUP(K24,'Mapped COA'!A:G,2,0),'Upload Setup'!$B$24:$C$39,2,FALSE),'Property Insurance'!$D$21),'Mapped COA'!A:G,1,0),IFERROR(VLOOKUP(VLOOKUP(K24,COA!A:G,2,0),'Upload Setup'!$B$24:$C$39,2,FALSE),'Property Insurance'!$D$21)),IFERROR(VLOOKUP(IFERROR(VLOOKUP(VLOOKUP(K24,'Mapped COA'!A:G,2,0),'Upload Setup'!$B$24:$C$39,2,FALSE),'Property Insurance'!$D$21),'Mapped COA'!A:G,3,0),IFERROR(VLOOKUP(VLOOKUP(K24,COA!A:G,2,0),'Upload Setup'!$B$24:$C$39,2,FALSE),'Property Insurance'!$D$21)))</f>
        <v>2611-7110</v>
      </c>
      <c r="N25">
        <v>1</v>
      </c>
      <c r="O25" t="str">
        <f>_xlfn.TEXTJOIN(" ",TRUE,TEXT('Input-Instructions'!$B$6,"MM/YYYY"),'Property Insurance'!$G$24,,"Accrual")</f>
        <v>09/2026 Accrual</v>
      </c>
      <c r="P25">
        <v>0</v>
      </c>
      <c r="Q25" s="292"/>
      <c r="S25" s="292"/>
    </row>
    <row r="26" spans="1:19" x14ac:dyDescent="0.35">
      <c r="A26" t="s">
        <v>599</v>
      </c>
      <c r="B26">
        <v>1</v>
      </c>
      <c r="E26" s="259">
        <f>'Input-Instructions'!$B$6</f>
        <v>46266</v>
      </c>
      <c r="F26" s="259">
        <f>'Input-Instructions'!$B$6</f>
        <v>46266</v>
      </c>
      <c r="G26" t="str">
        <f t="shared" si="0"/>
        <v>September Recurring Entries</v>
      </c>
      <c r="H26" t="s">
        <v>600</v>
      </c>
      <c r="I26" t="str">
        <f>'Input-Instructions'!$B$4</f>
        <v>'c6us087a</v>
      </c>
      <c r="J26" s="318">
        <f>IF('Property Insurance'!$A$25="Yes",0,'Property Insurance'!$L$25)</f>
        <v>1071</v>
      </c>
      <c r="K26" t="str">
        <f>IF('Upload Setup'!$B$3="Chart of Accounts A",IFERROR(VLOOKUP('Property Insurance'!$E$25,'Mapped COA'!A:G,1,0),'Property Insurance'!$E$25),IFERROR(VLOOKUP('Property Insurance'!$E$25,'Mapped COA'!A:G,3,0),'Property Insurance'!$E$25))</f>
        <v>5510-2100</v>
      </c>
      <c r="N26">
        <v>1</v>
      </c>
      <c r="O26" t="str">
        <f>_xlfn.TEXTJOIN(" ",TRUE,TEXT('Input-Instructions'!$B$6,"MM/YYYY"),'Property Insurance'!$G$25,,"Accrual")</f>
        <v>09/2026 Accrual</v>
      </c>
      <c r="P26">
        <v>0</v>
      </c>
      <c r="Q26" s="292"/>
      <c r="S26" s="292"/>
    </row>
    <row r="27" spans="1:19" x14ac:dyDescent="0.35">
      <c r="A27" t="s">
        <v>599</v>
      </c>
      <c r="B27">
        <v>1</v>
      </c>
      <c r="E27" s="259">
        <f>'Input-Instructions'!$B$6</f>
        <v>46266</v>
      </c>
      <c r="F27" s="259">
        <f>'Input-Instructions'!$B$6</f>
        <v>46266</v>
      </c>
      <c r="G27" t="str">
        <f t="shared" si="0"/>
        <v>September Recurring Entries</v>
      </c>
      <c r="H27" t="s">
        <v>600</v>
      </c>
      <c r="I27" t="str">
        <f>'Input-Instructions'!$B$4</f>
        <v>'c6us087a</v>
      </c>
      <c r="J27" s="318">
        <f>IF('Property Insurance'!$A$25="Yes",0,-'Property Insurance'!$L$25)</f>
        <v>-1071</v>
      </c>
      <c r="K27" t="str">
        <f>IF('Upload Setup'!$B$3="Chart of Accounts A",IFERROR(VLOOKUP(IFERROR(VLOOKUP(VLOOKUP(K26,'Mapped COA'!A:G,2,0),'Upload Setup'!$B$24:$C$39,2,FALSE),'Property Insurance'!$D$21),'Mapped COA'!A:G,1,0),IFERROR(VLOOKUP(VLOOKUP(K26,COA!A:G,2,0),'Upload Setup'!$B$24:$C$39,2,FALSE),'Property Insurance'!$D$21)),IFERROR(VLOOKUP(IFERROR(VLOOKUP(VLOOKUP(K26,'Mapped COA'!A:G,2,0),'Upload Setup'!$B$24:$C$39,2,FALSE),'Property Insurance'!$D$21),'Mapped COA'!A:G,3,0),IFERROR(VLOOKUP(VLOOKUP(K26,COA!A:G,2,0),'Upload Setup'!$B$24:$C$39,2,FALSE),'Property Insurance'!$D$21)))</f>
        <v>2611-7110</v>
      </c>
      <c r="N27">
        <v>1</v>
      </c>
      <c r="O27" t="str">
        <f>_xlfn.TEXTJOIN(" ",TRUE,TEXT('Input-Instructions'!$B$6,"MM/YYYY"),'Property Insurance'!$G$25,,"Accrual")</f>
        <v>09/2026 Accrual</v>
      </c>
      <c r="P27">
        <v>0</v>
      </c>
      <c r="Q27" s="292"/>
      <c r="S27" s="292"/>
    </row>
    <row r="28" spans="1:19" x14ac:dyDescent="0.35">
      <c r="A28" t="s">
        <v>599</v>
      </c>
      <c r="B28">
        <v>1</v>
      </c>
      <c r="E28" s="259">
        <f>'Input-Instructions'!$B$6</f>
        <v>46266</v>
      </c>
      <c r="F28" s="259">
        <f>'Input-Instructions'!$B$6</f>
        <v>46266</v>
      </c>
      <c r="G28" t="str">
        <f t="shared" si="0"/>
        <v>September Recurring Entries</v>
      </c>
      <c r="H28" t="s">
        <v>600</v>
      </c>
      <c r="I28" t="str">
        <f>'Input-Instructions'!$B$4</f>
        <v>'c6us087a</v>
      </c>
      <c r="J28" s="318">
        <f>IF('Property Insurance'!$A$26="Yes",0,'Property Insurance'!$L$26)</f>
        <v>0</v>
      </c>
      <c r="K28">
        <f>IF('Upload Setup'!$B$3="Chart of Accounts A",IFERROR(VLOOKUP('Property Insurance'!$E$26,'Mapped COA'!A:G,1,0),'Property Insurance'!$E$26),IFERROR(VLOOKUP('Property Insurance'!$E$26,'Mapped COA'!A:G,3,0),'Property Insurance'!$E$26))</f>
        <v>0</v>
      </c>
      <c r="N28">
        <v>1</v>
      </c>
      <c r="O28" t="str">
        <f>_xlfn.TEXTJOIN(" ",TRUE,TEXT('Input-Instructions'!$B$6,"MM/YYYY"),'Property Insurance'!$G$26,,"Accrual")</f>
        <v>09/2026 Accrual</v>
      </c>
      <c r="P28">
        <v>0</v>
      </c>
      <c r="Q28" s="292"/>
      <c r="S28" s="292"/>
    </row>
    <row r="29" spans="1:19" x14ac:dyDescent="0.35">
      <c r="A29" t="s">
        <v>599</v>
      </c>
      <c r="B29">
        <v>1</v>
      </c>
      <c r="E29" s="259">
        <f>'Input-Instructions'!$B$6</f>
        <v>46266</v>
      </c>
      <c r="F29" s="259">
        <f>'Input-Instructions'!$B$6</f>
        <v>46266</v>
      </c>
      <c r="G29" t="str">
        <f t="shared" si="0"/>
        <v>September Recurring Entries</v>
      </c>
      <c r="H29" t="s">
        <v>600</v>
      </c>
      <c r="I29" t="str">
        <f>'Input-Instructions'!$B$4</f>
        <v>'c6us087a</v>
      </c>
      <c r="J29" s="318">
        <f>IF('Property Insurance'!$A$26="Yes",0,-'Property Insurance'!$L$26)</f>
        <v>0</v>
      </c>
      <c r="K29" t="str">
        <f>IF('Upload Setup'!$B$3="Chart of Accounts A",IFERROR(VLOOKUP(IFERROR(VLOOKUP(VLOOKUP(K28,'Mapped COA'!A:G,2,0),'Upload Setup'!$B$24:$C$39,2,FALSE),'Property Insurance'!$D$21),'Mapped COA'!A:G,1,0),IFERROR(VLOOKUP(VLOOKUP(K28,COA!A:G,2,0),'Upload Setup'!$B$24:$C$39,2,FALSE),'Property Insurance'!$D$21)),IFERROR(VLOOKUP(IFERROR(VLOOKUP(VLOOKUP(K28,'Mapped COA'!A:G,2,0),'Upload Setup'!$B$24:$C$39,2,FALSE),'Property Insurance'!$D$21),'Mapped COA'!A:G,3,0),IFERROR(VLOOKUP(VLOOKUP(K28,COA!A:G,2,0),'Upload Setup'!$B$24:$C$39,2,FALSE),'Property Insurance'!$D$21)))</f>
        <v>2611-7110</v>
      </c>
      <c r="N29">
        <v>1</v>
      </c>
      <c r="O29" t="str">
        <f>_xlfn.TEXTJOIN(" ",TRUE,TEXT('Input-Instructions'!$B$6,"MM/YYYY"),'Property Insurance'!$G$26,,"Accrual")</f>
        <v>09/2026 Accrual</v>
      </c>
      <c r="P29">
        <v>0</v>
      </c>
      <c r="Q29" s="292"/>
      <c r="S29" s="292"/>
    </row>
    <row r="30" spans="1:19" x14ac:dyDescent="0.35">
      <c r="A30" t="s">
        <v>599</v>
      </c>
      <c r="B30">
        <v>1</v>
      </c>
      <c r="E30" s="259">
        <f>'Input-Instructions'!$B$6</f>
        <v>46266</v>
      </c>
      <c r="F30" s="259">
        <f>'Input-Instructions'!$B$6</f>
        <v>46266</v>
      </c>
      <c r="G30" t="str">
        <f t="shared" si="0"/>
        <v>September Recurring Entries</v>
      </c>
      <c r="H30" t="s">
        <v>600</v>
      </c>
      <c r="I30" t="str">
        <f>'Input-Instructions'!$B$4</f>
        <v>'c6us087a</v>
      </c>
      <c r="J30" s="318">
        <f>IF('Property Insurance'!$A$27="Yes",0,'Property Insurance'!$L$27)</f>
        <v>0</v>
      </c>
      <c r="K30">
        <f>IF('Upload Setup'!$B$3="Chart of Accounts A",IFERROR(VLOOKUP('Property Insurance'!$E$27,'Mapped COA'!A:G,1,0),'Property Insurance'!$E$27),IFERROR(VLOOKUP('Property Insurance'!$E$27,'Mapped COA'!A:G,3,0),'Property Insurance'!$E$27))</f>
        <v>0</v>
      </c>
      <c r="N30">
        <v>1</v>
      </c>
      <c r="O30" t="str">
        <f>_xlfn.TEXTJOIN(" ",TRUE,TEXT('Input-Instructions'!$B$6,"MM/YYYY"),'Property Insurance'!$G$27,,"Accrual")</f>
        <v>09/2026 Accrual</v>
      </c>
      <c r="P30">
        <v>0</v>
      </c>
      <c r="Q30" s="292"/>
      <c r="S30" s="292"/>
    </row>
    <row r="31" spans="1:19" x14ac:dyDescent="0.35">
      <c r="A31" t="s">
        <v>599</v>
      </c>
      <c r="B31">
        <v>1</v>
      </c>
      <c r="E31" s="259">
        <f>'Input-Instructions'!$B$6</f>
        <v>46266</v>
      </c>
      <c r="F31" s="259">
        <f>'Input-Instructions'!$B$6</f>
        <v>46266</v>
      </c>
      <c r="G31" t="str">
        <f t="shared" si="0"/>
        <v>September Recurring Entries</v>
      </c>
      <c r="H31" t="s">
        <v>600</v>
      </c>
      <c r="I31" t="str">
        <f>'Input-Instructions'!$B$4</f>
        <v>'c6us087a</v>
      </c>
      <c r="J31" s="318">
        <f>IF('Property Insurance'!$A$27="Yes",0,-'Property Insurance'!$L$27)</f>
        <v>0</v>
      </c>
      <c r="K31" t="str">
        <f>IF('Upload Setup'!$B$3="Chart of Accounts A",IFERROR(VLOOKUP(IFERROR(VLOOKUP(VLOOKUP(K30,'Mapped COA'!A:G,2,0),'Upload Setup'!$B$24:$C$39,2,FALSE),'Property Insurance'!$D$21),'Mapped COA'!A:G,1,0),IFERROR(VLOOKUP(VLOOKUP(K30,COA!A:G,2,0),'Upload Setup'!$B$24:$C$39,2,FALSE),'Property Insurance'!$D$21)),IFERROR(VLOOKUP(IFERROR(VLOOKUP(VLOOKUP(K30,'Mapped COA'!A:G,2,0),'Upload Setup'!$B$24:$C$39,2,FALSE),'Property Insurance'!$D$21),'Mapped COA'!A:G,3,0),IFERROR(VLOOKUP(VLOOKUP(K30,COA!A:G,2,0),'Upload Setup'!$B$24:$C$39,2,FALSE),'Property Insurance'!$D$21)))</f>
        <v>2611-7110</v>
      </c>
      <c r="N31">
        <v>1</v>
      </c>
      <c r="O31" t="str">
        <f>_xlfn.TEXTJOIN(" ",TRUE,TEXT('Input-Instructions'!$B$6,"MM/YYYY"),'Property Insurance'!$G$27,,"Accrual")</f>
        <v>09/2026 Accrual</v>
      </c>
      <c r="P31">
        <v>0</v>
      </c>
      <c r="Q31" s="292"/>
      <c r="S31" s="292"/>
    </row>
    <row r="32" spans="1:19" x14ac:dyDescent="0.35">
      <c r="A32" t="s">
        <v>599</v>
      </c>
      <c r="B32">
        <v>1</v>
      </c>
      <c r="E32" s="259">
        <f>'Input-Instructions'!$B$6</f>
        <v>46266</v>
      </c>
      <c r="F32" s="259">
        <f>'Input-Instructions'!$B$6</f>
        <v>46266</v>
      </c>
      <c r="G32" t="str">
        <f t="shared" si="0"/>
        <v>September Recurring Entries</v>
      </c>
      <c r="H32" t="s">
        <v>600</v>
      </c>
      <c r="I32" t="str">
        <f>'Input-Instructions'!$B$4</f>
        <v>'c6us087a</v>
      </c>
      <c r="J32" s="318">
        <f>IF('Property Insurance'!$A$28="Yes",0,'Property Insurance'!$L$28)</f>
        <v>0</v>
      </c>
      <c r="K32" s="385">
        <f>IF('Upload Setup'!$B$3="Chart of Accounts A",IFERROR(VLOOKUP('Property Insurance'!$E$28,'Mapped COA'!A:G,1,0),'Property Insurance'!$E$28),IFERROR(VLOOKUP('Property Insurance'!$E$28,'Mapped COA'!A:G,3,0),'Property Insurance'!$E$28))</f>
        <v>0</v>
      </c>
      <c r="N32">
        <v>1</v>
      </c>
      <c r="O32" t="str">
        <f>_xlfn.TEXTJOIN(" ",TRUE,TEXT('Input-Instructions'!$B$6,"MM/YYYY"),'Property Insurance'!$G$28,,"Accrual")</f>
        <v>09/2026 Accrual</v>
      </c>
      <c r="P32">
        <v>0</v>
      </c>
      <c r="Q32" s="292"/>
      <c r="S32" s="292"/>
    </row>
    <row r="33" spans="1:19" x14ac:dyDescent="0.35">
      <c r="A33" t="s">
        <v>599</v>
      </c>
      <c r="B33">
        <v>1</v>
      </c>
      <c r="E33" s="259">
        <f>'Input-Instructions'!$B$6</f>
        <v>46266</v>
      </c>
      <c r="F33" s="259">
        <f>'Input-Instructions'!$B$6</f>
        <v>46266</v>
      </c>
      <c r="G33" t="str">
        <f t="shared" si="0"/>
        <v>September Recurring Entries</v>
      </c>
      <c r="H33" t="s">
        <v>600</v>
      </c>
      <c r="I33" t="str">
        <f>'Input-Instructions'!$B$4</f>
        <v>'c6us087a</v>
      </c>
      <c r="J33" s="318">
        <f>IF('Property Insurance'!$A$28="Yes",0,-'Property Insurance'!$L$28)</f>
        <v>0</v>
      </c>
      <c r="K33" t="str">
        <f>IF('Upload Setup'!$B$3="Chart of Accounts A",IFERROR(VLOOKUP(IFERROR(VLOOKUP(VLOOKUP(K32,'Mapped COA'!A:G,2,0),'Upload Setup'!$B$24:$C$39,2,FALSE),'Property Insurance'!$D$21),'Mapped COA'!A:G,1,0),IFERROR(VLOOKUP(VLOOKUP(K32,COA!A:G,2,0),'Upload Setup'!$B$24:$C$39,2,FALSE),'Property Insurance'!$D$21)),IFERROR(VLOOKUP(IFERROR(VLOOKUP(VLOOKUP(K32,'Mapped COA'!A:G,2,0),'Upload Setup'!$B$24:$C$39,2,FALSE),'Property Insurance'!$D$21),'Mapped COA'!A:G,3,0),IFERROR(VLOOKUP(VLOOKUP(K32,COA!A:G,2,0),'Upload Setup'!$B$24:$C$39,2,FALSE),'Property Insurance'!$D$21)))</f>
        <v>2611-7110</v>
      </c>
      <c r="N33">
        <v>1</v>
      </c>
      <c r="O33" t="str">
        <f>_xlfn.TEXTJOIN(" ",TRUE,TEXT('Input-Instructions'!$B$6,"MM/YYYY"),'Property Insurance'!$G$28,,"Accrual")</f>
        <v>09/2026 Accrual</v>
      </c>
      <c r="P33">
        <v>0</v>
      </c>
      <c r="Q33" s="292"/>
      <c r="S33" s="292"/>
    </row>
    <row r="34" spans="1:19" x14ac:dyDescent="0.35">
      <c r="A34" t="s">
        <v>599</v>
      </c>
      <c r="B34">
        <v>1</v>
      </c>
      <c r="E34" s="259">
        <f>'Input-Instructions'!$B$6</f>
        <v>46266</v>
      </c>
      <c r="F34" s="259">
        <f>'Input-Instructions'!$B$6</f>
        <v>46266</v>
      </c>
      <c r="G34" t="str">
        <f t="shared" si="0"/>
        <v>September Recurring Entries</v>
      </c>
      <c r="H34" t="s">
        <v>600</v>
      </c>
      <c r="I34" t="str">
        <f>'Input-Instructions'!$B$4</f>
        <v>'c6us087a</v>
      </c>
      <c r="J34" s="318">
        <f>IF('Property Insurance'!$A$29="Yes",0,'Property Insurance'!$L$29)</f>
        <v>0</v>
      </c>
      <c r="K34" s="385">
        <f>IF('Upload Setup'!$B$3="Chart of Accounts A",IFERROR(VLOOKUP('Property Insurance'!$E$29,'Mapped COA'!A:G,1,0),'Property Insurance'!$E$29),IFERROR(VLOOKUP('Property Insurance'!$E$29,'Mapped COA'!A:G,3,0),'Property Insurance'!$E$29))</f>
        <v>0</v>
      </c>
      <c r="N34">
        <v>1</v>
      </c>
      <c r="O34" t="str">
        <f>_xlfn.TEXTJOIN(" ",TRUE,TEXT('Input-Instructions'!$B$6,"MM/YYYY"),'Property Insurance'!$G$29,,"Accrual")</f>
        <v>09/2026 Accrual</v>
      </c>
      <c r="P34">
        <v>0</v>
      </c>
      <c r="Q34" s="292"/>
      <c r="S34" s="292"/>
    </row>
    <row r="35" spans="1:19" x14ac:dyDescent="0.35">
      <c r="A35" t="s">
        <v>599</v>
      </c>
      <c r="B35">
        <v>1</v>
      </c>
      <c r="E35" s="259">
        <f>'Input-Instructions'!$B$6</f>
        <v>46266</v>
      </c>
      <c r="F35" s="259">
        <f>'Input-Instructions'!$B$6</f>
        <v>46266</v>
      </c>
      <c r="G35" t="str">
        <f t="shared" si="0"/>
        <v>September Recurring Entries</v>
      </c>
      <c r="H35" t="s">
        <v>600</v>
      </c>
      <c r="I35" t="str">
        <f>'Input-Instructions'!$B$4</f>
        <v>'c6us087a</v>
      </c>
      <c r="J35" s="318">
        <f>IF('Property Insurance'!$A$29="Yes",0,-'Property Insurance'!$L$29)</f>
        <v>0</v>
      </c>
      <c r="K35" t="str">
        <f>IF('Upload Setup'!$B$3="Chart of Accounts A",IFERROR(VLOOKUP(IFERROR(VLOOKUP(VLOOKUP(K34,'Mapped COA'!A:G,2,0),'Upload Setup'!$B$24:$C$39,2,FALSE),'Property Insurance'!$D$21),'Mapped COA'!A:G,1,0),IFERROR(VLOOKUP(VLOOKUP(K34,COA!A:G,2,0),'Upload Setup'!$B$24:$C$39,2,FALSE),'Property Insurance'!$D$21)),IFERROR(VLOOKUP(IFERROR(VLOOKUP(VLOOKUP(K34,'Mapped COA'!A:G,2,0),'Upload Setup'!$B$24:$C$39,2,FALSE),'Property Insurance'!$D$21),'Mapped COA'!A:G,3,0),IFERROR(VLOOKUP(VLOOKUP(K34,COA!A:G,2,0),'Upload Setup'!$B$24:$C$39,2,FALSE),'Property Insurance'!$D$21)))</f>
        <v>2611-7110</v>
      </c>
      <c r="N35">
        <v>1</v>
      </c>
      <c r="O35" t="str">
        <f>_xlfn.TEXTJOIN(" ",TRUE,TEXT('Input-Instructions'!$B$6,"MM/YYYY"),'Property Insurance'!$G$29,,"Accrual")</f>
        <v>09/2026 Accrual</v>
      </c>
      <c r="P35">
        <v>0</v>
      </c>
      <c r="Q35" s="292"/>
      <c r="S35" s="292"/>
    </row>
    <row r="36" spans="1:19" x14ac:dyDescent="0.35">
      <c r="A36" t="s">
        <v>599</v>
      </c>
      <c r="B36">
        <v>1</v>
      </c>
      <c r="E36" s="259">
        <f>'Input-Instructions'!$B$6</f>
        <v>46266</v>
      </c>
      <c r="F36" s="259">
        <f>'Input-Instructions'!$B$6</f>
        <v>46266</v>
      </c>
      <c r="G36" t="str">
        <f t="shared" si="0"/>
        <v>September Recurring Entries</v>
      </c>
      <c r="H36" t="s">
        <v>600</v>
      </c>
      <c r="I36" t="str">
        <f>'Input-Instructions'!$B$4</f>
        <v>'c6us087a</v>
      </c>
      <c r="J36" s="318">
        <f>IF('Property Insurance'!$A$30="Yes",0,'Property Insurance'!$L$30)</f>
        <v>0</v>
      </c>
      <c r="K36" s="385">
        <f>IF('Upload Setup'!$B$3="Chart of Accounts A",IFERROR(VLOOKUP('Property Insurance'!$E$30,'Mapped COA'!A:G,1,0),'Property Insurance'!$E$30),IFERROR(VLOOKUP('Property Insurance'!$E$30,'Mapped COA'!A:G,3,0),'Property Insurance'!$E$30))</f>
        <v>0</v>
      </c>
      <c r="N36">
        <v>1</v>
      </c>
      <c r="O36" t="str">
        <f>_xlfn.TEXTJOIN(" ",TRUE,TEXT('Input-Instructions'!$B$6,"MM/YYYY"),'Property Insurance'!$G$30,,"Accrual")</f>
        <v>09/2026 Accrual</v>
      </c>
      <c r="P36">
        <v>0</v>
      </c>
      <c r="Q36" s="292"/>
      <c r="S36" s="292"/>
    </row>
    <row r="37" spans="1:19" x14ac:dyDescent="0.35">
      <c r="A37" t="s">
        <v>599</v>
      </c>
      <c r="B37">
        <v>1</v>
      </c>
      <c r="E37" s="259">
        <f>'Input-Instructions'!$B$6</f>
        <v>46266</v>
      </c>
      <c r="F37" s="259">
        <f>'Input-Instructions'!$B$6</f>
        <v>46266</v>
      </c>
      <c r="G37" t="str">
        <f t="shared" si="0"/>
        <v>September Recurring Entries</v>
      </c>
      <c r="H37" t="s">
        <v>600</v>
      </c>
      <c r="I37" t="str">
        <f>'Input-Instructions'!$B$4</f>
        <v>'c6us087a</v>
      </c>
      <c r="J37" s="318">
        <f>IF('Property Insurance'!$A$30="Yes",0,-'Property Insurance'!$L$30)</f>
        <v>0</v>
      </c>
      <c r="K37" t="str">
        <f>IF('Upload Setup'!$B$3="Chart of Accounts A",IFERROR(VLOOKUP(IFERROR(VLOOKUP(VLOOKUP(K36,'Mapped COA'!A:G,2,0),'Upload Setup'!$B$24:$C$39,2,FALSE),'Property Insurance'!$D$21),'Mapped COA'!A:G,1,0),IFERROR(VLOOKUP(VLOOKUP(K36,COA!A:G,2,0),'Upload Setup'!$B$24:$C$39,2,FALSE),'Property Insurance'!$D$21)),IFERROR(VLOOKUP(IFERROR(VLOOKUP(VLOOKUP(K36,'Mapped COA'!A:G,2,0),'Upload Setup'!$B$24:$C$39,2,FALSE),'Property Insurance'!$D$21),'Mapped COA'!A:G,3,0),IFERROR(VLOOKUP(VLOOKUP(K36,COA!A:G,2,0),'Upload Setup'!$B$24:$C$39,2,FALSE),'Property Insurance'!$D$21)))</f>
        <v>2611-7110</v>
      </c>
      <c r="N37">
        <v>1</v>
      </c>
      <c r="O37" t="str">
        <f>_xlfn.TEXTJOIN(" ",TRUE,TEXT('Input-Instructions'!$B$6,"MM/YYYY"),'Property Insurance'!$G$30,,"Accrual")</f>
        <v>09/2026 Accrual</v>
      </c>
      <c r="P37">
        <v>0</v>
      </c>
      <c r="Q37" s="292"/>
      <c r="S37" s="292"/>
    </row>
    <row r="38" spans="1:19" x14ac:dyDescent="0.35">
      <c r="A38" t="s">
        <v>599</v>
      </c>
      <c r="B38">
        <v>1</v>
      </c>
      <c r="E38" s="259">
        <f>'Input-Instructions'!$B$6</f>
        <v>46266</v>
      </c>
      <c r="F38" s="259">
        <f>'Input-Instructions'!$B$6</f>
        <v>46266</v>
      </c>
      <c r="G38" t="str">
        <f t="shared" si="0"/>
        <v>September Recurring Entries</v>
      </c>
      <c r="H38" t="s">
        <v>600</v>
      </c>
      <c r="I38" t="str">
        <f>'Input-Instructions'!$B$4</f>
        <v>'c6us087a</v>
      </c>
      <c r="J38" s="318">
        <f>IF('Property Insurance'!$A$31="Yes",0,'Property Insurance'!$L$31)</f>
        <v>0</v>
      </c>
      <c r="K38" s="385">
        <f>IF('Upload Setup'!$B$3="Chart of Accounts A",IFERROR(VLOOKUP('Property Insurance'!$E$31,'Mapped COA'!A:G,1,0),'Property Insurance'!$E$31),IFERROR(VLOOKUP('Property Insurance'!$E$31,'Mapped COA'!A:G,3,0),'Property Insurance'!$E$31))</f>
        <v>0</v>
      </c>
      <c r="N38">
        <v>1</v>
      </c>
      <c r="O38" t="str">
        <f>_xlfn.TEXTJOIN(" ",TRUE,TEXT('Input-Instructions'!$B$6,"MM/YYYY"),'Property Insurance'!$G$31,,"Accrual")</f>
        <v>09/2026 Accrual</v>
      </c>
      <c r="P38">
        <v>0</v>
      </c>
      <c r="Q38" s="292"/>
      <c r="S38" s="292"/>
    </row>
    <row r="39" spans="1:19" x14ac:dyDescent="0.35">
      <c r="A39" t="s">
        <v>599</v>
      </c>
      <c r="B39">
        <v>1</v>
      </c>
      <c r="E39" s="259">
        <f>'Input-Instructions'!$B$6</f>
        <v>46266</v>
      </c>
      <c r="F39" s="259">
        <f>'Input-Instructions'!$B$6</f>
        <v>46266</v>
      </c>
      <c r="G39" t="str">
        <f t="shared" si="0"/>
        <v>September Recurring Entries</v>
      </c>
      <c r="H39" t="s">
        <v>600</v>
      </c>
      <c r="I39" t="str">
        <f>'Input-Instructions'!$B$4</f>
        <v>'c6us087a</v>
      </c>
      <c r="J39" s="318">
        <f>IF('Property Insurance'!$A$31="Yes",0,-'Property Insurance'!$L$31)</f>
        <v>0</v>
      </c>
      <c r="K39" t="str">
        <f>IF('Upload Setup'!$B$3="Chart of Accounts A",IFERROR(VLOOKUP(IFERROR(VLOOKUP(VLOOKUP(K38,'Mapped COA'!A:G,2,0),'Upload Setup'!$B$24:$C$39,2,FALSE),'Property Insurance'!$D$21),'Mapped COA'!A:G,1,0),IFERROR(VLOOKUP(VLOOKUP(K38,COA!A:G,2,0),'Upload Setup'!$B$24:$C$39,2,FALSE),'Property Insurance'!$D$21)),IFERROR(VLOOKUP(IFERROR(VLOOKUP(VLOOKUP(K38,'Mapped COA'!A:G,2,0),'Upload Setup'!$B$24:$C$39,2,FALSE),'Property Insurance'!$D$21),'Mapped COA'!A:G,3,0),IFERROR(VLOOKUP(VLOOKUP(K38,COA!A:G,2,0),'Upload Setup'!$B$24:$C$39,2,FALSE),'Property Insurance'!$D$21)))</f>
        <v>2611-7110</v>
      </c>
      <c r="N39">
        <v>1</v>
      </c>
      <c r="O39" t="str">
        <f>_xlfn.TEXTJOIN(" ",TRUE,TEXT('Input-Instructions'!$B$6,"MM/YYYY"),'Property Insurance'!$G$31,,"Accrual")</f>
        <v>09/2026 Accrual</v>
      </c>
      <c r="P39">
        <v>0</v>
      </c>
      <c r="Q39" s="292"/>
      <c r="S39" s="292"/>
    </row>
    <row r="40" spans="1:19" x14ac:dyDescent="0.35">
      <c r="A40" t="s">
        <v>599</v>
      </c>
      <c r="B40">
        <v>1</v>
      </c>
      <c r="E40" s="259">
        <f>'Input-Instructions'!$B$6</f>
        <v>46266</v>
      </c>
      <c r="F40" s="259">
        <f>'Input-Instructions'!$B$6</f>
        <v>46266</v>
      </c>
      <c r="G40" t="str">
        <f t="shared" si="0"/>
        <v>September Recurring Entries</v>
      </c>
      <c r="H40" t="s">
        <v>600</v>
      </c>
      <c r="I40" t="str">
        <f>'Input-Instructions'!$B$4</f>
        <v>'c6us087a</v>
      </c>
      <c r="J40" s="318">
        <f>IF('Property Insurance'!$A$32="Yes",0,'Property Insurance'!$L$32)</f>
        <v>0</v>
      </c>
      <c r="K40" s="385">
        <f>IF('Upload Setup'!$B$3="Chart of Accounts A",IFERROR(VLOOKUP('Property Insurance'!$E$32,'Mapped COA'!A:G,1,0),'Property Insurance'!$E$32),IFERROR(VLOOKUP('Property Insurance'!$E$32,'Mapped COA'!A:G,3,0),'Property Insurance'!$E$32))</f>
        <v>0</v>
      </c>
      <c r="N40">
        <v>1</v>
      </c>
      <c r="O40" t="str">
        <f>_xlfn.TEXTJOIN(" ",TRUE,TEXT('Input-Instructions'!$B$6,"MM/YYYY"),'Property Insurance'!$G$32,,"Accrual")</f>
        <v>09/2026 Accrual</v>
      </c>
      <c r="P40">
        <v>0</v>
      </c>
      <c r="Q40" s="292"/>
      <c r="S40" s="292"/>
    </row>
    <row r="41" spans="1:19" x14ac:dyDescent="0.35">
      <c r="A41" t="s">
        <v>599</v>
      </c>
      <c r="B41">
        <v>1</v>
      </c>
      <c r="E41" s="259">
        <f>'Input-Instructions'!$B$6</f>
        <v>46266</v>
      </c>
      <c r="F41" s="259">
        <f>'Input-Instructions'!$B$6</f>
        <v>46266</v>
      </c>
      <c r="G41" t="str">
        <f t="shared" si="0"/>
        <v>September Recurring Entries</v>
      </c>
      <c r="H41" t="s">
        <v>600</v>
      </c>
      <c r="I41" t="str">
        <f>'Input-Instructions'!$B$4</f>
        <v>'c6us087a</v>
      </c>
      <c r="J41" s="318">
        <f>IF('Property Insurance'!$A$32="Yes",0,-'Property Insurance'!$L$32)</f>
        <v>0</v>
      </c>
      <c r="K41" t="str">
        <f>IF('Upload Setup'!$B$3="Chart of Accounts A",IFERROR(VLOOKUP(IFERROR(VLOOKUP(VLOOKUP(K40,'Mapped COA'!A:G,2,0),'Upload Setup'!$B$24:$C$39,2,FALSE),'Property Insurance'!$D$21),'Mapped COA'!A:G,1,0),IFERROR(VLOOKUP(VLOOKUP(K40,COA!A:G,2,0),'Upload Setup'!$B$24:$C$39,2,FALSE),'Property Insurance'!$D$21)),IFERROR(VLOOKUP(IFERROR(VLOOKUP(VLOOKUP(K40,'Mapped COA'!A:G,2,0),'Upload Setup'!$B$24:$C$39,2,FALSE),'Property Insurance'!$D$21),'Mapped COA'!A:G,3,0),IFERROR(VLOOKUP(VLOOKUP(K40,COA!A:G,2,0),'Upload Setup'!$B$24:$C$39,2,FALSE),'Property Insurance'!$D$21)))</f>
        <v>2611-7110</v>
      </c>
      <c r="N41">
        <v>1</v>
      </c>
      <c r="O41" t="str">
        <f>_xlfn.TEXTJOIN(" ",TRUE,TEXT('Input-Instructions'!$B$6,"MM/YYYY"),'Property Insurance'!$G$32,,"Accrual")</f>
        <v>09/2026 Accrual</v>
      </c>
      <c r="P41">
        <v>0</v>
      </c>
      <c r="Q41" s="292"/>
      <c r="S41" s="292"/>
    </row>
    <row r="42" spans="1:19" x14ac:dyDescent="0.35">
      <c r="A42" t="s">
        <v>599</v>
      </c>
      <c r="B42">
        <v>1</v>
      </c>
      <c r="E42" s="259">
        <f>'Input-Instructions'!$B$6</f>
        <v>46266</v>
      </c>
      <c r="F42" s="259">
        <f>'Input-Instructions'!$B$6</f>
        <v>46266</v>
      </c>
      <c r="G42" t="str">
        <f t="shared" si="0"/>
        <v>September Recurring Entries</v>
      </c>
      <c r="H42" t="s">
        <v>600</v>
      </c>
      <c r="I42" t="str">
        <f>'Input-Instructions'!$B$4</f>
        <v>'c6us087a</v>
      </c>
      <c r="J42" s="319">
        <f>IF('Real Estate Taxes'!$A$9="Yes",0,'Real Estate Taxes'!$I$9)</f>
        <v>0</v>
      </c>
      <c r="K42">
        <f>IF('Upload Setup'!$B$3="Chart of Accounts A",IFERROR(VLOOKUP('Real Estate Taxes'!$E$9,'Mapped COA'!A:G,1,0),'Real Estate Taxes'!$E$9),IFERROR(VLOOKUP('Real Estate Taxes'!$E$9,'Mapped COA'!A:G,3,0),'Real Estate Taxes'!$E$9))</f>
        <v>0</v>
      </c>
      <c r="N42">
        <v>1</v>
      </c>
      <c r="O42" t="str">
        <f>_xlfn.TEXTJOIN(" ",TRUE,TEXT('Input-Instructions'!$B$6,"MM/YYYY"),"Prepaid",'Real Estate Taxes'!$G$9,,"Amortization")</f>
        <v>09/2026 Prepaid Amortization</v>
      </c>
      <c r="P42">
        <v>0</v>
      </c>
      <c r="Q42" s="292"/>
      <c r="S42" s="292"/>
    </row>
    <row r="43" spans="1:19" x14ac:dyDescent="0.35">
      <c r="A43" t="s">
        <v>599</v>
      </c>
      <c r="B43">
        <v>1</v>
      </c>
      <c r="E43" s="259">
        <f>'Input-Instructions'!$B$6</f>
        <v>46266</v>
      </c>
      <c r="F43" s="259">
        <f>'Input-Instructions'!$B$6</f>
        <v>46266</v>
      </c>
      <c r="G43" t="str">
        <f t="shared" si="0"/>
        <v>September Recurring Entries</v>
      </c>
      <c r="H43" t="s">
        <v>600</v>
      </c>
      <c r="I43" t="str">
        <f>'Input-Instructions'!$B$4</f>
        <v>'c6us087a</v>
      </c>
      <c r="J43" s="319">
        <f>IF('Real Estate Taxes'!$A$9="Yes",0,-'Real Estate Taxes'!$I$9)</f>
        <v>0</v>
      </c>
      <c r="K43" t="str">
        <f>IF('Upload Setup'!$B$3="Chart of Accounts A",IFERROR(VLOOKUP(IFERROR(VLOOKUP(VLOOKUP(K42,'Mapped COA'!A:G,4,0),'Upload Setup'!$B$5:$C$21,2,FALSE),'Real Estate Taxes'!$D$7),'Mapped COA'!A:G,1,0),IFERROR(VLOOKUP(VLOOKUP(K42,COA!A:G,2,0),'Upload Setup'!$B$5:$C$21,2,FALSE),'Real Estate Taxes'!$D$7)),IFERROR(VLOOKUP(IFERROR(VLOOKUP(VLOOKUP(K42,'Mapped COA'!A:G,4,0),'Upload Setup'!$B$5:$C$21,2,FALSE),'Real Estate Taxes'!$D$7),'Mapped COA'!A:G,3,0),IFERROR(VLOOKUP(VLOOKUP(K42,COA!A:G,2,0),'Upload Setup'!$B$5:$C$21,2,FALSE),'Real Estate Taxes'!$D$7)))</f>
        <v>1630-1510</v>
      </c>
      <c r="N43">
        <v>1</v>
      </c>
      <c r="O43" t="str">
        <f>_xlfn.TEXTJOIN(" ",TRUE,TEXT('Input-Instructions'!$B$6,"MM/YYYY"),"Prepaid",'Real Estate Taxes'!$G$9,,"Amortization")</f>
        <v>09/2026 Prepaid Amortization</v>
      </c>
      <c r="P43">
        <v>0</v>
      </c>
      <c r="Q43" s="292"/>
      <c r="S43" s="292"/>
    </row>
    <row r="44" spans="1:19" x14ac:dyDescent="0.35">
      <c r="A44" t="s">
        <v>599</v>
      </c>
      <c r="B44">
        <v>1</v>
      </c>
      <c r="E44" s="259">
        <f>'Input-Instructions'!$B$6</f>
        <v>46266</v>
      </c>
      <c r="F44" s="259">
        <f>'Input-Instructions'!$B$6</f>
        <v>46266</v>
      </c>
      <c r="G44" t="str">
        <f t="shared" si="0"/>
        <v>September Recurring Entries</v>
      </c>
      <c r="H44" t="s">
        <v>600</v>
      </c>
      <c r="I44" t="str">
        <f>'Input-Instructions'!$B$4</f>
        <v>'c6us087a</v>
      </c>
      <c r="J44" s="319">
        <f>IF('Real Estate Taxes'!$A$10="Yes",0,'Real Estate Taxes'!$I$10)</f>
        <v>0</v>
      </c>
      <c r="K44">
        <f>IF('Upload Setup'!$B$3="Chart of Accounts A",IFERROR(VLOOKUP('Real Estate Taxes'!$E$10,'Mapped COA'!A:G,1,0),'Real Estate Taxes'!$E$10),IFERROR(VLOOKUP('Real Estate Taxes'!$E$10,'Mapped COA'!A:G,3,0),'Real Estate Taxes'!$E$10))</f>
        <v>0</v>
      </c>
      <c r="N44">
        <v>1</v>
      </c>
      <c r="O44" t="str">
        <f>_xlfn.TEXTJOIN(" ",TRUE,TEXT('Input-Instructions'!$B$6,"MM/YYYY"),"Prepaid",'Real Estate Taxes'!$G$10,,"Amortization")</f>
        <v>09/2026 Prepaid Amortization</v>
      </c>
      <c r="P44">
        <v>0</v>
      </c>
      <c r="Q44" s="292"/>
      <c r="S44" s="292"/>
    </row>
    <row r="45" spans="1:19" x14ac:dyDescent="0.35">
      <c r="A45" t="s">
        <v>599</v>
      </c>
      <c r="B45">
        <v>1</v>
      </c>
      <c r="E45" s="259">
        <f>'Input-Instructions'!$B$6</f>
        <v>46266</v>
      </c>
      <c r="F45" s="259">
        <f>'Input-Instructions'!$B$6</f>
        <v>46266</v>
      </c>
      <c r="G45" t="str">
        <f t="shared" si="0"/>
        <v>September Recurring Entries</v>
      </c>
      <c r="H45" t="s">
        <v>600</v>
      </c>
      <c r="I45" t="str">
        <f>'Input-Instructions'!$B$4</f>
        <v>'c6us087a</v>
      </c>
      <c r="J45" s="319">
        <f>IF('Real Estate Taxes'!$A$10="Yes",0,-'Real Estate Taxes'!$I$10)</f>
        <v>0</v>
      </c>
      <c r="K45" t="str">
        <f>IF('Upload Setup'!$B$3="Chart of Accounts A",IFERROR(VLOOKUP(IFERROR(VLOOKUP(VLOOKUP(K44,'Mapped COA'!A:G,2,0),'Upload Setup'!$B$5:$C$21,2,FALSE),'Real Estate Taxes'!$D$7),'Mapped COA'!A:G,1,0),IFERROR(VLOOKUP(VLOOKUP(K44,COA!A:G,2,0),'Upload Setup'!$B$5:$C$21,2,FALSE),'Real Estate Taxes'!$D$7)),IFERROR(VLOOKUP(IFERROR(VLOOKUP(VLOOKUP(K44,'Mapped COA'!A:G,2,0),'Upload Setup'!$B$5:$C$21,2,FALSE),'Real Estate Taxes'!$D$7),'Mapped COA'!A:G,3,0),IFERROR(VLOOKUP(VLOOKUP(K44,COA!A:G,2,0),'Upload Setup'!$B$5:$C$21,2,FALSE),'Real Estate Taxes'!$D$7)))</f>
        <v>1630-1510</v>
      </c>
      <c r="N45">
        <v>1</v>
      </c>
      <c r="O45" t="str">
        <f>_xlfn.TEXTJOIN(" ",TRUE,TEXT('Input-Instructions'!$B$6,"MM/YYYY"),"Prepaid",'Real Estate Taxes'!$G$10,,"Amortization")</f>
        <v>09/2026 Prepaid Amortization</v>
      </c>
      <c r="P45">
        <v>0</v>
      </c>
      <c r="Q45" s="292"/>
      <c r="S45" s="292"/>
    </row>
    <row r="46" spans="1:19" x14ac:dyDescent="0.35">
      <c r="A46" t="s">
        <v>599</v>
      </c>
      <c r="B46">
        <v>1</v>
      </c>
      <c r="E46" s="259">
        <f>'Input-Instructions'!$B$6</f>
        <v>46266</v>
      </c>
      <c r="F46" s="259">
        <f>'Input-Instructions'!$B$6</f>
        <v>46266</v>
      </c>
      <c r="G46" t="str">
        <f t="shared" si="0"/>
        <v>September Recurring Entries</v>
      </c>
      <c r="H46" t="s">
        <v>600</v>
      </c>
      <c r="I46" t="str">
        <f>'Input-Instructions'!$B$4</f>
        <v>'c6us087a</v>
      </c>
      <c r="J46" s="319">
        <f>IF('Real Estate Taxes'!$A$11="Yes",0,'Real Estate Taxes'!$I$11)</f>
        <v>0</v>
      </c>
      <c r="K46">
        <f>IF('Upload Setup'!$B$3="Chart of Accounts A",IFERROR(VLOOKUP('Real Estate Taxes'!$E$11,'Mapped COA'!A:G,1,0),'Real Estate Taxes'!$E$11),IFERROR(VLOOKUP('Real Estate Taxes'!$E$11,'Mapped COA'!A:G,3,0),'Real Estate Taxes'!$E$11))</f>
        <v>0</v>
      </c>
      <c r="N46">
        <v>1</v>
      </c>
      <c r="O46" t="str">
        <f>_xlfn.TEXTJOIN(" ",TRUE,TEXT('Input-Instructions'!$B$6,"MM/YYYY"),"Prepaid",'Real Estate Taxes'!$G$11,,"Amortization")</f>
        <v>09/2026 Prepaid Amortization</v>
      </c>
      <c r="P46">
        <v>0</v>
      </c>
      <c r="Q46" s="292"/>
      <c r="S46" s="292"/>
    </row>
    <row r="47" spans="1:19" x14ac:dyDescent="0.35">
      <c r="A47" t="s">
        <v>599</v>
      </c>
      <c r="B47">
        <v>1</v>
      </c>
      <c r="E47" s="259">
        <f>'Input-Instructions'!$B$6</f>
        <v>46266</v>
      </c>
      <c r="F47" s="259">
        <f>'Input-Instructions'!$B$6</f>
        <v>46266</v>
      </c>
      <c r="G47" t="str">
        <f t="shared" si="0"/>
        <v>September Recurring Entries</v>
      </c>
      <c r="H47" t="s">
        <v>600</v>
      </c>
      <c r="I47" t="str">
        <f>'Input-Instructions'!$B$4</f>
        <v>'c6us087a</v>
      </c>
      <c r="J47" s="319">
        <f>IF('Real Estate Taxes'!$A$11="Yes",0,-'Real Estate Taxes'!$I$11)</f>
        <v>0</v>
      </c>
      <c r="K47" t="str">
        <f>IF('Upload Setup'!$B$3="Chart of Accounts A",IFERROR(VLOOKUP(IFERROR(VLOOKUP(VLOOKUP(K46,'Mapped COA'!A:G,2,0),'Upload Setup'!$B$5:$C$21,2,FALSE),'Real Estate Taxes'!$D$7),'Mapped COA'!A:G,1,0),IFERROR(VLOOKUP(VLOOKUP(K46,COA!A:G,2,0),'Upload Setup'!$B$5:$C$21,2,FALSE),'Real Estate Taxes'!$D$7)),IFERROR(VLOOKUP(IFERROR(VLOOKUP(VLOOKUP(K46,'Mapped COA'!A:G,2,0),'Upload Setup'!$B$5:$C$21,2,FALSE),'Real Estate Taxes'!$D$7),'Mapped COA'!A:G,3,0),IFERROR(VLOOKUP(VLOOKUP(K46,COA!A:G,2,0),'Upload Setup'!$B$5:$C$21,2,FALSE),'Real Estate Taxes'!$D$7)))</f>
        <v>1630-1510</v>
      </c>
      <c r="N47">
        <v>1</v>
      </c>
      <c r="O47" t="str">
        <f>_xlfn.TEXTJOIN(" ",TRUE,TEXT('Input-Instructions'!$B$6,"MM/YYYY"),"Prepaid",'Real Estate Taxes'!$G$11,,"Amortization")</f>
        <v>09/2026 Prepaid Amortization</v>
      </c>
      <c r="P47">
        <v>0</v>
      </c>
      <c r="Q47" s="292"/>
      <c r="S47" s="292"/>
    </row>
    <row r="48" spans="1:19" x14ac:dyDescent="0.35">
      <c r="A48" t="s">
        <v>599</v>
      </c>
      <c r="B48">
        <v>1</v>
      </c>
      <c r="E48" s="259">
        <f>'Input-Instructions'!$B$6</f>
        <v>46266</v>
      </c>
      <c r="F48" s="259">
        <f>'Input-Instructions'!$B$6</f>
        <v>46266</v>
      </c>
      <c r="G48" t="str">
        <f t="shared" si="0"/>
        <v>September Recurring Entries</v>
      </c>
      <c r="H48" t="s">
        <v>600</v>
      </c>
      <c r="I48" t="str">
        <f>'Input-Instructions'!$B$4</f>
        <v>'c6us087a</v>
      </c>
      <c r="J48" s="319">
        <f>IF('Real Estate Taxes'!$A$12="Yes",0,'Real Estate Taxes'!$I$12)</f>
        <v>0</v>
      </c>
      <c r="K48">
        <f>IF('Upload Setup'!$B$3="Chart of Accounts A",IFERROR(VLOOKUP('Real Estate Taxes'!$E$12,'Mapped COA'!A:G,1,0),'Real Estate Taxes'!$E$12),IFERROR(VLOOKUP('Real Estate Taxes'!$E$12,'Mapped COA'!A:G,3,0),'Real Estate Taxes'!$E$12))</f>
        <v>0</v>
      </c>
      <c r="N48">
        <v>1</v>
      </c>
      <c r="O48" t="str">
        <f>_xlfn.TEXTJOIN(" ",TRUE,TEXT('Input-Instructions'!$B$6,"MM/YYYY"),"Prepaid",'Real Estate Taxes'!$G$12,,"Amortization")</f>
        <v>09/2026 Prepaid Amortization</v>
      </c>
      <c r="P48">
        <v>0</v>
      </c>
      <c r="Q48" s="292"/>
      <c r="S48" s="292"/>
    </row>
    <row r="49" spans="1:19" x14ac:dyDescent="0.35">
      <c r="A49" t="s">
        <v>599</v>
      </c>
      <c r="B49">
        <v>1</v>
      </c>
      <c r="E49" s="259">
        <f>'Input-Instructions'!$B$6</f>
        <v>46266</v>
      </c>
      <c r="F49" s="259">
        <f>'Input-Instructions'!$B$6</f>
        <v>46266</v>
      </c>
      <c r="G49" t="str">
        <f t="shared" si="0"/>
        <v>September Recurring Entries</v>
      </c>
      <c r="H49" t="s">
        <v>600</v>
      </c>
      <c r="I49" t="str">
        <f>'Input-Instructions'!$B$4</f>
        <v>'c6us087a</v>
      </c>
      <c r="J49" s="319">
        <f>IF('Real Estate Taxes'!$A$12="Yes",0,-'Real Estate Taxes'!$I$12)</f>
        <v>0</v>
      </c>
      <c r="K49" t="str">
        <f>IF('Upload Setup'!$B$3="Chart of Accounts A",IFERROR(VLOOKUP(IFERROR(VLOOKUP(VLOOKUP(K48,'Mapped COA'!A:G,2,0),'Upload Setup'!$B$5:$C$21,2,FALSE),'Real Estate Taxes'!$D$7),'Mapped COA'!A:G,1,0),IFERROR(VLOOKUP(VLOOKUP(K48,COA!A:G,2,0),'Upload Setup'!$B$5:$C$21,2,FALSE),'Real Estate Taxes'!$D$7)),IFERROR(VLOOKUP(IFERROR(VLOOKUP(VLOOKUP(K48,'Mapped COA'!A:G,2,0),'Upload Setup'!$B$5:$C$21,2,FALSE),'Real Estate Taxes'!$D$7),'Mapped COA'!A:G,3,0),IFERROR(VLOOKUP(VLOOKUP(K48,COA!A:G,2,0),'Upload Setup'!$B$5:$C$21,2,FALSE),'Real Estate Taxes'!$D$7)))</f>
        <v>1630-1510</v>
      </c>
      <c r="N49">
        <v>1</v>
      </c>
      <c r="O49" t="str">
        <f>_xlfn.TEXTJOIN(" ",TRUE,TEXT('Input-Instructions'!$B$6,"MM/YYYY"),"Prepaid",'Real Estate Taxes'!$G$12,,"Amortization")</f>
        <v>09/2026 Prepaid Amortization</v>
      </c>
      <c r="P49">
        <v>0</v>
      </c>
      <c r="Q49" s="292"/>
      <c r="S49" s="292"/>
    </row>
    <row r="50" spans="1:19" x14ac:dyDescent="0.35">
      <c r="A50" t="s">
        <v>599</v>
      </c>
      <c r="B50">
        <v>1</v>
      </c>
      <c r="E50" s="259">
        <f>'Input-Instructions'!$B$6</f>
        <v>46266</v>
      </c>
      <c r="F50" s="259">
        <f>'Input-Instructions'!$B$6</f>
        <v>46266</v>
      </c>
      <c r="G50" t="str">
        <f t="shared" si="0"/>
        <v>September Recurring Entries</v>
      </c>
      <c r="H50" t="s">
        <v>600</v>
      </c>
      <c r="I50" t="str">
        <f>'Input-Instructions'!$B$4</f>
        <v>'c6us087a</v>
      </c>
      <c r="J50" s="319">
        <f>IF('Real Estate Taxes'!$A$13="Yes",0,'Real Estate Taxes'!$I$13)</f>
        <v>0</v>
      </c>
      <c r="K50" s="385">
        <f>IF('Upload Setup'!$B$3="Chart of Accounts A",IFERROR(VLOOKUP('Real Estate Taxes'!$E$13,'Mapped COA'!A:G,1,0),'Real Estate Taxes'!$E$13),IFERROR(VLOOKUP('Real Estate Taxes'!$E$13,'Mapped COA'!A:G,3,0),'Real Estate Taxes'!$E$13))</f>
        <v>0</v>
      </c>
      <c r="N50">
        <v>1</v>
      </c>
      <c r="O50" t="str">
        <f>_xlfn.TEXTJOIN(" ",TRUE,TEXT('Input-Instructions'!$B$6,"MM/YYYY"),"Prepaid",'Real Estate Taxes'!$G$13,,"Amortization")</f>
        <v>09/2026 Prepaid Amortization</v>
      </c>
      <c r="P50">
        <v>0</v>
      </c>
      <c r="Q50" s="292"/>
      <c r="S50" s="292"/>
    </row>
    <row r="51" spans="1:19" x14ac:dyDescent="0.35">
      <c r="A51" t="s">
        <v>599</v>
      </c>
      <c r="B51">
        <v>1</v>
      </c>
      <c r="E51" s="259">
        <f>'Input-Instructions'!$B$6</f>
        <v>46266</v>
      </c>
      <c r="F51" s="259">
        <f>'Input-Instructions'!$B$6</f>
        <v>46266</v>
      </c>
      <c r="G51" t="str">
        <f t="shared" si="0"/>
        <v>September Recurring Entries</v>
      </c>
      <c r="H51" t="s">
        <v>600</v>
      </c>
      <c r="I51" t="str">
        <f>'Input-Instructions'!$B$4</f>
        <v>'c6us087a</v>
      </c>
      <c r="J51" s="319">
        <f>IF('Real Estate Taxes'!$A$13="Yes",0,-'Real Estate Taxes'!$I$13)</f>
        <v>0</v>
      </c>
      <c r="K51" t="str">
        <f>IF('Upload Setup'!$B$3="Chart of Accounts A",IFERROR(VLOOKUP(IFERROR(VLOOKUP(VLOOKUP(K50,'Mapped COA'!A:G,2,0),'Upload Setup'!$B$5:$C$21,2,FALSE),'Real Estate Taxes'!$D$7),'Mapped COA'!A:G,1,0),IFERROR(VLOOKUP(VLOOKUP(K50,COA!A:G,2,0),'Upload Setup'!$B$5:$C$21,2,FALSE),'Real Estate Taxes'!$D$7)),IFERROR(VLOOKUP(IFERROR(VLOOKUP(VLOOKUP(K50,'Mapped COA'!A:G,2,0),'Upload Setup'!$B$5:$C$21,2,FALSE),'Real Estate Taxes'!$D$7),'Mapped COA'!A:G,3,0),IFERROR(VLOOKUP(VLOOKUP(K50,COA!A:G,2,0),'Upload Setup'!$B$5:$C$21,2,FALSE),'Real Estate Taxes'!$D$7)))</f>
        <v>1630-1510</v>
      </c>
      <c r="N51">
        <v>1</v>
      </c>
      <c r="O51" t="str">
        <f>_xlfn.TEXTJOIN(" ",TRUE,TEXT('Input-Instructions'!$B$6,"MM/YYYY"),"Prepaid",'Real Estate Taxes'!$G$13,,"Amortization")</f>
        <v>09/2026 Prepaid Amortization</v>
      </c>
      <c r="P51">
        <v>0</v>
      </c>
      <c r="Q51" s="292"/>
      <c r="S51" s="292"/>
    </row>
    <row r="52" spans="1:19" x14ac:dyDescent="0.35">
      <c r="A52" t="s">
        <v>599</v>
      </c>
      <c r="B52">
        <v>1</v>
      </c>
      <c r="E52" s="259">
        <f>'Input-Instructions'!$B$6</f>
        <v>46266</v>
      </c>
      <c r="F52" s="259">
        <f>'Input-Instructions'!$B$6</f>
        <v>46266</v>
      </c>
      <c r="G52" t="str">
        <f t="shared" si="0"/>
        <v>September Recurring Entries</v>
      </c>
      <c r="H52" t="s">
        <v>600</v>
      </c>
      <c r="I52" t="str">
        <f>'Input-Instructions'!$B$4</f>
        <v>'c6us087a</v>
      </c>
      <c r="J52" s="319">
        <f>IF('Real Estate Taxes'!$A$14="Yes",0,'Real Estate Taxes'!$I$14)</f>
        <v>0</v>
      </c>
      <c r="K52" s="385">
        <f>IF('Upload Setup'!$B$3="Chart of Accounts A",IFERROR(VLOOKUP('Real Estate Taxes'!$E$14,'Mapped COA'!A:G,1,0),'Real Estate Taxes'!$E$14),IFERROR(VLOOKUP('Real Estate Taxes'!$E$14,'Mapped COA'!A:G,3,0),'Real Estate Taxes'!$E$14))</f>
        <v>0</v>
      </c>
      <c r="N52">
        <v>1</v>
      </c>
      <c r="O52" t="str">
        <f>_xlfn.TEXTJOIN(" ",TRUE,TEXT('Input-Instructions'!$B$6,"MM/YYYY"),"Prepaid",'Real Estate Taxes'!$G$14,,"Amortization")</f>
        <v>09/2026 Prepaid Amortization</v>
      </c>
      <c r="P52">
        <v>0</v>
      </c>
      <c r="Q52" s="292"/>
      <c r="S52" s="292"/>
    </row>
    <row r="53" spans="1:19" x14ac:dyDescent="0.35">
      <c r="A53" t="s">
        <v>599</v>
      </c>
      <c r="B53">
        <v>1</v>
      </c>
      <c r="E53" s="259">
        <f>'Input-Instructions'!$B$6</f>
        <v>46266</v>
      </c>
      <c r="F53" s="259">
        <f>'Input-Instructions'!$B$6</f>
        <v>46266</v>
      </c>
      <c r="G53" t="str">
        <f t="shared" si="0"/>
        <v>September Recurring Entries</v>
      </c>
      <c r="H53" t="s">
        <v>600</v>
      </c>
      <c r="I53" t="str">
        <f>'Input-Instructions'!$B$4</f>
        <v>'c6us087a</v>
      </c>
      <c r="J53" s="319">
        <f>IF('Real Estate Taxes'!$A$14="Yes",0,-'Real Estate Taxes'!$I$14)</f>
        <v>0</v>
      </c>
      <c r="K53" t="str">
        <f>IF('Upload Setup'!$B$3="Chart of Accounts A",IFERROR(VLOOKUP(IFERROR(VLOOKUP(VLOOKUP(K52,'Mapped COA'!A:G,2,0),'Upload Setup'!$B$5:$C$21,2,FALSE),'Real Estate Taxes'!$D$7),'Mapped COA'!A:G,1,0),IFERROR(VLOOKUP(VLOOKUP(K52,COA!A:G,2,0),'Upload Setup'!$B$5:$C$21,2,FALSE),'Real Estate Taxes'!$D$7)),IFERROR(VLOOKUP(IFERROR(VLOOKUP(VLOOKUP(K52,'Mapped COA'!A:G,2,0),'Upload Setup'!$B$5:$C$21,2,FALSE),'Real Estate Taxes'!$D$7),'Mapped COA'!A:G,3,0),IFERROR(VLOOKUP(VLOOKUP(K52,COA!A:G,2,0),'Upload Setup'!$B$5:$C$21,2,FALSE),'Real Estate Taxes'!$D$7)))</f>
        <v>1630-1510</v>
      </c>
      <c r="N53">
        <v>1</v>
      </c>
      <c r="O53" t="str">
        <f>_xlfn.TEXTJOIN(" ",TRUE,TEXT('Input-Instructions'!$B$6,"MM/YYYY"),"Prepaid",'Real Estate Taxes'!$G$14,,"Amortization")</f>
        <v>09/2026 Prepaid Amortization</v>
      </c>
      <c r="P53">
        <v>0</v>
      </c>
      <c r="Q53" s="292"/>
      <c r="S53" s="292"/>
    </row>
    <row r="54" spans="1:19" x14ac:dyDescent="0.35">
      <c r="A54" t="s">
        <v>599</v>
      </c>
      <c r="B54">
        <v>1</v>
      </c>
      <c r="E54" s="259">
        <f>'Input-Instructions'!$B$6</f>
        <v>46266</v>
      </c>
      <c r="F54" s="259">
        <f>'Input-Instructions'!$B$6</f>
        <v>46266</v>
      </c>
      <c r="G54" t="str">
        <f t="shared" si="0"/>
        <v>September Recurring Entries</v>
      </c>
      <c r="H54" t="s">
        <v>600</v>
      </c>
      <c r="I54" t="str">
        <f>'Input-Instructions'!$B$4</f>
        <v>'c6us087a</v>
      </c>
      <c r="J54" s="319">
        <f>IF('Real Estate Taxes'!$A$20="Yes",0,'Real Estate Taxes'!$I$20)</f>
        <v>0</v>
      </c>
      <c r="K54" t="str">
        <f>IF('Upload Setup'!$B$3="Chart of Accounts A",IFERROR(VLOOKUP('Real Estate Taxes'!$E$20,'Mapped COA'!A:G,1,0),'Real Estate Taxes'!$E$20),IFERROR(VLOOKUP('Real Estate Taxes'!$E$20,'Mapped COA'!A:G,3,0),'Real Estate Taxes'!$E$20))</f>
        <v>5500-0100</v>
      </c>
      <c r="N54">
        <v>1</v>
      </c>
      <c r="O54" t="str">
        <f>_xlfn.TEXTJOIN(" ",TRUE,TEXT('Input-Instructions'!$B$6,"MM/YYYY"),'Real Estate Taxes'!$G$20,,"Accrual")</f>
        <v>09/2026 Real Estate Taxes Accrual Accrual</v>
      </c>
      <c r="P54">
        <v>0</v>
      </c>
      <c r="Q54" s="292"/>
      <c r="S54" s="292"/>
    </row>
    <row r="55" spans="1:19" x14ac:dyDescent="0.35">
      <c r="A55" t="s">
        <v>599</v>
      </c>
      <c r="B55">
        <v>1</v>
      </c>
      <c r="E55" s="259">
        <f>'Input-Instructions'!$B$6</f>
        <v>46266</v>
      </c>
      <c r="F55" s="259">
        <f>'Input-Instructions'!$B$6</f>
        <v>46266</v>
      </c>
      <c r="G55" t="str">
        <f t="shared" si="0"/>
        <v>September Recurring Entries</v>
      </c>
      <c r="H55" t="s">
        <v>600</v>
      </c>
      <c r="I55" t="str">
        <f>'Input-Instructions'!$B$4</f>
        <v>'c6us087a</v>
      </c>
      <c r="J55" s="319">
        <f>IF('Real Estate Taxes'!$A$20="Yes",0,-'Real Estate Taxes'!$I$20)</f>
        <v>0</v>
      </c>
      <c r="K55" t="str">
        <f>IF('Upload Setup'!$B$3="Chart of Accounts A",IFERROR(VLOOKUP(IFERROR(VLOOKUP(VLOOKUP(K54,'Mapped COA'!A:G,2,0),'Upload Setup'!$B$24:$C$39,2,FALSE),'Real Estate Taxes'!$D$18),'Mapped COA'!A:G,1,0),IFERROR(VLOOKUP(VLOOKUP(K54,COA!A:G,2,0),'Upload Setup'!$B$24:$C$39,2,FALSE),'Real Estate Taxes'!$D$18)),IFERROR(VLOOKUP(IFERROR(VLOOKUP(VLOOKUP(K54,'Mapped COA'!A:G,2,0),'Upload Setup'!$B$24:$C$39,2,FALSE),'Real Estate Taxes'!$D$18),'Mapped COA'!A:G,3,0),IFERROR(VLOOKUP(VLOOKUP(K54,COA!A:G,2,0),'Upload Setup'!$B$24:$C$39,2,FALSE),'Real Estate Taxes'!$D$18)))</f>
        <v>2611-3110</v>
      </c>
      <c r="N55">
        <v>1</v>
      </c>
      <c r="O55" t="str">
        <f>_xlfn.TEXTJOIN(" ",TRUE,TEXT('Input-Instructions'!$B$6,"MM/YYYY"),'Real Estate Taxes'!$G$20,,"Accrual")</f>
        <v>09/2026 Real Estate Taxes Accrual Accrual</v>
      </c>
      <c r="P55">
        <v>0</v>
      </c>
      <c r="Q55" s="292"/>
      <c r="S55" s="292"/>
    </row>
    <row r="56" spans="1:19" x14ac:dyDescent="0.35">
      <c r="A56" t="s">
        <v>599</v>
      </c>
      <c r="B56">
        <v>1</v>
      </c>
      <c r="E56" s="259">
        <f>'Input-Instructions'!$B$6</f>
        <v>46266</v>
      </c>
      <c r="F56" s="259">
        <f>'Input-Instructions'!$B$6</f>
        <v>46266</v>
      </c>
      <c r="G56" t="str">
        <f t="shared" si="0"/>
        <v>September Recurring Entries</v>
      </c>
      <c r="H56" t="s">
        <v>600</v>
      </c>
      <c r="I56" t="str">
        <f>'Input-Instructions'!$B$4</f>
        <v>'c6us087a</v>
      </c>
      <c r="J56" s="319">
        <f>IF('Real Estate Taxes'!$A$21="Yes",0,'Real Estate Taxes'!$I$21)</f>
        <v>0</v>
      </c>
      <c r="K56" t="str">
        <f>IF('Upload Setup'!$B$3="Chart of Accounts A",IFERROR(VLOOKUP('Real Estate Taxes'!$E$21,'Mapped COA'!A:G,1,0),'Real Estate Taxes'!$E$21),IFERROR(VLOOKUP('Real Estate Taxes'!$E$21,'Mapped COA'!A:G,3,0),'Real Estate Taxes'!$E$21))</f>
        <v>5500-2100</v>
      </c>
      <c r="N56">
        <v>1</v>
      </c>
      <c r="O56" t="str">
        <f>_xlfn.TEXTJOIN(" ",TRUE,TEXT('Input-Instructions'!$B$6,"MM/YYYY"),'Real Estate Taxes'!$G$21,,"Accrual")</f>
        <v>09/2026 Real Estate Tax Advisory / Consulting Fees Accrual</v>
      </c>
      <c r="P56">
        <v>0</v>
      </c>
      <c r="Q56" s="292"/>
      <c r="S56" s="292"/>
    </row>
    <row r="57" spans="1:19" x14ac:dyDescent="0.35">
      <c r="A57" t="s">
        <v>599</v>
      </c>
      <c r="B57">
        <v>1</v>
      </c>
      <c r="E57" s="259">
        <f>'Input-Instructions'!$B$6</f>
        <v>46266</v>
      </c>
      <c r="F57" s="259">
        <f>'Input-Instructions'!$B$6</f>
        <v>46266</v>
      </c>
      <c r="G57" t="str">
        <f t="shared" si="0"/>
        <v>September Recurring Entries</v>
      </c>
      <c r="H57" t="s">
        <v>600</v>
      </c>
      <c r="I57" t="str">
        <f>'Input-Instructions'!$B$4</f>
        <v>'c6us087a</v>
      </c>
      <c r="J57" s="319">
        <f>IF('Real Estate Taxes'!$A$21="Yes",0,-'Real Estate Taxes'!$I$21)</f>
        <v>0</v>
      </c>
      <c r="K57" t="str">
        <f>IF('Upload Setup'!$B$3="Chart of Accounts A",IFERROR(VLOOKUP(IFERROR(VLOOKUP(VLOOKUP(K56,'Mapped COA'!A:G,2,0),'Upload Setup'!$B$24:$C$39,2,FALSE),'Real Estate Taxes'!$D$18),'Mapped COA'!A:G,1,0),IFERROR(VLOOKUP(VLOOKUP(K56,COA!A:G,2,0),'Upload Setup'!$B$24:$C$39,2,FALSE),'Real Estate Taxes'!$D$18)),IFERROR(VLOOKUP(IFERROR(VLOOKUP(VLOOKUP(K56,'Mapped COA'!A:G,2,0),'Upload Setup'!$B$24:$C$39,2,FALSE),'Real Estate Taxes'!$D$18),'Mapped COA'!A:G,3,0),IFERROR(VLOOKUP(VLOOKUP(K56,COA!A:G,2,0),'Upload Setup'!$B$24:$C$39,2,FALSE),'Real Estate Taxes'!$D$18)))</f>
        <v>2611-3110</v>
      </c>
      <c r="N57">
        <v>1</v>
      </c>
      <c r="O57" t="str">
        <f>_xlfn.TEXTJOIN(" ",TRUE,TEXT('Input-Instructions'!$B$6,"MM/YYYY"),'Real Estate Taxes'!$G$21,,"Accrual")</f>
        <v>09/2026 Real Estate Tax Advisory / Consulting Fees Accrual</v>
      </c>
      <c r="P57">
        <v>0</v>
      </c>
      <c r="Q57" s="292"/>
      <c r="S57" s="292"/>
    </row>
    <row r="58" spans="1:19" x14ac:dyDescent="0.35">
      <c r="A58" t="s">
        <v>599</v>
      </c>
      <c r="B58">
        <v>1</v>
      </c>
      <c r="E58" s="259">
        <f>'Input-Instructions'!$B$6</f>
        <v>46266</v>
      </c>
      <c r="F58" s="259">
        <f>'Input-Instructions'!$B$6</f>
        <v>46266</v>
      </c>
      <c r="G58" t="str">
        <f t="shared" si="0"/>
        <v>September Recurring Entries</v>
      </c>
      <c r="H58" t="s">
        <v>600</v>
      </c>
      <c r="I58" t="str">
        <f>'Input-Instructions'!$B$4</f>
        <v>'c6us087a</v>
      </c>
      <c r="J58" s="319">
        <f>IF('Real Estate Taxes'!$A$22="Yes",0,'Real Estate Taxes'!$I$22)</f>
        <v>0</v>
      </c>
      <c r="K58" t="str">
        <f>IF('Upload Setup'!$B$3="Chart of Accounts A",IFERROR(VLOOKUP('Real Estate Taxes'!$E$22,'Mapped COA'!A:G,1,0),'Real Estate Taxes'!$E$22),IFERROR(VLOOKUP('Real Estate Taxes'!$E$22,'Mapped COA'!A:G,3,0),'Real Estate Taxes'!$E$22))</f>
        <v>5500-5110</v>
      </c>
      <c r="N58">
        <v>1</v>
      </c>
      <c r="O58" t="str">
        <f>_xlfn.TEXTJOIN(" ",TRUE,TEXT('Input-Instructions'!$B$6,"MM/YYYY"),'Real Estate Taxes'!$G$22,,"Accrual")</f>
        <v>09/2026 Other Taxes Accrual</v>
      </c>
      <c r="P58">
        <v>0</v>
      </c>
      <c r="Q58" s="292"/>
      <c r="S58" s="292"/>
    </row>
    <row r="59" spans="1:19" x14ac:dyDescent="0.35">
      <c r="A59" t="s">
        <v>599</v>
      </c>
      <c r="B59">
        <v>1</v>
      </c>
      <c r="E59" s="259">
        <f>'Input-Instructions'!$B$6</f>
        <v>46266</v>
      </c>
      <c r="F59" s="259">
        <f>'Input-Instructions'!$B$6</f>
        <v>46266</v>
      </c>
      <c r="G59" t="str">
        <f t="shared" si="0"/>
        <v>September Recurring Entries</v>
      </c>
      <c r="H59" t="s">
        <v>600</v>
      </c>
      <c r="I59" t="str">
        <f>'Input-Instructions'!$B$4</f>
        <v>'c6us087a</v>
      </c>
      <c r="J59" s="319">
        <f>IF('Real Estate Taxes'!$A$22="Yes",0,-'Real Estate Taxes'!$I$22)</f>
        <v>0</v>
      </c>
      <c r="K59" t="str">
        <f>IF('Upload Setup'!$B$3="Chart of Accounts A",IFERROR(VLOOKUP(IFERROR(VLOOKUP(VLOOKUP(K58,'Mapped COA'!A:G,2,0),'Upload Setup'!$B$24:$C$39,2,FALSE),'Real Estate Taxes'!$D$18),'Mapped COA'!A:G,1,0),IFERROR(VLOOKUP(VLOOKUP(K58,COA!A:G,2,0),'Upload Setup'!$B$24:$C$39,2,FALSE),'Real Estate Taxes'!$D$18)),IFERROR(VLOOKUP(IFERROR(VLOOKUP(VLOOKUP(K58,'Mapped COA'!A:G,2,0),'Upload Setup'!$B$24:$C$39,2,FALSE),'Real Estate Taxes'!$D$18),'Mapped COA'!A:G,3,0),IFERROR(VLOOKUP(VLOOKUP(K58,COA!A:G,2,0),'Upload Setup'!$B$24:$C$39,2,FALSE),'Real Estate Taxes'!$D$18)))</f>
        <v>2611-3110</v>
      </c>
      <c r="N59">
        <v>1</v>
      </c>
      <c r="O59" t="str">
        <f>_xlfn.TEXTJOIN(" ",TRUE,TEXT('Input-Instructions'!$B$6,"MM/YYYY"),'Real Estate Taxes'!$G$22,,"Accrual")</f>
        <v>09/2026 Other Taxes Accrual</v>
      </c>
      <c r="P59">
        <v>0</v>
      </c>
      <c r="Q59" s="292"/>
      <c r="S59" s="292"/>
    </row>
    <row r="60" spans="1:19" x14ac:dyDescent="0.35">
      <c r="A60" t="s">
        <v>599</v>
      </c>
      <c r="B60">
        <v>1</v>
      </c>
      <c r="E60" s="259">
        <f>'Input-Instructions'!$B$6</f>
        <v>46266</v>
      </c>
      <c r="F60" s="259">
        <f>'Input-Instructions'!$B$6</f>
        <v>46266</v>
      </c>
      <c r="G60" t="str">
        <f t="shared" si="0"/>
        <v>September Recurring Entries</v>
      </c>
      <c r="H60" t="s">
        <v>600</v>
      </c>
      <c r="I60" t="str">
        <f>'Input-Instructions'!$B$4</f>
        <v>'c6us087a</v>
      </c>
      <c r="J60" s="319">
        <f>IF('Real Estate Taxes'!$A$23="Yes",0,'Real Estate Taxes'!$I$23)</f>
        <v>0</v>
      </c>
      <c r="K60" t="str">
        <f>IF('Upload Setup'!$B$3="Chart of Accounts A",IFERROR(VLOOKUP('Real Estate Taxes'!$E$23,'Mapped COA'!A:G,1,0),'Real Estate Taxes'!$E$23),IFERROR(VLOOKUP('Real Estate Taxes'!$E$23,'Mapped COA'!A:G,3,0),'Real Estate Taxes'!$E$23))</f>
        <v>5500-6100</v>
      </c>
      <c r="N60">
        <v>1</v>
      </c>
      <c r="O60" t="str">
        <f>_xlfn.TEXTJOIN(" ",TRUE,TEXT('Input-Instructions'!$B$6,"MM/YYYY"),'Real Estate Taxes'!$G$23,,"Accrual")</f>
        <v>09/2026 Personal Property Taxes / Business Licences Accrual</v>
      </c>
      <c r="P60">
        <v>0</v>
      </c>
      <c r="Q60" s="292"/>
      <c r="S60" s="292"/>
    </row>
    <row r="61" spans="1:19" x14ac:dyDescent="0.35">
      <c r="A61" t="s">
        <v>599</v>
      </c>
      <c r="B61">
        <v>1</v>
      </c>
      <c r="E61" s="259">
        <f>'Input-Instructions'!$B$6</f>
        <v>46266</v>
      </c>
      <c r="F61" s="259">
        <f>'Input-Instructions'!$B$6</f>
        <v>46266</v>
      </c>
      <c r="G61" t="str">
        <f t="shared" si="0"/>
        <v>September Recurring Entries</v>
      </c>
      <c r="H61" t="s">
        <v>600</v>
      </c>
      <c r="I61" t="str">
        <f>'Input-Instructions'!$B$4</f>
        <v>'c6us087a</v>
      </c>
      <c r="J61" s="319">
        <f>IF('Real Estate Taxes'!$A$23="Yes",0,-'Real Estate Taxes'!$I$23)</f>
        <v>0</v>
      </c>
      <c r="K61" t="str">
        <f>IF('Upload Setup'!$B$3="Chart of Accounts A",IFERROR(VLOOKUP(IFERROR(VLOOKUP(VLOOKUP(K60,'Mapped COA'!A:G,2,0),'Upload Setup'!$B$24:$C$39,2,FALSE),'Real Estate Taxes'!$D$18),'Mapped COA'!A:G,1,0),IFERROR(VLOOKUP(VLOOKUP(K60,COA!A:G,2,0),'Upload Setup'!$B$24:$C$39,2,FALSE),'Real Estate Taxes'!$D$18)),IFERROR(VLOOKUP(IFERROR(VLOOKUP(VLOOKUP(K60,'Mapped COA'!A:G,2,0),'Upload Setup'!$B$24:$C$39,2,FALSE),'Real Estate Taxes'!$D$18),'Mapped COA'!A:G,3,0),IFERROR(VLOOKUP(VLOOKUP(K60,COA!A:G,2,0),'Upload Setup'!$B$24:$C$39,2,FALSE),'Real Estate Taxes'!$D$18)))</f>
        <v>2611-3110</v>
      </c>
      <c r="N61">
        <v>1</v>
      </c>
      <c r="O61" t="str">
        <f>_xlfn.TEXTJOIN(" ",TRUE,TEXT('Input-Instructions'!$B$6,"MM/YYYY"),'Real Estate Taxes'!$G$23,,"Accrual")</f>
        <v>09/2026 Personal Property Taxes / Business Licences Accrual</v>
      </c>
      <c r="P61">
        <v>0</v>
      </c>
      <c r="Q61" s="292"/>
      <c r="S61" s="292"/>
    </row>
    <row r="62" spans="1:19" x14ac:dyDescent="0.35">
      <c r="A62" t="s">
        <v>599</v>
      </c>
      <c r="B62">
        <v>1</v>
      </c>
      <c r="E62" s="259">
        <f>'Input-Instructions'!$B$6</f>
        <v>46266</v>
      </c>
      <c r="F62" s="259">
        <f>'Input-Instructions'!$B$6</f>
        <v>46266</v>
      </c>
      <c r="G62" t="str">
        <f t="shared" si="0"/>
        <v>September Recurring Entries</v>
      </c>
      <c r="H62" t="s">
        <v>600</v>
      </c>
      <c r="I62" t="str">
        <f>'Input-Instructions'!$B$4</f>
        <v>'c6us087a</v>
      </c>
      <c r="J62" s="319">
        <f>IF('Real Estate Taxes'!$A$28="Yes",0,'Real Estate Taxes'!$I$28)</f>
        <v>0</v>
      </c>
      <c r="K62" s="385">
        <f>IF('Upload Setup'!$B$3="Chart of Accounts A",IFERROR(VLOOKUP('Real Estate Taxes'!$E$28,'Mapped COA'!A:G,1,0),'Real Estate Taxes'!$E$28),IFERROR(VLOOKUP('Real Estate Taxes'!$E$28,'Mapped COA'!A:G,3,0),'Real Estate Taxes'!$E$28))</f>
        <v>0</v>
      </c>
      <c r="N62">
        <v>1</v>
      </c>
      <c r="O62" t="str">
        <f>_xlfn.TEXTJOIN(" ",TRUE,TEXT('Input-Instructions'!$B$6,"MM/YYYY"),'Real Estate Taxes'!$G$28,,"Accrual")</f>
        <v>09/2026 Accrual</v>
      </c>
      <c r="P62">
        <v>0</v>
      </c>
      <c r="Q62" s="292"/>
      <c r="S62" s="292"/>
    </row>
    <row r="63" spans="1:19" x14ac:dyDescent="0.35">
      <c r="A63" t="s">
        <v>599</v>
      </c>
      <c r="B63">
        <v>1</v>
      </c>
      <c r="E63" s="259">
        <f>'Input-Instructions'!$B$6</f>
        <v>46266</v>
      </c>
      <c r="F63" s="259">
        <f>'Input-Instructions'!$B$6</f>
        <v>46266</v>
      </c>
      <c r="G63" t="str">
        <f t="shared" si="0"/>
        <v>September Recurring Entries</v>
      </c>
      <c r="H63" t="s">
        <v>600</v>
      </c>
      <c r="I63" t="str">
        <f>'Input-Instructions'!$B$4</f>
        <v>'c6us087a</v>
      </c>
      <c r="J63" s="319">
        <f>IF('Real Estate Taxes'!$A$28="Yes",0,-'Real Estate Taxes'!$I$28)</f>
        <v>0</v>
      </c>
      <c r="K63" t="str">
        <f>IF('Upload Setup'!$B$3="Chart of Accounts A",IFERROR(VLOOKUP(IFERROR(VLOOKUP(VLOOKUP(K62,'Mapped COA'!A:G,2,0),'Upload Setup'!$B$24:$C$39,2,FALSE),'Real Estate Taxes'!$D$18),'Mapped COA'!A:G,1,0),IFERROR(VLOOKUP(VLOOKUP(K62,COA!A:G,2,0),'Upload Setup'!$B$24:$C$39,2,FALSE),'Real Estate Taxes'!$D$18)),IFERROR(VLOOKUP(IFERROR(VLOOKUP(VLOOKUP(K62,'Mapped COA'!A:G,2,0),'Upload Setup'!$B$24:$C$39,2,FALSE),'Real Estate Taxes'!$D$18),'Mapped COA'!A:G,3,0),IFERROR(VLOOKUP(VLOOKUP(K62,COA!A:G,2,0),'Upload Setup'!$B$24:$C$39,2,FALSE),'Real Estate Taxes'!$D$18)))</f>
        <v>2611-3110</v>
      </c>
      <c r="N63">
        <v>1</v>
      </c>
      <c r="O63" t="str">
        <f>_xlfn.TEXTJOIN(" ",TRUE,TEXT('Input-Instructions'!$B$6,"MM/YYYY"),'Real Estate Taxes'!$G$28,,"Accrual")</f>
        <v>09/2026 Accrual</v>
      </c>
      <c r="P63">
        <v>0</v>
      </c>
      <c r="Q63" s="292"/>
      <c r="S63" s="292"/>
    </row>
    <row r="64" spans="1:19" x14ac:dyDescent="0.35">
      <c r="A64" t="s">
        <v>599</v>
      </c>
      <c r="B64">
        <v>1</v>
      </c>
      <c r="E64" s="259">
        <f>'Input-Instructions'!$B$6</f>
        <v>46266</v>
      </c>
      <c r="F64" s="259">
        <f>'Input-Instructions'!$B$6</f>
        <v>46266</v>
      </c>
      <c r="G64" t="str">
        <f t="shared" si="0"/>
        <v>September Recurring Entries</v>
      </c>
      <c r="H64" t="s">
        <v>600</v>
      </c>
      <c r="I64" t="str">
        <f>'Input-Instructions'!$B$4</f>
        <v>'c6us087a</v>
      </c>
      <c r="J64" s="319">
        <f>IF('Real Estate Taxes'!$A$29="Yes",0,'Real Estate Taxes'!$I$29)</f>
        <v>0</v>
      </c>
      <c r="K64" s="385">
        <f>IF('Upload Setup'!$B$3="Chart of Accounts A",IFERROR(VLOOKUP('Real Estate Taxes'!$E$29,'Mapped COA'!A:G,1,0),'Real Estate Taxes'!$E$29),IFERROR(VLOOKUP('Real Estate Taxes'!$E$29,'Mapped COA'!A:G,3,0),'Real Estate Taxes'!$E$29))</f>
        <v>0</v>
      </c>
      <c r="N64">
        <v>1</v>
      </c>
      <c r="O64" t="str">
        <f>_xlfn.TEXTJOIN(" ",TRUE,TEXT('Input-Instructions'!$B$6,"MM/YYYY"),'Real Estate Taxes'!$G$29,,"Accrual")</f>
        <v>09/2026 Accrual</v>
      </c>
      <c r="P64">
        <v>0</v>
      </c>
      <c r="Q64" s="292"/>
      <c r="S64" s="292"/>
    </row>
    <row r="65" spans="1:25" x14ac:dyDescent="0.35">
      <c r="A65" t="s">
        <v>599</v>
      </c>
      <c r="B65">
        <v>1</v>
      </c>
      <c r="E65" s="259">
        <f>'Input-Instructions'!$B$6</f>
        <v>46266</v>
      </c>
      <c r="F65" s="259">
        <f>'Input-Instructions'!$B$6</f>
        <v>46266</v>
      </c>
      <c r="G65" t="str">
        <f t="shared" si="0"/>
        <v>September Recurring Entries</v>
      </c>
      <c r="H65" t="s">
        <v>600</v>
      </c>
      <c r="I65" t="str">
        <f>'Input-Instructions'!$B$4</f>
        <v>'c6us087a</v>
      </c>
      <c r="J65" s="319">
        <f>IF('Real Estate Taxes'!$A$29="Yes",0,-'Real Estate Taxes'!$I$29)</f>
        <v>0</v>
      </c>
      <c r="K65" t="str">
        <f>IF('Upload Setup'!$B$3="Chart of Accounts A",IFERROR(VLOOKUP(IFERROR(VLOOKUP(VLOOKUP(K64,'Mapped COA'!A:G,2,0),'Upload Setup'!$B$24:$C$39,2,FALSE),'Real Estate Taxes'!$D$18),'Mapped COA'!A:G,1,0),IFERROR(VLOOKUP(VLOOKUP(K64,COA!A:G,2,0),'Upload Setup'!$B$24:$C$39,2,FALSE),'Real Estate Taxes'!$D$18)),IFERROR(VLOOKUP(IFERROR(VLOOKUP(VLOOKUP(K64,'Mapped COA'!A:G,2,0),'Upload Setup'!$B$24:$C$39,2,FALSE),'Real Estate Taxes'!$D$18),'Mapped COA'!A:G,3,0),IFERROR(VLOOKUP(VLOOKUP(K64,COA!A:G,2,0),'Upload Setup'!$B$24:$C$39,2,FALSE),'Real Estate Taxes'!$D$18)))</f>
        <v>2611-3110</v>
      </c>
      <c r="N65">
        <v>1</v>
      </c>
      <c r="O65" t="str">
        <f>_xlfn.TEXTJOIN(" ",TRUE,TEXT('Input-Instructions'!$B$6,"MM/YYYY"),'Real Estate Taxes'!$G$29,,"Accrual")</f>
        <v>09/2026 Accrual</v>
      </c>
      <c r="P65">
        <v>0</v>
      </c>
      <c r="Q65" s="292"/>
      <c r="S65" s="292"/>
    </row>
    <row r="66" spans="1:25" x14ac:dyDescent="0.35">
      <c r="A66" t="s">
        <v>599</v>
      </c>
      <c r="B66">
        <v>1</v>
      </c>
      <c r="E66" s="259">
        <f>'Input-Instructions'!$B$6</f>
        <v>46266</v>
      </c>
      <c r="F66" s="259">
        <f>'Input-Instructions'!$B$6</f>
        <v>46266</v>
      </c>
      <c r="G66" t="str">
        <f t="shared" si="0"/>
        <v>September Recurring Entries</v>
      </c>
      <c r="H66" t="s">
        <v>600</v>
      </c>
      <c r="I66" t="str">
        <f>'Input-Instructions'!$B$4</f>
        <v>'c6us087a</v>
      </c>
      <c r="J66" s="319">
        <f>IFERROR(IF('Prepaid Other'!$A$6="Yes",0,IF(AND(EOMONTH('Prepaid Other'!$E$6,0)&gt;='Input-Instructions'!$B$6,(EOMONTH('Prepaid Other'!$D$6,-1)+1)&lt;='Input-Instructions'!$B$6),'Prepaid Other'!$I$6,0)),0)</f>
        <v>0</v>
      </c>
      <c r="K66" t="str">
        <f>IF('Upload Setup'!$B$3="Chart of Accounts A",IFERROR(VLOOKUP('Prepaid Other'!$B$6,'Mapped COA'!A:G,1,0),'Prepaid Other'!$B$6),IFERROR(VLOOKUP('Prepaid Other'!$B$6,'Mapped COA'!A:G,3,0),'Prepaid Other'!$B$6))</f>
        <v>5890-6600</v>
      </c>
      <c r="N66">
        <v>1</v>
      </c>
      <c r="O66" t="str">
        <f>_xlfn.TEXTJOIN(" ",TRUE,TEXT('Input-Instructions'!$B$6,"MM/YYYY"),"Prepaid",'Prepaid Other'!$F$6,"Amortization")</f>
        <v>09/2026 Prepaid Hello data Property reports Amortization</v>
      </c>
      <c r="P66">
        <v>0</v>
      </c>
      <c r="Q66" s="292"/>
      <c r="S66" s="292"/>
      <c r="T66" s="292"/>
      <c r="V66" s="292"/>
      <c r="X66" s="292"/>
    </row>
    <row r="67" spans="1:25" x14ac:dyDescent="0.35">
      <c r="A67" t="s">
        <v>599</v>
      </c>
      <c r="B67">
        <v>1</v>
      </c>
      <c r="E67" s="259">
        <f>'Input-Instructions'!$B$6</f>
        <v>46266</v>
      </c>
      <c r="F67" s="259">
        <f>'Input-Instructions'!$B$6</f>
        <v>46266</v>
      </c>
      <c r="G67" t="str">
        <f t="shared" si="0"/>
        <v>September Recurring Entries</v>
      </c>
      <c r="H67" t="s">
        <v>600</v>
      </c>
      <c r="I67" t="str">
        <f>'Input-Instructions'!$B$4</f>
        <v>'c6us087a</v>
      </c>
      <c r="J67" s="319">
        <f>IFERROR(IF('Prepaid Other'!$A$6="Yes",0,IF(AND(EOMONTH('Prepaid Other'!$E$6,0)&gt;='Input-Instructions'!$B$6,(EOMONTH('Prepaid Other'!$D$6,-1)+1)&lt;='Input-Instructions'!$B$6),-'Prepaid Other'!$I$6,0)),0)</f>
        <v>0</v>
      </c>
      <c r="K67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67">
        <v>1</v>
      </c>
      <c r="O67" t="str">
        <f>_xlfn.TEXTJOIN(" ",TRUE,TEXT('Input-Instructions'!$B$6,"MM/YYYY"),"Prepaid",'Prepaid Other'!$F$6,"Amortization")</f>
        <v>09/2026 Prepaid Hello data Property reports Amortization</v>
      </c>
      <c r="P67">
        <v>0</v>
      </c>
      <c r="Q67" s="292"/>
      <c r="R67" s="292"/>
      <c r="S67" s="292"/>
      <c r="T67" s="292"/>
      <c r="V67" s="292"/>
      <c r="X67" s="292"/>
    </row>
    <row r="68" spans="1:25" x14ac:dyDescent="0.35">
      <c r="A68" t="s">
        <v>599</v>
      </c>
      <c r="B68">
        <v>1</v>
      </c>
      <c r="E68" s="259">
        <f>'Input-Instructions'!$B$6</f>
        <v>46266</v>
      </c>
      <c r="F68" s="259">
        <f>'Input-Instructions'!$B$6</f>
        <v>46266</v>
      </c>
      <c r="G68" t="str">
        <f t="shared" si="0"/>
        <v>September Recurring Entries</v>
      </c>
      <c r="H68" t="s">
        <v>600</v>
      </c>
      <c r="I68" t="str">
        <f>'Input-Instructions'!$B$4</f>
        <v>'c6us087a</v>
      </c>
      <c r="J68" s="319">
        <f>IFERROR(IF('Prepaid Other'!#REF!="Yes",0,IF(AND(EOMONTH('Prepaid Other'!#REF!,0)&gt;='Input-Instructions'!$B$6,(EOMONTH('Prepaid Other'!#REF!,-1)+1)&lt;='Input-Instructions'!$B$6),'Prepaid Other'!#REF!,0)),0)</f>
        <v>0</v>
      </c>
      <c r="K68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68">
        <v>1</v>
      </c>
      <c r="O68" t="e">
        <f>_xlfn.TEXTJOIN(" ",TRUE,TEXT('Input-Instructions'!$B$6,"MM/YYYY"),"Prepaid",'Prepaid Other'!#REF!,"Amortization")</f>
        <v>#REF!</v>
      </c>
      <c r="P68">
        <v>0</v>
      </c>
      <c r="Q68" s="292"/>
      <c r="R68" s="292"/>
      <c r="S68" s="292"/>
      <c r="T68" s="292"/>
      <c r="U68" s="292"/>
      <c r="V68" s="292"/>
      <c r="W68" s="292"/>
      <c r="X68" s="292"/>
      <c r="Y68" s="292"/>
    </row>
    <row r="69" spans="1:25" x14ac:dyDescent="0.35">
      <c r="A69" t="s">
        <v>599</v>
      </c>
      <c r="B69">
        <v>1</v>
      </c>
      <c r="E69" s="259">
        <f>'Input-Instructions'!$B$6</f>
        <v>46266</v>
      </c>
      <c r="F69" s="259">
        <f>'Input-Instructions'!$B$6</f>
        <v>46266</v>
      </c>
      <c r="G69" t="str">
        <f t="shared" si="0"/>
        <v>September Recurring Entries</v>
      </c>
      <c r="H69" t="s">
        <v>600</v>
      </c>
      <c r="I69" t="str">
        <f>'Input-Instructions'!$B$4</f>
        <v>'c6us087a</v>
      </c>
      <c r="J69" s="319">
        <f>IFERROR(IF('Prepaid Other'!#REF!="Yes",0,IF(AND(EOMONTH('Prepaid Other'!#REF!,0)&gt;='Input-Instructions'!$B$6,(EOMONTH('Prepaid Other'!#REF!,-1)+1)&lt;='Input-Instructions'!$B$6),-'Prepaid Other'!#REF!,0)),0)</f>
        <v>0</v>
      </c>
      <c r="K69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69">
        <v>1</v>
      </c>
      <c r="O69" t="e">
        <f>_xlfn.TEXTJOIN(" ",TRUE,TEXT('Input-Instructions'!$B$6,"MM/YYYY"),"Prepaid",'Prepaid Other'!#REF!,"Amortization")</f>
        <v>#REF!</v>
      </c>
      <c r="P69">
        <v>0</v>
      </c>
      <c r="Q69" s="292"/>
      <c r="R69" s="292"/>
      <c r="S69" s="292"/>
      <c r="T69" s="292"/>
      <c r="U69" s="292"/>
      <c r="V69" s="292"/>
      <c r="W69" s="292"/>
      <c r="X69" s="292"/>
      <c r="Y69" s="292"/>
    </row>
    <row r="70" spans="1:25" x14ac:dyDescent="0.35">
      <c r="A70" t="s">
        <v>599</v>
      </c>
      <c r="B70">
        <v>1</v>
      </c>
      <c r="E70" s="259">
        <f>'Input-Instructions'!$B$6</f>
        <v>46266</v>
      </c>
      <c r="F70" s="259">
        <f>'Input-Instructions'!$B$6</f>
        <v>46266</v>
      </c>
      <c r="G70" t="str">
        <f t="shared" si="0"/>
        <v>September Recurring Entries</v>
      </c>
      <c r="H70" t="s">
        <v>600</v>
      </c>
      <c r="I70" t="str">
        <f>'Input-Instructions'!$B$4</f>
        <v>'c6us087a</v>
      </c>
      <c r="J70" s="319">
        <f>IFERROR(IF('Prepaid Other'!#REF!="Yes",0,IF(AND(EOMONTH('Prepaid Other'!#REF!,0)&gt;='Input-Instructions'!$B$6,(EOMONTH('Prepaid Other'!#REF!,-1)+1)&lt;='Input-Instructions'!$B$6),'Prepaid Other'!#REF!,0)),0)</f>
        <v>0</v>
      </c>
      <c r="K70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70">
        <v>1</v>
      </c>
      <c r="O70" t="e">
        <f>_xlfn.TEXTJOIN(" ",TRUE,TEXT('Input-Instructions'!$B$6,"MM/YYYY"),"Prepaid",'Prepaid Other'!#REF!,"Amortization")</f>
        <v>#REF!</v>
      </c>
      <c r="P70">
        <v>0</v>
      </c>
      <c r="Q70" s="292"/>
      <c r="R70" s="292"/>
      <c r="S70" s="292"/>
      <c r="T70" s="292"/>
      <c r="U70" s="292"/>
      <c r="V70" s="292"/>
      <c r="W70" s="292"/>
      <c r="X70" s="292"/>
      <c r="Y70" s="292"/>
    </row>
    <row r="71" spans="1:25" x14ac:dyDescent="0.35">
      <c r="A71" t="s">
        <v>599</v>
      </c>
      <c r="B71">
        <v>1</v>
      </c>
      <c r="E71" s="259">
        <f>'Input-Instructions'!$B$6</f>
        <v>46266</v>
      </c>
      <c r="F71" s="259">
        <f>'Input-Instructions'!$B$6</f>
        <v>46266</v>
      </c>
      <c r="G71" t="str">
        <f t="shared" si="0"/>
        <v>September Recurring Entries</v>
      </c>
      <c r="H71" t="s">
        <v>600</v>
      </c>
      <c r="I71" t="str">
        <f>'Input-Instructions'!$B$4</f>
        <v>'c6us087a</v>
      </c>
      <c r="J71" s="319">
        <f>IFERROR(IF('Prepaid Other'!#REF!="Yes",0,IF(AND(EOMONTH('Prepaid Other'!#REF!,0)&gt;='Input-Instructions'!$B$6,(EOMONTH('Prepaid Other'!#REF!,-1)+1)&lt;='Input-Instructions'!$B$6),-'Prepaid Other'!#REF!,0)),0)</f>
        <v>0</v>
      </c>
      <c r="K71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71">
        <v>1</v>
      </c>
      <c r="O71" t="e">
        <f>_xlfn.TEXTJOIN(" ",TRUE,TEXT('Input-Instructions'!$B$6,"MM/YYYY"),"Prepaid",'Prepaid Other'!#REF!,"Amortization")</f>
        <v>#REF!</v>
      </c>
      <c r="P71">
        <v>0</v>
      </c>
      <c r="Q71" s="292"/>
      <c r="R71" s="292"/>
      <c r="S71" s="292"/>
      <c r="T71" s="292"/>
      <c r="U71" s="292"/>
      <c r="V71" s="292"/>
      <c r="W71" s="292"/>
      <c r="X71" s="292"/>
      <c r="Y71" s="292"/>
    </row>
    <row r="72" spans="1:25" x14ac:dyDescent="0.35">
      <c r="A72" t="s">
        <v>599</v>
      </c>
      <c r="B72">
        <v>1</v>
      </c>
      <c r="E72" s="259">
        <f>'Input-Instructions'!$B$6</f>
        <v>46266</v>
      </c>
      <c r="F72" s="259">
        <f>'Input-Instructions'!$B$6</f>
        <v>46266</v>
      </c>
      <c r="G72" t="str">
        <f t="shared" si="0"/>
        <v>September Recurring Entries</v>
      </c>
      <c r="H72" t="s">
        <v>600</v>
      </c>
      <c r="I72" t="str">
        <f>'Input-Instructions'!$B$4</f>
        <v>'c6us087a</v>
      </c>
      <c r="J72" s="319">
        <f>IFERROR(IF('Prepaid Other'!#REF!="Yes",0,IF(AND(EOMONTH('Prepaid Other'!#REF!,0)&gt;='Input-Instructions'!$B$6,(EOMONTH('Prepaid Other'!#REF!,-1)+1)&lt;='Input-Instructions'!$B$6),'Prepaid Other'!#REF!,0)),0)</f>
        <v>0</v>
      </c>
      <c r="K72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72">
        <v>1</v>
      </c>
      <c r="O72" t="e">
        <f>_xlfn.TEXTJOIN(" ",TRUE,TEXT('Input-Instructions'!$B$6,"MM/YYYY"),"Prepaid",'Prepaid Other'!#REF!,"Amortization")</f>
        <v>#REF!</v>
      </c>
      <c r="P72">
        <v>0</v>
      </c>
      <c r="Q72" s="292"/>
      <c r="R72" s="292"/>
      <c r="S72" s="292"/>
      <c r="T72" s="292"/>
      <c r="U72" s="292"/>
      <c r="V72" s="292"/>
      <c r="W72" s="292"/>
      <c r="X72" s="292"/>
      <c r="Y72" s="292"/>
    </row>
    <row r="73" spans="1:25" x14ac:dyDescent="0.35">
      <c r="A73" t="s">
        <v>599</v>
      </c>
      <c r="B73">
        <v>1</v>
      </c>
      <c r="E73" s="259">
        <f>'Input-Instructions'!$B$6</f>
        <v>46266</v>
      </c>
      <c r="F73" s="259">
        <f>'Input-Instructions'!$B$6</f>
        <v>46266</v>
      </c>
      <c r="G73" t="str">
        <f t="shared" si="0"/>
        <v>September Recurring Entries</v>
      </c>
      <c r="H73" t="s">
        <v>600</v>
      </c>
      <c r="I73" t="str">
        <f>'Input-Instructions'!$B$4</f>
        <v>'c6us087a</v>
      </c>
      <c r="J73" s="319">
        <f>IFERROR(IF('Prepaid Other'!#REF!="Yes",0,IF(AND(EOMONTH('Prepaid Other'!#REF!,0)&gt;='Input-Instructions'!$B$6,(EOMONTH('Prepaid Other'!#REF!,-1)+1)&lt;='Input-Instructions'!$B$6),-'Prepaid Other'!#REF!,0)),0)</f>
        <v>0</v>
      </c>
      <c r="K73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73">
        <v>1</v>
      </c>
      <c r="O73" t="e">
        <f>_xlfn.TEXTJOIN(" ",TRUE,TEXT('Input-Instructions'!$B$6,"MM/YYYY"),"Prepaid",'Prepaid Other'!#REF!,"Amortization")</f>
        <v>#REF!</v>
      </c>
      <c r="P73">
        <v>0</v>
      </c>
      <c r="Q73" s="292"/>
      <c r="R73" s="292"/>
      <c r="S73" s="292"/>
      <c r="T73" s="292"/>
      <c r="U73" s="292"/>
      <c r="V73" s="292"/>
      <c r="W73" s="292"/>
      <c r="X73" s="292"/>
      <c r="Y73" s="292"/>
    </row>
    <row r="74" spans="1:25" x14ac:dyDescent="0.35">
      <c r="A74" t="s">
        <v>599</v>
      </c>
      <c r="B74">
        <v>1</v>
      </c>
      <c r="E74" s="259">
        <f>'Input-Instructions'!$B$6</f>
        <v>46266</v>
      </c>
      <c r="F74" s="259">
        <f>'Input-Instructions'!$B$6</f>
        <v>46266</v>
      </c>
      <c r="G74" t="str">
        <f t="shared" si="0"/>
        <v>September Recurring Entries</v>
      </c>
      <c r="H74" t="s">
        <v>600</v>
      </c>
      <c r="I74" t="str">
        <f>'Input-Instructions'!$B$4</f>
        <v>'c6us087a</v>
      </c>
      <c r="J74" s="319">
        <f>IFERROR(IF('Prepaid Other'!$A$7="Yes",0,IF(AND(EOMONTH('Prepaid Other'!$E$7,0)&gt;='Input-Instructions'!$B$6,(EOMONTH('Prepaid Other'!$D$7,-1)+1)&lt;='Input-Instructions'!$B$6),'Prepaid Other'!$I$7,0)),0)</f>
        <v>0</v>
      </c>
      <c r="K74" t="str">
        <f>IF('Upload Setup'!$B$3="Chart of Accounts A",IFERROR(VLOOKUP('Prepaid Other'!$B$7,'Mapped COA'!A:G,1,0),'Prepaid Other'!$B$7),IFERROR(VLOOKUP('Prepaid Other'!$B$7,'Mapped COA'!A:G,3,0),'Prepaid Other'!$B$7))</f>
        <v>5890-6350</v>
      </c>
      <c r="N74">
        <v>1</v>
      </c>
      <c r="O74" t="str">
        <f>_xlfn.TEXTJOIN(" ",TRUE,TEXT('Input-Instructions'!$B$6,"MM/YYYY"),"Prepaid",'Prepaid Other'!$F$7,"Amortization")</f>
        <v>09/2026 Prepaid Cobu Subscription - For the period 5/1/25 - 4/30/26 Amortization</v>
      </c>
      <c r="P74">
        <v>0</v>
      </c>
      <c r="Q74" s="292"/>
      <c r="R74" s="292"/>
      <c r="S74" s="292"/>
      <c r="T74" s="292"/>
      <c r="U74" s="292"/>
      <c r="V74" s="292"/>
      <c r="W74" s="292"/>
      <c r="X74" s="292"/>
      <c r="Y74" s="292"/>
    </row>
    <row r="75" spans="1:25" x14ac:dyDescent="0.35">
      <c r="A75" t="s">
        <v>599</v>
      </c>
      <c r="B75">
        <v>1</v>
      </c>
      <c r="E75" s="259">
        <f>'Input-Instructions'!$B$6</f>
        <v>46266</v>
      </c>
      <c r="F75" s="259">
        <f>'Input-Instructions'!$B$6</f>
        <v>46266</v>
      </c>
      <c r="G75" t="str">
        <f t="shared" ref="G75:G138" si="1">TEXT(F75,"mmmm")&amp;" Recurring Entries"</f>
        <v>September Recurring Entries</v>
      </c>
      <c r="H75" t="s">
        <v>600</v>
      </c>
      <c r="I75" t="str">
        <f>'Input-Instructions'!$B$4</f>
        <v>'c6us087a</v>
      </c>
      <c r="J75" s="319">
        <f>IFERROR(IF('Prepaid Other'!$A$7="Yes",0,IF(AND(EOMONTH('Prepaid Other'!$E$7,0)&gt;='Input-Instructions'!$B$6,(EOMONTH('Prepaid Other'!$D$7,-1)+1)&lt;='Input-Instructions'!$B$6),-'Prepaid Other'!$I$7,0)),0)</f>
        <v>0</v>
      </c>
      <c r="K75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75">
        <v>1</v>
      </c>
      <c r="O75" t="str">
        <f>_xlfn.TEXTJOIN(" ",TRUE,TEXT('Input-Instructions'!$B$6,"MM/YYYY"),"Prepaid",'Prepaid Other'!$F$7,"Amortization")</f>
        <v>09/2026 Prepaid Cobu Subscription - For the period 5/1/25 - 4/30/26 Amortization</v>
      </c>
      <c r="P75">
        <v>0</v>
      </c>
      <c r="Q75" s="292"/>
      <c r="R75" s="292"/>
      <c r="S75" s="292"/>
      <c r="T75" s="292"/>
      <c r="U75" s="292"/>
      <c r="V75" s="292"/>
      <c r="W75" s="292"/>
      <c r="X75" s="292"/>
      <c r="Y75" s="292"/>
    </row>
    <row r="76" spans="1:25" x14ac:dyDescent="0.35">
      <c r="A76" t="s">
        <v>599</v>
      </c>
      <c r="B76">
        <v>1</v>
      </c>
      <c r="E76" s="259">
        <f>'Input-Instructions'!$B$6</f>
        <v>46266</v>
      </c>
      <c r="F76" s="259">
        <f>'Input-Instructions'!$B$6</f>
        <v>46266</v>
      </c>
      <c r="G76" t="str">
        <f t="shared" si="1"/>
        <v>September Recurring Entries</v>
      </c>
      <c r="H76" t="s">
        <v>600</v>
      </c>
      <c r="I76" t="str">
        <f>'Input-Instructions'!$B$4</f>
        <v>'c6us087a</v>
      </c>
      <c r="J76" s="319">
        <f>IFERROR(IF('Prepaid Other'!$A$8="Yes",0,IF(AND(EOMONTH('Prepaid Other'!$E$8,0)&gt;='Input-Instructions'!$B$6,(EOMONTH('Prepaid Other'!$D$8,-1)+1)&lt;='Input-Instructions'!$B$6),'Prepaid Other'!$I$8,0)),0)</f>
        <v>0</v>
      </c>
      <c r="K76" t="str">
        <f>IF('Upload Setup'!$B$3="Chart of Accounts A",IFERROR(VLOOKUP('Prepaid Other'!$B$8,'Mapped COA'!A:G,1,0),'Prepaid Other'!$B$8),IFERROR(VLOOKUP('Prepaid Other'!$B$8,'Mapped COA'!A:G,3,0),'Prepaid Other'!$B$8))</f>
        <v>5600-4000</v>
      </c>
      <c r="N76">
        <v>1</v>
      </c>
      <c r="O76" t="str">
        <f>_xlfn.TEXTJOIN(" ",TRUE,TEXT('Input-Instructions'!$B$6,"MM/YYYY"),"Prepaid",'Prepaid Other'!$F$8,"Amortization")</f>
        <v>09/2026 Prepaid Annual Support Fee - Locker | July 2025 - June 2026 Luxer One Amortization</v>
      </c>
      <c r="P76">
        <v>0</v>
      </c>
      <c r="Q76" s="292"/>
      <c r="R76" s="292"/>
      <c r="S76" s="292"/>
      <c r="T76" s="292"/>
      <c r="U76" s="292"/>
      <c r="V76" s="292"/>
      <c r="W76" s="292"/>
      <c r="X76" s="292"/>
      <c r="Y76" s="292"/>
    </row>
    <row r="77" spans="1:25" x14ac:dyDescent="0.35">
      <c r="A77" t="s">
        <v>599</v>
      </c>
      <c r="B77">
        <v>1</v>
      </c>
      <c r="E77" s="259">
        <f>'Input-Instructions'!$B$6</f>
        <v>46266</v>
      </c>
      <c r="F77" s="259">
        <f>'Input-Instructions'!$B$6</f>
        <v>46266</v>
      </c>
      <c r="G77" t="str">
        <f t="shared" si="1"/>
        <v>September Recurring Entries</v>
      </c>
      <c r="H77" t="s">
        <v>600</v>
      </c>
      <c r="I77" t="str">
        <f>'Input-Instructions'!$B$4</f>
        <v>'c6us087a</v>
      </c>
      <c r="J77" s="319">
        <f>IFERROR(IF('Prepaid Other'!$A$8="Yes",0,IF(AND(EOMONTH('Prepaid Other'!$E$8,0)&gt;='Input-Instructions'!$B$6,(EOMONTH('Prepaid Other'!$D$8,-1)+1)&lt;='Input-Instructions'!$B$6),-'Prepaid Other'!$I$8,0)),0)</f>
        <v>0</v>
      </c>
      <c r="K77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77">
        <v>1</v>
      </c>
      <c r="O77" t="str">
        <f>_xlfn.TEXTJOIN(" ",TRUE,TEXT('Input-Instructions'!$B$6,"MM/YYYY"),"Prepaid",'Prepaid Other'!$F$8,"Amortization")</f>
        <v>09/2026 Prepaid Annual Support Fee - Locker | July 2025 - June 2026 Luxer One Amortization</v>
      </c>
      <c r="P77">
        <v>0</v>
      </c>
      <c r="Q77" s="292"/>
      <c r="R77" s="292"/>
      <c r="S77" s="292"/>
      <c r="T77" s="292"/>
      <c r="U77" s="292"/>
      <c r="V77" s="292"/>
      <c r="W77" s="292"/>
      <c r="X77" s="292"/>
      <c r="Y77" s="292"/>
    </row>
    <row r="78" spans="1:25" x14ac:dyDescent="0.35">
      <c r="A78" t="s">
        <v>599</v>
      </c>
      <c r="B78">
        <v>1</v>
      </c>
      <c r="E78" s="259">
        <f>'Input-Instructions'!$B$6</f>
        <v>46266</v>
      </c>
      <c r="F78" s="259">
        <f>'Input-Instructions'!$B$6</f>
        <v>46266</v>
      </c>
      <c r="G78" t="str">
        <f t="shared" si="1"/>
        <v>September Recurring Entries</v>
      </c>
      <c r="H78" t="s">
        <v>600</v>
      </c>
      <c r="I78" t="str">
        <f>'Input-Instructions'!$B$4</f>
        <v>'c6us087a</v>
      </c>
      <c r="J78" s="319">
        <f>IFERROR(IF('Prepaid Other'!$A$9="Yes",0,IF(AND(EOMONTH('Prepaid Other'!$E$9,0)&gt;='Input-Instructions'!$B$6,(EOMONTH('Prepaid Other'!$D$9,-1)+1)&lt;='Input-Instructions'!$B$6),'Prepaid Other'!$I$9,0)),0)</f>
        <v>0</v>
      </c>
      <c r="K78" t="str">
        <f>IF('Upload Setup'!$B$3="Chart of Accounts A",IFERROR(VLOOKUP('Prepaid Other'!$B$9,'Mapped COA'!A:G,1,0),'Prepaid Other'!$B$9),IFERROR(VLOOKUP('Prepaid Other'!$B$9,'Mapped COA'!A:G,3,0),'Prepaid Other'!$B$9))</f>
        <v>5890-6800</v>
      </c>
      <c r="N78">
        <v>1</v>
      </c>
      <c r="O78" t="str">
        <f>_xlfn.TEXTJOIN(" ",TRUE,TEXT('Input-Instructions'!$B$6,"MM/YYYY"),"Prepaid",'Prepaid Other'!$F$9,"Amortization")</f>
        <v>09/2026 Prepaid 01/26 Graphic Design Tool Renewal Service Period:03/2026 - 12/2026 Amortization</v>
      </c>
      <c r="P78">
        <v>0</v>
      </c>
      <c r="Q78" s="292"/>
      <c r="R78" s="292"/>
      <c r="S78" s="292"/>
      <c r="T78" s="292"/>
      <c r="U78" s="292"/>
      <c r="V78" s="292"/>
      <c r="W78" s="292"/>
      <c r="X78" s="292"/>
      <c r="Y78" s="292"/>
    </row>
    <row r="79" spans="1:25" x14ac:dyDescent="0.35">
      <c r="A79" t="s">
        <v>599</v>
      </c>
      <c r="B79">
        <v>1</v>
      </c>
      <c r="E79" s="259">
        <f>'Input-Instructions'!$B$6</f>
        <v>46266</v>
      </c>
      <c r="F79" s="259">
        <f>'Input-Instructions'!$B$6</f>
        <v>46266</v>
      </c>
      <c r="G79" t="str">
        <f t="shared" si="1"/>
        <v>September Recurring Entries</v>
      </c>
      <c r="H79" t="s">
        <v>600</v>
      </c>
      <c r="I79" t="str">
        <f>'Input-Instructions'!$B$4</f>
        <v>'c6us087a</v>
      </c>
      <c r="J79" s="319">
        <f>IFERROR(IF('Prepaid Other'!$A$9="Yes",0,IF(AND(EOMONTH('Prepaid Other'!$E$9,0)&gt;='Input-Instructions'!$B$6,(EOMONTH('Prepaid Other'!$D$9,-1)+1)&lt;='Input-Instructions'!$B$6),-'Prepaid Other'!$I$9,0)),0)</f>
        <v>0</v>
      </c>
      <c r="K79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79">
        <v>1</v>
      </c>
      <c r="O79" t="str">
        <f>_xlfn.TEXTJOIN(" ",TRUE,TEXT('Input-Instructions'!$B$6,"MM/YYYY"),"Prepaid",'Prepaid Other'!$F$9,"Amortization")</f>
        <v>09/2026 Prepaid 01/26 Graphic Design Tool Renewal Service Period:03/2026 - 12/2026 Amortization</v>
      </c>
      <c r="P79">
        <v>0</v>
      </c>
      <c r="Q79" s="292"/>
      <c r="R79" s="292"/>
      <c r="S79" s="292"/>
      <c r="T79" s="292"/>
      <c r="U79" s="292"/>
      <c r="V79" s="292"/>
      <c r="W79" s="292"/>
      <c r="X79" s="292"/>
      <c r="Y79" s="292"/>
    </row>
    <row r="80" spans="1:25" x14ac:dyDescent="0.35">
      <c r="A80" t="s">
        <v>599</v>
      </c>
      <c r="B80">
        <v>1</v>
      </c>
      <c r="E80" s="259">
        <f>'Input-Instructions'!$B$6</f>
        <v>46266</v>
      </c>
      <c r="F80" s="259">
        <f>'Input-Instructions'!$B$6</f>
        <v>46266</v>
      </c>
      <c r="G80" t="str">
        <f t="shared" si="1"/>
        <v>September Recurring Entries</v>
      </c>
      <c r="H80" t="s">
        <v>600</v>
      </c>
      <c r="I80" t="str">
        <f>'Input-Instructions'!$B$4</f>
        <v>'c6us087a</v>
      </c>
      <c r="J80" s="319">
        <f>IFERROR(IF('Prepaid Other'!$A$10="Yes",0,IF(AND(EOMONTH('Prepaid Other'!$E$10,0)&gt;='Input-Instructions'!$B$6,(EOMONTH('Prepaid Other'!$D$10,-1)+1)&lt;='Input-Instructions'!$B$6),'Prepaid Other'!$I$10,0)),0)</f>
        <v>0</v>
      </c>
      <c r="K80" t="str">
        <f>IF('Upload Setup'!$B$3="Chart of Accounts A",IFERROR(VLOOKUP('Prepaid Other'!$B$10,'Mapped COA'!A:G,1,0),'Prepaid Other'!$B$10),IFERROR(VLOOKUP('Prepaid Other'!$B$10,'Mapped COA'!A:G,3,0),'Prepaid Other'!$B$10))</f>
        <v>5600-4000</v>
      </c>
      <c r="N80">
        <v>1</v>
      </c>
      <c r="O80" t="str">
        <f>_xlfn.TEXTJOIN(" ",TRUE,TEXT('Input-Instructions'!$B$6,"MM/YYYY"),"Prepaid",'Prepaid Other'!$F$10,"Amortization")</f>
        <v>09/2026 Prepaid June Service Fees Amortization</v>
      </c>
      <c r="P80">
        <v>0</v>
      </c>
      <c r="Q80" s="292"/>
      <c r="R80" s="292"/>
      <c r="S80" s="292"/>
      <c r="T80" s="292"/>
      <c r="U80" s="292"/>
      <c r="V80" s="292"/>
      <c r="W80" s="292"/>
      <c r="X80" s="292"/>
      <c r="Y80" s="292"/>
    </row>
    <row r="81" spans="1:25" x14ac:dyDescent="0.35">
      <c r="A81" t="s">
        <v>599</v>
      </c>
      <c r="B81">
        <v>1</v>
      </c>
      <c r="E81" s="259">
        <f>'Input-Instructions'!$B$6</f>
        <v>46266</v>
      </c>
      <c r="F81" s="259">
        <f>'Input-Instructions'!$B$6</f>
        <v>46266</v>
      </c>
      <c r="G81" t="str">
        <f t="shared" si="1"/>
        <v>September Recurring Entries</v>
      </c>
      <c r="H81" t="s">
        <v>600</v>
      </c>
      <c r="I81" t="str">
        <f>'Input-Instructions'!$B$4</f>
        <v>'c6us087a</v>
      </c>
      <c r="J81" s="319">
        <f>IFERROR(IF('Prepaid Other'!$A$10="Yes",0,IF(AND(EOMONTH('Prepaid Other'!$E$10,0)&gt;='Input-Instructions'!$B$6,(EOMONTH('Prepaid Other'!$D$10,-1)+1)&lt;='Input-Instructions'!$B$6),-'Prepaid Other'!$I$10,0)),0)</f>
        <v>0</v>
      </c>
      <c r="K81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81">
        <v>1</v>
      </c>
      <c r="O81" t="str">
        <f>_xlfn.TEXTJOIN(" ",TRUE,TEXT('Input-Instructions'!$B$6,"MM/YYYY"),"Prepaid",'Prepaid Other'!$F$10,"Amortization")</f>
        <v>09/2026 Prepaid June Service Fees Amortization</v>
      </c>
      <c r="P81">
        <v>0</v>
      </c>
      <c r="Q81" s="292"/>
      <c r="R81" s="292"/>
      <c r="S81" s="292"/>
      <c r="T81" s="292"/>
      <c r="U81" s="292"/>
      <c r="V81" s="292"/>
      <c r="W81" s="292"/>
      <c r="X81" s="292"/>
      <c r="Y81" s="292"/>
    </row>
    <row r="82" spans="1:25" x14ac:dyDescent="0.35">
      <c r="A82" t="s">
        <v>599</v>
      </c>
      <c r="B82">
        <v>1</v>
      </c>
      <c r="E82" s="259">
        <f>'Input-Instructions'!$B$6</f>
        <v>46266</v>
      </c>
      <c r="F82" s="259">
        <f>'Input-Instructions'!$B$6</f>
        <v>46266</v>
      </c>
      <c r="G82" t="str">
        <f t="shared" si="1"/>
        <v>September Recurring Entries</v>
      </c>
      <c r="H82" t="s">
        <v>600</v>
      </c>
      <c r="I82" t="str">
        <f>'Input-Instructions'!$B$4</f>
        <v>'c6us087a</v>
      </c>
      <c r="J82" s="319">
        <f>IFERROR(IF('Prepaid Other'!$A$11="Yes",0,IF(AND(EOMONTH('Prepaid Other'!$E$11,0)&gt;='Input-Instructions'!$B$6,(EOMONTH('Prepaid Other'!$D$11,-1)+1)&lt;='Input-Instructions'!$B$6),'Prepaid Other'!$I$11,0)),0)</f>
        <v>172.85</v>
      </c>
      <c r="K82" t="str">
        <f>IF('Upload Setup'!$B$3="Chart of Accounts A",IFERROR(VLOOKUP('Prepaid Other'!$B$11,'Mapped COA'!A:G,1,0),'Prepaid Other'!$B$11),IFERROR(VLOOKUP('Prepaid Other'!$B$11,'Mapped COA'!A:G,3,0),'Prepaid Other'!$B$11))</f>
        <v>5890-6100</v>
      </c>
      <c r="N82">
        <v>1</v>
      </c>
      <c r="O82" t="str">
        <f>_xlfn.TEXTJOIN(" ",TRUE,TEXT('Input-Instructions'!$B$6,"MM/YYYY"),"Prepaid",'Prepaid Other'!$F$11,"Amortization")</f>
        <v>09/2026 Prepaid 04/26 ORM Yearly Renewal - Full Bundle 0426ORM|rpresshi| (07/26-03/27) Amortization</v>
      </c>
      <c r="P82">
        <v>0</v>
      </c>
      <c r="Q82" s="292"/>
      <c r="R82" s="292"/>
      <c r="S82" s="292"/>
      <c r="T82" s="292"/>
      <c r="U82" s="292"/>
      <c r="V82" s="292"/>
      <c r="W82" s="292"/>
      <c r="X82" s="292"/>
      <c r="Y82" s="292"/>
    </row>
    <row r="83" spans="1:25" x14ac:dyDescent="0.35">
      <c r="A83" t="s">
        <v>599</v>
      </c>
      <c r="B83">
        <v>1</v>
      </c>
      <c r="E83" s="259">
        <f>'Input-Instructions'!$B$6</f>
        <v>46266</v>
      </c>
      <c r="F83" s="259">
        <f>'Input-Instructions'!$B$6</f>
        <v>46266</v>
      </c>
      <c r="G83" t="str">
        <f t="shared" si="1"/>
        <v>September Recurring Entries</v>
      </c>
      <c r="H83" t="s">
        <v>600</v>
      </c>
      <c r="I83" t="str">
        <f>'Input-Instructions'!$B$4</f>
        <v>'c6us087a</v>
      </c>
      <c r="J83" s="319">
        <f>IFERROR(IF('Prepaid Other'!$A$11="Yes",0,IF(AND(EOMONTH('Prepaid Other'!$E$11,0)&gt;='Input-Instructions'!$B$6,(EOMONTH('Prepaid Other'!$D$11,-1)+1)&lt;='Input-Instructions'!$B$6),-'Prepaid Other'!$I$11,0)),0)</f>
        <v>-172.85</v>
      </c>
      <c r="K83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83">
        <v>1</v>
      </c>
      <c r="O83" t="str">
        <f>_xlfn.TEXTJOIN(" ",TRUE,TEXT('Input-Instructions'!$B$6,"MM/YYYY"),"Prepaid",'Prepaid Other'!$F$11,"Amortization")</f>
        <v>09/2026 Prepaid 04/26 ORM Yearly Renewal - Full Bundle 0426ORM|rpresshi| (07/26-03/27) Amortization</v>
      </c>
      <c r="P83">
        <v>0</v>
      </c>
      <c r="Q83" s="292"/>
      <c r="R83" s="292"/>
      <c r="S83" s="292"/>
      <c r="T83" s="292"/>
      <c r="U83" s="292"/>
      <c r="V83" s="292"/>
      <c r="W83" s="292"/>
      <c r="X83" s="292"/>
      <c r="Y83" s="292"/>
    </row>
    <row r="84" spans="1:25" x14ac:dyDescent="0.35">
      <c r="A84" t="s">
        <v>599</v>
      </c>
      <c r="B84">
        <v>1</v>
      </c>
      <c r="E84" s="259">
        <f>'Input-Instructions'!$B$6</f>
        <v>46266</v>
      </c>
      <c r="F84" s="259">
        <f>'Input-Instructions'!$B$6</f>
        <v>46266</v>
      </c>
      <c r="G84" t="str">
        <f t="shared" si="1"/>
        <v>September Recurring Entries</v>
      </c>
      <c r="H84" t="s">
        <v>600</v>
      </c>
      <c r="I84" t="str">
        <f>'Input-Instructions'!$B$4</f>
        <v>'c6us087a</v>
      </c>
      <c r="J84" s="319">
        <f>IFERROR(IF('Prepaid Other'!$A$12="Yes",0,IF(AND(EOMONTH('Prepaid Other'!$E$12,0)&gt;='Input-Instructions'!$B$6,(EOMONTH('Prepaid Other'!$D$12,-1)+1)&lt;='Input-Instructions'!$B$6),'Prepaid Other'!$I$12,0)),0)</f>
        <v>0</v>
      </c>
      <c r="K84" t="str">
        <f>IF('Upload Setup'!$B$3="Chart of Accounts A",IFERROR(VLOOKUP('Prepaid Other'!$B$12,'Mapped COA'!A:G,1,0),'Prepaid Other'!$B$12),IFERROR(VLOOKUP('Prepaid Other'!$B$12,'Mapped COA'!A:G,3,0),'Prepaid Other'!$B$12))</f>
        <v>5400-1200</v>
      </c>
      <c r="N84">
        <v>1</v>
      </c>
      <c r="O84" t="str">
        <f>_xlfn.TEXTJOIN(" ",TRUE,TEXT('Input-Instructions'!$B$6,"MM/YYYY"),"Prepaid",'Prepaid Other'!$F$12,"Amortization")</f>
        <v>09/2026 Prepaid Propane and Fees Amortization</v>
      </c>
      <c r="P84">
        <v>0</v>
      </c>
      <c r="Q84" s="292"/>
      <c r="R84" s="292"/>
      <c r="S84" s="292"/>
      <c r="T84" s="292"/>
      <c r="U84" s="292"/>
      <c r="V84" s="292"/>
      <c r="W84" s="292"/>
      <c r="X84" s="292"/>
      <c r="Y84" s="292"/>
    </row>
    <row r="85" spans="1:25" x14ac:dyDescent="0.35">
      <c r="A85" t="s">
        <v>599</v>
      </c>
      <c r="B85">
        <v>1</v>
      </c>
      <c r="E85" s="259">
        <f>'Input-Instructions'!$B$6</f>
        <v>46266</v>
      </c>
      <c r="F85" s="259">
        <f>'Input-Instructions'!$B$6</f>
        <v>46266</v>
      </c>
      <c r="G85" t="str">
        <f t="shared" si="1"/>
        <v>September Recurring Entries</v>
      </c>
      <c r="H85" t="s">
        <v>600</v>
      </c>
      <c r="I85" t="str">
        <f>'Input-Instructions'!$B$4</f>
        <v>'c6us087a</v>
      </c>
      <c r="J85" s="319">
        <f>IFERROR(IF('Prepaid Other'!$A$12="Yes",0,IF(AND(EOMONTH('Prepaid Other'!$E$12,0)&gt;='Input-Instructions'!$B$6,(EOMONTH('Prepaid Other'!$D$12,-1)+1)&lt;='Input-Instructions'!$B$6),-'Prepaid Other'!$I$12,0)),0)</f>
        <v>0</v>
      </c>
      <c r="K85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85">
        <v>1</v>
      </c>
      <c r="O85" t="str">
        <f>_xlfn.TEXTJOIN(" ",TRUE,TEXT('Input-Instructions'!$B$6,"MM/YYYY"),"Prepaid",'Prepaid Other'!$F$12,"Amortization")</f>
        <v>09/2026 Prepaid Propane and Fees Amortization</v>
      </c>
      <c r="P85">
        <v>0</v>
      </c>
      <c r="Q85" s="292"/>
      <c r="R85" s="292"/>
      <c r="S85" s="292"/>
      <c r="T85" s="292"/>
      <c r="U85" s="292"/>
      <c r="V85" s="292"/>
      <c r="W85" s="292"/>
      <c r="X85" s="292"/>
      <c r="Y85" s="292"/>
    </row>
    <row r="86" spans="1:25" x14ac:dyDescent="0.35">
      <c r="A86" t="s">
        <v>599</v>
      </c>
      <c r="B86">
        <v>1</v>
      </c>
      <c r="E86" s="259">
        <f>'Input-Instructions'!$B$6</f>
        <v>46266</v>
      </c>
      <c r="F86" s="259">
        <f>'Input-Instructions'!$B$6</f>
        <v>46266</v>
      </c>
      <c r="G86" t="str">
        <f t="shared" si="1"/>
        <v>September Recurring Entries</v>
      </c>
      <c r="H86" t="s">
        <v>600</v>
      </c>
      <c r="I86" t="str">
        <f>'Input-Instructions'!$B$4</f>
        <v>'c6us087a</v>
      </c>
      <c r="J86" s="319">
        <f>IFERROR(IF('Prepaid Other'!$A$13="Yes",0,IF(AND(EOMONTH('Prepaid Other'!$E$13,0)&gt;='Input-Instructions'!$B$6,(EOMONTH('Prepaid Other'!$D$13,-1)+1)&lt;='Input-Instructions'!$B$6),'Prepaid Other'!$I$13,0)),0)</f>
        <v>0</v>
      </c>
      <c r="K86" t="str">
        <f>IF('Upload Setup'!$B$3="Chart of Accounts A",IFERROR(VLOOKUP('Prepaid Other'!$B$13,'Mapped COA'!A:G,1,0),'Prepaid Other'!$B$13),IFERROR(VLOOKUP('Prepaid Other'!$B$13,'Mapped COA'!A:G,3,0),'Prepaid Other'!$B$13))</f>
        <v>5300-4200</v>
      </c>
      <c r="N86">
        <v>1</v>
      </c>
      <c r="O86" t="str">
        <f>_xlfn.TEXTJOIN(" ",TRUE,TEXT('Input-Instructions'!$B$6,"MM/YYYY"),"Prepaid",'Prepaid Other'!$F$13,"Amortization")</f>
        <v>09/2026 Prepaid 07/26 Monthly Landscape Maintenance Amortization</v>
      </c>
      <c r="P86">
        <v>0</v>
      </c>
      <c r="Q86" s="292"/>
      <c r="R86" s="292"/>
      <c r="S86" s="292"/>
      <c r="T86" s="292"/>
      <c r="U86" s="292"/>
      <c r="V86" s="292"/>
      <c r="W86" s="292"/>
      <c r="X86" s="292"/>
      <c r="Y86" s="292"/>
    </row>
    <row r="87" spans="1:25" x14ac:dyDescent="0.35">
      <c r="A87" t="s">
        <v>599</v>
      </c>
      <c r="B87">
        <v>1</v>
      </c>
      <c r="E87" s="259">
        <f>'Input-Instructions'!$B$6</f>
        <v>46266</v>
      </c>
      <c r="F87" s="259">
        <f>'Input-Instructions'!$B$6</f>
        <v>46266</v>
      </c>
      <c r="G87" t="str">
        <f t="shared" si="1"/>
        <v>September Recurring Entries</v>
      </c>
      <c r="H87" t="s">
        <v>600</v>
      </c>
      <c r="I87" t="str">
        <f>'Input-Instructions'!$B$4</f>
        <v>'c6us087a</v>
      </c>
      <c r="J87" s="319">
        <f>IFERROR(IF('Prepaid Other'!$A$13="Yes",0,IF(AND(EOMONTH('Prepaid Other'!$E$13,0)&gt;='Input-Instructions'!$B$6,(EOMONTH('Prepaid Other'!$D$13,-1)+1)&lt;='Input-Instructions'!$B$6),-'Prepaid Other'!$I$13,0)),0)</f>
        <v>0</v>
      </c>
      <c r="K87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87">
        <v>1</v>
      </c>
      <c r="O87" t="str">
        <f>_xlfn.TEXTJOIN(" ",TRUE,TEXT('Input-Instructions'!$B$6,"MM/YYYY"),"Prepaid",'Prepaid Other'!$F$13,"Amortization")</f>
        <v>09/2026 Prepaid 07/26 Monthly Landscape Maintenance Amortization</v>
      </c>
      <c r="P87">
        <v>0</v>
      </c>
      <c r="Q87" s="292"/>
      <c r="R87" s="292"/>
      <c r="S87" s="292"/>
      <c r="T87" s="292"/>
      <c r="U87" s="292"/>
      <c r="V87" s="292"/>
      <c r="W87" s="292"/>
      <c r="X87" s="292"/>
      <c r="Y87" s="292"/>
    </row>
    <row r="88" spans="1:25" x14ac:dyDescent="0.35">
      <c r="A88" t="s">
        <v>599</v>
      </c>
      <c r="B88">
        <v>1</v>
      </c>
      <c r="E88" s="259">
        <f>'Input-Instructions'!$B$6</f>
        <v>46266</v>
      </c>
      <c r="F88" s="259">
        <f>'Input-Instructions'!$B$6</f>
        <v>46266</v>
      </c>
      <c r="G88" t="str">
        <f t="shared" si="1"/>
        <v>September Recurring Entries</v>
      </c>
      <c r="H88" t="s">
        <v>600</v>
      </c>
      <c r="I88" t="str">
        <f>'Input-Instructions'!$B$4</f>
        <v>'c6us087a</v>
      </c>
      <c r="J88" s="319">
        <f>IFERROR(IF('Prepaid Other'!#REF!="Yes",0,IF(AND(EOMONTH('Prepaid Other'!#REF!,0)&gt;='Input-Instructions'!$B$6,(EOMONTH('Prepaid Other'!#REF!,-1)+1)&lt;='Input-Instructions'!$B$6),'Prepaid Other'!#REF!,0)),0)</f>
        <v>0</v>
      </c>
      <c r="K88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88">
        <v>1</v>
      </c>
      <c r="O88" t="e">
        <f>_xlfn.TEXTJOIN(" ",TRUE,TEXT('Input-Instructions'!$B$6,"MM/YYYY"),"Prepaid",'Prepaid Other'!#REF!,"Amortization")</f>
        <v>#REF!</v>
      </c>
      <c r="P88">
        <v>0</v>
      </c>
      <c r="Q88" s="292"/>
      <c r="R88" s="292"/>
      <c r="S88" s="292"/>
      <c r="T88" s="292"/>
      <c r="U88" s="292"/>
      <c r="V88" s="292"/>
      <c r="W88" s="292"/>
      <c r="X88" s="292"/>
      <c r="Y88" s="292"/>
    </row>
    <row r="89" spans="1:25" x14ac:dyDescent="0.35">
      <c r="A89" t="s">
        <v>599</v>
      </c>
      <c r="B89">
        <v>1</v>
      </c>
      <c r="E89" s="259">
        <f>'Input-Instructions'!$B$6</f>
        <v>46266</v>
      </c>
      <c r="F89" s="259">
        <f>'Input-Instructions'!$B$6</f>
        <v>46266</v>
      </c>
      <c r="G89" t="str">
        <f t="shared" si="1"/>
        <v>September Recurring Entries</v>
      </c>
      <c r="H89" t="s">
        <v>600</v>
      </c>
      <c r="I89" t="str">
        <f>'Input-Instructions'!$B$4</f>
        <v>'c6us087a</v>
      </c>
      <c r="J89" s="319">
        <f>IFERROR(IF('Prepaid Other'!#REF!="Yes",0,IF(AND(EOMONTH('Prepaid Other'!#REF!,0)&gt;='Input-Instructions'!$B$6,(EOMONTH('Prepaid Other'!#REF!,-1)+1)&lt;='Input-Instructions'!$B$6),-'Prepaid Other'!#REF!,0)),0)</f>
        <v>0</v>
      </c>
      <c r="K89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89">
        <v>1</v>
      </c>
      <c r="O89" t="e">
        <f>_xlfn.TEXTJOIN(" ",TRUE,TEXT('Input-Instructions'!$B$6,"MM/YYYY"),"Prepaid",'Prepaid Other'!#REF!,"Amortization")</f>
        <v>#REF!</v>
      </c>
      <c r="P89">
        <v>0</v>
      </c>
      <c r="Q89" s="292"/>
      <c r="R89" s="292"/>
      <c r="S89" s="292"/>
      <c r="T89" s="292"/>
      <c r="U89" s="292"/>
      <c r="V89" s="292"/>
      <c r="W89" s="292"/>
      <c r="X89" s="292"/>
      <c r="Y89" s="292"/>
    </row>
    <row r="90" spans="1:25" x14ac:dyDescent="0.35">
      <c r="A90" t="s">
        <v>599</v>
      </c>
      <c r="B90">
        <v>1</v>
      </c>
      <c r="E90" s="259">
        <f>'Input-Instructions'!$B$6</f>
        <v>46266</v>
      </c>
      <c r="F90" s="259">
        <f>'Input-Instructions'!$B$6</f>
        <v>46266</v>
      </c>
      <c r="G90" t="str">
        <f t="shared" si="1"/>
        <v>September Recurring Entries</v>
      </c>
      <c r="H90" t="s">
        <v>600</v>
      </c>
      <c r="I90" t="str">
        <f>'Input-Instructions'!$B$4</f>
        <v>'c6us087a</v>
      </c>
      <c r="J90" s="319">
        <f>IFERROR(IF('Prepaid Other'!#REF!="Yes",0,IF(AND(EOMONTH('Prepaid Other'!#REF!,0)&gt;='Input-Instructions'!$B$6,(EOMONTH('Prepaid Other'!#REF!,-1)+1)&lt;='Input-Instructions'!$B$6),'Prepaid Other'!#REF!,0)),0)</f>
        <v>0</v>
      </c>
      <c r="K90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90">
        <v>1</v>
      </c>
      <c r="O90" t="e">
        <f>_xlfn.TEXTJOIN(" ",TRUE,TEXT('Input-Instructions'!$B$6,"MM/YYYY"),"Prepaid",'Prepaid Other'!#REF!,"Amortization")</f>
        <v>#REF!</v>
      </c>
      <c r="P90">
        <v>0</v>
      </c>
      <c r="Q90" s="292"/>
      <c r="R90" s="292"/>
      <c r="S90" s="292"/>
      <c r="T90" s="292"/>
      <c r="U90" s="292"/>
      <c r="V90" s="292"/>
      <c r="W90" s="292"/>
      <c r="X90" s="292"/>
      <c r="Y90" s="292"/>
    </row>
    <row r="91" spans="1:25" x14ac:dyDescent="0.35">
      <c r="A91" t="s">
        <v>599</v>
      </c>
      <c r="B91">
        <v>1</v>
      </c>
      <c r="E91" s="259">
        <f>'Input-Instructions'!$B$6</f>
        <v>46266</v>
      </c>
      <c r="F91" s="259">
        <f>'Input-Instructions'!$B$6</f>
        <v>46266</v>
      </c>
      <c r="G91" t="str">
        <f t="shared" si="1"/>
        <v>September Recurring Entries</v>
      </c>
      <c r="H91" t="s">
        <v>600</v>
      </c>
      <c r="I91" t="str">
        <f>'Input-Instructions'!$B$4</f>
        <v>'c6us087a</v>
      </c>
      <c r="J91" s="319">
        <f>IFERROR(IF('Prepaid Other'!#REF!="Yes",0,IF(AND(EOMONTH('Prepaid Other'!#REF!,0)&gt;='Input-Instructions'!$B$6,(EOMONTH('Prepaid Other'!#REF!,-1)+1)&lt;='Input-Instructions'!$B$6),-'Prepaid Other'!#REF!,0)),0)</f>
        <v>0</v>
      </c>
      <c r="K91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91">
        <v>1</v>
      </c>
      <c r="O91" t="e">
        <f>_xlfn.TEXTJOIN(" ",TRUE,TEXT('Input-Instructions'!$B$6,"MM/YYYY"),"Prepaid",'Prepaid Other'!#REF!,"Amortization")</f>
        <v>#REF!</v>
      </c>
      <c r="P91">
        <v>0</v>
      </c>
      <c r="Q91" s="292"/>
      <c r="R91" s="292"/>
      <c r="S91" s="292"/>
      <c r="T91" s="292"/>
      <c r="U91" s="292"/>
      <c r="V91" s="292"/>
      <c r="W91" s="292"/>
      <c r="X91" s="292"/>
      <c r="Y91" s="292"/>
    </row>
    <row r="92" spans="1:25" x14ac:dyDescent="0.35">
      <c r="A92" t="s">
        <v>599</v>
      </c>
      <c r="B92">
        <v>1</v>
      </c>
      <c r="E92" s="259">
        <f>'Input-Instructions'!$B$6</f>
        <v>46266</v>
      </c>
      <c r="F92" s="259">
        <f>'Input-Instructions'!$B$6</f>
        <v>46266</v>
      </c>
      <c r="G92" t="str">
        <f t="shared" si="1"/>
        <v>September Recurring Entries</v>
      </c>
      <c r="H92" t="s">
        <v>600</v>
      </c>
      <c r="I92" t="str">
        <f>'Input-Instructions'!$B$4</f>
        <v>'c6us087a</v>
      </c>
      <c r="J92" s="319">
        <f>IFERROR(IF('Prepaid Other'!#REF!="Yes",0,IF(AND(EOMONTH('Prepaid Other'!#REF!,0)&gt;='Input-Instructions'!$B$6,(EOMONTH('Prepaid Other'!#REF!,-1)+1)&lt;='Input-Instructions'!$B$6),'Prepaid Other'!#REF!,0)),0)</f>
        <v>0</v>
      </c>
      <c r="K92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92">
        <v>1</v>
      </c>
      <c r="O92" t="e">
        <f>_xlfn.TEXTJOIN(" ",TRUE,TEXT('Input-Instructions'!$B$6,"MM/YYYY"),"Prepaid",'Prepaid Other'!#REF!,"Amortization")</f>
        <v>#REF!</v>
      </c>
      <c r="P92">
        <v>0</v>
      </c>
      <c r="Q92" s="292"/>
      <c r="R92" s="292"/>
      <c r="S92" s="292"/>
      <c r="T92" s="292"/>
      <c r="U92" s="292"/>
      <c r="V92" s="292"/>
      <c r="W92" s="292"/>
      <c r="X92" s="292"/>
      <c r="Y92" s="292"/>
    </row>
    <row r="93" spans="1:25" x14ac:dyDescent="0.35">
      <c r="A93" t="s">
        <v>599</v>
      </c>
      <c r="B93">
        <v>1</v>
      </c>
      <c r="E93" s="259">
        <f>'Input-Instructions'!$B$6</f>
        <v>46266</v>
      </c>
      <c r="F93" s="259">
        <f>'Input-Instructions'!$B$6</f>
        <v>46266</v>
      </c>
      <c r="G93" t="str">
        <f t="shared" si="1"/>
        <v>September Recurring Entries</v>
      </c>
      <c r="H93" t="s">
        <v>600</v>
      </c>
      <c r="I93" t="str">
        <f>'Input-Instructions'!$B$4</f>
        <v>'c6us087a</v>
      </c>
      <c r="J93" s="319">
        <f>IFERROR(IF('Prepaid Other'!#REF!="Yes",0,IF(AND(EOMONTH('Prepaid Other'!#REF!,0)&gt;='Input-Instructions'!$B$6,(EOMONTH('Prepaid Other'!#REF!,-1)+1)&lt;='Input-Instructions'!$B$6),-'Prepaid Other'!#REF!,0)),0)</f>
        <v>0</v>
      </c>
      <c r="K93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93">
        <v>1</v>
      </c>
      <c r="O93" t="e">
        <f>_xlfn.TEXTJOIN(" ",TRUE,TEXT('Input-Instructions'!$B$6,"MM/YYYY"),"Prepaid",'Prepaid Other'!#REF!,"Amortization")</f>
        <v>#REF!</v>
      </c>
      <c r="P93">
        <v>0</v>
      </c>
      <c r="Q93" s="292"/>
      <c r="R93" s="292"/>
      <c r="S93" s="292"/>
      <c r="T93" s="292"/>
      <c r="U93" s="292"/>
      <c r="V93" s="292"/>
      <c r="W93" s="292"/>
      <c r="X93" s="292"/>
      <c r="Y93" s="292"/>
    </row>
    <row r="94" spans="1:25" x14ac:dyDescent="0.35">
      <c r="A94" t="s">
        <v>599</v>
      </c>
      <c r="B94">
        <v>1</v>
      </c>
      <c r="E94" s="259">
        <f>'Input-Instructions'!$B$6</f>
        <v>46266</v>
      </c>
      <c r="F94" s="259">
        <f>'Input-Instructions'!$B$6</f>
        <v>46266</v>
      </c>
      <c r="G94" t="str">
        <f t="shared" si="1"/>
        <v>September Recurring Entries</v>
      </c>
      <c r="H94" t="s">
        <v>600</v>
      </c>
      <c r="I94" t="str">
        <f>'Input-Instructions'!$B$4</f>
        <v>'c6us087a</v>
      </c>
      <c r="J94" s="319">
        <f>IFERROR(IF('Prepaid Other'!#REF!="Yes",0,IF(AND(EOMONTH('Prepaid Other'!#REF!,0)&gt;='Input-Instructions'!$B$6,(EOMONTH('Prepaid Other'!#REF!,-1)+1)&lt;='Input-Instructions'!$B$6),'Prepaid Other'!#REF!,0)),0)</f>
        <v>0</v>
      </c>
      <c r="K94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94">
        <v>1</v>
      </c>
      <c r="O94" t="e">
        <f>_xlfn.TEXTJOIN(" ",TRUE,TEXT('Input-Instructions'!$B$6,"MM/YYYY"),"Prepaid",'Prepaid Other'!#REF!,"Amortization")</f>
        <v>#REF!</v>
      </c>
      <c r="P94">
        <v>0</v>
      </c>
      <c r="Q94" s="292"/>
      <c r="R94" s="292"/>
      <c r="S94" s="292"/>
      <c r="T94" s="292"/>
      <c r="U94" s="292"/>
      <c r="V94" s="292"/>
      <c r="W94" s="292"/>
      <c r="X94" s="292"/>
      <c r="Y94" s="292"/>
    </row>
    <row r="95" spans="1:25" x14ac:dyDescent="0.35">
      <c r="A95" t="s">
        <v>599</v>
      </c>
      <c r="B95">
        <v>1</v>
      </c>
      <c r="E95" s="259">
        <f>'Input-Instructions'!$B$6</f>
        <v>46266</v>
      </c>
      <c r="F95" s="259">
        <f>'Input-Instructions'!$B$6</f>
        <v>46266</v>
      </c>
      <c r="G95" t="str">
        <f t="shared" si="1"/>
        <v>September Recurring Entries</v>
      </c>
      <c r="H95" t="s">
        <v>600</v>
      </c>
      <c r="I95" t="str">
        <f>'Input-Instructions'!$B$4</f>
        <v>'c6us087a</v>
      </c>
      <c r="J95" s="319">
        <f>IFERROR(IF('Prepaid Other'!#REF!="Yes",0,IF(AND(EOMONTH('Prepaid Other'!#REF!,0)&gt;='Input-Instructions'!$B$6,(EOMONTH('Prepaid Other'!#REF!,-1)+1)&lt;='Input-Instructions'!$B$6),-'Prepaid Other'!#REF!,0)),0)</f>
        <v>0</v>
      </c>
      <c r="K95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95">
        <v>1</v>
      </c>
      <c r="O95" t="e">
        <f>_xlfn.TEXTJOIN(" ",TRUE,TEXT('Input-Instructions'!$B$6,"MM/YYYY"),"Prepaid",'Prepaid Other'!#REF!,"Amortization")</f>
        <v>#REF!</v>
      </c>
      <c r="P95">
        <v>0</v>
      </c>
      <c r="Q95" s="292"/>
      <c r="R95" s="292"/>
      <c r="S95" s="292"/>
      <c r="T95" s="292"/>
      <c r="U95" s="292"/>
      <c r="V95" s="292"/>
      <c r="W95" s="292"/>
      <c r="X95" s="292"/>
      <c r="Y95" s="292"/>
    </row>
    <row r="96" spans="1:25" x14ac:dyDescent="0.35">
      <c r="A96" t="s">
        <v>599</v>
      </c>
      <c r="B96">
        <v>1</v>
      </c>
      <c r="E96" s="259">
        <f>'Input-Instructions'!$B$6</f>
        <v>46266</v>
      </c>
      <c r="F96" s="259">
        <f>'Input-Instructions'!$B$6</f>
        <v>46266</v>
      </c>
      <c r="G96" t="str">
        <f t="shared" si="1"/>
        <v>September Recurring Entries</v>
      </c>
      <c r="H96" t="s">
        <v>600</v>
      </c>
      <c r="I96" t="str">
        <f>'Input-Instructions'!$B$4</f>
        <v>'c6us087a</v>
      </c>
      <c r="J96" s="319">
        <f>IFERROR(IF('Prepaid Other'!#REF!="Yes",0,IF(AND(EOMONTH('Prepaid Other'!#REF!,0)&gt;='Input-Instructions'!$B$6,(EOMONTH('Prepaid Other'!#REF!,-1)+1)&lt;='Input-Instructions'!$B$6),'Prepaid Other'!#REF!,0)),0)</f>
        <v>0</v>
      </c>
      <c r="K96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96">
        <v>1</v>
      </c>
      <c r="O96" t="e">
        <f>_xlfn.TEXTJOIN(" ",TRUE,TEXT('Input-Instructions'!$B$6,"MM/YYYY"),"Prepaid",'Prepaid Other'!#REF!,"Amortization")</f>
        <v>#REF!</v>
      </c>
      <c r="P96">
        <v>0</v>
      </c>
      <c r="Q96" s="292"/>
      <c r="R96" s="292"/>
      <c r="S96" s="292"/>
      <c r="T96" s="292"/>
      <c r="U96" s="292"/>
      <c r="V96" s="292"/>
      <c r="W96" s="292"/>
      <c r="X96" s="292"/>
      <c r="Y96" s="292"/>
    </row>
    <row r="97" spans="1:25" x14ac:dyDescent="0.35">
      <c r="A97" t="s">
        <v>599</v>
      </c>
      <c r="B97">
        <v>1</v>
      </c>
      <c r="E97" s="259">
        <f>'Input-Instructions'!$B$6</f>
        <v>46266</v>
      </c>
      <c r="F97" s="259">
        <f>'Input-Instructions'!$B$6</f>
        <v>46266</v>
      </c>
      <c r="G97" t="str">
        <f t="shared" si="1"/>
        <v>September Recurring Entries</v>
      </c>
      <c r="H97" t="s">
        <v>600</v>
      </c>
      <c r="I97" t="str">
        <f>'Input-Instructions'!$B$4</f>
        <v>'c6us087a</v>
      </c>
      <c r="J97" s="319">
        <f>IFERROR(IF('Prepaid Other'!#REF!="Yes",0,IF(AND(EOMONTH('Prepaid Other'!#REF!,0)&gt;='Input-Instructions'!$B$6,(EOMONTH('Prepaid Other'!#REF!,-1)+1)&lt;='Input-Instructions'!$B$6),-'Prepaid Other'!#REF!,0)),0)</f>
        <v>0</v>
      </c>
      <c r="K97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97">
        <v>1</v>
      </c>
      <c r="O97" t="e">
        <f>_xlfn.TEXTJOIN(" ",TRUE,TEXT('Input-Instructions'!$B$6,"MM/YYYY"),"Prepaid",'Prepaid Other'!#REF!,"Amortization")</f>
        <v>#REF!</v>
      </c>
      <c r="P97">
        <v>0</v>
      </c>
      <c r="Q97" s="292"/>
      <c r="R97" s="292"/>
      <c r="S97" s="292"/>
      <c r="T97" s="292"/>
      <c r="U97" s="292"/>
      <c r="V97" s="292"/>
      <c r="W97" s="292"/>
      <c r="X97" s="292"/>
      <c r="Y97" s="292"/>
    </row>
    <row r="98" spans="1:25" x14ac:dyDescent="0.35">
      <c r="A98" t="s">
        <v>599</v>
      </c>
      <c r="B98">
        <v>1</v>
      </c>
      <c r="E98" s="259">
        <f>'Input-Instructions'!$B$6</f>
        <v>46266</v>
      </c>
      <c r="F98" s="259">
        <f>'Input-Instructions'!$B$6</f>
        <v>46266</v>
      </c>
      <c r="G98" t="str">
        <f t="shared" si="1"/>
        <v>September Recurring Entries</v>
      </c>
      <c r="H98" t="s">
        <v>600</v>
      </c>
      <c r="I98" t="str">
        <f>'Input-Instructions'!$B$4</f>
        <v>'c6us087a</v>
      </c>
      <c r="J98" s="319">
        <f>IFERROR(IF('Prepaid Other'!#REF!="Yes",0,IF(AND(EOMONTH('Prepaid Other'!#REF!,0)&gt;='Input-Instructions'!$B$6,(EOMONTH('Prepaid Other'!#REF!,-1)+1)&lt;='Input-Instructions'!$B$6),'Prepaid Other'!#REF!,0)),0)</f>
        <v>0</v>
      </c>
      <c r="K98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98">
        <v>1</v>
      </c>
      <c r="O98" t="e">
        <f>_xlfn.TEXTJOIN(" ",TRUE,TEXT('Input-Instructions'!$B$6,"MM/YYYY"),"Prepaid",'Prepaid Other'!#REF!,"Amortization")</f>
        <v>#REF!</v>
      </c>
      <c r="P98">
        <v>0</v>
      </c>
      <c r="Q98" s="292"/>
      <c r="R98" s="292"/>
      <c r="S98" s="292"/>
      <c r="T98" s="292"/>
      <c r="U98" s="292"/>
      <c r="V98" s="292"/>
      <c r="W98" s="292"/>
      <c r="X98" s="292"/>
      <c r="Y98" s="292"/>
    </row>
    <row r="99" spans="1:25" x14ac:dyDescent="0.35">
      <c r="A99" t="s">
        <v>599</v>
      </c>
      <c r="B99">
        <v>1</v>
      </c>
      <c r="E99" s="259">
        <f>'Input-Instructions'!$B$6</f>
        <v>46266</v>
      </c>
      <c r="F99" s="259">
        <f>'Input-Instructions'!$B$6</f>
        <v>46266</v>
      </c>
      <c r="G99" t="str">
        <f t="shared" si="1"/>
        <v>September Recurring Entries</v>
      </c>
      <c r="H99" t="s">
        <v>600</v>
      </c>
      <c r="I99" t="str">
        <f>'Input-Instructions'!$B$4</f>
        <v>'c6us087a</v>
      </c>
      <c r="J99" s="319">
        <f>IFERROR(IF('Prepaid Other'!#REF!="Yes",0,IF(AND(EOMONTH('Prepaid Other'!#REF!,0)&gt;='Input-Instructions'!$B$6,(EOMONTH('Prepaid Other'!#REF!,-1)+1)&lt;='Input-Instructions'!$B$6),-'Prepaid Other'!#REF!,0)),0)</f>
        <v>0</v>
      </c>
      <c r="K99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99">
        <v>1</v>
      </c>
      <c r="O99" t="e">
        <f>_xlfn.TEXTJOIN(" ",TRUE,TEXT('Input-Instructions'!$B$6,"MM/YYYY"),"Prepaid",'Prepaid Other'!#REF!,"Amortization")</f>
        <v>#REF!</v>
      </c>
      <c r="P99">
        <v>0</v>
      </c>
      <c r="Q99" s="292"/>
      <c r="R99" s="292"/>
      <c r="S99" s="292"/>
      <c r="T99" s="292"/>
      <c r="U99" s="292"/>
      <c r="V99" s="292"/>
      <c r="W99" s="292"/>
      <c r="X99" s="292"/>
      <c r="Y99" s="292"/>
    </row>
    <row r="100" spans="1:25" x14ac:dyDescent="0.35">
      <c r="A100" t="s">
        <v>599</v>
      </c>
      <c r="B100">
        <v>1</v>
      </c>
      <c r="E100" s="259">
        <f>'Input-Instructions'!$B$6</f>
        <v>46266</v>
      </c>
      <c r="F100" s="259">
        <f>'Input-Instructions'!$B$6</f>
        <v>46266</v>
      </c>
      <c r="G100" t="str">
        <f t="shared" si="1"/>
        <v>September Recurring Entries</v>
      </c>
      <c r="H100" t="s">
        <v>600</v>
      </c>
      <c r="I100" t="str">
        <f>'Input-Instructions'!$B$4</f>
        <v>'c6us087a</v>
      </c>
      <c r="J100" s="318">
        <f>IFERROR(IF('Prepaid Other'!#REF!="Yes",0,IF(AND(EOMONTH('Prepaid Other'!#REF!,0)&gt;='Input-Instructions'!$B$6,(EOMONTH('Prepaid Other'!#REF!,-1)+1)&lt;='Input-Instructions'!$B$6),'Prepaid Other'!#REF!,0)),0)</f>
        <v>0</v>
      </c>
      <c r="K100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00">
        <v>1</v>
      </c>
      <c r="O100" t="e">
        <f>_xlfn.TEXTJOIN(" ",TRUE,TEXT('Input-Instructions'!$B$6,"MM/YYYY"),"Prepaid",'Prepaid Other'!#REF!,"Amortization")</f>
        <v>#REF!</v>
      </c>
      <c r="P100">
        <v>0</v>
      </c>
      <c r="Q100" s="292"/>
      <c r="R100" s="292"/>
      <c r="S100" s="292"/>
      <c r="T100" s="292"/>
      <c r="U100" s="292"/>
      <c r="V100" s="292"/>
      <c r="W100" s="292"/>
      <c r="X100" s="292"/>
      <c r="Y100" s="292"/>
    </row>
    <row r="101" spans="1:25" x14ac:dyDescent="0.35">
      <c r="A101" t="s">
        <v>599</v>
      </c>
      <c r="B101">
        <v>1</v>
      </c>
      <c r="E101" s="259">
        <f>'Input-Instructions'!$B$6</f>
        <v>46266</v>
      </c>
      <c r="F101" s="259">
        <f>'Input-Instructions'!$B$6</f>
        <v>46266</v>
      </c>
      <c r="G101" t="str">
        <f t="shared" si="1"/>
        <v>September Recurring Entries</v>
      </c>
      <c r="H101" t="s">
        <v>600</v>
      </c>
      <c r="I101" t="str">
        <f>'Input-Instructions'!$B$4</f>
        <v>'c6us087a</v>
      </c>
      <c r="J101" s="318">
        <f>IFERROR(IF('Prepaid Other'!#REF!="Yes",0,IF(AND(EOMONTH('Prepaid Other'!#REF!,0)&gt;='Input-Instructions'!$B$6,(EOMONTH('Prepaid Other'!#REF!,-1)+1)&lt;='Input-Instructions'!$B$6),-'Prepaid Other'!#REF!,0)),0)</f>
        <v>0</v>
      </c>
      <c r="K101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01">
        <v>1</v>
      </c>
      <c r="O101" t="e">
        <f>_xlfn.TEXTJOIN(" ",TRUE,TEXT('Input-Instructions'!$B$6,"MM/YYYY"),"Prepaid",'Prepaid Other'!#REF!,"Amortization")</f>
        <v>#REF!</v>
      </c>
      <c r="P101">
        <v>0</v>
      </c>
      <c r="Q101" s="292"/>
      <c r="R101" s="292"/>
      <c r="S101" s="292"/>
      <c r="T101" s="292"/>
      <c r="U101" s="292"/>
      <c r="V101" s="292"/>
      <c r="W101" s="292"/>
      <c r="X101" s="292"/>
      <c r="Y101" s="292"/>
    </row>
    <row r="102" spans="1:25" x14ac:dyDescent="0.35">
      <c r="A102" t="s">
        <v>599</v>
      </c>
      <c r="B102">
        <v>1</v>
      </c>
      <c r="E102" s="259">
        <f>'Input-Instructions'!$B$6</f>
        <v>46266</v>
      </c>
      <c r="F102" s="259">
        <f>'Input-Instructions'!$B$6</f>
        <v>46266</v>
      </c>
      <c r="G102" t="str">
        <f t="shared" si="1"/>
        <v>September Recurring Entries</v>
      </c>
      <c r="H102" t="s">
        <v>600</v>
      </c>
      <c r="I102" t="str">
        <f>'Input-Instructions'!$B$4</f>
        <v>'c6us087a</v>
      </c>
      <c r="J102" s="318">
        <f>IFERROR(IF('Prepaid Other'!#REF!="Yes",0,IF(AND(EOMONTH('Prepaid Other'!#REF!,0)&gt;='Input-Instructions'!$B$6,(EOMONTH('Prepaid Other'!#REF!,-1)+1)&lt;='Input-Instructions'!$B$6),'Prepaid Other'!#REF!,0)),0)</f>
        <v>0</v>
      </c>
      <c r="K102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02">
        <v>1</v>
      </c>
      <c r="O102" t="e">
        <f>_xlfn.TEXTJOIN(" ",TRUE,TEXT('Input-Instructions'!$B$6,"MM/YYYY"),"Prepaid",'Prepaid Other'!#REF!,"Amortization")</f>
        <v>#REF!</v>
      </c>
      <c r="P102">
        <v>0</v>
      </c>
      <c r="Q102" s="292"/>
      <c r="R102" s="292"/>
      <c r="S102" s="292"/>
      <c r="T102" s="292"/>
      <c r="U102" s="292"/>
      <c r="V102" s="292"/>
      <c r="W102" s="292"/>
      <c r="X102" s="292"/>
      <c r="Y102" s="292"/>
    </row>
    <row r="103" spans="1:25" x14ac:dyDescent="0.35">
      <c r="A103" t="s">
        <v>599</v>
      </c>
      <c r="B103">
        <v>1</v>
      </c>
      <c r="E103" s="259">
        <f>'Input-Instructions'!$B$6</f>
        <v>46266</v>
      </c>
      <c r="F103" s="259">
        <f>'Input-Instructions'!$B$6</f>
        <v>46266</v>
      </c>
      <c r="G103" t="str">
        <f t="shared" si="1"/>
        <v>September Recurring Entries</v>
      </c>
      <c r="H103" t="s">
        <v>600</v>
      </c>
      <c r="I103" t="str">
        <f>'Input-Instructions'!$B$4</f>
        <v>'c6us087a</v>
      </c>
      <c r="J103" s="318">
        <f>IFERROR(IF('Prepaid Other'!#REF!="Yes",0,IF(AND(EOMONTH('Prepaid Other'!#REF!,0)&gt;='Input-Instructions'!$B$6,(EOMONTH('Prepaid Other'!#REF!,-1)+1)&lt;='Input-Instructions'!$B$6),-'Prepaid Other'!#REF!,0)),0)</f>
        <v>0</v>
      </c>
      <c r="K103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03">
        <v>1</v>
      </c>
      <c r="O103" t="e">
        <f>_xlfn.TEXTJOIN(" ",TRUE,TEXT('Input-Instructions'!$B$6,"MM/YYYY"),"Prepaid",'Prepaid Other'!#REF!,"Amortization")</f>
        <v>#REF!</v>
      </c>
      <c r="P103">
        <v>0</v>
      </c>
      <c r="Q103" s="292"/>
      <c r="R103" s="292"/>
      <c r="S103" s="292"/>
      <c r="T103" s="292"/>
      <c r="U103" s="292"/>
      <c r="V103" s="292"/>
      <c r="W103" s="292"/>
      <c r="X103" s="292"/>
      <c r="Y103" s="292"/>
    </row>
    <row r="104" spans="1:25" x14ac:dyDescent="0.35">
      <c r="A104" t="s">
        <v>599</v>
      </c>
      <c r="B104">
        <v>1</v>
      </c>
      <c r="E104" s="259">
        <f>'Input-Instructions'!$B$6</f>
        <v>46266</v>
      </c>
      <c r="F104" s="259">
        <f>'Input-Instructions'!$B$6</f>
        <v>46266</v>
      </c>
      <c r="G104" t="str">
        <f t="shared" si="1"/>
        <v>September Recurring Entries</v>
      </c>
      <c r="H104" t="s">
        <v>600</v>
      </c>
      <c r="I104" t="str">
        <f>'Input-Instructions'!$B$4</f>
        <v>'c6us087a</v>
      </c>
      <c r="J104" s="318">
        <f>IFERROR(IF('Prepaid Other'!#REF!="Yes",0,IF(AND(EOMONTH('Prepaid Other'!#REF!,0)&gt;='Input-Instructions'!$B$6,(EOMONTH('Prepaid Other'!#REF!,-1)+1)&lt;='Input-Instructions'!$B$6),'Prepaid Other'!#REF!,0)),0)</f>
        <v>0</v>
      </c>
      <c r="K104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04">
        <v>1</v>
      </c>
      <c r="O104" t="e">
        <f>_xlfn.TEXTJOIN(" ",TRUE,TEXT('Input-Instructions'!$B$6,"MM/YYYY"),"Prepaid",'Prepaid Other'!#REF!,"Amortization")</f>
        <v>#REF!</v>
      </c>
      <c r="P104">
        <v>0</v>
      </c>
      <c r="Q104" s="292"/>
      <c r="R104" s="292"/>
      <c r="S104" s="292"/>
      <c r="T104" s="292"/>
      <c r="U104" s="292"/>
      <c r="V104" s="292"/>
      <c r="W104" s="292"/>
      <c r="X104" s="292"/>
      <c r="Y104" s="292"/>
    </row>
    <row r="105" spans="1:25" x14ac:dyDescent="0.35">
      <c r="A105" t="s">
        <v>599</v>
      </c>
      <c r="B105">
        <v>1</v>
      </c>
      <c r="E105" s="259">
        <f>'Input-Instructions'!$B$6</f>
        <v>46266</v>
      </c>
      <c r="F105" s="259">
        <f>'Input-Instructions'!$B$6</f>
        <v>46266</v>
      </c>
      <c r="G105" t="str">
        <f t="shared" si="1"/>
        <v>September Recurring Entries</v>
      </c>
      <c r="H105" t="s">
        <v>600</v>
      </c>
      <c r="I105" t="str">
        <f>'Input-Instructions'!$B$4</f>
        <v>'c6us087a</v>
      </c>
      <c r="J105" s="318">
        <f>IFERROR(IF('Prepaid Other'!#REF!="Yes",0,IF(AND(EOMONTH('Prepaid Other'!#REF!,0)&gt;='Input-Instructions'!$B$6,(EOMONTH('Prepaid Other'!#REF!,-1)+1)&lt;='Input-Instructions'!$B$6),-'Prepaid Other'!#REF!,0)),0)</f>
        <v>0</v>
      </c>
      <c r="K105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05">
        <v>1</v>
      </c>
      <c r="O105" t="e">
        <f>_xlfn.TEXTJOIN(" ",TRUE,TEXT('Input-Instructions'!$B$6,"MM/YYYY"),"Prepaid",'Prepaid Other'!#REF!,"Amortization")</f>
        <v>#REF!</v>
      </c>
      <c r="P105">
        <v>0</v>
      </c>
      <c r="Q105" s="292"/>
      <c r="R105" s="292"/>
      <c r="S105" s="292"/>
      <c r="T105" s="292"/>
      <c r="U105" s="292"/>
      <c r="V105" s="292"/>
      <c r="W105" s="292"/>
      <c r="X105" s="292"/>
      <c r="Y105" s="292"/>
    </row>
    <row r="106" spans="1:25" x14ac:dyDescent="0.35">
      <c r="A106" t="s">
        <v>599</v>
      </c>
      <c r="B106">
        <v>1</v>
      </c>
      <c r="E106" s="259">
        <f>'Input-Instructions'!$B$6</f>
        <v>46266</v>
      </c>
      <c r="F106" s="259">
        <f>'Input-Instructions'!$B$6</f>
        <v>46266</v>
      </c>
      <c r="G106" t="str">
        <f t="shared" si="1"/>
        <v>September Recurring Entries</v>
      </c>
      <c r="H106" t="s">
        <v>600</v>
      </c>
      <c r="I106" t="str">
        <f>'Input-Instructions'!$B$4</f>
        <v>'c6us087a</v>
      </c>
      <c r="J106" s="318">
        <f>IFERROR(IF('Prepaid Other'!#REF!="Yes",0,IF(AND(EOMONTH('Prepaid Other'!#REF!,0)&gt;='Input-Instructions'!$B$6,(EOMONTH('Prepaid Other'!#REF!,-1)+1)&lt;='Input-Instructions'!$B$6),'Prepaid Other'!#REF!,0)),0)</f>
        <v>0</v>
      </c>
      <c r="K106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06">
        <v>1</v>
      </c>
      <c r="O106" t="e">
        <f>_xlfn.TEXTJOIN(" ",TRUE,TEXT('Input-Instructions'!$B$6,"MM/YYYY"),"Prepaid",'Prepaid Other'!#REF!,"Amortization")</f>
        <v>#REF!</v>
      </c>
      <c r="P106">
        <v>0</v>
      </c>
      <c r="Q106" s="292"/>
      <c r="R106" s="292"/>
      <c r="S106" s="292"/>
      <c r="T106" s="292"/>
      <c r="U106" s="292"/>
      <c r="V106" s="292"/>
      <c r="W106" s="292"/>
      <c r="X106" s="292"/>
      <c r="Y106" s="292"/>
    </row>
    <row r="107" spans="1:25" x14ac:dyDescent="0.35">
      <c r="A107" t="s">
        <v>599</v>
      </c>
      <c r="B107">
        <v>1</v>
      </c>
      <c r="E107" s="259">
        <f>'Input-Instructions'!$B$6</f>
        <v>46266</v>
      </c>
      <c r="F107" s="259">
        <f>'Input-Instructions'!$B$6</f>
        <v>46266</v>
      </c>
      <c r="G107" t="str">
        <f t="shared" si="1"/>
        <v>September Recurring Entries</v>
      </c>
      <c r="H107" t="s">
        <v>600</v>
      </c>
      <c r="I107" t="str">
        <f>'Input-Instructions'!$B$4</f>
        <v>'c6us087a</v>
      </c>
      <c r="J107" s="318">
        <f>IFERROR(IF('Prepaid Other'!#REF!="Yes",0,IF(AND(EOMONTH('Prepaid Other'!#REF!,0)&gt;='Input-Instructions'!$B$6,(EOMONTH('Prepaid Other'!#REF!,-1)+1)&lt;='Input-Instructions'!$B$6),-'Prepaid Other'!#REF!,0)),0)</f>
        <v>0</v>
      </c>
      <c r="K107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07">
        <v>1</v>
      </c>
      <c r="O107" t="e">
        <f>_xlfn.TEXTJOIN(" ",TRUE,TEXT('Input-Instructions'!$B$6,"MM/YYYY"),"Prepaid",'Prepaid Other'!#REF!,"Amortization")</f>
        <v>#REF!</v>
      </c>
      <c r="P107">
        <v>0</v>
      </c>
      <c r="Q107" s="292"/>
      <c r="R107" s="292"/>
      <c r="S107" s="292"/>
      <c r="T107" s="292"/>
      <c r="U107" s="292"/>
      <c r="V107" s="292"/>
      <c r="W107" s="292"/>
      <c r="X107" s="292"/>
      <c r="Y107" s="292"/>
    </row>
    <row r="108" spans="1:25" x14ac:dyDescent="0.35">
      <c r="A108" t="s">
        <v>599</v>
      </c>
      <c r="B108">
        <v>1</v>
      </c>
      <c r="E108" s="259">
        <f>'Input-Instructions'!$B$6</f>
        <v>46266</v>
      </c>
      <c r="F108" s="259">
        <f>'Input-Instructions'!$B$6</f>
        <v>46266</v>
      </c>
      <c r="G108" t="str">
        <f t="shared" si="1"/>
        <v>September Recurring Entries</v>
      </c>
      <c r="H108" t="s">
        <v>600</v>
      </c>
      <c r="I108" t="str">
        <f>'Input-Instructions'!$B$4</f>
        <v>'c6us087a</v>
      </c>
      <c r="J108" s="318">
        <f>IFERROR(IF('Prepaid Other'!#REF!="Yes",0,IF(AND(EOMONTH('Prepaid Other'!#REF!,0)&gt;='Input-Instructions'!$B$6,(EOMONTH('Prepaid Other'!#REF!,-1)+1)&lt;='Input-Instructions'!$B$6),'Prepaid Other'!#REF!,0)),0)</f>
        <v>0</v>
      </c>
      <c r="K108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08">
        <v>1</v>
      </c>
      <c r="O108" t="e">
        <f>_xlfn.TEXTJOIN(" ",TRUE,TEXT('Input-Instructions'!$B$6,"MM/YYYY"),"Prepaid",'Prepaid Other'!#REF!,"Amortization")</f>
        <v>#REF!</v>
      </c>
      <c r="P108">
        <v>0</v>
      </c>
      <c r="Q108" s="292"/>
      <c r="R108" s="292"/>
      <c r="S108" s="292"/>
      <c r="T108" s="292"/>
      <c r="U108" s="292"/>
      <c r="V108" s="292"/>
      <c r="W108" s="292"/>
      <c r="X108" s="292"/>
      <c r="Y108" s="292"/>
    </row>
    <row r="109" spans="1:25" x14ac:dyDescent="0.35">
      <c r="A109" t="s">
        <v>599</v>
      </c>
      <c r="B109">
        <v>1</v>
      </c>
      <c r="E109" s="259">
        <f>'Input-Instructions'!$B$6</f>
        <v>46266</v>
      </c>
      <c r="F109" s="259">
        <f>'Input-Instructions'!$B$6</f>
        <v>46266</v>
      </c>
      <c r="G109" t="str">
        <f t="shared" si="1"/>
        <v>September Recurring Entries</v>
      </c>
      <c r="H109" t="s">
        <v>600</v>
      </c>
      <c r="I109" t="str">
        <f>'Input-Instructions'!$B$4</f>
        <v>'c6us087a</v>
      </c>
      <c r="J109" s="318">
        <f>IFERROR(IF('Prepaid Other'!#REF!="Yes",0,IF(AND(EOMONTH('Prepaid Other'!#REF!,0)&gt;='Input-Instructions'!$B$6,(EOMONTH('Prepaid Other'!#REF!,-1)+1)&lt;='Input-Instructions'!$B$6),-'Prepaid Other'!#REF!,0)),0)</f>
        <v>0</v>
      </c>
      <c r="K109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09">
        <v>1</v>
      </c>
      <c r="O109" t="e">
        <f>_xlfn.TEXTJOIN(" ",TRUE,TEXT('Input-Instructions'!$B$6,"MM/YYYY"),"Prepaid",'Prepaid Other'!#REF!,"Amortization")</f>
        <v>#REF!</v>
      </c>
      <c r="P109">
        <v>0</v>
      </c>
      <c r="Q109" s="292"/>
      <c r="R109" s="292"/>
      <c r="S109" s="292"/>
      <c r="T109" s="292"/>
      <c r="U109" s="292"/>
      <c r="V109" s="292"/>
      <c r="W109" s="292"/>
      <c r="X109" s="292"/>
      <c r="Y109" s="292"/>
    </row>
    <row r="110" spans="1:25" x14ac:dyDescent="0.35">
      <c r="A110" t="s">
        <v>599</v>
      </c>
      <c r="B110">
        <v>1</v>
      </c>
      <c r="E110" s="259">
        <f>'Input-Instructions'!$B$6</f>
        <v>46266</v>
      </c>
      <c r="F110" s="259">
        <f>'Input-Instructions'!$B$6</f>
        <v>46266</v>
      </c>
      <c r="G110" t="str">
        <f t="shared" si="1"/>
        <v>September Recurring Entries</v>
      </c>
      <c r="H110" t="s">
        <v>600</v>
      </c>
      <c r="I110" t="str">
        <f>'Input-Instructions'!$B$4</f>
        <v>'c6us087a</v>
      </c>
      <c r="J110" s="318">
        <f>IFERROR(IF('Prepaid Other'!#REF!="Yes",0,IF(AND(EOMONTH('Prepaid Other'!#REF!,0)&gt;='Input-Instructions'!$B$6,(EOMONTH('Prepaid Other'!#REF!,-1)+1)&lt;='Input-Instructions'!$B$6),'Prepaid Other'!#REF!,0)),0)</f>
        <v>0</v>
      </c>
      <c r="K110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10">
        <v>1</v>
      </c>
      <c r="O110" t="e">
        <f>_xlfn.TEXTJOIN(" ",TRUE,TEXT('Input-Instructions'!$B$6,"MM/YYYY"),"Prepaid",'Prepaid Other'!#REF!,"Amortization")</f>
        <v>#REF!</v>
      </c>
      <c r="P110">
        <v>0</v>
      </c>
      <c r="Q110" s="292"/>
      <c r="R110" s="292"/>
      <c r="S110" s="292"/>
      <c r="T110" s="292"/>
      <c r="U110" s="292"/>
      <c r="V110" s="292"/>
      <c r="W110" s="292"/>
      <c r="X110" s="292"/>
      <c r="Y110" s="292"/>
    </row>
    <row r="111" spans="1:25" x14ac:dyDescent="0.35">
      <c r="A111" t="s">
        <v>599</v>
      </c>
      <c r="B111">
        <v>1</v>
      </c>
      <c r="E111" s="259">
        <f>'Input-Instructions'!$B$6</f>
        <v>46266</v>
      </c>
      <c r="F111" s="259">
        <f>'Input-Instructions'!$B$6</f>
        <v>46266</v>
      </c>
      <c r="G111" t="str">
        <f t="shared" si="1"/>
        <v>September Recurring Entries</v>
      </c>
      <c r="H111" t="s">
        <v>600</v>
      </c>
      <c r="I111" t="str">
        <f>'Input-Instructions'!$B$4</f>
        <v>'c6us087a</v>
      </c>
      <c r="J111" s="318">
        <f>IFERROR(IF('Prepaid Other'!#REF!="Yes",0,IF(AND(EOMONTH('Prepaid Other'!#REF!,0)&gt;='Input-Instructions'!$B$6,(EOMONTH('Prepaid Other'!#REF!,-1)+1)&lt;='Input-Instructions'!$B$6),-'Prepaid Other'!#REF!,0)),0)</f>
        <v>0</v>
      </c>
      <c r="K111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11">
        <v>1</v>
      </c>
      <c r="O111" t="e">
        <f>_xlfn.TEXTJOIN(" ",TRUE,TEXT('Input-Instructions'!$B$6,"MM/YYYY"),"Prepaid",'Prepaid Other'!#REF!,"Amortization")</f>
        <v>#REF!</v>
      </c>
      <c r="P111">
        <v>0</v>
      </c>
      <c r="Q111" s="292"/>
      <c r="R111" s="292"/>
      <c r="S111" s="292"/>
      <c r="T111" s="292"/>
      <c r="U111" s="292"/>
      <c r="V111" s="292"/>
      <c r="W111" s="292"/>
      <c r="X111" s="292"/>
      <c r="Y111" s="292"/>
    </row>
    <row r="112" spans="1:25" x14ac:dyDescent="0.35">
      <c r="A112" t="s">
        <v>599</v>
      </c>
      <c r="B112">
        <v>1</v>
      </c>
      <c r="E112" s="259">
        <f>'Input-Instructions'!$B$6</f>
        <v>46266</v>
      </c>
      <c r="F112" s="259">
        <f>'Input-Instructions'!$B$6</f>
        <v>46266</v>
      </c>
      <c r="G112" t="str">
        <f t="shared" si="1"/>
        <v>September Recurring Entries</v>
      </c>
      <c r="H112" t="s">
        <v>600</v>
      </c>
      <c r="I112" t="str">
        <f>'Input-Instructions'!$B$4</f>
        <v>'c6us087a</v>
      </c>
      <c r="J112" s="318">
        <f>IFERROR(IF('Prepaid Other'!#REF!="Yes",0,IF(AND(EOMONTH('Prepaid Other'!#REF!,0)&gt;='Input-Instructions'!$B$6,(EOMONTH('Prepaid Other'!#REF!,-1)+1)&lt;='Input-Instructions'!$B$6),'Prepaid Other'!#REF!,0)),0)</f>
        <v>0</v>
      </c>
      <c r="K112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12">
        <v>1</v>
      </c>
      <c r="O112" t="e">
        <f>_xlfn.TEXTJOIN(" ",TRUE,TEXT('Input-Instructions'!$B$6,"MM/YYYY"),"Prepaid",'Prepaid Other'!#REF!,"Amortization")</f>
        <v>#REF!</v>
      </c>
      <c r="P112">
        <v>0</v>
      </c>
      <c r="Q112" s="292"/>
      <c r="R112" s="292"/>
      <c r="S112" s="292"/>
      <c r="T112" s="292"/>
      <c r="U112" s="292"/>
      <c r="V112" s="292"/>
      <c r="W112" s="292"/>
      <c r="X112" s="292"/>
      <c r="Y112" s="292"/>
    </row>
    <row r="113" spans="1:25" x14ac:dyDescent="0.35">
      <c r="A113" t="s">
        <v>599</v>
      </c>
      <c r="B113">
        <v>1</v>
      </c>
      <c r="E113" s="259">
        <f>'Input-Instructions'!$B$6</f>
        <v>46266</v>
      </c>
      <c r="F113" s="259">
        <f>'Input-Instructions'!$B$6</f>
        <v>46266</v>
      </c>
      <c r="G113" t="str">
        <f t="shared" si="1"/>
        <v>September Recurring Entries</v>
      </c>
      <c r="H113" t="s">
        <v>600</v>
      </c>
      <c r="I113" t="str">
        <f>'Input-Instructions'!$B$4</f>
        <v>'c6us087a</v>
      </c>
      <c r="J113" s="318">
        <f>IFERROR(IF('Prepaid Other'!#REF!="Yes",0,IF(AND(EOMONTH('Prepaid Other'!#REF!,0)&gt;='Input-Instructions'!$B$6,(EOMONTH('Prepaid Other'!#REF!,-1)+1)&lt;='Input-Instructions'!$B$6),-'Prepaid Other'!#REF!,0)),0)</f>
        <v>0</v>
      </c>
      <c r="K113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13">
        <v>1</v>
      </c>
      <c r="O113" t="e">
        <f>_xlfn.TEXTJOIN(" ",TRUE,TEXT('Input-Instructions'!$B$6,"MM/YYYY"),"Prepaid",'Prepaid Other'!#REF!,"Amortization")</f>
        <v>#REF!</v>
      </c>
      <c r="P113">
        <v>0</v>
      </c>
      <c r="Q113" s="292"/>
      <c r="R113" s="292"/>
      <c r="S113" s="292"/>
      <c r="T113" s="292"/>
      <c r="U113" s="292"/>
      <c r="V113" s="292"/>
      <c r="W113" s="292"/>
      <c r="X113" s="292"/>
      <c r="Y113" s="292"/>
    </row>
    <row r="114" spans="1:25" x14ac:dyDescent="0.35">
      <c r="A114" t="s">
        <v>599</v>
      </c>
      <c r="B114">
        <v>1</v>
      </c>
      <c r="E114" s="259">
        <f>'Input-Instructions'!$B$6</f>
        <v>46266</v>
      </c>
      <c r="F114" s="259">
        <f>'Input-Instructions'!$B$6</f>
        <v>46266</v>
      </c>
      <c r="G114" t="str">
        <f t="shared" si="1"/>
        <v>September Recurring Entries</v>
      </c>
      <c r="H114" t="s">
        <v>600</v>
      </c>
      <c r="I114" t="str">
        <f>'Input-Instructions'!$B$4</f>
        <v>'c6us087a</v>
      </c>
      <c r="J114" s="318">
        <f>IFERROR(IF('Prepaid Other'!#REF!="Yes",0,IF(AND(EOMONTH('Prepaid Other'!#REF!,0)&gt;='Input-Instructions'!$B$6,(EOMONTH('Prepaid Other'!#REF!,-1)+1)&lt;='Input-Instructions'!$B$6),'Prepaid Other'!#REF!,0)),0)</f>
        <v>0</v>
      </c>
      <c r="K114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14">
        <v>1</v>
      </c>
      <c r="O114" t="e">
        <f>_xlfn.TEXTJOIN(" ",TRUE,TEXT('Input-Instructions'!$B$6,"MM/YYYY"),"Prepaid",'Prepaid Other'!#REF!,"Amortization")</f>
        <v>#REF!</v>
      </c>
      <c r="P114">
        <v>0</v>
      </c>
      <c r="Q114" s="292"/>
      <c r="R114" s="292"/>
      <c r="S114" s="292"/>
      <c r="T114" s="292"/>
      <c r="U114" s="292"/>
      <c r="V114" s="292"/>
      <c r="W114" s="292"/>
      <c r="X114" s="292"/>
      <c r="Y114" s="292"/>
    </row>
    <row r="115" spans="1:25" x14ac:dyDescent="0.35">
      <c r="A115" t="s">
        <v>599</v>
      </c>
      <c r="B115">
        <v>1</v>
      </c>
      <c r="E115" s="259">
        <f>'Input-Instructions'!$B$6</f>
        <v>46266</v>
      </c>
      <c r="F115" s="259">
        <f>'Input-Instructions'!$B$6</f>
        <v>46266</v>
      </c>
      <c r="G115" t="str">
        <f t="shared" si="1"/>
        <v>September Recurring Entries</v>
      </c>
      <c r="H115" t="s">
        <v>600</v>
      </c>
      <c r="I115" t="str">
        <f>'Input-Instructions'!$B$4</f>
        <v>'c6us087a</v>
      </c>
      <c r="J115" s="318">
        <f>IFERROR(IF('Prepaid Other'!#REF!="Yes",0,IF(AND(EOMONTH('Prepaid Other'!#REF!,0)&gt;='Input-Instructions'!$B$6,(EOMONTH('Prepaid Other'!#REF!,-1)+1)&lt;='Input-Instructions'!$B$6),-'Prepaid Other'!#REF!,0)),0)</f>
        <v>0</v>
      </c>
      <c r="K115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15">
        <v>1</v>
      </c>
      <c r="O115" t="e">
        <f>_xlfn.TEXTJOIN(" ",TRUE,TEXT('Input-Instructions'!$B$6,"MM/YYYY"),"Prepaid",'Prepaid Other'!#REF!,"Amortization")</f>
        <v>#REF!</v>
      </c>
      <c r="P115">
        <v>0</v>
      </c>
      <c r="Q115" s="292"/>
      <c r="R115" s="292"/>
      <c r="S115" s="292"/>
      <c r="T115" s="292"/>
      <c r="U115" s="292"/>
      <c r="V115" s="292"/>
      <c r="W115" s="292"/>
      <c r="X115" s="292"/>
      <c r="Y115" s="292"/>
    </row>
    <row r="116" spans="1:25" x14ac:dyDescent="0.35">
      <c r="A116" t="s">
        <v>599</v>
      </c>
      <c r="B116">
        <v>1</v>
      </c>
      <c r="E116" s="259">
        <f>'Input-Instructions'!$B$6</f>
        <v>46266</v>
      </c>
      <c r="F116" s="259">
        <f>'Input-Instructions'!$B$6</f>
        <v>46266</v>
      </c>
      <c r="G116" t="str">
        <f t="shared" si="1"/>
        <v>September Recurring Entries</v>
      </c>
      <c r="H116" t="s">
        <v>600</v>
      </c>
      <c r="I116" t="str">
        <f>'Input-Instructions'!$B$4</f>
        <v>'c6us087a</v>
      </c>
      <c r="J116" s="318">
        <f>IFERROR(IF('Prepaid Other'!#REF!="Yes",0,IF(AND(EOMONTH('Prepaid Other'!#REF!,0)&gt;='Input-Instructions'!$B$6,(EOMONTH('Prepaid Other'!#REF!,-1)+1)&lt;='Input-Instructions'!$B$6),'Prepaid Other'!#REF!,0)),0)</f>
        <v>0</v>
      </c>
      <c r="K116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16">
        <v>1</v>
      </c>
      <c r="O116" t="e">
        <f>_xlfn.TEXTJOIN(" ",TRUE,TEXT('Input-Instructions'!$B$6,"MM/YYYY"),"Prepaid",'Prepaid Other'!#REF!,"Amortization")</f>
        <v>#REF!</v>
      </c>
      <c r="P116">
        <v>0</v>
      </c>
      <c r="Q116" s="292"/>
      <c r="R116" s="292"/>
      <c r="S116" s="292"/>
      <c r="T116" s="292"/>
      <c r="U116" s="292"/>
      <c r="V116" s="292"/>
      <c r="W116" s="292"/>
      <c r="X116" s="292"/>
      <c r="Y116" s="292"/>
    </row>
    <row r="117" spans="1:25" x14ac:dyDescent="0.35">
      <c r="A117" t="s">
        <v>599</v>
      </c>
      <c r="B117">
        <v>1</v>
      </c>
      <c r="E117" s="259">
        <f>'Input-Instructions'!$B$6</f>
        <v>46266</v>
      </c>
      <c r="F117" s="259">
        <f>'Input-Instructions'!$B$6</f>
        <v>46266</v>
      </c>
      <c r="G117" t="str">
        <f t="shared" si="1"/>
        <v>September Recurring Entries</v>
      </c>
      <c r="H117" t="s">
        <v>600</v>
      </c>
      <c r="I117" t="str">
        <f>'Input-Instructions'!$B$4</f>
        <v>'c6us087a</v>
      </c>
      <c r="J117" s="318">
        <f>IFERROR(IF('Prepaid Other'!#REF!="Yes",0,IF(AND(EOMONTH('Prepaid Other'!#REF!,0)&gt;='Input-Instructions'!$B$6,(EOMONTH('Prepaid Other'!#REF!,-1)+1)&lt;='Input-Instructions'!$B$6),-'Prepaid Other'!#REF!,0)),0)</f>
        <v>0</v>
      </c>
      <c r="K117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17">
        <v>1</v>
      </c>
      <c r="O117" t="e">
        <f>_xlfn.TEXTJOIN(" ",TRUE,TEXT('Input-Instructions'!$B$6,"MM/YYYY"),"Prepaid",'Prepaid Other'!#REF!,"Amortization")</f>
        <v>#REF!</v>
      </c>
      <c r="P117">
        <v>0</v>
      </c>
      <c r="Q117" s="292"/>
      <c r="R117" s="292"/>
      <c r="S117" s="292"/>
      <c r="T117" s="292"/>
      <c r="U117" s="292"/>
      <c r="V117" s="292"/>
      <c r="W117" s="292"/>
      <c r="X117" s="292"/>
      <c r="Y117" s="292"/>
    </row>
    <row r="118" spans="1:25" x14ac:dyDescent="0.35">
      <c r="A118" t="s">
        <v>599</v>
      </c>
      <c r="B118">
        <v>1</v>
      </c>
      <c r="E118" s="259">
        <f>'Input-Instructions'!$B$6</f>
        <v>46266</v>
      </c>
      <c r="F118" s="259">
        <f>'Input-Instructions'!$B$6</f>
        <v>46266</v>
      </c>
      <c r="G118" t="str">
        <f t="shared" si="1"/>
        <v>September Recurring Entries</v>
      </c>
      <c r="H118" t="s">
        <v>600</v>
      </c>
      <c r="I118" t="str">
        <f>'Input-Instructions'!$B$4</f>
        <v>'c6us087a</v>
      </c>
      <c r="J118" s="318">
        <f>IFERROR(IF('Prepaid Other'!#REF!="Yes",0,IF(AND(EOMONTH('Prepaid Other'!#REF!,0)&gt;='Input-Instructions'!$B$6,(EOMONTH('Prepaid Other'!#REF!,-1)+1)&lt;='Input-Instructions'!$B$6),'Prepaid Other'!#REF!,0)),0)</f>
        <v>0</v>
      </c>
      <c r="K118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18">
        <v>1</v>
      </c>
      <c r="O118" t="e">
        <f>_xlfn.TEXTJOIN(" ",TRUE,TEXT('Input-Instructions'!$B$6,"MM/YYYY"),"Prepaid",'Prepaid Other'!#REF!,"Amortization")</f>
        <v>#REF!</v>
      </c>
      <c r="P118">
        <v>0</v>
      </c>
      <c r="Q118" s="292"/>
      <c r="R118" s="292"/>
      <c r="S118" s="292"/>
      <c r="T118" s="292"/>
      <c r="U118" s="292"/>
      <c r="V118" s="292"/>
      <c r="W118" s="292"/>
      <c r="X118" s="292"/>
      <c r="Y118" s="292"/>
    </row>
    <row r="119" spans="1:25" x14ac:dyDescent="0.35">
      <c r="A119" t="s">
        <v>599</v>
      </c>
      <c r="B119">
        <v>1</v>
      </c>
      <c r="E119" s="259">
        <f>'Input-Instructions'!$B$6</f>
        <v>46266</v>
      </c>
      <c r="F119" s="259">
        <f>'Input-Instructions'!$B$6</f>
        <v>46266</v>
      </c>
      <c r="G119" t="str">
        <f t="shared" si="1"/>
        <v>September Recurring Entries</v>
      </c>
      <c r="H119" t="s">
        <v>600</v>
      </c>
      <c r="I119" t="str">
        <f>'Input-Instructions'!$B$4</f>
        <v>'c6us087a</v>
      </c>
      <c r="J119" s="318">
        <f>IFERROR(IF('Prepaid Other'!#REF!="Yes",0,IF(AND(EOMONTH('Prepaid Other'!#REF!,0)&gt;='Input-Instructions'!$B$6,(EOMONTH('Prepaid Other'!#REF!,-1)+1)&lt;='Input-Instructions'!$B$6),-'Prepaid Other'!#REF!,0)),0)</f>
        <v>0</v>
      </c>
      <c r="K119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19">
        <v>1</v>
      </c>
      <c r="O119" t="e">
        <f>_xlfn.TEXTJOIN(" ",TRUE,TEXT('Input-Instructions'!$B$6,"MM/YYYY"),"Prepaid",'Prepaid Other'!#REF!,"Amortization")</f>
        <v>#REF!</v>
      </c>
      <c r="P119">
        <v>0</v>
      </c>
      <c r="Q119" s="292"/>
      <c r="R119" s="292"/>
      <c r="S119" s="292"/>
      <c r="T119" s="292"/>
      <c r="U119" s="292"/>
      <c r="V119" s="292"/>
      <c r="W119" s="292"/>
      <c r="X119" s="292"/>
      <c r="Y119" s="292"/>
    </row>
    <row r="120" spans="1:25" x14ac:dyDescent="0.35">
      <c r="A120" t="s">
        <v>599</v>
      </c>
      <c r="B120">
        <v>1</v>
      </c>
      <c r="E120" s="259">
        <f>'Input-Instructions'!$B$6</f>
        <v>46266</v>
      </c>
      <c r="F120" s="259">
        <f>'Input-Instructions'!$B$6</f>
        <v>46266</v>
      </c>
      <c r="G120" t="str">
        <f t="shared" si="1"/>
        <v>September Recurring Entries</v>
      </c>
      <c r="H120" t="s">
        <v>600</v>
      </c>
      <c r="I120" t="str">
        <f>'Input-Instructions'!$B$4</f>
        <v>'c6us087a</v>
      </c>
      <c r="J120" s="318">
        <f>IFERROR(IF('Prepaid Other'!#REF!="Yes",0,IF(AND(EOMONTH('Prepaid Other'!#REF!,0)&gt;='Input-Instructions'!$B$6,(EOMONTH('Prepaid Other'!#REF!,-1)+1)&lt;='Input-Instructions'!$B$6),'Prepaid Other'!#REF!,0)),0)</f>
        <v>0</v>
      </c>
      <c r="K120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20">
        <v>1</v>
      </c>
      <c r="O120" t="e">
        <f>_xlfn.TEXTJOIN(" ",TRUE,TEXT('Input-Instructions'!$B$6,"MM/YYYY"),"Prepaid",'Prepaid Other'!#REF!,"Amortization")</f>
        <v>#REF!</v>
      </c>
      <c r="P120">
        <v>0</v>
      </c>
      <c r="Q120" s="292"/>
      <c r="R120" s="292"/>
      <c r="S120" s="292"/>
      <c r="T120" s="292"/>
      <c r="U120" s="292"/>
      <c r="V120" s="292"/>
      <c r="W120" s="292"/>
      <c r="X120" s="292"/>
      <c r="Y120" s="292"/>
    </row>
    <row r="121" spans="1:25" x14ac:dyDescent="0.35">
      <c r="A121" t="s">
        <v>599</v>
      </c>
      <c r="B121">
        <v>1</v>
      </c>
      <c r="E121" s="259">
        <f>'Input-Instructions'!$B$6</f>
        <v>46266</v>
      </c>
      <c r="F121" s="259">
        <f>'Input-Instructions'!$B$6</f>
        <v>46266</v>
      </c>
      <c r="G121" t="str">
        <f t="shared" si="1"/>
        <v>September Recurring Entries</v>
      </c>
      <c r="H121" t="s">
        <v>600</v>
      </c>
      <c r="I121" t="str">
        <f>'Input-Instructions'!$B$4</f>
        <v>'c6us087a</v>
      </c>
      <c r="J121" s="318">
        <f>IFERROR(IF('Prepaid Other'!#REF!="Yes",0,IF(AND(EOMONTH('Prepaid Other'!#REF!,0)&gt;='Input-Instructions'!$B$6,(EOMONTH('Prepaid Other'!#REF!,-1)+1)&lt;='Input-Instructions'!$B$6),-'Prepaid Other'!#REF!,0)),0)</f>
        <v>0</v>
      </c>
      <c r="K121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21">
        <v>1</v>
      </c>
      <c r="O121" t="e">
        <f>_xlfn.TEXTJOIN(" ",TRUE,TEXT('Input-Instructions'!$B$6,"MM/YYYY"),"Prepaid",'Prepaid Other'!#REF!,"Amortization")</f>
        <v>#REF!</v>
      </c>
      <c r="P121">
        <v>0</v>
      </c>
      <c r="Q121" s="292"/>
      <c r="R121" s="292"/>
      <c r="S121" s="292"/>
      <c r="T121" s="292"/>
      <c r="U121" s="292"/>
      <c r="V121" s="292"/>
      <c r="W121" s="292"/>
      <c r="X121" s="292"/>
      <c r="Y121" s="292"/>
    </row>
    <row r="122" spans="1:25" x14ac:dyDescent="0.35">
      <c r="A122" t="s">
        <v>599</v>
      </c>
      <c r="B122">
        <v>1</v>
      </c>
      <c r="E122" s="259">
        <f>'Input-Instructions'!$B$6</f>
        <v>46266</v>
      </c>
      <c r="F122" s="259">
        <f>'Input-Instructions'!$B$6</f>
        <v>46266</v>
      </c>
      <c r="G122" t="str">
        <f t="shared" si="1"/>
        <v>September Recurring Entries</v>
      </c>
      <c r="H122" t="s">
        <v>600</v>
      </c>
      <c r="I122" t="str">
        <f>'Input-Instructions'!$B$4</f>
        <v>'c6us087a</v>
      </c>
      <c r="J122" s="318">
        <f>IFERROR(IF('Prepaid Other'!#REF!="Yes",0,IF(AND(EOMONTH('Prepaid Other'!#REF!,0)&gt;='Input-Instructions'!$B$6,(EOMONTH('Prepaid Other'!#REF!,-1)+1)&lt;='Input-Instructions'!$B$6),'Prepaid Other'!#REF!,0)),0)</f>
        <v>0</v>
      </c>
      <c r="K122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22">
        <v>1</v>
      </c>
      <c r="O122" t="e">
        <f>_xlfn.TEXTJOIN(" ",TRUE,TEXT('Input-Instructions'!$B$6,"MM/YYYY"),"Prepaid",'Prepaid Other'!#REF!,"Amortization")</f>
        <v>#REF!</v>
      </c>
      <c r="P122">
        <v>0</v>
      </c>
      <c r="Q122" s="292"/>
      <c r="R122" s="292"/>
      <c r="S122" s="292"/>
      <c r="T122" s="292"/>
      <c r="U122" s="292"/>
      <c r="V122" s="292"/>
      <c r="W122" s="292"/>
      <c r="X122" s="292"/>
      <c r="Y122" s="292"/>
    </row>
    <row r="123" spans="1:25" x14ac:dyDescent="0.35">
      <c r="A123" t="s">
        <v>599</v>
      </c>
      <c r="B123">
        <v>1</v>
      </c>
      <c r="E123" s="259">
        <f>'Input-Instructions'!$B$6</f>
        <v>46266</v>
      </c>
      <c r="F123" s="259">
        <f>'Input-Instructions'!$B$6</f>
        <v>46266</v>
      </c>
      <c r="G123" t="str">
        <f t="shared" si="1"/>
        <v>September Recurring Entries</v>
      </c>
      <c r="H123" t="s">
        <v>600</v>
      </c>
      <c r="I123" t="str">
        <f>'Input-Instructions'!$B$4</f>
        <v>'c6us087a</v>
      </c>
      <c r="J123" s="318">
        <f>IFERROR(IF('Prepaid Other'!#REF!="Yes",0,IF(AND(EOMONTH('Prepaid Other'!#REF!,0)&gt;='Input-Instructions'!$B$6,(EOMONTH('Prepaid Other'!#REF!,-1)+1)&lt;='Input-Instructions'!$B$6),-'Prepaid Other'!#REF!,0)),0)</f>
        <v>0</v>
      </c>
      <c r="K123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23">
        <v>1</v>
      </c>
      <c r="O123" t="e">
        <f>_xlfn.TEXTJOIN(" ",TRUE,TEXT('Input-Instructions'!$B$6,"MM/YYYY"),"Prepaid",'Prepaid Other'!#REF!,"Amortization")</f>
        <v>#REF!</v>
      </c>
      <c r="P123">
        <v>0</v>
      </c>
      <c r="Q123" s="292"/>
      <c r="R123" s="292"/>
      <c r="S123" s="292"/>
      <c r="T123" s="292"/>
      <c r="U123" s="292"/>
      <c r="V123" s="292"/>
      <c r="W123" s="292"/>
      <c r="X123" s="292"/>
      <c r="Y123" s="292"/>
    </row>
    <row r="124" spans="1:25" x14ac:dyDescent="0.35">
      <c r="A124" t="s">
        <v>599</v>
      </c>
      <c r="B124">
        <v>1</v>
      </c>
      <c r="E124" s="259">
        <f>'Input-Instructions'!$B$6</f>
        <v>46266</v>
      </c>
      <c r="F124" s="259">
        <f>'Input-Instructions'!$B$6</f>
        <v>46266</v>
      </c>
      <c r="G124" t="str">
        <f t="shared" si="1"/>
        <v>September Recurring Entries</v>
      </c>
      <c r="H124" t="s">
        <v>600</v>
      </c>
      <c r="I124" t="str">
        <f>'Input-Instructions'!$B$4</f>
        <v>'c6us087a</v>
      </c>
      <c r="J124" s="318">
        <f>IFERROR(IF('Prepaid Other'!#REF!="Yes",0,IF(AND(EOMONTH('Prepaid Other'!#REF!,0)&gt;='Input-Instructions'!$B$6,(EOMONTH('Prepaid Other'!#REF!,-1)+1)&lt;='Input-Instructions'!$B$6),'Prepaid Other'!#REF!,0)),0)</f>
        <v>0</v>
      </c>
      <c r="K124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24">
        <v>1</v>
      </c>
      <c r="O124" t="e">
        <f>_xlfn.TEXTJOIN(" ",TRUE,TEXT('Input-Instructions'!$B$6,"MM/YYYY"),"Prepaid",'Prepaid Other'!#REF!,"Amortization")</f>
        <v>#REF!</v>
      </c>
      <c r="P124">
        <v>0</v>
      </c>
      <c r="Q124" s="292"/>
      <c r="R124" s="292"/>
      <c r="S124" s="292"/>
      <c r="T124" s="292"/>
      <c r="U124" s="292"/>
      <c r="V124" s="292"/>
      <c r="W124" s="292"/>
      <c r="X124" s="292"/>
      <c r="Y124" s="292"/>
    </row>
    <row r="125" spans="1:25" x14ac:dyDescent="0.35">
      <c r="A125" t="s">
        <v>599</v>
      </c>
      <c r="B125">
        <v>1</v>
      </c>
      <c r="E125" s="259">
        <f>'Input-Instructions'!$B$6</f>
        <v>46266</v>
      </c>
      <c r="F125" s="259">
        <f>'Input-Instructions'!$B$6</f>
        <v>46266</v>
      </c>
      <c r="G125" t="str">
        <f t="shared" si="1"/>
        <v>September Recurring Entries</v>
      </c>
      <c r="H125" t="s">
        <v>600</v>
      </c>
      <c r="I125" t="str">
        <f>'Input-Instructions'!$B$4</f>
        <v>'c6us087a</v>
      </c>
      <c r="J125" s="318">
        <f>IFERROR(IF('Prepaid Other'!#REF!="Yes",0,IF(AND(EOMONTH('Prepaid Other'!#REF!,0)&gt;='Input-Instructions'!$B$6,(EOMONTH('Prepaid Other'!#REF!,-1)+1)&lt;='Input-Instructions'!$B$6),-'Prepaid Other'!#REF!,0)),0)</f>
        <v>0</v>
      </c>
      <c r="K125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25">
        <v>1</v>
      </c>
      <c r="O125" t="e">
        <f>_xlfn.TEXTJOIN(" ",TRUE,TEXT('Input-Instructions'!$B$6,"MM/YYYY"),"Prepaid",'Prepaid Other'!#REF!,"Amortization")</f>
        <v>#REF!</v>
      </c>
      <c r="P125">
        <v>0</v>
      </c>
      <c r="Q125" s="292"/>
      <c r="R125" s="292"/>
      <c r="S125" s="292"/>
      <c r="T125" s="292"/>
      <c r="U125" s="292"/>
      <c r="V125" s="292"/>
      <c r="W125" s="292"/>
      <c r="X125" s="292"/>
      <c r="Y125" s="292"/>
    </row>
    <row r="126" spans="1:25" x14ac:dyDescent="0.35">
      <c r="A126" t="s">
        <v>599</v>
      </c>
      <c r="B126">
        <v>1</v>
      </c>
      <c r="E126" s="259">
        <f>'Input-Instructions'!$B$6</f>
        <v>46266</v>
      </c>
      <c r="F126" s="259">
        <f>'Input-Instructions'!$B$6</f>
        <v>46266</v>
      </c>
      <c r="G126" t="str">
        <f t="shared" si="1"/>
        <v>September Recurring Entries</v>
      </c>
      <c r="H126" t="s">
        <v>600</v>
      </c>
      <c r="I126" t="str">
        <f>'Input-Instructions'!$B$4</f>
        <v>'c6us087a</v>
      </c>
      <c r="J126" s="318">
        <f>IFERROR(IF('Prepaid Other'!#REF!="Yes",0,IF(AND(EOMONTH('Prepaid Other'!#REF!,0)&gt;='Input-Instructions'!$B$6,(EOMONTH('Prepaid Other'!#REF!,-1)+1)&lt;='Input-Instructions'!$B$6),'Prepaid Other'!#REF!,0)),0)</f>
        <v>0</v>
      </c>
      <c r="K126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26">
        <v>1</v>
      </c>
      <c r="O126" t="e">
        <f>_xlfn.TEXTJOIN(" ",TRUE,TEXT('Input-Instructions'!$B$6,"MM/YYYY"),"Prepaid",'Prepaid Other'!#REF!,"Amortization")</f>
        <v>#REF!</v>
      </c>
      <c r="P126">
        <v>0</v>
      </c>
      <c r="Q126" s="292"/>
      <c r="R126" s="292"/>
      <c r="S126" s="292"/>
      <c r="T126" s="292"/>
      <c r="U126" s="292"/>
      <c r="V126" s="292"/>
      <c r="W126" s="292"/>
      <c r="X126" s="292"/>
      <c r="Y126" s="292"/>
    </row>
    <row r="127" spans="1:25" x14ac:dyDescent="0.35">
      <c r="A127" t="s">
        <v>599</v>
      </c>
      <c r="B127">
        <v>1</v>
      </c>
      <c r="E127" s="259">
        <f>'Input-Instructions'!$B$6</f>
        <v>46266</v>
      </c>
      <c r="F127" s="259">
        <f>'Input-Instructions'!$B$6</f>
        <v>46266</v>
      </c>
      <c r="G127" t="str">
        <f t="shared" si="1"/>
        <v>September Recurring Entries</v>
      </c>
      <c r="H127" t="s">
        <v>600</v>
      </c>
      <c r="I127" t="str">
        <f>'Input-Instructions'!$B$4</f>
        <v>'c6us087a</v>
      </c>
      <c r="J127" s="318">
        <f>IFERROR(IF('Prepaid Other'!#REF!="Yes",0,IF(AND(EOMONTH('Prepaid Other'!#REF!,0)&gt;='Input-Instructions'!$B$6,(EOMONTH('Prepaid Other'!#REF!,-1)+1)&lt;='Input-Instructions'!$B$6),-'Prepaid Other'!#REF!,0)),0)</f>
        <v>0</v>
      </c>
      <c r="K127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27">
        <v>1</v>
      </c>
      <c r="O127" t="e">
        <f>_xlfn.TEXTJOIN(" ",TRUE,TEXT('Input-Instructions'!$B$6,"MM/YYYY"),"Prepaid",'Prepaid Other'!#REF!,"Amortization")</f>
        <v>#REF!</v>
      </c>
      <c r="P127">
        <v>0</v>
      </c>
      <c r="Q127" s="292"/>
      <c r="R127" s="292"/>
      <c r="S127" s="292"/>
      <c r="T127" s="292"/>
      <c r="U127" s="292"/>
      <c r="V127" s="292"/>
      <c r="W127" s="292"/>
      <c r="X127" s="292"/>
      <c r="Y127" s="292"/>
    </row>
    <row r="128" spans="1:25" x14ac:dyDescent="0.35">
      <c r="A128" t="s">
        <v>599</v>
      </c>
      <c r="B128">
        <v>1</v>
      </c>
      <c r="E128" s="259">
        <f>'Input-Instructions'!$B$6</f>
        <v>46266</v>
      </c>
      <c r="F128" s="259">
        <f>'Input-Instructions'!$B$6</f>
        <v>46266</v>
      </c>
      <c r="G128" t="str">
        <f t="shared" si="1"/>
        <v>September Recurring Entries</v>
      </c>
      <c r="H128" t="s">
        <v>600</v>
      </c>
      <c r="I128" t="str">
        <f>'Input-Instructions'!$B$4</f>
        <v>'c6us087a</v>
      </c>
      <c r="J128" s="318">
        <f>IFERROR(IF('Prepaid Other'!#REF!="Yes",0,IF(AND(EOMONTH('Prepaid Other'!#REF!,0)&gt;='Input-Instructions'!$B$6,(EOMONTH('Prepaid Other'!#REF!,-1)+1)&lt;='Input-Instructions'!$B$6),'Prepaid Other'!#REF!,0)),0)</f>
        <v>0</v>
      </c>
      <c r="K128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28">
        <v>1</v>
      </c>
      <c r="O128" t="e">
        <f>_xlfn.TEXTJOIN(" ",TRUE,TEXT('Input-Instructions'!$B$6,"MM/YYYY"),"Prepaid",'Prepaid Other'!#REF!,"Amortization")</f>
        <v>#REF!</v>
      </c>
      <c r="P128">
        <v>0</v>
      </c>
      <c r="Q128" s="292"/>
      <c r="R128" s="292"/>
      <c r="S128" s="292"/>
      <c r="T128" s="292"/>
      <c r="U128" s="292"/>
      <c r="V128" s="292"/>
      <c r="W128" s="292"/>
      <c r="X128" s="292"/>
      <c r="Y128" s="292"/>
    </row>
    <row r="129" spans="1:25" x14ac:dyDescent="0.35">
      <c r="A129" t="s">
        <v>599</v>
      </c>
      <c r="B129">
        <v>1</v>
      </c>
      <c r="E129" s="259">
        <f>'Input-Instructions'!$B$6</f>
        <v>46266</v>
      </c>
      <c r="F129" s="259">
        <f>'Input-Instructions'!$B$6</f>
        <v>46266</v>
      </c>
      <c r="G129" t="str">
        <f t="shared" si="1"/>
        <v>September Recurring Entries</v>
      </c>
      <c r="H129" t="s">
        <v>600</v>
      </c>
      <c r="I129" t="str">
        <f>'Input-Instructions'!$B$4</f>
        <v>'c6us087a</v>
      </c>
      <c r="J129" s="318">
        <f>IFERROR(IF('Prepaid Other'!#REF!="Yes",0,IF(AND(EOMONTH('Prepaid Other'!#REF!,0)&gt;='Input-Instructions'!$B$6,(EOMONTH('Prepaid Other'!#REF!,-1)+1)&lt;='Input-Instructions'!$B$6),-'Prepaid Other'!#REF!,0)),0)</f>
        <v>0</v>
      </c>
      <c r="K129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29">
        <v>1</v>
      </c>
      <c r="O129" t="e">
        <f>_xlfn.TEXTJOIN(" ",TRUE,TEXT('Input-Instructions'!$B$6,"MM/YYYY"),"Prepaid",'Prepaid Other'!#REF!,"Amortization")</f>
        <v>#REF!</v>
      </c>
      <c r="P129">
        <v>0</v>
      </c>
      <c r="Q129" s="292"/>
      <c r="R129" s="292"/>
      <c r="S129" s="292"/>
      <c r="T129" s="292"/>
      <c r="U129" s="292"/>
      <c r="V129" s="292"/>
      <c r="W129" s="292"/>
      <c r="X129" s="292"/>
      <c r="Y129" s="292"/>
    </row>
    <row r="130" spans="1:25" x14ac:dyDescent="0.35">
      <c r="A130" t="s">
        <v>599</v>
      </c>
      <c r="B130">
        <v>1</v>
      </c>
      <c r="E130" s="259">
        <f>'Input-Instructions'!$B$6</f>
        <v>46266</v>
      </c>
      <c r="F130" s="259">
        <f>'Input-Instructions'!$B$6</f>
        <v>46266</v>
      </c>
      <c r="G130" t="str">
        <f t="shared" si="1"/>
        <v>September Recurring Entries</v>
      </c>
      <c r="H130" t="s">
        <v>600</v>
      </c>
      <c r="I130" t="str">
        <f>'Input-Instructions'!$B$4</f>
        <v>'c6us087a</v>
      </c>
      <c r="J130" s="318">
        <f>IFERROR(IF('Prepaid Other'!#REF!="Yes",0,IF(AND(EOMONTH('Prepaid Other'!#REF!,0)&gt;='Input-Instructions'!$B$6,(EOMONTH('Prepaid Other'!#REF!,-1)+1)&lt;='Input-Instructions'!$B$6),'Prepaid Other'!#REF!,0)),0)</f>
        <v>0</v>
      </c>
      <c r="K130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30">
        <v>1</v>
      </c>
      <c r="O130" t="e">
        <f>_xlfn.TEXTJOIN(" ",TRUE,TEXT('Input-Instructions'!$B$6,"MM/YYYY"),"Prepaid",'Prepaid Other'!#REF!,"Amortization")</f>
        <v>#REF!</v>
      </c>
      <c r="P130">
        <v>0</v>
      </c>
      <c r="Q130" s="292"/>
      <c r="R130" s="292"/>
      <c r="S130" s="292"/>
      <c r="T130" s="292"/>
      <c r="U130" s="292"/>
      <c r="V130" s="292"/>
      <c r="W130" s="292"/>
      <c r="X130" s="292"/>
      <c r="Y130" s="292"/>
    </row>
    <row r="131" spans="1:25" x14ac:dyDescent="0.35">
      <c r="A131" t="s">
        <v>599</v>
      </c>
      <c r="B131">
        <v>1</v>
      </c>
      <c r="E131" s="259">
        <f>'Input-Instructions'!$B$6</f>
        <v>46266</v>
      </c>
      <c r="F131" s="259">
        <f>'Input-Instructions'!$B$6</f>
        <v>46266</v>
      </c>
      <c r="G131" t="str">
        <f t="shared" si="1"/>
        <v>September Recurring Entries</v>
      </c>
      <c r="H131" t="s">
        <v>600</v>
      </c>
      <c r="I131" t="str">
        <f>'Input-Instructions'!$B$4</f>
        <v>'c6us087a</v>
      </c>
      <c r="J131" s="318">
        <f>IFERROR(IF('Prepaid Other'!#REF!="Yes",0,IF(AND(EOMONTH('Prepaid Other'!#REF!,0)&gt;='Input-Instructions'!$B$6,(EOMONTH('Prepaid Other'!#REF!,-1)+1)&lt;='Input-Instructions'!$B$6),-'Prepaid Other'!#REF!,0)),0)</f>
        <v>0</v>
      </c>
      <c r="K131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31">
        <v>1</v>
      </c>
      <c r="O131" t="e">
        <f>_xlfn.TEXTJOIN(" ",TRUE,TEXT('Input-Instructions'!$B$6,"MM/YYYY"),"Prepaid",'Prepaid Other'!#REF!,"Amortization")</f>
        <v>#REF!</v>
      </c>
      <c r="P131">
        <v>0</v>
      </c>
      <c r="Q131" s="292"/>
      <c r="R131" s="292"/>
      <c r="S131" s="292"/>
      <c r="T131" s="292"/>
      <c r="U131" s="292"/>
      <c r="V131" s="292"/>
      <c r="W131" s="292"/>
      <c r="X131" s="292"/>
      <c r="Y131" s="292"/>
    </row>
    <row r="132" spans="1:25" x14ac:dyDescent="0.35">
      <c r="A132" t="s">
        <v>599</v>
      </c>
      <c r="B132">
        <v>1</v>
      </c>
      <c r="E132" s="259">
        <f>'Input-Instructions'!$B$6</f>
        <v>46266</v>
      </c>
      <c r="F132" s="259">
        <f>'Input-Instructions'!$B$6</f>
        <v>46266</v>
      </c>
      <c r="G132" t="str">
        <f t="shared" si="1"/>
        <v>September Recurring Entries</v>
      </c>
      <c r="H132" t="s">
        <v>600</v>
      </c>
      <c r="I132" t="str">
        <f>'Input-Instructions'!$B$4</f>
        <v>'c6us087a</v>
      </c>
      <c r="J132" s="318">
        <f>IFERROR(IF('Prepaid Other'!#REF!="Yes",0,IF(AND(EOMONTH('Prepaid Other'!#REF!,0)&gt;='Input-Instructions'!$B$6,(EOMONTH('Prepaid Other'!#REF!,-1)+1)&lt;='Input-Instructions'!$B$6),'Prepaid Other'!#REF!,0)),0)</f>
        <v>0</v>
      </c>
      <c r="K132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32">
        <v>1</v>
      </c>
      <c r="O132" t="e">
        <f>_xlfn.TEXTJOIN(" ",TRUE,TEXT('Input-Instructions'!$B$6,"MM/YYYY"),"Prepaid",'Prepaid Other'!#REF!,"Amortization")</f>
        <v>#REF!</v>
      </c>
      <c r="P132">
        <v>0</v>
      </c>
      <c r="Q132" s="292"/>
      <c r="R132" s="292"/>
      <c r="S132" s="292"/>
      <c r="T132" s="292"/>
      <c r="U132" s="292"/>
      <c r="V132" s="292"/>
      <c r="W132" s="292"/>
      <c r="X132" s="292"/>
      <c r="Y132" s="292"/>
    </row>
    <row r="133" spans="1:25" x14ac:dyDescent="0.35">
      <c r="A133" t="s">
        <v>599</v>
      </c>
      <c r="B133">
        <v>1</v>
      </c>
      <c r="E133" s="259">
        <f>'Input-Instructions'!$B$6</f>
        <v>46266</v>
      </c>
      <c r="F133" s="259">
        <f>'Input-Instructions'!$B$6</f>
        <v>46266</v>
      </c>
      <c r="G133" t="str">
        <f t="shared" si="1"/>
        <v>September Recurring Entries</v>
      </c>
      <c r="H133" t="s">
        <v>600</v>
      </c>
      <c r="I133" t="str">
        <f>'Input-Instructions'!$B$4</f>
        <v>'c6us087a</v>
      </c>
      <c r="J133" s="318">
        <f>IFERROR(IF('Prepaid Other'!#REF!="Yes",0,IF(AND(EOMONTH('Prepaid Other'!#REF!,0)&gt;='Input-Instructions'!$B$6,(EOMONTH('Prepaid Other'!#REF!,-1)+1)&lt;='Input-Instructions'!$B$6),-'Prepaid Other'!#REF!,0)),0)</f>
        <v>0</v>
      </c>
      <c r="K133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33">
        <v>1</v>
      </c>
      <c r="O133" t="e">
        <f>_xlfn.TEXTJOIN(" ",TRUE,TEXT('Input-Instructions'!$B$6,"MM/YYYY"),"Prepaid",'Prepaid Other'!#REF!,"Amortization")</f>
        <v>#REF!</v>
      </c>
      <c r="P133">
        <v>0</v>
      </c>
      <c r="Q133" s="292"/>
      <c r="R133" s="292"/>
      <c r="S133" s="292"/>
      <c r="T133" s="292"/>
      <c r="U133" s="292"/>
      <c r="V133" s="292"/>
      <c r="W133" s="292"/>
      <c r="X133" s="292"/>
      <c r="Y133" s="292"/>
    </row>
    <row r="134" spans="1:25" x14ac:dyDescent="0.35">
      <c r="A134" t="s">
        <v>599</v>
      </c>
      <c r="B134">
        <v>1</v>
      </c>
      <c r="E134" s="259">
        <f>'Input-Instructions'!$B$6</f>
        <v>46266</v>
      </c>
      <c r="F134" s="259">
        <f>'Input-Instructions'!$B$6</f>
        <v>46266</v>
      </c>
      <c r="G134" t="str">
        <f t="shared" si="1"/>
        <v>September Recurring Entries</v>
      </c>
      <c r="H134" t="s">
        <v>600</v>
      </c>
      <c r="I134" t="str">
        <f>'Input-Instructions'!$B$4</f>
        <v>'c6us087a</v>
      </c>
      <c r="J134" s="318">
        <f>IFERROR(IF('Prepaid Other'!#REF!="Yes",0,IF(AND(EOMONTH('Prepaid Other'!#REF!,0)&gt;='Input-Instructions'!$B$6,(EOMONTH('Prepaid Other'!#REF!,-1)+1)&lt;='Input-Instructions'!$B$6),'Prepaid Other'!#REF!,0)),0)</f>
        <v>0</v>
      </c>
      <c r="K134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34">
        <v>1</v>
      </c>
      <c r="O134" t="e">
        <f>_xlfn.TEXTJOIN(" ",TRUE,TEXT('Input-Instructions'!$B$6,"MM/YYYY"),"Prepaid",'Prepaid Other'!#REF!,"Amortization")</f>
        <v>#REF!</v>
      </c>
      <c r="P134">
        <v>0</v>
      </c>
      <c r="Q134" s="292"/>
      <c r="R134" s="292"/>
      <c r="S134" s="292"/>
      <c r="T134" s="292"/>
      <c r="U134" s="292"/>
      <c r="V134" s="292"/>
      <c r="W134" s="292"/>
      <c r="X134" s="292"/>
      <c r="Y134" s="292"/>
    </row>
    <row r="135" spans="1:25" x14ac:dyDescent="0.35">
      <c r="A135" t="s">
        <v>599</v>
      </c>
      <c r="B135">
        <v>1</v>
      </c>
      <c r="E135" s="259">
        <f>'Input-Instructions'!$B$6</f>
        <v>46266</v>
      </c>
      <c r="F135" s="259">
        <f>'Input-Instructions'!$B$6</f>
        <v>46266</v>
      </c>
      <c r="G135" t="str">
        <f t="shared" si="1"/>
        <v>September Recurring Entries</v>
      </c>
      <c r="H135" t="s">
        <v>600</v>
      </c>
      <c r="I135" t="str">
        <f>'Input-Instructions'!$B$4</f>
        <v>'c6us087a</v>
      </c>
      <c r="J135" s="318">
        <f>IFERROR(IF('Prepaid Other'!#REF!="Yes",0,IF(AND(EOMONTH('Prepaid Other'!#REF!,0)&gt;='Input-Instructions'!$B$6,(EOMONTH('Prepaid Other'!#REF!,-1)+1)&lt;='Input-Instructions'!$B$6),-'Prepaid Other'!#REF!,0)),0)</f>
        <v>0</v>
      </c>
      <c r="K135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35">
        <v>1</v>
      </c>
      <c r="O135" t="e">
        <f>_xlfn.TEXTJOIN(" ",TRUE,TEXT('Input-Instructions'!$B$6,"MM/YYYY"),"Prepaid",'Prepaid Other'!#REF!,"Amortization")</f>
        <v>#REF!</v>
      </c>
      <c r="P135">
        <v>0</v>
      </c>
      <c r="Q135" s="292"/>
      <c r="R135" s="292"/>
      <c r="S135" s="292"/>
      <c r="T135" s="292"/>
      <c r="U135" s="292"/>
      <c r="V135" s="292"/>
      <c r="W135" s="292"/>
      <c r="X135" s="292"/>
      <c r="Y135" s="292"/>
    </row>
    <row r="136" spans="1:25" x14ac:dyDescent="0.35">
      <c r="A136" t="s">
        <v>599</v>
      </c>
      <c r="B136">
        <v>1</v>
      </c>
      <c r="E136" s="259">
        <f>'Input-Instructions'!$B$6</f>
        <v>46266</v>
      </c>
      <c r="F136" s="259">
        <f>'Input-Instructions'!$B$6</f>
        <v>46266</v>
      </c>
      <c r="G136" t="str">
        <f t="shared" si="1"/>
        <v>September Recurring Entries</v>
      </c>
      <c r="H136" t="s">
        <v>600</v>
      </c>
      <c r="I136" t="str">
        <f>'Input-Instructions'!$B$4</f>
        <v>'c6us087a</v>
      </c>
      <c r="J136" s="318">
        <f>IFERROR(IF('Prepaid Other'!#REF!="Yes",0,IF(AND(EOMONTH('Prepaid Other'!#REF!,0)&gt;='Input-Instructions'!$B$6,(EOMONTH('Prepaid Other'!#REF!,-1)+1)&lt;='Input-Instructions'!$B$6),'Prepaid Other'!#REF!,0)),0)</f>
        <v>0</v>
      </c>
      <c r="K136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36">
        <v>1</v>
      </c>
      <c r="O136" t="e">
        <f>_xlfn.TEXTJOIN(" ",TRUE,TEXT('Input-Instructions'!$B$6,"MM/YYYY"),"Prepaid",'Prepaid Other'!#REF!,"Amortization")</f>
        <v>#REF!</v>
      </c>
      <c r="P136">
        <v>0</v>
      </c>
      <c r="Q136" s="292"/>
      <c r="R136" s="292"/>
      <c r="S136" s="292"/>
      <c r="T136" s="292"/>
      <c r="U136" s="292"/>
      <c r="V136" s="292"/>
      <c r="W136" s="292"/>
      <c r="X136" s="292"/>
      <c r="Y136" s="292"/>
    </row>
    <row r="137" spans="1:25" x14ac:dyDescent="0.35">
      <c r="A137" t="s">
        <v>599</v>
      </c>
      <c r="B137">
        <v>1</v>
      </c>
      <c r="E137" s="259">
        <f>'Input-Instructions'!$B$6</f>
        <v>46266</v>
      </c>
      <c r="F137" s="259">
        <f>'Input-Instructions'!$B$6</f>
        <v>46266</v>
      </c>
      <c r="G137" t="str">
        <f t="shared" si="1"/>
        <v>September Recurring Entries</v>
      </c>
      <c r="H137" t="s">
        <v>600</v>
      </c>
      <c r="I137" t="str">
        <f>'Input-Instructions'!$B$4</f>
        <v>'c6us087a</v>
      </c>
      <c r="J137" s="318">
        <f>IFERROR(IF('Prepaid Other'!#REF!="Yes",0,IF(AND(EOMONTH('Prepaid Other'!#REF!,0)&gt;='Input-Instructions'!$B$6,(EOMONTH('Prepaid Other'!#REF!,-1)+1)&lt;='Input-Instructions'!$B$6),-'Prepaid Other'!#REF!,0)),0)</f>
        <v>0</v>
      </c>
      <c r="K137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37">
        <v>1</v>
      </c>
      <c r="O137" t="e">
        <f>_xlfn.TEXTJOIN(" ",TRUE,TEXT('Input-Instructions'!$B$6,"MM/YYYY"),"Prepaid",'Prepaid Other'!#REF!,"Amortization")</f>
        <v>#REF!</v>
      </c>
      <c r="P137">
        <v>0</v>
      </c>
      <c r="Q137" s="292"/>
      <c r="R137" s="292"/>
      <c r="S137" s="292"/>
      <c r="T137" s="292"/>
      <c r="U137" s="292"/>
      <c r="V137" s="292"/>
      <c r="W137" s="292"/>
      <c r="X137" s="292"/>
      <c r="Y137" s="292"/>
    </row>
    <row r="138" spans="1:25" x14ac:dyDescent="0.35">
      <c r="A138" t="s">
        <v>599</v>
      </c>
      <c r="B138">
        <v>1</v>
      </c>
      <c r="E138" s="259">
        <f>'Input-Instructions'!$B$6</f>
        <v>46266</v>
      </c>
      <c r="F138" s="259">
        <f>'Input-Instructions'!$B$6</f>
        <v>46266</v>
      </c>
      <c r="G138" t="str">
        <f t="shared" si="1"/>
        <v>September Recurring Entries</v>
      </c>
      <c r="H138" t="s">
        <v>600</v>
      </c>
      <c r="I138" t="str">
        <f>'Input-Instructions'!$B$4</f>
        <v>'c6us087a</v>
      </c>
      <c r="J138" s="318">
        <f>IFERROR(IF('Prepaid Other'!#REF!="Yes",0,IF(AND(EOMONTH('Prepaid Other'!#REF!,0)&gt;='Input-Instructions'!$B$6,(EOMONTH('Prepaid Other'!#REF!,-1)+1)&lt;='Input-Instructions'!$B$6),'Prepaid Other'!#REF!,0)),0)</f>
        <v>0</v>
      </c>
      <c r="K138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38">
        <v>1</v>
      </c>
      <c r="O138" t="e">
        <f>_xlfn.TEXTJOIN(" ",TRUE,TEXT('Input-Instructions'!$B$6,"MM/YYYY"),"Prepaid",'Prepaid Other'!#REF!,"Amortization")</f>
        <v>#REF!</v>
      </c>
      <c r="P138">
        <v>0</v>
      </c>
      <c r="Q138" s="292"/>
      <c r="R138" s="292"/>
      <c r="S138" s="292"/>
      <c r="T138" s="292"/>
      <c r="U138" s="292"/>
      <c r="V138" s="292"/>
      <c r="W138" s="292"/>
      <c r="X138" s="292"/>
      <c r="Y138" s="292"/>
    </row>
    <row r="139" spans="1:25" x14ac:dyDescent="0.35">
      <c r="A139" t="s">
        <v>599</v>
      </c>
      <c r="B139">
        <v>1</v>
      </c>
      <c r="E139" s="259">
        <f>'Input-Instructions'!$B$6</f>
        <v>46266</v>
      </c>
      <c r="F139" s="259">
        <f>'Input-Instructions'!$B$6</f>
        <v>46266</v>
      </c>
      <c r="G139" t="str">
        <f t="shared" ref="G139:G165" si="2">TEXT(F139,"mmmm")&amp;" Recurring Entries"</f>
        <v>September Recurring Entries</v>
      </c>
      <c r="H139" t="s">
        <v>600</v>
      </c>
      <c r="I139" t="str">
        <f>'Input-Instructions'!$B$4</f>
        <v>'c6us087a</v>
      </c>
      <c r="J139" s="318">
        <f>IFERROR(IF('Prepaid Other'!#REF!="Yes",0,IF(AND(EOMONTH('Prepaid Other'!#REF!,0)&gt;='Input-Instructions'!$B$6,(EOMONTH('Prepaid Other'!#REF!,-1)+1)&lt;='Input-Instructions'!$B$6),-'Prepaid Other'!#REF!,0)),0)</f>
        <v>0</v>
      </c>
      <c r="K139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39">
        <v>1</v>
      </c>
      <c r="O139" t="e">
        <f>_xlfn.TEXTJOIN(" ",TRUE,TEXT('Input-Instructions'!$B$6,"MM/YYYY"),"Prepaid",'Prepaid Other'!#REF!,"Amortization")</f>
        <v>#REF!</v>
      </c>
      <c r="P139">
        <v>0</v>
      </c>
      <c r="Q139" s="292"/>
      <c r="R139" s="292"/>
      <c r="S139" s="292"/>
      <c r="T139" s="292"/>
      <c r="U139" s="292"/>
      <c r="V139" s="292"/>
      <c r="W139" s="292"/>
      <c r="X139" s="292"/>
      <c r="Y139" s="292"/>
    </row>
    <row r="140" spans="1:25" x14ac:dyDescent="0.35">
      <c r="A140" t="s">
        <v>599</v>
      </c>
      <c r="B140">
        <v>1</v>
      </c>
      <c r="E140" s="259">
        <f>'Input-Instructions'!$B$6</f>
        <v>46266</v>
      </c>
      <c r="F140" s="259">
        <f>'Input-Instructions'!$B$6</f>
        <v>46266</v>
      </c>
      <c r="G140" t="str">
        <f t="shared" si="2"/>
        <v>September Recurring Entries</v>
      </c>
      <c r="H140" t="s">
        <v>600</v>
      </c>
      <c r="I140" t="str">
        <f>'Input-Instructions'!$B$4</f>
        <v>'c6us087a</v>
      </c>
      <c r="J140" s="318">
        <f>IFERROR(IF('Prepaid Other'!#REF!="Yes",0,IF(AND(EOMONTH('Prepaid Other'!#REF!,0)&gt;='Input-Instructions'!$B$6,(EOMONTH('Prepaid Other'!#REF!,-1)+1)&lt;='Input-Instructions'!$B$6),'Prepaid Other'!#REF!,0)),0)</f>
        <v>0</v>
      </c>
      <c r="K140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40">
        <v>1</v>
      </c>
      <c r="O140" t="e">
        <f>_xlfn.TEXTJOIN(" ",TRUE,TEXT('Input-Instructions'!$B$6,"MM/YYYY"),"Prepaid",'Prepaid Other'!#REF!,"Amortization")</f>
        <v>#REF!</v>
      </c>
      <c r="P140">
        <v>0</v>
      </c>
      <c r="Q140" s="292"/>
      <c r="R140" s="292"/>
      <c r="S140" s="292"/>
      <c r="T140" s="292"/>
      <c r="U140" s="292"/>
      <c r="V140" s="292"/>
      <c r="W140" s="292"/>
      <c r="X140" s="292"/>
      <c r="Y140" s="292"/>
    </row>
    <row r="141" spans="1:25" x14ac:dyDescent="0.35">
      <c r="A141" t="s">
        <v>599</v>
      </c>
      <c r="B141">
        <v>1</v>
      </c>
      <c r="E141" s="259">
        <f>'Input-Instructions'!$B$6</f>
        <v>46266</v>
      </c>
      <c r="F141" s="259">
        <f>'Input-Instructions'!$B$6</f>
        <v>46266</v>
      </c>
      <c r="G141" t="str">
        <f t="shared" si="2"/>
        <v>September Recurring Entries</v>
      </c>
      <c r="H141" t="s">
        <v>600</v>
      </c>
      <c r="I141" t="str">
        <f>'Input-Instructions'!$B$4</f>
        <v>'c6us087a</v>
      </c>
      <c r="J141" s="318">
        <f>IFERROR(IF('Prepaid Other'!#REF!="Yes",0,IF(AND(EOMONTH('Prepaid Other'!#REF!,0)&gt;='Input-Instructions'!$B$6,(EOMONTH('Prepaid Other'!#REF!,-1)+1)&lt;='Input-Instructions'!$B$6),-'Prepaid Other'!#REF!,0)),0)</f>
        <v>0</v>
      </c>
      <c r="K141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41">
        <v>1</v>
      </c>
      <c r="O141" t="e">
        <f>_xlfn.TEXTJOIN(" ",TRUE,TEXT('Input-Instructions'!$B$6,"MM/YYYY"),"Prepaid",'Prepaid Other'!#REF!,"Amortization")</f>
        <v>#REF!</v>
      </c>
      <c r="P141">
        <v>0</v>
      </c>
      <c r="Q141" s="292"/>
      <c r="R141" s="292"/>
      <c r="S141" s="292"/>
      <c r="T141" s="292"/>
      <c r="U141" s="292"/>
      <c r="V141" s="292"/>
      <c r="W141" s="292"/>
      <c r="X141" s="292"/>
      <c r="Y141" s="292"/>
    </row>
    <row r="142" spans="1:25" x14ac:dyDescent="0.35">
      <c r="A142" t="s">
        <v>599</v>
      </c>
      <c r="B142">
        <v>1</v>
      </c>
      <c r="E142" s="259">
        <f>'Input-Instructions'!$B$6</f>
        <v>46266</v>
      </c>
      <c r="F142" s="259">
        <f>'Input-Instructions'!$B$6</f>
        <v>46266</v>
      </c>
      <c r="G142" t="str">
        <f t="shared" si="2"/>
        <v>September Recurring Entries</v>
      </c>
      <c r="H142" t="s">
        <v>600</v>
      </c>
      <c r="I142" t="str">
        <f>'Input-Instructions'!$B$4</f>
        <v>'c6us087a</v>
      </c>
      <c r="J142" s="318">
        <f>IFERROR(IF('Prepaid Other'!#REF!="Yes",0,IF(AND(EOMONTH('Prepaid Other'!#REF!,0)&gt;='Input-Instructions'!$B$6,(EOMONTH('Prepaid Other'!#REF!,-1)+1)&lt;='Input-Instructions'!$B$6),'Prepaid Other'!#REF!,0)),0)</f>
        <v>0</v>
      </c>
      <c r="K142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42">
        <v>1</v>
      </c>
      <c r="O142" t="e">
        <f>_xlfn.TEXTJOIN(" ",TRUE,TEXT('Input-Instructions'!$B$6,"MM/YYYY"),"Prepaid",'Prepaid Other'!#REF!,"Amortization")</f>
        <v>#REF!</v>
      </c>
      <c r="P142">
        <v>0</v>
      </c>
      <c r="Q142" s="292"/>
      <c r="R142" s="292"/>
      <c r="S142" s="292"/>
      <c r="T142" s="292"/>
      <c r="U142" s="292"/>
      <c r="V142" s="292"/>
      <c r="W142" s="292"/>
      <c r="X142" s="292"/>
      <c r="Y142" s="292"/>
    </row>
    <row r="143" spans="1:25" x14ac:dyDescent="0.35">
      <c r="A143" t="s">
        <v>599</v>
      </c>
      <c r="B143">
        <v>1</v>
      </c>
      <c r="E143" s="259">
        <f>'Input-Instructions'!$B$6</f>
        <v>46266</v>
      </c>
      <c r="F143" s="259">
        <f>'Input-Instructions'!$B$6</f>
        <v>46266</v>
      </c>
      <c r="G143" t="str">
        <f t="shared" si="2"/>
        <v>September Recurring Entries</v>
      </c>
      <c r="H143" t="s">
        <v>600</v>
      </c>
      <c r="I143" t="str">
        <f>'Input-Instructions'!$B$4</f>
        <v>'c6us087a</v>
      </c>
      <c r="J143" s="318">
        <f>IFERROR(IF('Prepaid Other'!#REF!="Yes",0,IF(AND(EOMONTH('Prepaid Other'!#REF!,0)&gt;='Input-Instructions'!$B$6,(EOMONTH('Prepaid Other'!#REF!,-1)+1)&lt;='Input-Instructions'!$B$6),-'Prepaid Other'!#REF!,0)),0)</f>
        <v>0</v>
      </c>
      <c r="K143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43">
        <v>1</v>
      </c>
      <c r="O143" t="e">
        <f>_xlfn.TEXTJOIN(" ",TRUE,TEXT('Input-Instructions'!$B$6,"MM/YYYY"),"Prepaid",'Prepaid Other'!#REF!,"Amortization")</f>
        <v>#REF!</v>
      </c>
      <c r="P143">
        <v>0</v>
      </c>
      <c r="Q143" s="292"/>
      <c r="R143" s="292"/>
      <c r="S143" s="292"/>
      <c r="T143" s="292"/>
      <c r="U143" s="292"/>
      <c r="V143" s="292"/>
      <c r="W143" s="292"/>
      <c r="X143" s="292"/>
      <c r="Y143" s="292"/>
    </row>
    <row r="144" spans="1:25" x14ac:dyDescent="0.35">
      <c r="A144" t="s">
        <v>599</v>
      </c>
      <c r="B144">
        <v>1</v>
      </c>
      <c r="E144" s="259">
        <f>'Input-Instructions'!$B$6</f>
        <v>46266</v>
      </c>
      <c r="F144" s="259">
        <f>'Input-Instructions'!$B$6</f>
        <v>46266</v>
      </c>
      <c r="G144" t="str">
        <f t="shared" si="2"/>
        <v>September Recurring Entries</v>
      </c>
      <c r="H144" t="s">
        <v>600</v>
      </c>
      <c r="I144" t="str">
        <f>'Input-Instructions'!$B$4</f>
        <v>'c6us087a</v>
      </c>
      <c r="J144" s="318">
        <f>IFERROR(IF('Prepaid Other'!#REF!="Yes",0,IF(AND(EOMONTH('Prepaid Other'!#REF!,0)&gt;='Input-Instructions'!$B$6,(EOMONTH('Prepaid Other'!#REF!,-1)+1)&lt;='Input-Instructions'!$B$6),'Prepaid Other'!#REF!,0)),0)</f>
        <v>0</v>
      </c>
      <c r="K144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44">
        <v>1</v>
      </c>
      <c r="O144" t="e">
        <f>_xlfn.TEXTJOIN(" ",TRUE,TEXT('Input-Instructions'!$B$6,"MM/YYYY"),"Prepaid",'Prepaid Other'!#REF!,"Amortization")</f>
        <v>#REF!</v>
      </c>
      <c r="P144">
        <v>0</v>
      </c>
      <c r="Q144" s="292"/>
      <c r="R144" s="292"/>
      <c r="S144" s="292"/>
      <c r="T144" s="292"/>
      <c r="U144" s="292"/>
      <c r="V144" s="292"/>
      <c r="W144" s="292"/>
      <c r="X144" s="292"/>
      <c r="Y144" s="292"/>
    </row>
    <row r="145" spans="1:25" x14ac:dyDescent="0.35">
      <c r="A145" t="s">
        <v>599</v>
      </c>
      <c r="B145">
        <v>1</v>
      </c>
      <c r="E145" s="259">
        <f>'Input-Instructions'!$B$6</f>
        <v>46266</v>
      </c>
      <c r="F145" s="259">
        <f>'Input-Instructions'!$B$6</f>
        <v>46266</v>
      </c>
      <c r="G145" t="str">
        <f t="shared" si="2"/>
        <v>September Recurring Entries</v>
      </c>
      <c r="H145" t="s">
        <v>600</v>
      </c>
      <c r="I145" t="str">
        <f>'Input-Instructions'!$B$4</f>
        <v>'c6us087a</v>
      </c>
      <c r="J145" s="318">
        <f>IFERROR(IF('Prepaid Other'!#REF!="Yes",0,IF(AND(EOMONTH('Prepaid Other'!#REF!,0)&gt;='Input-Instructions'!$B$6,(EOMONTH('Prepaid Other'!#REF!,-1)+1)&lt;='Input-Instructions'!$B$6),-'Prepaid Other'!#REF!,0)),0)</f>
        <v>0</v>
      </c>
      <c r="K145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45">
        <v>1</v>
      </c>
      <c r="O145" t="e">
        <f>_xlfn.TEXTJOIN(" ",TRUE,TEXT('Input-Instructions'!$B$6,"MM/YYYY"),"Prepaid",'Prepaid Other'!#REF!,"Amortization")</f>
        <v>#REF!</v>
      </c>
      <c r="P145">
        <v>0</v>
      </c>
      <c r="Q145" s="292"/>
      <c r="R145" s="292"/>
      <c r="S145" s="292"/>
      <c r="T145" s="292"/>
      <c r="U145" s="292"/>
      <c r="V145" s="292"/>
      <c r="W145" s="292"/>
      <c r="X145" s="292"/>
      <c r="Y145" s="292"/>
    </row>
    <row r="146" spans="1:25" x14ac:dyDescent="0.35">
      <c r="A146" t="s">
        <v>599</v>
      </c>
      <c r="B146">
        <v>1</v>
      </c>
      <c r="E146" s="259">
        <f>'Input-Instructions'!$B$6</f>
        <v>46266</v>
      </c>
      <c r="F146" s="259">
        <f>'Input-Instructions'!$B$6</f>
        <v>46266</v>
      </c>
      <c r="G146" t="str">
        <f t="shared" si="2"/>
        <v>September Recurring Entries</v>
      </c>
      <c r="H146" t="s">
        <v>600</v>
      </c>
      <c r="I146" t="str">
        <f>'Input-Instructions'!$B$4</f>
        <v>'c6us087a</v>
      </c>
      <c r="J146" s="318">
        <f>IFERROR(IF('Prepaid Other'!#REF!="Yes",0,IF(AND(EOMONTH('Prepaid Other'!#REF!,0)&gt;='Input-Instructions'!$B$6,(EOMONTH('Prepaid Other'!#REF!,-1)+1)&lt;='Input-Instructions'!$B$6),'Prepaid Other'!#REF!,0)),0)</f>
        <v>0</v>
      </c>
      <c r="K146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46">
        <v>1</v>
      </c>
      <c r="O146" t="e">
        <f>_xlfn.TEXTJOIN(" ",TRUE,TEXT('Input-Instructions'!$B$6,"MM/YYYY"),"Prepaid",'Prepaid Other'!#REF!,"Amortization")</f>
        <v>#REF!</v>
      </c>
      <c r="P146">
        <v>0</v>
      </c>
      <c r="Q146" s="292"/>
      <c r="R146" s="292"/>
      <c r="S146" s="292"/>
      <c r="T146" s="292"/>
      <c r="U146" s="292"/>
      <c r="V146" s="292"/>
      <c r="W146" s="292"/>
      <c r="X146" s="292"/>
      <c r="Y146" s="292"/>
    </row>
    <row r="147" spans="1:25" x14ac:dyDescent="0.35">
      <c r="A147" t="s">
        <v>599</v>
      </c>
      <c r="B147">
        <v>1</v>
      </c>
      <c r="E147" s="259">
        <f>'Input-Instructions'!$B$6</f>
        <v>46266</v>
      </c>
      <c r="F147" s="259">
        <f>'Input-Instructions'!$B$6</f>
        <v>46266</v>
      </c>
      <c r="G147" t="str">
        <f t="shared" si="2"/>
        <v>September Recurring Entries</v>
      </c>
      <c r="H147" t="s">
        <v>600</v>
      </c>
      <c r="I147" t="str">
        <f>'Input-Instructions'!$B$4</f>
        <v>'c6us087a</v>
      </c>
      <c r="J147" s="318">
        <f>IFERROR(IF('Prepaid Other'!#REF!="Yes",0,IF(AND(EOMONTH('Prepaid Other'!#REF!,0)&gt;='Input-Instructions'!$B$6,(EOMONTH('Prepaid Other'!#REF!,-1)+1)&lt;='Input-Instructions'!$B$6),-'Prepaid Other'!#REF!,0)),0)</f>
        <v>0</v>
      </c>
      <c r="K147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47">
        <v>1</v>
      </c>
      <c r="O147" t="e">
        <f>_xlfn.TEXTJOIN(" ",TRUE,TEXT('Input-Instructions'!$B$6,"MM/YYYY"),"Prepaid",'Prepaid Other'!#REF!,"Amortization")</f>
        <v>#REF!</v>
      </c>
      <c r="P147">
        <v>0</v>
      </c>
      <c r="Q147" s="292"/>
      <c r="R147" s="292"/>
      <c r="S147" s="292"/>
      <c r="T147" s="292"/>
      <c r="U147" s="292"/>
      <c r="V147" s="292"/>
      <c r="W147" s="292"/>
      <c r="X147" s="292"/>
      <c r="Y147" s="292"/>
    </row>
    <row r="148" spans="1:25" x14ac:dyDescent="0.35">
      <c r="A148" t="s">
        <v>599</v>
      </c>
      <c r="B148">
        <v>1</v>
      </c>
      <c r="E148" s="259">
        <f>'Input-Instructions'!$B$6</f>
        <v>46266</v>
      </c>
      <c r="F148" s="259">
        <f>'Input-Instructions'!$B$6</f>
        <v>46266</v>
      </c>
      <c r="G148" t="str">
        <f t="shared" si="2"/>
        <v>September Recurring Entries</v>
      </c>
      <c r="H148" t="s">
        <v>600</v>
      </c>
      <c r="I148" t="str">
        <f>'Input-Instructions'!$B$4</f>
        <v>'c6us087a</v>
      </c>
      <c r="J148" s="318">
        <f>IFERROR(IF('Prepaid Other'!#REF!="Yes",0,IF(AND(EOMONTH('Prepaid Other'!#REF!,0)&gt;='Input-Instructions'!$B$6,(EOMONTH('Prepaid Other'!#REF!,-1)+1)&lt;='Input-Instructions'!$B$6),'Prepaid Other'!#REF!,0)),0)</f>
        <v>0</v>
      </c>
      <c r="K148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48">
        <v>1</v>
      </c>
      <c r="O148" t="e">
        <f>_xlfn.TEXTJOIN(" ",TRUE,TEXT('Input-Instructions'!$B$6,"MM/YYYY"),"Prepaid",'Prepaid Other'!#REF!,"Amortization")</f>
        <v>#REF!</v>
      </c>
      <c r="P148">
        <v>0</v>
      </c>
      <c r="Q148" s="292"/>
      <c r="R148" s="292"/>
      <c r="S148" s="292"/>
      <c r="T148" s="292"/>
      <c r="U148" s="292"/>
      <c r="V148" s="292"/>
      <c r="W148" s="292"/>
      <c r="X148" s="292"/>
      <c r="Y148" s="292"/>
    </row>
    <row r="149" spans="1:25" x14ac:dyDescent="0.35">
      <c r="A149" t="s">
        <v>599</v>
      </c>
      <c r="B149">
        <v>1</v>
      </c>
      <c r="E149" s="259">
        <f>'Input-Instructions'!$B$6</f>
        <v>46266</v>
      </c>
      <c r="F149" s="259">
        <f>'Input-Instructions'!$B$6</f>
        <v>46266</v>
      </c>
      <c r="G149" t="str">
        <f t="shared" si="2"/>
        <v>September Recurring Entries</v>
      </c>
      <c r="H149" t="s">
        <v>600</v>
      </c>
      <c r="I149" t="str">
        <f>'Input-Instructions'!$B$4</f>
        <v>'c6us087a</v>
      </c>
      <c r="J149" s="318">
        <f>IFERROR(IF('Prepaid Other'!#REF!="Yes",0,IF(AND(EOMONTH('Prepaid Other'!#REF!,0)&gt;='Input-Instructions'!$B$6,(EOMONTH('Prepaid Other'!#REF!,-1)+1)&lt;='Input-Instructions'!$B$6),-'Prepaid Other'!#REF!,0)),0)</f>
        <v>0</v>
      </c>
      <c r="K149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49">
        <v>1</v>
      </c>
      <c r="O149" t="e">
        <f>_xlfn.TEXTJOIN(" ",TRUE,TEXT('Input-Instructions'!$B$6,"MM/YYYY"),"Prepaid",'Prepaid Other'!#REF!,"Amortization")</f>
        <v>#REF!</v>
      </c>
      <c r="P149">
        <v>0</v>
      </c>
      <c r="Q149" s="292"/>
      <c r="R149" s="292"/>
      <c r="S149" s="292"/>
      <c r="T149" s="292"/>
      <c r="U149" s="292"/>
      <c r="V149" s="292"/>
      <c r="W149" s="292"/>
      <c r="X149" s="292"/>
      <c r="Y149" s="292"/>
    </row>
    <row r="150" spans="1:25" x14ac:dyDescent="0.35">
      <c r="A150" t="s">
        <v>599</v>
      </c>
      <c r="B150">
        <v>1</v>
      </c>
      <c r="E150" s="259">
        <f>'Input-Instructions'!$B$6</f>
        <v>46266</v>
      </c>
      <c r="F150" s="259">
        <f>'Input-Instructions'!$B$6</f>
        <v>46266</v>
      </c>
      <c r="G150" t="str">
        <f t="shared" si="2"/>
        <v>September Recurring Entries</v>
      </c>
      <c r="H150" t="s">
        <v>600</v>
      </c>
      <c r="I150" t="str">
        <f>'Input-Instructions'!$B$4</f>
        <v>'c6us087a</v>
      </c>
      <c r="J150" s="318">
        <f>IFERROR(IF('Prepaid Other'!#REF!="Yes",0,IF(AND(EOMONTH('Prepaid Other'!#REF!,0)&gt;='Input-Instructions'!$B$6,(EOMONTH('Prepaid Other'!#REF!,-1)+1)&lt;='Input-Instructions'!$B$6),'Prepaid Other'!#REF!,0)),0)</f>
        <v>0</v>
      </c>
      <c r="K150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50">
        <v>1</v>
      </c>
      <c r="O150" t="e">
        <f>_xlfn.TEXTJOIN(" ",TRUE,TEXT('Input-Instructions'!$B$6,"MM/YYYY"),"Prepaid",'Prepaid Other'!#REF!,"Amortization")</f>
        <v>#REF!</v>
      </c>
      <c r="P150">
        <v>0</v>
      </c>
      <c r="Q150" s="292"/>
      <c r="R150" s="292"/>
      <c r="S150" s="292"/>
      <c r="T150" s="292"/>
      <c r="U150" s="292"/>
      <c r="V150" s="292"/>
      <c r="W150" s="292"/>
      <c r="X150" s="292"/>
      <c r="Y150" s="292"/>
    </row>
    <row r="151" spans="1:25" x14ac:dyDescent="0.35">
      <c r="A151" t="s">
        <v>599</v>
      </c>
      <c r="B151">
        <v>1</v>
      </c>
      <c r="E151" s="259">
        <f>'Input-Instructions'!$B$6</f>
        <v>46266</v>
      </c>
      <c r="F151" s="259">
        <f>'Input-Instructions'!$B$6</f>
        <v>46266</v>
      </c>
      <c r="G151" t="str">
        <f t="shared" si="2"/>
        <v>September Recurring Entries</v>
      </c>
      <c r="H151" t="s">
        <v>600</v>
      </c>
      <c r="I151" t="str">
        <f>'Input-Instructions'!$B$4</f>
        <v>'c6us087a</v>
      </c>
      <c r="J151" s="318">
        <f>IFERROR(IF('Prepaid Other'!#REF!="Yes",0,IF(AND(EOMONTH('Prepaid Other'!#REF!,0)&gt;='Input-Instructions'!$B$6,(EOMONTH('Prepaid Other'!#REF!,-1)+1)&lt;='Input-Instructions'!$B$6),-'Prepaid Other'!#REF!,0)),0)</f>
        <v>0</v>
      </c>
      <c r="K151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51">
        <v>1</v>
      </c>
      <c r="O151" t="e">
        <f>_xlfn.TEXTJOIN(" ",TRUE,TEXT('Input-Instructions'!$B$6,"MM/YYYY"),"Prepaid",'Prepaid Other'!#REF!,"Amortization")</f>
        <v>#REF!</v>
      </c>
      <c r="P151">
        <v>0</v>
      </c>
      <c r="Q151" s="292"/>
      <c r="R151" s="292"/>
      <c r="S151" s="292"/>
      <c r="T151" s="292"/>
      <c r="U151" s="292"/>
      <c r="V151" s="292"/>
      <c r="W151" s="292"/>
      <c r="X151" s="292"/>
      <c r="Y151" s="292"/>
    </row>
    <row r="152" spans="1:25" x14ac:dyDescent="0.35">
      <c r="A152" t="s">
        <v>599</v>
      </c>
      <c r="B152">
        <v>1</v>
      </c>
      <c r="E152" s="259">
        <f>'Input-Instructions'!$B$6</f>
        <v>46266</v>
      </c>
      <c r="F152" s="259">
        <f>'Input-Instructions'!$B$6</f>
        <v>46266</v>
      </c>
      <c r="G152" t="str">
        <f t="shared" si="2"/>
        <v>September Recurring Entries</v>
      </c>
      <c r="H152" t="s">
        <v>600</v>
      </c>
      <c r="I152" t="str">
        <f>'Input-Instructions'!$B$4</f>
        <v>'c6us087a</v>
      </c>
      <c r="J152" s="318">
        <f>IFERROR(IF('Prepaid Other'!#REF!="Yes",0,IF(AND(EOMONTH('Prepaid Other'!#REF!,0)&gt;='Input-Instructions'!$B$6,(EOMONTH('Prepaid Other'!#REF!,-1)+1)&lt;='Input-Instructions'!$B$6),'Prepaid Other'!#REF!,0)),0)</f>
        <v>0</v>
      </c>
      <c r="K152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52">
        <v>1</v>
      </c>
      <c r="O152" t="e">
        <f>_xlfn.TEXTJOIN(" ",TRUE,TEXT('Input-Instructions'!$B$6,"MM/YYYY"),"Prepaid",'Prepaid Other'!#REF!,"Amortization")</f>
        <v>#REF!</v>
      </c>
      <c r="P152">
        <v>0</v>
      </c>
      <c r="Q152" s="292"/>
      <c r="R152" s="292"/>
      <c r="S152" s="292"/>
      <c r="T152" s="292"/>
      <c r="U152" s="292"/>
      <c r="V152" s="292"/>
      <c r="W152" s="292"/>
      <c r="X152" s="292"/>
      <c r="Y152" s="292"/>
    </row>
    <row r="153" spans="1:25" x14ac:dyDescent="0.35">
      <c r="A153" t="s">
        <v>599</v>
      </c>
      <c r="B153">
        <v>1</v>
      </c>
      <c r="E153" s="259">
        <f>'Input-Instructions'!$B$6</f>
        <v>46266</v>
      </c>
      <c r="F153" s="259">
        <f>'Input-Instructions'!$B$6</f>
        <v>46266</v>
      </c>
      <c r="G153" t="str">
        <f t="shared" si="2"/>
        <v>September Recurring Entries</v>
      </c>
      <c r="H153" t="s">
        <v>600</v>
      </c>
      <c r="I153" t="str">
        <f>'Input-Instructions'!$B$4</f>
        <v>'c6us087a</v>
      </c>
      <c r="J153" s="318">
        <f>IFERROR(IF('Prepaid Other'!#REF!="Yes",0,IF(AND(EOMONTH('Prepaid Other'!#REF!,0)&gt;='Input-Instructions'!$B$6,(EOMONTH('Prepaid Other'!#REF!,-1)+1)&lt;='Input-Instructions'!$B$6),-'Prepaid Other'!#REF!,0)),0)</f>
        <v>0</v>
      </c>
      <c r="K153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53">
        <v>1</v>
      </c>
      <c r="O153" t="e">
        <f>_xlfn.TEXTJOIN(" ",TRUE,TEXT('Input-Instructions'!$B$6,"MM/YYYY"),"Prepaid",'Prepaid Other'!#REF!,"Amortization")</f>
        <v>#REF!</v>
      </c>
      <c r="P153">
        <v>0</v>
      </c>
      <c r="Q153" s="292"/>
      <c r="R153" s="292"/>
      <c r="S153" s="292"/>
      <c r="T153" s="292"/>
      <c r="U153" s="292"/>
      <c r="V153" s="292"/>
      <c r="W153" s="292"/>
      <c r="X153" s="292"/>
      <c r="Y153" s="292"/>
    </row>
    <row r="154" spans="1:25" x14ac:dyDescent="0.35">
      <c r="A154" t="s">
        <v>599</v>
      </c>
      <c r="B154">
        <v>1</v>
      </c>
      <c r="E154" s="259">
        <f>'Input-Instructions'!$B$6</f>
        <v>46266</v>
      </c>
      <c r="F154" s="259">
        <f>'Input-Instructions'!$B$6</f>
        <v>46266</v>
      </c>
      <c r="G154" t="str">
        <f t="shared" si="2"/>
        <v>September Recurring Entries</v>
      </c>
      <c r="H154" t="s">
        <v>600</v>
      </c>
      <c r="I154" t="str">
        <f>'Input-Instructions'!$B$4</f>
        <v>'c6us087a</v>
      </c>
      <c r="J154" s="318">
        <f>IFERROR(IF('Prepaid Other'!#REF!="Yes",0,IF(AND(EOMONTH('Prepaid Other'!#REF!,0)&gt;='Input-Instructions'!$B$6,(EOMONTH('Prepaid Other'!#REF!,-1)+1)&lt;='Input-Instructions'!$B$6),'Prepaid Other'!#REF!,0)),0)</f>
        <v>0</v>
      </c>
      <c r="K154" t="e">
        <f>IF('Upload Setup'!$B$3="Chart of Accounts A",IFERROR(VLOOKUP('Prepaid Other'!#REF!,'Mapped COA'!A:G,1,0),'Prepaid Other'!#REF!),IFERROR(VLOOKUP('Prepaid Other'!#REF!,'Mapped COA'!A:G,3,0),'Prepaid Other'!#REF!))</f>
        <v>#REF!</v>
      </c>
      <c r="N154">
        <v>1</v>
      </c>
      <c r="O154" t="e">
        <f>_xlfn.TEXTJOIN(" ",TRUE,TEXT('Input-Instructions'!$B$6,"MM/YYYY"),"Prepaid",'Prepaid Other'!#REF!,"Amortization")</f>
        <v>#REF!</v>
      </c>
      <c r="P154">
        <v>0</v>
      </c>
      <c r="Q154" s="292"/>
      <c r="R154" s="292"/>
      <c r="S154" s="292"/>
      <c r="T154" s="292"/>
      <c r="U154" s="292"/>
      <c r="V154" s="292"/>
      <c r="W154" s="292"/>
      <c r="X154" s="292"/>
      <c r="Y154" s="292"/>
    </row>
    <row r="155" spans="1:25" x14ac:dyDescent="0.35">
      <c r="A155" t="s">
        <v>599</v>
      </c>
      <c r="B155">
        <v>1</v>
      </c>
      <c r="E155" s="259">
        <f>'Input-Instructions'!$B$6</f>
        <v>46266</v>
      </c>
      <c r="F155" s="259">
        <f>'Input-Instructions'!$B$6</f>
        <v>46266</v>
      </c>
      <c r="G155" t="str">
        <f t="shared" si="2"/>
        <v>September Recurring Entries</v>
      </c>
      <c r="H155" t="s">
        <v>600</v>
      </c>
      <c r="I155" t="str">
        <f>'Input-Instructions'!$B$4</f>
        <v>'c6us087a</v>
      </c>
      <c r="J155" s="318">
        <f>IFERROR(IF('Prepaid Other'!#REF!="Yes",0,IF(AND(EOMONTH('Prepaid Other'!#REF!,0)&gt;='Input-Instructions'!$B$6,(EOMONTH('Prepaid Other'!#REF!,-1)+1)&lt;='Input-Instructions'!$B$6),-'Prepaid Other'!#REF!,0)),0)</f>
        <v>0</v>
      </c>
      <c r="K155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55">
        <v>1</v>
      </c>
      <c r="O155" t="e">
        <f>_xlfn.TEXTJOIN(" ",TRUE,TEXT('Input-Instructions'!$B$6,"MM/YYYY"),"Prepaid",'Prepaid Other'!#REF!,"Amortization")</f>
        <v>#REF!</v>
      </c>
      <c r="P155">
        <v>0</v>
      </c>
      <c r="Q155" s="292"/>
      <c r="R155" s="292"/>
      <c r="S155" s="292"/>
      <c r="T155" s="292"/>
      <c r="U155" s="292"/>
      <c r="V155" s="292"/>
      <c r="W155" s="292"/>
      <c r="X155" s="292"/>
      <c r="Y155" s="292"/>
    </row>
    <row r="156" spans="1:25" x14ac:dyDescent="0.35">
      <c r="A156" t="s">
        <v>599</v>
      </c>
      <c r="B156">
        <v>1</v>
      </c>
      <c r="E156" s="259">
        <f>'Input-Instructions'!$B$6</f>
        <v>46266</v>
      </c>
      <c r="F156" s="259">
        <f>'Input-Instructions'!$B$6</f>
        <v>46266</v>
      </c>
      <c r="G156" t="str">
        <f t="shared" si="2"/>
        <v>September Recurring Entries</v>
      </c>
      <c r="H156" t="s">
        <v>600</v>
      </c>
      <c r="I156" t="str">
        <f>'Input-Instructions'!$B$4</f>
        <v>'c6us087a</v>
      </c>
      <c r="J156" s="318">
        <f>IFERROR(IF('Prepaid Other'!$A$14="Yes",0,IF(AND(EOMONTH('Prepaid Other'!$E$14,0)&gt;='Input-Instructions'!$B$6,(EOMONTH('Prepaid Other'!$D$14,-1)+1)&lt;='Input-Instructions'!$B$6),'Prepaid Other'!$I$14,0)),0)</f>
        <v>0</v>
      </c>
      <c r="K156">
        <f>IF('Upload Setup'!$B$3="Chart of Accounts A",IFERROR(VLOOKUP('Prepaid Other'!$B$14,'Mapped COA'!A:G,1,0),'Prepaid Other'!$B$14),IFERROR(VLOOKUP('Prepaid Other'!$B$14,'Mapped COA'!A:G,3,0),'Prepaid Other'!$B$14))</f>
        <v>0</v>
      </c>
      <c r="N156">
        <v>1</v>
      </c>
      <c r="O156" t="str">
        <f>_xlfn.TEXTJOIN(" ",TRUE,TEXT('Input-Instructions'!$B$6,"MM/YYYY"),"Prepaid",'Prepaid Other'!$F$14,"Amortization")</f>
        <v>09/2026 Prepaid Amortization</v>
      </c>
      <c r="P156">
        <v>0</v>
      </c>
      <c r="Q156" s="292"/>
      <c r="R156" s="292"/>
      <c r="S156" s="292"/>
      <c r="T156" s="292"/>
      <c r="U156" s="292"/>
      <c r="V156" s="292"/>
      <c r="W156" s="292"/>
      <c r="X156" s="292"/>
      <c r="Y156" s="292"/>
    </row>
    <row r="157" spans="1:25" x14ac:dyDescent="0.35">
      <c r="A157" t="s">
        <v>599</v>
      </c>
      <c r="B157">
        <v>1</v>
      </c>
      <c r="E157" s="259">
        <f>'Input-Instructions'!$B$6</f>
        <v>46266</v>
      </c>
      <c r="F157" s="259">
        <f>'Input-Instructions'!$B$6</f>
        <v>46266</v>
      </c>
      <c r="G157" t="str">
        <f t="shared" si="2"/>
        <v>September Recurring Entries</v>
      </c>
      <c r="H157" t="s">
        <v>600</v>
      </c>
      <c r="I157" t="str">
        <f>'Input-Instructions'!$B$4</f>
        <v>'c6us087a</v>
      </c>
      <c r="J157" s="318">
        <f>IFERROR(IF('Prepaid Other'!$A$14="Yes",0,IF(AND(EOMONTH('Prepaid Other'!$E$14,0)&gt;='Input-Instructions'!$B$6,(EOMONTH('Prepaid Other'!$D$14,-1)+1)&lt;='Input-Instructions'!$B$6),-'Prepaid Other'!$I$14,0)),0)</f>
        <v>0</v>
      </c>
      <c r="K157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57">
        <v>1</v>
      </c>
      <c r="O157" t="str">
        <f>_xlfn.TEXTJOIN(" ",TRUE,TEXT('Input-Instructions'!$B$6,"MM/YYYY"),"Prepaid",'Prepaid Other'!$F$14,"Amortization")</f>
        <v>09/2026 Prepaid Amortization</v>
      </c>
      <c r="P157">
        <v>0</v>
      </c>
      <c r="Q157" s="292"/>
      <c r="R157" s="292"/>
      <c r="S157" s="292"/>
      <c r="T157" s="292"/>
      <c r="U157" s="292"/>
      <c r="V157" s="292"/>
      <c r="W157" s="292"/>
      <c r="X157" s="292"/>
      <c r="Y157" s="292"/>
    </row>
    <row r="158" spans="1:25" x14ac:dyDescent="0.35">
      <c r="A158" t="s">
        <v>599</v>
      </c>
      <c r="B158">
        <v>1</v>
      </c>
      <c r="E158" s="259">
        <f>'Input-Instructions'!$B$6</f>
        <v>46266</v>
      </c>
      <c r="F158" s="259">
        <f>'Input-Instructions'!$B$6</f>
        <v>46266</v>
      </c>
      <c r="G158" t="str">
        <f t="shared" si="2"/>
        <v>September Recurring Entries</v>
      </c>
      <c r="H158" t="s">
        <v>600</v>
      </c>
      <c r="I158" t="str">
        <f>'Input-Instructions'!$B$4</f>
        <v>'c6us087a</v>
      </c>
      <c r="J158" s="318">
        <f>IFERROR(IF('Prepaid Other'!$A$15="Yes",0,IF(AND(EOMONTH('Prepaid Other'!$E$15,0)&gt;='Input-Instructions'!$B$6,(EOMONTH('Prepaid Other'!$D$15,-1)+1)&lt;='Input-Instructions'!$B$6),'Prepaid Other'!$I$15,0)),0)</f>
        <v>0</v>
      </c>
      <c r="K158">
        <f>IF('Upload Setup'!$B$3="Chart of Accounts A",IFERROR(VLOOKUP('Prepaid Other'!$B$15,'Mapped COA'!A:G,1,0),'Prepaid Other'!$B$15),IFERROR(VLOOKUP('Prepaid Other'!$B$15,'Mapped COA'!A:G,3,0),'Prepaid Other'!$B$15))</f>
        <v>0</v>
      </c>
      <c r="N158">
        <v>1</v>
      </c>
      <c r="O158" t="str">
        <f>_xlfn.TEXTJOIN(" ",TRUE,TEXT('Input-Instructions'!$B$6,"MM/YYYY"),"Prepaid",'Prepaid Other'!$F$15,"Amortization")</f>
        <v>09/2026 Prepaid Amortization</v>
      </c>
      <c r="P158">
        <v>0</v>
      </c>
      <c r="Q158" s="292"/>
      <c r="R158" s="292"/>
      <c r="S158" s="292"/>
      <c r="T158" s="292"/>
      <c r="U158" s="292"/>
      <c r="V158" s="292"/>
      <c r="W158" s="292"/>
      <c r="X158" s="292"/>
      <c r="Y158" s="292"/>
    </row>
    <row r="159" spans="1:25" x14ac:dyDescent="0.35">
      <c r="A159" t="s">
        <v>599</v>
      </c>
      <c r="B159">
        <v>1</v>
      </c>
      <c r="E159" s="259">
        <f>'Input-Instructions'!$B$6</f>
        <v>46266</v>
      </c>
      <c r="F159" s="259">
        <f>'Input-Instructions'!$B$6</f>
        <v>46266</v>
      </c>
      <c r="G159" t="str">
        <f t="shared" si="2"/>
        <v>September Recurring Entries</v>
      </c>
      <c r="H159" t="s">
        <v>600</v>
      </c>
      <c r="I159" t="str">
        <f>'Input-Instructions'!$B$4</f>
        <v>'c6us087a</v>
      </c>
      <c r="J159" s="318">
        <f>IFERROR(IF('Prepaid Other'!$A$15="Yes",0,IF(AND(EOMONTH('Prepaid Other'!$E$15,0)&gt;='Input-Instructions'!$B$6,(EOMONTH('Prepaid Other'!$D$15,-1)+1)&lt;='Input-Instructions'!$B$6),-'Prepaid Other'!$I$15,0)),0)</f>
        <v>0</v>
      </c>
      <c r="K159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59">
        <v>1</v>
      </c>
      <c r="O159" t="str">
        <f>_xlfn.TEXTJOIN(" ",TRUE,TEXT('Input-Instructions'!$B$6,"MM/YYYY"),"Prepaid",'Prepaid Other'!$F$15,"Amortization")</f>
        <v>09/2026 Prepaid Amortization</v>
      </c>
      <c r="P159">
        <v>0</v>
      </c>
      <c r="Q159" s="292"/>
      <c r="R159" s="292"/>
      <c r="S159" s="292"/>
      <c r="T159" s="292"/>
      <c r="U159" s="292"/>
      <c r="V159" s="292"/>
      <c r="W159" s="292"/>
      <c r="X159" s="292"/>
      <c r="Y159" s="292"/>
    </row>
    <row r="160" spans="1:25" x14ac:dyDescent="0.35">
      <c r="A160" t="s">
        <v>599</v>
      </c>
      <c r="B160">
        <v>1</v>
      </c>
      <c r="E160" s="259">
        <f>'Input-Instructions'!$B$6</f>
        <v>46266</v>
      </c>
      <c r="F160" s="259">
        <f>'Input-Instructions'!$B$6</f>
        <v>46266</v>
      </c>
      <c r="G160" t="str">
        <f t="shared" si="2"/>
        <v>September Recurring Entries</v>
      </c>
      <c r="H160" t="s">
        <v>600</v>
      </c>
      <c r="I160" t="str">
        <f>'Input-Instructions'!$B$4</f>
        <v>'c6us087a</v>
      </c>
      <c r="J160" s="318">
        <f>IFERROR(IF('Prepaid Other'!$A$16="Yes",0,IF(AND(EOMONTH('Prepaid Other'!$E$16,0)&gt;='Input-Instructions'!$B$6,(EOMONTH('Prepaid Other'!$D$16,-1)+1)&lt;='Input-Instructions'!$B$6),'Prepaid Other'!$I$16,0)),0)</f>
        <v>0</v>
      </c>
      <c r="K160">
        <f>IF('Upload Setup'!$B$3="Chart of Accounts A",IFERROR(VLOOKUP('Prepaid Other'!$B$16,'Mapped COA'!A:G,1,0),'Prepaid Other'!$B$16),IFERROR(VLOOKUP('Prepaid Other'!$B$16,'Mapped COA'!A:G,3,0),'Prepaid Other'!$B$16))</f>
        <v>0</v>
      </c>
      <c r="N160">
        <v>1</v>
      </c>
      <c r="O160" t="str">
        <f>_xlfn.TEXTJOIN(" ",TRUE,TEXT('Input-Instructions'!$B$6,"MM/YYYY"),"Prepaid",'Prepaid Other'!$F$16,"Amortization")</f>
        <v>09/2026 Prepaid Amortization</v>
      </c>
      <c r="P160">
        <v>0</v>
      </c>
      <c r="Q160" s="292"/>
      <c r="R160" s="292"/>
      <c r="S160" s="292"/>
      <c r="T160" s="292"/>
      <c r="U160" s="292"/>
      <c r="V160" s="292"/>
      <c r="W160" s="292"/>
      <c r="X160" s="292"/>
      <c r="Y160" s="292"/>
    </row>
    <row r="161" spans="1:25" x14ac:dyDescent="0.35">
      <c r="A161" t="s">
        <v>599</v>
      </c>
      <c r="B161">
        <v>1</v>
      </c>
      <c r="E161" s="259">
        <f>'Input-Instructions'!$B$6</f>
        <v>46266</v>
      </c>
      <c r="F161" s="259">
        <f>'Input-Instructions'!$B$6</f>
        <v>46266</v>
      </c>
      <c r="G161" t="str">
        <f t="shared" si="2"/>
        <v>September Recurring Entries</v>
      </c>
      <c r="H161" t="s">
        <v>600</v>
      </c>
      <c r="I161" t="str">
        <f>'Input-Instructions'!$B$4</f>
        <v>'c6us087a</v>
      </c>
      <c r="J161" s="318">
        <f>IFERROR(IF('Prepaid Other'!$A$16="Yes",0,IF(AND(EOMONTH('Prepaid Other'!$E$16,0)&gt;='Input-Instructions'!$B$6,(EOMONTH('Prepaid Other'!$D$16,-1)+1)&lt;='Input-Instructions'!$B$6),-'Prepaid Other'!$I$16,0)),0)</f>
        <v>0</v>
      </c>
      <c r="K161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61">
        <v>1</v>
      </c>
      <c r="O161" t="str">
        <f>_xlfn.TEXTJOIN(" ",TRUE,TEXT('Input-Instructions'!$B$6,"MM/YYYY"),"Prepaid",'Prepaid Other'!$F$16,"Amortization")</f>
        <v>09/2026 Prepaid Amortization</v>
      </c>
      <c r="P161">
        <v>0</v>
      </c>
      <c r="Q161" s="292"/>
      <c r="R161" s="292"/>
      <c r="S161" s="292"/>
      <c r="T161" s="292"/>
      <c r="U161" s="292"/>
      <c r="V161" s="292"/>
      <c r="W161" s="292"/>
      <c r="X161" s="292"/>
      <c r="Y161" s="292"/>
    </row>
    <row r="162" spans="1:25" x14ac:dyDescent="0.35">
      <c r="A162" t="s">
        <v>599</v>
      </c>
      <c r="B162">
        <v>1</v>
      </c>
      <c r="E162" s="259">
        <f>'Input-Instructions'!$B$6</f>
        <v>46266</v>
      </c>
      <c r="F162" s="259">
        <f>'Input-Instructions'!$B$6</f>
        <v>46266</v>
      </c>
      <c r="G162" t="str">
        <f t="shared" si="2"/>
        <v>September Recurring Entries</v>
      </c>
      <c r="H162" t="s">
        <v>600</v>
      </c>
      <c r="I162" t="str">
        <f>'Input-Instructions'!$B$4</f>
        <v>'c6us087a</v>
      </c>
      <c r="J162" s="318">
        <f>IFERROR(IF('Prepaid Other'!$A$17="Yes",0,IF(AND(EOMONTH('Prepaid Other'!$E$17,0)&gt;='Input-Instructions'!$B$6,(EOMONTH('Prepaid Other'!$D$17,-1)+1)&lt;='Input-Instructions'!$B$6),'Prepaid Other'!$I$17,0)),0)</f>
        <v>0</v>
      </c>
      <c r="K162">
        <f>IF('Upload Setup'!$B$3="Chart of Accounts A",IFERROR(VLOOKUP('Prepaid Other'!$B$17,'Mapped COA'!A:G,1,0),'Prepaid Other'!$B$17),IFERROR(VLOOKUP('Prepaid Other'!$B$17,'Mapped COA'!A:G,3,0),'Prepaid Other'!$B$17))</f>
        <v>0</v>
      </c>
      <c r="N162">
        <v>1</v>
      </c>
      <c r="O162" t="str">
        <f>_xlfn.TEXTJOIN(" ",TRUE,TEXT('Input-Instructions'!$B$6,"MM/YYYY"),"Prepaid",'Prepaid Other'!$F$17,"Amortization")</f>
        <v>09/2026 Prepaid Amortization</v>
      </c>
      <c r="P162">
        <v>0</v>
      </c>
      <c r="Q162" s="292"/>
      <c r="R162" s="292"/>
      <c r="S162" s="292"/>
      <c r="T162" s="292"/>
      <c r="U162" s="292"/>
      <c r="V162" s="292"/>
      <c r="W162" s="292"/>
      <c r="X162" s="292"/>
      <c r="Y162" s="292"/>
    </row>
    <row r="163" spans="1:25" x14ac:dyDescent="0.35">
      <c r="A163" t="s">
        <v>599</v>
      </c>
      <c r="B163">
        <v>1</v>
      </c>
      <c r="E163" s="259">
        <f>'Input-Instructions'!$B$6</f>
        <v>46266</v>
      </c>
      <c r="F163" s="259">
        <f>'Input-Instructions'!$B$6</f>
        <v>46266</v>
      </c>
      <c r="G163" t="str">
        <f t="shared" si="2"/>
        <v>September Recurring Entries</v>
      </c>
      <c r="H163" t="s">
        <v>600</v>
      </c>
      <c r="I163" t="str">
        <f>'Input-Instructions'!$B$4</f>
        <v>'c6us087a</v>
      </c>
      <c r="J163" s="318">
        <f>IFERROR(IF('Prepaid Other'!$A$17="Yes",0,IF(AND(EOMONTH('Prepaid Other'!$E$17,0)&gt;='Input-Instructions'!$B$6,(EOMONTH('Prepaid Other'!$D$17,-1)+1)&lt;='Input-Instructions'!$B$6),-'Prepaid Other'!$I$17,0)),0)</f>
        <v>0</v>
      </c>
      <c r="K163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63">
        <v>1</v>
      </c>
      <c r="O163" t="str">
        <f>_xlfn.TEXTJOIN(" ",TRUE,TEXT('Input-Instructions'!$B$6,"MM/YYYY"),"Prepaid",'Prepaid Other'!$F$17,"Amortization")</f>
        <v>09/2026 Prepaid Amortization</v>
      </c>
      <c r="P163">
        <v>0</v>
      </c>
      <c r="Q163" s="292"/>
      <c r="R163" s="292"/>
      <c r="S163" s="292"/>
      <c r="T163" s="292"/>
      <c r="U163" s="292"/>
      <c r="V163" s="292"/>
      <c r="W163" s="292"/>
      <c r="X163" s="292"/>
      <c r="Y163" s="292"/>
    </row>
    <row r="164" spans="1:25" x14ac:dyDescent="0.35">
      <c r="A164" t="s">
        <v>599</v>
      </c>
      <c r="B164">
        <v>1</v>
      </c>
      <c r="E164" s="259">
        <f>'Input-Instructions'!$B$6</f>
        <v>46266</v>
      </c>
      <c r="F164" s="259">
        <f>'Input-Instructions'!$B$6</f>
        <v>46266</v>
      </c>
      <c r="G164" t="str">
        <f t="shared" si="2"/>
        <v>September Recurring Entries</v>
      </c>
      <c r="H164" t="s">
        <v>600</v>
      </c>
      <c r="I164" t="str">
        <f>'Input-Instructions'!$B$4</f>
        <v>'c6us087a</v>
      </c>
      <c r="J164" s="318">
        <f>IFERROR(IF('Prepaid Other'!$A$18="Yes",0,IF(AND(EOMONTH('Prepaid Other'!$E$18,0)&gt;='Input-Instructions'!$B$6,(EOMONTH('Prepaid Other'!$D$18,-1)+1)&lt;='Input-Instructions'!$B$6),'Prepaid Other'!$I$18,0)),0)</f>
        <v>0</v>
      </c>
      <c r="K164">
        <f>IF('Upload Setup'!$B$3="Chart of Accounts A",IFERROR(VLOOKUP('Prepaid Other'!$B$18,'Mapped COA'!A:G,1,0),'Prepaid Other'!$B$18),IFERROR(VLOOKUP('Prepaid Other'!$B$18,'Mapped COA'!A:G,3,0),'Prepaid Other'!$B$18))</f>
        <v>0</v>
      </c>
      <c r="N164">
        <v>1</v>
      </c>
      <c r="O164" t="str">
        <f>_xlfn.TEXTJOIN(" ",TRUE,TEXT('Input-Instructions'!$B$6,"MM/YYYY"),"Prepaid",'Prepaid Other'!$F$18,"Amortization")</f>
        <v>09/2026 Prepaid Amortization</v>
      </c>
      <c r="P164">
        <v>0</v>
      </c>
      <c r="Q164" s="292"/>
      <c r="R164" s="292"/>
      <c r="S164" s="292"/>
      <c r="T164" s="292"/>
      <c r="U164" s="292"/>
      <c r="V164" s="292"/>
      <c r="W164" s="292"/>
      <c r="X164" s="292"/>
      <c r="Y164" s="292"/>
    </row>
    <row r="165" spans="1:25" x14ac:dyDescent="0.35">
      <c r="A165" t="s">
        <v>599</v>
      </c>
      <c r="B165">
        <v>1</v>
      </c>
      <c r="E165" s="259">
        <f>'Input-Instructions'!$B$6</f>
        <v>46266</v>
      </c>
      <c r="F165" s="259">
        <f>'Input-Instructions'!$B$6</f>
        <v>46266</v>
      </c>
      <c r="G165" t="str">
        <f t="shared" si="2"/>
        <v>September Recurring Entries</v>
      </c>
      <c r="H165" t="s">
        <v>600</v>
      </c>
      <c r="I165" t="str">
        <f>'Input-Instructions'!$B$4</f>
        <v>'c6us087a</v>
      </c>
      <c r="J165" s="318">
        <f>IFERROR(IF('Prepaid Other'!$A$18="Yes",0,IF(AND(EOMONTH('Prepaid Other'!$E$18,0)&gt;='Input-Instructions'!$B$6,(EOMONTH('Prepaid Other'!$D$18,-1)+1)&lt;='Input-Instructions'!$B$6),-'Prepaid Other'!$I$18,0)),0)</f>
        <v>0</v>
      </c>
      <c r="K165" t="str">
        <f>IF('Upload Setup'!$B$3="Chart of Accounts A",IFERROR(VLOOKUP('Upload Setup'!$C$21,'Mapped COA'!A:G,1,0),'Upload Setup'!$C$21),IFERROR(VLOOKUP('Upload Setup'!$C$21,'Mapped COA'!A:G,3,0),'Upload Setup'!$C$21))</f>
        <v>1630-8910</v>
      </c>
      <c r="N165">
        <v>1</v>
      </c>
      <c r="O165" t="str">
        <f>_xlfn.TEXTJOIN(" ",TRUE,TEXT('Input-Instructions'!$B$6,"MM/YYYY"),"Prepaid",'Prepaid Other'!$F$18,"Amortization")</f>
        <v>09/2026 Prepaid Amortization</v>
      </c>
      <c r="P165">
        <v>0</v>
      </c>
      <c r="Q165" s="292"/>
      <c r="R165" s="292"/>
      <c r="S165" s="292"/>
      <c r="T165" s="292"/>
      <c r="U165" s="292"/>
      <c r="V165" s="292"/>
      <c r="W165" s="292"/>
      <c r="X165" s="292"/>
      <c r="Y165" s="292"/>
    </row>
  </sheetData>
  <pageMargins left="0.7" right="0.7" top="0.75" bottom="0.75" header="0.3" footer="0.3"/>
  <pageSetup orientation="landscape" r:id="rId1"/>
  <headerFooter>
    <oddFooter>&amp;LWednesday, November 09, 2022&amp;RPage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2896A-FC6A-48C5-9725-931E9A656E5A}">
  <sheetPr codeName="Sheet17"/>
  <dimension ref="A2:AA1663"/>
  <sheetViews>
    <sheetView topLeftCell="C1" workbookViewId="0">
      <selection activeCell="S29" sqref="S29"/>
    </sheetView>
  </sheetViews>
  <sheetFormatPr defaultRowHeight="14.5" x14ac:dyDescent="0.35"/>
  <cols>
    <col min="1" max="1" width="23.54296875" bestFit="1" customWidth="1"/>
    <col min="2" max="2" width="8.81640625" bestFit="1" customWidth="1"/>
    <col min="3" max="3" width="14.1796875" bestFit="1" customWidth="1"/>
    <col min="4" max="4" width="10.7265625" bestFit="1" customWidth="1"/>
    <col min="5" max="5" width="14.54296875" bestFit="1" customWidth="1"/>
    <col min="6" max="6" width="4.81640625" bestFit="1" customWidth="1"/>
    <col min="7" max="7" width="11.26953125" bestFit="1" customWidth="1"/>
    <col min="8" max="8" width="18.7265625" bestFit="1" customWidth="1"/>
    <col min="9" max="9" width="10.1796875" bestFit="1" customWidth="1"/>
    <col min="10" max="10" width="14.1796875" bestFit="1" customWidth="1"/>
    <col min="11" max="11" width="19.54296875" bestFit="1" customWidth="1"/>
    <col min="12" max="12" width="12.1796875" bestFit="1" customWidth="1"/>
    <col min="13" max="13" width="15.81640625" bestFit="1" customWidth="1"/>
    <col min="14" max="14" width="11.26953125" bestFit="1" customWidth="1"/>
    <col min="15" max="15" width="16" bestFit="1" customWidth="1"/>
    <col min="16" max="16" width="11.1796875" bestFit="1" customWidth="1"/>
    <col min="17" max="17" width="20.7265625" bestFit="1" customWidth="1"/>
    <col min="18" max="18" width="11.1796875" bestFit="1" customWidth="1"/>
    <col min="19" max="19" width="12" bestFit="1" customWidth="1"/>
    <col min="20" max="20" width="5.81640625" bestFit="1" customWidth="1"/>
    <col min="21" max="21" width="6.453125" bestFit="1" customWidth="1"/>
    <col min="22" max="22" width="8.453125" bestFit="1" customWidth="1"/>
    <col min="23" max="23" width="13.453125" bestFit="1" customWidth="1"/>
    <col min="24" max="24" width="15.7265625" bestFit="1" customWidth="1"/>
    <col min="25" max="25" width="4" bestFit="1" customWidth="1"/>
    <col min="26" max="26" width="9.7265625" bestFit="1" customWidth="1"/>
    <col min="27" max="27" width="8.453125" bestFit="1" customWidth="1"/>
  </cols>
  <sheetData>
    <row r="2" spans="1:27" x14ac:dyDescent="0.35">
      <c r="A2" s="401" t="s">
        <v>601</v>
      </c>
      <c r="B2" s="401" t="s">
        <v>602</v>
      </c>
      <c r="C2" s="401" t="s">
        <v>603</v>
      </c>
      <c r="D2" s="401" t="s">
        <v>604</v>
      </c>
      <c r="E2" s="401" t="s">
        <v>4</v>
      </c>
      <c r="F2" s="401" t="s">
        <v>605</v>
      </c>
      <c r="G2" s="401" t="s">
        <v>606</v>
      </c>
      <c r="H2" s="401" t="s">
        <v>607</v>
      </c>
      <c r="I2" s="401" t="s">
        <v>608</v>
      </c>
      <c r="J2" s="401" t="s">
        <v>609</v>
      </c>
      <c r="K2" s="401" t="s">
        <v>610</v>
      </c>
      <c r="L2" s="401" t="s">
        <v>611</v>
      </c>
      <c r="M2" s="401" t="s">
        <v>612</v>
      </c>
      <c r="N2" s="401" t="s">
        <v>613</v>
      </c>
      <c r="O2" s="401" t="s">
        <v>614</v>
      </c>
      <c r="P2" s="401" t="s">
        <v>28</v>
      </c>
      <c r="Q2" s="401" t="s">
        <v>615</v>
      </c>
      <c r="R2" s="401" t="s">
        <v>616</v>
      </c>
      <c r="S2" s="401" t="s">
        <v>617</v>
      </c>
      <c r="T2" s="401" t="s">
        <v>618</v>
      </c>
      <c r="U2" s="401" t="s">
        <v>619</v>
      </c>
      <c r="V2" s="401" t="s">
        <v>620</v>
      </c>
      <c r="W2" s="401"/>
      <c r="X2" s="401"/>
      <c r="Y2" s="401"/>
      <c r="Z2" s="401"/>
      <c r="AA2" s="401"/>
    </row>
    <row r="3" spans="1:27" x14ac:dyDescent="0.35">
      <c r="A3" t="str">
        <f>Yardi!G2</f>
        <v>September Recurring Entries</v>
      </c>
      <c r="B3" t="s">
        <v>621</v>
      </c>
      <c r="C3" t="s">
        <v>32</v>
      </c>
      <c r="D3" t="s">
        <v>600</v>
      </c>
      <c r="E3" t="str">
        <f>'Input-Instructions'!$B$3</f>
        <v>Residences at Shiloh Crossing</v>
      </c>
      <c r="G3" s="409" t="str">
        <f>TEXT(Yardi!F2,"M/YYYY")</f>
        <v>9/2026</v>
      </c>
      <c r="H3" t="str">
        <f>IF(A2="","","Both")</f>
        <v>Both</v>
      </c>
      <c r="J3" t="str">
        <f>IF(H3="Both","No","Yes")</f>
        <v>No</v>
      </c>
      <c r="K3" t="str">
        <f>IF(J3="Yes",TEXT(EOMONTH(G3,0)+1,"M/YYYY"),"")</f>
        <v/>
      </c>
      <c r="M3" s="259">
        <f>Yardi!E2</f>
        <v>46266</v>
      </c>
      <c r="O3" t="str">
        <f>Yardi!K2</f>
        <v>5510-0100</v>
      </c>
      <c r="P3" t="str">
        <f>Yardi!O2</f>
        <v>09/2026 Prepaid Amortization</v>
      </c>
      <c r="R3" t="s">
        <v>32</v>
      </c>
      <c r="S3" t="s">
        <v>32</v>
      </c>
      <c r="T3" t="s">
        <v>32</v>
      </c>
      <c r="U3" t="s">
        <v>32</v>
      </c>
      <c r="V3" s="410">
        <f>Yardi!J2</f>
        <v>0</v>
      </c>
    </row>
    <row r="4" spans="1:27" x14ac:dyDescent="0.35">
      <c r="A4" t="s">
        <v>32</v>
      </c>
      <c r="B4" t="s">
        <v>32</v>
      </c>
      <c r="C4" t="s">
        <v>32</v>
      </c>
      <c r="D4" t="s">
        <v>32</v>
      </c>
      <c r="E4" t="s">
        <v>32</v>
      </c>
      <c r="F4" t="s">
        <v>32</v>
      </c>
      <c r="G4" t="s">
        <v>32</v>
      </c>
      <c r="H4" t="s">
        <v>32</v>
      </c>
      <c r="I4" t="s">
        <v>32</v>
      </c>
      <c r="J4" t="s">
        <v>32</v>
      </c>
      <c r="K4" t="s">
        <v>32</v>
      </c>
      <c r="L4" t="s">
        <v>32</v>
      </c>
      <c r="M4" t="s">
        <v>32</v>
      </c>
      <c r="N4" t="s">
        <v>32</v>
      </c>
      <c r="O4" t="str">
        <f>Yardi!K3</f>
        <v>1630-2010</v>
      </c>
      <c r="P4" t="str">
        <f>Yardi!O3</f>
        <v>09/2026 Prepaid Amortization</v>
      </c>
      <c r="R4" t="s">
        <v>32</v>
      </c>
      <c r="S4" t="s">
        <v>32</v>
      </c>
      <c r="T4" t="s">
        <v>32</v>
      </c>
      <c r="U4" t="s">
        <v>32</v>
      </c>
      <c r="V4" s="410">
        <f>Yardi!J3</f>
        <v>0</v>
      </c>
    </row>
    <row r="5" spans="1:27" x14ac:dyDescent="0.35">
      <c r="A5" t="s">
        <v>32</v>
      </c>
      <c r="B5" t="s">
        <v>32</v>
      </c>
      <c r="C5" t="s">
        <v>32</v>
      </c>
      <c r="D5" t="s">
        <v>32</v>
      </c>
      <c r="E5" t="s">
        <v>32</v>
      </c>
      <c r="F5" t="s">
        <v>32</v>
      </c>
      <c r="G5" t="s">
        <v>32</v>
      </c>
      <c r="H5" t="s">
        <v>32</v>
      </c>
      <c r="I5" t="s">
        <v>32</v>
      </c>
      <c r="J5" t="s">
        <v>32</v>
      </c>
      <c r="K5" t="s">
        <v>32</v>
      </c>
      <c r="L5" t="s">
        <v>32</v>
      </c>
      <c r="M5" t="s">
        <v>32</v>
      </c>
      <c r="N5" t="s">
        <v>32</v>
      </c>
      <c r="O5" t="str">
        <f>Yardi!K4</f>
        <v>5510-1500</v>
      </c>
      <c r="P5" t="str">
        <f>Yardi!O4</f>
        <v>09/2026 Prepaid Amortization</v>
      </c>
      <c r="R5" t="s">
        <v>32</v>
      </c>
      <c r="S5" t="s">
        <v>32</v>
      </c>
      <c r="T5" t="s">
        <v>32</v>
      </c>
      <c r="U5" t="s">
        <v>32</v>
      </c>
      <c r="V5" s="410">
        <f>Yardi!J4</f>
        <v>0</v>
      </c>
    </row>
    <row r="6" spans="1:27" x14ac:dyDescent="0.35">
      <c r="A6" t="s">
        <v>32</v>
      </c>
      <c r="B6" t="s">
        <v>32</v>
      </c>
      <c r="C6" t="s">
        <v>32</v>
      </c>
      <c r="D6" t="s">
        <v>32</v>
      </c>
      <c r="E6" t="s">
        <v>32</v>
      </c>
      <c r="F6" t="s">
        <v>32</v>
      </c>
      <c r="G6" t="s">
        <v>32</v>
      </c>
      <c r="H6" t="s">
        <v>32</v>
      </c>
      <c r="I6" t="s">
        <v>32</v>
      </c>
      <c r="J6" t="s">
        <v>32</v>
      </c>
      <c r="K6" t="s">
        <v>32</v>
      </c>
      <c r="L6" t="s">
        <v>32</v>
      </c>
      <c r="M6" t="s">
        <v>32</v>
      </c>
      <c r="N6" t="s">
        <v>32</v>
      </c>
      <c r="O6" t="str">
        <f>Yardi!K5</f>
        <v>1630-2010</v>
      </c>
      <c r="P6" t="str">
        <f>Yardi!O5</f>
        <v>09/2026 Prepaid Amortization</v>
      </c>
      <c r="R6" t="s">
        <v>32</v>
      </c>
      <c r="S6" t="s">
        <v>32</v>
      </c>
      <c r="T6" t="s">
        <v>32</v>
      </c>
      <c r="U6" t="s">
        <v>32</v>
      </c>
      <c r="V6" s="410">
        <f>Yardi!J5</f>
        <v>0</v>
      </c>
    </row>
    <row r="7" spans="1:27" x14ac:dyDescent="0.35">
      <c r="A7" t="s">
        <v>32</v>
      </c>
      <c r="B7" t="s">
        <v>32</v>
      </c>
      <c r="C7" t="s">
        <v>32</v>
      </c>
      <c r="D7" t="s">
        <v>32</v>
      </c>
      <c r="E7" t="s">
        <v>32</v>
      </c>
      <c r="F7" t="s">
        <v>32</v>
      </c>
      <c r="G7" t="s">
        <v>32</v>
      </c>
      <c r="H7" t="s">
        <v>32</v>
      </c>
      <c r="I7" t="s">
        <v>32</v>
      </c>
      <c r="J7" t="s">
        <v>32</v>
      </c>
      <c r="K7" t="s">
        <v>32</v>
      </c>
      <c r="L7" t="s">
        <v>32</v>
      </c>
      <c r="M7" t="s">
        <v>32</v>
      </c>
      <c r="N7" t="s">
        <v>32</v>
      </c>
      <c r="O7" t="e">
        <f>Yardi!K6</f>
        <v>#REF!</v>
      </c>
      <c r="P7" t="e">
        <f>Yardi!O6</f>
        <v>#REF!</v>
      </c>
      <c r="R7" t="s">
        <v>32</v>
      </c>
      <c r="S7" t="s">
        <v>32</v>
      </c>
      <c r="T7" t="s">
        <v>32</v>
      </c>
      <c r="U7" t="s">
        <v>32</v>
      </c>
      <c r="V7" s="410" t="e">
        <f>Yardi!J6</f>
        <v>#REF!</v>
      </c>
    </row>
    <row r="8" spans="1:27" x14ac:dyDescent="0.35">
      <c r="A8" t="s">
        <v>32</v>
      </c>
      <c r="B8" t="s">
        <v>32</v>
      </c>
      <c r="C8" t="s">
        <v>32</v>
      </c>
      <c r="D8" t="s">
        <v>32</v>
      </c>
      <c r="E8" t="s">
        <v>32</v>
      </c>
      <c r="F8" t="s">
        <v>32</v>
      </c>
      <c r="G8" t="s">
        <v>32</v>
      </c>
      <c r="H8" t="s">
        <v>32</v>
      </c>
      <c r="I8" t="s">
        <v>32</v>
      </c>
      <c r="J8" t="s">
        <v>32</v>
      </c>
      <c r="K8" t="s">
        <v>32</v>
      </c>
      <c r="L8" t="s">
        <v>32</v>
      </c>
      <c r="M8" t="s">
        <v>32</v>
      </c>
      <c r="N8" t="s">
        <v>32</v>
      </c>
      <c r="O8" t="str">
        <f>Yardi!K7</f>
        <v>1630-2010</v>
      </c>
      <c r="P8" t="e">
        <f>Yardi!O7</f>
        <v>#REF!</v>
      </c>
      <c r="R8" t="s">
        <v>32</v>
      </c>
      <c r="S8" t="s">
        <v>32</v>
      </c>
      <c r="T8" t="s">
        <v>32</v>
      </c>
      <c r="U8" t="s">
        <v>32</v>
      </c>
      <c r="V8" s="410" t="e">
        <f>Yardi!J7</f>
        <v>#REF!</v>
      </c>
    </row>
    <row r="9" spans="1:27" x14ac:dyDescent="0.35">
      <c r="A9" t="s">
        <v>32</v>
      </c>
      <c r="B9" t="s">
        <v>32</v>
      </c>
      <c r="C9" t="s">
        <v>32</v>
      </c>
      <c r="D9" t="s">
        <v>32</v>
      </c>
      <c r="E9" t="s">
        <v>32</v>
      </c>
      <c r="F9" t="s">
        <v>32</v>
      </c>
      <c r="G9" t="s">
        <v>32</v>
      </c>
      <c r="H9" t="s">
        <v>32</v>
      </c>
      <c r="I9" t="s">
        <v>32</v>
      </c>
      <c r="J9" t="s">
        <v>32</v>
      </c>
      <c r="K9" t="s">
        <v>32</v>
      </c>
      <c r="L9" t="s">
        <v>32</v>
      </c>
      <c r="M9" t="s">
        <v>32</v>
      </c>
      <c r="N9" t="s">
        <v>32</v>
      </c>
      <c r="O9" t="str">
        <f>Yardi!K8</f>
        <v>5510-2100</v>
      </c>
      <c r="P9" t="str">
        <f>Yardi!O8</f>
        <v>09/2026 Prepaid Amortization</v>
      </c>
      <c r="R9" t="s">
        <v>32</v>
      </c>
      <c r="S9" t="s">
        <v>32</v>
      </c>
      <c r="T9" t="s">
        <v>32</v>
      </c>
      <c r="U9" t="s">
        <v>32</v>
      </c>
      <c r="V9" s="410">
        <f>Yardi!J8</f>
        <v>0</v>
      </c>
    </row>
    <row r="10" spans="1:27" x14ac:dyDescent="0.35">
      <c r="A10" t="s">
        <v>32</v>
      </c>
      <c r="B10" t="s">
        <v>32</v>
      </c>
      <c r="C10" t="s">
        <v>32</v>
      </c>
      <c r="D10" t="s">
        <v>32</v>
      </c>
      <c r="E10" t="s">
        <v>32</v>
      </c>
      <c r="F10" t="s">
        <v>32</v>
      </c>
      <c r="G10" t="s">
        <v>32</v>
      </c>
      <c r="H10" t="s">
        <v>32</v>
      </c>
      <c r="I10" t="s">
        <v>32</v>
      </c>
      <c r="J10" t="s">
        <v>32</v>
      </c>
      <c r="K10" t="s">
        <v>32</v>
      </c>
      <c r="L10" t="s">
        <v>32</v>
      </c>
      <c r="M10" t="s">
        <v>32</v>
      </c>
      <c r="N10" t="s">
        <v>32</v>
      </c>
      <c r="O10" t="str">
        <f>Yardi!K9</f>
        <v>1630-2010</v>
      </c>
      <c r="P10" t="str">
        <f>Yardi!O9</f>
        <v>09/2026 Prepaid Amortization</v>
      </c>
      <c r="R10" t="s">
        <v>32</v>
      </c>
      <c r="S10" t="s">
        <v>32</v>
      </c>
      <c r="T10" t="s">
        <v>32</v>
      </c>
      <c r="U10" t="s">
        <v>32</v>
      </c>
      <c r="V10" s="410">
        <f>Yardi!J9</f>
        <v>0</v>
      </c>
    </row>
    <row r="11" spans="1:27" x14ac:dyDescent="0.35">
      <c r="A11" t="s">
        <v>32</v>
      </c>
      <c r="B11" t="s">
        <v>32</v>
      </c>
      <c r="C11" t="s">
        <v>32</v>
      </c>
      <c r="D11" t="s">
        <v>32</v>
      </c>
      <c r="E11" t="s">
        <v>32</v>
      </c>
      <c r="F11" t="s">
        <v>32</v>
      </c>
      <c r="G11" t="s">
        <v>32</v>
      </c>
      <c r="H11" t="s">
        <v>32</v>
      </c>
      <c r="I11" t="s">
        <v>32</v>
      </c>
      <c r="J11" t="s">
        <v>32</v>
      </c>
      <c r="K11" t="s">
        <v>32</v>
      </c>
      <c r="L11" t="s">
        <v>32</v>
      </c>
      <c r="M11" t="s">
        <v>32</v>
      </c>
      <c r="N11" t="s">
        <v>32</v>
      </c>
      <c r="O11" t="str">
        <f>Yardi!K10</f>
        <v>5510-3500</v>
      </c>
      <c r="P11" t="str">
        <f>Yardi!O10</f>
        <v>09/2026 Prepaid Amortization</v>
      </c>
      <c r="R11" t="s">
        <v>32</v>
      </c>
      <c r="S11" t="s">
        <v>32</v>
      </c>
      <c r="T11" t="s">
        <v>32</v>
      </c>
      <c r="U11" t="s">
        <v>32</v>
      </c>
      <c r="V11" s="410">
        <f>Yardi!J10</f>
        <v>74.73</v>
      </c>
    </row>
    <row r="12" spans="1:27" x14ac:dyDescent="0.35">
      <c r="A12" t="s">
        <v>32</v>
      </c>
      <c r="B12" t="s">
        <v>32</v>
      </c>
      <c r="C12" t="s">
        <v>32</v>
      </c>
      <c r="D12" t="s">
        <v>32</v>
      </c>
      <c r="E12" t="s">
        <v>32</v>
      </c>
      <c r="F12" t="s">
        <v>32</v>
      </c>
      <c r="G12" t="s">
        <v>32</v>
      </c>
      <c r="H12" t="s">
        <v>32</v>
      </c>
      <c r="I12" t="s">
        <v>32</v>
      </c>
      <c r="J12" t="s">
        <v>32</v>
      </c>
      <c r="K12" t="s">
        <v>32</v>
      </c>
      <c r="L12" t="s">
        <v>32</v>
      </c>
      <c r="M12" t="s">
        <v>32</v>
      </c>
      <c r="N12" t="s">
        <v>32</v>
      </c>
      <c r="O12" t="str">
        <f>Yardi!K11</f>
        <v>1630-2010</v>
      </c>
      <c r="P12" t="str">
        <f>Yardi!O11</f>
        <v>09/2026 Prepaid Amortization</v>
      </c>
      <c r="R12" t="s">
        <v>32</v>
      </c>
      <c r="S12" t="s">
        <v>32</v>
      </c>
      <c r="T12" t="s">
        <v>32</v>
      </c>
      <c r="U12" t="s">
        <v>32</v>
      </c>
      <c r="V12" s="410">
        <f>Yardi!J11</f>
        <v>-74.73</v>
      </c>
    </row>
    <row r="13" spans="1:27" x14ac:dyDescent="0.35">
      <c r="A13" t="s">
        <v>32</v>
      </c>
      <c r="B13" t="s">
        <v>32</v>
      </c>
      <c r="C13" t="s">
        <v>32</v>
      </c>
      <c r="D13" t="s">
        <v>32</v>
      </c>
      <c r="E13" t="s">
        <v>32</v>
      </c>
      <c r="F13" t="s">
        <v>32</v>
      </c>
      <c r="G13" t="s">
        <v>32</v>
      </c>
      <c r="H13" t="s">
        <v>32</v>
      </c>
      <c r="I13" t="s">
        <v>32</v>
      </c>
      <c r="J13" t="s">
        <v>32</v>
      </c>
      <c r="K13" t="s">
        <v>32</v>
      </c>
      <c r="L13" t="s">
        <v>32</v>
      </c>
      <c r="M13" t="s">
        <v>32</v>
      </c>
      <c r="N13" t="s">
        <v>32</v>
      </c>
      <c r="O13">
        <f>Yardi!K12</f>
        <v>0</v>
      </c>
      <c r="P13" t="str">
        <f>Yardi!O12</f>
        <v>09/2026 Prepaid Amortization</v>
      </c>
      <c r="R13" t="s">
        <v>32</v>
      </c>
      <c r="S13" t="s">
        <v>32</v>
      </c>
      <c r="T13" t="s">
        <v>32</v>
      </c>
      <c r="U13" t="s">
        <v>32</v>
      </c>
      <c r="V13" s="410">
        <f>Yardi!J12</f>
        <v>0</v>
      </c>
    </row>
    <row r="14" spans="1:27" x14ac:dyDescent="0.35">
      <c r="A14" t="s">
        <v>32</v>
      </c>
      <c r="B14" t="s">
        <v>32</v>
      </c>
      <c r="C14" t="s">
        <v>32</v>
      </c>
      <c r="D14" t="s">
        <v>32</v>
      </c>
      <c r="E14" t="s">
        <v>32</v>
      </c>
      <c r="F14" t="s">
        <v>32</v>
      </c>
      <c r="G14" t="s">
        <v>32</v>
      </c>
      <c r="H14" t="s">
        <v>32</v>
      </c>
      <c r="I14" t="s">
        <v>32</v>
      </c>
      <c r="J14" t="s">
        <v>32</v>
      </c>
      <c r="K14" t="s">
        <v>32</v>
      </c>
      <c r="L14" t="s">
        <v>32</v>
      </c>
      <c r="M14" t="s">
        <v>32</v>
      </c>
      <c r="N14" t="s">
        <v>32</v>
      </c>
      <c r="O14" t="str">
        <f>Yardi!K13</f>
        <v>1630-2010</v>
      </c>
      <c r="P14" t="str">
        <f>Yardi!O13</f>
        <v>09/2026 Prepaid Amortization</v>
      </c>
      <c r="R14" t="s">
        <v>32</v>
      </c>
      <c r="S14" t="s">
        <v>32</v>
      </c>
      <c r="T14" t="s">
        <v>32</v>
      </c>
      <c r="U14" t="s">
        <v>32</v>
      </c>
      <c r="V14" s="410">
        <f>Yardi!J13</f>
        <v>0</v>
      </c>
    </row>
    <row r="15" spans="1:27" x14ac:dyDescent="0.35">
      <c r="A15" t="s">
        <v>32</v>
      </c>
      <c r="B15" t="s">
        <v>32</v>
      </c>
      <c r="C15" t="s">
        <v>32</v>
      </c>
      <c r="D15" t="s">
        <v>32</v>
      </c>
      <c r="E15" t="s">
        <v>32</v>
      </c>
      <c r="F15" t="s">
        <v>32</v>
      </c>
      <c r="G15" t="s">
        <v>32</v>
      </c>
      <c r="H15" t="s">
        <v>32</v>
      </c>
      <c r="I15" t="s">
        <v>32</v>
      </c>
      <c r="J15" t="s">
        <v>32</v>
      </c>
      <c r="K15" t="s">
        <v>32</v>
      </c>
      <c r="L15" t="s">
        <v>32</v>
      </c>
      <c r="M15" t="s">
        <v>32</v>
      </c>
      <c r="N15" t="s">
        <v>32</v>
      </c>
      <c r="O15">
        <f>Yardi!K14</f>
        <v>0</v>
      </c>
      <c r="P15" t="str">
        <f>Yardi!O14</f>
        <v>09/2026 Prepaid Amortization</v>
      </c>
      <c r="R15" t="s">
        <v>32</v>
      </c>
      <c r="S15" t="s">
        <v>32</v>
      </c>
      <c r="T15" t="s">
        <v>32</v>
      </c>
      <c r="U15" t="s">
        <v>32</v>
      </c>
      <c r="V15" s="410">
        <f>Yardi!J14</f>
        <v>0</v>
      </c>
    </row>
    <row r="16" spans="1:27" x14ac:dyDescent="0.35">
      <c r="A16" t="s">
        <v>32</v>
      </c>
      <c r="B16" t="s">
        <v>32</v>
      </c>
      <c r="C16" t="s">
        <v>32</v>
      </c>
      <c r="D16" t="s">
        <v>32</v>
      </c>
      <c r="E16" t="s">
        <v>32</v>
      </c>
      <c r="F16" t="s">
        <v>32</v>
      </c>
      <c r="G16" t="s">
        <v>32</v>
      </c>
      <c r="H16" t="s">
        <v>32</v>
      </c>
      <c r="I16" t="s">
        <v>32</v>
      </c>
      <c r="J16" t="s">
        <v>32</v>
      </c>
      <c r="K16" t="s">
        <v>32</v>
      </c>
      <c r="L16" t="s">
        <v>32</v>
      </c>
      <c r="M16" t="s">
        <v>32</v>
      </c>
      <c r="N16" t="s">
        <v>32</v>
      </c>
      <c r="O16" t="str">
        <f>Yardi!K15</f>
        <v>1630-2010</v>
      </c>
      <c r="P16" t="str">
        <f>Yardi!O15</f>
        <v>09/2026 Prepaid Amortization</v>
      </c>
      <c r="R16" t="s">
        <v>32</v>
      </c>
      <c r="S16" t="s">
        <v>32</v>
      </c>
      <c r="T16" t="s">
        <v>32</v>
      </c>
      <c r="U16" t="s">
        <v>32</v>
      </c>
      <c r="V16" s="410">
        <f>Yardi!J15</f>
        <v>0</v>
      </c>
    </row>
    <row r="17" spans="1:22" x14ac:dyDescent="0.35">
      <c r="A17" t="s">
        <v>32</v>
      </c>
      <c r="B17" t="s">
        <v>32</v>
      </c>
      <c r="C17" t="s">
        <v>32</v>
      </c>
      <c r="D17" t="s">
        <v>32</v>
      </c>
      <c r="E17" t="s">
        <v>32</v>
      </c>
      <c r="F17" t="s">
        <v>32</v>
      </c>
      <c r="G17" t="s">
        <v>32</v>
      </c>
      <c r="H17" t="s">
        <v>32</v>
      </c>
      <c r="I17" t="s">
        <v>32</v>
      </c>
      <c r="J17" t="s">
        <v>32</v>
      </c>
      <c r="K17" t="s">
        <v>32</v>
      </c>
      <c r="L17" t="s">
        <v>32</v>
      </c>
      <c r="M17" t="s">
        <v>32</v>
      </c>
      <c r="N17" t="s">
        <v>32</v>
      </c>
      <c r="O17">
        <f>Yardi!K16</f>
        <v>0</v>
      </c>
      <c r="P17" t="str">
        <f>Yardi!O16</f>
        <v>09/2026 Prepaid Amortization</v>
      </c>
      <c r="R17" t="s">
        <v>32</v>
      </c>
      <c r="S17" t="s">
        <v>32</v>
      </c>
      <c r="T17" t="s">
        <v>32</v>
      </c>
      <c r="U17" t="s">
        <v>32</v>
      </c>
      <c r="V17" s="410">
        <f>Yardi!J16</f>
        <v>0</v>
      </c>
    </row>
    <row r="18" spans="1:22" x14ac:dyDescent="0.35">
      <c r="A18" t="s">
        <v>32</v>
      </c>
      <c r="B18" t="s">
        <v>32</v>
      </c>
      <c r="C18" t="s">
        <v>32</v>
      </c>
      <c r="D18" t="s">
        <v>32</v>
      </c>
      <c r="E18" t="s">
        <v>32</v>
      </c>
      <c r="F18" t="s">
        <v>32</v>
      </c>
      <c r="G18" t="s">
        <v>32</v>
      </c>
      <c r="H18" t="s">
        <v>32</v>
      </c>
      <c r="I18" t="s">
        <v>32</v>
      </c>
      <c r="J18" t="s">
        <v>32</v>
      </c>
      <c r="K18" t="s">
        <v>32</v>
      </c>
      <c r="L18" t="s">
        <v>32</v>
      </c>
      <c r="M18" t="s">
        <v>32</v>
      </c>
      <c r="N18" t="s">
        <v>32</v>
      </c>
      <c r="O18" t="str">
        <f>Yardi!K17</f>
        <v>1630-2010</v>
      </c>
      <c r="P18" t="str">
        <f>Yardi!O17</f>
        <v>09/2026 Prepaid Amortization</v>
      </c>
      <c r="R18" t="s">
        <v>32</v>
      </c>
      <c r="S18" t="s">
        <v>32</v>
      </c>
      <c r="T18" t="s">
        <v>32</v>
      </c>
      <c r="U18" t="s">
        <v>32</v>
      </c>
      <c r="V18" s="410">
        <f>Yardi!J17</f>
        <v>0</v>
      </c>
    </row>
    <row r="19" spans="1:22" x14ac:dyDescent="0.35">
      <c r="A19" t="s">
        <v>32</v>
      </c>
      <c r="B19" t="s">
        <v>32</v>
      </c>
      <c r="C19" t="s">
        <v>32</v>
      </c>
      <c r="D19" t="s">
        <v>32</v>
      </c>
      <c r="E19" t="s">
        <v>32</v>
      </c>
      <c r="F19" t="s">
        <v>32</v>
      </c>
      <c r="G19" t="s">
        <v>32</v>
      </c>
      <c r="H19" t="s">
        <v>32</v>
      </c>
      <c r="I19" t="s">
        <v>32</v>
      </c>
      <c r="J19" t="s">
        <v>32</v>
      </c>
      <c r="K19" t="s">
        <v>32</v>
      </c>
      <c r="L19" t="s">
        <v>32</v>
      </c>
      <c r="M19" t="s">
        <v>32</v>
      </c>
      <c r="N19" t="s">
        <v>32</v>
      </c>
      <c r="O19">
        <f>Yardi!K18</f>
        <v>0</v>
      </c>
      <c r="P19" t="str">
        <f>Yardi!O18</f>
        <v>09/2026 Prepaid Amortization</v>
      </c>
      <c r="R19" t="s">
        <v>32</v>
      </c>
      <c r="S19" t="s">
        <v>32</v>
      </c>
      <c r="T19" t="s">
        <v>32</v>
      </c>
      <c r="U19" t="s">
        <v>32</v>
      </c>
      <c r="V19" s="410">
        <f>Yardi!J18</f>
        <v>0</v>
      </c>
    </row>
    <row r="20" spans="1:22" x14ac:dyDescent="0.35">
      <c r="A20" t="s">
        <v>32</v>
      </c>
      <c r="B20" t="s">
        <v>32</v>
      </c>
      <c r="C20" t="s">
        <v>32</v>
      </c>
      <c r="D20" t="s">
        <v>32</v>
      </c>
      <c r="E20" t="s">
        <v>32</v>
      </c>
      <c r="F20" t="s">
        <v>32</v>
      </c>
      <c r="G20" t="s">
        <v>32</v>
      </c>
      <c r="H20" t="s">
        <v>32</v>
      </c>
      <c r="I20" t="s">
        <v>32</v>
      </c>
      <c r="J20" t="s">
        <v>32</v>
      </c>
      <c r="K20" t="s">
        <v>32</v>
      </c>
      <c r="L20" t="s">
        <v>32</v>
      </c>
      <c r="M20" t="s">
        <v>32</v>
      </c>
      <c r="N20" t="s">
        <v>32</v>
      </c>
      <c r="O20" t="str">
        <f>Yardi!K19</f>
        <v>1630-2010</v>
      </c>
      <c r="P20" t="str">
        <f>Yardi!O19</f>
        <v>09/2026 Prepaid Amortization</v>
      </c>
      <c r="R20" t="s">
        <v>32</v>
      </c>
      <c r="S20" t="s">
        <v>32</v>
      </c>
      <c r="T20" t="s">
        <v>32</v>
      </c>
      <c r="U20" t="s">
        <v>32</v>
      </c>
      <c r="V20" s="410">
        <f>Yardi!J19</f>
        <v>0</v>
      </c>
    </row>
    <row r="21" spans="1:22" x14ac:dyDescent="0.35">
      <c r="A21" t="s">
        <v>32</v>
      </c>
      <c r="B21" t="s">
        <v>32</v>
      </c>
      <c r="C21" t="s">
        <v>32</v>
      </c>
      <c r="D21" t="s">
        <v>32</v>
      </c>
      <c r="E21" t="s">
        <v>32</v>
      </c>
      <c r="F21" t="s">
        <v>32</v>
      </c>
      <c r="G21" t="s">
        <v>32</v>
      </c>
      <c r="H21" t="s">
        <v>32</v>
      </c>
      <c r="I21" t="s">
        <v>32</v>
      </c>
      <c r="J21" t="s">
        <v>32</v>
      </c>
      <c r="K21" t="s">
        <v>32</v>
      </c>
      <c r="L21" t="s">
        <v>32</v>
      </c>
      <c r="M21" t="s">
        <v>32</v>
      </c>
      <c r="N21" t="s">
        <v>32</v>
      </c>
      <c r="O21">
        <f>Yardi!K20</f>
        <v>0</v>
      </c>
      <c r="P21" t="str">
        <f>Yardi!O20</f>
        <v>09/2026 Prepaid Amortization</v>
      </c>
      <c r="R21" t="s">
        <v>32</v>
      </c>
      <c r="S21" t="s">
        <v>32</v>
      </c>
      <c r="T21" t="s">
        <v>32</v>
      </c>
      <c r="U21" t="s">
        <v>32</v>
      </c>
      <c r="V21" s="410">
        <f>Yardi!J20</f>
        <v>0</v>
      </c>
    </row>
    <row r="22" spans="1:22" x14ac:dyDescent="0.35">
      <c r="A22" t="s">
        <v>32</v>
      </c>
      <c r="B22" t="s">
        <v>32</v>
      </c>
      <c r="C22" t="s">
        <v>32</v>
      </c>
      <c r="D22" t="s">
        <v>32</v>
      </c>
      <c r="E22" t="s">
        <v>32</v>
      </c>
      <c r="F22" t="s">
        <v>32</v>
      </c>
      <c r="G22" t="s">
        <v>32</v>
      </c>
      <c r="H22" t="s">
        <v>32</v>
      </c>
      <c r="I22" t="s">
        <v>32</v>
      </c>
      <c r="J22" t="s">
        <v>32</v>
      </c>
      <c r="K22" t="s">
        <v>32</v>
      </c>
      <c r="L22" t="s">
        <v>32</v>
      </c>
      <c r="M22" t="s">
        <v>32</v>
      </c>
      <c r="N22" t="s">
        <v>32</v>
      </c>
      <c r="O22" t="str">
        <f>Yardi!K21</f>
        <v>1630-2010</v>
      </c>
      <c r="P22" t="str">
        <f>Yardi!O21</f>
        <v>09/2026 Prepaid Amortization</v>
      </c>
      <c r="R22" t="s">
        <v>32</v>
      </c>
      <c r="S22" t="s">
        <v>32</v>
      </c>
      <c r="T22" t="s">
        <v>32</v>
      </c>
      <c r="U22" t="s">
        <v>32</v>
      </c>
      <c r="V22" s="410">
        <f>Yardi!J21</f>
        <v>0</v>
      </c>
    </row>
    <row r="23" spans="1:22" x14ac:dyDescent="0.35">
      <c r="A23" t="s">
        <v>32</v>
      </c>
      <c r="B23" t="s">
        <v>32</v>
      </c>
      <c r="C23" t="s">
        <v>32</v>
      </c>
      <c r="D23" t="s">
        <v>32</v>
      </c>
      <c r="E23" t="s">
        <v>32</v>
      </c>
      <c r="F23" t="s">
        <v>32</v>
      </c>
      <c r="G23" t="s">
        <v>32</v>
      </c>
      <c r="H23" t="s">
        <v>32</v>
      </c>
      <c r="I23" t="s">
        <v>32</v>
      </c>
      <c r="J23" t="s">
        <v>32</v>
      </c>
      <c r="K23" t="s">
        <v>32</v>
      </c>
      <c r="L23" t="s">
        <v>32</v>
      </c>
      <c r="M23" t="s">
        <v>32</v>
      </c>
      <c r="N23" t="s">
        <v>32</v>
      </c>
      <c r="O23" t="str">
        <f>Yardi!K22</f>
        <v>5510-0100</v>
      </c>
      <c r="P23" t="str">
        <f>Yardi!O22</f>
        <v>09/2026 Accrual</v>
      </c>
      <c r="R23" t="s">
        <v>32</v>
      </c>
      <c r="S23" t="s">
        <v>32</v>
      </c>
      <c r="T23" t="s">
        <v>32</v>
      </c>
      <c r="U23" t="s">
        <v>32</v>
      </c>
      <c r="V23" s="410">
        <f>Yardi!J22</f>
        <v>12630.33</v>
      </c>
    </row>
    <row r="24" spans="1:22" x14ac:dyDescent="0.35">
      <c r="A24" t="s">
        <v>32</v>
      </c>
      <c r="B24" t="s">
        <v>32</v>
      </c>
      <c r="C24" t="s">
        <v>32</v>
      </c>
      <c r="D24" t="s">
        <v>32</v>
      </c>
      <c r="E24" t="s">
        <v>32</v>
      </c>
      <c r="F24" t="s">
        <v>32</v>
      </c>
      <c r="G24" t="s">
        <v>32</v>
      </c>
      <c r="H24" t="s">
        <v>32</v>
      </c>
      <c r="I24" t="s">
        <v>32</v>
      </c>
      <c r="J24" t="s">
        <v>32</v>
      </c>
      <c r="K24" t="s">
        <v>32</v>
      </c>
      <c r="L24" t="s">
        <v>32</v>
      </c>
      <c r="M24" t="s">
        <v>32</v>
      </c>
      <c r="N24" t="s">
        <v>32</v>
      </c>
      <c r="O24" t="str">
        <f>Yardi!K23</f>
        <v>2611-7110</v>
      </c>
      <c r="P24" t="str">
        <f>Yardi!O23</f>
        <v>09/2026 Accrual</v>
      </c>
      <c r="R24" t="s">
        <v>32</v>
      </c>
      <c r="S24" t="s">
        <v>32</v>
      </c>
      <c r="T24" t="s">
        <v>32</v>
      </c>
      <c r="U24" t="s">
        <v>32</v>
      </c>
      <c r="V24" s="410">
        <f>Yardi!J23</f>
        <v>-12630.33</v>
      </c>
    </row>
    <row r="25" spans="1:22" x14ac:dyDescent="0.35">
      <c r="A25" t="s">
        <v>32</v>
      </c>
      <c r="B25" t="s">
        <v>32</v>
      </c>
      <c r="C25" t="s">
        <v>32</v>
      </c>
      <c r="D25" t="s">
        <v>32</v>
      </c>
      <c r="E25" t="s">
        <v>32</v>
      </c>
      <c r="F25" t="s">
        <v>32</v>
      </c>
      <c r="G25" t="s">
        <v>32</v>
      </c>
      <c r="H25" t="s">
        <v>32</v>
      </c>
      <c r="I25" t="s">
        <v>32</v>
      </c>
      <c r="J25" t="s">
        <v>32</v>
      </c>
      <c r="K25" t="s">
        <v>32</v>
      </c>
      <c r="L25" t="s">
        <v>32</v>
      </c>
      <c r="M25" t="s">
        <v>32</v>
      </c>
      <c r="N25" t="s">
        <v>32</v>
      </c>
      <c r="O25" t="str">
        <f>Yardi!K24</f>
        <v>5510-1500</v>
      </c>
      <c r="P25" t="str">
        <f>Yardi!O24</f>
        <v>09/2026 Accrual</v>
      </c>
      <c r="R25" t="s">
        <v>32</v>
      </c>
      <c r="S25" t="s">
        <v>32</v>
      </c>
      <c r="T25" t="s">
        <v>32</v>
      </c>
      <c r="U25" t="s">
        <v>32</v>
      </c>
      <c r="V25" s="410">
        <f>Yardi!J24</f>
        <v>4739.33</v>
      </c>
    </row>
    <row r="26" spans="1:22" x14ac:dyDescent="0.35">
      <c r="A26" t="s">
        <v>32</v>
      </c>
      <c r="B26" t="s">
        <v>32</v>
      </c>
      <c r="C26" t="s">
        <v>32</v>
      </c>
      <c r="D26" t="s">
        <v>32</v>
      </c>
      <c r="E26" t="s">
        <v>32</v>
      </c>
      <c r="F26" t="s">
        <v>32</v>
      </c>
      <c r="G26" t="s">
        <v>32</v>
      </c>
      <c r="H26" t="s">
        <v>32</v>
      </c>
      <c r="I26" t="s">
        <v>32</v>
      </c>
      <c r="J26" t="s">
        <v>32</v>
      </c>
      <c r="K26" t="s">
        <v>32</v>
      </c>
      <c r="L26" t="s">
        <v>32</v>
      </c>
      <c r="M26" t="s">
        <v>32</v>
      </c>
      <c r="N26" t="s">
        <v>32</v>
      </c>
      <c r="O26" t="str">
        <f>Yardi!K25</f>
        <v>2611-7110</v>
      </c>
      <c r="P26" t="str">
        <f>Yardi!O25</f>
        <v>09/2026 Accrual</v>
      </c>
      <c r="R26" t="s">
        <v>32</v>
      </c>
      <c r="S26" t="s">
        <v>32</v>
      </c>
      <c r="T26" t="s">
        <v>32</v>
      </c>
      <c r="U26" t="s">
        <v>32</v>
      </c>
      <c r="V26" s="410">
        <f>Yardi!J25</f>
        <v>-4739.33</v>
      </c>
    </row>
    <row r="27" spans="1:22" x14ac:dyDescent="0.35">
      <c r="A27" t="s">
        <v>32</v>
      </c>
      <c r="B27" t="s">
        <v>32</v>
      </c>
      <c r="C27" t="s">
        <v>32</v>
      </c>
      <c r="D27" t="s">
        <v>32</v>
      </c>
      <c r="E27" t="s">
        <v>32</v>
      </c>
      <c r="F27" t="s">
        <v>32</v>
      </c>
      <c r="G27" t="s">
        <v>32</v>
      </c>
      <c r="H27" t="s">
        <v>32</v>
      </c>
      <c r="I27" t="s">
        <v>32</v>
      </c>
      <c r="J27" t="s">
        <v>32</v>
      </c>
      <c r="K27" t="s">
        <v>32</v>
      </c>
      <c r="L27" t="s">
        <v>32</v>
      </c>
      <c r="M27" t="s">
        <v>32</v>
      </c>
      <c r="N27" t="s">
        <v>32</v>
      </c>
      <c r="O27" t="str">
        <f>Yardi!K26</f>
        <v>5510-2100</v>
      </c>
      <c r="P27" t="str">
        <f>Yardi!O26</f>
        <v>09/2026 Accrual</v>
      </c>
      <c r="R27" t="s">
        <v>32</v>
      </c>
      <c r="S27" t="s">
        <v>32</v>
      </c>
      <c r="T27" t="s">
        <v>32</v>
      </c>
      <c r="U27" t="s">
        <v>32</v>
      </c>
      <c r="V27" s="410">
        <f>Yardi!J26</f>
        <v>1071</v>
      </c>
    </row>
    <row r="28" spans="1:22" x14ac:dyDescent="0.35">
      <c r="A28" t="s">
        <v>32</v>
      </c>
      <c r="B28" t="s">
        <v>32</v>
      </c>
      <c r="C28" t="s">
        <v>32</v>
      </c>
      <c r="D28" t="s">
        <v>32</v>
      </c>
      <c r="E28" t="s">
        <v>32</v>
      </c>
      <c r="F28" t="s">
        <v>32</v>
      </c>
      <c r="G28" t="s">
        <v>32</v>
      </c>
      <c r="H28" t="s">
        <v>32</v>
      </c>
      <c r="I28" t="s">
        <v>32</v>
      </c>
      <c r="J28" t="s">
        <v>32</v>
      </c>
      <c r="K28" t="s">
        <v>32</v>
      </c>
      <c r="L28" t="s">
        <v>32</v>
      </c>
      <c r="M28" t="s">
        <v>32</v>
      </c>
      <c r="N28" t="s">
        <v>32</v>
      </c>
      <c r="O28" t="str">
        <f>Yardi!K27</f>
        <v>2611-7110</v>
      </c>
      <c r="P28" t="str">
        <f>Yardi!O27</f>
        <v>09/2026 Accrual</v>
      </c>
      <c r="R28" t="s">
        <v>32</v>
      </c>
      <c r="S28" t="s">
        <v>32</v>
      </c>
      <c r="T28" t="s">
        <v>32</v>
      </c>
      <c r="U28" t="s">
        <v>32</v>
      </c>
      <c r="V28" s="410">
        <f>Yardi!J27</f>
        <v>-1071</v>
      </c>
    </row>
    <row r="29" spans="1:22" x14ac:dyDescent="0.35">
      <c r="A29" t="s">
        <v>32</v>
      </c>
      <c r="B29" t="s">
        <v>32</v>
      </c>
      <c r="C29" t="s">
        <v>32</v>
      </c>
      <c r="D29" t="s">
        <v>32</v>
      </c>
      <c r="E29" t="s">
        <v>32</v>
      </c>
      <c r="F29" t="s">
        <v>32</v>
      </c>
      <c r="G29" t="s">
        <v>32</v>
      </c>
      <c r="H29" t="s">
        <v>32</v>
      </c>
      <c r="I29" t="s">
        <v>32</v>
      </c>
      <c r="J29" t="s">
        <v>32</v>
      </c>
      <c r="K29" t="s">
        <v>32</v>
      </c>
      <c r="L29" t="s">
        <v>32</v>
      </c>
      <c r="M29" t="s">
        <v>32</v>
      </c>
      <c r="N29" t="s">
        <v>32</v>
      </c>
      <c r="O29">
        <f>Yardi!K28</f>
        <v>0</v>
      </c>
      <c r="P29" t="str">
        <f>Yardi!O28</f>
        <v>09/2026 Accrual</v>
      </c>
      <c r="R29" t="s">
        <v>32</v>
      </c>
      <c r="S29" t="s">
        <v>32</v>
      </c>
      <c r="T29" t="s">
        <v>32</v>
      </c>
      <c r="U29" t="s">
        <v>32</v>
      </c>
      <c r="V29" s="410">
        <f>Yardi!J28</f>
        <v>0</v>
      </c>
    </row>
    <row r="30" spans="1:22" x14ac:dyDescent="0.35">
      <c r="A30" t="s">
        <v>32</v>
      </c>
      <c r="B30" t="s">
        <v>32</v>
      </c>
      <c r="C30" t="s">
        <v>32</v>
      </c>
      <c r="D30" t="s">
        <v>32</v>
      </c>
      <c r="E30" t="s">
        <v>32</v>
      </c>
      <c r="F30" t="s">
        <v>32</v>
      </c>
      <c r="G30" t="s">
        <v>32</v>
      </c>
      <c r="H30" t="s">
        <v>32</v>
      </c>
      <c r="I30" t="s">
        <v>32</v>
      </c>
      <c r="J30" t="s">
        <v>32</v>
      </c>
      <c r="K30" t="s">
        <v>32</v>
      </c>
      <c r="L30" t="s">
        <v>32</v>
      </c>
      <c r="M30" t="s">
        <v>32</v>
      </c>
      <c r="N30" t="s">
        <v>32</v>
      </c>
      <c r="O30" t="str">
        <f>Yardi!K29</f>
        <v>2611-7110</v>
      </c>
      <c r="P30" t="str">
        <f>Yardi!O29</f>
        <v>09/2026 Accrual</v>
      </c>
      <c r="R30" t="s">
        <v>32</v>
      </c>
      <c r="S30" t="s">
        <v>32</v>
      </c>
      <c r="T30" t="s">
        <v>32</v>
      </c>
      <c r="U30" t="s">
        <v>32</v>
      </c>
      <c r="V30" s="410">
        <f>Yardi!J29</f>
        <v>0</v>
      </c>
    </row>
    <row r="31" spans="1:22" x14ac:dyDescent="0.35">
      <c r="A31" t="s">
        <v>32</v>
      </c>
      <c r="B31" t="s">
        <v>32</v>
      </c>
      <c r="C31" t="s">
        <v>32</v>
      </c>
      <c r="D31" t="s">
        <v>32</v>
      </c>
      <c r="E31" t="s">
        <v>32</v>
      </c>
      <c r="F31" t="s">
        <v>32</v>
      </c>
      <c r="G31" t="s">
        <v>32</v>
      </c>
      <c r="H31" t="s">
        <v>32</v>
      </c>
      <c r="I31" t="s">
        <v>32</v>
      </c>
      <c r="J31" t="s">
        <v>32</v>
      </c>
      <c r="K31" t="s">
        <v>32</v>
      </c>
      <c r="L31" t="s">
        <v>32</v>
      </c>
      <c r="M31" t="s">
        <v>32</v>
      </c>
      <c r="N31" t="s">
        <v>32</v>
      </c>
      <c r="O31">
        <f>Yardi!K30</f>
        <v>0</v>
      </c>
      <c r="P31" t="str">
        <f>Yardi!O30</f>
        <v>09/2026 Accrual</v>
      </c>
      <c r="R31" t="s">
        <v>32</v>
      </c>
      <c r="S31" t="s">
        <v>32</v>
      </c>
      <c r="T31" t="s">
        <v>32</v>
      </c>
      <c r="U31" t="s">
        <v>32</v>
      </c>
      <c r="V31" s="410">
        <f>Yardi!J30</f>
        <v>0</v>
      </c>
    </row>
    <row r="32" spans="1:22" x14ac:dyDescent="0.35">
      <c r="A32" t="s">
        <v>32</v>
      </c>
      <c r="B32" t="s">
        <v>32</v>
      </c>
      <c r="C32" t="s">
        <v>32</v>
      </c>
      <c r="D32" t="s">
        <v>32</v>
      </c>
      <c r="E32" t="s">
        <v>32</v>
      </c>
      <c r="F32" t="s">
        <v>32</v>
      </c>
      <c r="G32" t="s">
        <v>32</v>
      </c>
      <c r="H32" t="s">
        <v>32</v>
      </c>
      <c r="I32" t="s">
        <v>32</v>
      </c>
      <c r="J32" t="s">
        <v>32</v>
      </c>
      <c r="K32" t="s">
        <v>32</v>
      </c>
      <c r="L32" t="s">
        <v>32</v>
      </c>
      <c r="M32" t="s">
        <v>32</v>
      </c>
      <c r="N32" t="s">
        <v>32</v>
      </c>
      <c r="O32" t="str">
        <f>Yardi!K31</f>
        <v>2611-7110</v>
      </c>
      <c r="P32" t="str">
        <f>Yardi!O31</f>
        <v>09/2026 Accrual</v>
      </c>
      <c r="R32" t="s">
        <v>32</v>
      </c>
      <c r="S32" t="s">
        <v>32</v>
      </c>
      <c r="T32" t="s">
        <v>32</v>
      </c>
      <c r="U32" t="s">
        <v>32</v>
      </c>
      <c r="V32" s="410">
        <f>Yardi!J31</f>
        <v>0</v>
      </c>
    </row>
    <row r="33" spans="1:22" x14ac:dyDescent="0.35">
      <c r="A33" t="s">
        <v>32</v>
      </c>
      <c r="B33" t="s">
        <v>32</v>
      </c>
      <c r="C33" t="s">
        <v>32</v>
      </c>
      <c r="D33" t="s">
        <v>32</v>
      </c>
      <c r="E33" t="s">
        <v>32</v>
      </c>
      <c r="F33" t="s">
        <v>32</v>
      </c>
      <c r="G33" t="s">
        <v>32</v>
      </c>
      <c r="H33" t="s">
        <v>32</v>
      </c>
      <c r="I33" t="s">
        <v>32</v>
      </c>
      <c r="J33" t="s">
        <v>32</v>
      </c>
      <c r="K33" t="s">
        <v>32</v>
      </c>
      <c r="L33" t="s">
        <v>32</v>
      </c>
      <c r="M33" t="s">
        <v>32</v>
      </c>
      <c r="N33" t="s">
        <v>32</v>
      </c>
      <c r="O33">
        <f>Yardi!K32</f>
        <v>0</v>
      </c>
      <c r="P33" t="str">
        <f>Yardi!O32</f>
        <v>09/2026 Accrual</v>
      </c>
      <c r="R33" t="s">
        <v>32</v>
      </c>
      <c r="S33" t="s">
        <v>32</v>
      </c>
      <c r="T33" t="s">
        <v>32</v>
      </c>
      <c r="U33" t="s">
        <v>32</v>
      </c>
      <c r="V33" s="410">
        <f>Yardi!J32</f>
        <v>0</v>
      </c>
    </row>
    <row r="34" spans="1:22" x14ac:dyDescent="0.35">
      <c r="A34" t="s">
        <v>32</v>
      </c>
      <c r="B34" t="s">
        <v>32</v>
      </c>
      <c r="C34" t="s">
        <v>32</v>
      </c>
      <c r="D34" t="s">
        <v>32</v>
      </c>
      <c r="E34" t="s">
        <v>32</v>
      </c>
      <c r="F34" t="s">
        <v>32</v>
      </c>
      <c r="G34" t="s">
        <v>32</v>
      </c>
      <c r="H34" t="s">
        <v>32</v>
      </c>
      <c r="I34" t="s">
        <v>32</v>
      </c>
      <c r="J34" t="s">
        <v>32</v>
      </c>
      <c r="K34" t="s">
        <v>32</v>
      </c>
      <c r="L34" t="s">
        <v>32</v>
      </c>
      <c r="M34" t="s">
        <v>32</v>
      </c>
      <c r="N34" t="s">
        <v>32</v>
      </c>
      <c r="O34" t="str">
        <f>Yardi!K33</f>
        <v>2611-7110</v>
      </c>
      <c r="P34" t="str">
        <f>Yardi!O33</f>
        <v>09/2026 Accrual</v>
      </c>
      <c r="R34" t="s">
        <v>32</v>
      </c>
      <c r="S34" t="s">
        <v>32</v>
      </c>
      <c r="T34" t="s">
        <v>32</v>
      </c>
      <c r="U34" t="s">
        <v>32</v>
      </c>
      <c r="V34" s="410">
        <f>Yardi!J33</f>
        <v>0</v>
      </c>
    </row>
    <row r="35" spans="1:22" x14ac:dyDescent="0.35">
      <c r="A35" t="s">
        <v>32</v>
      </c>
      <c r="B35" t="s">
        <v>32</v>
      </c>
      <c r="C35" t="s">
        <v>32</v>
      </c>
      <c r="D35" t="s">
        <v>32</v>
      </c>
      <c r="E35" t="s">
        <v>32</v>
      </c>
      <c r="F35" t="s">
        <v>32</v>
      </c>
      <c r="G35" t="s">
        <v>32</v>
      </c>
      <c r="H35" t="s">
        <v>32</v>
      </c>
      <c r="I35" t="s">
        <v>32</v>
      </c>
      <c r="J35" t="s">
        <v>32</v>
      </c>
      <c r="K35" t="s">
        <v>32</v>
      </c>
      <c r="L35" t="s">
        <v>32</v>
      </c>
      <c r="M35" t="s">
        <v>32</v>
      </c>
      <c r="N35" t="s">
        <v>32</v>
      </c>
      <c r="O35">
        <f>Yardi!K34</f>
        <v>0</v>
      </c>
      <c r="P35" t="str">
        <f>Yardi!O34</f>
        <v>09/2026 Accrual</v>
      </c>
      <c r="R35" t="s">
        <v>32</v>
      </c>
      <c r="S35" t="s">
        <v>32</v>
      </c>
      <c r="T35" t="s">
        <v>32</v>
      </c>
      <c r="U35" t="s">
        <v>32</v>
      </c>
      <c r="V35" s="410">
        <f>Yardi!J34</f>
        <v>0</v>
      </c>
    </row>
    <row r="36" spans="1:22" x14ac:dyDescent="0.35">
      <c r="A36" t="s">
        <v>32</v>
      </c>
      <c r="B36" t="s">
        <v>32</v>
      </c>
      <c r="C36" t="s">
        <v>32</v>
      </c>
      <c r="D36" t="s">
        <v>32</v>
      </c>
      <c r="E36" t="s">
        <v>32</v>
      </c>
      <c r="F36" t="s">
        <v>32</v>
      </c>
      <c r="G36" t="s">
        <v>32</v>
      </c>
      <c r="H36" t="s">
        <v>32</v>
      </c>
      <c r="I36" t="s">
        <v>32</v>
      </c>
      <c r="J36" t="s">
        <v>32</v>
      </c>
      <c r="K36" t="s">
        <v>32</v>
      </c>
      <c r="L36" t="s">
        <v>32</v>
      </c>
      <c r="M36" t="s">
        <v>32</v>
      </c>
      <c r="N36" t="s">
        <v>32</v>
      </c>
      <c r="O36" t="str">
        <f>Yardi!K35</f>
        <v>2611-7110</v>
      </c>
      <c r="P36" t="str">
        <f>Yardi!O35</f>
        <v>09/2026 Accrual</v>
      </c>
      <c r="R36" t="s">
        <v>32</v>
      </c>
      <c r="S36" t="s">
        <v>32</v>
      </c>
      <c r="T36" t="s">
        <v>32</v>
      </c>
      <c r="U36" t="s">
        <v>32</v>
      </c>
      <c r="V36" s="410">
        <f>Yardi!J35</f>
        <v>0</v>
      </c>
    </row>
    <row r="37" spans="1:22" x14ac:dyDescent="0.35">
      <c r="A37" t="s">
        <v>32</v>
      </c>
      <c r="B37" t="s">
        <v>32</v>
      </c>
      <c r="C37" t="s">
        <v>32</v>
      </c>
      <c r="D37" t="s">
        <v>32</v>
      </c>
      <c r="E37" t="s">
        <v>32</v>
      </c>
      <c r="F37" t="s">
        <v>32</v>
      </c>
      <c r="G37" t="s">
        <v>32</v>
      </c>
      <c r="H37" t="s">
        <v>32</v>
      </c>
      <c r="I37" t="s">
        <v>32</v>
      </c>
      <c r="J37" t="s">
        <v>32</v>
      </c>
      <c r="K37" t="s">
        <v>32</v>
      </c>
      <c r="L37" t="s">
        <v>32</v>
      </c>
      <c r="M37" t="s">
        <v>32</v>
      </c>
      <c r="N37" t="s">
        <v>32</v>
      </c>
      <c r="O37">
        <f>Yardi!K36</f>
        <v>0</v>
      </c>
      <c r="P37" t="str">
        <f>Yardi!O36</f>
        <v>09/2026 Accrual</v>
      </c>
      <c r="R37" t="s">
        <v>32</v>
      </c>
      <c r="S37" t="s">
        <v>32</v>
      </c>
      <c r="T37" t="s">
        <v>32</v>
      </c>
      <c r="U37" t="s">
        <v>32</v>
      </c>
      <c r="V37" s="410">
        <f>Yardi!J36</f>
        <v>0</v>
      </c>
    </row>
    <row r="38" spans="1:22" x14ac:dyDescent="0.35">
      <c r="A38" t="s">
        <v>32</v>
      </c>
      <c r="B38" t="s">
        <v>32</v>
      </c>
      <c r="C38" t="s">
        <v>32</v>
      </c>
      <c r="D38" t="s">
        <v>32</v>
      </c>
      <c r="E38" t="s">
        <v>32</v>
      </c>
      <c r="F38" t="s">
        <v>32</v>
      </c>
      <c r="G38" t="s">
        <v>32</v>
      </c>
      <c r="H38" t="s">
        <v>32</v>
      </c>
      <c r="I38" t="s">
        <v>32</v>
      </c>
      <c r="J38" t="s">
        <v>32</v>
      </c>
      <c r="K38" t="s">
        <v>32</v>
      </c>
      <c r="L38" t="s">
        <v>32</v>
      </c>
      <c r="M38" t="s">
        <v>32</v>
      </c>
      <c r="N38" t="s">
        <v>32</v>
      </c>
      <c r="O38" t="str">
        <f>Yardi!K37</f>
        <v>2611-7110</v>
      </c>
      <c r="P38" t="str">
        <f>Yardi!O37</f>
        <v>09/2026 Accrual</v>
      </c>
      <c r="R38" t="s">
        <v>32</v>
      </c>
      <c r="S38" t="s">
        <v>32</v>
      </c>
      <c r="T38" t="s">
        <v>32</v>
      </c>
      <c r="U38" t="s">
        <v>32</v>
      </c>
      <c r="V38" s="410">
        <f>Yardi!J37</f>
        <v>0</v>
      </c>
    </row>
    <row r="39" spans="1:22" x14ac:dyDescent="0.35">
      <c r="A39" t="s">
        <v>32</v>
      </c>
      <c r="B39" t="s">
        <v>32</v>
      </c>
      <c r="C39" t="s">
        <v>32</v>
      </c>
      <c r="D39" t="s">
        <v>32</v>
      </c>
      <c r="E39" t="s">
        <v>32</v>
      </c>
      <c r="F39" t="s">
        <v>32</v>
      </c>
      <c r="G39" t="s">
        <v>32</v>
      </c>
      <c r="H39" t="s">
        <v>32</v>
      </c>
      <c r="I39" t="s">
        <v>32</v>
      </c>
      <c r="J39" t="s">
        <v>32</v>
      </c>
      <c r="K39" t="s">
        <v>32</v>
      </c>
      <c r="L39" t="s">
        <v>32</v>
      </c>
      <c r="M39" t="s">
        <v>32</v>
      </c>
      <c r="N39" t="s">
        <v>32</v>
      </c>
      <c r="O39">
        <f>Yardi!K38</f>
        <v>0</v>
      </c>
      <c r="P39" t="str">
        <f>Yardi!O38</f>
        <v>09/2026 Accrual</v>
      </c>
      <c r="R39" t="s">
        <v>32</v>
      </c>
      <c r="S39" t="s">
        <v>32</v>
      </c>
      <c r="T39" t="s">
        <v>32</v>
      </c>
      <c r="U39" t="s">
        <v>32</v>
      </c>
      <c r="V39" s="410">
        <f>Yardi!J38</f>
        <v>0</v>
      </c>
    </row>
    <row r="40" spans="1:22" x14ac:dyDescent="0.35">
      <c r="A40" t="s">
        <v>32</v>
      </c>
      <c r="B40" t="s">
        <v>32</v>
      </c>
      <c r="C40" t="s">
        <v>32</v>
      </c>
      <c r="D40" t="s">
        <v>32</v>
      </c>
      <c r="E40" t="s">
        <v>32</v>
      </c>
      <c r="F40" t="s">
        <v>32</v>
      </c>
      <c r="G40" t="s">
        <v>32</v>
      </c>
      <c r="H40" t="s">
        <v>32</v>
      </c>
      <c r="I40" t="s">
        <v>32</v>
      </c>
      <c r="J40" t="s">
        <v>32</v>
      </c>
      <c r="K40" t="s">
        <v>32</v>
      </c>
      <c r="L40" t="s">
        <v>32</v>
      </c>
      <c r="M40" t="s">
        <v>32</v>
      </c>
      <c r="N40" t="s">
        <v>32</v>
      </c>
      <c r="O40" t="str">
        <f>Yardi!K39</f>
        <v>2611-7110</v>
      </c>
      <c r="P40" t="str">
        <f>Yardi!O39</f>
        <v>09/2026 Accrual</v>
      </c>
      <c r="R40" t="s">
        <v>32</v>
      </c>
      <c r="S40" t="s">
        <v>32</v>
      </c>
      <c r="T40" t="s">
        <v>32</v>
      </c>
      <c r="U40" t="s">
        <v>32</v>
      </c>
      <c r="V40" s="410">
        <f>Yardi!J39</f>
        <v>0</v>
      </c>
    </row>
    <row r="41" spans="1:22" x14ac:dyDescent="0.35">
      <c r="A41" t="s">
        <v>32</v>
      </c>
      <c r="B41" t="s">
        <v>32</v>
      </c>
      <c r="C41" t="s">
        <v>32</v>
      </c>
      <c r="D41" t="s">
        <v>32</v>
      </c>
      <c r="E41" t="s">
        <v>32</v>
      </c>
      <c r="F41" t="s">
        <v>32</v>
      </c>
      <c r="G41" t="s">
        <v>32</v>
      </c>
      <c r="H41" t="s">
        <v>32</v>
      </c>
      <c r="I41" t="s">
        <v>32</v>
      </c>
      <c r="J41" t="s">
        <v>32</v>
      </c>
      <c r="K41" t="s">
        <v>32</v>
      </c>
      <c r="L41" t="s">
        <v>32</v>
      </c>
      <c r="M41" t="s">
        <v>32</v>
      </c>
      <c r="N41" t="s">
        <v>32</v>
      </c>
      <c r="O41">
        <f>Yardi!K40</f>
        <v>0</v>
      </c>
      <c r="P41" t="str">
        <f>Yardi!O40</f>
        <v>09/2026 Accrual</v>
      </c>
      <c r="R41" t="s">
        <v>32</v>
      </c>
      <c r="S41" t="s">
        <v>32</v>
      </c>
      <c r="T41" t="s">
        <v>32</v>
      </c>
      <c r="U41" t="s">
        <v>32</v>
      </c>
      <c r="V41" s="410">
        <f>Yardi!J40</f>
        <v>0</v>
      </c>
    </row>
    <row r="42" spans="1:22" x14ac:dyDescent="0.35">
      <c r="A42" t="s">
        <v>32</v>
      </c>
      <c r="B42" t="s">
        <v>32</v>
      </c>
      <c r="C42" t="s">
        <v>32</v>
      </c>
      <c r="D42" t="s">
        <v>32</v>
      </c>
      <c r="E42" t="s">
        <v>32</v>
      </c>
      <c r="F42" t="s">
        <v>32</v>
      </c>
      <c r="G42" t="s">
        <v>32</v>
      </c>
      <c r="H42" t="s">
        <v>32</v>
      </c>
      <c r="I42" t="s">
        <v>32</v>
      </c>
      <c r="J42" t="s">
        <v>32</v>
      </c>
      <c r="K42" t="s">
        <v>32</v>
      </c>
      <c r="L42" t="s">
        <v>32</v>
      </c>
      <c r="M42" t="s">
        <v>32</v>
      </c>
      <c r="N42" t="s">
        <v>32</v>
      </c>
      <c r="O42" t="str">
        <f>Yardi!K41</f>
        <v>2611-7110</v>
      </c>
      <c r="P42" t="str">
        <f>Yardi!O41</f>
        <v>09/2026 Accrual</v>
      </c>
      <c r="R42" t="s">
        <v>32</v>
      </c>
      <c r="S42" t="s">
        <v>32</v>
      </c>
      <c r="T42" t="s">
        <v>32</v>
      </c>
      <c r="U42" t="s">
        <v>32</v>
      </c>
      <c r="V42" s="410">
        <f>Yardi!J41</f>
        <v>0</v>
      </c>
    </row>
    <row r="43" spans="1:22" x14ac:dyDescent="0.35">
      <c r="A43" t="s">
        <v>32</v>
      </c>
      <c r="B43" t="s">
        <v>32</v>
      </c>
      <c r="C43" t="s">
        <v>32</v>
      </c>
      <c r="D43" t="s">
        <v>32</v>
      </c>
      <c r="E43" t="s">
        <v>32</v>
      </c>
      <c r="F43" t="s">
        <v>32</v>
      </c>
      <c r="G43" t="s">
        <v>32</v>
      </c>
      <c r="H43" t="s">
        <v>32</v>
      </c>
      <c r="I43" t="s">
        <v>32</v>
      </c>
      <c r="J43" t="s">
        <v>32</v>
      </c>
      <c r="K43" t="s">
        <v>32</v>
      </c>
      <c r="L43" t="s">
        <v>32</v>
      </c>
      <c r="M43" t="s">
        <v>32</v>
      </c>
      <c r="N43" t="s">
        <v>32</v>
      </c>
      <c r="O43">
        <f>Yardi!K42</f>
        <v>0</v>
      </c>
      <c r="P43" t="str">
        <f>Yardi!O42</f>
        <v>09/2026 Prepaid Amortization</v>
      </c>
      <c r="R43" t="s">
        <v>32</v>
      </c>
      <c r="S43" t="s">
        <v>32</v>
      </c>
      <c r="T43" t="s">
        <v>32</v>
      </c>
      <c r="U43" t="s">
        <v>32</v>
      </c>
      <c r="V43" s="410">
        <f>Yardi!J42</f>
        <v>0</v>
      </c>
    </row>
    <row r="44" spans="1:22" x14ac:dyDescent="0.35">
      <c r="A44" t="s">
        <v>32</v>
      </c>
      <c r="B44" t="s">
        <v>32</v>
      </c>
      <c r="C44" t="s">
        <v>32</v>
      </c>
      <c r="D44" t="s">
        <v>32</v>
      </c>
      <c r="E44" t="s">
        <v>32</v>
      </c>
      <c r="F44" t="s">
        <v>32</v>
      </c>
      <c r="G44" t="s">
        <v>32</v>
      </c>
      <c r="H44" t="s">
        <v>32</v>
      </c>
      <c r="I44" t="s">
        <v>32</v>
      </c>
      <c r="J44" t="s">
        <v>32</v>
      </c>
      <c r="K44" t="s">
        <v>32</v>
      </c>
      <c r="L44" t="s">
        <v>32</v>
      </c>
      <c r="M44" t="s">
        <v>32</v>
      </c>
      <c r="N44" t="s">
        <v>32</v>
      </c>
      <c r="O44" t="str">
        <f>Yardi!K43</f>
        <v>1630-1510</v>
      </c>
      <c r="P44" t="str">
        <f>Yardi!O43</f>
        <v>09/2026 Prepaid Amortization</v>
      </c>
      <c r="R44" t="s">
        <v>32</v>
      </c>
      <c r="S44" t="s">
        <v>32</v>
      </c>
      <c r="T44" t="s">
        <v>32</v>
      </c>
      <c r="U44" t="s">
        <v>32</v>
      </c>
      <c r="V44" s="410">
        <f>Yardi!J43</f>
        <v>0</v>
      </c>
    </row>
    <row r="45" spans="1:22" x14ac:dyDescent="0.35">
      <c r="A45" t="s">
        <v>32</v>
      </c>
      <c r="B45" t="s">
        <v>32</v>
      </c>
      <c r="C45" t="s">
        <v>32</v>
      </c>
      <c r="D45" t="s">
        <v>32</v>
      </c>
      <c r="E45" t="s">
        <v>32</v>
      </c>
      <c r="F45" t="s">
        <v>32</v>
      </c>
      <c r="G45" t="s">
        <v>32</v>
      </c>
      <c r="H45" t="s">
        <v>32</v>
      </c>
      <c r="I45" t="s">
        <v>32</v>
      </c>
      <c r="J45" t="s">
        <v>32</v>
      </c>
      <c r="K45" t="s">
        <v>32</v>
      </c>
      <c r="L45" t="s">
        <v>32</v>
      </c>
      <c r="M45" t="s">
        <v>32</v>
      </c>
      <c r="N45" t="s">
        <v>32</v>
      </c>
      <c r="O45">
        <f>Yardi!K44</f>
        <v>0</v>
      </c>
      <c r="P45" t="str">
        <f>Yardi!O44</f>
        <v>09/2026 Prepaid Amortization</v>
      </c>
      <c r="R45" t="s">
        <v>32</v>
      </c>
      <c r="S45" t="s">
        <v>32</v>
      </c>
      <c r="T45" t="s">
        <v>32</v>
      </c>
      <c r="U45" t="s">
        <v>32</v>
      </c>
      <c r="V45" s="410">
        <f>Yardi!J44</f>
        <v>0</v>
      </c>
    </row>
    <row r="46" spans="1:22" x14ac:dyDescent="0.35">
      <c r="A46" t="s">
        <v>32</v>
      </c>
      <c r="B46" t="s">
        <v>32</v>
      </c>
      <c r="C46" t="s">
        <v>32</v>
      </c>
      <c r="D46" t="s">
        <v>32</v>
      </c>
      <c r="E46" t="s">
        <v>32</v>
      </c>
      <c r="F46" t="s">
        <v>32</v>
      </c>
      <c r="G46" t="s">
        <v>32</v>
      </c>
      <c r="H46" t="s">
        <v>32</v>
      </c>
      <c r="I46" t="s">
        <v>32</v>
      </c>
      <c r="J46" t="s">
        <v>32</v>
      </c>
      <c r="K46" t="s">
        <v>32</v>
      </c>
      <c r="L46" t="s">
        <v>32</v>
      </c>
      <c r="M46" t="s">
        <v>32</v>
      </c>
      <c r="N46" t="s">
        <v>32</v>
      </c>
      <c r="O46" t="str">
        <f>Yardi!K45</f>
        <v>1630-1510</v>
      </c>
      <c r="P46" t="str">
        <f>Yardi!O45</f>
        <v>09/2026 Prepaid Amortization</v>
      </c>
      <c r="R46" t="s">
        <v>32</v>
      </c>
      <c r="S46" t="s">
        <v>32</v>
      </c>
      <c r="T46" t="s">
        <v>32</v>
      </c>
      <c r="U46" t="s">
        <v>32</v>
      </c>
      <c r="V46" s="410">
        <f>Yardi!J45</f>
        <v>0</v>
      </c>
    </row>
    <row r="47" spans="1:22" x14ac:dyDescent="0.35">
      <c r="A47" t="s">
        <v>32</v>
      </c>
      <c r="B47" t="s">
        <v>32</v>
      </c>
      <c r="C47" t="s">
        <v>32</v>
      </c>
      <c r="D47" t="s">
        <v>32</v>
      </c>
      <c r="E47" t="s">
        <v>32</v>
      </c>
      <c r="F47" t="s">
        <v>32</v>
      </c>
      <c r="G47" t="s">
        <v>32</v>
      </c>
      <c r="H47" t="s">
        <v>32</v>
      </c>
      <c r="I47" t="s">
        <v>32</v>
      </c>
      <c r="J47" t="s">
        <v>32</v>
      </c>
      <c r="K47" t="s">
        <v>32</v>
      </c>
      <c r="L47" t="s">
        <v>32</v>
      </c>
      <c r="M47" t="s">
        <v>32</v>
      </c>
      <c r="N47" t="s">
        <v>32</v>
      </c>
      <c r="O47">
        <f>Yardi!K46</f>
        <v>0</v>
      </c>
      <c r="P47" t="str">
        <f>Yardi!O46</f>
        <v>09/2026 Prepaid Amortization</v>
      </c>
      <c r="R47" t="s">
        <v>32</v>
      </c>
      <c r="S47" t="s">
        <v>32</v>
      </c>
      <c r="T47" t="s">
        <v>32</v>
      </c>
      <c r="U47" t="s">
        <v>32</v>
      </c>
      <c r="V47" s="410">
        <f>Yardi!J46</f>
        <v>0</v>
      </c>
    </row>
    <row r="48" spans="1:22" x14ac:dyDescent="0.35">
      <c r="A48" t="s">
        <v>32</v>
      </c>
      <c r="B48" t="s">
        <v>32</v>
      </c>
      <c r="C48" t="s">
        <v>32</v>
      </c>
      <c r="D48" t="s">
        <v>32</v>
      </c>
      <c r="E48" t="s">
        <v>32</v>
      </c>
      <c r="F48" t="s">
        <v>32</v>
      </c>
      <c r="G48" t="s">
        <v>32</v>
      </c>
      <c r="H48" t="s">
        <v>32</v>
      </c>
      <c r="I48" t="s">
        <v>32</v>
      </c>
      <c r="J48" t="s">
        <v>32</v>
      </c>
      <c r="K48" t="s">
        <v>32</v>
      </c>
      <c r="L48" t="s">
        <v>32</v>
      </c>
      <c r="M48" t="s">
        <v>32</v>
      </c>
      <c r="N48" t="s">
        <v>32</v>
      </c>
      <c r="O48" t="str">
        <f>Yardi!K47</f>
        <v>1630-1510</v>
      </c>
      <c r="P48" t="str">
        <f>Yardi!O47</f>
        <v>09/2026 Prepaid Amortization</v>
      </c>
      <c r="R48" t="s">
        <v>32</v>
      </c>
      <c r="S48" t="s">
        <v>32</v>
      </c>
      <c r="T48" t="s">
        <v>32</v>
      </c>
      <c r="U48" t="s">
        <v>32</v>
      </c>
      <c r="V48" s="410">
        <f>Yardi!J47</f>
        <v>0</v>
      </c>
    </row>
    <row r="49" spans="1:22" x14ac:dyDescent="0.35">
      <c r="A49" t="s">
        <v>32</v>
      </c>
      <c r="B49" t="s">
        <v>32</v>
      </c>
      <c r="C49" t="s">
        <v>32</v>
      </c>
      <c r="D49" t="s">
        <v>32</v>
      </c>
      <c r="E49" t="s">
        <v>32</v>
      </c>
      <c r="F49" t="s">
        <v>32</v>
      </c>
      <c r="G49" t="s">
        <v>32</v>
      </c>
      <c r="H49" t="s">
        <v>32</v>
      </c>
      <c r="I49" t="s">
        <v>32</v>
      </c>
      <c r="J49" t="s">
        <v>32</v>
      </c>
      <c r="K49" t="s">
        <v>32</v>
      </c>
      <c r="L49" t="s">
        <v>32</v>
      </c>
      <c r="M49" t="s">
        <v>32</v>
      </c>
      <c r="N49" t="s">
        <v>32</v>
      </c>
      <c r="O49">
        <f>Yardi!K48</f>
        <v>0</v>
      </c>
      <c r="P49" t="str">
        <f>Yardi!O48</f>
        <v>09/2026 Prepaid Amortization</v>
      </c>
      <c r="R49" t="s">
        <v>32</v>
      </c>
      <c r="S49" t="s">
        <v>32</v>
      </c>
      <c r="T49" t="s">
        <v>32</v>
      </c>
      <c r="U49" t="s">
        <v>32</v>
      </c>
      <c r="V49" s="410">
        <f>Yardi!J48</f>
        <v>0</v>
      </c>
    </row>
    <row r="50" spans="1:22" x14ac:dyDescent="0.35">
      <c r="A50" t="s">
        <v>32</v>
      </c>
      <c r="B50" t="s">
        <v>32</v>
      </c>
      <c r="C50" t="s">
        <v>32</v>
      </c>
      <c r="D50" t="s">
        <v>32</v>
      </c>
      <c r="E50" t="s">
        <v>32</v>
      </c>
      <c r="F50" t="s">
        <v>32</v>
      </c>
      <c r="G50" t="s">
        <v>32</v>
      </c>
      <c r="H50" t="s">
        <v>32</v>
      </c>
      <c r="I50" t="s">
        <v>32</v>
      </c>
      <c r="J50" t="s">
        <v>32</v>
      </c>
      <c r="K50" t="s">
        <v>32</v>
      </c>
      <c r="L50" t="s">
        <v>32</v>
      </c>
      <c r="M50" t="s">
        <v>32</v>
      </c>
      <c r="N50" t="s">
        <v>32</v>
      </c>
      <c r="O50" t="str">
        <f>Yardi!K49</f>
        <v>1630-1510</v>
      </c>
      <c r="P50" t="str">
        <f>Yardi!O49</f>
        <v>09/2026 Prepaid Amortization</v>
      </c>
      <c r="R50" t="s">
        <v>32</v>
      </c>
      <c r="S50" t="s">
        <v>32</v>
      </c>
      <c r="T50" t="s">
        <v>32</v>
      </c>
      <c r="U50" t="s">
        <v>32</v>
      </c>
      <c r="V50" s="410">
        <f>Yardi!J49</f>
        <v>0</v>
      </c>
    </row>
    <row r="51" spans="1:22" x14ac:dyDescent="0.35">
      <c r="A51" t="s">
        <v>32</v>
      </c>
      <c r="B51" t="s">
        <v>32</v>
      </c>
      <c r="C51" t="s">
        <v>32</v>
      </c>
      <c r="D51" t="s">
        <v>32</v>
      </c>
      <c r="E51" t="s">
        <v>32</v>
      </c>
      <c r="F51" t="s">
        <v>32</v>
      </c>
      <c r="G51" t="s">
        <v>32</v>
      </c>
      <c r="H51" t="s">
        <v>32</v>
      </c>
      <c r="I51" t="s">
        <v>32</v>
      </c>
      <c r="J51" t="s">
        <v>32</v>
      </c>
      <c r="K51" t="s">
        <v>32</v>
      </c>
      <c r="L51" t="s">
        <v>32</v>
      </c>
      <c r="M51" t="s">
        <v>32</v>
      </c>
      <c r="N51" t="s">
        <v>32</v>
      </c>
      <c r="O51">
        <f>Yardi!K50</f>
        <v>0</v>
      </c>
      <c r="P51" t="str">
        <f>Yardi!O50</f>
        <v>09/2026 Prepaid Amortization</v>
      </c>
      <c r="R51" t="s">
        <v>32</v>
      </c>
      <c r="S51" t="s">
        <v>32</v>
      </c>
      <c r="T51" t="s">
        <v>32</v>
      </c>
      <c r="U51" t="s">
        <v>32</v>
      </c>
      <c r="V51" s="410">
        <f>Yardi!J50</f>
        <v>0</v>
      </c>
    </row>
    <row r="52" spans="1:22" x14ac:dyDescent="0.35">
      <c r="A52" t="s">
        <v>32</v>
      </c>
      <c r="B52" t="s">
        <v>32</v>
      </c>
      <c r="C52" t="s">
        <v>32</v>
      </c>
      <c r="D52" t="s">
        <v>32</v>
      </c>
      <c r="E52" t="s">
        <v>32</v>
      </c>
      <c r="F52" t="s">
        <v>32</v>
      </c>
      <c r="G52" t="s">
        <v>32</v>
      </c>
      <c r="H52" t="s">
        <v>32</v>
      </c>
      <c r="I52" t="s">
        <v>32</v>
      </c>
      <c r="J52" t="s">
        <v>32</v>
      </c>
      <c r="K52" t="s">
        <v>32</v>
      </c>
      <c r="L52" t="s">
        <v>32</v>
      </c>
      <c r="M52" t="s">
        <v>32</v>
      </c>
      <c r="N52" t="s">
        <v>32</v>
      </c>
      <c r="O52" t="str">
        <f>Yardi!K51</f>
        <v>1630-1510</v>
      </c>
      <c r="P52" t="str">
        <f>Yardi!O51</f>
        <v>09/2026 Prepaid Amortization</v>
      </c>
      <c r="R52" t="s">
        <v>32</v>
      </c>
      <c r="S52" t="s">
        <v>32</v>
      </c>
      <c r="T52" t="s">
        <v>32</v>
      </c>
      <c r="U52" t="s">
        <v>32</v>
      </c>
      <c r="V52" s="410">
        <f>Yardi!J51</f>
        <v>0</v>
      </c>
    </row>
    <row r="53" spans="1:22" x14ac:dyDescent="0.35">
      <c r="A53" t="s">
        <v>32</v>
      </c>
      <c r="B53" t="s">
        <v>32</v>
      </c>
      <c r="C53" t="s">
        <v>32</v>
      </c>
      <c r="D53" t="s">
        <v>32</v>
      </c>
      <c r="E53" t="s">
        <v>32</v>
      </c>
      <c r="F53" t="s">
        <v>32</v>
      </c>
      <c r="G53" t="s">
        <v>32</v>
      </c>
      <c r="H53" t="s">
        <v>32</v>
      </c>
      <c r="I53" t="s">
        <v>32</v>
      </c>
      <c r="J53" t="s">
        <v>32</v>
      </c>
      <c r="K53" t="s">
        <v>32</v>
      </c>
      <c r="L53" t="s">
        <v>32</v>
      </c>
      <c r="M53" t="s">
        <v>32</v>
      </c>
      <c r="N53" t="s">
        <v>32</v>
      </c>
      <c r="O53">
        <f>Yardi!K52</f>
        <v>0</v>
      </c>
      <c r="P53" t="str">
        <f>Yardi!O52</f>
        <v>09/2026 Prepaid Amortization</v>
      </c>
      <c r="R53" t="s">
        <v>32</v>
      </c>
      <c r="S53" t="s">
        <v>32</v>
      </c>
      <c r="T53" t="s">
        <v>32</v>
      </c>
      <c r="U53" t="s">
        <v>32</v>
      </c>
      <c r="V53" s="410">
        <f>Yardi!J52</f>
        <v>0</v>
      </c>
    </row>
    <row r="54" spans="1:22" x14ac:dyDescent="0.35">
      <c r="A54" t="s">
        <v>32</v>
      </c>
      <c r="B54" t="s">
        <v>32</v>
      </c>
      <c r="C54" t="s">
        <v>32</v>
      </c>
      <c r="D54" t="s">
        <v>32</v>
      </c>
      <c r="E54" t="s">
        <v>32</v>
      </c>
      <c r="F54" t="s">
        <v>32</v>
      </c>
      <c r="G54" t="s">
        <v>32</v>
      </c>
      <c r="H54" t="s">
        <v>32</v>
      </c>
      <c r="I54" t="s">
        <v>32</v>
      </c>
      <c r="J54" t="s">
        <v>32</v>
      </c>
      <c r="K54" t="s">
        <v>32</v>
      </c>
      <c r="L54" t="s">
        <v>32</v>
      </c>
      <c r="M54" t="s">
        <v>32</v>
      </c>
      <c r="N54" t="s">
        <v>32</v>
      </c>
      <c r="O54" t="str">
        <f>Yardi!K53</f>
        <v>1630-1510</v>
      </c>
      <c r="P54" t="str">
        <f>Yardi!O53</f>
        <v>09/2026 Prepaid Amortization</v>
      </c>
      <c r="R54" t="s">
        <v>32</v>
      </c>
      <c r="S54" t="s">
        <v>32</v>
      </c>
      <c r="T54" t="s">
        <v>32</v>
      </c>
      <c r="U54" t="s">
        <v>32</v>
      </c>
      <c r="V54" s="410">
        <f>Yardi!J53</f>
        <v>0</v>
      </c>
    </row>
    <row r="55" spans="1:22" x14ac:dyDescent="0.35">
      <c r="A55" t="s">
        <v>32</v>
      </c>
      <c r="B55" t="s">
        <v>32</v>
      </c>
      <c r="C55" t="s">
        <v>32</v>
      </c>
      <c r="D55" t="s">
        <v>32</v>
      </c>
      <c r="E55" t="s">
        <v>32</v>
      </c>
      <c r="F55" t="s">
        <v>32</v>
      </c>
      <c r="G55" t="s">
        <v>32</v>
      </c>
      <c r="H55" t="s">
        <v>32</v>
      </c>
      <c r="I55" t="s">
        <v>32</v>
      </c>
      <c r="J55" t="s">
        <v>32</v>
      </c>
      <c r="K55" t="s">
        <v>32</v>
      </c>
      <c r="L55" t="s">
        <v>32</v>
      </c>
      <c r="M55" t="s">
        <v>32</v>
      </c>
      <c r="N55" t="s">
        <v>32</v>
      </c>
      <c r="O55" t="str">
        <f>Yardi!K54</f>
        <v>5500-0100</v>
      </c>
      <c r="P55" t="str">
        <f>Yardi!O54</f>
        <v>09/2026 Real Estate Taxes Accrual Accrual</v>
      </c>
      <c r="R55" t="s">
        <v>32</v>
      </c>
      <c r="S55" t="s">
        <v>32</v>
      </c>
      <c r="T55" t="s">
        <v>32</v>
      </c>
      <c r="U55" t="s">
        <v>32</v>
      </c>
      <c r="V55" s="410">
        <f>Yardi!J54</f>
        <v>0</v>
      </c>
    </row>
    <row r="56" spans="1:22" x14ac:dyDescent="0.35">
      <c r="A56" t="s">
        <v>32</v>
      </c>
      <c r="B56" t="s">
        <v>32</v>
      </c>
      <c r="C56" t="s">
        <v>32</v>
      </c>
      <c r="D56" t="s">
        <v>32</v>
      </c>
      <c r="E56" t="s">
        <v>32</v>
      </c>
      <c r="F56" t="s">
        <v>32</v>
      </c>
      <c r="G56" t="s">
        <v>32</v>
      </c>
      <c r="H56" t="s">
        <v>32</v>
      </c>
      <c r="I56" t="s">
        <v>32</v>
      </c>
      <c r="J56" t="s">
        <v>32</v>
      </c>
      <c r="K56" t="s">
        <v>32</v>
      </c>
      <c r="L56" t="s">
        <v>32</v>
      </c>
      <c r="M56" t="s">
        <v>32</v>
      </c>
      <c r="N56" t="s">
        <v>32</v>
      </c>
      <c r="O56" t="str">
        <f>Yardi!K55</f>
        <v>2611-3110</v>
      </c>
      <c r="P56" t="str">
        <f>Yardi!O55</f>
        <v>09/2026 Real Estate Taxes Accrual Accrual</v>
      </c>
      <c r="R56" t="s">
        <v>32</v>
      </c>
      <c r="S56" t="s">
        <v>32</v>
      </c>
      <c r="T56" t="s">
        <v>32</v>
      </c>
      <c r="U56" t="s">
        <v>32</v>
      </c>
      <c r="V56" s="410">
        <f>Yardi!J55</f>
        <v>0</v>
      </c>
    </row>
    <row r="57" spans="1:22" x14ac:dyDescent="0.35">
      <c r="A57" t="s">
        <v>32</v>
      </c>
      <c r="B57" t="s">
        <v>32</v>
      </c>
      <c r="C57" t="s">
        <v>32</v>
      </c>
      <c r="D57" t="s">
        <v>32</v>
      </c>
      <c r="E57" t="s">
        <v>32</v>
      </c>
      <c r="F57" t="s">
        <v>32</v>
      </c>
      <c r="G57" t="s">
        <v>32</v>
      </c>
      <c r="H57" t="s">
        <v>32</v>
      </c>
      <c r="I57" t="s">
        <v>32</v>
      </c>
      <c r="J57" t="s">
        <v>32</v>
      </c>
      <c r="K57" t="s">
        <v>32</v>
      </c>
      <c r="L57" t="s">
        <v>32</v>
      </c>
      <c r="M57" t="s">
        <v>32</v>
      </c>
      <c r="N57" t="s">
        <v>32</v>
      </c>
      <c r="O57" t="str">
        <f>Yardi!K56</f>
        <v>5500-2100</v>
      </c>
      <c r="P57" t="str">
        <f>Yardi!O56</f>
        <v>09/2026 Real Estate Tax Advisory / Consulting Fees Accrual</v>
      </c>
      <c r="R57" t="s">
        <v>32</v>
      </c>
      <c r="S57" t="s">
        <v>32</v>
      </c>
      <c r="T57" t="s">
        <v>32</v>
      </c>
      <c r="U57" t="s">
        <v>32</v>
      </c>
      <c r="V57" s="410">
        <f>Yardi!J56</f>
        <v>0</v>
      </c>
    </row>
    <row r="58" spans="1:22" x14ac:dyDescent="0.35">
      <c r="A58" t="s">
        <v>32</v>
      </c>
      <c r="B58" t="s">
        <v>32</v>
      </c>
      <c r="C58" t="s">
        <v>32</v>
      </c>
      <c r="D58" t="s">
        <v>32</v>
      </c>
      <c r="E58" t="s">
        <v>32</v>
      </c>
      <c r="F58" t="s">
        <v>32</v>
      </c>
      <c r="G58" t="s">
        <v>32</v>
      </c>
      <c r="H58" t="s">
        <v>32</v>
      </c>
      <c r="I58" t="s">
        <v>32</v>
      </c>
      <c r="J58" t="s">
        <v>32</v>
      </c>
      <c r="K58" t="s">
        <v>32</v>
      </c>
      <c r="L58" t="s">
        <v>32</v>
      </c>
      <c r="M58" t="s">
        <v>32</v>
      </c>
      <c r="N58" t="s">
        <v>32</v>
      </c>
      <c r="O58" t="str">
        <f>Yardi!K57</f>
        <v>2611-3110</v>
      </c>
      <c r="P58" t="str">
        <f>Yardi!O57</f>
        <v>09/2026 Real Estate Tax Advisory / Consulting Fees Accrual</v>
      </c>
      <c r="R58" t="s">
        <v>32</v>
      </c>
      <c r="S58" t="s">
        <v>32</v>
      </c>
      <c r="T58" t="s">
        <v>32</v>
      </c>
      <c r="U58" t="s">
        <v>32</v>
      </c>
      <c r="V58" s="410">
        <f>Yardi!J57</f>
        <v>0</v>
      </c>
    </row>
    <row r="59" spans="1:22" x14ac:dyDescent="0.35">
      <c r="A59" t="s">
        <v>32</v>
      </c>
      <c r="B59" t="s">
        <v>32</v>
      </c>
      <c r="C59" t="s">
        <v>32</v>
      </c>
      <c r="D59" t="s">
        <v>32</v>
      </c>
      <c r="E59" t="s">
        <v>32</v>
      </c>
      <c r="F59" t="s">
        <v>32</v>
      </c>
      <c r="G59" t="s">
        <v>32</v>
      </c>
      <c r="H59" t="s">
        <v>32</v>
      </c>
      <c r="I59" t="s">
        <v>32</v>
      </c>
      <c r="J59" t="s">
        <v>32</v>
      </c>
      <c r="K59" t="s">
        <v>32</v>
      </c>
      <c r="L59" t="s">
        <v>32</v>
      </c>
      <c r="M59" t="s">
        <v>32</v>
      </c>
      <c r="N59" t="s">
        <v>32</v>
      </c>
      <c r="O59" t="str">
        <f>Yardi!K58</f>
        <v>5500-5110</v>
      </c>
      <c r="P59" t="str">
        <f>Yardi!O58</f>
        <v>09/2026 Other Taxes Accrual</v>
      </c>
      <c r="R59" t="s">
        <v>32</v>
      </c>
      <c r="S59" t="s">
        <v>32</v>
      </c>
      <c r="T59" t="s">
        <v>32</v>
      </c>
      <c r="U59" t="s">
        <v>32</v>
      </c>
      <c r="V59" s="410">
        <f>Yardi!J58</f>
        <v>0</v>
      </c>
    </row>
    <row r="60" spans="1:22" x14ac:dyDescent="0.35">
      <c r="A60" t="s">
        <v>32</v>
      </c>
      <c r="B60" t="s">
        <v>32</v>
      </c>
      <c r="C60" t="s">
        <v>32</v>
      </c>
      <c r="D60" t="s">
        <v>32</v>
      </c>
      <c r="E60" t="s">
        <v>32</v>
      </c>
      <c r="F60" t="s">
        <v>32</v>
      </c>
      <c r="G60" t="s">
        <v>32</v>
      </c>
      <c r="H60" t="s">
        <v>32</v>
      </c>
      <c r="I60" t="s">
        <v>32</v>
      </c>
      <c r="J60" t="s">
        <v>32</v>
      </c>
      <c r="K60" t="s">
        <v>32</v>
      </c>
      <c r="L60" t="s">
        <v>32</v>
      </c>
      <c r="M60" t="s">
        <v>32</v>
      </c>
      <c r="N60" t="s">
        <v>32</v>
      </c>
      <c r="O60" t="str">
        <f>Yardi!K59</f>
        <v>2611-3110</v>
      </c>
      <c r="P60" t="str">
        <f>Yardi!O59</f>
        <v>09/2026 Other Taxes Accrual</v>
      </c>
      <c r="R60" t="s">
        <v>32</v>
      </c>
      <c r="S60" t="s">
        <v>32</v>
      </c>
      <c r="T60" t="s">
        <v>32</v>
      </c>
      <c r="U60" t="s">
        <v>32</v>
      </c>
      <c r="V60" s="410">
        <f>Yardi!J59</f>
        <v>0</v>
      </c>
    </row>
    <row r="61" spans="1:22" x14ac:dyDescent="0.35">
      <c r="A61" t="s">
        <v>32</v>
      </c>
      <c r="B61" t="s">
        <v>32</v>
      </c>
      <c r="C61" t="s">
        <v>32</v>
      </c>
      <c r="D61" t="s">
        <v>32</v>
      </c>
      <c r="E61" t="s">
        <v>32</v>
      </c>
      <c r="F61" t="s">
        <v>32</v>
      </c>
      <c r="G61" t="s">
        <v>32</v>
      </c>
      <c r="H61" t="s">
        <v>32</v>
      </c>
      <c r="I61" t="s">
        <v>32</v>
      </c>
      <c r="J61" t="s">
        <v>32</v>
      </c>
      <c r="K61" t="s">
        <v>32</v>
      </c>
      <c r="L61" t="s">
        <v>32</v>
      </c>
      <c r="M61" t="s">
        <v>32</v>
      </c>
      <c r="N61" t="s">
        <v>32</v>
      </c>
      <c r="O61" t="str">
        <f>Yardi!K60</f>
        <v>5500-6100</v>
      </c>
      <c r="P61" t="str">
        <f>Yardi!O60</f>
        <v>09/2026 Personal Property Taxes / Business Licences Accrual</v>
      </c>
      <c r="R61" t="s">
        <v>32</v>
      </c>
      <c r="S61" t="s">
        <v>32</v>
      </c>
      <c r="T61" t="s">
        <v>32</v>
      </c>
      <c r="U61" t="s">
        <v>32</v>
      </c>
      <c r="V61" s="410">
        <f>Yardi!J60</f>
        <v>0</v>
      </c>
    </row>
    <row r="62" spans="1:22" x14ac:dyDescent="0.35">
      <c r="A62" t="s">
        <v>32</v>
      </c>
      <c r="B62" t="s">
        <v>32</v>
      </c>
      <c r="C62" t="s">
        <v>32</v>
      </c>
      <c r="D62" t="s">
        <v>32</v>
      </c>
      <c r="E62" t="s">
        <v>32</v>
      </c>
      <c r="F62" t="s">
        <v>32</v>
      </c>
      <c r="G62" t="s">
        <v>32</v>
      </c>
      <c r="H62" t="s">
        <v>32</v>
      </c>
      <c r="I62" t="s">
        <v>32</v>
      </c>
      <c r="J62" t="s">
        <v>32</v>
      </c>
      <c r="K62" t="s">
        <v>32</v>
      </c>
      <c r="L62" t="s">
        <v>32</v>
      </c>
      <c r="M62" t="s">
        <v>32</v>
      </c>
      <c r="N62" t="s">
        <v>32</v>
      </c>
      <c r="O62" t="str">
        <f>Yardi!K61</f>
        <v>2611-3110</v>
      </c>
      <c r="P62" t="str">
        <f>Yardi!O61</f>
        <v>09/2026 Personal Property Taxes / Business Licences Accrual</v>
      </c>
      <c r="R62" t="s">
        <v>32</v>
      </c>
      <c r="S62" t="s">
        <v>32</v>
      </c>
      <c r="T62" t="s">
        <v>32</v>
      </c>
      <c r="U62" t="s">
        <v>32</v>
      </c>
      <c r="V62" s="410">
        <f>Yardi!J61</f>
        <v>0</v>
      </c>
    </row>
    <row r="63" spans="1:22" x14ac:dyDescent="0.35">
      <c r="A63" t="s">
        <v>32</v>
      </c>
      <c r="B63" t="s">
        <v>32</v>
      </c>
      <c r="C63" t="s">
        <v>32</v>
      </c>
      <c r="D63" t="s">
        <v>32</v>
      </c>
      <c r="E63" t="s">
        <v>32</v>
      </c>
      <c r="F63" t="s">
        <v>32</v>
      </c>
      <c r="G63" t="s">
        <v>32</v>
      </c>
      <c r="H63" t="s">
        <v>32</v>
      </c>
      <c r="I63" t="s">
        <v>32</v>
      </c>
      <c r="J63" t="s">
        <v>32</v>
      </c>
      <c r="K63" t="s">
        <v>32</v>
      </c>
      <c r="L63" t="s">
        <v>32</v>
      </c>
      <c r="M63" t="s">
        <v>32</v>
      </c>
      <c r="N63" t="s">
        <v>32</v>
      </c>
      <c r="O63">
        <f>Yardi!K62</f>
        <v>0</v>
      </c>
      <c r="P63" t="str">
        <f>Yardi!O62</f>
        <v>09/2026 Accrual</v>
      </c>
      <c r="R63" t="s">
        <v>32</v>
      </c>
      <c r="S63" t="s">
        <v>32</v>
      </c>
      <c r="T63" t="s">
        <v>32</v>
      </c>
      <c r="U63" t="s">
        <v>32</v>
      </c>
      <c r="V63" s="410">
        <f>Yardi!J62</f>
        <v>0</v>
      </c>
    </row>
    <row r="64" spans="1:22" x14ac:dyDescent="0.35">
      <c r="A64" t="s">
        <v>32</v>
      </c>
      <c r="B64" t="s">
        <v>32</v>
      </c>
      <c r="C64" t="s">
        <v>32</v>
      </c>
      <c r="D64" t="s">
        <v>32</v>
      </c>
      <c r="E64" t="s">
        <v>32</v>
      </c>
      <c r="F64" t="s">
        <v>32</v>
      </c>
      <c r="G64" t="s">
        <v>32</v>
      </c>
      <c r="H64" t="s">
        <v>32</v>
      </c>
      <c r="I64" t="s">
        <v>32</v>
      </c>
      <c r="J64" t="s">
        <v>32</v>
      </c>
      <c r="K64" t="s">
        <v>32</v>
      </c>
      <c r="L64" t="s">
        <v>32</v>
      </c>
      <c r="M64" t="s">
        <v>32</v>
      </c>
      <c r="N64" t="s">
        <v>32</v>
      </c>
      <c r="O64" t="str">
        <f>Yardi!K63</f>
        <v>2611-3110</v>
      </c>
      <c r="P64" t="str">
        <f>Yardi!O63</f>
        <v>09/2026 Accrual</v>
      </c>
      <c r="R64" t="s">
        <v>32</v>
      </c>
      <c r="S64" t="s">
        <v>32</v>
      </c>
      <c r="T64" t="s">
        <v>32</v>
      </c>
      <c r="U64" t="s">
        <v>32</v>
      </c>
      <c r="V64" s="410">
        <f>Yardi!J63</f>
        <v>0</v>
      </c>
    </row>
    <row r="65" spans="1:22" x14ac:dyDescent="0.35">
      <c r="A65" t="s">
        <v>32</v>
      </c>
      <c r="B65" t="s">
        <v>32</v>
      </c>
      <c r="C65" t="s">
        <v>32</v>
      </c>
      <c r="D65" t="s">
        <v>32</v>
      </c>
      <c r="E65" t="s">
        <v>32</v>
      </c>
      <c r="F65" t="s">
        <v>32</v>
      </c>
      <c r="G65" t="s">
        <v>32</v>
      </c>
      <c r="H65" t="s">
        <v>32</v>
      </c>
      <c r="I65" t="s">
        <v>32</v>
      </c>
      <c r="J65" t="s">
        <v>32</v>
      </c>
      <c r="K65" t="s">
        <v>32</v>
      </c>
      <c r="L65" t="s">
        <v>32</v>
      </c>
      <c r="M65" t="s">
        <v>32</v>
      </c>
      <c r="N65" t="s">
        <v>32</v>
      </c>
      <c r="O65">
        <f>Yardi!K64</f>
        <v>0</v>
      </c>
      <c r="P65" t="str">
        <f>Yardi!O64</f>
        <v>09/2026 Accrual</v>
      </c>
      <c r="R65" t="s">
        <v>32</v>
      </c>
      <c r="S65" t="s">
        <v>32</v>
      </c>
      <c r="T65" t="s">
        <v>32</v>
      </c>
      <c r="U65" t="s">
        <v>32</v>
      </c>
      <c r="V65" s="410">
        <f>Yardi!J64</f>
        <v>0</v>
      </c>
    </row>
    <row r="66" spans="1:22" x14ac:dyDescent="0.35">
      <c r="A66" t="s">
        <v>32</v>
      </c>
      <c r="B66" t="s">
        <v>32</v>
      </c>
      <c r="C66" t="s">
        <v>32</v>
      </c>
      <c r="D66" t="s">
        <v>32</v>
      </c>
      <c r="E66" t="s">
        <v>32</v>
      </c>
      <c r="F66" t="s">
        <v>32</v>
      </c>
      <c r="G66" t="s">
        <v>32</v>
      </c>
      <c r="H66" t="s">
        <v>32</v>
      </c>
      <c r="I66" t="s">
        <v>32</v>
      </c>
      <c r="J66" t="s">
        <v>32</v>
      </c>
      <c r="K66" t="s">
        <v>32</v>
      </c>
      <c r="L66" t="s">
        <v>32</v>
      </c>
      <c r="M66" t="s">
        <v>32</v>
      </c>
      <c r="N66" t="s">
        <v>32</v>
      </c>
      <c r="O66" t="str">
        <f>Yardi!K65</f>
        <v>2611-3110</v>
      </c>
      <c r="P66" t="str">
        <f>Yardi!O65</f>
        <v>09/2026 Accrual</v>
      </c>
      <c r="R66" t="s">
        <v>32</v>
      </c>
      <c r="S66" t="s">
        <v>32</v>
      </c>
      <c r="T66" t="s">
        <v>32</v>
      </c>
      <c r="U66" t="s">
        <v>32</v>
      </c>
      <c r="V66" s="410">
        <f>Yardi!J65</f>
        <v>0</v>
      </c>
    </row>
    <row r="67" spans="1:22" x14ac:dyDescent="0.35">
      <c r="A67" t="s">
        <v>32</v>
      </c>
      <c r="B67" t="s">
        <v>32</v>
      </c>
      <c r="C67" t="s">
        <v>32</v>
      </c>
      <c r="D67" t="s">
        <v>32</v>
      </c>
      <c r="E67" t="s">
        <v>32</v>
      </c>
      <c r="F67" t="s">
        <v>32</v>
      </c>
      <c r="G67" t="s">
        <v>32</v>
      </c>
      <c r="H67" t="s">
        <v>32</v>
      </c>
      <c r="I67" t="s">
        <v>32</v>
      </c>
      <c r="J67" t="s">
        <v>32</v>
      </c>
      <c r="K67" t="s">
        <v>32</v>
      </c>
      <c r="L67" t="s">
        <v>32</v>
      </c>
      <c r="M67" t="s">
        <v>32</v>
      </c>
      <c r="N67" t="s">
        <v>32</v>
      </c>
      <c r="O67" t="str">
        <f>Yardi!K66</f>
        <v>5890-6600</v>
      </c>
      <c r="P67" t="str">
        <f>Yardi!O66</f>
        <v>09/2026 Prepaid Hello data Property reports Amortization</v>
      </c>
      <c r="R67" t="s">
        <v>32</v>
      </c>
      <c r="S67" t="s">
        <v>32</v>
      </c>
      <c r="T67" t="s">
        <v>32</v>
      </c>
      <c r="U67" t="s">
        <v>32</v>
      </c>
      <c r="V67" s="410">
        <f>Yardi!J66</f>
        <v>0</v>
      </c>
    </row>
    <row r="68" spans="1:22" x14ac:dyDescent="0.35">
      <c r="A68" t="s">
        <v>32</v>
      </c>
      <c r="B68" t="s">
        <v>32</v>
      </c>
      <c r="C68" t="s">
        <v>32</v>
      </c>
      <c r="D68" t="s">
        <v>32</v>
      </c>
      <c r="E68" t="s">
        <v>32</v>
      </c>
      <c r="F68" t="s">
        <v>32</v>
      </c>
      <c r="G68" t="s">
        <v>32</v>
      </c>
      <c r="H68" t="s">
        <v>32</v>
      </c>
      <c r="I68" t="s">
        <v>32</v>
      </c>
      <c r="J68" t="s">
        <v>32</v>
      </c>
      <c r="K68" t="s">
        <v>32</v>
      </c>
      <c r="L68" t="s">
        <v>32</v>
      </c>
      <c r="M68" t="s">
        <v>32</v>
      </c>
      <c r="N68" t="s">
        <v>32</v>
      </c>
      <c r="O68" t="str">
        <f>Yardi!K67</f>
        <v>1630-8910</v>
      </c>
      <c r="P68" t="str">
        <f>Yardi!O67</f>
        <v>09/2026 Prepaid Hello data Property reports Amortization</v>
      </c>
      <c r="R68" t="s">
        <v>32</v>
      </c>
      <c r="S68" t="s">
        <v>32</v>
      </c>
      <c r="T68" t="s">
        <v>32</v>
      </c>
      <c r="U68" t="s">
        <v>32</v>
      </c>
      <c r="V68" s="410">
        <f>Yardi!J67</f>
        <v>0</v>
      </c>
    </row>
    <row r="69" spans="1:22" x14ac:dyDescent="0.35">
      <c r="A69" t="s">
        <v>32</v>
      </c>
      <c r="B69" t="s">
        <v>32</v>
      </c>
      <c r="C69" t="s">
        <v>32</v>
      </c>
      <c r="D69" t="s">
        <v>32</v>
      </c>
      <c r="E69" t="s">
        <v>32</v>
      </c>
      <c r="F69" t="s">
        <v>32</v>
      </c>
      <c r="G69" t="s">
        <v>32</v>
      </c>
      <c r="H69" t="s">
        <v>32</v>
      </c>
      <c r="I69" t="s">
        <v>32</v>
      </c>
      <c r="J69" t="s">
        <v>32</v>
      </c>
      <c r="K69" t="s">
        <v>32</v>
      </c>
      <c r="L69" t="s">
        <v>32</v>
      </c>
      <c r="M69" t="s">
        <v>32</v>
      </c>
      <c r="N69" t="s">
        <v>32</v>
      </c>
      <c r="O69" t="e">
        <f>Yardi!K68</f>
        <v>#REF!</v>
      </c>
      <c r="P69" t="e">
        <f>Yardi!O68</f>
        <v>#REF!</v>
      </c>
      <c r="R69" t="s">
        <v>32</v>
      </c>
      <c r="S69" t="s">
        <v>32</v>
      </c>
      <c r="T69" t="s">
        <v>32</v>
      </c>
      <c r="U69" t="s">
        <v>32</v>
      </c>
      <c r="V69" s="410">
        <f>Yardi!J68</f>
        <v>0</v>
      </c>
    </row>
    <row r="70" spans="1:22" x14ac:dyDescent="0.35">
      <c r="A70" t="s">
        <v>32</v>
      </c>
      <c r="B70" t="s">
        <v>32</v>
      </c>
      <c r="C70" t="s">
        <v>32</v>
      </c>
      <c r="D70" t="s">
        <v>32</v>
      </c>
      <c r="E70" t="s">
        <v>32</v>
      </c>
      <c r="F70" t="s">
        <v>32</v>
      </c>
      <c r="G70" t="s">
        <v>32</v>
      </c>
      <c r="H70" t="s">
        <v>32</v>
      </c>
      <c r="I70" t="s">
        <v>32</v>
      </c>
      <c r="J70" t="s">
        <v>32</v>
      </c>
      <c r="K70" t="s">
        <v>32</v>
      </c>
      <c r="L70" t="s">
        <v>32</v>
      </c>
      <c r="M70" t="s">
        <v>32</v>
      </c>
      <c r="N70" t="s">
        <v>32</v>
      </c>
      <c r="O70" t="str">
        <f>Yardi!K69</f>
        <v>1630-8910</v>
      </c>
      <c r="P70" t="e">
        <f>Yardi!O69</f>
        <v>#REF!</v>
      </c>
      <c r="R70" t="s">
        <v>32</v>
      </c>
      <c r="S70" t="s">
        <v>32</v>
      </c>
      <c r="T70" t="s">
        <v>32</v>
      </c>
      <c r="U70" t="s">
        <v>32</v>
      </c>
      <c r="V70" s="410">
        <f>Yardi!J69</f>
        <v>0</v>
      </c>
    </row>
    <row r="71" spans="1:22" x14ac:dyDescent="0.35">
      <c r="A71" t="s">
        <v>32</v>
      </c>
      <c r="B71" t="s">
        <v>32</v>
      </c>
      <c r="C71" t="s">
        <v>32</v>
      </c>
      <c r="D71" t="s">
        <v>32</v>
      </c>
      <c r="E71" t="s">
        <v>32</v>
      </c>
      <c r="F71" t="s">
        <v>32</v>
      </c>
      <c r="G71" t="s">
        <v>32</v>
      </c>
      <c r="H71" t="s">
        <v>32</v>
      </c>
      <c r="I71" t="s">
        <v>32</v>
      </c>
      <c r="J71" t="s">
        <v>32</v>
      </c>
      <c r="K71" t="s">
        <v>32</v>
      </c>
      <c r="L71" t="s">
        <v>32</v>
      </c>
      <c r="M71" t="s">
        <v>32</v>
      </c>
      <c r="N71" t="s">
        <v>32</v>
      </c>
      <c r="O71" t="e">
        <f>Yardi!K70</f>
        <v>#REF!</v>
      </c>
      <c r="P71" t="e">
        <f>Yardi!O70</f>
        <v>#REF!</v>
      </c>
      <c r="R71" t="s">
        <v>32</v>
      </c>
      <c r="S71" t="s">
        <v>32</v>
      </c>
      <c r="T71" t="s">
        <v>32</v>
      </c>
      <c r="U71" t="s">
        <v>32</v>
      </c>
      <c r="V71" s="410">
        <f>Yardi!J70</f>
        <v>0</v>
      </c>
    </row>
    <row r="72" spans="1:22" x14ac:dyDescent="0.35">
      <c r="A72" t="s">
        <v>32</v>
      </c>
      <c r="B72" t="s">
        <v>32</v>
      </c>
      <c r="C72" t="s">
        <v>32</v>
      </c>
      <c r="D72" t="s">
        <v>32</v>
      </c>
      <c r="E72" t="s">
        <v>32</v>
      </c>
      <c r="F72" t="s">
        <v>32</v>
      </c>
      <c r="G72" t="s">
        <v>32</v>
      </c>
      <c r="H72" t="s">
        <v>32</v>
      </c>
      <c r="I72" t="s">
        <v>32</v>
      </c>
      <c r="J72" t="s">
        <v>32</v>
      </c>
      <c r="K72" t="s">
        <v>32</v>
      </c>
      <c r="L72" t="s">
        <v>32</v>
      </c>
      <c r="M72" t="s">
        <v>32</v>
      </c>
      <c r="N72" t="s">
        <v>32</v>
      </c>
      <c r="O72" t="str">
        <f>Yardi!K71</f>
        <v>1630-8910</v>
      </c>
      <c r="P72" t="e">
        <f>Yardi!O71</f>
        <v>#REF!</v>
      </c>
      <c r="R72" t="s">
        <v>32</v>
      </c>
      <c r="S72" t="s">
        <v>32</v>
      </c>
      <c r="T72" t="s">
        <v>32</v>
      </c>
      <c r="U72" t="s">
        <v>32</v>
      </c>
      <c r="V72" s="410">
        <f>Yardi!J71</f>
        <v>0</v>
      </c>
    </row>
    <row r="73" spans="1:22" x14ac:dyDescent="0.35">
      <c r="A73" t="s">
        <v>32</v>
      </c>
      <c r="B73" t="s">
        <v>32</v>
      </c>
      <c r="C73" t="s">
        <v>32</v>
      </c>
      <c r="D73" t="s">
        <v>32</v>
      </c>
      <c r="E73" t="s">
        <v>32</v>
      </c>
      <c r="F73" t="s">
        <v>32</v>
      </c>
      <c r="G73" t="s">
        <v>32</v>
      </c>
      <c r="H73" t="s">
        <v>32</v>
      </c>
      <c r="I73" t="s">
        <v>32</v>
      </c>
      <c r="J73" t="s">
        <v>32</v>
      </c>
      <c r="K73" t="s">
        <v>32</v>
      </c>
      <c r="L73" t="s">
        <v>32</v>
      </c>
      <c r="M73" t="s">
        <v>32</v>
      </c>
      <c r="N73" t="s">
        <v>32</v>
      </c>
      <c r="O73" t="e">
        <f>Yardi!K72</f>
        <v>#REF!</v>
      </c>
      <c r="P73" t="e">
        <f>Yardi!O72</f>
        <v>#REF!</v>
      </c>
      <c r="R73" t="s">
        <v>32</v>
      </c>
      <c r="S73" t="s">
        <v>32</v>
      </c>
      <c r="T73" t="s">
        <v>32</v>
      </c>
      <c r="U73" t="s">
        <v>32</v>
      </c>
      <c r="V73" s="410">
        <f>Yardi!J72</f>
        <v>0</v>
      </c>
    </row>
    <row r="74" spans="1:22" x14ac:dyDescent="0.35">
      <c r="A74" t="s">
        <v>32</v>
      </c>
      <c r="B74" t="s">
        <v>32</v>
      </c>
      <c r="C74" t="s">
        <v>32</v>
      </c>
      <c r="D74" t="s">
        <v>32</v>
      </c>
      <c r="E74" t="s">
        <v>32</v>
      </c>
      <c r="F74" t="s">
        <v>32</v>
      </c>
      <c r="G74" t="s">
        <v>32</v>
      </c>
      <c r="H74" t="s">
        <v>32</v>
      </c>
      <c r="I74" t="s">
        <v>32</v>
      </c>
      <c r="J74" t="s">
        <v>32</v>
      </c>
      <c r="K74" t="s">
        <v>32</v>
      </c>
      <c r="L74" t="s">
        <v>32</v>
      </c>
      <c r="M74" t="s">
        <v>32</v>
      </c>
      <c r="N74" t="s">
        <v>32</v>
      </c>
      <c r="O74" t="str">
        <f>Yardi!K73</f>
        <v>1630-8910</v>
      </c>
      <c r="P74" t="e">
        <f>Yardi!O73</f>
        <v>#REF!</v>
      </c>
      <c r="R74" t="s">
        <v>32</v>
      </c>
      <c r="S74" t="s">
        <v>32</v>
      </c>
      <c r="T74" t="s">
        <v>32</v>
      </c>
      <c r="U74" t="s">
        <v>32</v>
      </c>
      <c r="V74" s="410">
        <f>Yardi!J73</f>
        <v>0</v>
      </c>
    </row>
    <row r="75" spans="1:22" x14ac:dyDescent="0.35">
      <c r="A75" t="s">
        <v>32</v>
      </c>
      <c r="B75" t="s">
        <v>32</v>
      </c>
      <c r="C75" t="s">
        <v>32</v>
      </c>
      <c r="D75" t="s">
        <v>32</v>
      </c>
      <c r="E75" t="s">
        <v>32</v>
      </c>
      <c r="F75" t="s">
        <v>32</v>
      </c>
      <c r="G75" t="s">
        <v>32</v>
      </c>
      <c r="H75" t="s">
        <v>32</v>
      </c>
      <c r="I75" t="s">
        <v>32</v>
      </c>
      <c r="J75" t="s">
        <v>32</v>
      </c>
      <c r="K75" t="s">
        <v>32</v>
      </c>
      <c r="L75" t="s">
        <v>32</v>
      </c>
      <c r="M75" t="s">
        <v>32</v>
      </c>
      <c r="N75" t="s">
        <v>32</v>
      </c>
      <c r="O75" t="str">
        <f>Yardi!K74</f>
        <v>5890-6350</v>
      </c>
      <c r="P75" t="str">
        <f>Yardi!O74</f>
        <v>09/2026 Prepaid Cobu Subscription - For the period 5/1/25 - 4/30/26 Amortization</v>
      </c>
      <c r="R75" t="s">
        <v>32</v>
      </c>
      <c r="S75" t="s">
        <v>32</v>
      </c>
      <c r="T75" t="s">
        <v>32</v>
      </c>
      <c r="U75" t="s">
        <v>32</v>
      </c>
      <c r="V75" s="410">
        <f>Yardi!J74</f>
        <v>0</v>
      </c>
    </row>
    <row r="76" spans="1:22" x14ac:dyDescent="0.35">
      <c r="A76" t="s">
        <v>32</v>
      </c>
      <c r="B76" t="s">
        <v>32</v>
      </c>
      <c r="C76" t="s">
        <v>32</v>
      </c>
      <c r="D76" t="s">
        <v>32</v>
      </c>
      <c r="E76" t="s">
        <v>32</v>
      </c>
      <c r="F76" t="s">
        <v>32</v>
      </c>
      <c r="G76" t="s">
        <v>32</v>
      </c>
      <c r="H76" t="s">
        <v>32</v>
      </c>
      <c r="I76" t="s">
        <v>32</v>
      </c>
      <c r="J76" t="s">
        <v>32</v>
      </c>
      <c r="K76" t="s">
        <v>32</v>
      </c>
      <c r="L76" t="s">
        <v>32</v>
      </c>
      <c r="M76" t="s">
        <v>32</v>
      </c>
      <c r="N76" t="s">
        <v>32</v>
      </c>
      <c r="O76" t="str">
        <f>Yardi!K75</f>
        <v>1630-8910</v>
      </c>
      <c r="P76" t="str">
        <f>Yardi!O75</f>
        <v>09/2026 Prepaid Cobu Subscription - For the period 5/1/25 - 4/30/26 Amortization</v>
      </c>
      <c r="R76" t="s">
        <v>32</v>
      </c>
      <c r="S76" t="s">
        <v>32</v>
      </c>
      <c r="T76" t="s">
        <v>32</v>
      </c>
      <c r="U76" t="s">
        <v>32</v>
      </c>
      <c r="V76" s="410">
        <f>Yardi!J75</f>
        <v>0</v>
      </c>
    </row>
    <row r="77" spans="1:22" x14ac:dyDescent="0.35">
      <c r="A77" t="s">
        <v>32</v>
      </c>
      <c r="B77" t="s">
        <v>32</v>
      </c>
      <c r="C77" t="s">
        <v>32</v>
      </c>
      <c r="D77" t="s">
        <v>32</v>
      </c>
      <c r="E77" t="s">
        <v>32</v>
      </c>
      <c r="F77" t="s">
        <v>32</v>
      </c>
      <c r="G77" t="s">
        <v>32</v>
      </c>
      <c r="H77" t="s">
        <v>32</v>
      </c>
      <c r="I77" t="s">
        <v>32</v>
      </c>
      <c r="J77" t="s">
        <v>32</v>
      </c>
      <c r="K77" t="s">
        <v>32</v>
      </c>
      <c r="L77" t="s">
        <v>32</v>
      </c>
      <c r="M77" t="s">
        <v>32</v>
      </c>
      <c r="N77" t="s">
        <v>32</v>
      </c>
      <c r="O77" t="str">
        <f>Yardi!K76</f>
        <v>5600-4000</v>
      </c>
      <c r="P77" t="str">
        <f>Yardi!O76</f>
        <v>09/2026 Prepaid Annual Support Fee - Locker | July 2025 - June 2026 Luxer One Amortization</v>
      </c>
      <c r="R77" t="s">
        <v>32</v>
      </c>
      <c r="S77" t="s">
        <v>32</v>
      </c>
      <c r="T77" t="s">
        <v>32</v>
      </c>
      <c r="U77" t="s">
        <v>32</v>
      </c>
      <c r="V77" s="410">
        <f>Yardi!J76</f>
        <v>0</v>
      </c>
    </row>
    <row r="78" spans="1:22" x14ac:dyDescent="0.35">
      <c r="A78" t="s">
        <v>32</v>
      </c>
      <c r="B78" t="s">
        <v>32</v>
      </c>
      <c r="C78" t="s">
        <v>32</v>
      </c>
      <c r="D78" t="s">
        <v>32</v>
      </c>
      <c r="E78" t="s">
        <v>32</v>
      </c>
      <c r="F78" t="s">
        <v>32</v>
      </c>
      <c r="G78" t="s">
        <v>32</v>
      </c>
      <c r="H78" t="s">
        <v>32</v>
      </c>
      <c r="I78" t="s">
        <v>32</v>
      </c>
      <c r="J78" t="s">
        <v>32</v>
      </c>
      <c r="K78" t="s">
        <v>32</v>
      </c>
      <c r="L78" t="s">
        <v>32</v>
      </c>
      <c r="M78" t="s">
        <v>32</v>
      </c>
      <c r="N78" t="s">
        <v>32</v>
      </c>
      <c r="O78" t="str">
        <f>Yardi!K77</f>
        <v>1630-8910</v>
      </c>
      <c r="P78" t="str">
        <f>Yardi!O77</f>
        <v>09/2026 Prepaid Annual Support Fee - Locker | July 2025 - June 2026 Luxer One Amortization</v>
      </c>
      <c r="R78" t="s">
        <v>32</v>
      </c>
      <c r="S78" t="s">
        <v>32</v>
      </c>
      <c r="T78" t="s">
        <v>32</v>
      </c>
      <c r="U78" t="s">
        <v>32</v>
      </c>
      <c r="V78" s="410">
        <f>Yardi!J77</f>
        <v>0</v>
      </c>
    </row>
    <row r="79" spans="1:22" x14ac:dyDescent="0.35">
      <c r="A79" t="s">
        <v>32</v>
      </c>
      <c r="B79" t="s">
        <v>32</v>
      </c>
      <c r="C79" t="s">
        <v>32</v>
      </c>
      <c r="D79" t="s">
        <v>32</v>
      </c>
      <c r="E79" t="s">
        <v>32</v>
      </c>
      <c r="F79" t="s">
        <v>32</v>
      </c>
      <c r="G79" t="s">
        <v>32</v>
      </c>
      <c r="H79" t="s">
        <v>32</v>
      </c>
      <c r="I79" t="s">
        <v>32</v>
      </c>
      <c r="J79" t="s">
        <v>32</v>
      </c>
      <c r="K79" t="s">
        <v>32</v>
      </c>
      <c r="L79" t="s">
        <v>32</v>
      </c>
      <c r="M79" t="s">
        <v>32</v>
      </c>
      <c r="N79" t="s">
        <v>32</v>
      </c>
      <c r="O79" t="str">
        <f>Yardi!K78</f>
        <v>5890-6800</v>
      </c>
      <c r="P79" t="str">
        <f>Yardi!O78</f>
        <v>09/2026 Prepaid 01/26 Graphic Design Tool Renewal Service Period:03/2026 - 12/2026 Amortization</v>
      </c>
      <c r="R79" t="s">
        <v>32</v>
      </c>
      <c r="S79" t="s">
        <v>32</v>
      </c>
      <c r="T79" t="s">
        <v>32</v>
      </c>
      <c r="U79" t="s">
        <v>32</v>
      </c>
      <c r="V79" s="410">
        <f>Yardi!J78</f>
        <v>0</v>
      </c>
    </row>
    <row r="80" spans="1:22" x14ac:dyDescent="0.35">
      <c r="A80" t="s">
        <v>32</v>
      </c>
      <c r="B80" t="s">
        <v>32</v>
      </c>
      <c r="C80" t="s">
        <v>32</v>
      </c>
      <c r="D80" t="s">
        <v>32</v>
      </c>
      <c r="E80" t="s">
        <v>32</v>
      </c>
      <c r="F80" t="s">
        <v>32</v>
      </c>
      <c r="G80" t="s">
        <v>32</v>
      </c>
      <c r="H80" t="s">
        <v>32</v>
      </c>
      <c r="I80" t="s">
        <v>32</v>
      </c>
      <c r="J80" t="s">
        <v>32</v>
      </c>
      <c r="K80" t="s">
        <v>32</v>
      </c>
      <c r="L80" t="s">
        <v>32</v>
      </c>
      <c r="M80" t="s">
        <v>32</v>
      </c>
      <c r="N80" t="s">
        <v>32</v>
      </c>
      <c r="O80" t="str">
        <f>Yardi!K79</f>
        <v>1630-8910</v>
      </c>
      <c r="P80" t="str">
        <f>Yardi!O79</f>
        <v>09/2026 Prepaid 01/26 Graphic Design Tool Renewal Service Period:03/2026 - 12/2026 Amortization</v>
      </c>
      <c r="R80" t="s">
        <v>32</v>
      </c>
      <c r="S80" t="s">
        <v>32</v>
      </c>
      <c r="T80" t="s">
        <v>32</v>
      </c>
      <c r="U80" t="s">
        <v>32</v>
      </c>
      <c r="V80" s="410">
        <f>Yardi!J79</f>
        <v>0</v>
      </c>
    </row>
    <row r="81" spans="1:22" x14ac:dyDescent="0.35">
      <c r="A81" t="s">
        <v>32</v>
      </c>
      <c r="B81" t="s">
        <v>32</v>
      </c>
      <c r="C81" t="s">
        <v>32</v>
      </c>
      <c r="D81" t="s">
        <v>32</v>
      </c>
      <c r="E81" t="s">
        <v>32</v>
      </c>
      <c r="F81" t="s">
        <v>32</v>
      </c>
      <c r="G81" t="s">
        <v>32</v>
      </c>
      <c r="H81" t="s">
        <v>32</v>
      </c>
      <c r="I81" t="s">
        <v>32</v>
      </c>
      <c r="J81" t="s">
        <v>32</v>
      </c>
      <c r="K81" t="s">
        <v>32</v>
      </c>
      <c r="L81" t="s">
        <v>32</v>
      </c>
      <c r="M81" t="s">
        <v>32</v>
      </c>
      <c r="N81" t="s">
        <v>32</v>
      </c>
      <c r="O81" t="str">
        <f>Yardi!K80</f>
        <v>5600-4000</v>
      </c>
      <c r="P81" t="str">
        <f>Yardi!O80</f>
        <v>09/2026 Prepaid June Service Fees Amortization</v>
      </c>
      <c r="R81" t="s">
        <v>32</v>
      </c>
      <c r="S81" t="s">
        <v>32</v>
      </c>
      <c r="T81" t="s">
        <v>32</v>
      </c>
      <c r="U81" t="s">
        <v>32</v>
      </c>
      <c r="V81" s="410">
        <f>Yardi!J80</f>
        <v>0</v>
      </c>
    </row>
    <row r="82" spans="1:22" x14ac:dyDescent="0.35">
      <c r="A82" t="s">
        <v>32</v>
      </c>
      <c r="B82" t="s">
        <v>32</v>
      </c>
      <c r="C82" t="s">
        <v>32</v>
      </c>
      <c r="D82" t="s">
        <v>32</v>
      </c>
      <c r="E82" t="s">
        <v>32</v>
      </c>
      <c r="F82" t="s">
        <v>32</v>
      </c>
      <c r="G82" t="s">
        <v>32</v>
      </c>
      <c r="H82" t="s">
        <v>32</v>
      </c>
      <c r="I82" t="s">
        <v>32</v>
      </c>
      <c r="J82" t="s">
        <v>32</v>
      </c>
      <c r="K82" t="s">
        <v>32</v>
      </c>
      <c r="L82" t="s">
        <v>32</v>
      </c>
      <c r="M82" t="s">
        <v>32</v>
      </c>
      <c r="N82" t="s">
        <v>32</v>
      </c>
      <c r="O82" t="str">
        <f>Yardi!K81</f>
        <v>1630-8910</v>
      </c>
      <c r="P82" t="str">
        <f>Yardi!O81</f>
        <v>09/2026 Prepaid June Service Fees Amortization</v>
      </c>
      <c r="R82" t="s">
        <v>32</v>
      </c>
      <c r="S82" t="s">
        <v>32</v>
      </c>
      <c r="T82" t="s">
        <v>32</v>
      </c>
      <c r="U82" t="s">
        <v>32</v>
      </c>
      <c r="V82" s="410">
        <f>Yardi!J81</f>
        <v>0</v>
      </c>
    </row>
    <row r="83" spans="1:22" x14ac:dyDescent="0.35">
      <c r="A83" t="s">
        <v>32</v>
      </c>
      <c r="B83" t="s">
        <v>32</v>
      </c>
      <c r="C83" t="s">
        <v>32</v>
      </c>
      <c r="D83" t="s">
        <v>32</v>
      </c>
      <c r="E83" t="s">
        <v>32</v>
      </c>
      <c r="F83" t="s">
        <v>32</v>
      </c>
      <c r="G83" t="s">
        <v>32</v>
      </c>
      <c r="H83" t="s">
        <v>32</v>
      </c>
      <c r="I83" t="s">
        <v>32</v>
      </c>
      <c r="J83" t="s">
        <v>32</v>
      </c>
      <c r="K83" t="s">
        <v>32</v>
      </c>
      <c r="L83" t="s">
        <v>32</v>
      </c>
      <c r="M83" t="s">
        <v>32</v>
      </c>
      <c r="N83" t="s">
        <v>32</v>
      </c>
      <c r="O83" t="str">
        <f>Yardi!K82</f>
        <v>5890-6100</v>
      </c>
      <c r="P83" t="str">
        <f>Yardi!O82</f>
        <v>09/2026 Prepaid 04/26 ORM Yearly Renewal - Full Bundle 0426ORM|rpresshi| (07/26-03/27) Amortization</v>
      </c>
      <c r="R83" t="s">
        <v>32</v>
      </c>
      <c r="S83" t="s">
        <v>32</v>
      </c>
      <c r="T83" t="s">
        <v>32</v>
      </c>
      <c r="U83" t="s">
        <v>32</v>
      </c>
      <c r="V83" s="410">
        <f>Yardi!J82</f>
        <v>172.85</v>
      </c>
    </row>
    <row r="84" spans="1:22" x14ac:dyDescent="0.35">
      <c r="A84" t="s">
        <v>32</v>
      </c>
      <c r="B84" t="s">
        <v>32</v>
      </c>
      <c r="C84" t="s">
        <v>32</v>
      </c>
      <c r="D84" t="s">
        <v>32</v>
      </c>
      <c r="E84" t="s">
        <v>32</v>
      </c>
      <c r="F84" t="s">
        <v>32</v>
      </c>
      <c r="G84" t="s">
        <v>32</v>
      </c>
      <c r="H84" t="s">
        <v>32</v>
      </c>
      <c r="I84" t="s">
        <v>32</v>
      </c>
      <c r="J84" t="s">
        <v>32</v>
      </c>
      <c r="K84" t="s">
        <v>32</v>
      </c>
      <c r="L84" t="s">
        <v>32</v>
      </c>
      <c r="M84" t="s">
        <v>32</v>
      </c>
      <c r="N84" t="s">
        <v>32</v>
      </c>
      <c r="O84" t="str">
        <f>Yardi!K83</f>
        <v>1630-8910</v>
      </c>
      <c r="P84" t="str">
        <f>Yardi!O83</f>
        <v>09/2026 Prepaid 04/26 ORM Yearly Renewal - Full Bundle 0426ORM|rpresshi| (07/26-03/27) Amortization</v>
      </c>
      <c r="R84" t="s">
        <v>32</v>
      </c>
      <c r="S84" t="s">
        <v>32</v>
      </c>
      <c r="T84" t="s">
        <v>32</v>
      </c>
      <c r="U84" t="s">
        <v>32</v>
      </c>
      <c r="V84" s="410">
        <f>Yardi!J83</f>
        <v>-172.85</v>
      </c>
    </row>
    <row r="85" spans="1:22" x14ac:dyDescent="0.35">
      <c r="A85" t="s">
        <v>32</v>
      </c>
      <c r="B85" t="s">
        <v>32</v>
      </c>
      <c r="C85" t="s">
        <v>32</v>
      </c>
      <c r="D85" t="s">
        <v>32</v>
      </c>
      <c r="E85" t="s">
        <v>32</v>
      </c>
      <c r="F85" t="s">
        <v>32</v>
      </c>
      <c r="G85" t="s">
        <v>32</v>
      </c>
      <c r="H85" t="s">
        <v>32</v>
      </c>
      <c r="I85" t="s">
        <v>32</v>
      </c>
      <c r="J85" t="s">
        <v>32</v>
      </c>
      <c r="K85" t="s">
        <v>32</v>
      </c>
      <c r="L85" t="s">
        <v>32</v>
      </c>
      <c r="M85" t="s">
        <v>32</v>
      </c>
      <c r="N85" t="s">
        <v>32</v>
      </c>
      <c r="O85" t="str">
        <f>Yardi!K84</f>
        <v>5400-1200</v>
      </c>
      <c r="P85" t="str">
        <f>Yardi!O84</f>
        <v>09/2026 Prepaid Propane and Fees Amortization</v>
      </c>
      <c r="R85" t="s">
        <v>32</v>
      </c>
      <c r="S85" t="s">
        <v>32</v>
      </c>
      <c r="T85" t="s">
        <v>32</v>
      </c>
      <c r="U85" t="s">
        <v>32</v>
      </c>
      <c r="V85" s="410">
        <f>Yardi!J84</f>
        <v>0</v>
      </c>
    </row>
    <row r="86" spans="1:22" x14ac:dyDescent="0.35">
      <c r="A86" t="s">
        <v>32</v>
      </c>
      <c r="B86" t="s">
        <v>32</v>
      </c>
      <c r="C86" t="s">
        <v>32</v>
      </c>
      <c r="D86" t="s">
        <v>32</v>
      </c>
      <c r="E86" t="s">
        <v>32</v>
      </c>
      <c r="F86" t="s">
        <v>32</v>
      </c>
      <c r="G86" t="s">
        <v>32</v>
      </c>
      <c r="H86" t="s">
        <v>32</v>
      </c>
      <c r="I86" t="s">
        <v>32</v>
      </c>
      <c r="J86" t="s">
        <v>32</v>
      </c>
      <c r="K86" t="s">
        <v>32</v>
      </c>
      <c r="L86" t="s">
        <v>32</v>
      </c>
      <c r="M86" t="s">
        <v>32</v>
      </c>
      <c r="N86" t="s">
        <v>32</v>
      </c>
      <c r="O86" t="str">
        <f>Yardi!K85</f>
        <v>1630-8910</v>
      </c>
      <c r="P86" t="str">
        <f>Yardi!O85</f>
        <v>09/2026 Prepaid Propane and Fees Amortization</v>
      </c>
      <c r="R86" t="s">
        <v>32</v>
      </c>
      <c r="S86" t="s">
        <v>32</v>
      </c>
      <c r="T86" t="s">
        <v>32</v>
      </c>
      <c r="U86" t="s">
        <v>32</v>
      </c>
      <c r="V86" s="410">
        <f>Yardi!J85</f>
        <v>0</v>
      </c>
    </row>
    <row r="87" spans="1:22" x14ac:dyDescent="0.35">
      <c r="A87" t="s">
        <v>32</v>
      </c>
      <c r="B87" t="s">
        <v>32</v>
      </c>
      <c r="C87" t="s">
        <v>32</v>
      </c>
      <c r="D87" t="s">
        <v>32</v>
      </c>
      <c r="E87" t="s">
        <v>32</v>
      </c>
      <c r="F87" t="s">
        <v>32</v>
      </c>
      <c r="G87" t="s">
        <v>32</v>
      </c>
      <c r="H87" t="s">
        <v>32</v>
      </c>
      <c r="I87" t="s">
        <v>32</v>
      </c>
      <c r="J87" t="s">
        <v>32</v>
      </c>
      <c r="K87" t="s">
        <v>32</v>
      </c>
      <c r="L87" t="s">
        <v>32</v>
      </c>
      <c r="M87" t="s">
        <v>32</v>
      </c>
      <c r="N87" t="s">
        <v>32</v>
      </c>
      <c r="O87" t="str">
        <f>Yardi!K86</f>
        <v>5300-4200</v>
      </c>
      <c r="P87" t="str">
        <f>Yardi!O86</f>
        <v>09/2026 Prepaid 07/26 Monthly Landscape Maintenance Amortization</v>
      </c>
      <c r="R87" t="s">
        <v>32</v>
      </c>
      <c r="S87" t="s">
        <v>32</v>
      </c>
      <c r="T87" t="s">
        <v>32</v>
      </c>
      <c r="U87" t="s">
        <v>32</v>
      </c>
      <c r="V87" s="410">
        <f>Yardi!J86</f>
        <v>0</v>
      </c>
    </row>
    <row r="88" spans="1:22" x14ac:dyDescent="0.35">
      <c r="A88" t="s">
        <v>32</v>
      </c>
      <c r="B88" t="s">
        <v>32</v>
      </c>
      <c r="C88" t="s">
        <v>32</v>
      </c>
      <c r="D88" t="s">
        <v>32</v>
      </c>
      <c r="E88" t="s">
        <v>32</v>
      </c>
      <c r="F88" t="s">
        <v>32</v>
      </c>
      <c r="G88" t="s">
        <v>32</v>
      </c>
      <c r="H88" t="s">
        <v>32</v>
      </c>
      <c r="I88" t="s">
        <v>32</v>
      </c>
      <c r="J88" t="s">
        <v>32</v>
      </c>
      <c r="K88" t="s">
        <v>32</v>
      </c>
      <c r="L88" t="s">
        <v>32</v>
      </c>
      <c r="M88" t="s">
        <v>32</v>
      </c>
      <c r="N88" t="s">
        <v>32</v>
      </c>
      <c r="O88" t="str">
        <f>Yardi!K87</f>
        <v>1630-8910</v>
      </c>
      <c r="P88" t="str">
        <f>Yardi!O87</f>
        <v>09/2026 Prepaid 07/26 Monthly Landscape Maintenance Amortization</v>
      </c>
      <c r="R88" t="s">
        <v>32</v>
      </c>
      <c r="S88" t="s">
        <v>32</v>
      </c>
      <c r="T88" t="s">
        <v>32</v>
      </c>
      <c r="U88" t="s">
        <v>32</v>
      </c>
      <c r="V88" s="410">
        <f>Yardi!J87</f>
        <v>0</v>
      </c>
    </row>
    <row r="89" spans="1:22" x14ac:dyDescent="0.35">
      <c r="A89" t="s">
        <v>32</v>
      </c>
      <c r="B89" t="s">
        <v>32</v>
      </c>
      <c r="C89" t="s">
        <v>32</v>
      </c>
      <c r="D89" t="s">
        <v>32</v>
      </c>
      <c r="E89" t="s">
        <v>32</v>
      </c>
      <c r="F89" t="s">
        <v>32</v>
      </c>
      <c r="G89" t="s">
        <v>32</v>
      </c>
      <c r="H89" t="s">
        <v>32</v>
      </c>
      <c r="I89" t="s">
        <v>32</v>
      </c>
      <c r="J89" t="s">
        <v>32</v>
      </c>
      <c r="K89" t="s">
        <v>32</v>
      </c>
      <c r="L89" t="s">
        <v>32</v>
      </c>
      <c r="M89" t="s">
        <v>32</v>
      </c>
      <c r="N89" t="s">
        <v>32</v>
      </c>
      <c r="O89" t="e">
        <f>Yardi!K88</f>
        <v>#REF!</v>
      </c>
      <c r="P89" t="e">
        <f>Yardi!O88</f>
        <v>#REF!</v>
      </c>
      <c r="R89" t="s">
        <v>32</v>
      </c>
      <c r="S89" t="s">
        <v>32</v>
      </c>
      <c r="T89" t="s">
        <v>32</v>
      </c>
      <c r="U89" t="s">
        <v>32</v>
      </c>
      <c r="V89" s="410">
        <f>Yardi!J88</f>
        <v>0</v>
      </c>
    </row>
    <row r="90" spans="1:22" x14ac:dyDescent="0.35">
      <c r="A90" t="s">
        <v>32</v>
      </c>
      <c r="B90" t="s">
        <v>32</v>
      </c>
      <c r="C90" t="s">
        <v>32</v>
      </c>
      <c r="D90" t="s">
        <v>32</v>
      </c>
      <c r="E90" t="s">
        <v>32</v>
      </c>
      <c r="F90" t="s">
        <v>32</v>
      </c>
      <c r="G90" t="s">
        <v>32</v>
      </c>
      <c r="H90" t="s">
        <v>32</v>
      </c>
      <c r="I90" t="s">
        <v>32</v>
      </c>
      <c r="J90" t="s">
        <v>32</v>
      </c>
      <c r="K90" t="s">
        <v>32</v>
      </c>
      <c r="L90" t="s">
        <v>32</v>
      </c>
      <c r="M90" t="s">
        <v>32</v>
      </c>
      <c r="N90" t="s">
        <v>32</v>
      </c>
      <c r="O90" t="str">
        <f>Yardi!K89</f>
        <v>1630-8910</v>
      </c>
      <c r="P90" t="e">
        <f>Yardi!O89</f>
        <v>#REF!</v>
      </c>
      <c r="R90" t="s">
        <v>32</v>
      </c>
      <c r="S90" t="s">
        <v>32</v>
      </c>
      <c r="T90" t="s">
        <v>32</v>
      </c>
      <c r="U90" t="s">
        <v>32</v>
      </c>
      <c r="V90" s="410">
        <f>Yardi!J89</f>
        <v>0</v>
      </c>
    </row>
    <row r="91" spans="1:22" x14ac:dyDescent="0.35">
      <c r="A91" t="s">
        <v>32</v>
      </c>
      <c r="B91" t="s">
        <v>32</v>
      </c>
      <c r="C91" t="s">
        <v>32</v>
      </c>
      <c r="D91" t="s">
        <v>32</v>
      </c>
      <c r="E91" t="s">
        <v>32</v>
      </c>
      <c r="F91" t="s">
        <v>32</v>
      </c>
      <c r="G91" t="s">
        <v>32</v>
      </c>
      <c r="H91" t="s">
        <v>32</v>
      </c>
      <c r="I91" t="s">
        <v>32</v>
      </c>
      <c r="J91" t="s">
        <v>32</v>
      </c>
      <c r="K91" t="s">
        <v>32</v>
      </c>
      <c r="L91" t="s">
        <v>32</v>
      </c>
      <c r="M91" t="s">
        <v>32</v>
      </c>
      <c r="N91" t="s">
        <v>32</v>
      </c>
      <c r="O91" t="e">
        <f>Yardi!K90</f>
        <v>#REF!</v>
      </c>
      <c r="P91" t="e">
        <f>Yardi!O90</f>
        <v>#REF!</v>
      </c>
      <c r="R91" t="s">
        <v>32</v>
      </c>
      <c r="S91" t="s">
        <v>32</v>
      </c>
      <c r="T91" t="s">
        <v>32</v>
      </c>
      <c r="U91" t="s">
        <v>32</v>
      </c>
      <c r="V91" s="410">
        <f>Yardi!J90</f>
        <v>0</v>
      </c>
    </row>
    <row r="92" spans="1:22" x14ac:dyDescent="0.35">
      <c r="A92" t="s">
        <v>32</v>
      </c>
      <c r="B92" t="s">
        <v>32</v>
      </c>
      <c r="C92" t="s">
        <v>32</v>
      </c>
      <c r="D92" t="s">
        <v>32</v>
      </c>
      <c r="E92" t="s">
        <v>32</v>
      </c>
      <c r="F92" t="s">
        <v>32</v>
      </c>
      <c r="G92" t="s">
        <v>32</v>
      </c>
      <c r="H92" t="s">
        <v>32</v>
      </c>
      <c r="I92" t="s">
        <v>32</v>
      </c>
      <c r="J92" t="s">
        <v>32</v>
      </c>
      <c r="K92" t="s">
        <v>32</v>
      </c>
      <c r="L92" t="s">
        <v>32</v>
      </c>
      <c r="M92" t="s">
        <v>32</v>
      </c>
      <c r="N92" t="s">
        <v>32</v>
      </c>
      <c r="O92" t="str">
        <f>Yardi!K91</f>
        <v>1630-8910</v>
      </c>
      <c r="P92" t="e">
        <f>Yardi!O91</f>
        <v>#REF!</v>
      </c>
      <c r="R92" t="s">
        <v>32</v>
      </c>
      <c r="S92" t="s">
        <v>32</v>
      </c>
      <c r="T92" t="s">
        <v>32</v>
      </c>
      <c r="U92" t="s">
        <v>32</v>
      </c>
      <c r="V92" s="410">
        <f>Yardi!J91</f>
        <v>0</v>
      </c>
    </row>
    <row r="93" spans="1:22" x14ac:dyDescent="0.35">
      <c r="A93" t="s">
        <v>32</v>
      </c>
      <c r="B93" t="s">
        <v>32</v>
      </c>
      <c r="C93" t="s">
        <v>32</v>
      </c>
      <c r="D93" t="s">
        <v>32</v>
      </c>
      <c r="E93" t="s">
        <v>32</v>
      </c>
      <c r="F93" t="s">
        <v>32</v>
      </c>
      <c r="G93" t="s">
        <v>32</v>
      </c>
      <c r="H93" t="s">
        <v>32</v>
      </c>
      <c r="I93" t="s">
        <v>32</v>
      </c>
      <c r="J93" t="s">
        <v>32</v>
      </c>
      <c r="K93" t="s">
        <v>32</v>
      </c>
      <c r="L93" t="s">
        <v>32</v>
      </c>
      <c r="M93" t="s">
        <v>32</v>
      </c>
      <c r="N93" t="s">
        <v>32</v>
      </c>
      <c r="O93" t="e">
        <f>Yardi!K92</f>
        <v>#REF!</v>
      </c>
      <c r="P93" t="e">
        <f>Yardi!O92</f>
        <v>#REF!</v>
      </c>
      <c r="R93" t="s">
        <v>32</v>
      </c>
      <c r="S93" t="s">
        <v>32</v>
      </c>
      <c r="T93" t="s">
        <v>32</v>
      </c>
      <c r="U93" t="s">
        <v>32</v>
      </c>
      <c r="V93" s="410">
        <f>Yardi!J92</f>
        <v>0</v>
      </c>
    </row>
    <row r="94" spans="1:22" x14ac:dyDescent="0.35">
      <c r="A94" t="s">
        <v>32</v>
      </c>
      <c r="B94" t="s">
        <v>32</v>
      </c>
      <c r="C94" t="s">
        <v>32</v>
      </c>
      <c r="D94" t="s">
        <v>32</v>
      </c>
      <c r="E94" t="s">
        <v>32</v>
      </c>
      <c r="F94" t="s">
        <v>32</v>
      </c>
      <c r="G94" t="s">
        <v>32</v>
      </c>
      <c r="H94" t="s">
        <v>32</v>
      </c>
      <c r="I94" t="s">
        <v>32</v>
      </c>
      <c r="J94" t="s">
        <v>32</v>
      </c>
      <c r="K94" t="s">
        <v>32</v>
      </c>
      <c r="L94" t="s">
        <v>32</v>
      </c>
      <c r="M94" t="s">
        <v>32</v>
      </c>
      <c r="N94" t="s">
        <v>32</v>
      </c>
      <c r="O94" t="str">
        <f>Yardi!K93</f>
        <v>1630-8910</v>
      </c>
      <c r="P94" t="e">
        <f>Yardi!O93</f>
        <v>#REF!</v>
      </c>
      <c r="R94" t="s">
        <v>32</v>
      </c>
      <c r="S94" t="s">
        <v>32</v>
      </c>
      <c r="T94" t="s">
        <v>32</v>
      </c>
      <c r="U94" t="s">
        <v>32</v>
      </c>
      <c r="V94" s="410">
        <f>Yardi!J93</f>
        <v>0</v>
      </c>
    </row>
    <row r="95" spans="1:22" x14ac:dyDescent="0.35">
      <c r="A95" t="s">
        <v>32</v>
      </c>
      <c r="B95" t="s">
        <v>32</v>
      </c>
      <c r="C95" t="s">
        <v>32</v>
      </c>
      <c r="D95" t="s">
        <v>32</v>
      </c>
      <c r="E95" t="s">
        <v>32</v>
      </c>
      <c r="F95" t="s">
        <v>32</v>
      </c>
      <c r="G95" t="s">
        <v>32</v>
      </c>
      <c r="H95" t="s">
        <v>32</v>
      </c>
      <c r="I95" t="s">
        <v>32</v>
      </c>
      <c r="J95" t="s">
        <v>32</v>
      </c>
      <c r="K95" t="s">
        <v>32</v>
      </c>
      <c r="L95" t="s">
        <v>32</v>
      </c>
      <c r="M95" t="s">
        <v>32</v>
      </c>
      <c r="N95" t="s">
        <v>32</v>
      </c>
      <c r="O95" t="e">
        <f>Yardi!K94</f>
        <v>#REF!</v>
      </c>
      <c r="P95" t="e">
        <f>Yardi!O94</f>
        <v>#REF!</v>
      </c>
      <c r="R95" t="s">
        <v>32</v>
      </c>
      <c r="S95" t="s">
        <v>32</v>
      </c>
      <c r="T95" t="s">
        <v>32</v>
      </c>
      <c r="U95" t="s">
        <v>32</v>
      </c>
      <c r="V95" s="410">
        <f>Yardi!J94</f>
        <v>0</v>
      </c>
    </row>
    <row r="96" spans="1:22" x14ac:dyDescent="0.35">
      <c r="A96" t="s">
        <v>32</v>
      </c>
      <c r="B96" t="s">
        <v>32</v>
      </c>
      <c r="C96" t="s">
        <v>32</v>
      </c>
      <c r="D96" t="s">
        <v>32</v>
      </c>
      <c r="E96" t="s">
        <v>32</v>
      </c>
      <c r="F96" t="s">
        <v>32</v>
      </c>
      <c r="G96" t="s">
        <v>32</v>
      </c>
      <c r="H96" t="s">
        <v>32</v>
      </c>
      <c r="I96" t="s">
        <v>32</v>
      </c>
      <c r="J96" t="s">
        <v>32</v>
      </c>
      <c r="K96" t="s">
        <v>32</v>
      </c>
      <c r="L96" t="s">
        <v>32</v>
      </c>
      <c r="M96" t="s">
        <v>32</v>
      </c>
      <c r="N96" t="s">
        <v>32</v>
      </c>
      <c r="O96" t="str">
        <f>Yardi!K95</f>
        <v>1630-8910</v>
      </c>
      <c r="P96" t="e">
        <f>Yardi!O95</f>
        <v>#REF!</v>
      </c>
      <c r="R96" t="s">
        <v>32</v>
      </c>
      <c r="S96" t="s">
        <v>32</v>
      </c>
      <c r="T96" t="s">
        <v>32</v>
      </c>
      <c r="U96" t="s">
        <v>32</v>
      </c>
      <c r="V96" s="410">
        <f>Yardi!J95</f>
        <v>0</v>
      </c>
    </row>
    <row r="97" spans="1:22" x14ac:dyDescent="0.35">
      <c r="A97" t="s">
        <v>32</v>
      </c>
      <c r="B97" t="s">
        <v>32</v>
      </c>
      <c r="C97" t="s">
        <v>32</v>
      </c>
      <c r="D97" t="s">
        <v>32</v>
      </c>
      <c r="E97" t="s">
        <v>32</v>
      </c>
      <c r="F97" t="s">
        <v>32</v>
      </c>
      <c r="G97" t="s">
        <v>32</v>
      </c>
      <c r="H97" t="s">
        <v>32</v>
      </c>
      <c r="I97" t="s">
        <v>32</v>
      </c>
      <c r="J97" t="s">
        <v>32</v>
      </c>
      <c r="K97" t="s">
        <v>32</v>
      </c>
      <c r="L97" t="s">
        <v>32</v>
      </c>
      <c r="M97" t="s">
        <v>32</v>
      </c>
      <c r="N97" t="s">
        <v>32</v>
      </c>
      <c r="O97" t="e">
        <f>Yardi!K96</f>
        <v>#REF!</v>
      </c>
      <c r="P97" t="e">
        <f>Yardi!O96</f>
        <v>#REF!</v>
      </c>
      <c r="R97" t="s">
        <v>32</v>
      </c>
      <c r="S97" t="s">
        <v>32</v>
      </c>
      <c r="T97" t="s">
        <v>32</v>
      </c>
      <c r="U97" t="s">
        <v>32</v>
      </c>
      <c r="V97" s="410">
        <f>Yardi!J96</f>
        <v>0</v>
      </c>
    </row>
    <row r="98" spans="1:22" x14ac:dyDescent="0.35">
      <c r="A98" t="s">
        <v>32</v>
      </c>
      <c r="B98" t="s">
        <v>32</v>
      </c>
      <c r="C98" t="s">
        <v>32</v>
      </c>
      <c r="D98" t="s">
        <v>32</v>
      </c>
      <c r="E98" t="s">
        <v>32</v>
      </c>
      <c r="F98" t="s">
        <v>32</v>
      </c>
      <c r="G98" t="s">
        <v>32</v>
      </c>
      <c r="H98" t="s">
        <v>32</v>
      </c>
      <c r="I98" t="s">
        <v>32</v>
      </c>
      <c r="J98" t="s">
        <v>32</v>
      </c>
      <c r="K98" t="s">
        <v>32</v>
      </c>
      <c r="L98" t="s">
        <v>32</v>
      </c>
      <c r="M98" t="s">
        <v>32</v>
      </c>
      <c r="N98" t="s">
        <v>32</v>
      </c>
      <c r="O98" t="str">
        <f>Yardi!K97</f>
        <v>1630-8910</v>
      </c>
      <c r="P98" t="e">
        <f>Yardi!O97</f>
        <v>#REF!</v>
      </c>
      <c r="R98" t="s">
        <v>32</v>
      </c>
      <c r="S98" t="s">
        <v>32</v>
      </c>
      <c r="T98" t="s">
        <v>32</v>
      </c>
      <c r="U98" t="s">
        <v>32</v>
      </c>
      <c r="V98" s="410">
        <f>Yardi!J97</f>
        <v>0</v>
      </c>
    </row>
    <row r="99" spans="1:22" x14ac:dyDescent="0.35">
      <c r="A99" t="s">
        <v>32</v>
      </c>
      <c r="B99" t="s">
        <v>32</v>
      </c>
      <c r="C99" t="s">
        <v>32</v>
      </c>
      <c r="D99" t="s">
        <v>32</v>
      </c>
      <c r="E99" t="s">
        <v>32</v>
      </c>
      <c r="F99" t="s">
        <v>32</v>
      </c>
      <c r="G99" t="s">
        <v>32</v>
      </c>
      <c r="H99" t="s">
        <v>32</v>
      </c>
      <c r="I99" t="s">
        <v>32</v>
      </c>
      <c r="J99" t="s">
        <v>32</v>
      </c>
      <c r="K99" t="s">
        <v>32</v>
      </c>
      <c r="L99" t="s">
        <v>32</v>
      </c>
      <c r="M99" t="s">
        <v>32</v>
      </c>
      <c r="N99" t="s">
        <v>32</v>
      </c>
      <c r="O99" t="e">
        <f>Yardi!K98</f>
        <v>#REF!</v>
      </c>
      <c r="P99" t="e">
        <f>Yardi!O98</f>
        <v>#REF!</v>
      </c>
      <c r="R99" t="s">
        <v>32</v>
      </c>
      <c r="S99" t="s">
        <v>32</v>
      </c>
      <c r="T99" t="s">
        <v>32</v>
      </c>
      <c r="U99" t="s">
        <v>32</v>
      </c>
      <c r="V99" s="410">
        <f>Yardi!J98</f>
        <v>0</v>
      </c>
    </row>
    <row r="100" spans="1:22" x14ac:dyDescent="0.35">
      <c r="A100" t="s">
        <v>32</v>
      </c>
      <c r="B100" t="s">
        <v>32</v>
      </c>
      <c r="C100" t="s">
        <v>32</v>
      </c>
      <c r="D100" t="s">
        <v>32</v>
      </c>
      <c r="E100" t="s">
        <v>32</v>
      </c>
      <c r="F100" t="s">
        <v>32</v>
      </c>
      <c r="G100" t="s">
        <v>32</v>
      </c>
      <c r="H100" t="s">
        <v>32</v>
      </c>
      <c r="I100" t="s">
        <v>32</v>
      </c>
      <c r="J100" t="s">
        <v>32</v>
      </c>
      <c r="K100" t="s">
        <v>32</v>
      </c>
      <c r="L100" t="s">
        <v>32</v>
      </c>
      <c r="M100" t="s">
        <v>32</v>
      </c>
      <c r="N100" t="s">
        <v>32</v>
      </c>
      <c r="O100" t="str">
        <f>Yardi!K99</f>
        <v>1630-8910</v>
      </c>
      <c r="P100" t="e">
        <f>Yardi!O99</f>
        <v>#REF!</v>
      </c>
      <c r="R100" t="s">
        <v>32</v>
      </c>
      <c r="S100" t="s">
        <v>32</v>
      </c>
      <c r="T100" t="s">
        <v>32</v>
      </c>
      <c r="U100" t="s">
        <v>32</v>
      </c>
      <c r="V100" s="410">
        <f>Yardi!J99</f>
        <v>0</v>
      </c>
    </row>
    <row r="101" spans="1:22" x14ac:dyDescent="0.35">
      <c r="A101" t="s">
        <v>32</v>
      </c>
      <c r="B101" t="s">
        <v>32</v>
      </c>
      <c r="C101" t="s">
        <v>32</v>
      </c>
      <c r="D101" t="s">
        <v>32</v>
      </c>
      <c r="E101" t="s">
        <v>32</v>
      </c>
      <c r="F101" t="s">
        <v>32</v>
      </c>
      <c r="G101" t="s">
        <v>32</v>
      </c>
      <c r="H101" t="s">
        <v>32</v>
      </c>
      <c r="I101" t="s">
        <v>32</v>
      </c>
      <c r="J101" t="s">
        <v>32</v>
      </c>
      <c r="K101" t="s">
        <v>32</v>
      </c>
      <c r="L101" t="s">
        <v>32</v>
      </c>
      <c r="M101" t="s">
        <v>32</v>
      </c>
      <c r="N101" t="s">
        <v>32</v>
      </c>
      <c r="O101" t="e">
        <f>Yardi!K100</f>
        <v>#REF!</v>
      </c>
      <c r="P101" t="e">
        <f>Yardi!O100</f>
        <v>#REF!</v>
      </c>
      <c r="R101" t="s">
        <v>32</v>
      </c>
      <c r="S101" t="s">
        <v>32</v>
      </c>
      <c r="T101" t="s">
        <v>32</v>
      </c>
      <c r="U101" t="s">
        <v>32</v>
      </c>
      <c r="V101" s="410">
        <f>Yardi!J100</f>
        <v>0</v>
      </c>
    </row>
    <row r="102" spans="1:22" x14ac:dyDescent="0.35">
      <c r="A102" t="s">
        <v>32</v>
      </c>
      <c r="B102" t="s">
        <v>32</v>
      </c>
      <c r="C102" t="s">
        <v>32</v>
      </c>
      <c r="D102" t="s">
        <v>32</v>
      </c>
      <c r="E102" t="s">
        <v>32</v>
      </c>
      <c r="F102" t="s">
        <v>32</v>
      </c>
      <c r="G102" t="s">
        <v>32</v>
      </c>
      <c r="H102" t="s">
        <v>32</v>
      </c>
      <c r="I102" t="s">
        <v>32</v>
      </c>
      <c r="J102" t="s">
        <v>32</v>
      </c>
      <c r="K102" t="s">
        <v>32</v>
      </c>
      <c r="L102" t="s">
        <v>32</v>
      </c>
      <c r="M102" t="s">
        <v>32</v>
      </c>
      <c r="N102" t="s">
        <v>32</v>
      </c>
      <c r="O102" t="str">
        <f>Yardi!K101</f>
        <v>1630-8910</v>
      </c>
      <c r="P102" t="e">
        <f>Yardi!O101</f>
        <v>#REF!</v>
      </c>
      <c r="R102" t="s">
        <v>32</v>
      </c>
      <c r="S102" t="s">
        <v>32</v>
      </c>
      <c r="T102" t="s">
        <v>32</v>
      </c>
      <c r="U102" t="s">
        <v>32</v>
      </c>
      <c r="V102" s="410">
        <f>Yardi!J101</f>
        <v>0</v>
      </c>
    </row>
    <row r="103" spans="1:22" x14ac:dyDescent="0.35">
      <c r="A103" t="s">
        <v>32</v>
      </c>
      <c r="B103" t="s">
        <v>32</v>
      </c>
      <c r="C103" t="s">
        <v>32</v>
      </c>
      <c r="D103" t="s">
        <v>32</v>
      </c>
      <c r="E103" t="s">
        <v>32</v>
      </c>
      <c r="F103" t="s">
        <v>32</v>
      </c>
      <c r="G103" t="s">
        <v>32</v>
      </c>
      <c r="H103" t="s">
        <v>32</v>
      </c>
      <c r="I103" t="s">
        <v>32</v>
      </c>
      <c r="J103" t="s">
        <v>32</v>
      </c>
      <c r="K103" t="s">
        <v>32</v>
      </c>
      <c r="L103" t="s">
        <v>32</v>
      </c>
      <c r="M103" t="s">
        <v>32</v>
      </c>
      <c r="N103" t="s">
        <v>32</v>
      </c>
      <c r="O103" t="e">
        <f>Yardi!K102</f>
        <v>#REF!</v>
      </c>
      <c r="P103" t="e">
        <f>Yardi!O102</f>
        <v>#REF!</v>
      </c>
      <c r="R103" t="s">
        <v>32</v>
      </c>
      <c r="S103" t="s">
        <v>32</v>
      </c>
      <c r="T103" t="s">
        <v>32</v>
      </c>
      <c r="U103" t="s">
        <v>32</v>
      </c>
      <c r="V103" s="410">
        <f>Yardi!J102</f>
        <v>0</v>
      </c>
    </row>
    <row r="104" spans="1:22" x14ac:dyDescent="0.35">
      <c r="A104" t="s">
        <v>32</v>
      </c>
      <c r="B104" t="s">
        <v>32</v>
      </c>
      <c r="C104" t="s">
        <v>32</v>
      </c>
      <c r="D104" t="s">
        <v>32</v>
      </c>
      <c r="E104" t="s">
        <v>32</v>
      </c>
      <c r="F104" t="s">
        <v>32</v>
      </c>
      <c r="G104" t="s">
        <v>32</v>
      </c>
      <c r="H104" t="s">
        <v>32</v>
      </c>
      <c r="I104" t="s">
        <v>32</v>
      </c>
      <c r="J104" t="s">
        <v>32</v>
      </c>
      <c r="K104" t="s">
        <v>32</v>
      </c>
      <c r="L104" t="s">
        <v>32</v>
      </c>
      <c r="M104" t="s">
        <v>32</v>
      </c>
      <c r="N104" t="s">
        <v>32</v>
      </c>
      <c r="O104" t="str">
        <f>Yardi!K103</f>
        <v>1630-8910</v>
      </c>
      <c r="P104" t="e">
        <f>Yardi!O103</f>
        <v>#REF!</v>
      </c>
      <c r="R104" t="s">
        <v>32</v>
      </c>
      <c r="S104" t="s">
        <v>32</v>
      </c>
      <c r="T104" t="s">
        <v>32</v>
      </c>
      <c r="U104" t="s">
        <v>32</v>
      </c>
      <c r="V104" s="410">
        <f>Yardi!J103</f>
        <v>0</v>
      </c>
    </row>
    <row r="105" spans="1:22" x14ac:dyDescent="0.35">
      <c r="A105" t="s">
        <v>32</v>
      </c>
      <c r="B105" t="s">
        <v>32</v>
      </c>
      <c r="C105" t="s">
        <v>32</v>
      </c>
      <c r="D105" t="s">
        <v>32</v>
      </c>
      <c r="E105" t="s">
        <v>32</v>
      </c>
      <c r="F105" t="s">
        <v>32</v>
      </c>
      <c r="G105" t="s">
        <v>32</v>
      </c>
      <c r="H105" t="s">
        <v>32</v>
      </c>
      <c r="I105" t="s">
        <v>32</v>
      </c>
      <c r="J105" t="s">
        <v>32</v>
      </c>
      <c r="K105" t="s">
        <v>32</v>
      </c>
      <c r="L105" t="s">
        <v>32</v>
      </c>
      <c r="M105" t="s">
        <v>32</v>
      </c>
      <c r="N105" t="s">
        <v>32</v>
      </c>
      <c r="O105" t="e">
        <f>Yardi!K104</f>
        <v>#REF!</v>
      </c>
      <c r="P105" t="e">
        <f>Yardi!O104</f>
        <v>#REF!</v>
      </c>
      <c r="R105" t="s">
        <v>32</v>
      </c>
      <c r="S105" t="s">
        <v>32</v>
      </c>
      <c r="T105" t="s">
        <v>32</v>
      </c>
      <c r="U105" t="s">
        <v>32</v>
      </c>
      <c r="V105" s="410">
        <f>Yardi!J104</f>
        <v>0</v>
      </c>
    </row>
    <row r="106" spans="1:22" x14ac:dyDescent="0.35">
      <c r="A106" t="s">
        <v>32</v>
      </c>
      <c r="B106" t="s">
        <v>32</v>
      </c>
      <c r="C106" t="s">
        <v>32</v>
      </c>
      <c r="D106" t="s">
        <v>32</v>
      </c>
      <c r="E106" t="s">
        <v>32</v>
      </c>
      <c r="F106" t="s">
        <v>32</v>
      </c>
      <c r="G106" t="s">
        <v>32</v>
      </c>
      <c r="H106" t="s">
        <v>32</v>
      </c>
      <c r="I106" t="s">
        <v>32</v>
      </c>
      <c r="J106" t="s">
        <v>32</v>
      </c>
      <c r="K106" t="s">
        <v>32</v>
      </c>
      <c r="L106" t="s">
        <v>32</v>
      </c>
      <c r="M106" t="s">
        <v>32</v>
      </c>
      <c r="N106" t="s">
        <v>32</v>
      </c>
      <c r="O106" t="str">
        <f>Yardi!K105</f>
        <v>1630-8910</v>
      </c>
      <c r="P106" t="e">
        <f>Yardi!O105</f>
        <v>#REF!</v>
      </c>
      <c r="R106" t="s">
        <v>32</v>
      </c>
      <c r="S106" t="s">
        <v>32</v>
      </c>
      <c r="T106" t="s">
        <v>32</v>
      </c>
      <c r="U106" t="s">
        <v>32</v>
      </c>
      <c r="V106" s="410">
        <f>Yardi!J105</f>
        <v>0</v>
      </c>
    </row>
    <row r="107" spans="1:22" x14ac:dyDescent="0.35">
      <c r="A107" t="s">
        <v>32</v>
      </c>
      <c r="B107" t="s">
        <v>32</v>
      </c>
      <c r="C107" t="s">
        <v>32</v>
      </c>
      <c r="D107" t="s">
        <v>32</v>
      </c>
      <c r="E107" t="s">
        <v>32</v>
      </c>
      <c r="F107" t="s">
        <v>32</v>
      </c>
      <c r="G107" t="s">
        <v>32</v>
      </c>
      <c r="H107" t="s">
        <v>32</v>
      </c>
      <c r="I107" t="s">
        <v>32</v>
      </c>
      <c r="J107" t="s">
        <v>32</v>
      </c>
      <c r="K107" t="s">
        <v>32</v>
      </c>
      <c r="L107" t="s">
        <v>32</v>
      </c>
      <c r="M107" t="s">
        <v>32</v>
      </c>
      <c r="N107" t="s">
        <v>32</v>
      </c>
      <c r="O107" t="e">
        <f>Yardi!K106</f>
        <v>#REF!</v>
      </c>
      <c r="P107" t="e">
        <f>Yardi!O106</f>
        <v>#REF!</v>
      </c>
      <c r="R107" t="s">
        <v>32</v>
      </c>
      <c r="S107" t="s">
        <v>32</v>
      </c>
      <c r="T107" t="s">
        <v>32</v>
      </c>
      <c r="U107" t="s">
        <v>32</v>
      </c>
      <c r="V107" s="410">
        <f>Yardi!J106</f>
        <v>0</v>
      </c>
    </row>
    <row r="108" spans="1:22" x14ac:dyDescent="0.35">
      <c r="A108" t="s">
        <v>32</v>
      </c>
      <c r="B108" t="s">
        <v>32</v>
      </c>
      <c r="C108" t="s">
        <v>32</v>
      </c>
      <c r="D108" t="s">
        <v>32</v>
      </c>
      <c r="E108" t="s">
        <v>32</v>
      </c>
      <c r="F108" t="s">
        <v>32</v>
      </c>
      <c r="G108" t="s">
        <v>32</v>
      </c>
      <c r="H108" t="s">
        <v>32</v>
      </c>
      <c r="I108" t="s">
        <v>32</v>
      </c>
      <c r="J108" t="s">
        <v>32</v>
      </c>
      <c r="K108" t="s">
        <v>32</v>
      </c>
      <c r="L108" t="s">
        <v>32</v>
      </c>
      <c r="M108" t="s">
        <v>32</v>
      </c>
      <c r="N108" t="s">
        <v>32</v>
      </c>
      <c r="O108" t="str">
        <f>Yardi!K107</f>
        <v>1630-8910</v>
      </c>
      <c r="P108" t="e">
        <f>Yardi!O107</f>
        <v>#REF!</v>
      </c>
      <c r="R108" t="s">
        <v>32</v>
      </c>
      <c r="S108" t="s">
        <v>32</v>
      </c>
      <c r="T108" t="s">
        <v>32</v>
      </c>
      <c r="U108" t="s">
        <v>32</v>
      </c>
      <c r="V108" s="410">
        <f>Yardi!J107</f>
        <v>0</v>
      </c>
    </row>
    <row r="109" spans="1:22" x14ac:dyDescent="0.35">
      <c r="A109" t="s">
        <v>32</v>
      </c>
      <c r="B109" t="s">
        <v>32</v>
      </c>
      <c r="C109" t="s">
        <v>32</v>
      </c>
      <c r="D109" t="s">
        <v>32</v>
      </c>
      <c r="E109" t="s">
        <v>32</v>
      </c>
      <c r="F109" t="s">
        <v>32</v>
      </c>
      <c r="G109" t="s">
        <v>32</v>
      </c>
      <c r="H109" t="s">
        <v>32</v>
      </c>
      <c r="I109" t="s">
        <v>32</v>
      </c>
      <c r="J109" t="s">
        <v>32</v>
      </c>
      <c r="K109" t="s">
        <v>32</v>
      </c>
      <c r="L109" t="s">
        <v>32</v>
      </c>
      <c r="M109" t="s">
        <v>32</v>
      </c>
      <c r="N109" t="s">
        <v>32</v>
      </c>
      <c r="O109" t="e">
        <f>Yardi!K108</f>
        <v>#REF!</v>
      </c>
      <c r="P109" t="e">
        <f>Yardi!O108</f>
        <v>#REF!</v>
      </c>
      <c r="R109" t="s">
        <v>32</v>
      </c>
      <c r="S109" t="s">
        <v>32</v>
      </c>
      <c r="T109" t="s">
        <v>32</v>
      </c>
      <c r="U109" t="s">
        <v>32</v>
      </c>
      <c r="V109" s="410">
        <f>Yardi!J108</f>
        <v>0</v>
      </c>
    </row>
    <row r="110" spans="1:22" x14ac:dyDescent="0.35">
      <c r="A110" t="s">
        <v>32</v>
      </c>
      <c r="B110" t="s">
        <v>32</v>
      </c>
      <c r="C110" t="s">
        <v>32</v>
      </c>
      <c r="D110" t="s">
        <v>32</v>
      </c>
      <c r="E110" t="s">
        <v>32</v>
      </c>
      <c r="F110" t="s">
        <v>32</v>
      </c>
      <c r="G110" t="s">
        <v>32</v>
      </c>
      <c r="H110" t="s">
        <v>32</v>
      </c>
      <c r="I110" t="s">
        <v>32</v>
      </c>
      <c r="J110" t="s">
        <v>32</v>
      </c>
      <c r="K110" t="s">
        <v>32</v>
      </c>
      <c r="L110" t="s">
        <v>32</v>
      </c>
      <c r="M110" t="s">
        <v>32</v>
      </c>
      <c r="N110" t="s">
        <v>32</v>
      </c>
      <c r="O110" t="str">
        <f>Yardi!K109</f>
        <v>1630-8910</v>
      </c>
      <c r="P110" t="e">
        <f>Yardi!O109</f>
        <v>#REF!</v>
      </c>
      <c r="R110" t="s">
        <v>32</v>
      </c>
      <c r="S110" t="s">
        <v>32</v>
      </c>
      <c r="T110" t="s">
        <v>32</v>
      </c>
      <c r="U110" t="s">
        <v>32</v>
      </c>
      <c r="V110" s="410">
        <f>Yardi!J109</f>
        <v>0</v>
      </c>
    </row>
    <row r="111" spans="1:22" x14ac:dyDescent="0.35">
      <c r="A111" t="s">
        <v>32</v>
      </c>
      <c r="B111" t="s">
        <v>32</v>
      </c>
      <c r="C111" t="s">
        <v>32</v>
      </c>
      <c r="D111" t="s">
        <v>32</v>
      </c>
      <c r="E111" t="s">
        <v>32</v>
      </c>
      <c r="F111" t="s">
        <v>32</v>
      </c>
      <c r="G111" t="s">
        <v>32</v>
      </c>
      <c r="H111" t="s">
        <v>32</v>
      </c>
      <c r="I111" t="s">
        <v>32</v>
      </c>
      <c r="J111" t="s">
        <v>32</v>
      </c>
      <c r="K111" t="s">
        <v>32</v>
      </c>
      <c r="L111" t="s">
        <v>32</v>
      </c>
      <c r="M111" t="s">
        <v>32</v>
      </c>
      <c r="N111" t="s">
        <v>32</v>
      </c>
      <c r="O111" t="e">
        <f>Yardi!K110</f>
        <v>#REF!</v>
      </c>
      <c r="P111" t="e">
        <f>Yardi!O110</f>
        <v>#REF!</v>
      </c>
      <c r="R111" t="s">
        <v>32</v>
      </c>
      <c r="S111" t="s">
        <v>32</v>
      </c>
      <c r="T111" t="s">
        <v>32</v>
      </c>
      <c r="U111" t="s">
        <v>32</v>
      </c>
      <c r="V111" s="410">
        <f>Yardi!J110</f>
        <v>0</v>
      </c>
    </row>
    <row r="112" spans="1:22" x14ac:dyDescent="0.35">
      <c r="A112" t="s">
        <v>32</v>
      </c>
      <c r="B112" t="s">
        <v>32</v>
      </c>
      <c r="C112" t="s">
        <v>32</v>
      </c>
      <c r="D112" t="s">
        <v>32</v>
      </c>
      <c r="E112" t="s">
        <v>32</v>
      </c>
      <c r="F112" t="s">
        <v>32</v>
      </c>
      <c r="G112" t="s">
        <v>32</v>
      </c>
      <c r="H112" t="s">
        <v>32</v>
      </c>
      <c r="I112" t="s">
        <v>32</v>
      </c>
      <c r="J112" t="s">
        <v>32</v>
      </c>
      <c r="K112" t="s">
        <v>32</v>
      </c>
      <c r="L112" t="s">
        <v>32</v>
      </c>
      <c r="M112" t="s">
        <v>32</v>
      </c>
      <c r="N112" t="s">
        <v>32</v>
      </c>
      <c r="O112" t="str">
        <f>Yardi!K111</f>
        <v>1630-8910</v>
      </c>
      <c r="P112" t="e">
        <f>Yardi!O111</f>
        <v>#REF!</v>
      </c>
      <c r="R112" t="s">
        <v>32</v>
      </c>
      <c r="S112" t="s">
        <v>32</v>
      </c>
      <c r="T112" t="s">
        <v>32</v>
      </c>
      <c r="U112" t="s">
        <v>32</v>
      </c>
      <c r="V112" s="410">
        <f>Yardi!J111</f>
        <v>0</v>
      </c>
    </row>
    <row r="113" spans="1:22" x14ac:dyDescent="0.35">
      <c r="A113" t="s">
        <v>32</v>
      </c>
      <c r="B113" t="s">
        <v>32</v>
      </c>
      <c r="C113" t="s">
        <v>32</v>
      </c>
      <c r="D113" t="s">
        <v>32</v>
      </c>
      <c r="E113" t="s">
        <v>32</v>
      </c>
      <c r="F113" t="s">
        <v>32</v>
      </c>
      <c r="G113" t="s">
        <v>32</v>
      </c>
      <c r="H113" t="s">
        <v>32</v>
      </c>
      <c r="I113" t="s">
        <v>32</v>
      </c>
      <c r="J113" t="s">
        <v>32</v>
      </c>
      <c r="K113" t="s">
        <v>32</v>
      </c>
      <c r="L113" t="s">
        <v>32</v>
      </c>
      <c r="M113" t="s">
        <v>32</v>
      </c>
      <c r="N113" t="s">
        <v>32</v>
      </c>
      <c r="O113" t="e">
        <f>Yardi!K112</f>
        <v>#REF!</v>
      </c>
      <c r="P113" t="e">
        <f>Yardi!O112</f>
        <v>#REF!</v>
      </c>
      <c r="R113" t="s">
        <v>32</v>
      </c>
      <c r="S113" t="s">
        <v>32</v>
      </c>
      <c r="T113" t="s">
        <v>32</v>
      </c>
      <c r="U113" t="s">
        <v>32</v>
      </c>
      <c r="V113" s="410">
        <f>Yardi!J112</f>
        <v>0</v>
      </c>
    </row>
    <row r="114" spans="1:22" x14ac:dyDescent="0.35">
      <c r="A114" t="s">
        <v>32</v>
      </c>
      <c r="B114" t="s">
        <v>32</v>
      </c>
      <c r="C114" t="s">
        <v>32</v>
      </c>
      <c r="D114" t="s">
        <v>32</v>
      </c>
      <c r="E114" t="s">
        <v>32</v>
      </c>
      <c r="F114" t="s">
        <v>32</v>
      </c>
      <c r="G114" t="s">
        <v>32</v>
      </c>
      <c r="H114" t="s">
        <v>32</v>
      </c>
      <c r="I114" t="s">
        <v>32</v>
      </c>
      <c r="J114" t="s">
        <v>32</v>
      </c>
      <c r="K114" t="s">
        <v>32</v>
      </c>
      <c r="L114" t="s">
        <v>32</v>
      </c>
      <c r="M114" t="s">
        <v>32</v>
      </c>
      <c r="N114" t="s">
        <v>32</v>
      </c>
      <c r="O114" t="str">
        <f>Yardi!K113</f>
        <v>1630-8910</v>
      </c>
      <c r="P114" t="e">
        <f>Yardi!O113</f>
        <v>#REF!</v>
      </c>
      <c r="R114" t="s">
        <v>32</v>
      </c>
      <c r="S114" t="s">
        <v>32</v>
      </c>
      <c r="T114" t="s">
        <v>32</v>
      </c>
      <c r="U114" t="s">
        <v>32</v>
      </c>
      <c r="V114" s="410">
        <f>Yardi!J113</f>
        <v>0</v>
      </c>
    </row>
    <row r="115" spans="1:22" x14ac:dyDescent="0.35">
      <c r="A115" t="s">
        <v>32</v>
      </c>
      <c r="B115" t="s">
        <v>32</v>
      </c>
      <c r="C115" t="s">
        <v>32</v>
      </c>
      <c r="D115" t="s">
        <v>32</v>
      </c>
      <c r="E115" t="s">
        <v>32</v>
      </c>
      <c r="F115" t="s">
        <v>32</v>
      </c>
      <c r="G115" t="s">
        <v>32</v>
      </c>
      <c r="H115" t="s">
        <v>32</v>
      </c>
      <c r="I115" t="s">
        <v>32</v>
      </c>
      <c r="J115" t="s">
        <v>32</v>
      </c>
      <c r="K115" t="s">
        <v>32</v>
      </c>
      <c r="L115" t="s">
        <v>32</v>
      </c>
      <c r="M115" t="s">
        <v>32</v>
      </c>
      <c r="N115" t="s">
        <v>32</v>
      </c>
      <c r="O115" t="e">
        <f>Yardi!K114</f>
        <v>#REF!</v>
      </c>
      <c r="P115" t="e">
        <f>Yardi!O114</f>
        <v>#REF!</v>
      </c>
      <c r="R115" t="s">
        <v>32</v>
      </c>
      <c r="S115" t="s">
        <v>32</v>
      </c>
      <c r="T115" t="s">
        <v>32</v>
      </c>
      <c r="U115" t="s">
        <v>32</v>
      </c>
      <c r="V115" s="410">
        <f>Yardi!J114</f>
        <v>0</v>
      </c>
    </row>
    <row r="116" spans="1:22" x14ac:dyDescent="0.35">
      <c r="A116" t="s">
        <v>32</v>
      </c>
      <c r="B116" t="s">
        <v>32</v>
      </c>
      <c r="C116" t="s">
        <v>32</v>
      </c>
      <c r="D116" t="s">
        <v>32</v>
      </c>
      <c r="E116" t="s">
        <v>32</v>
      </c>
      <c r="F116" t="s">
        <v>32</v>
      </c>
      <c r="G116" t="s">
        <v>32</v>
      </c>
      <c r="H116" t="s">
        <v>32</v>
      </c>
      <c r="I116" t="s">
        <v>32</v>
      </c>
      <c r="J116" t="s">
        <v>32</v>
      </c>
      <c r="K116" t="s">
        <v>32</v>
      </c>
      <c r="L116" t="s">
        <v>32</v>
      </c>
      <c r="M116" t="s">
        <v>32</v>
      </c>
      <c r="N116" t="s">
        <v>32</v>
      </c>
      <c r="O116" t="str">
        <f>Yardi!K115</f>
        <v>1630-8910</v>
      </c>
      <c r="P116" t="e">
        <f>Yardi!O115</f>
        <v>#REF!</v>
      </c>
      <c r="R116" t="s">
        <v>32</v>
      </c>
      <c r="S116" t="s">
        <v>32</v>
      </c>
      <c r="T116" t="s">
        <v>32</v>
      </c>
      <c r="U116" t="s">
        <v>32</v>
      </c>
      <c r="V116" s="410">
        <f>Yardi!J115</f>
        <v>0</v>
      </c>
    </row>
    <row r="117" spans="1:22" x14ac:dyDescent="0.35">
      <c r="A117" t="s">
        <v>32</v>
      </c>
      <c r="B117" t="s">
        <v>32</v>
      </c>
      <c r="C117" t="s">
        <v>32</v>
      </c>
      <c r="D117" t="s">
        <v>32</v>
      </c>
      <c r="E117" t="s">
        <v>32</v>
      </c>
      <c r="F117" t="s">
        <v>32</v>
      </c>
      <c r="G117" t="s">
        <v>32</v>
      </c>
      <c r="H117" t="s">
        <v>32</v>
      </c>
      <c r="I117" t="s">
        <v>32</v>
      </c>
      <c r="J117" t="s">
        <v>32</v>
      </c>
      <c r="K117" t="s">
        <v>32</v>
      </c>
      <c r="L117" t="s">
        <v>32</v>
      </c>
      <c r="M117" t="s">
        <v>32</v>
      </c>
      <c r="N117" t="s">
        <v>32</v>
      </c>
      <c r="O117" t="e">
        <f>Yardi!K116</f>
        <v>#REF!</v>
      </c>
      <c r="P117" t="e">
        <f>Yardi!O116</f>
        <v>#REF!</v>
      </c>
      <c r="R117" t="s">
        <v>32</v>
      </c>
      <c r="S117" t="s">
        <v>32</v>
      </c>
      <c r="T117" t="s">
        <v>32</v>
      </c>
      <c r="U117" t="s">
        <v>32</v>
      </c>
      <c r="V117" s="410">
        <f>Yardi!J116</f>
        <v>0</v>
      </c>
    </row>
    <row r="118" spans="1:22" x14ac:dyDescent="0.35">
      <c r="A118" t="s">
        <v>32</v>
      </c>
      <c r="B118" t="s">
        <v>32</v>
      </c>
      <c r="C118" t="s">
        <v>32</v>
      </c>
      <c r="D118" t="s">
        <v>32</v>
      </c>
      <c r="E118" t="s">
        <v>32</v>
      </c>
      <c r="F118" t="s">
        <v>32</v>
      </c>
      <c r="G118" t="s">
        <v>32</v>
      </c>
      <c r="H118" t="s">
        <v>32</v>
      </c>
      <c r="I118" t="s">
        <v>32</v>
      </c>
      <c r="J118" t="s">
        <v>32</v>
      </c>
      <c r="K118" t="s">
        <v>32</v>
      </c>
      <c r="L118" t="s">
        <v>32</v>
      </c>
      <c r="M118" t="s">
        <v>32</v>
      </c>
      <c r="N118" t="s">
        <v>32</v>
      </c>
      <c r="O118" t="str">
        <f>Yardi!K117</f>
        <v>1630-8910</v>
      </c>
      <c r="P118" t="e">
        <f>Yardi!O117</f>
        <v>#REF!</v>
      </c>
      <c r="R118" t="s">
        <v>32</v>
      </c>
      <c r="S118" t="s">
        <v>32</v>
      </c>
      <c r="T118" t="s">
        <v>32</v>
      </c>
      <c r="U118" t="s">
        <v>32</v>
      </c>
      <c r="V118" s="410">
        <f>Yardi!J117</f>
        <v>0</v>
      </c>
    </row>
    <row r="119" spans="1:22" x14ac:dyDescent="0.35">
      <c r="A119" t="s">
        <v>32</v>
      </c>
      <c r="B119" t="s">
        <v>32</v>
      </c>
      <c r="C119" t="s">
        <v>32</v>
      </c>
      <c r="D119" t="s">
        <v>32</v>
      </c>
      <c r="E119" t="s">
        <v>32</v>
      </c>
      <c r="F119" t="s">
        <v>32</v>
      </c>
      <c r="G119" t="s">
        <v>32</v>
      </c>
      <c r="H119" t="s">
        <v>32</v>
      </c>
      <c r="I119" t="s">
        <v>32</v>
      </c>
      <c r="J119" t="s">
        <v>32</v>
      </c>
      <c r="K119" t="s">
        <v>32</v>
      </c>
      <c r="L119" t="s">
        <v>32</v>
      </c>
      <c r="M119" t="s">
        <v>32</v>
      </c>
      <c r="N119" t="s">
        <v>32</v>
      </c>
      <c r="O119" t="e">
        <f>Yardi!K118</f>
        <v>#REF!</v>
      </c>
      <c r="P119" t="e">
        <f>Yardi!O118</f>
        <v>#REF!</v>
      </c>
      <c r="R119" t="s">
        <v>32</v>
      </c>
      <c r="S119" t="s">
        <v>32</v>
      </c>
      <c r="T119" t="s">
        <v>32</v>
      </c>
      <c r="U119" t="s">
        <v>32</v>
      </c>
      <c r="V119" s="410">
        <f>Yardi!J118</f>
        <v>0</v>
      </c>
    </row>
    <row r="120" spans="1:22" x14ac:dyDescent="0.35">
      <c r="A120" t="s">
        <v>32</v>
      </c>
      <c r="B120" t="s">
        <v>32</v>
      </c>
      <c r="C120" t="s">
        <v>32</v>
      </c>
      <c r="D120" t="s">
        <v>32</v>
      </c>
      <c r="E120" t="s">
        <v>32</v>
      </c>
      <c r="F120" t="s">
        <v>32</v>
      </c>
      <c r="G120" t="s">
        <v>32</v>
      </c>
      <c r="H120" t="s">
        <v>32</v>
      </c>
      <c r="I120" t="s">
        <v>32</v>
      </c>
      <c r="J120" t="s">
        <v>32</v>
      </c>
      <c r="K120" t="s">
        <v>32</v>
      </c>
      <c r="L120" t="s">
        <v>32</v>
      </c>
      <c r="M120" t="s">
        <v>32</v>
      </c>
      <c r="N120" t="s">
        <v>32</v>
      </c>
      <c r="O120" t="str">
        <f>Yardi!K119</f>
        <v>1630-8910</v>
      </c>
      <c r="P120" t="e">
        <f>Yardi!O119</f>
        <v>#REF!</v>
      </c>
      <c r="R120" t="s">
        <v>32</v>
      </c>
      <c r="S120" t="s">
        <v>32</v>
      </c>
      <c r="T120" t="s">
        <v>32</v>
      </c>
      <c r="U120" t="s">
        <v>32</v>
      </c>
      <c r="V120" s="410">
        <f>Yardi!J119</f>
        <v>0</v>
      </c>
    </row>
    <row r="121" spans="1:22" x14ac:dyDescent="0.35">
      <c r="A121" t="s">
        <v>32</v>
      </c>
      <c r="B121" t="s">
        <v>32</v>
      </c>
      <c r="C121" t="s">
        <v>32</v>
      </c>
      <c r="D121" t="s">
        <v>32</v>
      </c>
      <c r="E121" t="s">
        <v>32</v>
      </c>
      <c r="F121" t="s">
        <v>32</v>
      </c>
      <c r="G121" t="s">
        <v>32</v>
      </c>
      <c r="H121" t="s">
        <v>32</v>
      </c>
      <c r="I121" t="s">
        <v>32</v>
      </c>
      <c r="J121" t="s">
        <v>32</v>
      </c>
      <c r="K121" t="s">
        <v>32</v>
      </c>
      <c r="L121" t="s">
        <v>32</v>
      </c>
      <c r="M121" t="s">
        <v>32</v>
      </c>
      <c r="N121" t="s">
        <v>32</v>
      </c>
      <c r="O121" t="e">
        <f>Yardi!K120</f>
        <v>#REF!</v>
      </c>
      <c r="P121" t="e">
        <f>Yardi!O120</f>
        <v>#REF!</v>
      </c>
      <c r="R121" t="s">
        <v>32</v>
      </c>
      <c r="S121" t="s">
        <v>32</v>
      </c>
      <c r="T121" t="s">
        <v>32</v>
      </c>
      <c r="U121" t="s">
        <v>32</v>
      </c>
      <c r="V121" s="410">
        <f>Yardi!J120</f>
        <v>0</v>
      </c>
    </row>
    <row r="122" spans="1:22" x14ac:dyDescent="0.35">
      <c r="A122" t="s">
        <v>32</v>
      </c>
      <c r="B122" t="s">
        <v>32</v>
      </c>
      <c r="C122" t="s">
        <v>32</v>
      </c>
      <c r="D122" t="s">
        <v>32</v>
      </c>
      <c r="E122" t="s">
        <v>32</v>
      </c>
      <c r="F122" t="s">
        <v>32</v>
      </c>
      <c r="G122" t="s">
        <v>32</v>
      </c>
      <c r="H122" t="s">
        <v>32</v>
      </c>
      <c r="I122" t="s">
        <v>32</v>
      </c>
      <c r="J122" t="s">
        <v>32</v>
      </c>
      <c r="K122" t="s">
        <v>32</v>
      </c>
      <c r="L122" t="s">
        <v>32</v>
      </c>
      <c r="M122" t="s">
        <v>32</v>
      </c>
      <c r="N122" t="s">
        <v>32</v>
      </c>
      <c r="O122" t="str">
        <f>Yardi!K121</f>
        <v>1630-8910</v>
      </c>
      <c r="P122" t="e">
        <f>Yardi!O121</f>
        <v>#REF!</v>
      </c>
      <c r="R122" t="s">
        <v>32</v>
      </c>
      <c r="S122" t="s">
        <v>32</v>
      </c>
      <c r="T122" t="s">
        <v>32</v>
      </c>
      <c r="U122" t="s">
        <v>32</v>
      </c>
      <c r="V122" s="410">
        <f>Yardi!J121</f>
        <v>0</v>
      </c>
    </row>
    <row r="123" spans="1:22" x14ac:dyDescent="0.35">
      <c r="A123" t="s">
        <v>32</v>
      </c>
      <c r="B123" t="s">
        <v>32</v>
      </c>
      <c r="C123" t="s">
        <v>32</v>
      </c>
      <c r="D123" t="s">
        <v>32</v>
      </c>
      <c r="E123" t="s">
        <v>32</v>
      </c>
      <c r="F123" t="s">
        <v>32</v>
      </c>
      <c r="G123" t="s">
        <v>32</v>
      </c>
      <c r="H123" t="s">
        <v>32</v>
      </c>
      <c r="I123" t="s">
        <v>32</v>
      </c>
      <c r="J123" t="s">
        <v>32</v>
      </c>
      <c r="K123" t="s">
        <v>32</v>
      </c>
      <c r="L123" t="s">
        <v>32</v>
      </c>
      <c r="M123" t="s">
        <v>32</v>
      </c>
      <c r="N123" t="s">
        <v>32</v>
      </c>
      <c r="O123" t="e">
        <f>Yardi!K122</f>
        <v>#REF!</v>
      </c>
      <c r="P123" t="e">
        <f>Yardi!O122</f>
        <v>#REF!</v>
      </c>
      <c r="R123" t="s">
        <v>32</v>
      </c>
      <c r="S123" t="s">
        <v>32</v>
      </c>
      <c r="T123" t="s">
        <v>32</v>
      </c>
      <c r="U123" t="s">
        <v>32</v>
      </c>
      <c r="V123" s="410">
        <f>Yardi!J122</f>
        <v>0</v>
      </c>
    </row>
    <row r="124" spans="1:22" x14ac:dyDescent="0.35">
      <c r="A124" t="s">
        <v>32</v>
      </c>
      <c r="B124" t="s">
        <v>32</v>
      </c>
      <c r="C124" t="s">
        <v>32</v>
      </c>
      <c r="D124" t="s">
        <v>32</v>
      </c>
      <c r="E124" t="s">
        <v>32</v>
      </c>
      <c r="F124" t="s">
        <v>32</v>
      </c>
      <c r="G124" t="s">
        <v>32</v>
      </c>
      <c r="H124" t="s">
        <v>32</v>
      </c>
      <c r="I124" t="s">
        <v>32</v>
      </c>
      <c r="J124" t="s">
        <v>32</v>
      </c>
      <c r="K124" t="s">
        <v>32</v>
      </c>
      <c r="L124" t="s">
        <v>32</v>
      </c>
      <c r="M124" t="s">
        <v>32</v>
      </c>
      <c r="N124" t="s">
        <v>32</v>
      </c>
      <c r="O124" t="str">
        <f>Yardi!K123</f>
        <v>1630-8910</v>
      </c>
      <c r="P124" t="e">
        <f>Yardi!O123</f>
        <v>#REF!</v>
      </c>
      <c r="R124" t="s">
        <v>32</v>
      </c>
      <c r="S124" t="s">
        <v>32</v>
      </c>
      <c r="T124" t="s">
        <v>32</v>
      </c>
      <c r="U124" t="s">
        <v>32</v>
      </c>
      <c r="V124" s="410">
        <f>Yardi!J123</f>
        <v>0</v>
      </c>
    </row>
    <row r="125" spans="1:22" x14ac:dyDescent="0.35">
      <c r="A125" t="s">
        <v>32</v>
      </c>
      <c r="B125" t="s">
        <v>32</v>
      </c>
      <c r="C125" t="s">
        <v>32</v>
      </c>
      <c r="D125" t="s">
        <v>32</v>
      </c>
      <c r="E125" t="s">
        <v>32</v>
      </c>
      <c r="F125" t="s">
        <v>32</v>
      </c>
      <c r="G125" t="s">
        <v>32</v>
      </c>
      <c r="H125" t="s">
        <v>32</v>
      </c>
      <c r="I125" t="s">
        <v>32</v>
      </c>
      <c r="J125" t="s">
        <v>32</v>
      </c>
      <c r="K125" t="s">
        <v>32</v>
      </c>
      <c r="L125" t="s">
        <v>32</v>
      </c>
      <c r="M125" t="s">
        <v>32</v>
      </c>
      <c r="N125" t="s">
        <v>32</v>
      </c>
      <c r="O125" t="e">
        <f>Yardi!K124</f>
        <v>#REF!</v>
      </c>
      <c r="P125" t="e">
        <f>Yardi!O124</f>
        <v>#REF!</v>
      </c>
      <c r="R125" t="s">
        <v>32</v>
      </c>
      <c r="S125" t="s">
        <v>32</v>
      </c>
      <c r="T125" t="s">
        <v>32</v>
      </c>
      <c r="U125" t="s">
        <v>32</v>
      </c>
      <c r="V125" s="410">
        <f>Yardi!J124</f>
        <v>0</v>
      </c>
    </row>
    <row r="126" spans="1:22" x14ac:dyDescent="0.35">
      <c r="A126" t="s">
        <v>32</v>
      </c>
      <c r="B126" t="s">
        <v>32</v>
      </c>
      <c r="C126" t="s">
        <v>32</v>
      </c>
      <c r="D126" t="s">
        <v>32</v>
      </c>
      <c r="E126" t="s">
        <v>32</v>
      </c>
      <c r="F126" t="s">
        <v>32</v>
      </c>
      <c r="G126" t="s">
        <v>32</v>
      </c>
      <c r="H126" t="s">
        <v>32</v>
      </c>
      <c r="I126" t="s">
        <v>32</v>
      </c>
      <c r="J126" t="s">
        <v>32</v>
      </c>
      <c r="K126" t="s">
        <v>32</v>
      </c>
      <c r="L126" t="s">
        <v>32</v>
      </c>
      <c r="M126" t="s">
        <v>32</v>
      </c>
      <c r="N126" t="s">
        <v>32</v>
      </c>
      <c r="O126" t="str">
        <f>Yardi!K125</f>
        <v>1630-8910</v>
      </c>
      <c r="P126" t="e">
        <f>Yardi!O125</f>
        <v>#REF!</v>
      </c>
      <c r="R126" t="s">
        <v>32</v>
      </c>
      <c r="S126" t="s">
        <v>32</v>
      </c>
      <c r="T126" t="s">
        <v>32</v>
      </c>
      <c r="U126" t="s">
        <v>32</v>
      </c>
      <c r="V126" s="410">
        <f>Yardi!J125</f>
        <v>0</v>
      </c>
    </row>
    <row r="127" spans="1:22" x14ac:dyDescent="0.35">
      <c r="A127" t="s">
        <v>32</v>
      </c>
      <c r="B127" t="s">
        <v>32</v>
      </c>
      <c r="C127" t="s">
        <v>32</v>
      </c>
      <c r="D127" t="s">
        <v>32</v>
      </c>
      <c r="E127" t="s">
        <v>32</v>
      </c>
      <c r="F127" t="s">
        <v>32</v>
      </c>
      <c r="G127" t="s">
        <v>32</v>
      </c>
      <c r="H127" t="s">
        <v>32</v>
      </c>
      <c r="I127" t="s">
        <v>32</v>
      </c>
      <c r="J127" t="s">
        <v>32</v>
      </c>
      <c r="K127" t="s">
        <v>32</v>
      </c>
      <c r="L127" t="s">
        <v>32</v>
      </c>
      <c r="M127" t="s">
        <v>32</v>
      </c>
      <c r="N127" t="s">
        <v>32</v>
      </c>
      <c r="O127" t="e">
        <f>Yardi!K126</f>
        <v>#REF!</v>
      </c>
      <c r="P127" t="e">
        <f>Yardi!O126</f>
        <v>#REF!</v>
      </c>
      <c r="R127" t="s">
        <v>32</v>
      </c>
      <c r="S127" t="s">
        <v>32</v>
      </c>
      <c r="T127" t="s">
        <v>32</v>
      </c>
      <c r="U127" t="s">
        <v>32</v>
      </c>
      <c r="V127" s="410">
        <f>Yardi!J126</f>
        <v>0</v>
      </c>
    </row>
    <row r="128" spans="1:22" x14ac:dyDescent="0.35">
      <c r="A128" t="s">
        <v>32</v>
      </c>
      <c r="B128" t="s">
        <v>32</v>
      </c>
      <c r="C128" t="s">
        <v>32</v>
      </c>
      <c r="D128" t="s">
        <v>32</v>
      </c>
      <c r="E128" t="s">
        <v>32</v>
      </c>
      <c r="F128" t="s">
        <v>32</v>
      </c>
      <c r="G128" t="s">
        <v>32</v>
      </c>
      <c r="H128" t="s">
        <v>32</v>
      </c>
      <c r="I128" t="s">
        <v>32</v>
      </c>
      <c r="J128" t="s">
        <v>32</v>
      </c>
      <c r="K128" t="s">
        <v>32</v>
      </c>
      <c r="L128" t="s">
        <v>32</v>
      </c>
      <c r="M128" t="s">
        <v>32</v>
      </c>
      <c r="N128" t="s">
        <v>32</v>
      </c>
      <c r="O128" t="str">
        <f>Yardi!K127</f>
        <v>1630-8910</v>
      </c>
      <c r="P128" t="e">
        <f>Yardi!O127</f>
        <v>#REF!</v>
      </c>
      <c r="R128" t="s">
        <v>32</v>
      </c>
      <c r="S128" t="s">
        <v>32</v>
      </c>
      <c r="T128" t="s">
        <v>32</v>
      </c>
      <c r="U128" t="s">
        <v>32</v>
      </c>
      <c r="V128" s="410">
        <f>Yardi!J127</f>
        <v>0</v>
      </c>
    </row>
    <row r="129" spans="1:22" x14ac:dyDescent="0.35">
      <c r="A129" t="s">
        <v>32</v>
      </c>
      <c r="B129" t="s">
        <v>32</v>
      </c>
      <c r="C129" t="s">
        <v>32</v>
      </c>
      <c r="D129" t="s">
        <v>32</v>
      </c>
      <c r="E129" t="s">
        <v>32</v>
      </c>
      <c r="F129" t="s">
        <v>32</v>
      </c>
      <c r="G129" t="s">
        <v>32</v>
      </c>
      <c r="H129" t="s">
        <v>32</v>
      </c>
      <c r="I129" t="s">
        <v>32</v>
      </c>
      <c r="J129" t="s">
        <v>32</v>
      </c>
      <c r="K129" t="s">
        <v>32</v>
      </c>
      <c r="L129" t="s">
        <v>32</v>
      </c>
      <c r="M129" t="s">
        <v>32</v>
      </c>
      <c r="N129" t="s">
        <v>32</v>
      </c>
      <c r="O129" t="e">
        <f>Yardi!K128</f>
        <v>#REF!</v>
      </c>
      <c r="P129" t="e">
        <f>Yardi!O128</f>
        <v>#REF!</v>
      </c>
      <c r="R129" t="s">
        <v>32</v>
      </c>
      <c r="S129" t="s">
        <v>32</v>
      </c>
      <c r="T129" t="s">
        <v>32</v>
      </c>
      <c r="U129" t="s">
        <v>32</v>
      </c>
      <c r="V129" s="410">
        <f>Yardi!J128</f>
        <v>0</v>
      </c>
    </row>
    <row r="130" spans="1:22" x14ac:dyDescent="0.35">
      <c r="A130" t="s">
        <v>32</v>
      </c>
      <c r="B130" t="s">
        <v>32</v>
      </c>
      <c r="C130" t="s">
        <v>32</v>
      </c>
      <c r="D130" t="s">
        <v>32</v>
      </c>
      <c r="E130" t="s">
        <v>32</v>
      </c>
      <c r="F130" t="s">
        <v>32</v>
      </c>
      <c r="G130" t="s">
        <v>32</v>
      </c>
      <c r="H130" t="s">
        <v>32</v>
      </c>
      <c r="I130" t="s">
        <v>32</v>
      </c>
      <c r="J130" t="s">
        <v>32</v>
      </c>
      <c r="K130" t="s">
        <v>32</v>
      </c>
      <c r="L130" t="s">
        <v>32</v>
      </c>
      <c r="M130" t="s">
        <v>32</v>
      </c>
      <c r="N130" t="s">
        <v>32</v>
      </c>
      <c r="O130" t="str">
        <f>Yardi!K129</f>
        <v>1630-8910</v>
      </c>
      <c r="P130" t="e">
        <f>Yardi!O129</f>
        <v>#REF!</v>
      </c>
      <c r="R130" t="s">
        <v>32</v>
      </c>
      <c r="S130" t="s">
        <v>32</v>
      </c>
      <c r="T130" t="s">
        <v>32</v>
      </c>
      <c r="U130" t="s">
        <v>32</v>
      </c>
      <c r="V130" s="410">
        <f>Yardi!J129</f>
        <v>0</v>
      </c>
    </row>
    <row r="131" spans="1:22" x14ac:dyDescent="0.35">
      <c r="A131" t="s">
        <v>32</v>
      </c>
      <c r="B131" t="s">
        <v>32</v>
      </c>
      <c r="C131" t="s">
        <v>32</v>
      </c>
      <c r="D131" t="s">
        <v>32</v>
      </c>
      <c r="E131" t="s">
        <v>32</v>
      </c>
      <c r="F131" t="s">
        <v>32</v>
      </c>
      <c r="G131" t="s">
        <v>32</v>
      </c>
      <c r="H131" t="s">
        <v>32</v>
      </c>
      <c r="I131" t="s">
        <v>32</v>
      </c>
      <c r="J131" t="s">
        <v>32</v>
      </c>
      <c r="K131" t="s">
        <v>32</v>
      </c>
      <c r="L131" t="s">
        <v>32</v>
      </c>
      <c r="M131" t="s">
        <v>32</v>
      </c>
      <c r="N131" t="s">
        <v>32</v>
      </c>
      <c r="O131" t="e">
        <f>Yardi!K130</f>
        <v>#REF!</v>
      </c>
      <c r="P131" t="e">
        <f>Yardi!O130</f>
        <v>#REF!</v>
      </c>
      <c r="R131" t="s">
        <v>32</v>
      </c>
      <c r="S131" t="s">
        <v>32</v>
      </c>
      <c r="T131" t="s">
        <v>32</v>
      </c>
      <c r="U131" t="s">
        <v>32</v>
      </c>
      <c r="V131" s="410">
        <f>Yardi!J130</f>
        <v>0</v>
      </c>
    </row>
    <row r="132" spans="1:22" x14ac:dyDescent="0.35">
      <c r="A132" t="s">
        <v>32</v>
      </c>
      <c r="B132" t="s">
        <v>32</v>
      </c>
      <c r="C132" t="s">
        <v>32</v>
      </c>
      <c r="D132" t="s">
        <v>32</v>
      </c>
      <c r="E132" t="s">
        <v>32</v>
      </c>
      <c r="F132" t="s">
        <v>32</v>
      </c>
      <c r="G132" t="s">
        <v>32</v>
      </c>
      <c r="H132" t="s">
        <v>32</v>
      </c>
      <c r="I132" t="s">
        <v>32</v>
      </c>
      <c r="J132" t="s">
        <v>32</v>
      </c>
      <c r="K132" t="s">
        <v>32</v>
      </c>
      <c r="L132" t="s">
        <v>32</v>
      </c>
      <c r="M132" t="s">
        <v>32</v>
      </c>
      <c r="N132" t="s">
        <v>32</v>
      </c>
      <c r="O132" t="str">
        <f>Yardi!K131</f>
        <v>1630-8910</v>
      </c>
      <c r="P132" t="e">
        <f>Yardi!O131</f>
        <v>#REF!</v>
      </c>
      <c r="R132" t="s">
        <v>32</v>
      </c>
      <c r="S132" t="s">
        <v>32</v>
      </c>
      <c r="T132" t="s">
        <v>32</v>
      </c>
      <c r="U132" t="s">
        <v>32</v>
      </c>
      <c r="V132" s="410">
        <f>Yardi!J131</f>
        <v>0</v>
      </c>
    </row>
    <row r="133" spans="1:22" x14ac:dyDescent="0.35">
      <c r="A133" t="s">
        <v>32</v>
      </c>
      <c r="B133" t="s">
        <v>32</v>
      </c>
      <c r="C133" t="s">
        <v>32</v>
      </c>
      <c r="D133" t="s">
        <v>32</v>
      </c>
      <c r="E133" t="s">
        <v>32</v>
      </c>
      <c r="F133" t="s">
        <v>32</v>
      </c>
      <c r="G133" t="s">
        <v>32</v>
      </c>
      <c r="H133" t="s">
        <v>32</v>
      </c>
      <c r="I133" t="s">
        <v>32</v>
      </c>
      <c r="J133" t="s">
        <v>32</v>
      </c>
      <c r="K133" t="s">
        <v>32</v>
      </c>
      <c r="L133" t="s">
        <v>32</v>
      </c>
      <c r="M133" t="s">
        <v>32</v>
      </c>
      <c r="N133" t="s">
        <v>32</v>
      </c>
      <c r="O133" t="e">
        <f>Yardi!K132</f>
        <v>#REF!</v>
      </c>
      <c r="P133" t="e">
        <f>Yardi!O132</f>
        <v>#REF!</v>
      </c>
      <c r="R133" t="s">
        <v>32</v>
      </c>
      <c r="S133" t="s">
        <v>32</v>
      </c>
      <c r="T133" t="s">
        <v>32</v>
      </c>
      <c r="U133" t="s">
        <v>32</v>
      </c>
      <c r="V133" s="410">
        <f>Yardi!J132</f>
        <v>0</v>
      </c>
    </row>
    <row r="134" spans="1:22" x14ac:dyDescent="0.35">
      <c r="A134" t="s">
        <v>32</v>
      </c>
      <c r="B134" t="s">
        <v>32</v>
      </c>
      <c r="C134" t="s">
        <v>32</v>
      </c>
      <c r="D134" t="s">
        <v>32</v>
      </c>
      <c r="E134" t="s">
        <v>32</v>
      </c>
      <c r="F134" t="s">
        <v>32</v>
      </c>
      <c r="G134" t="s">
        <v>32</v>
      </c>
      <c r="H134" t="s">
        <v>32</v>
      </c>
      <c r="I134" t="s">
        <v>32</v>
      </c>
      <c r="J134" t="s">
        <v>32</v>
      </c>
      <c r="K134" t="s">
        <v>32</v>
      </c>
      <c r="L134" t="s">
        <v>32</v>
      </c>
      <c r="M134" t="s">
        <v>32</v>
      </c>
      <c r="N134" t="s">
        <v>32</v>
      </c>
      <c r="O134" t="str">
        <f>Yardi!K133</f>
        <v>1630-8910</v>
      </c>
      <c r="P134" t="e">
        <f>Yardi!O133</f>
        <v>#REF!</v>
      </c>
      <c r="R134" t="s">
        <v>32</v>
      </c>
      <c r="S134" t="s">
        <v>32</v>
      </c>
      <c r="T134" t="s">
        <v>32</v>
      </c>
      <c r="U134" t="s">
        <v>32</v>
      </c>
      <c r="V134" s="410">
        <f>Yardi!J133</f>
        <v>0</v>
      </c>
    </row>
    <row r="135" spans="1:22" x14ac:dyDescent="0.35">
      <c r="A135" t="s">
        <v>32</v>
      </c>
      <c r="B135" t="s">
        <v>32</v>
      </c>
      <c r="C135" t="s">
        <v>32</v>
      </c>
      <c r="D135" t="s">
        <v>32</v>
      </c>
      <c r="E135" t="s">
        <v>32</v>
      </c>
      <c r="F135" t="s">
        <v>32</v>
      </c>
      <c r="G135" t="s">
        <v>32</v>
      </c>
      <c r="H135" t="s">
        <v>32</v>
      </c>
      <c r="I135" t="s">
        <v>32</v>
      </c>
      <c r="J135" t="s">
        <v>32</v>
      </c>
      <c r="K135" t="s">
        <v>32</v>
      </c>
      <c r="L135" t="s">
        <v>32</v>
      </c>
      <c r="M135" t="s">
        <v>32</v>
      </c>
      <c r="N135" t="s">
        <v>32</v>
      </c>
      <c r="O135" t="e">
        <f>Yardi!K134</f>
        <v>#REF!</v>
      </c>
      <c r="P135" t="e">
        <f>Yardi!O134</f>
        <v>#REF!</v>
      </c>
      <c r="R135" t="s">
        <v>32</v>
      </c>
      <c r="S135" t="s">
        <v>32</v>
      </c>
      <c r="T135" t="s">
        <v>32</v>
      </c>
      <c r="U135" t="s">
        <v>32</v>
      </c>
      <c r="V135" s="410">
        <f>Yardi!J134</f>
        <v>0</v>
      </c>
    </row>
    <row r="136" spans="1:22" x14ac:dyDescent="0.35">
      <c r="A136" t="s">
        <v>32</v>
      </c>
      <c r="B136" t="s">
        <v>32</v>
      </c>
      <c r="C136" t="s">
        <v>32</v>
      </c>
      <c r="D136" t="s">
        <v>32</v>
      </c>
      <c r="E136" t="s">
        <v>32</v>
      </c>
      <c r="F136" t="s">
        <v>32</v>
      </c>
      <c r="G136" t="s">
        <v>32</v>
      </c>
      <c r="H136" t="s">
        <v>32</v>
      </c>
      <c r="I136" t="s">
        <v>32</v>
      </c>
      <c r="J136" t="s">
        <v>32</v>
      </c>
      <c r="K136" t="s">
        <v>32</v>
      </c>
      <c r="L136" t="s">
        <v>32</v>
      </c>
      <c r="M136" t="s">
        <v>32</v>
      </c>
      <c r="N136" t="s">
        <v>32</v>
      </c>
      <c r="O136" t="str">
        <f>Yardi!K135</f>
        <v>1630-8910</v>
      </c>
      <c r="P136" t="e">
        <f>Yardi!O135</f>
        <v>#REF!</v>
      </c>
      <c r="R136" t="s">
        <v>32</v>
      </c>
      <c r="S136" t="s">
        <v>32</v>
      </c>
      <c r="T136" t="s">
        <v>32</v>
      </c>
      <c r="U136" t="s">
        <v>32</v>
      </c>
      <c r="V136" s="410">
        <f>Yardi!J135</f>
        <v>0</v>
      </c>
    </row>
    <row r="137" spans="1:22" x14ac:dyDescent="0.35">
      <c r="A137" t="s">
        <v>32</v>
      </c>
      <c r="B137" t="s">
        <v>32</v>
      </c>
      <c r="C137" t="s">
        <v>32</v>
      </c>
      <c r="D137" t="s">
        <v>32</v>
      </c>
      <c r="E137" t="s">
        <v>32</v>
      </c>
      <c r="F137" t="s">
        <v>32</v>
      </c>
      <c r="G137" t="s">
        <v>32</v>
      </c>
      <c r="H137" t="s">
        <v>32</v>
      </c>
      <c r="I137" t="s">
        <v>32</v>
      </c>
      <c r="J137" t="s">
        <v>32</v>
      </c>
      <c r="K137" t="s">
        <v>32</v>
      </c>
      <c r="L137" t="s">
        <v>32</v>
      </c>
      <c r="M137" t="s">
        <v>32</v>
      </c>
      <c r="N137" t="s">
        <v>32</v>
      </c>
      <c r="O137" t="e">
        <f>Yardi!K136</f>
        <v>#REF!</v>
      </c>
      <c r="P137" t="e">
        <f>Yardi!O136</f>
        <v>#REF!</v>
      </c>
      <c r="R137" t="s">
        <v>32</v>
      </c>
      <c r="S137" t="s">
        <v>32</v>
      </c>
      <c r="T137" t="s">
        <v>32</v>
      </c>
      <c r="U137" t="s">
        <v>32</v>
      </c>
      <c r="V137" s="410">
        <f>Yardi!J136</f>
        <v>0</v>
      </c>
    </row>
    <row r="138" spans="1:22" x14ac:dyDescent="0.35">
      <c r="A138" t="s">
        <v>32</v>
      </c>
      <c r="B138" t="s">
        <v>32</v>
      </c>
      <c r="C138" t="s">
        <v>32</v>
      </c>
      <c r="D138" t="s">
        <v>32</v>
      </c>
      <c r="E138" t="s">
        <v>32</v>
      </c>
      <c r="F138" t="s">
        <v>32</v>
      </c>
      <c r="G138" t="s">
        <v>32</v>
      </c>
      <c r="H138" t="s">
        <v>32</v>
      </c>
      <c r="I138" t="s">
        <v>32</v>
      </c>
      <c r="J138" t="s">
        <v>32</v>
      </c>
      <c r="K138" t="s">
        <v>32</v>
      </c>
      <c r="L138" t="s">
        <v>32</v>
      </c>
      <c r="M138" t="s">
        <v>32</v>
      </c>
      <c r="N138" t="s">
        <v>32</v>
      </c>
      <c r="O138" t="str">
        <f>Yardi!K137</f>
        <v>1630-8910</v>
      </c>
      <c r="P138" t="e">
        <f>Yardi!O137</f>
        <v>#REF!</v>
      </c>
      <c r="R138" t="s">
        <v>32</v>
      </c>
      <c r="S138" t="s">
        <v>32</v>
      </c>
      <c r="T138" t="s">
        <v>32</v>
      </c>
      <c r="U138" t="s">
        <v>32</v>
      </c>
      <c r="V138" s="410">
        <f>Yardi!J137</f>
        <v>0</v>
      </c>
    </row>
    <row r="139" spans="1:22" x14ac:dyDescent="0.35">
      <c r="A139" t="s">
        <v>32</v>
      </c>
      <c r="B139" t="s">
        <v>32</v>
      </c>
      <c r="C139" t="s">
        <v>32</v>
      </c>
      <c r="D139" t="s">
        <v>32</v>
      </c>
      <c r="E139" t="s">
        <v>32</v>
      </c>
      <c r="F139" t="s">
        <v>32</v>
      </c>
      <c r="G139" t="s">
        <v>32</v>
      </c>
      <c r="H139" t="s">
        <v>32</v>
      </c>
      <c r="I139" t="s">
        <v>32</v>
      </c>
      <c r="J139" t="s">
        <v>32</v>
      </c>
      <c r="K139" t="s">
        <v>32</v>
      </c>
      <c r="L139" t="s">
        <v>32</v>
      </c>
      <c r="M139" t="s">
        <v>32</v>
      </c>
      <c r="N139" t="s">
        <v>32</v>
      </c>
      <c r="O139" t="e">
        <f>Yardi!K138</f>
        <v>#REF!</v>
      </c>
      <c r="P139" t="e">
        <f>Yardi!O138</f>
        <v>#REF!</v>
      </c>
      <c r="R139" t="s">
        <v>32</v>
      </c>
      <c r="S139" t="s">
        <v>32</v>
      </c>
      <c r="T139" t="s">
        <v>32</v>
      </c>
      <c r="U139" t="s">
        <v>32</v>
      </c>
      <c r="V139" s="410">
        <f>Yardi!J138</f>
        <v>0</v>
      </c>
    </row>
    <row r="140" spans="1:22" x14ac:dyDescent="0.35">
      <c r="A140" t="s">
        <v>32</v>
      </c>
      <c r="B140" t="s">
        <v>32</v>
      </c>
      <c r="C140" t="s">
        <v>32</v>
      </c>
      <c r="D140" t="s">
        <v>32</v>
      </c>
      <c r="E140" t="s">
        <v>32</v>
      </c>
      <c r="F140" t="s">
        <v>32</v>
      </c>
      <c r="G140" t="s">
        <v>32</v>
      </c>
      <c r="H140" t="s">
        <v>32</v>
      </c>
      <c r="I140" t="s">
        <v>32</v>
      </c>
      <c r="J140" t="s">
        <v>32</v>
      </c>
      <c r="K140" t="s">
        <v>32</v>
      </c>
      <c r="L140" t="s">
        <v>32</v>
      </c>
      <c r="M140" t="s">
        <v>32</v>
      </c>
      <c r="N140" t="s">
        <v>32</v>
      </c>
      <c r="O140" t="str">
        <f>Yardi!K139</f>
        <v>1630-8910</v>
      </c>
      <c r="P140" t="e">
        <f>Yardi!O139</f>
        <v>#REF!</v>
      </c>
      <c r="R140" t="s">
        <v>32</v>
      </c>
      <c r="S140" t="s">
        <v>32</v>
      </c>
      <c r="T140" t="s">
        <v>32</v>
      </c>
      <c r="U140" t="s">
        <v>32</v>
      </c>
      <c r="V140" s="410">
        <f>Yardi!J139</f>
        <v>0</v>
      </c>
    </row>
    <row r="141" spans="1:22" x14ac:dyDescent="0.35">
      <c r="A141" t="s">
        <v>32</v>
      </c>
      <c r="B141" t="s">
        <v>32</v>
      </c>
      <c r="C141" t="s">
        <v>32</v>
      </c>
      <c r="D141" t="s">
        <v>32</v>
      </c>
      <c r="E141" t="s">
        <v>32</v>
      </c>
      <c r="F141" t="s">
        <v>32</v>
      </c>
      <c r="G141" t="s">
        <v>32</v>
      </c>
      <c r="H141" t="s">
        <v>32</v>
      </c>
      <c r="I141" t="s">
        <v>32</v>
      </c>
      <c r="J141" t="s">
        <v>32</v>
      </c>
      <c r="K141" t="s">
        <v>32</v>
      </c>
      <c r="L141" t="s">
        <v>32</v>
      </c>
      <c r="M141" t="s">
        <v>32</v>
      </c>
      <c r="N141" t="s">
        <v>32</v>
      </c>
      <c r="O141" t="e">
        <f>Yardi!K140</f>
        <v>#REF!</v>
      </c>
      <c r="P141" t="e">
        <f>Yardi!O140</f>
        <v>#REF!</v>
      </c>
      <c r="R141" t="s">
        <v>32</v>
      </c>
      <c r="S141" t="s">
        <v>32</v>
      </c>
      <c r="T141" t="s">
        <v>32</v>
      </c>
      <c r="U141" t="s">
        <v>32</v>
      </c>
      <c r="V141" s="410">
        <f>Yardi!J140</f>
        <v>0</v>
      </c>
    </row>
    <row r="142" spans="1:22" x14ac:dyDescent="0.35">
      <c r="A142" t="s">
        <v>32</v>
      </c>
      <c r="B142" t="s">
        <v>32</v>
      </c>
      <c r="C142" t="s">
        <v>32</v>
      </c>
      <c r="D142" t="s">
        <v>32</v>
      </c>
      <c r="E142" t="s">
        <v>32</v>
      </c>
      <c r="F142" t="s">
        <v>32</v>
      </c>
      <c r="G142" t="s">
        <v>32</v>
      </c>
      <c r="H142" t="s">
        <v>32</v>
      </c>
      <c r="I142" t="s">
        <v>32</v>
      </c>
      <c r="J142" t="s">
        <v>32</v>
      </c>
      <c r="K142" t="s">
        <v>32</v>
      </c>
      <c r="L142" t="s">
        <v>32</v>
      </c>
      <c r="M142" t="s">
        <v>32</v>
      </c>
      <c r="N142" t="s">
        <v>32</v>
      </c>
      <c r="O142" t="str">
        <f>Yardi!K141</f>
        <v>1630-8910</v>
      </c>
      <c r="P142" t="e">
        <f>Yardi!O141</f>
        <v>#REF!</v>
      </c>
      <c r="R142" t="s">
        <v>32</v>
      </c>
      <c r="S142" t="s">
        <v>32</v>
      </c>
      <c r="T142" t="s">
        <v>32</v>
      </c>
      <c r="U142" t="s">
        <v>32</v>
      </c>
      <c r="V142" s="410">
        <f>Yardi!J141</f>
        <v>0</v>
      </c>
    </row>
    <row r="143" spans="1:22" x14ac:dyDescent="0.35">
      <c r="A143" t="s">
        <v>32</v>
      </c>
      <c r="B143" t="s">
        <v>32</v>
      </c>
      <c r="C143" t="s">
        <v>32</v>
      </c>
      <c r="D143" t="s">
        <v>32</v>
      </c>
      <c r="E143" t="s">
        <v>32</v>
      </c>
      <c r="F143" t="s">
        <v>32</v>
      </c>
      <c r="G143" t="s">
        <v>32</v>
      </c>
      <c r="H143" t="s">
        <v>32</v>
      </c>
      <c r="I143" t="s">
        <v>32</v>
      </c>
      <c r="J143" t="s">
        <v>32</v>
      </c>
      <c r="K143" t="s">
        <v>32</v>
      </c>
      <c r="L143" t="s">
        <v>32</v>
      </c>
      <c r="M143" t="s">
        <v>32</v>
      </c>
      <c r="N143" t="s">
        <v>32</v>
      </c>
      <c r="O143" t="e">
        <f>Yardi!K142</f>
        <v>#REF!</v>
      </c>
      <c r="P143" t="e">
        <f>Yardi!O142</f>
        <v>#REF!</v>
      </c>
      <c r="R143" t="s">
        <v>32</v>
      </c>
      <c r="S143" t="s">
        <v>32</v>
      </c>
      <c r="T143" t="s">
        <v>32</v>
      </c>
      <c r="U143" t="s">
        <v>32</v>
      </c>
      <c r="V143" s="410">
        <f>Yardi!J142</f>
        <v>0</v>
      </c>
    </row>
    <row r="144" spans="1:22" x14ac:dyDescent="0.35">
      <c r="A144" t="s">
        <v>32</v>
      </c>
      <c r="B144" t="s">
        <v>32</v>
      </c>
      <c r="C144" t="s">
        <v>32</v>
      </c>
      <c r="D144" t="s">
        <v>32</v>
      </c>
      <c r="E144" t="s">
        <v>32</v>
      </c>
      <c r="F144" t="s">
        <v>32</v>
      </c>
      <c r="G144" t="s">
        <v>32</v>
      </c>
      <c r="H144" t="s">
        <v>32</v>
      </c>
      <c r="I144" t="s">
        <v>32</v>
      </c>
      <c r="J144" t="s">
        <v>32</v>
      </c>
      <c r="K144" t="s">
        <v>32</v>
      </c>
      <c r="L144" t="s">
        <v>32</v>
      </c>
      <c r="M144" t="s">
        <v>32</v>
      </c>
      <c r="N144" t="s">
        <v>32</v>
      </c>
      <c r="O144" t="str">
        <f>Yardi!K143</f>
        <v>1630-8910</v>
      </c>
      <c r="P144" t="e">
        <f>Yardi!O143</f>
        <v>#REF!</v>
      </c>
      <c r="R144" t="s">
        <v>32</v>
      </c>
      <c r="S144" t="s">
        <v>32</v>
      </c>
      <c r="T144" t="s">
        <v>32</v>
      </c>
      <c r="U144" t="s">
        <v>32</v>
      </c>
      <c r="V144" s="410">
        <f>Yardi!J143</f>
        <v>0</v>
      </c>
    </row>
    <row r="145" spans="1:22" x14ac:dyDescent="0.35">
      <c r="A145" t="s">
        <v>32</v>
      </c>
      <c r="B145" t="s">
        <v>32</v>
      </c>
      <c r="C145" t="s">
        <v>32</v>
      </c>
      <c r="D145" t="s">
        <v>32</v>
      </c>
      <c r="E145" t="s">
        <v>32</v>
      </c>
      <c r="F145" t="s">
        <v>32</v>
      </c>
      <c r="G145" t="s">
        <v>32</v>
      </c>
      <c r="H145" t="s">
        <v>32</v>
      </c>
      <c r="I145" t="s">
        <v>32</v>
      </c>
      <c r="J145" t="s">
        <v>32</v>
      </c>
      <c r="K145" t="s">
        <v>32</v>
      </c>
      <c r="L145" t="s">
        <v>32</v>
      </c>
      <c r="M145" t="s">
        <v>32</v>
      </c>
      <c r="N145" t="s">
        <v>32</v>
      </c>
      <c r="O145" t="e">
        <f>Yardi!K144</f>
        <v>#REF!</v>
      </c>
      <c r="P145" t="e">
        <f>Yardi!O144</f>
        <v>#REF!</v>
      </c>
      <c r="R145" t="s">
        <v>32</v>
      </c>
      <c r="S145" t="s">
        <v>32</v>
      </c>
      <c r="T145" t="s">
        <v>32</v>
      </c>
      <c r="U145" t="s">
        <v>32</v>
      </c>
      <c r="V145" s="410">
        <f>Yardi!J144</f>
        <v>0</v>
      </c>
    </row>
    <row r="146" spans="1:22" x14ac:dyDescent="0.35">
      <c r="A146" t="s">
        <v>32</v>
      </c>
      <c r="B146" t="s">
        <v>32</v>
      </c>
      <c r="C146" t="s">
        <v>32</v>
      </c>
      <c r="D146" t="s">
        <v>32</v>
      </c>
      <c r="E146" t="s">
        <v>32</v>
      </c>
      <c r="F146" t="s">
        <v>32</v>
      </c>
      <c r="G146" t="s">
        <v>32</v>
      </c>
      <c r="H146" t="s">
        <v>32</v>
      </c>
      <c r="I146" t="s">
        <v>32</v>
      </c>
      <c r="J146" t="s">
        <v>32</v>
      </c>
      <c r="K146" t="s">
        <v>32</v>
      </c>
      <c r="L146" t="s">
        <v>32</v>
      </c>
      <c r="M146" t="s">
        <v>32</v>
      </c>
      <c r="N146" t="s">
        <v>32</v>
      </c>
      <c r="O146" t="str">
        <f>Yardi!K145</f>
        <v>1630-8910</v>
      </c>
      <c r="P146" t="e">
        <f>Yardi!O145</f>
        <v>#REF!</v>
      </c>
      <c r="R146" t="s">
        <v>32</v>
      </c>
      <c r="S146" t="s">
        <v>32</v>
      </c>
      <c r="T146" t="s">
        <v>32</v>
      </c>
      <c r="U146" t="s">
        <v>32</v>
      </c>
      <c r="V146" s="410">
        <f>Yardi!J145</f>
        <v>0</v>
      </c>
    </row>
    <row r="147" spans="1:22" x14ac:dyDescent="0.35">
      <c r="A147" t="s">
        <v>32</v>
      </c>
      <c r="B147" t="s">
        <v>32</v>
      </c>
      <c r="C147" t="s">
        <v>32</v>
      </c>
      <c r="D147" t="s">
        <v>32</v>
      </c>
      <c r="E147" t="s">
        <v>32</v>
      </c>
      <c r="F147" t="s">
        <v>32</v>
      </c>
      <c r="G147" t="s">
        <v>32</v>
      </c>
      <c r="H147" t="s">
        <v>32</v>
      </c>
      <c r="I147" t="s">
        <v>32</v>
      </c>
      <c r="J147" t="s">
        <v>32</v>
      </c>
      <c r="K147" t="s">
        <v>32</v>
      </c>
      <c r="L147" t="s">
        <v>32</v>
      </c>
      <c r="M147" t="s">
        <v>32</v>
      </c>
      <c r="N147" t="s">
        <v>32</v>
      </c>
      <c r="O147" t="e">
        <f>Yardi!K146</f>
        <v>#REF!</v>
      </c>
      <c r="P147" t="e">
        <f>Yardi!O146</f>
        <v>#REF!</v>
      </c>
      <c r="R147" t="s">
        <v>32</v>
      </c>
      <c r="S147" t="s">
        <v>32</v>
      </c>
      <c r="T147" t="s">
        <v>32</v>
      </c>
      <c r="U147" t="s">
        <v>32</v>
      </c>
      <c r="V147" s="410">
        <f>Yardi!J146</f>
        <v>0</v>
      </c>
    </row>
    <row r="148" spans="1:22" x14ac:dyDescent="0.35">
      <c r="A148" t="s">
        <v>32</v>
      </c>
      <c r="B148" t="s">
        <v>32</v>
      </c>
      <c r="C148" t="s">
        <v>32</v>
      </c>
      <c r="D148" t="s">
        <v>32</v>
      </c>
      <c r="E148" t="s">
        <v>32</v>
      </c>
      <c r="F148" t="s">
        <v>32</v>
      </c>
      <c r="G148" t="s">
        <v>32</v>
      </c>
      <c r="H148" t="s">
        <v>32</v>
      </c>
      <c r="I148" t="s">
        <v>32</v>
      </c>
      <c r="J148" t="s">
        <v>32</v>
      </c>
      <c r="K148" t="s">
        <v>32</v>
      </c>
      <c r="L148" t="s">
        <v>32</v>
      </c>
      <c r="M148" t="s">
        <v>32</v>
      </c>
      <c r="N148" t="s">
        <v>32</v>
      </c>
      <c r="O148" t="str">
        <f>Yardi!K147</f>
        <v>1630-8910</v>
      </c>
      <c r="P148" t="e">
        <f>Yardi!O147</f>
        <v>#REF!</v>
      </c>
      <c r="R148" t="s">
        <v>32</v>
      </c>
      <c r="S148" t="s">
        <v>32</v>
      </c>
      <c r="T148" t="s">
        <v>32</v>
      </c>
      <c r="U148" t="s">
        <v>32</v>
      </c>
      <c r="V148" s="410">
        <f>Yardi!J147</f>
        <v>0</v>
      </c>
    </row>
    <row r="149" spans="1:22" x14ac:dyDescent="0.35">
      <c r="A149" t="s">
        <v>32</v>
      </c>
      <c r="B149" t="s">
        <v>32</v>
      </c>
      <c r="C149" t="s">
        <v>32</v>
      </c>
      <c r="D149" t="s">
        <v>32</v>
      </c>
      <c r="E149" t="s">
        <v>32</v>
      </c>
      <c r="F149" t="s">
        <v>32</v>
      </c>
      <c r="G149" t="s">
        <v>32</v>
      </c>
      <c r="H149" t="s">
        <v>32</v>
      </c>
      <c r="I149" t="s">
        <v>32</v>
      </c>
      <c r="J149" t="s">
        <v>32</v>
      </c>
      <c r="K149" t="s">
        <v>32</v>
      </c>
      <c r="L149" t="s">
        <v>32</v>
      </c>
      <c r="M149" t="s">
        <v>32</v>
      </c>
      <c r="N149" t="s">
        <v>32</v>
      </c>
      <c r="O149" t="e">
        <f>Yardi!K148</f>
        <v>#REF!</v>
      </c>
      <c r="P149" t="e">
        <f>Yardi!O148</f>
        <v>#REF!</v>
      </c>
      <c r="R149" t="s">
        <v>32</v>
      </c>
      <c r="S149" t="s">
        <v>32</v>
      </c>
      <c r="T149" t="s">
        <v>32</v>
      </c>
      <c r="U149" t="s">
        <v>32</v>
      </c>
      <c r="V149" s="410">
        <f>Yardi!J148</f>
        <v>0</v>
      </c>
    </row>
    <row r="150" spans="1:22" x14ac:dyDescent="0.35">
      <c r="A150" t="s">
        <v>32</v>
      </c>
      <c r="B150" t="s">
        <v>32</v>
      </c>
      <c r="C150" t="s">
        <v>32</v>
      </c>
      <c r="D150" t="s">
        <v>32</v>
      </c>
      <c r="E150" t="s">
        <v>32</v>
      </c>
      <c r="F150" t="s">
        <v>32</v>
      </c>
      <c r="G150" t="s">
        <v>32</v>
      </c>
      <c r="H150" t="s">
        <v>32</v>
      </c>
      <c r="I150" t="s">
        <v>32</v>
      </c>
      <c r="J150" t="s">
        <v>32</v>
      </c>
      <c r="K150" t="s">
        <v>32</v>
      </c>
      <c r="L150" t="s">
        <v>32</v>
      </c>
      <c r="M150" t="s">
        <v>32</v>
      </c>
      <c r="N150" t="s">
        <v>32</v>
      </c>
      <c r="O150" t="str">
        <f>Yardi!K149</f>
        <v>1630-8910</v>
      </c>
      <c r="P150" t="e">
        <f>Yardi!O149</f>
        <v>#REF!</v>
      </c>
      <c r="R150" t="s">
        <v>32</v>
      </c>
      <c r="S150" t="s">
        <v>32</v>
      </c>
      <c r="T150" t="s">
        <v>32</v>
      </c>
      <c r="U150" t="s">
        <v>32</v>
      </c>
      <c r="V150" s="410">
        <f>Yardi!J149</f>
        <v>0</v>
      </c>
    </row>
    <row r="151" spans="1:22" x14ac:dyDescent="0.35">
      <c r="A151" t="s">
        <v>32</v>
      </c>
      <c r="B151" t="s">
        <v>32</v>
      </c>
      <c r="C151" t="s">
        <v>32</v>
      </c>
      <c r="D151" t="s">
        <v>32</v>
      </c>
      <c r="E151" t="s">
        <v>32</v>
      </c>
      <c r="F151" t="s">
        <v>32</v>
      </c>
      <c r="G151" t="s">
        <v>32</v>
      </c>
      <c r="H151" t="s">
        <v>32</v>
      </c>
      <c r="I151" t="s">
        <v>32</v>
      </c>
      <c r="J151" t="s">
        <v>32</v>
      </c>
      <c r="K151" t="s">
        <v>32</v>
      </c>
      <c r="L151" t="s">
        <v>32</v>
      </c>
      <c r="M151" t="s">
        <v>32</v>
      </c>
      <c r="N151" t="s">
        <v>32</v>
      </c>
      <c r="O151" t="e">
        <f>Yardi!K150</f>
        <v>#REF!</v>
      </c>
      <c r="P151" t="e">
        <f>Yardi!O150</f>
        <v>#REF!</v>
      </c>
      <c r="R151" t="s">
        <v>32</v>
      </c>
      <c r="S151" t="s">
        <v>32</v>
      </c>
      <c r="T151" t="s">
        <v>32</v>
      </c>
      <c r="U151" t="s">
        <v>32</v>
      </c>
      <c r="V151" s="410">
        <f>Yardi!J150</f>
        <v>0</v>
      </c>
    </row>
    <row r="152" spans="1:22" x14ac:dyDescent="0.35">
      <c r="A152" t="s">
        <v>32</v>
      </c>
      <c r="B152" t="s">
        <v>32</v>
      </c>
      <c r="C152" t="s">
        <v>32</v>
      </c>
      <c r="D152" t="s">
        <v>32</v>
      </c>
      <c r="E152" t="s">
        <v>32</v>
      </c>
      <c r="F152" t="s">
        <v>32</v>
      </c>
      <c r="G152" t="s">
        <v>32</v>
      </c>
      <c r="H152" t="s">
        <v>32</v>
      </c>
      <c r="I152" t="s">
        <v>32</v>
      </c>
      <c r="J152" t="s">
        <v>32</v>
      </c>
      <c r="K152" t="s">
        <v>32</v>
      </c>
      <c r="L152" t="s">
        <v>32</v>
      </c>
      <c r="M152" t="s">
        <v>32</v>
      </c>
      <c r="N152" t="s">
        <v>32</v>
      </c>
      <c r="O152" t="str">
        <f>Yardi!K151</f>
        <v>1630-8910</v>
      </c>
      <c r="P152" t="e">
        <f>Yardi!O151</f>
        <v>#REF!</v>
      </c>
      <c r="R152" t="s">
        <v>32</v>
      </c>
      <c r="S152" t="s">
        <v>32</v>
      </c>
      <c r="T152" t="s">
        <v>32</v>
      </c>
      <c r="U152" t="s">
        <v>32</v>
      </c>
      <c r="V152" s="410">
        <f>Yardi!J151</f>
        <v>0</v>
      </c>
    </row>
    <row r="153" spans="1:22" x14ac:dyDescent="0.35">
      <c r="A153" t="s">
        <v>32</v>
      </c>
      <c r="B153" t="s">
        <v>32</v>
      </c>
      <c r="C153" t="s">
        <v>32</v>
      </c>
      <c r="D153" t="s">
        <v>32</v>
      </c>
      <c r="E153" t="s">
        <v>32</v>
      </c>
      <c r="F153" t="s">
        <v>32</v>
      </c>
      <c r="G153" t="s">
        <v>32</v>
      </c>
      <c r="H153" t="s">
        <v>32</v>
      </c>
      <c r="I153" t="s">
        <v>32</v>
      </c>
      <c r="J153" t="s">
        <v>32</v>
      </c>
      <c r="K153" t="s">
        <v>32</v>
      </c>
      <c r="L153" t="s">
        <v>32</v>
      </c>
      <c r="M153" t="s">
        <v>32</v>
      </c>
      <c r="N153" t="s">
        <v>32</v>
      </c>
      <c r="O153" t="e">
        <f>Yardi!K152</f>
        <v>#REF!</v>
      </c>
      <c r="P153" t="e">
        <f>Yardi!O152</f>
        <v>#REF!</v>
      </c>
      <c r="R153" t="s">
        <v>32</v>
      </c>
      <c r="S153" t="s">
        <v>32</v>
      </c>
      <c r="T153" t="s">
        <v>32</v>
      </c>
      <c r="U153" t="s">
        <v>32</v>
      </c>
      <c r="V153" s="410">
        <f>Yardi!J152</f>
        <v>0</v>
      </c>
    </row>
    <row r="154" spans="1:22" x14ac:dyDescent="0.35">
      <c r="A154" t="s">
        <v>32</v>
      </c>
      <c r="B154" t="s">
        <v>32</v>
      </c>
      <c r="C154" t="s">
        <v>32</v>
      </c>
      <c r="D154" t="s">
        <v>32</v>
      </c>
      <c r="E154" t="s">
        <v>32</v>
      </c>
      <c r="F154" t="s">
        <v>32</v>
      </c>
      <c r="G154" t="s">
        <v>32</v>
      </c>
      <c r="H154" t="s">
        <v>32</v>
      </c>
      <c r="I154" t="s">
        <v>32</v>
      </c>
      <c r="J154" t="s">
        <v>32</v>
      </c>
      <c r="K154" t="s">
        <v>32</v>
      </c>
      <c r="L154" t="s">
        <v>32</v>
      </c>
      <c r="M154" t="s">
        <v>32</v>
      </c>
      <c r="N154" t="s">
        <v>32</v>
      </c>
      <c r="O154" t="str">
        <f>Yardi!K153</f>
        <v>1630-8910</v>
      </c>
      <c r="P154" t="e">
        <f>Yardi!O153</f>
        <v>#REF!</v>
      </c>
      <c r="R154" t="s">
        <v>32</v>
      </c>
      <c r="S154" t="s">
        <v>32</v>
      </c>
      <c r="T154" t="s">
        <v>32</v>
      </c>
      <c r="U154" t="s">
        <v>32</v>
      </c>
      <c r="V154" s="410">
        <f>Yardi!J153</f>
        <v>0</v>
      </c>
    </row>
    <row r="155" spans="1:22" x14ac:dyDescent="0.35">
      <c r="A155" t="s">
        <v>32</v>
      </c>
      <c r="B155" t="s">
        <v>32</v>
      </c>
      <c r="C155" t="s">
        <v>32</v>
      </c>
      <c r="D155" t="s">
        <v>32</v>
      </c>
      <c r="E155" t="s">
        <v>32</v>
      </c>
      <c r="F155" t="s">
        <v>32</v>
      </c>
      <c r="G155" t="s">
        <v>32</v>
      </c>
      <c r="H155" t="s">
        <v>32</v>
      </c>
      <c r="I155" t="s">
        <v>32</v>
      </c>
      <c r="J155" t="s">
        <v>32</v>
      </c>
      <c r="K155" t="s">
        <v>32</v>
      </c>
      <c r="L155" t="s">
        <v>32</v>
      </c>
      <c r="M155" t="s">
        <v>32</v>
      </c>
      <c r="N155" t="s">
        <v>32</v>
      </c>
      <c r="O155" t="e">
        <f>Yardi!K154</f>
        <v>#REF!</v>
      </c>
      <c r="P155" t="e">
        <f>Yardi!O154</f>
        <v>#REF!</v>
      </c>
      <c r="R155" t="s">
        <v>32</v>
      </c>
      <c r="S155" t="s">
        <v>32</v>
      </c>
      <c r="T155" t="s">
        <v>32</v>
      </c>
      <c r="U155" t="s">
        <v>32</v>
      </c>
      <c r="V155" s="410">
        <f>Yardi!J154</f>
        <v>0</v>
      </c>
    </row>
    <row r="156" spans="1:22" x14ac:dyDescent="0.35">
      <c r="A156" t="s">
        <v>32</v>
      </c>
      <c r="B156" t="s">
        <v>32</v>
      </c>
      <c r="C156" t="s">
        <v>32</v>
      </c>
      <c r="D156" t="s">
        <v>32</v>
      </c>
      <c r="E156" t="s">
        <v>32</v>
      </c>
      <c r="F156" t="s">
        <v>32</v>
      </c>
      <c r="G156" t="s">
        <v>32</v>
      </c>
      <c r="H156" t="s">
        <v>32</v>
      </c>
      <c r="I156" t="s">
        <v>32</v>
      </c>
      <c r="J156" t="s">
        <v>32</v>
      </c>
      <c r="K156" t="s">
        <v>32</v>
      </c>
      <c r="L156" t="s">
        <v>32</v>
      </c>
      <c r="M156" t="s">
        <v>32</v>
      </c>
      <c r="N156" t="s">
        <v>32</v>
      </c>
      <c r="O156" t="str">
        <f>Yardi!K155</f>
        <v>1630-8910</v>
      </c>
      <c r="P156" t="e">
        <f>Yardi!O155</f>
        <v>#REF!</v>
      </c>
      <c r="R156" t="s">
        <v>32</v>
      </c>
      <c r="S156" t="s">
        <v>32</v>
      </c>
      <c r="T156" t="s">
        <v>32</v>
      </c>
      <c r="U156" t="s">
        <v>32</v>
      </c>
      <c r="V156" s="410">
        <f>Yardi!J155</f>
        <v>0</v>
      </c>
    </row>
    <row r="157" spans="1:22" x14ac:dyDescent="0.35">
      <c r="A157" t="s">
        <v>32</v>
      </c>
      <c r="B157" t="s">
        <v>32</v>
      </c>
      <c r="C157" t="s">
        <v>32</v>
      </c>
      <c r="D157" t="s">
        <v>32</v>
      </c>
      <c r="E157" t="s">
        <v>32</v>
      </c>
      <c r="F157" t="s">
        <v>32</v>
      </c>
      <c r="G157" t="s">
        <v>32</v>
      </c>
      <c r="H157" t="s">
        <v>32</v>
      </c>
      <c r="I157" t="s">
        <v>32</v>
      </c>
      <c r="J157" t="s">
        <v>32</v>
      </c>
      <c r="K157" t="s">
        <v>32</v>
      </c>
      <c r="L157" t="s">
        <v>32</v>
      </c>
      <c r="M157" t="s">
        <v>32</v>
      </c>
      <c r="N157" t="s">
        <v>32</v>
      </c>
      <c r="O157">
        <f>Yardi!K156</f>
        <v>0</v>
      </c>
      <c r="P157" t="str">
        <f>Yardi!O156</f>
        <v>09/2026 Prepaid Amortization</v>
      </c>
      <c r="R157" t="s">
        <v>32</v>
      </c>
      <c r="S157" t="s">
        <v>32</v>
      </c>
      <c r="T157" t="s">
        <v>32</v>
      </c>
      <c r="U157" t="s">
        <v>32</v>
      </c>
      <c r="V157" s="410">
        <f>Yardi!J156</f>
        <v>0</v>
      </c>
    </row>
    <row r="158" spans="1:22" x14ac:dyDescent="0.35">
      <c r="A158" t="s">
        <v>32</v>
      </c>
      <c r="B158" t="s">
        <v>32</v>
      </c>
      <c r="C158" t="s">
        <v>32</v>
      </c>
      <c r="D158" t="s">
        <v>32</v>
      </c>
      <c r="E158" t="s">
        <v>32</v>
      </c>
      <c r="F158" t="s">
        <v>32</v>
      </c>
      <c r="G158" t="s">
        <v>32</v>
      </c>
      <c r="H158" t="s">
        <v>32</v>
      </c>
      <c r="I158" t="s">
        <v>32</v>
      </c>
      <c r="J158" t="s">
        <v>32</v>
      </c>
      <c r="K158" t="s">
        <v>32</v>
      </c>
      <c r="L158" t="s">
        <v>32</v>
      </c>
      <c r="M158" t="s">
        <v>32</v>
      </c>
      <c r="N158" t="s">
        <v>32</v>
      </c>
      <c r="O158" t="str">
        <f>Yardi!K157</f>
        <v>1630-8910</v>
      </c>
      <c r="P158" t="str">
        <f>Yardi!O157</f>
        <v>09/2026 Prepaid Amortization</v>
      </c>
      <c r="R158" t="s">
        <v>32</v>
      </c>
      <c r="S158" t="s">
        <v>32</v>
      </c>
      <c r="T158" t="s">
        <v>32</v>
      </c>
      <c r="U158" t="s">
        <v>32</v>
      </c>
      <c r="V158" s="410">
        <f>Yardi!J157</f>
        <v>0</v>
      </c>
    </row>
    <row r="159" spans="1:22" x14ac:dyDescent="0.35">
      <c r="A159" t="s">
        <v>32</v>
      </c>
      <c r="B159" t="s">
        <v>32</v>
      </c>
      <c r="C159" t="s">
        <v>32</v>
      </c>
      <c r="D159" t="s">
        <v>32</v>
      </c>
      <c r="E159" t="s">
        <v>32</v>
      </c>
      <c r="F159" t="s">
        <v>32</v>
      </c>
      <c r="G159" t="s">
        <v>32</v>
      </c>
      <c r="H159" t="s">
        <v>32</v>
      </c>
      <c r="I159" t="s">
        <v>32</v>
      </c>
      <c r="J159" t="s">
        <v>32</v>
      </c>
      <c r="K159" t="s">
        <v>32</v>
      </c>
      <c r="L159" t="s">
        <v>32</v>
      </c>
      <c r="M159" t="s">
        <v>32</v>
      </c>
      <c r="N159" t="s">
        <v>32</v>
      </c>
      <c r="O159">
        <f>Yardi!K158</f>
        <v>0</v>
      </c>
      <c r="P159" t="str">
        <f>Yardi!O158</f>
        <v>09/2026 Prepaid Amortization</v>
      </c>
      <c r="R159" t="s">
        <v>32</v>
      </c>
      <c r="S159" t="s">
        <v>32</v>
      </c>
      <c r="T159" t="s">
        <v>32</v>
      </c>
      <c r="U159" t="s">
        <v>32</v>
      </c>
      <c r="V159" s="410">
        <f>Yardi!J158</f>
        <v>0</v>
      </c>
    </row>
    <row r="160" spans="1:22" x14ac:dyDescent="0.35">
      <c r="A160" t="s">
        <v>32</v>
      </c>
      <c r="B160" t="s">
        <v>32</v>
      </c>
      <c r="C160" t="s">
        <v>32</v>
      </c>
      <c r="D160" t="s">
        <v>32</v>
      </c>
      <c r="E160" t="s">
        <v>32</v>
      </c>
      <c r="F160" t="s">
        <v>32</v>
      </c>
      <c r="G160" t="s">
        <v>32</v>
      </c>
      <c r="H160" t="s">
        <v>32</v>
      </c>
      <c r="I160" t="s">
        <v>32</v>
      </c>
      <c r="J160" t="s">
        <v>32</v>
      </c>
      <c r="K160" t="s">
        <v>32</v>
      </c>
      <c r="L160" t="s">
        <v>32</v>
      </c>
      <c r="M160" t="s">
        <v>32</v>
      </c>
      <c r="N160" t="s">
        <v>32</v>
      </c>
      <c r="O160" t="str">
        <f>Yardi!K159</f>
        <v>1630-8910</v>
      </c>
      <c r="P160" t="str">
        <f>Yardi!O159</f>
        <v>09/2026 Prepaid Amortization</v>
      </c>
      <c r="R160" t="s">
        <v>32</v>
      </c>
      <c r="S160" t="s">
        <v>32</v>
      </c>
      <c r="T160" t="s">
        <v>32</v>
      </c>
      <c r="U160" t="s">
        <v>32</v>
      </c>
      <c r="V160" s="410">
        <f>Yardi!J159</f>
        <v>0</v>
      </c>
    </row>
    <row r="161" spans="1:22" x14ac:dyDescent="0.35">
      <c r="A161" t="s">
        <v>32</v>
      </c>
      <c r="B161" t="s">
        <v>32</v>
      </c>
      <c r="C161" t="s">
        <v>32</v>
      </c>
      <c r="D161" t="s">
        <v>32</v>
      </c>
      <c r="E161" t="s">
        <v>32</v>
      </c>
      <c r="F161" t="s">
        <v>32</v>
      </c>
      <c r="G161" t="s">
        <v>32</v>
      </c>
      <c r="H161" t="s">
        <v>32</v>
      </c>
      <c r="I161" t="s">
        <v>32</v>
      </c>
      <c r="J161" t="s">
        <v>32</v>
      </c>
      <c r="K161" t="s">
        <v>32</v>
      </c>
      <c r="L161" t="s">
        <v>32</v>
      </c>
      <c r="M161" t="s">
        <v>32</v>
      </c>
      <c r="N161" t="s">
        <v>32</v>
      </c>
      <c r="O161">
        <f>Yardi!K160</f>
        <v>0</v>
      </c>
      <c r="P161" t="str">
        <f>Yardi!O160</f>
        <v>09/2026 Prepaid Amortization</v>
      </c>
      <c r="R161" t="s">
        <v>32</v>
      </c>
      <c r="S161" t="s">
        <v>32</v>
      </c>
      <c r="T161" t="s">
        <v>32</v>
      </c>
      <c r="U161" t="s">
        <v>32</v>
      </c>
      <c r="V161" s="410">
        <f>Yardi!J160</f>
        <v>0</v>
      </c>
    </row>
    <row r="162" spans="1:22" x14ac:dyDescent="0.35">
      <c r="A162" t="s">
        <v>32</v>
      </c>
      <c r="B162" t="s">
        <v>32</v>
      </c>
      <c r="C162" t="s">
        <v>32</v>
      </c>
      <c r="D162" t="s">
        <v>32</v>
      </c>
      <c r="E162" t="s">
        <v>32</v>
      </c>
      <c r="F162" t="s">
        <v>32</v>
      </c>
      <c r="G162" t="s">
        <v>32</v>
      </c>
      <c r="H162" t="s">
        <v>32</v>
      </c>
      <c r="I162" t="s">
        <v>32</v>
      </c>
      <c r="J162" t="s">
        <v>32</v>
      </c>
      <c r="K162" t="s">
        <v>32</v>
      </c>
      <c r="L162" t="s">
        <v>32</v>
      </c>
      <c r="M162" t="s">
        <v>32</v>
      </c>
      <c r="N162" t="s">
        <v>32</v>
      </c>
      <c r="O162" t="str">
        <f>Yardi!K161</f>
        <v>1630-8910</v>
      </c>
      <c r="P162" t="str">
        <f>Yardi!O161</f>
        <v>09/2026 Prepaid Amortization</v>
      </c>
      <c r="R162" t="s">
        <v>32</v>
      </c>
      <c r="S162" t="s">
        <v>32</v>
      </c>
      <c r="T162" t="s">
        <v>32</v>
      </c>
      <c r="U162" t="s">
        <v>32</v>
      </c>
      <c r="V162" s="410">
        <f>Yardi!J161</f>
        <v>0</v>
      </c>
    </row>
    <row r="163" spans="1:22" x14ac:dyDescent="0.35">
      <c r="A163" t="s">
        <v>32</v>
      </c>
      <c r="B163" t="s">
        <v>32</v>
      </c>
      <c r="C163" t="s">
        <v>32</v>
      </c>
      <c r="D163" t="s">
        <v>32</v>
      </c>
      <c r="E163" t="s">
        <v>32</v>
      </c>
      <c r="F163" t="s">
        <v>32</v>
      </c>
      <c r="G163" t="s">
        <v>32</v>
      </c>
      <c r="H163" t="s">
        <v>32</v>
      </c>
      <c r="I163" t="s">
        <v>32</v>
      </c>
      <c r="J163" t="s">
        <v>32</v>
      </c>
      <c r="K163" t="s">
        <v>32</v>
      </c>
      <c r="L163" t="s">
        <v>32</v>
      </c>
      <c r="M163" t="s">
        <v>32</v>
      </c>
      <c r="N163" t="s">
        <v>32</v>
      </c>
      <c r="O163">
        <f>Yardi!K162</f>
        <v>0</v>
      </c>
      <c r="P163" t="str">
        <f>Yardi!O162</f>
        <v>09/2026 Prepaid Amortization</v>
      </c>
      <c r="R163" t="s">
        <v>32</v>
      </c>
      <c r="S163" t="s">
        <v>32</v>
      </c>
      <c r="T163" t="s">
        <v>32</v>
      </c>
      <c r="U163" t="s">
        <v>32</v>
      </c>
      <c r="V163" s="410">
        <f>Yardi!J162</f>
        <v>0</v>
      </c>
    </row>
    <row r="164" spans="1:22" x14ac:dyDescent="0.35">
      <c r="A164" t="s">
        <v>32</v>
      </c>
      <c r="B164" t="s">
        <v>32</v>
      </c>
      <c r="C164" t="s">
        <v>32</v>
      </c>
      <c r="D164" t="s">
        <v>32</v>
      </c>
      <c r="E164" t="s">
        <v>32</v>
      </c>
      <c r="F164" t="s">
        <v>32</v>
      </c>
      <c r="G164" t="s">
        <v>32</v>
      </c>
      <c r="H164" t="s">
        <v>32</v>
      </c>
      <c r="I164" t="s">
        <v>32</v>
      </c>
      <c r="J164" t="s">
        <v>32</v>
      </c>
      <c r="K164" t="s">
        <v>32</v>
      </c>
      <c r="L164" t="s">
        <v>32</v>
      </c>
      <c r="M164" t="s">
        <v>32</v>
      </c>
      <c r="N164" t="s">
        <v>32</v>
      </c>
      <c r="O164" t="str">
        <f>Yardi!K163</f>
        <v>1630-8910</v>
      </c>
      <c r="P164" t="str">
        <f>Yardi!O163</f>
        <v>09/2026 Prepaid Amortization</v>
      </c>
      <c r="R164" t="s">
        <v>32</v>
      </c>
      <c r="S164" t="s">
        <v>32</v>
      </c>
      <c r="T164" t="s">
        <v>32</v>
      </c>
      <c r="U164" t="s">
        <v>32</v>
      </c>
      <c r="V164" s="410">
        <f>Yardi!J163</f>
        <v>0</v>
      </c>
    </row>
    <row r="165" spans="1:22" x14ac:dyDescent="0.35">
      <c r="A165" t="s">
        <v>32</v>
      </c>
      <c r="B165" t="s">
        <v>32</v>
      </c>
      <c r="C165" t="s">
        <v>32</v>
      </c>
      <c r="D165" t="s">
        <v>32</v>
      </c>
      <c r="E165" t="s">
        <v>32</v>
      </c>
      <c r="F165" t="s">
        <v>32</v>
      </c>
      <c r="G165" t="s">
        <v>32</v>
      </c>
      <c r="H165" t="s">
        <v>32</v>
      </c>
      <c r="I165" t="s">
        <v>32</v>
      </c>
      <c r="J165" t="s">
        <v>32</v>
      </c>
      <c r="K165" t="s">
        <v>32</v>
      </c>
      <c r="L165" t="s">
        <v>32</v>
      </c>
      <c r="M165" t="s">
        <v>32</v>
      </c>
      <c r="N165" t="s">
        <v>32</v>
      </c>
      <c r="O165">
        <f>Yardi!K164</f>
        <v>0</v>
      </c>
      <c r="P165" t="str">
        <f>Yardi!O164</f>
        <v>09/2026 Prepaid Amortization</v>
      </c>
      <c r="R165" t="s">
        <v>32</v>
      </c>
      <c r="S165" t="s">
        <v>32</v>
      </c>
      <c r="T165" t="s">
        <v>32</v>
      </c>
      <c r="U165" t="s">
        <v>32</v>
      </c>
      <c r="V165" s="410">
        <f>Yardi!J164</f>
        <v>0</v>
      </c>
    </row>
    <row r="166" spans="1:22" x14ac:dyDescent="0.35">
      <c r="A166" t="s">
        <v>32</v>
      </c>
      <c r="B166" t="s">
        <v>32</v>
      </c>
      <c r="C166" t="s">
        <v>32</v>
      </c>
      <c r="D166" t="s">
        <v>32</v>
      </c>
      <c r="E166" t="s">
        <v>32</v>
      </c>
      <c r="F166" t="s">
        <v>32</v>
      </c>
      <c r="G166" t="s">
        <v>32</v>
      </c>
      <c r="H166" t="s">
        <v>32</v>
      </c>
      <c r="I166" t="s">
        <v>32</v>
      </c>
      <c r="J166" t="s">
        <v>32</v>
      </c>
      <c r="K166" t="s">
        <v>32</v>
      </c>
      <c r="L166" t="s">
        <v>32</v>
      </c>
      <c r="M166" t="s">
        <v>32</v>
      </c>
      <c r="N166" t="s">
        <v>32</v>
      </c>
      <c r="O166" t="str">
        <f>Yardi!K165</f>
        <v>1630-8910</v>
      </c>
      <c r="P166" t="str">
        <f>Yardi!O165</f>
        <v>09/2026 Prepaid Amortization</v>
      </c>
      <c r="R166" t="s">
        <v>32</v>
      </c>
      <c r="S166" t="s">
        <v>32</v>
      </c>
      <c r="T166" t="s">
        <v>32</v>
      </c>
      <c r="U166" t="s">
        <v>32</v>
      </c>
      <c r="V166" s="410">
        <f>Yardi!J165</f>
        <v>0</v>
      </c>
    </row>
    <row r="1629" spans="7:7" x14ac:dyDescent="0.35">
      <c r="G1629" s="409"/>
    </row>
    <row r="1630" spans="7:7" x14ac:dyDescent="0.35">
      <c r="G1630" s="409"/>
    </row>
    <row r="1631" spans="7:7" x14ac:dyDescent="0.35">
      <c r="G1631" s="409"/>
    </row>
    <row r="1632" spans="7:7" x14ac:dyDescent="0.35">
      <c r="G1632" s="409"/>
    </row>
    <row r="1633" spans="7:7" x14ac:dyDescent="0.35">
      <c r="G1633" s="409"/>
    </row>
    <row r="1634" spans="7:7" x14ac:dyDescent="0.35">
      <c r="G1634" s="409"/>
    </row>
    <row r="1635" spans="7:7" x14ac:dyDescent="0.35">
      <c r="G1635" s="409"/>
    </row>
    <row r="1636" spans="7:7" x14ac:dyDescent="0.35">
      <c r="G1636" s="409"/>
    </row>
    <row r="1637" spans="7:7" x14ac:dyDescent="0.35">
      <c r="G1637" s="409"/>
    </row>
    <row r="1638" spans="7:7" x14ac:dyDescent="0.35">
      <c r="G1638" s="409"/>
    </row>
    <row r="1639" spans="7:7" x14ac:dyDescent="0.35">
      <c r="G1639" s="409"/>
    </row>
    <row r="1640" spans="7:7" x14ac:dyDescent="0.35">
      <c r="G1640" s="409"/>
    </row>
    <row r="1641" spans="7:7" x14ac:dyDescent="0.35">
      <c r="G1641" s="409"/>
    </row>
    <row r="1642" spans="7:7" x14ac:dyDescent="0.35">
      <c r="G1642" s="409"/>
    </row>
    <row r="1643" spans="7:7" x14ac:dyDescent="0.35">
      <c r="G1643" s="409"/>
    </row>
    <row r="1644" spans="7:7" x14ac:dyDescent="0.35">
      <c r="G1644" s="409"/>
    </row>
    <row r="1645" spans="7:7" x14ac:dyDescent="0.35">
      <c r="G1645" s="409"/>
    </row>
    <row r="1646" spans="7:7" x14ac:dyDescent="0.35">
      <c r="G1646" s="409"/>
    </row>
    <row r="1647" spans="7:7" x14ac:dyDescent="0.35">
      <c r="G1647" s="409"/>
    </row>
    <row r="1648" spans="7:7" x14ac:dyDescent="0.35">
      <c r="G1648" s="409"/>
    </row>
    <row r="1649" spans="7:7" x14ac:dyDescent="0.35">
      <c r="G1649" s="409"/>
    </row>
    <row r="1650" spans="7:7" x14ac:dyDescent="0.35">
      <c r="G1650" s="409"/>
    </row>
    <row r="1651" spans="7:7" x14ac:dyDescent="0.35">
      <c r="G1651" s="409"/>
    </row>
    <row r="1652" spans="7:7" x14ac:dyDescent="0.35">
      <c r="G1652" s="409"/>
    </row>
    <row r="1653" spans="7:7" x14ac:dyDescent="0.35">
      <c r="G1653" s="409"/>
    </row>
    <row r="1654" spans="7:7" x14ac:dyDescent="0.35">
      <c r="G1654" s="409"/>
    </row>
    <row r="1655" spans="7:7" x14ac:dyDescent="0.35">
      <c r="G1655" s="409"/>
    </row>
    <row r="1656" spans="7:7" x14ac:dyDescent="0.35">
      <c r="G1656" s="409"/>
    </row>
    <row r="1657" spans="7:7" x14ac:dyDescent="0.35">
      <c r="G1657" s="409"/>
    </row>
    <row r="1658" spans="7:7" x14ac:dyDescent="0.35">
      <c r="G1658" s="409"/>
    </row>
    <row r="1659" spans="7:7" x14ac:dyDescent="0.35">
      <c r="G1659" s="409"/>
    </row>
    <row r="1660" spans="7:7" x14ac:dyDescent="0.35">
      <c r="G1660" s="409"/>
    </row>
    <row r="1661" spans="7:7" x14ac:dyDescent="0.35">
      <c r="G1661" s="409"/>
    </row>
    <row r="1662" spans="7:7" x14ac:dyDescent="0.35">
      <c r="G1662" s="409"/>
    </row>
    <row r="1663" spans="7:7" x14ac:dyDescent="0.35">
      <c r="G1663" s="409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28F77-57A0-445A-BA99-755920E3EFCB}">
  <sheetPr codeName="Sheet18"/>
  <dimension ref="A2:AP168"/>
  <sheetViews>
    <sheetView workbookViewId="0">
      <selection sqref="A1:BY167"/>
    </sheetView>
  </sheetViews>
  <sheetFormatPr defaultRowHeight="14.5" x14ac:dyDescent="0.35"/>
  <cols>
    <col min="5" max="5" width="29.54296875" customWidth="1"/>
    <col min="6" max="6" width="29.81640625" customWidth="1"/>
    <col min="12" max="12" width="44.453125" customWidth="1"/>
  </cols>
  <sheetData>
    <row r="2" spans="1:42" x14ac:dyDescent="0.35">
      <c r="A2" t="s">
        <v>622</v>
      </c>
      <c r="B2" t="s">
        <v>623</v>
      </c>
      <c r="C2" t="s">
        <v>624</v>
      </c>
      <c r="D2" t="s">
        <v>625</v>
      </c>
      <c r="E2" t="s">
        <v>626</v>
      </c>
      <c r="F2" t="s">
        <v>627</v>
      </c>
      <c r="G2" t="s">
        <v>628</v>
      </c>
      <c r="H2" t="s">
        <v>629</v>
      </c>
      <c r="I2" t="s">
        <v>630</v>
      </c>
      <c r="J2" t="s">
        <v>631</v>
      </c>
      <c r="K2" t="s">
        <v>632</v>
      </c>
      <c r="L2" t="s">
        <v>633</v>
      </c>
      <c r="M2" t="s">
        <v>634</v>
      </c>
      <c r="N2" t="s">
        <v>635</v>
      </c>
      <c r="O2" t="s">
        <v>636</v>
      </c>
      <c r="P2" t="s">
        <v>637</v>
      </c>
      <c r="Q2" t="s">
        <v>638</v>
      </c>
      <c r="R2" t="s">
        <v>639</v>
      </c>
      <c r="S2" t="s">
        <v>640</v>
      </c>
      <c r="T2" t="s">
        <v>641</v>
      </c>
      <c r="U2" t="s">
        <v>642</v>
      </c>
      <c r="V2" t="s">
        <v>643</v>
      </c>
      <c r="W2" t="s">
        <v>644</v>
      </c>
      <c r="X2" t="s">
        <v>645</v>
      </c>
      <c r="Y2" t="s">
        <v>646</v>
      </c>
      <c r="Z2" t="s">
        <v>647</v>
      </c>
      <c r="AA2" t="s">
        <v>648</v>
      </c>
      <c r="AB2" t="s">
        <v>649</v>
      </c>
      <c r="AC2" t="s">
        <v>650</v>
      </c>
      <c r="AD2" t="s">
        <v>651</v>
      </c>
      <c r="AE2" t="s">
        <v>652</v>
      </c>
      <c r="AF2" t="s">
        <v>653</v>
      </c>
      <c r="AG2" t="s">
        <v>654</v>
      </c>
      <c r="AH2" t="s">
        <v>655</v>
      </c>
      <c r="AI2" t="s">
        <v>656</v>
      </c>
      <c r="AJ2" t="s">
        <v>657</v>
      </c>
      <c r="AK2" t="s">
        <v>658</v>
      </c>
      <c r="AL2" t="s">
        <v>659</v>
      </c>
      <c r="AM2" t="s">
        <v>660</v>
      </c>
      <c r="AN2" t="s">
        <v>661</v>
      </c>
      <c r="AO2" t="s">
        <v>662</v>
      </c>
      <c r="AP2" t="s">
        <v>663</v>
      </c>
    </row>
    <row r="3" spans="1:42" x14ac:dyDescent="0.35">
      <c r="A3" t="s">
        <v>664</v>
      </c>
      <c r="B3" t="s">
        <v>665</v>
      </c>
      <c r="C3" t="s">
        <v>666</v>
      </c>
      <c r="D3" t="s">
        <v>667</v>
      </c>
      <c r="E3" t="s">
        <v>668</v>
      </c>
      <c r="F3" t="s">
        <v>669</v>
      </c>
      <c r="G3" t="s">
        <v>670</v>
      </c>
      <c r="H3" t="s">
        <v>671</v>
      </c>
      <c r="I3" t="s">
        <v>672</v>
      </c>
      <c r="J3" t="s">
        <v>673</v>
      </c>
      <c r="K3" t="s">
        <v>674</v>
      </c>
      <c r="L3" t="s">
        <v>675</v>
      </c>
      <c r="M3" t="s">
        <v>676</v>
      </c>
      <c r="N3" t="s">
        <v>677</v>
      </c>
      <c r="O3" t="s">
        <v>678</v>
      </c>
      <c r="P3" t="s">
        <v>679</v>
      </c>
      <c r="Q3" t="s">
        <v>680</v>
      </c>
      <c r="R3" t="s">
        <v>681</v>
      </c>
      <c r="S3" t="s">
        <v>682</v>
      </c>
      <c r="T3" t="s">
        <v>683</v>
      </c>
      <c r="U3" t="s">
        <v>684</v>
      </c>
      <c r="V3" t="s">
        <v>685</v>
      </c>
      <c r="W3" t="s">
        <v>686</v>
      </c>
      <c r="X3" t="s">
        <v>687</v>
      </c>
      <c r="Y3" t="s">
        <v>688</v>
      </c>
      <c r="Z3" t="s">
        <v>689</v>
      </c>
      <c r="AA3" t="s">
        <v>690</v>
      </c>
      <c r="AB3" t="s">
        <v>691</v>
      </c>
      <c r="AC3" t="s">
        <v>692</v>
      </c>
      <c r="AD3" t="s">
        <v>693</v>
      </c>
      <c r="AE3" t="s">
        <v>694</v>
      </c>
      <c r="AF3" t="s">
        <v>695</v>
      </c>
      <c r="AG3" t="s">
        <v>696</v>
      </c>
      <c r="AH3" t="s">
        <v>695</v>
      </c>
      <c r="AI3" t="s">
        <v>696</v>
      </c>
      <c r="AJ3" t="s">
        <v>695</v>
      </c>
      <c r="AK3" t="s">
        <v>696</v>
      </c>
      <c r="AL3" t="s">
        <v>695</v>
      </c>
      <c r="AM3" t="s">
        <v>696</v>
      </c>
      <c r="AN3" t="s">
        <v>695</v>
      </c>
      <c r="AO3" t="s">
        <v>696</v>
      </c>
      <c r="AP3" t="s">
        <v>697</v>
      </c>
    </row>
    <row r="4" spans="1:42" x14ac:dyDescent="0.35">
      <c r="A4" t="str">
        <f t="shared" ref="A4:A35" si="0">IF(M4=0,"#","")</f>
        <v>#</v>
      </c>
      <c r="B4" t="s">
        <v>698</v>
      </c>
      <c r="C4" s="259">
        <f>Yardi!E2</f>
        <v>46266</v>
      </c>
      <c r="E4" t="str">
        <f>Yardi!G2</f>
        <v>September Recurring Entries</v>
      </c>
      <c r="F4" t="str">
        <f>Yardi!H2</f>
        <v>Balance Sheet Entries</v>
      </c>
      <c r="G4">
        <f>IF(A4="#",0,1)</f>
        <v>0</v>
      </c>
      <c r="H4" t="str">
        <f>Yardi!K2</f>
        <v>5510-0100</v>
      </c>
      <c r="I4" t="str">
        <f>Yardi!I2</f>
        <v>'c6us087a</v>
      </c>
      <c r="L4" t="str">
        <f>Yardi!O2</f>
        <v>09/2026 Prepaid Amortization</v>
      </c>
      <c r="M4" s="410">
        <f>Yardi!J2</f>
        <v>0</v>
      </c>
    </row>
    <row r="5" spans="1:42" x14ac:dyDescent="0.35">
      <c r="A5" t="str">
        <f t="shared" si="0"/>
        <v>#</v>
      </c>
      <c r="B5" t="s">
        <v>698</v>
      </c>
      <c r="C5" s="259">
        <f>Yardi!E3</f>
        <v>46266</v>
      </c>
      <c r="E5" t="str">
        <f>Yardi!G3</f>
        <v>September Recurring Entries</v>
      </c>
      <c r="F5" t="str">
        <f>Yardi!H3</f>
        <v>Balance Sheet Entries</v>
      </c>
      <c r="G5">
        <f t="shared" ref="G5:G36" si="1">IF(A5="#",G4,G4+1)</f>
        <v>0</v>
      </c>
      <c r="H5" t="str">
        <f>Yardi!K3</f>
        <v>1630-2010</v>
      </c>
      <c r="I5" t="str">
        <f>Yardi!I3</f>
        <v>'c6us087a</v>
      </c>
      <c r="L5" t="str">
        <f>Yardi!O3</f>
        <v>09/2026 Prepaid Amortization</v>
      </c>
      <c r="M5" s="410">
        <f>Yardi!J3</f>
        <v>0</v>
      </c>
    </row>
    <row r="6" spans="1:42" x14ac:dyDescent="0.35">
      <c r="A6" t="str">
        <f t="shared" si="0"/>
        <v>#</v>
      </c>
      <c r="B6" t="s">
        <v>698</v>
      </c>
      <c r="C6" s="259">
        <f>Yardi!E4</f>
        <v>46266</v>
      </c>
      <c r="E6" t="str">
        <f>Yardi!G4</f>
        <v>September Recurring Entries</v>
      </c>
      <c r="F6" t="str">
        <f>Yardi!H4</f>
        <v>Balance Sheet Entries</v>
      </c>
      <c r="G6">
        <f t="shared" si="1"/>
        <v>0</v>
      </c>
      <c r="H6" t="str">
        <f>Yardi!K4</f>
        <v>5510-1500</v>
      </c>
      <c r="I6" t="str">
        <f>Yardi!I4</f>
        <v>'c6us087a</v>
      </c>
      <c r="L6" t="str">
        <f>Yardi!O4</f>
        <v>09/2026 Prepaid Amortization</v>
      </c>
      <c r="M6" s="410">
        <f>Yardi!J4</f>
        <v>0</v>
      </c>
    </row>
    <row r="7" spans="1:42" x14ac:dyDescent="0.35">
      <c r="A7" t="str">
        <f t="shared" si="0"/>
        <v>#</v>
      </c>
      <c r="B7" t="s">
        <v>698</v>
      </c>
      <c r="C7" s="259">
        <f>Yardi!E5</f>
        <v>46266</v>
      </c>
      <c r="E7" t="str">
        <f>Yardi!G5</f>
        <v>September Recurring Entries</v>
      </c>
      <c r="F7" t="str">
        <f>Yardi!H5</f>
        <v>Balance Sheet Entries</v>
      </c>
      <c r="G7">
        <f t="shared" si="1"/>
        <v>0</v>
      </c>
      <c r="H7" t="str">
        <f>Yardi!K5</f>
        <v>1630-2010</v>
      </c>
      <c r="I7" t="str">
        <f>Yardi!I5</f>
        <v>'c6us087a</v>
      </c>
      <c r="L7" t="str">
        <f>Yardi!O5</f>
        <v>09/2026 Prepaid Amortization</v>
      </c>
      <c r="M7" s="410">
        <f>Yardi!J5</f>
        <v>0</v>
      </c>
    </row>
    <row r="8" spans="1:42" x14ac:dyDescent="0.35">
      <c r="A8" t="e">
        <f t="shared" si="0"/>
        <v>#REF!</v>
      </c>
      <c r="B8" t="s">
        <v>698</v>
      </c>
      <c r="C8" s="259">
        <f>Yardi!E6</f>
        <v>46266</v>
      </c>
      <c r="E8" t="str">
        <f>Yardi!G6</f>
        <v>September Recurring Entries</v>
      </c>
      <c r="F8" t="str">
        <f>Yardi!H6</f>
        <v>Balance Sheet Entries</v>
      </c>
      <c r="G8" t="e">
        <f t="shared" si="1"/>
        <v>#REF!</v>
      </c>
      <c r="H8" t="e">
        <f>Yardi!K6</f>
        <v>#REF!</v>
      </c>
      <c r="I8" t="str">
        <f>Yardi!I6</f>
        <v>'c6us087a</v>
      </c>
      <c r="L8" t="e">
        <f>Yardi!O6</f>
        <v>#REF!</v>
      </c>
      <c r="M8" s="410" t="e">
        <f>Yardi!J6</f>
        <v>#REF!</v>
      </c>
    </row>
    <row r="9" spans="1:42" x14ac:dyDescent="0.35">
      <c r="A9" t="e">
        <f t="shared" si="0"/>
        <v>#REF!</v>
      </c>
      <c r="B9" t="s">
        <v>698</v>
      </c>
      <c r="C9" s="259">
        <f>Yardi!E7</f>
        <v>46266</v>
      </c>
      <c r="E9" t="str">
        <f>Yardi!G7</f>
        <v>September Recurring Entries</v>
      </c>
      <c r="F9" t="str">
        <f>Yardi!H7</f>
        <v>Balance Sheet Entries</v>
      </c>
      <c r="G9" t="e">
        <f t="shared" si="1"/>
        <v>#REF!</v>
      </c>
      <c r="H9" t="str">
        <f>Yardi!K7</f>
        <v>1630-2010</v>
      </c>
      <c r="I9" t="str">
        <f>Yardi!I7</f>
        <v>'c6us087a</v>
      </c>
      <c r="L9" t="e">
        <f>Yardi!O7</f>
        <v>#REF!</v>
      </c>
      <c r="M9" s="410" t="e">
        <f>Yardi!J7</f>
        <v>#REF!</v>
      </c>
    </row>
    <row r="10" spans="1:42" x14ac:dyDescent="0.35">
      <c r="A10" t="str">
        <f t="shared" si="0"/>
        <v>#</v>
      </c>
      <c r="B10" t="s">
        <v>698</v>
      </c>
      <c r="C10" s="259">
        <f>Yardi!E8</f>
        <v>46266</v>
      </c>
      <c r="E10" t="str">
        <f>Yardi!G8</f>
        <v>September Recurring Entries</v>
      </c>
      <c r="F10" t="str">
        <f>Yardi!H8</f>
        <v>Balance Sheet Entries</v>
      </c>
      <c r="G10" t="e">
        <f t="shared" si="1"/>
        <v>#REF!</v>
      </c>
      <c r="H10" t="str">
        <f>Yardi!K8</f>
        <v>5510-2100</v>
      </c>
      <c r="I10" t="str">
        <f>Yardi!I8</f>
        <v>'c6us087a</v>
      </c>
      <c r="L10" t="str">
        <f>Yardi!O8</f>
        <v>09/2026 Prepaid Amortization</v>
      </c>
      <c r="M10" s="410">
        <f>Yardi!J8</f>
        <v>0</v>
      </c>
    </row>
    <row r="11" spans="1:42" x14ac:dyDescent="0.35">
      <c r="A11" t="str">
        <f t="shared" si="0"/>
        <v>#</v>
      </c>
      <c r="B11" t="s">
        <v>698</v>
      </c>
      <c r="C11" s="259">
        <f>Yardi!E9</f>
        <v>46266</v>
      </c>
      <c r="E11" t="str">
        <f>Yardi!G9</f>
        <v>September Recurring Entries</v>
      </c>
      <c r="F11" t="str">
        <f>Yardi!H9</f>
        <v>Balance Sheet Entries</v>
      </c>
      <c r="G11" t="e">
        <f t="shared" si="1"/>
        <v>#REF!</v>
      </c>
      <c r="H11" t="str">
        <f>Yardi!K9</f>
        <v>1630-2010</v>
      </c>
      <c r="I11" t="str">
        <f>Yardi!I9</f>
        <v>'c6us087a</v>
      </c>
      <c r="L11" t="str">
        <f>Yardi!O9</f>
        <v>09/2026 Prepaid Amortization</v>
      </c>
      <c r="M11" s="410">
        <f>Yardi!J9</f>
        <v>0</v>
      </c>
    </row>
    <row r="12" spans="1:42" x14ac:dyDescent="0.35">
      <c r="A12" t="str">
        <f t="shared" si="0"/>
        <v/>
      </c>
      <c r="B12" t="s">
        <v>698</v>
      </c>
      <c r="C12" s="259">
        <f>Yardi!E10</f>
        <v>46266</v>
      </c>
      <c r="E12" t="str">
        <f>Yardi!G10</f>
        <v>September Recurring Entries</v>
      </c>
      <c r="F12" t="str">
        <f>Yardi!H10</f>
        <v>Balance Sheet Entries</v>
      </c>
      <c r="G12" t="e">
        <f t="shared" si="1"/>
        <v>#REF!</v>
      </c>
      <c r="H12" t="str">
        <f>Yardi!K10</f>
        <v>5510-3500</v>
      </c>
      <c r="I12" t="str">
        <f>Yardi!I10</f>
        <v>'c6us087a</v>
      </c>
      <c r="L12" t="str">
        <f>Yardi!O10</f>
        <v>09/2026 Prepaid Amortization</v>
      </c>
      <c r="M12" s="410">
        <f>Yardi!J10</f>
        <v>74.73</v>
      </c>
    </row>
    <row r="13" spans="1:42" x14ac:dyDescent="0.35">
      <c r="A13" t="str">
        <f t="shared" si="0"/>
        <v/>
      </c>
      <c r="B13" t="s">
        <v>698</v>
      </c>
      <c r="C13" s="259">
        <f>Yardi!E11</f>
        <v>46266</v>
      </c>
      <c r="E13" t="str">
        <f>Yardi!G11</f>
        <v>September Recurring Entries</v>
      </c>
      <c r="F13" t="str">
        <f>Yardi!H11</f>
        <v>Balance Sheet Entries</v>
      </c>
      <c r="G13" t="e">
        <f t="shared" si="1"/>
        <v>#REF!</v>
      </c>
      <c r="H13" t="str">
        <f>Yardi!K11</f>
        <v>1630-2010</v>
      </c>
      <c r="I13" t="str">
        <f>Yardi!I11</f>
        <v>'c6us087a</v>
      </c>
      <c r="L13" t="str">
        <f>Yardi!O11</f>
        <v>09/2026 Prepaid Amortization</v>
      </c>
      <c r="M13" s="410">
        <f>Yardi!J11</f>
        <v>-74.73</v>
      </c>
    </row>
    <row r="14" spans="1:42" x14ac:dyDescent="0.35">
      <c r="A14" t="str">
        <f t="shared" si="0"/>
        <v>#</v>
      </c>
      <c r="B14" t="s">
        <v>698</v>
      </c>
      <c r="C14" s="259">
        <f>Yardi!E12</f>
        <v>46266</v>
      </c>
      <c r="E14" t="str">
        <f>Yardi!G12</f>
        <v>September Recurring Entries</v>
      </c>
      <c r="F14" t="str">
        <f>Yardi!H12</f>
        <v>Balance Sheet Entries</v>
      </c>
      <c r="G14" t="e">
        <f t="shared" si="1"/>
        <v>#REF!</v>
      </c>
      <c r="H14">
        <f>Yardi!K12</f>
        <v>0</v>
      </c>
      <c r="I14" t="str">
        <f>Yardi!I12</f>
        <v>'c6us087a</v>
      </c>
      <c r="L14" t="str">
        <f>Yardi!O12</f>
        <v>09/2026 Prepaid Amortization</v>
      </c>
      <c r="M14" s="410">
        <f>Yardi!J12</f>
        <v>0</v>
      </c>
    </row>
    <row r="15" spans="1:42" x14ac:dyDescent="0.35">
      <c r="A15" t="str">
        <f t="shared" si="0"/>
        <v>#</v>
      </c>
      <c r="B15" t="s">
        <v>698</v>
      </c>
      <c r="C15" s="259">
        <f>Yardi!E13</f>
        <v>46266</v>
      </c>
      <c r="E15" t="str">
        <f>Yardi!G13</f>
        <v>September Recurring Entries</v>
      </c>
      <c r="F15" t="str">
        <f>Yardi!H13</f>
        <v>Balance Sheet Entries</v>
      </c>
      <c r="G15" t="e">
        <f t="shared" si="1"/>
        <v>#REF!</v>
      </c>
      <c r="H15" t="str">
        <f>Yardi!K13</f>
        <v>1630-2010</v>
      </c>
      <c r="I15" t="str">
        <f>Yardi!I13</f>
        <v>'c6us087a</v>
      </c>
      <c r="L15" t="str">
        <f>Yardi!O13</f>
        <v>09/2026 Prepaid Amortization</v>
      </c>
      <c r="M15" s="410">
        <f>Yardi!J13</f>
        <v>0</v>
      </c>
    </row>
    <row r="16" spans="1:42" x14ac:dyDescent="0.35">
      <c r="A16" t="str">
        <f t="shared" si="0"/>
        <v>#</v>
      </c>
      <c r="B16" t="s">
        <v>698</v>
      </c>
      <c r="C16" s="259">
        <f>Yardi!E14</f>
        <v>46266</v>
      </c>
      <c r="E16" t="str">
        <f>Yardi!G14</f>
        <v>September Recurring Entries</v>
      </c>
      <c r="F16" t="str">
        <f>Yardi!H14</f>
        <v>Balance Sheet Entries</v>
      </c>
      <c r="G16" t="e">
        <f t="shared" si="1"/>
        <v>#REF!</v>
      </c>
      <c r="H16">
        <f>Yardi!K14</f>
        <v>0</v>
      </c>
      <c r="I16" t="str">
        <f>Yardi!I14</f>
        <v>'c6us087a</v>
      </c>
      <c r="L16" t="str">
        <f>Yardi!O14</f>
        <v>09/2026 Prepaid Amortization</v>
      </c>
      <c r="M16" s="410">
        <f>Yardi!J14</f>
        <v>0</v>
      </c>
    </row>
    <row r="17" spans="1:13" x14ac:dyDescent="0.35">
      <c r="A17" t="str">
        <f t="shared" si="0"/>
        <v>#</v>
      </c>
      <c r="B17" t="s">
        <v>698</v>
      </c>
      <c r="C17" s="259">
        <f>Yardi!E15</f>
        <v>46266</v>
      </c>
      <c r="E17" t="str">
        <f>Yardi!G15</f>
        <v>September Recurring Entries</v>
      </c>
      <c r="F17" t="str">
        <f>Yardi!H15</f>
        <v>Balance Sheet Entries</v>
      </c>
      <c r="G17" t="e">
        <f t="shared" si="1"/>
        <v>#REF!</v>
      </c>
      <c r="H17" t="str">
        <f>Yardi!K15</f>
        <v>1630-2010</v>
      </c>
      <c r="I17" t="str">
        <f>Yardi!I15</f>
        <v>'c6us087a</v>
      </c>
      <c r="L17" t="str">
        <f>Yardi!O15</f>
        <v>09/2026 Prepaid Amortization</v>
      </c>
      <c r="M17" s="410">
        <f>Yardi!J15</f>
        <v>0</v>
      </c>
    </row>
    <row r="18" spans="1:13" x14ac:dyDescent="0.35">
      <c r="A18" t="str">
        <f t="shared" si="0"/>
        <v>#</v>
      </c>
      <c r="B18" t="s">
        <v>698</v>
      </c>
      <c r="C18" s="259">
        <f>Yardi!E16</f>
        <v>46266</v>
      </c>
      <c r="E18" t="str">
        <f>Yardi!G16</f>
        <v>September Recurring Entries</v>
      </c>
      <c r="F18" t="str">
        <f>Yardi!H16</f>
        <v>Balance Sheet Entries</v>
      </c>
      <c r="G18" t="e">
        <f t="shared" si="1"/>
        <v>#REF!</v>
      </c>
      <c r="H18">
        <f>Yardi!K16</f>
        <v>0</v>
      </c>
      <c r="I18" t="str">
        <f>Yardi!I16</f>
        <v>'c6us087a</v>
      </c>
      <c r="L18" t="str">
        <f>Yardi!O16</f>
        <v>09/2026 Prepaid Amortization</v>
      </c>
      <c r="M18" s="410">
        <f>Yardi!J16</f>
        <v>0</v>
      </c>
    </row>
    <row r="19" spans="1:13" x14ac:dyDescent="0.35">
      <c r="A19" t="str">
        <f t="shared" si="0"/>
        <v>#</v>
      </c>
      <c r="B19" t="s">
        <v>698</v>
      </c>
      <c r="C19" s="259">
        <f>Yardi!E17</f>
        <v>46266</v>
      </c>
      <c r="E19" t="str">
        <f>Yardi!G17</f>
        <v>September Recurring Entries</v>
      </c>
      <c r="F19" t="str">
        <f>Yardi!H17</f>
        <v>Balance Sheet Entries</v>
      </c>
      <c r="G19" t="e">
        <f t="shared" si="1"/>
        <v>#REF!</v>
      </c>
      <c r="H19" t="str">
        <f>Yardi!K17</f>
        <v>1630-2010</v>
      </c>
      <c r="I19" t="str">
        <f>Yardi!I17</f>
        <v>'c6us087a</v>
      </c>
      <c r="L19" t="str">
        <f>Yardi!O17</f>
        <v>09/2026 Prepaid Amortization</v>
      </c>
      <c r="M19" s="410">
        <f>Yardi!J17</f>
        <v>0</v>
      </c>
    </row>
    <row r="20" spans="1:13" x14ac:dyDescent="0.35">
      <c r="A20" t="str">
        <f t="shared" si="0"/>
        <v>#</v>
      </c>
      <c r="B20" t="s">
        <v>698</v>
      </c>
      <c r="C20" s="259">
        <f>Yardi!E18</f>
        <v>46266</v>
      </c>
      <c r="E20" t="str">
        <f>Yardi!G18</f>
        <v>September Recurring Entries</v>
      </c>
      <c r="F20" t="str">
        <f>Yardi!H18</f>
        <v>Balance Sheet Entries</v>
      </c>
      <c r="G20" t="e">
        <f t="shared" si="1"/>
        <v>#REF!</v>
      </c>
      <c r="H20">
        <f>Yardi!K18</f>
        <v>0</v>
      </c>
      <c r="I20" t="str">
        <f>Yardi!I18</f>
        <v>'c6us087a</v>
      </c>
      <c r="L20" t="str">
        <f>Yardi!O18</f>
        <v>09/2026 Prepaid Amortization</v>
      </c>
      <c r="M20" s="410">
        <f>Yardi!J18</f>
        <v>0</v>
      </c>
    </row>
    <row r="21" spans="1:13" x14ac:dyDescent="0.35">
      <c r="A21" t="str">
        <f t="shared" si="0"/>
        <v>#</v>
      </c>
      <c r="B21" t="s">
        <v>698</v>
      </c>
      <c r="C21" s="259">
        <f>Yardi!E19</f>
        <v>46266</v>
      </c>
      <c r="E21" t="str">
        <f>Yardi!G19</f>
        <v>September Recurring Entries</v>
      </c>
      <c r="F21" t="str">
        <f>Yardi!H19</f>
        <v>Balance Sheet Entries</v>
      </c>
      <c r="G21" t="e">
        <f t="shared" si="1"/>
        <v>#REF!</v>
      </c>
      <c r="H21" t="str">
        <f>Yardi!K19</f>
        <v>1630-2010</v>
      </c>
      <c r="I21" t="str">
        <f>Yardi!I19</f>
        <v>'c6us087a</v>
      </c>
      <c r="L21" t="str">
        <f>Yardi!O19</f>
        <v>09/2026 Prepaid Amortization</v>
      </c>
      <c r="M21" s="410">
        <f>Yardi!J19</f>
        <v>0</v>
      </c>
    </row>
    <row r="22" spans="1:13" x14ac:dyDescent="0.35">
      <c r="A22" t="str">
        <f t="shared" si="0"/>
        <v>#</v>
      </c>
      <c r="B22" t="s">
        <v>698</v>
      </c>
      <c r="C22" s="259">
        <f>Yardi!E20</f>
        <v>46266</v>
      </c>
      <c r="E22" t="str">
        <f>Yardi!G20</f>
        <v>September Recurring Entries</v>
      </c>
      <c r="F22" t="str">
        <f>Yardi!H20</f>
        <v>Balance Sheet Entries</v>
      </c>
      <c r="G22" t="e">
        <f t="shared" si="1"/>
        <v>#REF!</v>
      </c>
      <c r="H22">
        <f>Yardi!K20</f>
        <v>0</v>
      </c>
      <c r="I22" t="str">
        <f>Yardi!I20</f>
        <v>'c6us087a</v>
      </c>
      <c r="L22" t="str">
        <f>Yardi!O20</f>
        <v>09/2026 Prepaid Amortization</v>
      </c>
      <c r="M22" s="410">
        <f>Yardi!J20</f>
        <v>0</v>
      </c>
    </row>
    <row r="23" spans="1:13" x14ac:dyDescent="0.35">
      <c r="A23" t="str">
        <f t="shared" si="0"/>
        <v>#</v>
      </c>
      <c r="B23" t="s">
        <v>698</v>
      </c>
      <c r="C23" s="259">
        <f>Yardi!E21</f>
        <v>46266</v>
      </c>
      <c r="E23" t="str">
        <f>Yardi!G21</f>
        <v>September Recurring Entries</v>
      </c>
      <c r="F23" t="str">
        <f>Yardi!H21</f>
        <v>Balance Sheet Entries</v>
      </c>
      <c r="G23" t="e">
        <f t="shared" si="1"/>
        <v>#REF!</v>
      </c>
      <c r="H23" t="str">
        <f>Yardi!K21</f>
        <v>1630-2010</v>
      </c>
      <c r="I23" t="str">
        <f>Yardi!I21</f>
        <v>'c6us087a</v>
      </c>
      <c r="L23" t="str">
        <f>Yardi!O21</f>
        <v>09/2026 Prepaid Amortization</v>
      </c>
      <c r="M23" s="410">
        <f>Yardi!J21</f>
        <v>0</v>
      </c>
    </row>
    <row r="24" spans="1:13" x14ac:dyDescent="0.35">
      <c r="A24" t="str">
        <f t="shared" si="0"/>
        <v/>
      </c>
      <c r="B24" t="s">
        <v>698</v>
      </c>
      <c r="C24" s="259">
        <f>Yardi!E22</f>
        <v>46266</v>
      </c>
      <c r="E24" t="str">
        <f>Yardi!G22</f>
        <v>September Recurring Entries</v>
      </c>
      <c r="F24" t="str">
        <f>Yardi!H22</f>
        <v>Balance Sheet Entries</v>
      </c>
      <c r="G24" t="e">
        <f t="shared" si="1"/>
        <v>#REF!</v>
      </c>
      <c r="H24" t="str">
        <f>Yardi!K22</f>
        <v>5510-0100</v>
      </c>
      <c r="I24" t="str">
        <f>Yardi!I22</f>
        <v>'c6us087a</v>
      </c>
      <c r="L24" t="str">
        <f>Yardi!O22</f>
        <v>09/2026 Accrual</v>
      </c>
      <c r="M24" s="410">
        <f>Yardi!J22</f>
        <v>12630.33</v>
      </c>
    </row>
    <row r="25" spans="1:13" x14ac:dyDescent="0.35">
      <c r="A25" t="str">
        <f t="shared" si="0"/>
        <v/>
      </c>
      <c r="B25" t="s">
        <v>698</v>
      </c>
      <c r="C25" s="259">
        <f>Yardi!E23</f>
        <v>46266</v>
      </c>
      <c r="E25" t="str">
        <f>Yardi!G23</f>
        <v>September Recurring Entries</v>
      </c>
      <c r="F25" t="str">
        <f>Yardi!H23</f>
        <v>Balance Sheet Entries</v>
      </c>
      <c r="G25" t="e">
        <f t="shared" si="1"/>
        <v>#REF!</v>
      </c>
      <c r="H25" t="str">
        <f>Yardi!K23</f>
        <v>2611-7110</v>
      </c>
      <c r="I25" t="str">
        <f>Yardi!I23</f>
        <v>'c6us087a</v>
      </c>
      <c r="L25" t="str">
        <f>Yardi!O23</f>
        <v>09/2026 Accrual</v>
      </c>
      <c r="M25" s="410">
        <f>Yardi!J23</f>
        <v>-12630.33</v>
      </c>
    </row>
    <row r="26" spans="1:13" x14ac:dyDescent="0.35">
      <c r="A26" t="str">
        <f t="shared" si="0"/>
        <v/>
      </c>
      <c r="B26" t="s">
        <v>698</v>
      </c>
      <c r="C26" s="259">
        <f>Yardi!E24</f>
        <v>46266</v>
      </c>
      <c r="E26" t="str">
        <f>Yardi!G24</f>
        <v>September Recurring Entries</v>
      </c>
      <c r="F26" t="str">
        <f>Yardi!H24</f>
        <v>Balance Sheet Entries</v>
      </c>
      <c r="G26" t="e">
        <f t="shared" si="1"/>
        <v>#REF!</v>
      </c>
      <c r="H26" t="str">
        <f>Yardi!K24</f>
        <v>5510-1500</v>
      </c>
      <c r="I26" t="str">
        <f>Yardi!I24</f>
        <v>'c6us087a</v>
      </c>
      <c r="L26" t="str">
        <f>Yardi!O24</f>
        <v>09/2026 Accrual</v>
      </c>
      <c r="M26" s="410">
        <f>Yardi!J24</f>
        <v>4739.33</v>
      </c>
    </row>
    <row r="27" spans="1:13" x14ac:dyDescent="0.35">
      <c r="A27" t="str">
        <f t="shared" si="0"/>
        <v/>
      </c>
      <c r="B27" t="s">
        <v>698</v>
      </c>
      <c r="C27" s="259">
        <f>Yardi!E25</f>
        <v>46266</v>
      </c>
      <c r="E27" t="str">
        <f>Yardi!G25</f>
        <v>September Recurring Entries</v>
      </c>
      <c r="F27" t="str">
        <f>Yardi!H25</f>
        <v>Balance Sheet Entries</v>
      </c>
      <c r="G27" t="e">
        <f t="shared" si="1"/>
        <v>#REF!</v>
      </c>
      <c r="H27" t="str">
        <f>Yardi!K25</f>
        <v>2611-7110</v>
      </c>
      <c r="I27" t="str">
        <f>Yardi!I25</f>
        <v>'c6us087a</v>
      </c>
      <c r="L27" t="str">
        <f>Yardi!O25</f>
        <v>09/2026 Accrual</v>
      </c>
      <c r="M27" s="410">
        <f>Yardi!J25</f>
        <v>-4739.33</v>
      </c>
    </row>
    <row r="28" spans="1:13" x14ac:dyDescent="0.35">
      <c r="A28" t="str">
        <f t="shared" si="0"/>
        <v/>
      </c>
      <c r="B28" t="s">
        <v>698</v>
      </c>
      <c r="C28" s="259">
        <f>Yardi!E26</f>
        <v>46266</v>
      </c>
      <c r="E28" t="str">
        <f>Yardi!G26</f>
        <v>September Recurring Entries</v>
      </c>
      <c r="F28" t="str">
        <f>Yardi!H26</f>
        <v>Balance Sheet Entries</v>
      </c>
      <c r="G28" t="e">
        <f t="shared" si="1"/>
        <v>#REF!</v>
      </c>
      <c r="H28" t="str">
        <f>Yardi!K26</f>
        <v>5510-2100</v>
      </c>
      <c r="I28" t="str">
        <f>Yardi!I26</f>
        <v>'c6us087a</v>
      </c>
      <c r="L28" t="str">
        <f>Yardi!O26</f>
        <v>09/2026 Accrual</v>
      </c>
      <c r="M28" s="410">
        <f>Yardi!J26</f>
        <v>1071</v>
      </c>
    </row>
    <row r="29" spans="1:13" x14ac:dyDescent="0.35">
      <c r="A29" t="str">
        <f t="shared" si="0"/>
        <v/>
      </c>
      <c r="B29" t="s">
        <v>698</v>
      </c>
      <c r="C29" s="259">
        <f>Yardi!E27</f>
        <v>46266</v>
      </c>
      <c r="E29" t="str">
        <f>Yardi!G27</f>
        <v>September Recurring Entries</v>
      </c>
      <c r="F29" t="str">
        <f>Yardi!H27</f>
        <v>Balance Sheet Entries</v>
      </c>
      <c r="G29" t="e">
        <f t="shared" si="1"/>
        <v>#REF!</v>
      </c>
      <c r="H29" t="str">
        <f>Yardi!K27</f>
        <v>2611-7110</v>
      </c>
      <c r="I29" t="str">
        <f>Yardi!I27</f>
        <v>'c6us087a</v>
      </c>
      <c r="L29" t="str">
        <f>Yardi!O27</f>
        <v>09/2026 Accrual</v>
      </c>
      <c r="M29" s="410">
        <f>Yardi!J27</f>
        <v>-1071</v>
      </c>
    </row>
    <row r="30" spans="1:13" x14ac:dyDescent="0.35">
      <c r="A30" t="str">
        <f t="shared" si="0"/>
        <v>#</v>
      </c>
      <c r="B30" t="s">
        <v>698</v>
      </c>
      <c r="C30" s="259">
        <f>Yardi!E28</f>
        <v>46266</v>
      </c>
      <c r="E30" t="str">
        <f>Yardi!G28</f>
        <v>September Recurring Entries</v>
      </c>
      <c r="F30" t="str">
        <f>Yardi!H28</f>
        <v>Balance Sheet Entries</v>
      </c>
      <c r="G30" t="e">
        <f t="shared" si="1"/>
        <v>#REF!</v>
      </c>
      <c r="H30">
        <f>Yardi!K28</f>
        <v>0</v>
      </c>
      <c r="I30" t="str">
        <f>Yardi!I28</f>
        <v>'c6us087a</v>
      </c>
      <c r="L30" t="str">
        <f>Yardi!O28</f>
        <v>09/2026 Accrual</v>
      </c>
      <c r="M30" s="410">
        <f>Yardi!J28</f>
        <v>0</v>
      </c>
    </row>
    <row r="31" spans="1:13" x14ac:dyDescent="0.35">
      <c r="A31" t="str">
        <f t="shared" si="0"/>
        <v>#</v>
      </c>
      <c r="B31" t="s">
        <v>698</v>
      </c>
      <c r="C31" s="259">
        <f>Yardi!E29</f>
        <v>46266</v>
      </c>
      <c r="E31" t="str">
        <f>Yardi!G29</f>
        <v>September Recurring Entries</v>
      </c>
      <c r="F31" t="str">
        <f>Yardi!H29</f>
        <v>Balance Sheet Entries</v>
      </c>
      <c r="G31" t="e">
        <f t="shared" si="1"/>
        <v>#REF!</v>
      </c>
      <c r="H31" t="str">
        <f>Yardi!K29</f>
        <v>2611-7110</v>
      </c>
      <c r="I31" t="str">
        <f>Yardi!I29</f>
        <v>'c6us087a</v>
      </c>
      <c r="L31" t="str">
        <f>Yardi!O29</f>
        <v>09/2026 Accrual</v>
      </c>
      <c r="M31" s="410">
        <f>Yardi!J29</f>
        <v>0</v>
      </c>
    </row>
    <row r="32" spans="1:13" x14ac:dyDescent="0.35">
      <c r="A32" t="str">
        <f t="shared" si="0"/>
        <v>#</v>
      </c>
      <c r="B32" t="s">
        <v>698</v>
      </c>
      <c r="C32" s="259">
        <f>Yardi!E30</f>
        <v>46266</v>
      </c>
      <c r="E32" t="str">
        <f>Yardi!G30</f>
        <v>September Recurring Entries</v>
      </c>
      <c r="F32" t="str">
        <f>Yardi!H30</f>
        <v>Balance Sheet Entries</v>
      </c>
      <c r="G32" t="e">
        <f t="shared" si="1"/>
        <v>#REF!</v>
      </c>
      <c r="H32">
        <f>Yardi!K30</f>
        <v>0</v>
      </c>
      <c r="I32" t="str">
        <f>Yardi!I30</f>
        <v>'c6us087a</v>
      </c>
      <c r="L32" t="str">
        <f>Yardi!O30</f>
        <v>09/2026 Accrual</v>
      </c>
      <c r="M32" s="410">
        <f>Yardi!J30</f>
        <v>0</v>
      </c>
    </row>
    <row r="33" spans="1:13" x14ac:dyDescent="0.35">
      <c r="A33" t="str">
        <f t="shared" si="0"/>
        <v>#</v>
      </c>
      <c r="B33" t="s">
        <v>698</v>
      </c>
      <c r="C33" s="259">
        <f>Yardi!E31</f>
        <v>46266</v>
      </c>
      <c r="E33" t="str">
        <f>Yardi!G31</f>
        <v>September Recurring Entries</v>
      </c>
      <c r="F33" t="str">
        <f>Yardi!H31</f>
        <v>Balance Sheet Entries</v>
      </c>
      <c r="G33" t="e">
        <f t="shared" si="1"/>
        <v>#REF!</v>
      </c>
      <c r="H33" t="str">
        <f>Yardi!K31</f>
        <v>2611-7110</v>
      </c>
      <c r="I33" t="str">
        <f>Yardi!I31</f>
        <v>'c6us087a</v>
      </c>
      <c r="L33" t="str">
        <f>Yardi!O31</f>
        <v>09/2026 Accrual</v>
      </c>
      <c r="M33" s="410">
        <f>Yardi!J31</f>
        <v>0</v>
      </c>
    </row>
    <row r="34" spans="1:13" x14ac:dyDescent="0.35">
      <c r="A34" t="str">
        <f t="shared" si="0"/>
        <v>#</v>
      </c>
      <c r="B34" t="s">
        <v>698</v>
      </c>
      <c r="C34" s="259">
        <f>Yardi!E32</f>
        <v>46266</v>
      </c>
      <c r="E34" t="str">
        <f>Yardi!G32</f>
        <v>September Recurring Entries</v>
      </c>
      <c r="F34" t="str">
        <f>Yardi!H32</f>
        <v>Balance Sheet Entries</v>
      </c>
      <c r="G34" t="e">
        <f t="shared" si="1"/>
        <v>#REF!</v>
      </c>
      <c r="H34">
        <f>Yardi!K32</f>
        <v>0</v>
      </c>
      <c r="I34" t="str">
        <f>Yardi!I32</f>
        <v>'c6us087a</v>
      </c>
      <c r="L34" t="str">
        <f>Yardi!O32</f>
        <v>09/2026 Accrual</v>
      </c>
      <c r="M34" s="410">
        <f>Yardi!J32</f>
        <v>0</v>
      </c>
    </row>
    <row r="35" spans="1:13" x14ac:dyDescent="0.35">
      <c r="A35" t="str">
        <f t="shared" si="0"/>
        <v>#</v>
      </c>
      <c r="B35" t="s">
        <v>698</v>
      </c>
      <c r="C35" s="259">
        <f>Yardi!E33</f>
        <v>46266</v>
      </c>
      <c r="E35" t="str">
        <f>Yardi!G33</f>
        <v>September Recurring Entries</v>
      </c>
      <c r="F35" t="str">
        <f>Yardi!H33</f>
        <v>Balance Sheet Entries</v>
      </c>
      <c r="G35" t="e">
        <f t="shared" si="1"/>
        <v>#REF!</v>
      </c>
      <c r="H35" t="str">
        <f>Yardi!K33</f>
        <v>2611-7110</v>
      </c>
      <c r="I35" t="str">
        <f>Yardi!I33</f>
        <v>'c6us087a</v>
      </c>
      <c r="L35" t="str">
        <f>Yardi!O33</f>
        <v>09/2026 Accrual</v>
      </c>
      <c r="M35" s="410">
        <f>Yardi!J33</f>
        <v>0</v>
      </c>
    </row>
    <row r="36" spans="1:13" x14ac:dyDescent="0.35">
      <c r="A36" t="str">
        <f t="shared" ref="A36:A67" si="2">IF(M36=0,"#","")</f>
        <v>#</v>
      </c>
      <c r="B36" t="s">
        <v>698</v>
      </c>
      <c r="C36" s="259">
        <f>Yardi!E34</f>
        <v>46266</v>
      </c>
      <c r="E36" t="str">
        <f>Yardi!G34</f>
        <v>September Recurring Entries</v>
      </c>
      <c r="F36" t="str">
        <f>Yardi!H34</f>
        <v>Balance Sheet Entries</v>
      </c>
      <c r="G36" t="e">
        <f t="shared" si="1"/>
        <v>#REF!</v>
      </c>
      <c r="H36">
        <f>Yardi!K34</f>
        <v>0</v>
      </c>
      <c r="I36" t="str">
        <f>Yardi!I34</f>
        <v>'c6us087a</v>
      </c>
      <c r="L36" t="str">
        <f>Yardi!O34</f>
        <v>09/2026 Accrual</v>
      </c>
      <c r="M36" s="410">
        <f>Yardi!J34</f>
        <v>0</v>
      </c>
    </row>
    <row r="37" spans="1:13" x14ac:dyDescent="0.35">
      <c r="A37" t="str">
        <f t="shared" si="2"/>
        <v>#</v>
      </c>
      <c r="B37" t="s">
        <v>698</v>
      </c>
      <c r="C37" s="259">
        <f>Yardi!E35</f>
        <v>46266</v>
      </c>
      <c r="E37" t="str">
        <f>Yardi!G35</f>
        <v>September Recurring Entries</v>
      </c>
      <c r="F37" t="str">
        <f>Yardi!H35</f>
        <v>Balance Sheet Entries</v>
      </c>
      <c r="G37" t="e">
        <f t="shared" ref="G37:G68" si="3">IF(A37="#",G36,G36+1)</f>
        <v>#REF!</v>
      </c>
      <c r="H37" t="str">
        <f>Yardi!K35</f>
        <v>2611-7110</v>
      </c>
      <c r="I37" t="str">
        <f>Yardi!I35</f>
        <v>'c6us087a</v>
      </c>
      <c r="L37" t="str">
        <f>Yardi!O35</f>
        <v>09/2026 Accrual</v>
      </c>
      <c r="M37" s="410">
        <f>Yardi!J35</f>
        <v>0</v>
      </c>
    </row>
    <row r="38" spans="1:13" x14ac:dyDescent="0.35">
      <c r="A38" t="str">
        <f t="shared" si="2"/>
        <v>#</v>
      </c>
      <c r="B38" t="s">
        <v>698</v>
      </c>
      <c r="C38" s="259">
        <f>Yardi!E36</f>
        <v>46266</v>
      </c>
      <c r="E38" t="str">
        <f>Yardi!G36</f>
        <v>September Recurring Entries</v>
      </c>
      <c r="F38" t="str">
        <f>Yardi!H36</f>
        <v>Balance Sheet Entries</v>
      </c>
      <c r="G38" t="e">
        <f t="shared" si="3"/>
        <v>#REF!</v>
      </c>
      <c r="H38">
        <f>Yardi!K36</f>
        <v>0</v>
      </c>
      <c r="I38" t="str">
        <f>Yardi!I36</f>
        <v>'c6us087a</v>
      </c>
      <c r="L38" t="str">
        <f>Yardi!O36</f>
        <v>09/2026 Accrual</v>
      </c>
      <c r="M38" s="410">
        <f>Yardi!J36</f>
        <v>0</v>
      </c>
    </row>
    <row r="39" spans="1:13" x14ac:dyDescent="0.35">
      <c r="A39" t="str">
        <f t="shared" si="2"/>
        <v>#</v>
      </c>
      <c r="B39" t="s">
        <v>698</v>
      </c>
      <c r="C39" s="259">
        <f>Yardi!E37</f>
        <v>46266</v>
      </c>
      <c r="E39" t="str">
        <f>Yardi!G37</f>
        <v>September Recurring Entries</v>
      </c>
      <c r="F39" t="str">
        <f>Yardi!H37</f>
        <v>Balance Sheet Entries</v>
      </c>
      <c r="G39" t="e">
        <f t="shared" si="3"/>
        <v>#REF!</v>
      </c>
      <c r="H39" t="str">
        <f>Yardi!K37</f>
        <v>2611-7110</v>
      </c>
      <c r="I39" t="str">
        <f>Yardi!I37</f>
        <v>'c6us087a</v>
      </c>
      <c r="L39" t="str">
        <f>Yardi!O37</f>
        <v>09/2026 Accrual</v>
      </c>
      <c r="M39" s="410">
        <f>Yardi!J37</f>
        <v>0</v>
      </c>
    </row>
    <row r="40" spans="1:13" x14ac:dyDescent="0.35">
      <c r="A40" t="str">
        <f t="shared" si="2"/>
        <v>#</v>
      </c>
      <c r="B40" t="s">
        <v>698</v>
      </c>
      <c r="C40" s="259">
        <f>Yardi!E38</f>
        <v>46266</v>
      </c>
      <c r="E40" t="str">
        <f>Yardi!G38</f>
        <v>September Recurring Entries</v>
      </c>
      <c r="F40" t="str">
        <f>Yardi!H38</f>
        <v>Balance Sheet Entries</v>
      </c>
      <c r="G40" t="e">
        <f t="shared" si="3"/>
        <v>#REF!</v>
      </c>
      <c r="H40">
        <f>Yardi!K38</f>
        <v>0</v>
      </c>
      <c r="I40" t="str">
        <f>Yardi!I38</f>
        <v>'c6us087a</v>
      </c>
      <c r="L40" t="str">
        <f>Yardi!O38</f>
        <v>09/2026 Accrual</v>
      </c>
      <c r="M40" s="410">
        <f>Yardi!J38</f>
        <v>0</v>
      </c>
    </row>
    <row r="41" spans="1:13" x14ac:dyDescent="0.35">
      <c r="A41" t="str">
        <f t="shared" si="2"/>
        <v>#</v>
      </c>
      <c r="B41" t="s">
        <v>698</v>
      </c>
      <c r="C41" s="259">
        <f>Yardi!E39</f>
        <v>46266</v>
      </c>
      <c r="E41" t="str">
        <f>Yardi!G39</f>
        <v>September Recurring Entries</v>
      </c>
      <c r="F41" t="str">
        <f>Yardi!H39</f>
        <v>Balance Sheet Entries</v>
      </c>
      <c r="G41" t="e">
        <f t="shared" si="3"/>
        <v>#REF!</v>
      </c>
      <c r="H41" t="str">
        <f>Yardi!K39</f>
        <v>2611-7110</v>
      </c>
      <c r="I41" t="str">
        <f>Yardi!I39</f>
        <v>'c6us087a</v>
      </c>
      <c r="L41" t="str">
        <f>Yardi!O39</f>
        <v>09/2026 Accrual</v>
      </c>
      <c r="M41" s="410">
        <f>Yardi!J39</f>
        <v>0</v>
      </c>
    </row>
    <row r="42" spans="1:13" x14ac:dyDescent="0.35">
      <c r="A42" t="str">
        <f t="shared" si="2"/>
        <v>#</v>
      </c>
      <c r="B42" t="s">
        <v>698</v>
      </c>
      <c r="C42" s="259">
        <f>Yardi!E40</f>
        <v>46266</v>
      </c>
      <c r="E42" t="str">
        <f>Yardi!G40</f>
        <v>September Recurring Entries</v>
      </c>
      <c r="F42" t="str">
        <f>Yardi!H40</f>
        <v>Balance Sheet Entries</v>
      </c>
      <c r="G42" t="e">
        <f t="shared" si="3"/>
        <v>#REF!</v>
      </c>
      <c r="H42">
        <f>Yardi!K40</f>
        <v>0</v>
      </c>
      <c r="I42" t="str">
        <f>Yardi!I40</f>
        <v>'c6us087a</v>
      </c>
      <c r="L42" t="str">
        <f>Yardi!O40</f>
        <v>09/2026 Accrual</v>
      </c>
      <c r="M42" s="410">
        <f>Yardi!J40</f>
        <v>0</v>
      </c>
    </row>
    <row r="43" spans="1:13" x14ac:dyDescent="0.35">
      <c r="A43" t="str">
        <f t="shared" si="2"/>
        <v>#</v>
      </c>
      <c r="B43" t="s">
        <v>698</v>
      </c>
      <c r="C43" s="259">
        <f>Yardi!E41</f>
        <v>46266</v>
      </c>
      <c r="E43" t="str">
        <f>Yardi!G41</f>
        <v>September Recurring Entries</v>
      </c>
      <c r="F43" t="str">
        <f>Yardi!H41</f>
        <v>Balance Sheet Entries</v>
      </c>
      <c r="G43" t="e">
        <f t="shared" si="3"/>
        <v>#REF!</v>
      </c>
      <c r="H43" t="str">
        <f>Yardi!K41</f>
        <v>2611-7110</v>
      </c>
      <c r="I43" t="str">
        <f>Yardi!I41</f>
        <v>'c6us087a</v>
      </c>
      <c r="L43" t="str">
        <f>Yardi!O41</f>
        <v>09/2026 Accrual</v>
      </c>
      <c r="M43" s="410">
        <f>Yardi!J41</f>
        <v>0</v>
      </c>
    </row>
    <row r="44" spans="1:13" x14ac:dyDescent="0.35">
      <c r="A44" t="str">
        <f t="shared" si="2"/>
        <v>#</v>
      </c>
      <c r="B44" t="s">
        <v>698</v>
      </c>
      <c r="C44" s="259">
        <f>Yardi!E42</f>
        <v>46266</v>
      </c>
      <c r="E44" t="str">
        <f>Yardi!G42</f>
        <v>September Recurring Entries</v>
      </c>
      <c r="F44" t="str">
        <f>Yardi!H42</f>
        <v>Balance Sheet Entries</v>
      </c>
      <c r="G44" t="e">
        <f t="shared" si="3"/>
        <v>#REF!</v>
      </c>
      <c r="H44">
        <f>Yardi!K42</f>
        <v>0</v>
      </c>
      <c r="I44" t="str">
        <f>Yardi!I42</f>
        <v>'c6us087a</v>
      </c>
      <c r="L44" t="str">
        <f>Yardi!O42</f>
        <v>09/2026 Prepaid Amortization</v>
      </c>
      <c r="M44" s="410">
        <f>Yardi!J42</f>
        <v>0</v>
      </c>
    </row>
    <row r="45" spans="1:13" x14ac:dyDescent="0.35">
      <c r="A45" t="str">
        <f t="shared" si="2"/>
        <v>#</v>
      </c>
      <c r="B45" t="s">
        <v>698</v>
      </c>
      <c r="C45" s="259">
        <f>Yardi!E43</f>
        <v>46266</v>
      </c>
      <c r="E45" t="str">
        <f>Yardi!G43</f>
        <v>September Recurring Entries</v>
      </c>
      <c r="F45" t="str">
        <f>Yardi!H43</f>
        <v>Balance Sheet Entries</v>
      </c>
      <c r="G45" t="e">
        <f t="shared" si="3"/>
        <v>#REF!</v>
      </c>
      <c r="H45" t="str">
        <f>Yardi!K43</f>
        <v>1630-1510</v>
      </c>
      <c r="I45" t="str">
        <f>Yardi!I43</f>
        <v>'c6us087a</v>
      </c>
      <c r="L45" t="str">
        <f>Yardi!O43</f>
        <v>09/2026 Prepaid Amortization</v>
      </c>
      <c r="M45" s="410">
        <f>Yardi!J43</f>
        <v>0</v>
      </c>
    </row>
    <row r="46" spans="1:13" x14ac:dyDescent="0.35">
      <c r="A46" t="str">
        <f t="shared" si="2"/>
        <v>#</v>
      </c>
      <c r="B46" t="s">
        <v>698</v>
      </c>
      <c r="C46" s="259">
        <f>Yardi!E44</f>
        <v>46266</v>
      </c>
      <c r="E46" t="str">
        <f>Yardi!G44</f>
        <v>September Recurring Entries</v>
      </c>
      <c r="F46" t="str">
        <f>Yardi!H44</f>
        <v>Balance Sheet Entries</v>
      </c>
      <c r="G46" t="e">
        <f t="shared" si="3"/>
        <v>#REF!</v>
      </c>
      <c r="H46">
        <f>Yardi!K44</f>
        <v>0</v>
      </c>
      <c r="I46" t="str">
        <f>Yardi!I44</f>
        <v>'c6us087a</v>
      </c>
      <c r="L46" t="str">
        <f>Yardi!O44</f>
        <v>09/2026 Prepaid Amortization</v>
      </c>
      <c r="M46" s="410">
        <f>Yardi!J44</f>
        <v>0</v>
      </c>
    </row>
    <row r="47" spans="1:13" x14ac:dyDescent="0.35">
      <c r="A47" t="str">
        <f t="shared" si="2"/>
        <v>#</v>
      </c>
      <c r="B47" t="s">
        <v>698</v>
      </c>
      <c r="C47" s="259">
        <f>Yardi!E45</f>
        <v>46266</v>
      </c>
      <c r="E47" t="str">
        <f>Yardi!G45</f>
        <v>September Recurring Entries</v>
      </c>
      <c r="F47" t="str">
        <f>Yardi!H45</f>
        <v>Balance Sheet Entries</v>
      </c>
      <c r="G47" t="e">
        <f t="shared" si="3"/>
        <v>#REF!</v>
      </c>
      <c r="H47" t="str">
        <f>Yardi!K45</f>
        <v>1630-1510</v>
      </c>
      <c r="I47" t="str">
        <f>Yardi!I45</f>
        <v>'c6us087a</v>
      </c>
      <c r="L47" t="str">
        <f>Yardi!O45</f>
        <v>09/2026 Prepaid Amortization</v>
      </c>
      <c r="M47" s="410">
        <f>Yardi!J45</f>
        <v>0</v>
      </c>
    </row>
    <row r="48" spans="1:13" x14ac:dyDescent="0.35">
      <c r="A48" t="str">
        <f t="shared" si="2"/>
        <v>#</v>
      </c>
      <c r="B48" t="s">
        <v>698</v>
      </c>
      <c r="C48" s="259">
        <f>Yardi!E46</f>
        <v>46266</v>
      </c>
      <c r="E48" t="str">
        <f>Yardi!G46</f>
        <v>September Recurring Entries</v>
      </c>
      <c r="F48" t="str">
        <f>Yardi!H46</f>
        <v>Balance Sheet Entries</v>
      </c>
      <c r="G48" t="e">
        <f t="shared" si="3"/>
        <v>#REF!</v>
      </c>
      <c r="H48">
        <f>Yardi!K46</f>
        <v>0</v>
      </c>
      <c r="I48" t="str">
        <f>Yardi!I46</f>
        <v>'c6us087a</v>
      </c>
      <c r="L48" t="str">
        <f>Yardi!O46</f>
        <v>09/2026 Prepaid Amortization</v>
      </c>
      <c r="M48" s="410">
        <f>Yardi!J46</f>
        <v>0</v>
      </c>
    </row>
    <row r="49" spans="1:13" x14ac:dyDescent="0.35">
      <c r="A49" t="str">
        <f t="shared" si="2"/>
        <v>#</v>
      </c>
      <c r="B49" t="s">
        <v>698</v>
      </c>
      <c r="C49" s="259">
        <f>Yardi!E47</f>
        <v>46266</v>
      </c>
      <c r="E49" t="str">
        <f>Yardi!G47</f>
        <v>September Recurring Entries</v>
      </c>
      <c r="F49" t="str">
        <f>Yardi!H47</f>
        <v>Balance Sheet Entries</v>
      </c>
      <c r="G49" t="e">
        <f t="shared" si="3"/>
        <v>#REF!</v>
      </c>
      <c r="H49" t="str">
        <f>Yardi!K47</f>
        <v>1630-1510</v>
      </c>
      <c r="I49" t="str">
        <f>Yardi!I47</f>
        <v>'c6us087a</v>
      </c>
      <c r="L49" t="str">
        <f>Yardi!O47</f>
        <v>09/2026 Prepaid Amortization</v>
      </c>
      <c r="M49" s="410">
        <f>Yardi!J47</f>
        <v>0</v>
      </c>
    </row>
    <row r="50" spans="1:13" x14ac:dyDescent="0.35">
      <c r="A50" t="str">
        <f t="shared" si="2"/>
        <v>#</v>
      </c>
      <c r="B50" t="s">
        <v>698</v>
      </c>
      <c r="C50" s="259">
        <f>Yardi!E48</f>
        <v>46266</v>
      </c>
      <c r="E50" t="str">
        <f>Yardi!G48</f>
        <v>September Recurring Entries</v>
      </c>
      <c r="F50" t="str">
        <f>Yardi!H48</f>
        <v>Balance Sheet Entries</v>
      </c>
      <c r="G50" t="e">
        <f t="shared" si="3"/>
        <v>#REF!</v>
      </c>
      <c r="H50">
        <f>Yardi!K48</f>
        <v>0</v>
      </c>
      <c r="I50" t="str">
        <f>Yardi!I48</f>
        <v>'c6us087a</v>
      </c>
      <c r="L50" t="str">
        <f>Yardi!O48</f>
        <v>09/2026 Prepaid Amortization</v>
      </c>
      <c r="M50" s="410">
        <f>Yardi!J48</f>
        <v>0</v>
      </c>
    </row>
    <row r="51" spans="1:13" x14ac:dyDescent="0.35">
      <c r="A51" t="str">
        <f t="shared" si="2"/>
        <v>#</v>
      </c>
      <c r="B51" t="s">
        <v>698</v>
      </c>
      <c r="C51" s="259">
        <f>Yardi!E49</f>
        <v>46266</v>
      </c>
      <c r="E51" t="str">
        <f>Yardi!G49</f>
        <v>September Recurring Entries</v>
      </c>
      <c r="F51" t="str">
        <f>Yardi!H49</f>
        <v>Balance Sheet Entries</v>
      </c>
      <c r="G51" t="e">
        <f t="shared" si="3"/>
        <v>#REF!</v>
      </c>
      <c r="H51" t="str">
        <f>Yardi!K49</f>
        <v>1630-1510</v>
      </c>
      <c r="I51" t="str">
        <f>Yardi!I49</f>
        <v>'c6us087a</v>
      </c>
      <c r="L51" t="str">
        <f>Yardi!O49</f>
        <v>09/2026 Prepaid Amortization</v>
      </c>
      <c r="M51" s="410">
        <f>Yardi!J49</f>
        <v>0</v>
      </c>
    </row>
    <row r="52" spans="1:13" x14ac:dyDescent="0.35">
      <c r="A52" t="str">
        <f t="shared" si="2"/>
        <v>#</v>
      </c>
      <c r="B52" t="s">
        <v>698</v>
      </c>
      <c r="C52" s="259">
        <f>Yardi!E50</f>
        <v>46266</v>
      </c>
      <c r="E52" t="str">
        <f>Yardi!G50</f>
        <v>September Recurring Entries</v>
      </c>
      <c r="F52" t="str">
        <f>Yardi!H50</f>
        <v>Balance Sheet Entries</v>
      </c>
      <c r="G52" t="e">
        <f t="shared" si="3"/>
        <v>#REF!</v>
      </c>
      <c r="H52">
        <f>Yardi!K50</f>
        <v>0</v>
      </c>
      <c r="I52" t="str">
        <f>Yardi!I50</f>
        <v>'c6us087a</v>
      </c>
      <c r="L52" t="str">
        <f>Yardi!O50</f>
        <v>09/2026 Prepaid Amortization</v>
      </c>
      <c r="M52" s="410">
        <f>Yardi!J50</f>
        <v>0</v>
      </c>
    </row>
    <row r="53" spans="1:13" x14ac:dyDescent="0.35">
      <c r="A53" t="str">
        <f t="shared" si="2"/>
        <v>#</v>
      </c>
      <c r="B53" t="s">
        <v>698</v>
      </c>
      <c r="C53" s="259">
        <f>Yardi!E51</f>
        <v>46266</v>
      </c>
      <c r="E53" t="str">
        <f>Yardi!G51</f>
        <v>September Recurring Entries</v>
      </c>
      <c r="F53" t="str">
        <f>Yardi!H51</f>
        <v>Balance Sheet Entries</v>
      </c>
      <c r="G53" t="e">
        <f t="shared" si="3"/>
        <v>#REF!</v>
      </c>
      <c r="H53" t="str">
        <f>Yardi!K51</f>
        <v>1630-1510</v>
      </c>
      <c r="I53" t="str">
        <f>Yardi!I51</f>
        <v>'c6us087a</v>
      </c>
      <c r="L53" t="str">
        <f>Yardi!O51</f>
        <v>09/2026 Prepaid Amortization</v>
      </c>
      <c r="M53" s="410">
        <f>Yardi!J51</f>
        <v>0</v>
      </c>
    </row>
    <row r="54" spans="1:13" x14ac:dyDescent="0.35">
      <c r="A54" t="str">
        <f t="shared" si="2"/>
        <v>#</v>
      </c>
      <c r="B54" t="s">
        <v>698</v>
      </c>
      <c r="C54" s="259">
        <f>Yardi!E52</f>
        <v>46266</v>
      </c>
      <c r="E54" t="str">
        <f>Yardi!G52</f>
        <v>September Recurring Entries</v>
      </c>
      <c r="F54" t="str">
        <f>Yardi!H52</f>
        <v>Balance Sheet Entries</v>
      </c>
      <c r="G54" t="e">
        <f t="shared" si="3"/>
        <v>#REF!</v>
      </c>
      <c r="H54">
        <f>Yardi!K52</f>
        <v>0</v>
      </c>
      <c r="I54" t="str">
        <f>Yardi!I52</f>
        <v>'c6us087a</v>
      </c>
      <c r="L54" t="str">
        <f>Yardi!O52</f>
        <v>09/2026 Prepaid Amortization</v>
      </c>
      <c r="M54" s="410">
        <f>Yardi!J52</f>
        <v>0</v>
      </c>
    </row>
    <row r="55" spans="1:13" x14ac:dyDescent="0.35">
      <c r="A55" t="str">
        <f t="shared" si="2"/>
        <v>#</v>
      </c>
      <c r="B55" t="s">
        <v>698</v>
      </c>
      <c r="C55" s="259">
        <f>Yardi!E53</f>
        <v>46266</v>
      </c>
      <c r="E55" t="str">
        <f>Yardi!G53</f>
        <v>September Recurring Entries</v>
      </c>
      <c r="F55" t="str">
        <f>Yardi!H53</f>
        <v>Balance Sheet Entries</v>
      </c>
      <c r="G55" t="e">
        <f t="shared" si="3"/>
        <v>#REF!</v>
      </c>
      <c r="H55" t="str">
        <f>Yardi!K53</f>
        <v>1630-1510</v>
      </c>
      <c r="I55" t="str">
        <f>Yardi!I53</f>
        <v>'c6us087a</v>
      </c>
      <c r="L55" t="str">
        <f>Yardi!O53</f>
        <v>09/2026 Prepaid Amortization</v>
      </c>
      <c r="M55" s="410">
        <f>Yardi!J53</f>
        <v>0</v>
      </c>
    </row>
    <row r="56" spans="1:13" x14ac:dyDescent="0.35">
      <c r="A56" t="str">
        <f t="shared" si="2"/>
        <v>#</v>
      </c>
      <c r="B56" t="s">
        <v>698</v>
      </c>
      <c r="C56" s="259">
        <f>Yardi!E54</f>
        <v>46266</v>
      </c>
      <c r="E56" t="str">
        <f>Yardi!G54</f>
        <v>September Recurring Entries</v>
      </c>
      <c r="F56" t="str">
        <f>Yardi!H54</f>
        <v>Balance Sheet Entries</v>
      </c>
      <c r="G56" t="e">
        <f t="shared" si="3"/>
        <v>#REF!</v>
      </c>
      <c r="H56" t="str">
        <f>Yardi!K54</f>
        <v>5500-0100</v>
      </c>
      <c r="I56" t="str">
        <f>Yardi!I54</f>
        <v>'c6us087a</v>
      </c>
      <c r="L56" t="str">
        <f>Yardi!O54</f>
        <v>09/2026 Real Estate Taxes Accrual Accrual</v>
      </c>
      <c r="M56" s="410">
        <f>Yardi!J54</f>
        <v>0</v>
      </c>
    </row>
    <row r="57" spans="1:13" x14ac:dyDescent="0.35">
      <c r="A57" t="str">
        <f t="shared" si="2"/>
        <v>#</v>
      </c>
      <c r="B57" t="s">
        <v>698</v>
      </c>
      <c r="C57" s="259">
        <f>Yardi!E55</f>
        <v>46266</v>
      </c>
      <c r="E57" t="str">
        <f>Yardi!G55</f>
        <v>September Recurring Entries</v>
      </c>
      <c r="F57" t="str">
        <f>Yardi!H55</f>
        <v>Balance Sheet Entries</v>
      </c>
      <c r="G57" t="e">
        <f t="shared" si="3"/>
        <v>#REF!</v>
      </c>
      <c r="H57" t="str">
        <f>Yardi!K55</f>
        <v>2611-3110</v>
      </c>
      <c r="I57" t="str">
        <f>Yardi!I55</f>
        <v>'c6us087a</v>
      </c>
      <c r="L57" t="str">
        <f>Yardi!O55</f>
        <v>09/2026 Real Estate Taxes Accrual Accrual</v>
      </c>
      <c r="M57" s="410">
        <f>Yardi!J55</f>
        <v>0</v>
      </c>
    </row>
    <row r="58" spans="1:13" x14ac:dyDescent="0.35">
      <c r="A58" t="str">
        <f t="shared" si="2"/>
        <v>#</v>
      </c>
      <c r="B58" t="s">
        <v>698</v>
      </c>
      <c r="C58" s="259">
        <f>Yardi!E56</f>
        <v>46266</v>
      </c>
      <c r="E58" t="str">
        <f>Yardi!G56</f>
        <v>September Recurring Entries</v>
      </c>
      <c r="F58" t="str">
        <f>Yardi!H56</f>
        <v>Balance Sheet Entries</v>
      </c>
      <c r="G58" t="e">
        <f t="shared" si="3"/>
        <v>#REF!</v>
      </c>
      <c r="H58" t="str">
        <f>Yardi!K56</f>
        <v>5500-2100</v>
      </c>
      <c r="I58" t="str">
        <f>Yardi!I56</f>
        <v>'c6us087a</v>
      </c>
      <c r="L58" t="str">
        <f>Yardi!O56</f>
        <v>09/2026 Real Estate Tax Advisory / Consulting Fees Accrual</v>
      </c>
      <c r="M58" s="410">
        <f>Yardi!J56</f>
        <v>0</v>
      </c>
    </row>
    <row r="59" spans="1:13" x14ac:dyDescent="0.35">
      <c r="A59" t="str">
        <f t="shared" si="2"/>
        <v>#</v>
      </c>
      <c r="B59" t="s">
        <v>698</v>
      </c>
      <c r="C59" s="259">
        <f>Yardi!E57</f>
        <v>46266</v>
      </c>
      <c r="E59" t="str">
        <f>Yardi!G57</f>
        <v>September Recurring Entries</v>
      </c>
      <c r="F59" t="str">
        <f>Yardi!H57</f>
        <v>Balance Sheet Entries</v>
      </c>
      <c r="G59" t="e">
        <f t="shared" si="3"/>
        <v>#REF!</v>
      </c>
      <c r="H59" t="str">
        <f>Yardi!K57</f>
        <v>2611-3110</v>
      </c>
      <c r="I59" t="str">
        <f>Yardi!I57</f>
        <v>'c6us087a</v>
      </c>
      <c r="L59" t="str">
        <f>Yardi!O57</f>
        <v>09/2026 Real Estate Tax Advisory / Consulting Fees Accrual</v>
      </c>
      <c r="M59" s="410">
        <f>Yardi!J57</f>
        <v>0</v>
      </c>
    </row>
    <row r="60" spans="1:13" x14ac:dyDescent="0.35">
      <c r="A60" t="str">
        <f t="shared" si="2"/>
        <v>#</v>
      </c>
      <c r="B60" t="s">
        <v>698</v>
      </c>
      <c r="C60" s="259">
        <f>Yardi!E58</f>
        <v>46266</v>
      </c>
      <c r="E60" t="str">
        <f>Yardi!G58</f>
        <v>September Recurring Entries</v>
      </c>
      <c r="F60" t="str">
        <f>Yardi!H58</f>
        <v>Balance Sheet Entries</v>
      </c>
      <c r="G60" t="e">
        <f t="shared" si="3"/>
        <v>#REF!</v>
      </c>
      <c r="H60" t="str">
        <f>Yardi!K58</f>
        <v>5500-5110</v>
      </c>
      <c r="I60" t="str">
        <f>Yardi!I58</f>
        <v>'c6us087a</v>
      </c>
      <c r="L60" t="str">
        <f>Yardi!O58</f>
        <v>09/2026 Other Taxes Accrual</v>
      </c>
      <c r="M60" s="410">
        <f>Yardi!J58</f>
        <v>0</v>
      </c>
    </row>
    <row r="61" spans="1:13" x14ac:dyDescent="0.35">
      <c r="A61" t="str">
        <f t="shared" si="2"/>
        <v>#</v>
      </c>
      <c r="B61" t="s">
        <v>698</v>
      </c>
      <c r="C61" s="259">
        <f>Yardi!E59</f>
        <v>46266</v>
      </c>
      <c r="E61" t="str">
        <f>Yardi!G59</f>
        <v>September Recurring Entries</v>
      </c>
      <c r="F61" t="str">
        <f>Yardi!H59</f>
        <v>Balance Sheet Entries</v>
      </c>
      <c r="G61" t="e">
        <f t="shared" si="3"/>
        <v>#REF!</v>
      </c>
      <c r="H61" t="str">
        <f>Yardi!K59</f>
        <v>2611-3110</v>
      </c>
      <c r="I61" t="str">
        <f>Yardi!I59</f>
        <v>'c6us087a</v>
      </c>
      <c r="L61" t="str">
        <f>Yardi!O59</f>
        <v>09/2026 Other Taxes Accrual</v>
      </c>
      <c r="M61" s="410">
        <f>Yardi!J59</f>
        <v>0</v>
      </c>
    </row>
    <row r="62" spans="1:13" x14ac:dyDescent="0.35">
      <c r="A62" t="str">
        <f t="shared" si="2"/>
        <v>#</v>
      </c>
      <c r="B62" t="s">
        <v>698</v>
      </c>
      <c r="C62" s="259">
        <f>Yardi!E60</f>
        <v>46266</v>
      </c>
      <c r="E62" t="str">
        <f>Yardi!G60</f>
        <v>September Recurring Entries</v>
      </c>
      <c r="F62" t="str">
        <f>Yardi!H60</f>
        <v>Balance Sheet Entries</v>
      </c>
      <c r="G62" t="e">
        <f t="shared" si="3"/>
        <v>#REF!</v>
      </c>
      <c r="H62" t="str">
        <f>Yardi!K60</f>
        <v>5500-6100</v>
      </c>
      <c r="I62" t="str">
        <f>Yardi!I60</f>
        <v>'c6us087a</v>
      </c>
      <c r="L62" t="str">
        <f>Yardi!O60</f>
        <v>09/2026 Personal Property Taxes / Business Licences Accrual</v>
      </c>
      <c r="M62" s="410">
        <f>Yardi!J60</f>
        <v>0</v>
      </c>
    </row>
    <row r="63" spans="1:13" x14ac:dyDescent="0.35">
      <c r="A63" t="str">
        <f t="shared" si="2"/>
        <v>#</v>
      </c>
      <c r="B63" t="s">
        <v>698</v>
      </c>
      <c r="C63" s="259">
        <f>Yardi!E61</f>
        <v>46266</v>
      </c>
      <c r="E63" t="str">
        <f>Yardi!G61</f>
        <v>September Recurring Entries</v>
      </c>
      <c r="F63" t="str">
        <f>Yardi!H61</f>
        <v>Balance Sheet Entries</v>
      </c>
      <c r="G63" t="e">
        <f t="shared" si="3"/>
        <v>#REF!</v>
      </c>
      <c r="H63" t="str">
        <f>Yardi!K61</f>
        <v>2611-3110</v>
      </c>
      <c r="I63" t="str">
        <f>Yardi!I61</f>
        <v>'c6us087a</v>
      </c>
      <c r="L63" t="str">
        <f>Yardi!O61</f>
        <v>09/2026 Personal Property Taxes / Business Licences Accrual</v>
      </c>
      <c r="M63" s="410">
        <f>Yardi!J61</f>
        <v>0</v>
      </c>
    </row>
    <row r="64" spans="1:13" x14ac:dyDescent="0.35">
      <c r="A64" t="str">
        <f t="shared" si="2"/>
        <v>#</v>
      </c>
      <c r="B64" t="s">
        <v>698</v>
      </c>
      <c r="C64" s="259">
        <f>Yardi!E62</f>
        <v>46266</v>
      </c>
      <c r="E64" t="str">
        <f>Yardi!G62</f>
        <v>September Recurring Entries</v>
      </c>
      <c r="F64" t="str">
        <f>Yardi!H62</f>
        <v>Balance Sheet Entries</v>
      </c>
      <c r="G64" t="e">
        <f t="shared" si="3"/>
        <v>#REF!</v>
      </c>
      <c r="H64">
        <f>Yardi!K62</f>
        <v>0</v>
      </c>
      <c r="I64" t="str">
        <f>Yardi!I62</f>
        <v>'c6us087a</v>
      </c>
      <c r="L64" t="str">
        <f>Yardi!O62</f>
        <v>09/2026 Accrual</v>
      </c>
      <c r="M64" s="410">
        <f>Yardi!J62</f>
        <v>0</v>
      </c>
    </row>
    <row r="65" spans="1:13" x14ac:dyDescent="0.35">
      <c r="A65" t="str">
        <f t="shared" si="2"/>
        <v>#</v>
      </c>
      <c r="B65" t="s">
        <v>698</v>
      </c>
      <c r="C65" s="259">
        <f>Yardi!E63</f>
        <v>46266</v>
      </c>
      <c r="E65" t="str">
        <f>Yardi!G63</f>
        <v>September Recurring Entries</v>
      </c>
      <c r="F65" t="str">
        <f>Yardi!H63</f>
        <v>Balance Sheet Entries</v>
      </c>
      <c r="G65" t="e">
        <f t="shared" si="3"/>
        <v>#REF!</v>
      </c>
      <c r="H65" t="str">
        <f>Yardi!K63</f>
        <v>2611-3110</v>
      </c>
      <c r="I65" t="str">
        <f>Yardi!I63</f>
        <v>'c6us087a</v>
      </c>
      <c r="L65" t="str">
        <f>Yardi!O63</f>
        <v>09/2026 Accrual</v>
      </c>
      <c r="M65" s="410">
        <f>Yardi!J63</f>
        <v>0</v>
      </c>
    </row>
    <row r="66" spans="1:13" x14ac:dyDescent="0.35">
      <c r="A66" t="str">
        <f t="shared" si="2"/>
        <v>#</v>
      </c>
      <c r="B66" t="s">
        <v>698</v>
      </c>
      <c r="C66" s="259">
        <f>Yardi!E64</f>
        <v>46266</v>
      </c>
      <c r="E66" t="str">
        <f>Yardi!G64</f>
        <v>September Recurring Entries</v>
      </c>
      <c r="F66" t="str">
        <f>Yardi!H64</f>
        <v>Balance Sheet Entries</v>
      </c>
      <c r="G66" t="e">
        <f t="shared" si="3"/>
        <v>#REF!</v>
      </c>
      <c r="H66">
        <f>Yardi!K64</f>
        <v>0</v>
      </c>
      <c r="I66" t="str">
        <f>Yardi!I64</f>
        <v>'c6us087a</v>
      </c>
      <c r="L66" t="str">
        <f>Yardi!O64</f>
        <v>09/2026 Accrual</v>
      </c>
      <c r="M66" s="410">
        <f>Yardi!J64</f>
        <v>0</v>
      </c>
    </row>
    <row r="67" spans="1:13" x14ac:dyDescent="0.35">
      <c r="A67" t="str">
        <f t="shared" si="2"/>
        <v>#</v>
      </c>
      <c r="B67" t="s">
        <v>698</v>
      </c>
      <c r="C67" s="259">
        <f>Yardi!E65</f>
        <v>46266</v>
      </c>
      <c r="E67" t="str">
        <f>Yardi!G65</f>
        <v>September Recurring Entries</v>
      </c>
      <c r="F67" t="str">
        <f>Yardi!H65</f>
        <v>Balance Sheet Entries</v>
      </c>
      <c r="G67" t="e">
        <f t="shared" si="3"/>
        <v>#REF!</v>
      </c>
      <c r="H67" t="str">
        <f>Yardi!K65</f>
        <v>2611-3110</v>
      </c>
      <c r="I67" t="str">
        <f>Yardi!I65</f>
        <v>'c6us087a</v>
      </c>
      <c r="L67" t="str">
        <f>Yardi!O65</f>
        <v>09/2026 Accrual</v>
      </c>
      <c r="M67" s="410">
        <f>Yardi!J65</f>
        <v>0</v>
      </c>
    </row>
    <row r="68" spans="1:13" x14ac:dyDescent="0.35">
      <c r="A68" t="str">
        <f t="shared" ref="A68:A99" si="4">IF(M68=0,"#","")</f>
        <v>#</v>
      </c>
      <c r="B68" t="s">
        <v>698</v>
      </c>
      <c r="C68" s="259">
        <f>Yardi!E66</f>
        <v>46266</v>
      </c>
      <c r="E68" t="str">
        <f>Yardi!G66</f>
        <v>September Recurring Entries</v>
      </c>
      <c r="F68" t="str">
        <f>Yardi!H66</f>
        <v>Balance Sheet Entries</v>
      </c>
      <c r="G68" t="e">
        <f t="shared" si="3"/>
        <v>#REF!</v>
      </c>
      <c r="H68" t="str">
        <f>Yardi!K66</f>
        <v>5890-6600</v>
      </c>
      <c r="I68" t="str">
        <f>Yardi!I66</f>
        <v>'c6us087a</v>
      </c>
      <c r="L68" t="str">
        <f>Yardi!O66</f>
        <v>09/2026 Prepaid Hello data Property reports Amortization</v>
      </c>
      <c r="M68" s="410">
        <f>Yardi!J66</f>
        <v>0</v>
      </c>
    </row>
    <row r="69" spans="1:13" x14ac:dyDescent="0.35">
      <c r="A69" t="str">
        <f t="shared" si="4"/>
        <v>#</v>
      </c>
      <c r="B69" t="s">
        <v>698</v>
      </c>
      <c r="C69" s="259">
        <f>Yardi!E67</f>
        <v>46266</v>
      </c>
      <c r="E69" t="str">
        <f>Yardi!G67</f>
        <v>September Recurring Entries</v>
      </c>
      <c r="F69" t="str">
        <f>Yardi!H67</f>
        <v>Balance Sheet Entries</v>
      </c>
      <c r="G69" t="e">
        <f t="shared" ref="G69:G100" si="5">IF(A69="#",G68,G68+1)</f>
        <v>#REF!</v>
      </c>
      <c r="H69" t="str">
        <f>Yardi!K67</f>
        <v>1630-8910</v>
      </c>
      <c r="I69" t="str">
        <f>Yardi!I67</f>
        <v>'c6us087a</v>
      </c>
      <c r="L69" t="str">
        <f>Yardi!O67</f>
        <v>09/2026 Prepaid Hello data Property reports Amortization</v>
      </c>
      <c r="M69" s="410">
        <f>Yardi!J67</f>
        <v>0</v>
      </c>
    </row>
    <row r="70" spans="1:13" x14ac:dyDescent="0.35">
      <c r="A70" t="str">
        <f t="shared" si="4"/>
        <v>#</v>
      </c>
      <c r="B70" t="s">
        <v>698</v>
      </c>
      <c r="C70" s="259">
        <f>Yardi!E68</f>
        <v>46266</v>
      </c>
      <c r="E70" t="str">
        <f>Yardi!G68</f>
        <v>September Recurring Entries</v>
      </c>
      <c r="F70" t="str">
        <f>Yardi!H68</f>
        <v>Balance Sheet Entries</v>
      </c>
      <c r="G70" t="e">
        <f t="shared" si="5"/>
        <v>#REF!</v>
      </c>
      <c r="H70" t="e">
        <f>Yardi!K68</f>
        <v>#REF!</v>
      </c>
      <c r="I70" t="str">
        <f>Yardi!I68</f>
        <v>'c6us087a</v>
      </c>
      <c r="L70" t="e">
        <f>Yardi!O68</f>
        <v>#REF!</v>
      </c>
      <c r="M70" s="410">
        <f>Yardi!J68</f>
        <v>0</v>
      </c>
    </row>
    <row r="71" spans="1:13" x14ac:dyDescent="0.35">
      <c r="A71" t="str">
        <f t="shared" si="4"/>
        <v>#</v>
      </c>
      <c r="B71" t="s">
        <v>698</v>
      </c>
      <c r="C71" s="259">
        <f>Yardi!E69</f>
        <v>46266</v>
      </c>
      <c r="E71" t="str">
        <f>Yardi!G69</f>
        <v>September Recurring Entries</v>
      </c>
      <c r="F71" t="str">
        <f>Yardi!H69</f>
        <v>Balance Sheet Entries</v>
      </c>
      <c r="G71" t="e">
        <f t="shared" si="5"/>
        <v>#REF!</v>
      </c>
      <c r="H71" t="str">
        <f>Yardi!K69</f>
        <v>1630-8910</v>
      </c>
      <c r="I71" t="str">
        <f>Yardi!I69</f>
        <v>'c6us087a</v>
      </c>
      <c r="L71" t="e">
        <f>Yardi!O69</f>
        <v>#REF!</v>
      </c>
      <c r="M71" s="410">
        <f>Yardi!J69</f>
        <v>0</v>
      </c>
    </row>
    <row r="72" spans="1:13" x14ac:dyDescent="0.35">
      <c r="A72" t="str">
        <f t="shared" si="4"/>
        <v>#</v>
      </c>
      <c r="B72" t="s">
        <v>698</v>
      </c>
      <c r="C72" s="259">
        <f>Yardi!E70</f>
        <v>46266</v>
      </c>
      <c r="E72" t="str">
        <f>Yardi!G70</f>
        <v>September Recurring Entries</v>
      </c>
      <c r="F72" t="str">
        <f>Yardi!H70</f>
        <v>Balance Sheet Entries</v>
      </c>
      <c r="G72" t="e">
        <f t="shared" si="5"/>
        <v>#REF!</v>
      </c>
      <c r="H72" t="e">
        <f>Yardi!K70</f>
        <v>#REF!</v>
      </c>
      <c r="I72" t="str">
        <f>Yardi!I70</f>
        <v>'c6us087a</v>
      </c>
      <c r="L72" t="e">
        <f>Yardi!O70</f>
        <v>#REF!</v>
      </c>
      <c r="M72" s="410">
        <f>Yardi!J70</f>
        <v>0</v>
      </c>
    </row>
    <row r="73" spans="1:13" x14ac:dyDescent="0.35">
      <c r="A73" t="str">
        <f t="shared" si="4"/>
        <v>#</v>
      </c>
      <c r="B73" t="s">
        <v>698</v>
      </c>
      <c r="C73" s="259">
        <f>Yardi!E71</f>
        <v>46266</v>
      </c>
      <c r="E73" t="str">
        <f>Yardi!G71</f>
        <v>September Recurring Entries</v>
      </c>
      <c r="F73" t="str">
        <f>Yardi!H71</f>
        <v>Balance Sheet Entries</v>
      </c>
      <c r="G73" t="e">
        <f t="shared" si="5"/>
        <v>#REF!</v>
      </c>
      <c r="H73" t="str">
        <f>Yardi!K71</f>
        <v>1630-8910</v>
      </c>
      <c r="I73" t="str">
        <f>Yardi!I71</f>
        <v>'c6us087a</v>
      </c>
      <c r="L73" t="e">
        <f>Yardi!O71</f>
        <v>#REF!</v>
      </c>
      <c r="M73" s="410">
        <f>Yardi!J71</f>
        <v>0</v>
      </c>
    </row>
    <row r="74" spans="1:13" x14ac:dyDescent="0.35">
      <c r="A74" t="str">
        <f t="shared" si="4"/>
        <v>#</v>
      </c>
      <c r="B74" t="s">
        <v>698</v>
      </c>
      <c r="C74" s="259">
        <f>Yardi!E72</f>
        <v>46266</v>
      </c>
      <c r="E74" t="str">
        <f>Yardi!G72</f>
        <v>September Recurring Entries</v>
      </c>
      <c r="F74" t="str">
        <f>Yardi!H72</f>
        <v>Balance Sheet Entries</v>
      </c>
      <c r="G74" t="e">
        <f t="shared" si="5"/>
        <v>#REF!</v>
      </c>
      <c r="H74" t="e">
        <f>Yardi!K72</f>
        <v>#REF!</v>
      </c>
      <c r="I74" t="str">
        <f>Yardi!I72</f>
        <v>'c6us087a</v>
      </c>
      <c r="L74" t="e">
        <f>Yardi!O72</f>
        <v>#REF!</v>
      </c>
      <c r="M74" s="410">
        <f>Yardi!J72</f>
        <v>0</v>
      </c>
    </row>
    <row r="75" spans="1:13" x14ac:dyDescent="0.35">
      <c r="A75" t="str">
        <f t="shared" si="4"/>
        <v>#</v>
      </c>
      <c r="B75" t="s">
        <v>698</v>
      </c>
      <c r="C75" s="259">
        <f>Yardi!E73</f>
        <v>46266</v>
      </c>
      <c r="E75" t="str">
        <f>Yardi!G73</f>
        <v>September Recurring Entries</v>
      </c>
      <c r="F75" t="str">
        <f>Yardi!H73</f>
        <v>Balance Sheet Entries</v>
      </c>
      <c r="G75" t="e">
        <f t="shared" si="5"/>
        <v>#REF!</v>
      </c>
      <c r="H75" t="str">
        <f>Yardi!K73</f>
        <v>1630-8910</v>
      </c>
      <c r="I75" t="str">
        <f>Yardi!I73</f>
        <v>'c6us087a</v>
      </c>
      <c r="L75" t="e">
        <f>Yardi!O73</f>
        <v>#REF!</v>
      </c>
      <c r="M75" s="410">
        <f>Yardi!J73</f>
        <v>0</v>
      </c>
    </row>
    <row r="76" spans="1:13" x14ac:dyDescent="0.35">
      <c r="A76" t="str">
        <f t="shared" si="4"/>
        <v>#</v>
      </c>
      <c r="B76" t="s">
        <v>698</v>
      </c>
      <c r="C76" s="259">
        <f>Yardi!E74</f>
        <v>46266</v>
      </c>
      <c r="E76" t="str">
        <f>Yardi!G74</f>
        <v>September Recurring Entries</v>
      </c>
      <c r="F76" t="str">
        <f>Yardi!H74</f>
        <v>Balance Sheet Entries</v>
      </c>
      <c r="G76" t="e">
        <f t="shared" si="5"/>
        <v>#REF!</v>
      </c>
      <c r="H76" t="str">
        <f>Yardi!K74</f>
        <v>5890-6350</v>
      </c>
      <c r="I76" t="str">
        <f>Yardi!I74</f>
        <v>'c6us087a</v>
      </c>
      <c r="L76" t="str">
        <f>Yardi!O74</f>
        <v>09/2026 Prepaid Cobu Subscription - For the period 5/1/25 - 4/30/26 Amortization</v>
      </c>
      <c r="M76" s="410">
        <f>Yardi!J74</f>
        <v>0</v>
      </c>
    </row>
    <row r="77" spans="1:13" x14ac:dyDescent="0.35">
      <c r="A77" t="str">
        <f t="shared" si="4"/>
        <v>#</v>
      </c>
      <c r="B77" t="s">
        <v>698</v>
      </c>
      <c r="C77" s="259">
        <f>Yardi!E75</f>
        <v>46266</v>
      </c>
      <c r="E77" t="str">
        <f>Yardi!G75</f>
        <v>September Recurring Entries</v>
      </c>
      <c r="F77" t="str">
        <f>Yardi!H75</f>
        <v>Balance Sheet Entries</v>
      </c>
      <c r="G77" t="e">
        <f t="shared" si="5"/>
        <v>#REF!</v>
      </c>
      <c r="H77" t="str">
        <f>Yardi!K75</f>
        <v>1630-8910</v>
      </c>
      <c r="I77" t="str">
        <f>Yardi!I75</f>
        <v>'c6us087a</v>
      </c>
      <c r="L77" t="str">
        <f>Yardi!O75</f>
        <v>09/2026 Prepaid Cobu Subscription - For the period 5/1/25 - 4/30/26 Amortization</v>
      </c>
      <c r="M77" s="410">
        <f>Yardi!J75</f>
        <v>0</v>
      </c>
    </row>
    <row r="78" spans="1:13" x14ac:dyDescent="0.35">
      <c r="A78" t="str">
        <f t="shared" si="4"/>
        <v>#</v>
      </c>
      <c r="B78" t="s">
        <v>698</v>
      </c>
      <c r="C78" s="259">
        <f>Yardi!E76</f>
        <v>46266</v>
      </c>
      <c r="E78" t="str">
        <f>Yardi!G76</f>
        <v>September Recurring Entries</v>
      </c>
      <c r="F78" t="str">
        <f>Yardi!H76</f>
        <v>Balance Sheet Entries</v>
      </c>
      <c r="G78" t="e">
        <f t="shared" si="5"/>
        <v>#REF!</v>
      </c>
      <c r="H78" t="str">
        <f>Yardi!K76</f>
        <v>5600-4000</v>
      </c>
      <c r="I78" t="str">
        <f>Yardi!I76</f>
        <v>'c6us087a</v>
      </c>
      <c r="L78" t="str">
        <f>Yardi!O76</f>
        <v>09/2026 Prepaid Annual Support Fee - Locker | July 2025 - June 2026 Luxer One Amortization</v>
      </c>
      <c r="M78" s="410">
        <f>Yardi!J76</f>
        <v>0</v>
      </c>
    </row>
    <row r="79" spans="1:13" x14ac:dyDescent="0.35">
      <c r="A79" t="str">
        <f t="shared" si="4"/>
        <v>#</v>
      </c>
      <c r="B79" t="s">
        <v>698</v>
      </c>
      <c r="C79" s="259">
        <f>Yardi!E77</f>
        <v>46266</v>
      </c>
      <c r="E79" t="str">
        <f>Yardi!G77</f>
        <v>September Recurring Entries</v>
      </c>
      <c r="F79" t="str">
        <f>Yardi!H77</f>
        <v>Balance Sheet Entries</v>
      </c>
      <c r="G79" t="e">
        <f t="shared" si="5"/>
        <v>#REF!</v>
      </c>
      <c r="H79" t="str">
        <f>Yardi!K77</f>
        <v>1630-8910</v>
      </c>
      <c r="I79" t="str">
        <f>Yardi!I77</f>
        <v>'c6us087a</v>
      </c>
      <c r="L79" t="str">
        <f>Yardi!O77</f>
        <v>09/2026 Prepaid Annual Support Fee - Locker | July 2025 - June 2026 Luxer One Amortization</v>
      </c>
      <c r="M79" s="410">
        <f>Yardi!J77</f>
        <v>0</v>
      </c>
    </row>
    <row r="80" spans="1:13" x14ac:dyDescent="0.35">
      <c r="A80" t="str">
        <f t="shared" si="4"/>
        <v>#</v>
      </c>
      <c r="B80" t="s">
        <v>698</v>
      </c>
      <c r="C80" s="259">
        <f>Yardi!E78</f>
        <v>46266</v>
      </c>
      <c r="E80" t="str">
        <f>Yardi!G78</f>
        <v>September Recurring Entries</v>
      </c>
      <c r="F80" t="str">
        <f>Yardi!H78</f>
        <v>Balance Sheet Entries</v>
      </c>
      <c r="G80" t="e">
        <f t="shared" si="5"/>
        <v>#REF!</v>
      </c>
      <c r="H80" t="str">
        <f>Yardi!K78</f>
        <v>5890-6800</v>
      </c>
      <c r="I80" t="str">
        <f>Yardi!I78</f>
        <v>'c6us087a</v>
      </c>
      <c r="L80" t="str">
        <f>Yardi!O78</f>
        <v>09/2026 Prepaid 01/26 Graphic Design Tool Renewal Service Period:03/2026 - 12/2026 Amortization</v>
      </c>
      <c r="M80" s="410">
        <f>Yardi!J78</f>
        <v>0</v>
      </c>
    </row>
    <row r="81" spans="1:13" x14ac:dyDescent="0.35">
      <c r="A81" t="str">
        <f t="shared" si="4"/>
        <v>#</v>
      </c>
      <c r="B81" t="s">
        <v>698</v>
      </c>
      <c r="C81" s="259">
        <f>Yardi!E79</f>
        <v>46266</v>
      </c>
      <c r="E81" t="str">
        <f>Yardi!G79</f>
        <v>September Recurring Entries</v>
      </c>
      <c r="F81" t="str">
        <f>Yardi!H79</f>
        <v>Balance Sheet Entries</v>
      </c>
      <c r="G81" t="e">
        <f t="shared" si="5"/>
        <v>#REF!</v>
      </c>
      <c r="H81" t="str">
        <f>Yardi!K79</f>
        <v>1630-8910</v>
      </c>
      <c r="I81" t="str">
        <f>Yardi!I79</f>
        <v>'c6us087a</v>
      </c>
      <c r="L81" t="str">
        <f>Yardi!O79</f>
        <v>09/2026 Prepaid 01/26 Graphic Design Tool Renewal Service Period:03/2026 - 12/2026 Amortization</v>
      </c>
      <c r="M81" s="410">
        <f>Yardi!J79</f>
        <v>0</v>
      </c>
    </row>
    <row r="82" spans="1:13" x14ac:dyDescent="0.35">
      <c r="A82" t="str">
        <f t="shared" si="4"/>
        <v>#</v>
      </c>
      <c r="B82" t="s">
        <v>698</v>
      </c>
      <c r="C82" s="259">
        <f>Yardi!E80</f>
        <v>46266</v>
      </c>
      <c r="E82" t="str">
        <f>Yardi!G80</f>
        <v>September Recurring Entries</v>
      </c>
      <c r="F82" t="str">
        <f>Yardi!H80</f>
        <v>Balance Sheet Entries</v>
      </c>
      <c r="G82" t="e">
        <f t="shared" si="5"/>
        <v>#REF!</v>
      </c>
      <c r="H82" t="str">
        <f>Yardi!K80</f>
        <v>5600-4000</v>
      </c>
      <c r="I82" t="str">
        <f>Yardi!I80</f>
        <v>'c6us087a</v>
      </c>
      <c r="L82" t="str">
        <f>Yardi!O80</f>
        <v>09/2026 Prepaid June Service Fees Amortization</v>
      </c>
      <c r="M82" s="410">
        <f>Yardi!J80</f>
        <v>0</v>
      </c>
    </row>
    <row r="83" spans="1:13" x14ac:dyDescent="0.35">
      <c r="A83" t="str">
        <f t="shared" si="4"/>
        <v>#</v>
      </c>
      <c r="B83" t="s">
        <v>698</v>
      </c>
      <c r="C83" s="259">
        <f>Yardi!E81</f>
        <v>46266</v>
      </c>
      <c r="E83" t="str">
        <f>Yardi!G81</f>
        <v>September Recurring Entries</v>
      </c>
      <c r="F83" t="str">
        <f>Yardi!H81</f>
        <v>Balance Sheet Entries</v>
      </c>
      <c r="G83" t="e">
        <f t="shared" si="5"/>
        <v>#REF!</v>
      </c>
      <c r="H83" t="str">
        <f>Yardi!K81</f>
        <v>1630-8910</v>
      </c>
      <c r="I83" t="str">
        <f>Yardi!I81</f>
        <v>'c6us087a</v>
      </c>
      <c r="L83" t="str">
        <f>Yardi!O81</f>
        <v>09/2026 Prepaid June Service Fees Amortization</v>
      </c>
      <c r="M83" s="410">
        <f>Yardi!J81</f>
        <v>0</v>
      </c>
    </row>
    <row r="84" spans="1:13" x14ac:dyDescent="0.35">
      <c r="A84" t="str">
        <f t="shared" si="4"/>
        <v/>
      </c>
      <c r="B84" t="s">
        <v>698</v>
      </c>
      <c r="C84" s="259">
        <f>Yardi!E82</f>
        <v>46266</v>
      </c>
      <c r="E84" t="str">
        <f>Yardi!G82</f>
        <v>September Recurring Entries</v>
      </c>
      <c r="F84" t="str">
        <f>Yardi!H82</f>
        <v>Balance Sheet Entries</v>
      </c>
      <c r="G84" t="e">
        <f t="shared" si="5"/>
        <v>#REF!</v>
      </c>
      <c r="H84" t="str">
        <f>Yardi!K82</f>
        <v>5890-6100</v>
      </c>
      <c r="I84" t="str">
        <f>Yardi!I82</f>
        <v>'c6us087a</v>
      </c>
      <c r="L84" t="str">
        <f>Yardi!O82</f>
        <v>09/2026 Prepaid 04/26 ORM Yearly Renewal - Full Bundle 0426ORM|rpresshi| (07/26-03/27) Amortization</v>
      </c>
      <c r="M84" s="410">
        <f>Yardi!J82</f>
        <v>172.85</v>
      </c>
    </row>
    <row r="85" spans="1:13" x14ac:dyDescent="0.35">
      <c r="A85" t="str">
        <f t="shared" si="4"/>
        <v/>
      </c>
      <c r="B85" t="s">
        <v>698</v>
      </c>
      <c r="C85" s="259">
        <f>Yardi!E83</f>
        <v>46266</v>
      </c>
      <c r="E85" t="str">
        <f>Yardi!G83</f>
        <v>September Recurring Entries</v>
      </c>
      <c r="F85" t="str">
        <f>Yardi!H83</f>
        <v>Balance Sheet Entries</v>
      </c>
      <c r="G85" t="e">
        <f t="shared" si="5"/>
        <v>#REF!</v>
      </c>
      <c r="H85" t="str">
        <f>Yardi!K83</f>
        <v>1630-8910</v>
      </c>
      <c r="I85" t="str">
        <f>Yardi!I83</f>
        <v>'c6us087a</v>
      </c>
      <c r="L85" t="str">
        <f>Yardi!O83</f>
        <v>09/2026 Prepaid 04/26 ORM Yearly Renewal - Full Bundle 0426ORM|rpresshi| (07/26-03/27) Amortization</v>
      </c>
      <c r="M85" s="410">
        <f>Yardi!J83</f>
        <v>-172.85</v>
      </c>
    </row>
    <row r="86" spans="1:13" x14ac:dyDescent="0.35">
      <c r="A86" t="str">
        <f t="shared" si="4"/>
        <v>#</v>
      </c>
      <c r="B86" t="s">
        <v>698</v>
      </c>
      <c r="C86" s="259">
        <f>Yardi!E84</f>
        <v>46266</v>
      </c>
      <c r="E86" t="str">
        <f>Yardi!G84</f>
        <v>September Recurring Entries</v>
      </c>
      <c r="F86" t="str">
        <f>Yardi!H84</f>
        <v>Balance Sheet Entries</v>
      </c>
      <c r="G86" t="e">
        <f t="shared" si="5"/>
        <v>#REF!</v>
      </c>
      <c r="H86" t="str">
        <f>Yardi!K84</f>
        <v>5400-1200</v>
      </c>
      <c r="I86" t="str">
        <f>Yardi!I84</f>
        <v>'c6us087a</v>
      </c>
      <c r="L86" t="str">
        <f>Yardi!O84</f>
        <v>09/2026 Prepaid Propane and Fees Amortization</v>
      </c>
      <c r="M86" s="410">
        <f>Yardi!J84</f>
        <v>0</v>
      </c>
    </row>
    <row r="87" spans="1:13" x14ac:dyDescent="0.35">
      <c r="A87" t="str">
        <f t="shared" si="4"/>
        <v>#</v>
      </c>
      <c r="B87" t="s">
        <v>698</v>
      </c>
      <c r="C87" s="259">
        <f>Yardi!E85</f>
        <v>46266</v>
      </c>
      <c r="E87" t="str">
        <f>Yardi!G85</f>
        <v>September Recurring Entries</v>
      </c>
      <c r="F87" t="str">
        <f>Yardi!H85</f>
        <v>Balance Sheet Entries</v>
      </c>
      <c r="G87" t="e">
        <f t="shared" si="5"/>
        <v>#REF!</v>
      </c>
      <c r="H87" t="str">
        <f>Yardi!K85</f>
        <v>1630-8910</v>
      </c>
      <c r="I87" t="str">
        <f>Yardi!I85</f>
        <v>'c6us087a</v>
      </c>
      <c r="L87" t="str">
        <f>Yardi!O85</f>
        <v>09/2026 Prepaid Propane and Fees Amortization</v>
      </c>
      <c r="M87" s="410">
        <f>Yardi!J85</f>
        <v>0</v>
      </c>
    </row>
    <row r="88" spans="1:13" x14ac:dyDescent="0.35">
      <c r="A88" t="str">
        <f t="shared" si="4"/>
        <v>#</v>
      </c>
      <c r="B88" t="s">
        <v>698</v>
      </c>
      <c r="C88" s="259">
        <f>Yardi!E86</f>
        <v>46266</v>
      </c>
      <c r="E88" t="str">
        <f>Yardi!G86</f>
        <v>September Recurring Entries</v>
      </c>
      <c r="F88" t="str">
        <f>Yardi!H86</f>
        <v>Balance Sheet Entries</v>
      </c>
      <c r="G88" t="e">
        <f t="shared" si="5"/>
        <v>#REF!</v>
      </c>
      <c r="H88" t="str">
        <f>Yardi!K86</f>
        <v>5300-4200</v>
      </c>
      <c r="I88" t="str">
        <f>Yardi!I86</f>
        <v>'c6us087a</v>
      </c>
      <c r="L88" t="str">
        <f>Yardi!O86</f>
        <v>09/2026 Prepaid 07/26 Monthly Landscape Maintenance Amortization</v>
      </c>
      <c r="M88" s="410">
        <f>Yardi!J86</f>
        <v>0</v>
      </c>
    </row>
    <row r="89" spans="1:13" x14ac:dyDescent="0.35">
      <c r="A89" t="str">
        <f t="shared" si="4"/>
        <v>#</v>
      </c>
      <c r="B89" t="s">
        <v>698</v>
      </c>
      <c r="C89" s="259">
        <f>Yardi!E87</f>
        <v>46266</v>
      </c>
      <c r="E89" t="str">
        <f>Yardi!G87</f>
        <v>September Recurring Entries</v>
      </c>
      <c r="F89" t="str">
        <f>Yardi!H87</f>
        <v>Balance Sheet Entries</v>
      </c>
      <c r="G89" t="e">
        <f t="shared" si="5"/>
        <v>#REF!</v>
      </c>
      <c r="H89" t="str">
        <f>Yardi!K87</f>
        <v>1630-8910</v>
      </c>
      <c r="I89" t="str">
        <f>Yardi!I87</f>
        <v>'c6us087a</v>
      </c>
      <c r="L89" t="str">
        <f>Yardi!O87</f>
        <v>09/2026 Prepaid 07/26 Monthly Landscape Maintenance Amortization</v>
      </c>
      <c r="M89" s="410">
        <f>Yardi!J87</f>
        <v>0</v>
      </c>
    </row>
    <row r="90" spans="1:13" x14ac:dyDescent="0.35">
      <c r="A90" t="str">
        <f t="shared" si="4"/>
        <v>#</v>
      </c>
      <c r="B90" t="s">
        <v>698</v>
      </c>
      <c r="C90" s="259">
        <f>Yardi!E88</f>
        <v>46266</v>
      </c>
      <c r="E90" t="str">
        <f>Yardi!G88</f>
        <v>September Recurring Entries</v>
      </c>
      <c r="F90" t="str">
        <f>Yardi!H88</f>
        <v>Balance Sheet Entries</v>
      </c>
      <c r="G90" t="e">
        <f t="shared" si="5"/>
        <v>#REF!</v>
      </c>
      <c r="H90" t="e">
        <f>Yardi!K88</f>
        <v>#REF!</v>
      </c>
      <c r="I90" t="str">
        <f>Yardi!I88</f>
        <v>'c6us087a</v>
      </c>
      <c r="L90" t="e">
        <f>Yardi!O88</f>
        <v>#REF!</v>
      </c>
      <c r="M90" s="410">
        <f>Yardi!J88</f>
        <v>0</v>
      </c>
    </row>
    <row r="91" spans="1:13" x14ac:dyDescent="0.35">
      <c r="A91" t="str">
        <f t="shared" si="4"/>
        <v>#</v>
      </c>
      <c r="B91" t="s">
        <v>698</v>
      </c>
      <c r="C91" s="259">
        <f>Yardi!E89</f>
        <v>46266</v>
      </c>
      <c r="E91" t="str">
        <f>Yardi!G89</f>
        <v>September Recurring Entries</v>
      </c>
      <c r="F91" t="str">
        <f>Yardi!H89</f>
        <v>Balance Sheet Entries</v>
      </c>
      <c r="G91" t="e">
        <f t="shared" si="5"/>
        <v>#REF!</v>
      </c>
      <c r="H91" t="str">
        <f>Yardi!K89</f>
        <v>1630-8910</v>
      </c>
      <c r="I91" t="str">
        <f>Yardi!I89</f>
        <v>'c6us087a</v>
      </c>
      <c r="L91" t="e">
        <f>Yardi!O89</f>
        <v>#REF!</v>
      </c>
      <c r="M91" s="410">
        <f>Yardi!J89</f>
        <v>0</v>
      </c>
    </row>
    <row r="92" spans="1:13" x14ac:dyDescent="0.35">
      <c r="A92" t="str">
        <f t="shared" si="4"/>
        <v>#</v>
      </c>
      <c r="B92" t="s">
        <v>698</v>
      </c>
      <c r="C92" s="259">
        <f>Yardi!E90</f>
        <v>46266</v>
      </c>
      <c r="E92" t="str">
        <f>Yardi!G90</f>
        <v>September Recurring Entries</v>
      </c>
      <c r="F92" t="str">
        <f>Yardi!H90</f>
        <v>Balance Sheet Entries</v>
      </c>
      <c r="G92" t="e">
        <f t="shared" si="5"/>
        <v>#REF!</v>
      </c>
      <c r="H92" t="e">
        <f>Yardi!K90</f>
        <v>#REF!</v>
      </c>
      <c r="I92" t="str">
        <f>Yardi!I90</f>
        <v>'c6us087a</v>
      </c>
      <c r="L92" t="e">
        <f>Yardi!O90</f>
        <v>#REF!</v>
      </c>
      <c r="M92" s="410">
        <f>Yardi!J90</f>
        <v>0</v>
      </c>
    </row>
    <row r="93" spans="1:13" x14ac:dyDescent="0.35">
      <c r="A93" t="str">
        <f t="shared" si="4"/>
        <v>#</v>
      </c>
      <c r="B93" t="s">
        <v>698</v>
      </c>
      <c r="C93" s="259">
        <f>Yardi!E91</f>
        <v>46266</v>
      </c>
      <c r="E93" t="str">
        <f>Yardi!G91</f>
        <v>September Recurring Entries</v>
      </c>
      <c r="F93" t="str">
        <f>Yardi!H91</f>
        <v>Balance Sheet Entries</v>
      </c>
      <c r="G93" t="e">
        <f t="shared" si="5"/>
        <v>#REF!</v>
      </c>
      <c r="H93" t="str">
        <f>Yardi!K91</f>
        <v>1630-8910</v>
      </c>
      <c r="I93" t="str">
        <f>Yardi!I91</f>
        <v>'c6us087a</v>
      </c>
      <c r="L93" t="e">
        <f>Yardi!O91</f>
        <v>#REF!</v>
      </c>
      <c r="M93" s="410">
        <f>Yardi!J91</f>
        <v>0</v>
      </c>
    </row>
    <row r="94" spans="1:13" x14ac:dyDescent="0.35">
      <c r="A94" t="str">
        <f t="shared" si="4"/>
        <v>#</v>
      </c>
      <c r="B94" t="s">
        <v>698</v>
      </c>
      <c r="C94" s="259">
        <f>Yardi!E92</f>
        <v>46266</v>
      </c>
      <c r="E94" t="str">
        <f>Yardi!G92</f>
        <v>September Recurring Entries</v>
      </c>
      <c r="F94" t="str">
        <f>Yardi!H92</f>
        <v>Balance Sheet Entries</v>
      </c>
      <c r="G94" t="e">
        <f t="shared" si="5"/>
        <v>#REF!</v>
      </c>
      <c r="H94" t="e">
        <f>Yardi!K92</f>
        <v>#REF!</v>
      </c>
      <c r="I94" t="str">
        <f>Yardi!I92</f>
        <v>'c6us087a</v>
      </c>
      <c r="L94" t="e">
        <f>Yardi!O92</f>
        <v>#REF!</v>
      </c>
      <c r="M94" s="410">
        <f>Yardi!J92</f>
        <v>0</v>
      </c>
    </row>
    <row r="95" spans="1:13" x14ac:dyDescent="0.35">
      <c r="A95" t="str">
        <f t="shared" si="4"/>
        <v>#</v>
      </c>
      <c r="B95" t="s">
        <v>698</v>
      </c>
      <c r="C95" s="259">
        <f>Yardi!E93</f>
        <v>46266</v>
      </c>
      <c r="E95" t="str">
        <f>Yardi!G93</f>
        <v>September Recurring Entries</v>
      </c>
      <c r="F95" t="str">
        <f>Yardi!H93</f>
        <v>Balance Sheet Entries</v>
      </c>
      <c r="G95" t="e">
        <f t="shared" si="5"/>
        <v>#REF!</v>
      </c>
      <c r="H95" t="str">
        <f>Yardi!K93</f>
        <v>1630-8910</v>
      </c>
      <c r="I95" t="str">
        <f>Yardi!I93</f>
        <v>'c6us087a</v>
      </c>
      <c r="L95" t="e">
        <f>Yardi!O93</f>
        <v>#REF!</v>
      </c>
      <c r="M95" s="410">
        <f>Yardi!J93</f>
        <v>0</v>
      </c>
    </row>
    <row r="96" spans="1:13" x14ac:dyDescent="0.35">
      <c r="A96" t="str">
        <f t="shared" si="4"/>
        <v>#</v>
      </c>
      <c r="B96" t="s">
        <v>698</v>
      </c>
      <c r="C96" s="259">
        <f>Yardi!E94</f>
        <v>46266</v>
      </c>
      <c r="E96" t="str">
        <f>Yardi!G94</f>
        <v>September Recurring Entries</v>
      </c>
      <c r="F96" t="str">
        <f>Yardi!H94</f>
        <v>Balance Sheet Entries</v>
      </c>
      <c r="G96" t="e">
        <f t="shared" si="5"/>
        <v>#REF!</v>
      </c>
      <c r="H96" t="e">
        <f>Yardi!K94</f>
        <v>#REF!</v>
      </c>
      <c r="I96" t="str">
        <f>Yardi!I94</f>
        <v>'c6us087a</v>
      </c>
      <c r="L96" t="e">
        <f>Yardi!O94</f>
        <v>#REF!</v>
      </c>
      <c r="M96" s="410">
        <f>Yardi!J94</f>
        <v>0</v>
      </c>
    </row>
    <row r="97" spans="1:13" x14ac:dyDescent="0.35">
      <c r="A97" t="str">
        <f t="shared" si="4"/>
        <v>#</v>
      </c>
      <c r="B97" t="s">
        <v>698</v>
      </c>
      <c r="C97" s="259">
        <f>Yardi!E95</f>
        <v>46266</v>
      </c>
      <c r="E97" t="str">
        <f>Yardi!G95</f>
        <v>September Recurring Entries</v>
      </c>
      <c r="F97" t="str">
        <f>Yardi!H95</f>
        <v>Balance Sheet Entries</v>
      </c>
      <c r="G97" t="e">
        <f t="shared" si="5"/>
        <v>#REF!</v>
      </c>
      <c r="H97" t="str">
        <f>Yardi!K95</f>
        <v>1630-8910</v>
      </c>
      <c r="I97" t="str">
        <f>Yardi!I95</f>
        <v>'c6us087a</v>
      </c>
      <c r="L97" t="e">
        <f>Yardi!O95</f>
        <v>#REF!</v>
      </c>
      <c r="M97" s="410">
        <f>Yardi!J95</f>
        <v>0</v>
      </c>
    </row>
    <row r="98" spans="1:13" x14ac:dyDescent="0.35">
      <c r="A98" t="str">
        <f t="shared" si="4"/>
        <v>#</v>
      </c>
      <c r="B98" t="s">
        <v>698</v>
      </c>
      <c r="C98" s="259">
        <f>Yardi!E96</f>
        <v>46266</v>
      </c>
      <c r="E98" t="str">
        <f>Yardi!G96</f>
        <v>September Recurring Entries</v>
      </c>
      <c r="F98" t="str">
        <f>Yardi!H96</f>
        <v>Balance Sheet Entries</v>
      </c>
      <c r="G98" t="e">
        <f t="shared" si="5"/>
        <v>#REF!</v>
      </c>
      <c r="H98" t="e">
        <f>Yardi!K96</f>
        <v>#REF!</v>
      </c>
      <c r="I98" t="str">
        <f>Yardi!I96</f>
        <v>'c6us087a</v>
      </c>
      <c r="L98" t="e">
        <f>Yardi!O96</f>
        <v>#REF!</v>
      </c>
      <c r="M98" s="410">
        <f>Yardi!J96</f>
        <v>0</v>
      </c>
    </row>
    <row r="99" spans="1:13" x14ac:dyDescent="0.35">
      <c r="A99" t="str">
        <f t="shared" si="4"/>
        <v>#</v>
      </c>
      <c r="B99" t="s">
        <v>698</v>
      </c>
      <c r="C99" s="259">
        <f>Yardi!E97</f>
        <v>46266</v>
      </c>
      <c r="E99" t="str">
        <f>Yardi!G97</f>
        <v>September Recurring Entries</v>
      </c>
      <c r="F99" t="str">
        <f>Yardi!H97</f>
        <v>Balance Sheet Entries</v>
      </c>
      <c r="G99" t="e">
        <f t="shared" si="5"/>
        <v>#REF!</v>
      </c>
      <c r="H99" t="str">
        <f>Yardi!K97</f>
        <v>1630-8910</v>
      </c>
      <c r="I99" t="str">
        <f>Yardi!I97</f>
        <v>'c6us087a</v>
      </c>
      <c r="L99" t="e">
        <f>Yardi!O97</f>
        <v>#REF!</v>
      </c>
      <c r="M99" s="410">
        <f>Yardi!J97</f>
        <v>0</v>
      </c>
    </row>
    <row r="100" spans="1:13" x14ac:dyDescent="0.35">
      <c r="A100" t="str">
        <f t="shared" ref="A100:A131" si="6">IF(M100=0,"#","")</f>
        <v>#</v>
      </c>
      <c r="B100" t="s">
        <v>698</v>
      </c>
      <c r="C100" s="259">
        <f>Yardi!E98</f>
        <v>46266</v>
      </c>
      <c r="E100" t="str">
        <f>Yardi!G98</f>
        <v>September Recurring Entries</v>
      </c>
      <c r="F100" t="str">
        <f>Yardi!H98</f>
        <v>Balance Sheet Entries</v>
      </c>
      <c r="G100" t="e">
        <f t="shared" si="5"/>
        <v>#REF!</v>
      </c>
      <c r="H100" t="e">
        <f>Yardi!K98</f>
        <v>#REF!</v>
      </c>
      <c r="I100" t="str">
        <f>Yardi!I98</f>
        <v>'c6us087a</v>
      </c>
      <c r="L100" t="e">
        <f>Yardi!O98</f>
        <v>#REF!</v>
      </c>
      <c r="M100" s="410">
        <f>Yardi!J98</f>
        <v>0</v>
      </c>
    </row>
    <row r="101" spans="1:13" x14ac:dyDescent="0.35">
      <c r="A101" t="str">
        <f t="shared" si="6"/>
        <v>#</v>
      </c>
      <c r="B101" t="s">
        <v>698</v>
      </c>
      <c r="C101" s="259">
        <f>Yardi!E99</f>
        <v>46266</v>
      </c>
      <c r="E101" t="str">
        <f>Yardi!G99</f>
        <v>September Recurring Entries</v>
      </c>
      <c r="F101" t="str">
        <f>Yardi!H99</f>
        <v>Balance Sheet Entries</v>
      </c>
      <c r="G101" t="e">
        <f t="shared" ref="G101:G132" si="7">IF(A101="#",G100,G100+1)</f>
        <v>#REF!</v>
      </c>
      <c r="H101" t="str">
        <f>Yardi!K99</f>
        <v>1630-8910</v>
      </c>
      <c r="I101" t="str">
        <f>Yardi!I99</f>
        <v>'c6us087a</v>
      </c>
      <c r="L101" t="e">
        <f>Yardi!O99</f>
        <v>#REF!</v>
      </c>
      <c r="M101" s="410">
        <f>Yardi!J99</f>
        <v>0</v>
      </c>
    </row>
    <row r="102" spans="1:13" x14ac:dyDescent="0.35">
      <c r="A102" t="str">
        <f t="shared" si="6"/>
        <v>#</v>
      </c>
      <c r="B102" t="s">
        <v>698</v>
      </c>
      <c r="C102" s="259">
        <f>Yardi!E100</f>
        <v>46266</v>
      </c>
      <c r="E102" t="str">
        <f>Yardi!G100</f>
        <v>September Recurring Entries</v>
      </c>
      <c r="F102" t="str">
        <f>Yardi!H100</f>
        <v>Balance Sheet Entries</v>
      </c>
      <c r="G102" t="e">
        <f t="shared" si="7"/>
        <v>#REF!</v>
      </c>
      <c r="H102" t="e">
        <f>Yardi!K100</f>
        <v>#REF!</v>
      </c>
      <c r="I102" t="str">
        <f>Yardi!I100</f>
        <v>'c6us087a</v>
      </c>
      <c r="L102" t="e">
        <f>Yardi!O100</f>
        <v>#REF!</v>
      </c>
      <c r="M102" s="410">
        <f>Yardi!J100</f>
        <v>0</v>
      </c>
    </row>
    <row r="103" spans="1:13" x14ac:dyDescent="0.35">
      <c r="A103" t="str">
        <f t="shared" si="6"/>
        <v>#</v>
      </c>
      <c r="B103" t="s">
        <v>698</v>
      </c>
      <c r="C103" s="259">
        <f>Yardi!E101</f>
        <v>46266</v>
      </c>
      <c r="E103" t="str">
        <f>Yardi!G101</f>
        <v>September Recurring Entries</v>
      </c>
      <c r="F103" t="str">
        <f>Yardi!H101</f>
        <v>Balance Sheet Entries</v>
      </c>
      <c r="G103" t="e">
        <f t="shared" si="7"/>
        <v>#REF!</v>
      </c>
      <c r="H103" t="str">
        <f>Yardi!K101</f>
        <v>1630-8910</v>
      </c>
      <c r="I103" t="str">
        <f>Yardi!I101</f>
        <v>'c6us087a</v>
      </c>
      <c r="L103" t="e">
        <f>Yardi!O101</f>
        <v>#REF!</v>
      </c>
      <c r="M103" s="410">
        <f>Yardi!J101</f>
        <v>0</v>
      </c>
    </row>
    <row r="104" spans="1:13" x14ac:dyDescent="0.35">
      <c r="A104" t="str">
        <f t="shared" si="6"/>
        <v>#</v>
      </c>
      <c r="B104" t="s">
        <v>698</v>
      </c>
      <c r="C104" s="259">
        <f>Yardi!E102</f>
        <v>46266</v>
      </c>
      <c r="E104" t="str">
        <f>Yardi!G102</f>
        <v>September Recurring Entries</v>
      </c>
      <c r="F104" t="str">
        <f>Yardi!H102</f>
        <v>Balance Sheet Entries</v>
      </c>
      <c r="G104" t="e">
        <f t="shared" si="7"/>
        <v>#REF!</v>
      </c>
      <c r="H104" t="e">
        <f>Yardi!K102</f>
        <v>#REF!</v>
      </c>
      <c r="I104" t="str">
        <f>Yardi!I102</f>
        <v>'c6us087a</v>
      </c>
      <c r="L104" t="e">
        <f>Yardi!O102</f>
        <v>#REF!</v>
      </c>
      <c r="M104" s="410">
        <f>Yardi!J102</f>
        <v>0</v>
      </c>
    </row>
    <row r="105" spans="1:13" x14ac:dyDescent="0.35">
      <c r="A105" t="str">
        <f t="shared" si="6"/>
        <v>#</v>
      </c>
      <c r="B105" t="s">
        <v>698</v>
      </c>
      <c r="C105" s="259">
        <f>Yardi!E103</f>
        <v>46266</v>
      </c>
      <c r="E105" t="str">
        <f>Yardi!G103</f>
        <v>September Recurring Entries</v>
      </c>
      <c r="F105" t="str">
        <f>Yardi!H103</f>
        <v>Balance Sheet Entries</v>
      </c>
      <c r="G105" t="e">
        <f t="shared" si="7"/>
        <v>#REF!</v>
      </c>
      <c r="H105" t="str">
        <f>Yardi!K103</f>
        <v>1630-8910</v>
      </c>
      <c r="I105" t="str">
        <f>Yardi!I103</f>
        <v>'c6us087a</v>
      </c>
      <c r="L105" t="e">
        <f>Yardi!O103</f>
        <v>#REF!</v>
      </c>
      <c r="M105" s="410">
        <f>Yardi!J103</f>
        <v>0</v>
      </c>
    </row>
    <row r="106" spans="1:13" x14ac:dyDescent="0.35">
      <c r="A106" t="str">
        <f t="shared" si="6"/>
        <v>#</v>
      </c>
      <c r="B106" t="s">
        <v>698</v>
      </c>
      <c r="C106" s="259">
        <f>Yardi!E104</f>
        <v>46266</v>
      </c>
      <c r="E106" t="str">
        <f>Yardi!G104</f>
        <v>September Recurring Entries</v>
      </c>
      <c r="F106" t="str">
        <f>Yardi!H104</f>
        <v>Balance Sheet Entries</v>
      </c>
      <c r="G106" t="e">
        <f t="shared" si="7"/>
        <v>#REF!</v>
      </c>
      <c r="H106" t="e">
        <f>Yardi!K104</f>
        <v>#REF!</v>
      </c>
      <c r="I106" t="str">
        <f>Yardi!I104</f>
        <v>'c6us087a</v>
      </c>
      <c r="L106" t="e">
        <f>Yardi!O104</f>
        <v>#REF!</v>
      </c>
      <c r="M106" s="410">
        <f>Yardi!J104</f>
        <v>0</v>
      </c>
    </row>
    <row r="107" spans="1:13" x14ac:dyDescent="0.35">
      <c r="A107" t="str">
        <f t="shared" si="6"/>
        <v>#</v>
      </c>
      <c r="B107" t="s">
        <v>698</v>
      </c>
      <c r="C107" s="259">
        <f>Yardi!E105</f>
        <v>46266</v>
      </c>
      <c r="E107" t="str">
        <f>Yardi!G105</f>
        <v>September Recurring Entries</v>
      </c>
      <c r="F107" t="str">
        <f>Yardi!H105</f>
        <v>Balance Sheet Entries</v>
      </c>
      <c r="G107" t="e">
        <f t="shared" si="7"/>
        <v>#REF!</v>
      </c>
      <c r="H107" t="str">
        <f>Yardi!K105</f>
        <v>1630-8910</v>
      </c>
      <c r="I107" t="str">
        <f>Yardi!I105</f>
        <v>'c6us087a</v>
      </c>
      <c r="L107" t="e">
        <f>Yardi!O105</f>
        <v>#REF!</v>
      </c>
      <c r="M107" s="410">
        <f>Yardi!J105</f>
        <v>0</v>
      </c>
    </row>
    <row r="108" spans="1:13" x14ac:dyDescent="0.35">
      <c r="A108" t="str">
        <f t="shared" si="6"/>
        <v>#</v>
      </c>
      <c r="B108" t="s">
        <v>698</v>
      </c>
      <c r="C108" s="259">
        <f>Yardi!E106</f>
        <v>46266</v>
      </c>
      <c r="E108" t="str">
        <f>Yardi!G106</f>
        <v>September Recurring Entries</v>
      </c>
      <c r="F108" t="str">
        <f>Yardi!H106</f>
        <v>Balance Sheet Entries</v>
      </c>
      <c r="G108" t="e">
        <f t="shared" si="7"/>
        <v>#REF!</v>
      </c>
      <c r="H108" t="e">
        <f>Yardi!K106</f>
        <v>#REF!</v>
      </c>
      <c r="I108" t="str">
        <f>Yardi!I106</f>
        <v>'c6us087a</v>
      </c>
      <c r="L108" t="e">
        <f>Yardi!O106</f>
        <v>#REF!</v>
      </c>
      <c r="M108" s="410">
        <f>Yardi!J106</f>
        <v>0</v>
      </c>
    </row>
    <row r="109" spans="1:13" x14ac:dyDescent="0.35">
      <c r="A109" t="str">
        <f t="shared" si="6"/>
        <v>#</v>
      </c>
      <c r="B109" t="s">
        <v>698</v>
      </c>
      <c r="C109" s="259">
        <f>Yardi!E107</f>
        <v>46266</v>
      </c>
      <c r="E109" t="str">
        <f>Yardi!G107</f>
        <v>September Recurring Entries</v>
      </c>
      <c r="F109" t="str">
        <f>Yardi!H107</f>
        <v>Balance Sheet Entries</v>
      </c>
      <c r="G109" t="e">
        <f t="shared" si="7"/>
        <v>#REF!</v>
      </c>
      <c r="H109" t="str">
        <f>Yardi!K107</f>
        <v>1630-8910</v>
      </c>
      <c r="I109" t="str">
        <f>Yardi!I107</f>
        <v>'c6us087a</v>
      </c>
      <c r="L109" t="e">
        <f>Yardi!O107</f>
        <v>#REF!</v>
      </c>
      <c r="M109" s="410">
        <f>Yardi!J107</f>
        <v>0</v>
      </c>
    </row>
    <row r="110" spans="1:13" x14ac:dyDescent="0.35">
      <c r="A110" t="str">
        <f t="shared" si="6"/>
        <v>#</v>
      </c>
      <c r="B110" t="s">
        <v>698</v>
      </c>
      <c r="C110" s="259">
        <f>Yardi!E108</f>
        <v>46266</v>
      </c>
      <c r="E110" t="str">
        <f>Yardi!G108</f>
        <v>September Recurring Entries</v>
      </c>
      <c r="F110" t="str">
        <f>Yardi!H108</f>
        <v>Balance Sheet Entries</v>
      </c>
      <c r="G110" t="e">
        <f t="shared" si="7"/>
        <v>#REF!</v>
      </c>
      <c r="H110" t="e">
        <f>Yardi!K108</f>
        <v>#REF!</v>
      </c>
      <c r="I110" t="str">
        <f>Yardi!I108</f>
        <v>'c6us087a</v>
      </c>
      <c r="L110" t="e">
        <f>Yardi!O108</f>
        <v>#REF!</v>
      </c>
      <c r="M110" s="410">
        <f>Yardi!J108</f>
        <v>0</v>
      </c>
    </row>
    <row r="111" spans="1:13" x14ac:dyDescent="0.35">
      <c r="A111" t="str">
        <f t="shared" si="6"/>
        <v>#</v>
      </c>
      <c r="B111" t="s">
        <v>698</v>
      </c>
      <c r="C111" s="259">
        <f>Yardi!E109</f>
        <v>46266</v>
      </c>
      <c r="E111" t="str">
        <f>Yardi!G109</f>
        <v>September Recurring Entries</v>
      </c>
      <c r="F111" t="str">
        <f>Yardi!H109</f>
        <v>Balance Sheet Entries</v>
      </c>
      <c r="G111" t="e">
        <f t="shared" si="7"/>
        <v>#REF!</v>
      </c>
      <c r="H111" t="str">
        <f>Yardi!K109</f>
        <v>1630-8910</v>
      </c>
      <c r="I111" t="str">
        <f>Yardi!I109</f>
        <v>'c6us087a</v>
      </c>
      <c r="L111" t="e">
        <f>Yardi!O109</f>
        <v>#REF!</v>
      </c>
      <c r="M111" s="410">
        <f>Yardi!J109</f>
        <v>0</v>
      </c>
    </row>
    <row r="112" spans="1:13" x14ac:dyDescent="0.35">
      <c r="A112" t="str">
        <f t="shared" si="6"/>
        <v>#</v>
      </c>
      <c r="B112" t="s">
        <v>698</v>
      </c>
      <c r="C112" s="259">
        <f>Yardi!E110</f>
        <v>46266</v>
      </c>
      <c r="E112" t="str">
        <f>Yardi!G110</f>
        <v>September Recurring Entries</v>
      </c>
      <c r="F112" t="str">
        <f>Yardi!H110</f>
        <v>Balance Sheet Entries</v>
      </c>
      <c r="G112" t="e">
        <f t="shared" si="7"/>
        <v>#REF!</v>
      </c>
      <c r="H112" t="e">
        <f>Yardi!K110</f>
        <v>#REF!</v>
      </c>
      <c r="I112" t="str">
        <f>Yardi!I110</f>
        <v>'c6us087a</v>
      </c>
      <c r="L112" t="e">
        <f>Yardi!O110</f>
        <v>#REF!</v>
      </c>
      <c r="M112" s="410">
        <f>Yardi!J110</f>
        <v>0</v>
      </c>
    </row>
    <row r="113" spans="1:13" x14ac:dyDescent="0.35">
      <c r="A113" t="str">
        <f t="shared" si="6"/>
        <v>#</v>
      </c>
      <c r="B113" t="s">
        <v>698</v>
      </c>
      <c r="C113" s="259">
        <f>Yardi!E111</f>
        <v>46266</v>
      </c>
      <c r="E113" t="str">
        <f>Yardi!G111</f>
        <v>September Recurring Entries</v>
      </c>
      <c r="F113" t="str">
        <f>Yardi!H111</f>
        <v>Balance Sheet Entries</v>
      </c>
      <c r="G113" t="e">
        <f t="shared" si="7"/>
        <v>#REF!</v>
      </c>
      <c r="H113" t="str">
        <f>Yardi!K111</f>
        <v>1630-8910</v>
      </c>
      <c r="I113" t="str">
        <f>Yardi!I111</f>
        <v>'c6us087a</v>
      </c>
      <c r="L113" t="e">
        <f>Yardi!O111</f>
        <v>#REF!</v>
      </c>
      <c r="M113" s="410">
        <f>Yardi!J111</f>
        <v>0</v>
      </c>
    </row>
    <row r="114" spans="1:13" x14ac:dyDescent="0.35">
      <c r="A114" t="str">
        <f t="shared" si="6"/>
        <v>#</v>
      </c>
      <c r="B114" t="s">
        <v>698</v>
      </c>
      <c r="C114" s="259">
        <f>Yardi!E112</f>
        <v>46266</v>
      </c>
      <c r="E114" t="str">
        <f>Yardi!G112</f>
        <v>September Recurring Entries</v>
      </c>
      <c r="F114" t="str">
        <f>Yardi!H112</f>
        <v>Balance Sheet Entries</v>
      </c>
      <c r="G114" t="e">
        <f t="shared" si="7"/>
        <v>#REF!</v>
      </c>
      <c r="H114" t="e">
        <f>Yardi!K112</f>
        <v>#REF!</v>
      </c>
      <c r="I114" t="str">
        <f>Yardi!I112</f>
        <v>'c6us087a</v>
      </c>
      <c r="L114" t="e">
        <f>Yardi!O112</f>
        <v>#REF!</v>
      </c>
      <c r="M114" s="410">
        <f>Yardi!J112</f>
        <v>0</v>
      </c>
    </row>
    <row r="115" spans="1:13" x14ac:dyDescent="0.35">
      <c r="A115" t="str">
        <f t="shared" si="6"/>
        <v>#</v>
      </c>
      <c r="B115" t="s">
        <v>698</v>
      </c>
      <c r="C115" s="259">
        <f>Yardi!E113</f>
        <v>46266</v>
      </c>
      <c r="E115" t="str">
        <f>Yardi!G113</f>
        <v>September Recurring Entries</v>
      </c>
      <c r="F115" t="str">
        <f>Yardi!H113</f>
        <v>Balance Sheet Entries</v>
      </c>
      <c r="G115" t="e">
        <f t="shared" si="7"/>
        <v>#REF!</v>
      </c>
      <c r="H115" t="str">
        <f>Yardi!K113</f>
        <v>1630-8910</v>
      </c>
      <c r="I115" t="str">
        <f>Yardi!I113</f>
        <v>'c6us087a</v>
      </c>
      <c r="L115" t="e">
        <f>Yardi!O113</f>
        <v>#REF!</v>
      </c>
      <c r="M115" s="410">
        <f>Yardi!J113</f>
        <v>0</v>
      </c>
    </row>
    <row r="116" spans="1:13" x14ac:dyDescent="0.35">
      <c r="A116" t="str">
        <f t="shared" si="6"/>
        <v>#</v>
      </c>
      <c r="B116" t="s">
        <v>698</v>
      </c>
      <c r="C116" s="259">
        <f>Yardi!E114</f>
        <v>46266</v>
      </c>
      <c r="E116" t="str">
        <f>Yardi!G114</f>
        <v>September Recurring Entries</v>
      </c>
      <c r="F116" t="str">
        <f>Yardi!H114</f>
        <v>Balance Sheet Entries</v>
      </c>
      <c r="G116" t="e">
        <f t="shared" si="7"/>
        <v>#REF!</v>
      </c>
      <c r="H116" t="e">
        <f>Yardi!K114</f>
        <v>#REF!</v>
      </c>
      <c r="I116" t="str">
        <f>Yardi!I114</f>
        <v>'c6us087a</v>
      </c>
      <c r="L116" t="e">
        <f>Yardi!O114</f>
        <v>#REF!</v>
      </c>
      <c r="M116" s="410">
        <f>Yardi!J114</f>
        <v>0</v>
      </c>
    </row>
    <row r="117" spans="1:13" x14ac:dyDescent="0.35">
      <c r="A117" t="str">
        <f t="shared" si="6"/>
        <v>#</v>
      </c>
      <c r="B117" t="s">
        <v>698</v>
      </c>
      <c r="C117" s="259">
        <f>Yardi!E115</f>
        <v>46266</v>
      </c>
      <c r="E117" t="str">
        <f>Yardi!G115</f>
        <v>September Recurring Entries</v>
      </c>
      <c r="F117" t="str">
        <f>Yardi!H115</f>
        <v>Balance Sheet Entries</v>
      </c>
      <c r="G117" t="e">
        <f t="shared" si="7"/>
        <v>#REF!</v>
      </c>
      <c r="H117" t="str">
        <f>Yardi!K115</f>
        <v>1630-8910</v>
      </c>
      <c r="I117" t="str">
        <f>Yardi!I115</f>
        <v>'c6us087a</v>
      </c>
      <c r="L117" t="e">
        <f>Yardi!O115</f>
        <v>#REF!</v>
      </c>
      <c r="M117" s="410">
        <f>Yardi!J115</f>
        <v>0</v>
      </c>
    </row>
    <row r="118" spans="1:13" x14ac:dyDescent="0.35">
      <c r="A118" t="str">
        <f t="shared" si="6"/>
        <v>#</v>
      </c>
      <c r="B118" t="s">
        <v>698</v>
      </c>
      <c r="C118" s="259">
        <f>Yardi!E116</f>
        <v>46266</v>
      </c>
      <c r="E118" t="str">
        <f>Yardi!G116</f>
        <v>September Recurring Entries</v>
      </c>
      <c r="F118" t="str">
        <f>Yardi!H116</f>
        <v>Balance Sheet Entries</v>
      </c>
      <c r="G118" t="e">
        <f t="shared" si="7"/>
        <v>#REF!</v>
      </c>
      <c r="H118" t="e">
        <f>Yardi!K116</f>
        <v>#REF!</v>
      </c>
      <c r="I118" t="str">
        <f>Yardi!I116</f>
        <v>'c6us087a</v>
      </c>
      <c r="L118" t="e">
        <f>Yardi!O116</f>
        <v>#REF!</v>
      </c>
      <c r="M118" s="410">
        <f>Yardi!J116</f>
        <v>0</v>
      </c>
    </row>
    <row r="119" spans="1:13" x14ac:dyDescent="0.35">
      <c r="A119" t="str">
        <f t="shared" si="6"/>
        <v>#</v>
      </c>
      <c r="B119" t="s">
        <v>698</v>
      </c>
      <c r="C119" s="259">
        <f>Yardi!E117</f>
        <v>46266</v>
      </c>
      <c r="E119" t="str">
        <f>Yardi!G117</f>
        <v>September Recurring Entries</v>
      </c>
      <c r="F119" t="str">
        <f>Yardi!H117</f>
        <v>Balance Sheet Entries</v>
      </c>
      <c r="G119" t="e">
        <f t="shared" si="7"/>
        <v>#REF!</v>
      </c>
      <c r="H119" t="str">
        <f>Yardi!K117</f>
        <v>1630-8910</v>
      </c>
      <c r="I119" t="str">
        <f>Yardi!I117</f>
        <v>'c6us087a</v>
      </c>
      <c r="L119" t="e">
        <f>Yardi!O117</f>
        <v>#REF!</v>
      </c>
      <c r="M119" s="410">
        <f>Yardi!J117</f>
        <v>0</v>
      </c>
    </row>
    <row r="120" spans="1:13" x14ac:dyDescent="0.35">
      <c r="A120" t="str">
        <f t="shared" si="6"/>
        <v>#</v>
      </c>
      <c r="B120" t="s">
        <v>698</v>
      </c>
      <c r="C120" s="259">
        <f>Yardi!E118</f>
        <v>46266</v>
      </c>
      <c r="E120" t="str">
        <f>Yardi!G118</f>
        <v>September Recurring Entries</v>
      </c>
      <c r="F120" t="str">
        <f>Yardi!H118</f>
        <v>Balance Sheet Entries</v>
      </c>
      <c r="G120" t="e">
        <f t="shared" si="7"/>
        <v>#REF!</v>
      </c>
      <c r="H120" t="e">
        <f>Yardi!K118</f>
        <v>#REF!</v>
      </c>
      <c r="I120" t="str">
        <f>Yardi!I118</f>
        <v>'c6us087a</v>
      </c>
      <c r="L120" t="e">
        <f>Yardi!O118</f>
        <v>#REF!</v>
      </c>
      <c r="M120" s="410">
        <f>Yardi!J118</f>
        <v>0</v>
      </c>
    </row>
    <row r="121" spans="1:13" x14ac:dyDescent="0.35">
      <c r="A121" t="str">
        <f t="shared" si="6"/>
        <v>#</v>
      </c>
      <c r="B121" t="s">
        <v>698</v>
      </c>
      <c r="C121" s="259">
        <f>Yardi!E119</f>
        <v>46266</v>
      </c>
      <c r="E121" t="str">
        <f>Yardi!G119</f>
        <v>September Recurring Entries</v>
      </c>
      <c r="F121" t="str">
        <f>Yardi!H119</f>
        <v>Balance Sheet Entries</v>
      </c>
      <c r="G121" t="e">
        <f t="shared" si="7"/>
        <v>#REF!</v>
      </c>
      <c r="H121" t="str">
        <f>Yardi!K119</f>
        <v>1630-8910</v>
      </c>
      <c r="I121" t="str">
        <f>Yardi!I119</f>
        <v>'c6us087a</v>
      </c>
      <c r="L121" t="e">
        <f>Yardi!O119</f>
        <v>#REF!</v>
      </c>
      <c r="M121" s="410">
        <f>Yardi!J119</f>
        <v>0</v>
      </c>
    </row>
    <row r="122" spans="1:13" x14ac:dyDescent="0.35">
      <c r="A122" t="str">
        <f t="shared" si="6"/>
        <v>#</v>
      </c>
      <c r="B122" t="s">
        <v>698</v>
      </c>
      <c r="C122" s="259">
        <f>Yardi!E120</f>
        <v>46266</v>
      </c>
      <c r="E122" t="str">
        <f>Yardi!G120</f>
        <v>September Recurring Entries</v>
      </c>
      <c r="F122" t="str">
        <f>Yardi!H120</f>
        <v>Balance Sheet Entries</v>
      </c>
      <c r="G122" t="e">
        <f t="shared" si="7"/>
        <v>#REF!</v>
      </c>
      <c r="H122" t="e">
        <f>Yardi!K120</f>
        <v>#REF!</v>
      </c>
      <c r="I122" t="str">
        <f>Yardi!I120</f>
        <v>'c6us087a</v>
      </c>
      <c r="L122" t="e">
        <f>Yardi!O120</f>
        <v>#REF!</v>
      </c>
      <c r="M122" s="410">
        <f>Yardi!J120</f>
        <v>0</v>
      </c>
    </row>
    <row r="123" spans="1:13" x14ac:dyDescent="0.35">
      <c r="A123" t="str">
        <f t="shared" si="6"/>
        <v>#</v>
      </c>
      <c r="B123" t="s">
        <v>698</v>
      </c>
      <c r="C123" s="259">
        <f>Yardi!E121</f>
        <v>46266</v>
      </c>
      <c r="E123" t="str">
        <f>Yardi!G121</f>
        <v>September Recurring Entries</v>
      </c>
      <c r="F123" t="str">
        <f>Yardi!H121</f>
        <v>Balance Sheet Entries</v>
      </c>
      <c r="G123" t="e">
        <f t="shared" si="7"/>
        <v>#REF!</v>
      </c>
      <c r="H123" t="str">
        <f>Yardi!K121</f>
        <v>1630-8910</v>
      </c>
      <c r="I123" t="str">
        <f>Yardi!I121</f>
        <v>'c6us087a</v>
      </c>
      <c r="L123" t="e">
        <f>Yardi!O121</f>
        <v>#REF!</v>
      </c>
      <c r="M123" s="410">
        <f>Yardi!J121</f>
        <v>0</v>
      </c>
    </row>
    <row r="124" spans="1:13" x14ac:dyDescent="0.35">
      <c r="A124" t="str">
        <f t="shared" si="6"/>
        <v>#</v>
      </c>
      <c r="B124" t="s">
        <v>698</v>
      </c>
      <c r="C124" s="259">
        <f>Yardi!E122</f>
        <v>46266</v>
      </c>
      <c r="E124" t="str">
        <f>Yardi!G122</f>
        <v>September Recurring Entries</v>
      </c>
      <c r="F124" t="str">
        <f>Yardi!H122</f>
        <v>Balance Sheet Entries</v>
      </c>
      <c r="G124" t="e">
        <f t="shared" si="7"/>
        <v>#REF!</v>
      </c>
      <c r="H124" t="e">
        <f>Yardi!K122</f>
        <v>#REF!</v>
      </c>
      <c r="I124" t="str">
        <f>Yardi!I122</f>
        <v>'c6us087a</v>
      </c>
      <c r="L124" t="e">
        <f>Yardi!O122</f>
        <v>#REF!</v>
      </c>
      <c r="M124" s="410">
        <f>Yardi!J122</f>
        <v>0</v>
      </c>
    </row>
    <row r="125" spans="1:13" x14ac:dyDescent="0.35">
      <c r="A125" t="str">
        <f t="shared" si="6"/>
        <v>#</v>
      </c>
      <c r="B125" t="s">
        <v>698</v>
      </c>
      <c r="C125" s="259">
        <f>Yardi!E123</f>
        <v>46266</v>
      </c>
      <c r="E125" t="str">
        <f>Yardi!G123</f>
        <v>September Recurring Entries</v>
      </c>
      <c r="F125" t="str">
        <f>Yardi!H123</f>
        <v>Balance Sheet Entries</v>
      </c>
      <c r="G125" t="e">
        <f t="shared" si="7"/>
        <v>#REF!</v>
      </c>
      <c r="H125" t="str">
        <f>Yardi!K123</f>
        <v>1630-8910</v>
      </c>
      <c r="I125" t="str">
        <f>Yardi!I123</f>
        <v>'c6us087a</v>
      </c>
      <c r="L125" t="e">
        <f>Yardi!O123</f>
        <v>#REF!</v>
      </c>
      <c r="M125" s="410">
        <f>Yardi!J123</f>
        <v>0</v>
      </c>
    </row>
    <row r="126" spans="1:13" x14ac:dyDescent="0.35">
      <c r="A126" t="str">
        <f t="shared" si="6"/>
        <v>#</v>
      </c>
      <c r="B126" t="s">
        <v>698</v>
      </c>
      <c r="C126" s="259">
        <f>Yardi!E124</f>
        <v>46266</v>
      </c>
      <c r="E126" t="str">
        <f>Yardi!G124</f>
        <v>September Recurring Entries</v>
      </c>
      <c r="F126" t="str">
        <f>Yardi!H124</f>
        <v>Balance Sheet Entries</v>
      </c>
      <c r="G126" t="e">
        <f t="shared" si="7"/>
        <v>#REF!</v>
      </c>
      <c r="H126" t="e">
        <f>Yardi!K124</f>
        <v>#REF!</v>
      </c>
      <c r="I126" t="str">
        <f>Yardi!I124</f>
        <v>'c6us087a</v>
      </c>
      <c r="L126" t="e">
        <f>Yardi!O124</f>
        <v>#REF!</v>
      </c>
      <c r="M126" s="410">
        <f>Yardi!J124</f>
        <v>0</v>
      </c>
    </row>
    <row r="127" spans="1:13" x14ac:dyDescent="0.35">
      <c r="A127" t="str">
        <f t="shared" si="6"/>
        <v>#</v>
      </c>
      <c r="B127" t="s">
        <v>698</v>
      </c>
      <c r="C127" s="259">
        <f>Yardi!E125</f>
        <v>46266</v>
      </c>
      <c r="E127" t="str">
        <f>Yardi!G125</f>
        <v>September Recurring Entries</v>
      </c>
      <c r="F127" t="str">
        <f>Yardi!H125</f>
        <v>Balance Sheet Entries</v>
      </c>
      <c r="G127" t="e">
        <f t="shared" si="7"/>
        <v>#REF!</v>
      </c>
      <c r="H127" t="str">
        <f>Yardi!K125</f>
        <v>1630-8910</v>
      </c>
      <c r="I127" t="str">
        <f>Yardi!I125</f>
        <v>'c6us087a</v>
      </c>
      <c r="L127" t="e">
        <f>Yardi!O125</f>
        <v>#REF!</v>
      </c>
      <c r="M127" s="410">
        <f>Yardi!J125</f>
        <v>0</v>
      </c>
    </row>
    <row r="128" spans="1:13" x14ac:dyDescent="0.35">
      <c r="A128" t="str">
        <f t="shared" si="6"/>
        <v>#</v>
      </c>
      <c r="B128" t="s">
        <v>698</v>
      </c>
      <c r="C128" s="259">
        <f>Yardi!E126</f>
        <v>46266</v>
      </c>
      <c r="E128" t="str">
        <f>Yardi!G126</f>
        <v>September Recurring Entries</v>
      </c>
      <c r="F128" t="str">
        <f>Yardi!H126</f>
        <v>Balance Sheet Entries</v>
      </c>
      <c r="G128" t="e">
        <f t="shared" si="7"/>
        <v>#REF!</v>
      </c>
      <c r="H128" t="e">
        <f>Yardi!K126</f>
        <v>#REF!</v>
      </c>
      <c r="I128" t="str">
        <f>Yardi!I126</f>
        <v>'c6us087a</v>
      </c>
      <c r="L128" t="e">
        <f>Yardi!O126</f>
        <v>#REF!</v>
      </c>
      <c r="M128" s="410">
        <f>Yardi!J126</f>
        <v>0</v>
      </c>
    </row>
    <row r="129" spans="1:13" x14ac:dyDescent="0.35">
      <c r="A129" t="str">
        <f t="shared" si="6"/>
        <v>#</v>
      </c>
      <c r="B129" t="s">
        <v>698</v>
      </c>
      <c r="C129" s="259">
        <f>Yardi!E127</f>
        <v>46266</v>
      </c>
      <c r="E129" t="str">
        <f>Yardi!G127</f>
        <v>September Recurring Entries</v>
      </c>
      <c r="F129" t="str">
        <f>Yardi!H127</f>
        <v>Balance Sheet Entries</v>
      </c>
      <c r="G129" t="e">
        <f t="shared" si="7"/>
        <v>#REF!</v>
      </c>
      <c r="H129" t="str">
        <f>Yardi!K127</f>
        <v>1630-8910</v>
      </c>
      <c r="I129" t="str">
        <f>Yardi!I127</f>
        <v>'c6us087a</v>
      </c>
      <c r="L129" t="e">
        <f>Yardi!O127</f>
        <v>#REF!</v>
      </c>
      <c r="M129" s="410">
        <f>Yardi!J127</f>
        <v>0</v>
      </c>
    </row>
    <row r="130" spans="1:13" x14ac:dyDescent="0.35">
      <c r="A130" t="str">
        <f t="shared" si="6"/>
        <v>#</v>
      </c>
      <c r="B130" t="s">
        <v>698</v>
      </c>
      <c r="C130" s="259">
        <f>Yardi!E128</f>
        <v>46266</v>
      </c>
      <c r="E130" t="str">
        <f>Yardi!G128</f>
        <v>September Recurring Entries</v>
      </c>
      <c r="F130" t="str">
        <f>Yardi!H128</f>
        <v>Balance Sheet Entries</v>
      </c>
      <c r="G130" t="e">
        <f t="shared" si="7"/>
        <v>#REF!</v>
      </c>
      <c r="H130" t="e">
        <f>Yardi!K128</f>
        <v>#REF!</v>
      </c>
      <c r="I130" t="str">
        <f>Yardi!I128</f>
        <v>'c6us087a</v>
      </c>
      <c r="L130" t="e">
        <f>Yardi!O128</f>
        <v>#REF!</v>
      </c>
      <c r="M130" s="410">
        <f>Yardi!J128</f>
        <v>0</v>
      </c>
    </row>
    <row r="131" spans="1:13" x14ac:dyDescent="0.35">
      <c r="A131" t="str">
        <f t="shared" si="6"/>
        <v>#</v>
      </c>
      <c r="B131" t="s">
        <v>698</v>
      </c>
      <c r="C131" s="259">
        <f>Yardi!E129</f>
        <v>46266</v>
      </c>
      <c r="E131" t="str">
        <f>Yardi!G129</f>
        <v>September Recurring Entries</v>
      </c>
      <c r="F131" t="str">
        <f>Yardi!H129</f>
        <v>Balance Sheet Entries</v>
      </c>
      <c r="G131" t="e">
        <f t="shared" si="7"/>
        <v>#REF!</v>
      </c>
      <c r="H131" t="str">
        <f>Yardi!K129</f>
        <v>1630-8910</v>
      </c>
      <c r="I131" t="str">
        <f>Yardi!I129</f>
        <v>'c6us087a</v>
      </c>
      <c r="L131" t="e">
        <f>Yardi!O129</f>
        <v>#REF!</v>
      </c>
      <c r="M131" s="410">
        <f>Yardi!J129</f>
        <v>0</v>
      </c>
    </row>
    <row r="132" spans="1:13" x14ac:dyDescent="0.35">
      <c r="A132" t="str">
        <f t="shared" ref="A132:A167" si="8">IF(M132=0,"#","")</f>
        <v>#</v>
      </c>
      <c r="B132" t="s">
        <v>698</v>
      </c>
      <c r="C132" s="259">
        <f>Yardi!E130</f>
        <v>46266</v>
      </c>
      <c r="E132" t="str">
        <f>Yardi!G130</f>
        <v>September Recurring Entries</v>
      </c>
      <c r="F132" t="str">
        <f>Yardi!H130</f>
        <v>Balance Sheet Entries</v>
      </c>
      <c r="G132" t="e">
        <f t="shared" si="7"/>
        <v>#REF!</v>
      </c>
      <c r="H132" t="e">
        <f>Yardi!K130</f>
        <v>#REF!</v>
      </c>
      <c r="I132" t="str">
        <f>Yardi!I130</f>
        <v>'c6us087a</v>
      </c>
      <c r="L132" t="e">
        <f>Yardi!O130</f>
        <v>#REF!</v>
      </c>
      <c r="M132" s="410">
        <f>Yardi!J130</f>
        <v>0</v>
      </c>
    </row>
    <row r="133" spans="1:13" x14ac:dyDescent="0.35">
      <c r="A133" t="str">
        <f t="shared" si="8"/>
        <v>#</v>
      </c>
      <c r="B133" t="s">
        <v>698</v>
      </c>
      <c r="C133" s="259">
        <f>Yardi!E131</f>
        <v>46266</v>
      </c>
      <c r="E133" t="str">
        <f>Yardi!G131</f>
        <v>September Recurring Entries</v>
      </c>
      <c r="F133" t="str">
        <f>Yardi!H131</f>
        <v>Balance Sheet Entries</v>
      </c>
      <c r="G133" t="e">
        <f t="shared" ref="G133:G167" si="9">IF(A133="#",G132,G132+1)</f>
        <v>#REF!</v>
      </c>
      <c r="H133" t="str">
        <f>Yardi!K131</f>
        <v>1630-8910</v>
      </c>
      <c r="I133" t="str">
        <f>Yardi!I131</f>
        <v>'c6us087a</v>
      </c>
      <c r="L133" t="e">
        <f>Yardi!O131</f>
        <v>#REF!</v>
      </c>
      <c r="M133" s="410">
        <f>Yardi!J131</f>
        <v>0</v>
      </c>
    </row>
    <row r="134" spans="1:13" x14ac:dyDescent="0.35">
      <c r="A134" t="str">
        <f t="shared" si="8"/>
        <v>#</v>
      </c>
      <c r="B134" t="s">
        <v>698</v>
      </c>
      <c r="C134" s="259">
        <f>Yardi!E132</f>
        <v>46266</v>
      </c>
      <c r="E134" t="str">
        <f>Yardi!G132</f>
        <v>September Recurring Entries</v>
      </c>
      <c r="F134" t="str">
        <f>Yardi!H132</f>
        <v>Balance Sheet Entries</v>
      </c>
      <c r="G134" t="e">
        <f t="shared" si="9"/>
        <v>#REF!</v>
      </c>
      <c r="H134" t="e">
        <f>Yardi!K132</f>
        <v>#REF!</v>
      </c>
      <c r="I134" t="str">
        <f>Yardi!I132</f>
        <v>'c6us087a</v>
      </c>
      <c r="L134" t="e">
        <f>Yardi!O132</f>
        <v>#REF!</v>
      </c>
      <c r="M134" s="410">
        <f>Yardi!J132</f>
        <v>0</v>
      </c>
    </row>
    <row r="135" spans="1:13" x14ac:dyDescent="0.35">
      <c r="A135" t="str">
        <f t="shared" si="8"/>
        <v>#</v>
      </c>
      <c r="B135" t="s">
        <v>698</v>
      </c>
      <c r="C135" s="259">
        <f>Yardi!E133</f>
        <v>46266</v>
      </c>
      <c r="E135" t="str">
        <f>Yardi!G133</f>
        <v>September Recurring Entries</v>
      </c>
      <c r="F135" t="str">
        <f>Yardi!H133</f>
        <v>Balance Sheet Entries</v>
      </c>
      <c r="G135" t="e">
        <f t="shared" si="9"/>
        <v>#REF!</v>
      </c>
      <c r="H135" t="str">
        <f>Yardi!K133</f>
        <v>1630-8910</v>
      </c>
      <c r="I135" t="str">
        <f>Yardi!I133</f>
        <v>'c6us087a</v>
      </c>
      <c r="L135" t="e">
        <f>Yardi!O133</f>
        <v>#REF!</v>
      </c>
      <c r="M135" s="410">
        <f>Yardi!J133</f>
        <v>0</v>
      </c>
    </row>
    <row r="136" spans="1:13" x14ac:dyDescent="0.35">
      <c r="A136" t="str">
        <f t="shared" si="8"/>
        <v>#</v>
      </c>
      <c r="B136" t="s">
        <v>698</v>
      </c>
      <c r="C136" s="259">
        <f>Yardi!E134</f>
        <v>46266</v>
      </c>
      <c r="E136" t="str">
        <f>Yardi!G134</f>
        <v>September Recurring Entries</v>
      </c>
      <c r="F136" t="str">
        <f>Yardi!H134</f>
        <v>Balance Sheet Entries</v>
      </c>
      <c r="G136" t="e">
        <f t="shared" si="9"/>
        <v>#REF!</v>
      </c>
      <c r="H136" t="e">
        <f>Yardi!K134</f>
        <v>#REF!</v>
      </c>
      <c r="I136" t="str">
        <f>Yardi!I134</f>
        <v>'c6us087a</v>
      </c>
      <c r="L136" t="e">
        <f>Yardi!O134</f>
        <v>#REF!</v>
      </c>
      <c r="M136" s="410">
        <f>Yardi!J134</f>
        <v>0</v>
      </c>
    </row>
    <row r="137" spans="1:13" x14ac:dyDescent="0.35">
      <c r="A137" t="str">
        <f t="shared" si="8"/>
        <v>#</v>
      </c>
      <c r="B137" t="s">
        <v>698</v>
      </c>
      <c r="C137" s="259">
        <f>Yardi!E135</f>
        <v>46266</v>
      </c>
      <c r="E137" t="str">
        <f>Yardi!G135</f>
        <v>September Recurring Entries</v>
      </c>
      <c r="F137" t="str">
        <f>Yardi!H135</f>
        <v>Balance Sheet Entries</v>
      </c>
      <c r="G137" t="e">
        <f t="shared" si="9"/>
        <v>#REF!</v>
      </c>
      <c r="H137" t="str">
        <f>Yardi!K135</f>
        <v>1630-8910</v>
      </c>
      <c r="I137" t="str">
        <f>Yardi!I135</f>
        <v>'c6us087a</v>
      </c>
      <c r="L137" t="e">
        <f>Yardi!O135</f>
        <v>#REF!</v>
      </c>
      <c r="M137" s="410">
        <f>Yardi!J135</f>
        <v>0</v>
      </c>
    </row>
    <row r="138" spans="1:13" x14ac:dyDescent="0.35">
      <c r="A138" t="str">
        <f t="shared" si="8"/>
        <v>#</v>
      </c>
      <c r="B138" t="s">
        <v>698</v>
      </c>
      <c r="C138" s="259">
        <f>Yardi!E136</f>
        <v>46266</v>
      </c>
      <c r="E138" t="str">
        <f>Yardi!G136</f>
        <v>September Recurring Entries</v>
      </c>
      <c r="F138" t="str">
        <f>Yardi!H136</f>
        <v>Balance Sheet Entries</v>
      </c>
      <c r="G138" t="e">
        <f t="shared" si="9"/>
        <v>#REF!</v>
      </c>
      <c r="H138" t="e">
        <f>Yardi!K136</f>
        <v>#REF!</v>
      </c>
      <c r="I138" t="str">
        <f>Yardi!I136</f>
        <v>'c6us087a</v>
      </c>
      <c r="L138" t="e">
        <f>Yardi!O136</f>
        <v>#REF!</v>
      </c>
      <c r="M138" s="410">
        <f>Yardi!J136</f>
        <v>0</v>
      </c>
    </row>
    <row r="139" spans="1:13" x14ac:dyDescent="0.35">
      <c r="A139" t="str">
        <f t="shared" si="8"/>
        <v>#</v>
      </c>
      <c r="B139" t="s">
        <v>698</v>
      </c>
      <c r="C139" s="259">
        <f>Yardi!E137</f>
        <v>46266</v>
      </c>
      <c r="E139" t="str">
        <f>Yardi!G137</f>
        <v>September Recurring Entries</v>
      </c>
      <c r="F139" t="str">
        <f>Yardi!H137</f>
        <v>Balance Sheet Entries</v>
      </c>
      <c r="G139" t="e">
        <f t="shared" si="9"/>
        <v>#REF!</v>
      </c>
      <c r="H139" t="str">
        <f>Yardi!K137</f>
        <v>1630-8910</v>
      </c>
      <c r="I139" t="str">
        <f>Yardi!I137</f>
        <v>'c6us087a</v>
      </c>
      <c r="L139" t="e">
        <f>Yardi!O137</f>
        <v>#REF!</v>
      </c>
      <c r="M139" s="410">
        <f>Yardi!J137</f>
        <v>0</v>
      </c>
    </row>
    <row r="140" spans="1:13" x14ac:dyDescent="0.35">
      <c r="A140" t="str">
        <f t="shared" si="8"/>
        <v>#</v>
      </c>
      <c r="B140" t="s">
        <v>698</v>
      </c>
      <c r="C140" s="259">
        <f>Yardi!E138</f>
        <v>46266</v>
      </c>
      <c r="E140" t="str">
        <f>Yardi!G138</f>
        <v>September Recurring Entries</v>
      </c>
      <c r="F140" t="str">
        <f>Yardi!H138</f>
        <v>Balance Sheet Entries</v>
      </c>
      <c r="G140" t="e">
        <f t="shared" si="9"/>
        <v>#REF!</v>
      </c>
      <c r="H140" t="e">
        <f>Yardi!K138</f>
        <v>#REF!</v>
      </c>
      <c r="I140" t="str">
        <f>Yardi!I138</f>
        <v>'c6us087a</v>
      </c>
      <c r="L140" t="e">
        <f>Yardi!O138</f>
        <v>#REF!</v>
      </c>
      <c r="M140" s="410">
        <f>Yardi!J138</f>
        <v>0</v>
      </c>
    </row>
    <row r="141" spans="1:13" x14ac:dyDescent="0.35">
      <c r="A141" t="str">
        <f t="shared" si="8"/>
        <v>#</v>
      </c>
      <c r="B141" t="s">
        <v>698</v>
      </c>
      <c r="C141" s="259">
        <f>Yardi!E139</f>
        <v>46266</v>
      </c>
      <c r="E141" t="str">
        <f>Yardi!G139</f>
        <v>September Recurring Entries</v>
      </c>
      <c r="F141" t="str">
        <f>Yardi!H139</f>
        <v>Balance Sheet Entries</v>
      </c>
      <c r="G141" t="e">
        <f t="shared" si="9"/>
        <v>#REF!</v>
      </c>
      <c r="H141" t="str">
        <f>Yardi!K139</f>
        <v>1630-8910</v>
      </c>
      <c r="I141" t="str">
        <f>Yardi!I139</f>
        <v>'c6us087a</v>
      </c>
      <c r="L141" t="e">
        <f>Yardi!O139</f>
        <v>#REF!</v>
      </c>
      <c r="M141" s="410">
        <f>Yardi!J139</f>
        <v>0</v>
      </c>
    </row>
    <row r="142" spans="1:13" x14ac:dyDescent="0.35">
      <c r="A142" t="str">
        <f t="shared" si="8"/>
        <v>#</v>
      </c>
      <c r="B142" t="s">
        <v>698</v>
      </c>
      <c r="C142" s="259">
        <f>Yardi!E140</f>
        <v>46266</v>
      </c>
      <c r="E142" t="str">
        <f>Yardi!G140</f>
        <v>September Recurring Entries</v>
      </c>
      <c r="F142" t="str">
        <f>Yardi!H140</f>
        <v>Balance Sheet Entries</v>
      </c>
      <c r="G142" t="e">
        <f t="shared" si="9"/>
        <v>#REF!</v>
      </c>
      <c r="H142" t="e">
        <f>Yardi!K140</f>
        <v>#REF!</v>
      </c>
      <c r="I142" t="str">
        <f>Yardi!I140</f>
        <v>'c6us087a</v>
      </c>
      <c r="L142" t="e">
        <f>Yardi!O140</f>
        <v>#REF!</v>
      </c>
      <c r="M142" s="410">
        <f>Yardi!J140</f>
        <v>0</v>
      </c>
    </row>
    <row r="143" spans="1:13" x14ac:dyDescent="0.35">
      <c r="A143" t="str">
        <f t="shared" si="8"/>
        <v>#</v>
      </c>
      <c r="B143" t="s">
        <v>698</v>
      </c>
      <c r="C143" s="259">
        <f>Yardi!E141</f>
        <v>46266</v>
      </c>
      <c r="E143" t="str">
        <f>Yardi!G141</f>
        <v>September Recurring Entries</v>
      </c>
      <c r="F143" t="str">
        <f>Yardi!H141</f>
        <v>Balance Sheet Entries</v>
      </c>
      <c r="G143" t="e">
        <f t="shared" si="9"/>
        <v>#REF!</v>
      </c>
      <c r="H143" t="str">
        <f>Yardi!K141</f>
        <v>1630-8910</v>
      </c>
      <c r="I143" t="str">
        <f>Yardi!I141</f>
        <v>'c6us087a</v>
      </c>
      <c r="L143" t="e">
        <f>Yardi!O141</f>
        <v>#REF!</v>
      </c>
      <c r="M143" s="410">
        <f>Yardi!J141</f>
        <v>0</v>
      </c>
    </row>
    <row r="144" spans="1:13" x14ac:dyDescent="0.35">
      <c r="A144" t="str">
        <f t="shared" si="8"/>
        <v>#</v>
      </c>
      <c r="B144" t="s">
        <v>698</v>
      </c>
      <c r="C144" s="259">
        <f>Yardi!E142</f>
        <v>46266</v>
      </c>
      <c r="E144" t="str">
        <f>Yardi!G142</f>
        <v>September Recurring Entries</v>
      </c>
      <c r="F144" t="str">
        <f>Yardi!H142</f>
        <v>Balance Sheet Entries</v>
      </c>
      <c r="G144" t="e">
        <f t="shared" si="9"/>
        <v>#REF!</v>
      </c>
      <c r="H144" t="e">
        <f>Yardi!K142</f>
        <v>#REF!</v>
      </c>
      <c r="I144" t="str">
        <f>Yardi!I142</f>
        <v>'c6us087a</v>
      </c>
      <c r="L144" t="e">
        <f>Yardi!O142</f>
        <v>#REF!</v>
      </c>
      <c r="M144" s="410">
        <f>Yardi!J142</f>
        <v>0</v>
      </c>
    </row>
    <row r="145" spans="1:13" x14ac:dyDescent="0.35">
      <c r="A145" t="str">
        <f t="shared" si="8"/>
        <v>#</v>
      </c>
      <c r="B145" t="s">
        <v>698</v>
      </c>
      <c r="C145" s="259">
        <f>Yardi!E143</f>
        <v>46266</v>
      </c>
      <c r="E145" t="str">
        <f>Yardi!G143</f>
        <v>September Recurring Entries</v>
      </c>
      <c r="F145" t="str">
        <f>Yardi!H143</f>
        <v>Balance Sheet Entries</v>
      </c>
      <c r="G145" t="e">
        <f t="shared" si="9"/>
        <v>#REF!</v>
      </c>
      <c r="H145" t="str">
        <f>Yardi!K143</f>
        <v>1630-8910</v>
      </c>
      <c r="I145" t="str">
        <f>Yardi!I143</f>
        <v>'c6us087a</v>
      </c>
      <c r="L145" t="e">
        <f>Yardi!O143</f>
        <v>#REF!</v>
      </c>
      <c r="M145" s="410">
        <f>Yardi!J143</f>
        <v>0</v>
      </c>
    </row>
    <row r="146" spans="1:13" x14ac:dyDescent="0.35">
      <c r="A146" t="str">
        <f t="shared" si="8"/>
        <v>#</v>
      </c>
      <c r="B146" t="s">
        <v>698</v>
      </c>
      <c r="C146" s="259">
        <f>Yardi!E144</f>
        <v>46266</v>
      </c>
      <c r="E146" t="str">
        <f>Yardi!G144</f>
        <v>September Recurring Entries</v>
      </c>
      <c r="F146" t="str">
        <f>Yardi!H144</f>
        <v>Balance Sheet Entries</v>
      </c>
      <c r="G146" t="e">
        <f t="shared" si="9"/>
        <v>#REF!</v>
      </c>
      <c r="H146" t="e">
        <f>Yardi!K144</f>
        <v>#REF!</v>
      </c>
      <c r="I146" t="str">
        <f>Yardi!I144</f>
        <v>'c6us087a</v>
      </c>
      <c r="L146" t="e">
        <f>Yardi!O144</f>
        <v>#REF!</v>
      </c>
      <c r="M146" s="410">
        <f>Yardi!J144</f>
        <v>0</v>
      </c>
    </row>
    <row r="147" spans="1:13" x14ac:dyDescent="0.35">
      <c r="A147" t="str">
        <f t="shared" si="8"/>
        <v>#</v>
      </c>
      <c r="B147" t="s">
        <v>698</v>
      </c>
      <c r="C147" s="259">
        <f>Yardi!E145</f>
        <v>46266</v>
      </c>
      <c r="E147" t="str">
        <f>Yardi!G145</f>
        <v>September Recurring Entries</v>
      </c>
      <c r="F147" t="str">
        <f>Yardi!H145</f>
        <v>Balance Sheet Entries</v>
      </c>
      <c r="G147" t="e">
        <f t="shared" si="9"/>
        <v>#REF!</v>
      </c>
      <c r="H147" t="str">
        <f>Yardi!K145</f>
        <v>1630-8910</v>
      </c>
      <c r="I147" t="str">
        <f>Yardi!I145</f>
        <v>'c6us087a</v>
      </c>
      <c r="L147" t="e">
        <f>Yardi!O145</f>
        <v>#REF!</v>
      </c>
      <c r="M147" s="410">
        <f>Yardi!J145</f>
        <v>0</v>
      </c>
    </row>
    <row r="148" spans="1:13" x14ac:dyDescent="0.35">
      <c r="A148" t="str">
        <f t="shared" si="8"/>
        <v>#</v>
      </c>
      <c r="B148" t="s">
        <v>698</v>
      </c>
      <c r="C148" s="259">
        <f>Yardi!E146</f>
        <v>46266</v>
      </c>
      <c r="E148" t="str">
        <f>Yardi!G146</f>
        <v>September Recurring Entries</v>
      </c>
      <c r="F148" t="str">
        <f>Yardi!H146</f>
        <v>Balance Sheet Entries</v>
      </c>
      <c r="G148" t="e">
        <f t="shared" si="9"/>
        <v>#REF!</v>
      </c>
      <c r="H148" t="e">
        <f>Yardi!K146</f>
        <v>#REF!</v>
      </c>
      <c r="I148" t="str">
        <f>Yardi!I146</f>
        <v>'c6us087a</v>
      </c>
      <c r="L148" t="e">
        <f>Yardi!O146</f>
        <v>#REF!</v>
      </c>
      <c r="M148" s="410">
        <f>Yardi!J146</f>
        <v>0</v>
      </c>
    </row>
    <row r="149" spans="1:13" x14ac:dyDescent="0.35">
      <c r="A149" t="str">
        <f t="shared" si="8"/>
        <v>#</v>
      </c>
      <c r="B149" t="s">
        <v>698</v>
      </c>
      <c r="C149" s="259">
        <f>Yardi!E147</f>
        <v>46266</v>
      </c>
      <c r="E149" t="str">
        <f>Yardi!G147</f>
        <v>September Recurring Entries</v>
      </c>
      <c r="F149" t="str">
        <f>Yardi!H147</f>
        <v>Balance Sheet Entries</v>
      </c>
      <c r="G149" t="e">
        <f t="shared" si="9"/>
        <v>#REF!</v>
      </c>
      <c r="H149" t="str">
        <f>Yardi!K147</f>
        <v>1630-8910</v>
      </c>
      <c r="I149" t="str">
        <f>Yardi!I147</f>
        <v>'c6us087a</v>
      </c>
      <c r="L149" t="e">
        <f>Yardi!O147</f>
        <v>#REF!</v>
      </c>
      <c r="M149" s="410">
        <f>Yardi!J147</f>
        <v>0</v>
      </c>
    </row>
    <row r="150" spans="1:13" x14ac:dyDescent="0.35">
      <c r="A150" t="str">
        <f t="shared" si="8"/>
        <v>#</v>
      </c>
      <c r="B150" t="s">
        <v>698</v>
      </c>
      <c r="C150" s="259">
        <f>Yardi!E148</f>
        <v>46266</v>
      </c>
      <c r="E150" t="str">
        <f>Yardi!G148</f>
        <v>September Recurring Entries</v>
      </c>
      <c r="F150" t="str">
        <f>Yardi!H148</f>
        <v>Balance Sheet Entries</v>
      </c>
      <c r="G150" t="e">
        <f t="shared" si="9"/>
        <v>#REF!</v>
      </c>
      <c r="H150" t="e">
        <f>Yardi!K148</f>
        <v>#REF!</v>
      </c>
      <c r="I150" t="str">
        <f>Yardi!I148</f>
        <v>'c6us087a</v>
      </c>
      <c r="L150" t="e">
        <f>Yardi!O148</f>
        <v>#REF!</v>
      </c>
      <c r="M150" s="410">
        <f>Yardi!J148</f>
        <v>0</v>
      </c>
    </row>
    <row r="151" spans="1:13" x14ac:dyDescent="0.35">
      <c r="A151" t="str">
        <f t="shared" si="8"/>
        <v>#</v>
      </c>
      <c r="B151" t="s">
        <v>698</v>
      </c>
      <c r="C151" s="259">
        <f>Yardi!E149</f>
        <v>46266</v>
      </c>
      <c r="E151" t="str">
        <f>Yardi!G149</f>
        <v>September Recurring Entries</v>
      </c>
      <c r="F151" t="str">
        <f>Yardi!H149</f>
        <v>Balance Sheet Entries</v>
      </c>
      <c r="G151" t="e">
        <f t="shared" si="9"/>
        <v>#REF!</v>
      </c>
      <c r="H151" t="str">
        <f>Yardi!K149</f>
        <v>1630-8910</v>
      </c>
      <c r="I151" t="str">
        <f>Yardi!I149</f>
        <v>'c6us087a</v>
      </c>
      <c r="L151" t="e">
        <f>Yardi!O149</f>
        <v>#REF!</v>
      </c>
      <c r="M151" s="410">
        <f>Yardi!J149</f>
        <v>0</v>
      </c>
    </row>
    <row r="152" spans="1:13" x14ac:dyDescent="0.35">
      <c r="A152" t="str">
        <f t="shared" si="8"/>
        <v>#</v>
      </c>
      <c r="B152" t="s">
        <v>698</v>
      </c>
      <c r="C152" s="259">
        <f>Yardi!E150</f>
        <v>46266</v>
      </c>
      <c r="E152" t="str">
        <f>Yardi!G150</f>
        <v>September Recurring Entries</v>
      </c>
      <c r="F152" t="str">
        <f>Yardi!H150</f>
        <v>Balance Sheet Entries</v>
      </c>
      <c r="G152" t="e">
        <f t="shared" si="9"/>
        <v>#REF!</v>
      </c>
      <c r="H152" t="e">
        <f>Yardi!K150</f>
        <v>#REF!</v>
      </c>
      <c r="I152" t="str">
        <f>Yardi!I150</f>
        <v>'c6us087a</v>
      </c>
      <c r="L152" t="e">
        <f>Yardi!O150</f>
        <v>#REF!</v>
      </c>
      <c r="M152" s="410">
        <f>Yardi!J150</f>
        <v>0</v>
      </c>
    </row>
    <row r="153" spans="1:13" x14ac:dyDescent="0.35">
      <c r="A153" t="str">
        <f t="shared" si="8"/>
        <v>#</v>
      </c>
      <c r="B153" t="s">
        <v>698</v>
      </c>
      <c r="C153" s="259">
        <f>Yardi!E151</f>
        <v>46266</v>
      </c>
      <c r="E153" t="str">
        <f>Yardi!G151</f>
        <v>September Recurring Entries</v>
      </c>
      <c r="F153" t="str">
        <f>Yardi!H151</f>
        <v>Balance Sheet Entries</v>
      </c>
      <c r="G153" t="e">
        <f t="shared" si="9"/>
        <v>#REF!</v>
      </c>
      <c r="H153" t="str">
        <f>Yardi!K151</f>
        <v>1630-8910</v>
      </c>
      <c r="I153" t="str">
        <f>Yardi!I151</f>
        <v>'c6us087a</v>
      </c>
      <c r="L153" t="e">
        <f>Yardi!O151</f>
        <v>#REF!</v>
      </c>
      <c r="M153" s="410">
        <f>Yardi!J151</f>
        <v>0</v>
      </c>
    </row>
    <row r="154" spans="1:13" x14ac:dyDescent="0.35">
      <c r="A154" t="str">
        <f t="shared" si="8"/>
        <v>#</v>
      </c>
      <c r="B154" t="s">
        <v>698</v>
      </c>
      <c r="C154" s="259">
        <f>Yardi!E152</f>
        <v>46266</v>
      </c>
      <c r="E154" t="str">
        <f>Yardi!G152</f>
        <v>September Recurring Entries</v>
      </c>
      <c r="F154" t="str">
        <f>Yardi!H152</f>
        <v>Balance Sheet Entries</v>
      </c>
      <c r="G154" t="e">
        <f t="shared" si="9"/>
        <v>#REF!</v>
      </c>
      <c r="H154" t="e">
        <f>Yardi!K152</f>
        <v>#REF!</v>
      </c>
      <c r="I154" t="str">
        <f>Yardi!I152</f>
        <v>'c6us087a</v>
      </c>
      <c r="L154" t="e">
        <f>Yardi!O152</f>
        <v>#REF!</v>
      </c>
      <c r="M154" s="410">
        <f>Yardi!J152</f>
        <v>0</v>
      </c>
    </row>
    <row r="155" spans="1:13" x14ac:dyDescent="0.35">
      <c r="A155" t="str">
        <f t="shared" si="8"/>
        <v>#</v>
      </c>
      <c r="B155" t="s">
        <v>698</v>
      </c>
      <c r="C155" s="259">
        <f>Yardi!E153</f>
        <v>46266</v>
      </c>
      <c r="E155" t="str">
        <f>Yardi!G153</f>
        <v>September Recurring Entries</v>
      </c>
      <c r="F155" t="str">
        <f>Yardi!H153</f>
        <v>Balance Sheet Entries</v>
      </c>
      <c r="G155" t="e">
        <f t="shared" si="9"/>
        <v>#REF!</v>
      </c>
      <c r="H155" t="str">
        <f>Yardi!K153</f>
        <v>1630-8910</v>
      </c>
      <c r="I155" t="str">
        <f>Yardi!I153</f>
        <v>'c6us087a</v>
      </c>
      <c r="L155" t="e">
        <f>Yardi!O153</f>
        <v>#REF!</v>
      </c>
      <c r="M155" s="410">
        <f>Yardi!J153</f>
        <v>0</v>
      </c>
    </row>
    <row r="156" spans="1:13" x14ac:dyDescent="0.35">
      <c r="A156" t="str">
        <f t="shared" si="8"/>
        <v>#</v>
      </c>
      <c r="B156" t="s">
        <v>698</v>
      </c>
      <c r="C156" s="259">
        <f>Yardi!E154</f>
        <v>46266</v>
      </c>
      <c r="E156" t="str">
        <f>Yardi!G154</f>
        <v>September Recurring Entries</v>
      </c>
      <c r="F156" t="str">
        <f>Yardi!H154</f>
        <v>Balance Sheet Entries</v>
      </c>
      <c r="G156" t="e">
        <f t="shared" si="9"/>
        <v>#REF!</v>
      </c>
      <c r="H156" t="e">
        <f>Yardi!K154</f>
        <v>#REF!</v>
      </c>
      <c r="I156" t="str">
        <f>Yardi!I154</f>
        <v>'c6us087a</v>
      </c>
      <c r="L156" t="e">
        <f>Yardi!O154</f>
        <v>#REF!</v>
      </c>
      <c r="M156" s="410">
        <f>Yardi!J154</f>
        <v>0</v>
      </c>
    </row>
    <row r="157" spans="1:13" x14ac:dyDescent="0.35">
      <c r="A157" t="str">
        <f t="shared" si="8"/>
        <v>#</v>
      </c>
      <c r="B157" t="s">
        <v>698</v>
      </c>
      <c r="C157" s="259">
        <f>Yardi!E155</f>
        <v>46266</v>
      </c>
      <c r="E157" t="str">
        <f>Yardi!G155</f>
        <v>September Recurring Entries</v>
      </c>
      <c r="F157" t="str">
        <f>Yardi!H155</f>
        <v>Balance Sheet Entries</v>
      </c>
      <c r="G157" t="e">
        <f t="shared" si="9"/>
        <v>#REF!</v>
      </c>
      <c r="H157" t="str">
        <f>Yardi!K155</f>
        <v>1630-8910</v>
      </c>
      <c r="I157" t="str">
        <f>Yardi!I155</f>
        <v>'c6us087a</v>
      </c>
      <c r="L157" t="e">
        <f>Yardi!O155</f>
        <v>#REF!</v>
      </c>
      <c r="M157" s="410">
        <f>Yardi!J155</f>
        <v>0</v>
      </c>
    </row>
    <row r="158" spans="1:13" x14ac:dyDescent="0.35">
      <c r="A158" t="str">
        <f t="shared" si="8"/>
        <v>#</v>
      </c>
      <c r="B158" t="s">
        <v>698</v>
      </c>
      <c r="C158" s="259">
        <f>Yardi!E156</f>
        <v>46266</v>
      </c>
      <c r="E158" t="str">
        <f>Yardi!G156</f>
        <v>September Recurring Entries</v>
      </c>
      <c r="F158" t="str">
        <f>Yardi!H156</f>
        <v>Balance Sheet Entries</v>
      </c>
      <c r="G158" t="e">
        <f t="shared" si="9"/>
        <v>#REF!</v>
      </c>
      <c r="H158">
        <f>Yardi!K156</f>
        <v>0</v>
      </c>
      <c r="I158" t="str">
        <f>Yardi!I156</f>
        <v>'c6us087a</v>
      </c>
      <c r="L158" t="str">
        <f>Yardi!O156</f>
        <v>09/2026 Prepaid Amortization</v>
      </c>
      <c r="M158" s="410">
        <f>Yardi!J156</f>
        <v>0</v>
      </c>
    </row>
    <row r="159" spans="1:13" x14ac:dyDescent="0.35">
      <c r="A159" t="str">
        <f t="shared" si="8"/>
        <v>#</v>
      </c>
      <c r="B159" t="s">
        <v>698</v>
      </c>
      <c r="C159" s="259">
        <f>Yardi!E157</f>
        <v>46266</v>
      </c>
      <c r="E159" t="str">
        <f>Yardi!G157</f>
        <v>September Recurring Entries</v>
      </c>
      <c r="F159" t="str">
        <f>Yardi!H157</f>
        <v>Balance Sheet Entries</v>
      </c>
      <c r="G159" t="e">
        <f t="shared" si="9"/>
        <v>#REF!</v>
      </c>
      <c r="H159" t="str">
        <f>Yardi!K157</f>
        <v>1630-8910</v>
      </c>
      <c r="I159" t="str">
        <f>Yardi!I157</f>
        <v>'c6us087a</v>
      </c>
      <c r="L159" t="str">
        <f>Yardi!O157</f>
        <v>09/2026 Prepaid Amortization</v>
      </c>
      <c r="M159" s="410">
        <f>Yardi!J157</f>
        <v>0</v>
      </c>
    </row>
    <row r="160" spans="1:13" x14ac:dyDescent="0.35">
      <c r="A160" t="str">
        <f t="shared" si="8"/>
        <v>#</v>
      </c>
      <c r="B160" t="s">
        <v>698</v>
      </c>
      <c r="C160" s="259">
        <f>Yardi!E158</f>
        <v>46266</v>
      </c>
      <c r="E160" t="str">
        <f>Yardi!G158</f>
        <v>September Recurring Entries</v>
      </c>
      <c r="F160" t="str">
        <f>Yardi!H158</f>
        <v>Balance Sheet Entries</v>
      </c>
      <c r="G160" t="e">
        <f t="shared" si="9"/>
        <v>#REF!</v>
      </c>
      <c r="H160">
        <f>Yardi!K158</f>
        <v>0</v>
      </c>
      <c r="I160" t="str">
        <f>Yardi!I158</f>
        <v>'c6us087a</v>
      </c>
      <c r="L160" t="str">
        <f>Yardi!O158</f>
        <v>09/2026 Prepaid Amortization</v>
      </c>
      <c r="M160" s="410">
        <f>Yardi!J158</f>
        <v>0</v>
      </c>
    </row>
    <row r="161" spans="1:13" x14ac:dyDescent="0.35">
      <c r="A161" t="str">
        <f t="shared" si="8"/>
        <v>#</v>
      </c>
      <c r="B161" t="s">
        <v>698</v>
      </c>
      <c r="C161" s="259">
        <f>Yardi!E159</f>
        <v>46266</v>
      </c>
      <c r="E161" t="str">
        <f>Yardi!G159</f>
        <v>September Recurring Entries</v>
      </c>
      <c r="F161" t="str">
        <f>Yardi!H159</f>
        <v>Balance Sheet Entries</v>
      </c>
      <c r="G161" t="e">
        <f t="shared" si="9"/>
        <v>#REF!</v>
      </c>
      <c r="H161" t="str">
        <f>Yardi!K159</f>
        <v>1630-8910</v>
      </c>
      <c r="I161" t="str">
        <f>Yardi!I159</f>
        <v>'c6us087a</v>
      </c>
      <c r="L161" t="str">
        <f>Yardi!O159</f>
        <v>09/2026 Prepaid Amortization</v>
      </c>
      <c r="M161" s="410">
        <f>Yardi!J159</f>
        <v>0</v>
      </c>
    </row>
    <row r="162" spans="1:13" x14ac:dyDescent="0.35">
      <c r="A162" t="str">
        <f t="shared" si="8"/>
        <v>#</v>
      </c>
      <c r="B162" t="s">
        <v>698</v>
      </c>
      <c r="C162" s="259">
        <f>Yardi!E160</f>
        <v>46266</v>
      </c>
      <c r="E162" t="str">
        <f>Yardi!G160</f>
        <v>September Recurring Entries</v>
      </c>
      <c r="F162" t="str">
        <f>Yardi!H160</f>
        <v>Balance Sheet Entries</v>
      </c>
      <c r="G162" t="e">
        <f t="shared" si="9"/>
        <v>#REF!</v>
      </c>
      <c r="H162">
        <f>Yardi!K160</f>
        <v>0</v>
      </c>
      <c r="I162" t="str">
        <f>Yardi!I160</f>
        <v>'c6us087a</v>
      </c>
      <c r="L162" t="str">
        <f>Yardi!O160</f>
        <v>09/2026 Prepaid Amortization</v>
      </c>
      <c r="M162" s="410">
        <f>Yardi!J160</f>
        <v>0</v>
      </c>
    </row>
    <row r="163" spans="1:13" x14ac:dyDescent="0.35">
      <c r="A163" t="str">
        <f t="shared" si="8"/>
        <v>#</v>
      </c>
      <c r="B163" t="s">
        <v>698</v>
      </c>
      <c r="C163" s="259">
        <f>Yardi!E161</f>
        <v>46266</v>
      </c>
      <c r="E163" t="str">
        <f>Yardi!G161</f>
        <v>September Recurring Entries</v>
      </c>
      <c r="F163" t="str">
        <f>Yardi!H161</f>
        <v>Balance Sheet Entries</v>
      </c>
      <c r="G163" t="e">
        <f t="shared" si="9"/>
        <v>#REF!</v>
      </c>
      <c r="H163" t="str">
        <f>Yardi!K161</f>
        <v>1630-8910</v>
      </c>
      <c r="I163" t="str">
        <f>Yardi!I161</f>
        <v>'c6us087a</v>
      </c>
      <c r="L163" t="str">
        <f>Yardi!O161</f>
        <v>09/2026 Prepaid Amortization</v>
      </c>
      <c r="M163" s="410">
        <f>Yardi!J161</f>
        <v>0</v>
      </c>
    </row>
    <row r="164" spans="1:13" x14ac:dyDescent="0.35">
      <c r="A164" t="str">
        <f t="shared" si="8"/>
        <v>#</v>
      </c>
      <c r="B164" t="s">
        <v>698</v>
      </c>
      <c r="C164" s="259">
        <f>Yardi!E162</f>
        <v>46266</v>
      </c>
      <c r="E164" t="str">
        <f>Yardi!G162</f>
        <v>September Recurring Entries</v>
      </c>
      <c r="F164" t="str">
        <f>Yardi!H162</f>
        <v>Balance Sheet Entries</v>
      </c>
      <c r="G164" t="e">
        <f t="shared" si="9"/>
        <v>#REF!</v>
      </c>
      <c r="H164">
        <f>Yardi!K162</f>
        <v>0</v>
      </c>
      <c r="I164" t="str">
        <f>Yardi!I162</f>
        <v>'c6us087a</v>
      </c>
      <c r="L164" t="str">
        <f>Yardi!O162</f>
        <v>09/2026 Prepaid Amortization</v>
      </c>
      <c r="M164" s="410">
        <f>Yardi!J162</f>
        <v>0</v>
      </c>
    </row>
    <row r="165" spans="1:13" x14ac:dyDescent="0.35">
      <c r="A165" t="str">
        <f t="shared" si="8"/>
        <v>#</v>
      </c>
      <c r="B165" t="s">
        <v>698</v>
      </c>
      <c r="C165" s="259">
        <f>Yardi!E163</f>
        <v>46266</v>
      </c>
      <c r="E165" t="str">
        <f>Yardi!G163</f>
        <v>September Recurring Entries</v>
      </c>
      <c r="F165" t="str">
        <f>Yardi!H163</f>
        <v>Balance Sheet Entries</v>
      </c>
      <c r="G165" t="e">
        <f t="shared" si="9"/>
        <v>#REF!</v>
      </c>
      <c r="H165" t="str">
        <f>Yardi!K163</f>
        <v>1630-8910</v>
      </c>
      <c r="I165" t="str">
        <f>Yardi!I163</f>
        <v>'c6us087a</v>
      </c>
      <c r="L165" t="str">
        <f>Yardi!O163</f>
        <v>09/2026 Prepaid Amortization</v>
      </c>
      <c r="M165" s="410">
        <f>Yardi!J163</f>
        <v>0</v>
      </c>
    </row>
    <row r="166" spans="1:13" x14ac:dyDescent="0.35">
      <c r="A166" t="str">
        <f t="shared" si="8"/>
        <v>#</v>
      </c>
      <c r="B166" t="s">
        <v>698</v>
      </c>
      <c r="C166" s="259">
        <f>Yardi!E164</f>
        <v>46266</v>
      </c>
      <c r="E166" t="str">
        <f>Yardi!G164</f>
        <v>September Recurring Entries</v>
      </c>
      <c r="F166" t="str">
        <f>Yardi!H164</f>
        <v>Balance Sheet Entries</v>
      </c>
      <c r="G166" t="e">
        <f t="shared" si="9"/>
        <v>#REF!</v>
      </c>
      <c r="H166">
        <f>Yardi!K164</f>
        <v>0</v>
      </c>
      <c r="I166" t="str">
        <f>Yardi!I164</f>
        <v>'c6us087a</v>
      </c>
      <c r="L166" t="str">
        <f>Yardi!O164</f>
        <v>09/2026 Prepaid Amortization</v>
      </c>
      <c r="M166" s="410">
        <f>Yardi!J164</f>
        <v>0</v>
      </c>
    </row>
    <row r="167" spans="1:13" x14ac:dyDescent="0.35">
      <c r="A167" t="str">
        <f t="shared" si="8"/>
        <v>#</v>
      </c>
      <c r="B167" t="s">
        <v>698</v>
      </c>
      <c r="C167" s="259">
        <f>Yardi!E165</f>
        <v>46266</v>
      </c>
      <c r="E167" t="str">
        <f>Yardi!G165</f>
        <v>September Recurring Entries</v>
      </c>
      <c r="F167" t="str">
        <f>Yardi!H165</f>
        <v>Balance Sheet Entries</v>
      </c>
      <c r="G167" t="e">
        <f t="shared" si="9"/>
        <v>#REF!</v>
      </c>
      <c r="H167" t="str">
        <f>Yardi!K165</f>
        <v>1630-8910</v>
      </c>
      <c r="I167" t="str">
        <f>Yardi!I165</f>
        <v>'c6us087a</v>
      </c>
      <c r="L167" t="str">
        <f>Yardi!O165</f>
        <v>09/2026 Prepaid Amortization</v>
      </c>
      <c r="M167" s="410">
        <f>Yardi!J165</f>
        <v>0</v>
      </c>
    </row>
    <row r="168" spans="1:13" ht="14.25" customHeight="1" x14ac:dyDescent="0.35"/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77F32-8310-4CAF-ABC3-CF559540BA77}">
  <sheetPr codeName="Sheet19"/>
  <dimension ref="A3:H166"/>
  <sheetViews>
    <sheetView workbookViewId="0">
      <selection activeCell="R22" sqref="R22"/>
    </sheetView>
  </sheetViews>
  <sheetFormatPr defaultRowHeight="14.5" x14ac:dyDescent="0.35"/>
  <cols>
    <col min="4" max="4" width="53.26953125" bestFit="1" customWidth="1"/>
  </cols>
  <sheetData>
    <row r="3" spans="1:8" x14ac:dyDescent="0.35">
      <c r="A3" t="str">
        <f>IF(Yardi!I2&lt;&gt;0,Yardi!I2,"")</f>
        <v>'c6us087a</v>
      </c>
      <c r="B3" t="str">
        <f>IF(Yardi!K2&lt;&gt;0,CONCATENATE("RE",Yardi!K2),"")</f>
        <v>RE5510-0100</v>
      </c>
      <c r="C3" t="str">
        <f>IF(Yardi!J2&lt;&gt;0,Yardi!J2,"")</f>
        <v/>
      </c>
      <c r="D3" t="str">
        <f>_xlfn.TEXTJOIN(" ",TRUE,TEXT('Input-Instructions'!$B$6,"MM/YY"),"PPD",'Property Insurance'!$G$9,,"Amort")</f>
        <v>09/26 PPD Amort</v>
      </c>
      <c r="E3" t="str">
        <f>IF(Yardi!O2&lt;&gt;0,"USD","")</f>
        <v>USD</v>
      </c>
      <c r="F3" t="str">
        <f>IF(Yardi!J2&lt;&gt;0,Yardi!J2,"")</f>
        <v/>
      </c>
      <c r="H3" t="str">
        <f>IF(Yardi!J2&lt;&gt;0,"@","")</f>
        <v/>
      </c>
    </row>
    <row r="4" spans="1:8" x14ac:dyDescent="0.35">
      <c r="A4" t="str">
        <f>IF(Yardi!I3&lt;&gt;0,Yardi!I3,"")</f>
        <v>'c6us087a</v>
      </c>
      <c r="B4" t="str">
        <f>IF(Yardi!K3&lt;&gt;0,CONCATENATE("RE",Yardi!K3),"")</f>
        <v>RE1630-2010</v>
      </c>
      <c r="C4" t="str">
        <f>IF(Yardi!J3&lt;&gt;0,Yardi!J3,"")</f>
        <v/>
      </c>
      <c r="D4" t="str">
        <f>_xlfn.TEXTJOIN(" ",TRUE,TEXT('Input-Instructions'!$B$6,"MM/YY"),"PPD",'Property Insurance'!$G$9,,"Amort")</f>
        <v>09/26 PPD Amort</v>
      </c>
      <c r="E4" t="str">
        <f>IF(Yardi!O3&lt;&gt;0,"USD","")</f>
        <v>USD</v>
      </c>
      <c r="F4" t="str">
        <f>IF(Yardi!J3&lt;&gt;0,Yardi!J3,"")</f>
        <v/>
      </c>
      <c r="H4" t="str">
        <f>IF(Yardi!J3&lt;&gt;0,"@","")</f>
        <v/>
      </c>
    </row>
    <row r="5" spans="1:8" x14ac:dyDescent="0.35">
      <c r="A5" t="str">
        <f>IF(Yardi!I4&lt;&gt;0,Yardi!I4,"")</f>
        <v>'c6us087a</v>
      </c>
      <c r="B5" t="str">
        <f>IF(Yardi!K4&lt;&gt;0,CONCATENATE("RE",Yardi!K4),"")</f>
        <v>RE5510-1500</v>
      </c>
      <c r="C5" t="str">
        <f>IF(Yardi!J4&lt;&gt;0,Yardi!J4,"")</f>
        <v/>
      </c>
      <c r="D5" t="str">
        <f>_xlfn.TEXTJOIN(" ",TRUE,TEXT('Input-Instructions'!$B$6,"MM/YY"),"PPD",'Property Insurance'!$G$10,,"Amort")</f>
        <v>09/26 PPD Amort</v>
      </c>
      <c r="E5" t="str">
        <f>IF(Yardi!O4&lt;&gt;0,"USD","")</f>
        <v>USD</v>
      </c>
      <c r="F5" t="str">
        <f>IF(Yardi!J4&lt;&gt;0,Yardi!J4,"")</f>
        <v/>
      </c>
      <c r="H5" t="str">
        <f>IF(Yardi!J4&lt;&gt;0,"@","")</f>
        <v/>
      </c>
    </row>
    <row r="6" spans="1:8" x14ac:dyDescent="0.35">
      <c r="A6" t="str">
        <f>IF(Yardi!I5&lt;&gt;0,Yardi!I5,"")</f>
        <v>'c6us087a</v>
      </c>
      <c r="B6" t="str">
        <f>IF(Yardi!K5&lt;&gt;0,CONCATENATE("RE",Yardi!K5),"")</f>
        <v>RE1630-2010</v>
      </c>
      <c r="C6" t="str">
        <f>IF(Yardi!J5&lt;&gt;0,Yardi!J5,"")</f>
        <v/>
      </c>
      <c r="D6" t="str">
        <f>_xlfn.TEXTJOIN(" ",TRUE,TEXT('Input-Instructions'!$B$6,"MM/YY"),"PPD",'Property Insurance'!$G$10,,"Amort")</f>
        <v>09/26 PPD Amort</v>
      </c>
      <c r="E6" t="str">
        <f>IF(Yardi!O5&lt;&gt;0,"USD","")</f>
        <v>USD</v>
      </c>
      <c r="F6" t="str">
        <f>IF(Yardi!J5&lt;&gt;0,Yardi!J5,"")</f>
        <v/>
      </c>
      <c r="H6" t="str">
        <f>IF(Yardi!J5&lt;&gt;0,"@","")</f>
        <v/>
      </c>
    </row>
    <row r="7" spans="1:8" x14ac:dyDescent="0.35">
      <c r="A7" t="str">
        <f>IF(Yardi!I6&lt;&gt;0,Yardi!I6,"")</f>
        <v>'c6us087a</v>
      </c>
      <c r="B7" t="e">
        <f>IF(Yardi!K6&lt;&gt;0,CONCATENATE("RE",Yardi!K6),"")</f>
        <v>#REF!</v>
      </c>
      <c r="C7" t="e">
        <f>IF(Yardi!J6&lt;&gt;0,Yardi!J6,"")</f>
        <v>#REF!</v>
      </c>
      <c r="D7" t="e">
        <f>_xlfn.TEXTJOIN(" ",TRUE,TEXT('Input-Instructions'!$B$6,"MM/YY"),"PPD",'Property Insurance'!#REF!,,"Amort")</f>
        <v>#REF!</v>
      </c>
      <c r="E7" t="e">
        <f>IF(Yardi!O6&lt;&gt;0,"USD","")</f>
        <v>#REF!</v>
      </c>
      <c r="F7" t="e">
        <f>IF(Yardi!J6&lt;&gt;0,Yardi!J6,"")</f>
        <v>#REF!</v>
      </c>
      <c r="H7" t="e">
        <f>IF(Yardi!J6&lt;&gt;0,"@","")</f>
        <v>#REF!</v>
      </c>
    </row>
    <row r="8" spans="1:8" x14ac:dyDescent="0.35">
      <c r="A8" t="str">
        <f>IF(Yardi!I7&lt;&gt;0,Yardi!I7,"")</f>
        <v>'c6us087a</v>
      </c>
      <c r="B8" t="str">
        <f>IF(Yardi!K7&lt;&gt;0,CONCATENATE("RE",Yardi!K7),"")</f>
        <v>RE1630-2010</v>
      </c>
      <c r="C8" t="e">
        <f>IF(Yardi!J7&lt;&gt;0,Yardi!J7,"")</f>
        <v>#REF!</v>
      </c>
      <c r="D8" t="e">
        <f>_xlfn.TEXTJOIN(" ",TRUE,TEXT('Input-Instructions'!$B$6,"MM/YY"),"PPD",'Property Insurance'!#REF!,,"Amort")</f>
        <v>#REF!</v>
      </c>
      <c r="E8" t="e">
        <f>IF(Yardi!O7&lt;&gt;0,"USD","")</f>
        <v>#REF!</v>
      </c>
      <c r="F8" t="e">
        <f>IF(Yardi!J7&lt;&gt;0,Yardi!J7,"")</f>
        <v>#REF!</v>
      </c>
      <c r="H8" t="e">
        <f>IF(Yardi!J7&lt;&gt;0,"@","")</f>
        <v>#REF!</v>
      </c>
    </row>
    <row r="9" spans="1:8" x14ac:dyDescent="0.35">
      <c r="A9" t="str">
        <f>IF(Yardi!I8&lt;&gt;0,Yardi!I8,"")</f>
        <v>'c6us087a</v>
      </c>
      <c r="B9" t="str">
        <f>IF(Yardi!K8&lt;&gt;0,CONCATENATE("RE",Yardi!K8),"")</f>
        <v>RE5510-2100</v>
      </c>
      <c r="C9" t="str">
        <f>IF(Yardi!J8&lt;&gt;0,Yardi!J8,"")</f>
        <v/>
      </c>
      <c r="D9" t="str">
        <f>_xlfn.TEXTJOIN(" ",TRUE,TEXT('Input-Instructions'!$B$6,"MM/YY"),"PPD",'Property Insurance'!$G$11,,"Amort")</f>
        <v>09/26 PPD Amort</v>
      </c>
      <c r="E9" t="str">
        <f>IF(Yardi!O8&lt;&gt;0,"USD","")</f>
        <v>USD</v>
      </c>
      <c r="F9" t="str">
        <f>IF(Yardi!J8&lt;&gt;0,Yardi!J8,"")</f>
        <v/>
      </c>
      <c r="H9" t="str">
        <f>IF(Yardi!J8&lt;&gt;0,"@","")</f>
        <v/>
      </c>
    </row>
    <row r="10" spans="1:8" x14ac:dyDescent="0.35">
      <c r="A10" t="str">
        <f>IF(Yardi!I9&lt;&gt;0,Yardi!I9,"")</f>
        <v>'c6us087a</v>
      </c>
      <c r="B10" t="str">
        <f>IF(Yardi!K9&lt;&gt;0,CONCATENATE("RE",Yardi!K9),"")</f>
        <v>RE1630-2010</v>
      </c>
      <c r="C10" t="str">
        <f>IF(Yardi!J9&lt;&gt;0,Yardi!J9,"")</f>
        <v/>
      </c>
      <c r="D10" t="str">
        <f>_xlfn.TEXTJOIN(" ",TRUE,TEXT('Input-Instructions'!$B$6,"MM/YY"),"PPD",'Property Insurance'!$G$11,,"Amort")</f>
        <v>09/26 PPD Amort</v>
      </c>
      <c r="E10" t="str">
        <f>IF(Yardi!O9&lt;&gt;0,"USD","")</f>
        <v>USD</v>
      </c>
      <c r="F10" t="str">
        <f>IF(Yardi!J9&lt;&gt;0,Yardi!J9,"")</f>
        <v/>
      </c>
      <c r="H10" t="str">
        <f>IF(Yardi!J9&lt;&gt;0,"@","")</f>
        <v/>
      </c>
    </row>
    <row r="11" spans="1:8" x14ac:dyDescent="0.35">
      <c r="A11" t="str">
        <f>IF(Yardi!I10&lt;&gt;0,Yardi!I10,"")</f>
        <v>'c6us087a</v>
      </c>
      <c r="B11" t="str">
        <f>IF(Yardi!K10&lt;&gt;0,CONCATENATE("RE",Yardi!K10),"")</f>
        <v>RE5510-3500</v>
      </c>
      <c r="C11">
        <f>IF(Yardi!J10&lt;&gt;0,Yardi!J10,"")</f>
        <v>74.73</v>
      </c>
      <c r="D11" t="str">
        <f>_xlfn.TEXTJOIN(" ",TRUE,TEXT('Input-Instructions'!$B$6,"MM/YY"),"PPD",'Property Insurance'!$G$12,,"Amort")</f>
        <v>09/26 PPD Amort</v>
      </c>
      <c r="E11" t="str">
        <f>IF(Yardi!O10&lt;&gt;0,"USD","")</f>
        <v>USD</v>
      </c>
      <c r="F11">
        <f>IF(Yardi!J10&lt;&gt;0,Yardi!J10,"")</f>
        <v>74.73</v>
      </c>
      <c r="H11" t="str">
        <f>IF(Yardi!J10&lt;&gt;0,"@","")</f>
        <v>@</v>
      </c>
    </row>
    <row r="12" spans="1:8" x14ac:dyDescent="0.35">
      <c r="A12" t="str">
        <f>IF(Yardi!I11&lt;&gt;0,Yardi!I11,"")</f>
        <v>'c6us087a</v>
      </c>
      <c r="B12" t="str">
        <f>IF(Yardi!K11&lt;&gt;0,CONCATENATE("RE",Yardi!K11),"")</f>
        <v>RE1630-2010</v>
      </c>
      <c r="C12">
        <f>IF(Yardi!J11&lt;&gt;0,Yardi!J11,"")</f>
        <v>-74.73</v>
      </c>
      <c r="D12" t="str">
        <f>_xlfn.TEXTJOIN(" ",TRUE,TEXT('Input-Instructions'!$B$6,"MM/YY"),"PPD",'Property Insurance'!$G$12,,"Amort")</f>
        <v>09/26 PPD Amort</v>
      </c>
      <c r="E12" t="str">
        <f>IF(Yardi!O11&lt;&gt;0,"USD","")</f>
        <v>USD</v>
      </c>
      <c r="F12">
        <f>IF(Yardi!J11&lt;&gt;0,Yardi!J11,"")</f>
        <v>-74.73</v>
      </c>
      <c r="H12" t="str">
        <f>IF(Yardi!J11&lt;&gt;0,"@","")</f>
        <v>@</v>
      </c>
    </row>
    <row r="13" spans="1:8" x14ac:dyDescent="0.35">
      <c r="A13" t="str">
        <f>IF(Yardi!I12&lt;&gt;0,Yardi!I12,"")</f>
        <v>'c6us087a</v>
      </c>
      <c r="B13" t="str">
        <f>IF(Yardi!K12&lt;&gt;0,CONCATENATE("RE",Yardi!K12),"")</f>
        <v/>
      </c>
      <c r="C13" t="str">
        <f>IF(Yardi!J12&lt;&gt;0,Yardi!J12,"")</f>
        <v/>
      </c>
      <c r="D13" t="str">
        <f>_xlfn.TEXTJOIN(" ",TRUE,TEXT('Input-Instructions'!$B$6,"MM/YY"),"PPD",'Property Insurance'!$G$13,,"Amort")</f>
        <v>09/26 PPD Amort</v>
      </c>
      <c r="E13" t="str">
        <f>IF(Yardi!O12&lt;&gt;0,"USD","")</f>
        <v>USD</v>
      </c>
      <c r="F13" t="str">
        <f>IF(Yardi!J12&lt;&gt;0,Yardi!J12,"")</f>
        <v/>
      </c>
      <c r="H13" t="str">
        <f>IF(Yardi!J12&lt;&gt;0,"@","")</f>
        <v/>
      </c>
    </row>
    <row r="14" spans="1:8" x14ac:dyDescent="0.35">
      <c r="A14" t="str">
        <f>IF(Yardi!I13&lt;&gt;0,Yardi!I13,"")</f>
        <v>'c6us087a</v>
      </c>
      <c r="B14" t="str">
        <f>IF(Yardi!K13&lt;&gt;0,CONCATENATE("RE",Yardi!K13),"")</f>
        <v>RE1630-2010</v>
      </c>
      <c r="C14" t="str">
        <f>IF(Yardi!J13&lt;&gt;0,Yardi!J13,"")</f>
        <v/>
      </c>
      <c r="D14" t="str">
        <f>_xlfn.TEXTJOIN(" ",TRUE,TEXT('Input-Instructions'!$B$6,"MM/YY"),"PPD",'Property Insurance'!$G$13,,"Amort")</f>
        <v>09/26 PPD Amort</v>
      </c>
      <c r="E14" t="str">
        <f>IF(Yardi!O13&lt;&gt;0,"USD","")</f>
        <v>USD</v>
      </c>
      <c r="F14" t="str">
        <f>IF(Yardi!J13&lt;&gt;0,Yardi!J13,"")</f>
        <v/>
      </c>
      <c r="H14" t="str">
        <f>IF(Yardi!J13&lt;&gt;0,"@","")</f>
        <v/>
      </c>
    </row>
    <row r="15" spans="1:8" x14ac:dyDescent="0.35">
      <c r="A15" t="str">
        <f>IF(Yardi!I14&lt;&gt;0,Yardi!I14,"")</f>
        <v>'c6us087a</v>
      </c>
      <c r="B15" t="str">
        <f>IF(Yardi!K14&lt;&gt;0,CONCATENATE("RE",Yardi!K14),"")</f>
        <v/>
      </c>
      <c r="C15" t="str">
        <f>IF(Yardi!J14&lt;&gt;0,Yardi!J14,"")</f>
        <v/>
      </c>
      <c r="D15" t="str">
        <f>_xlfn.TEXTJOIN(" ",TRUE,TEXT('Input-Instructions'!$B$6,"MM/YY"),"PPD",'Property Insurance'!$G$14,,"Amort")</f>
        <v>09/26 PPD Amort</v>
      </c>
      <c r="E15" t="str">
        <f>IF(Yardi!O14&lt;&gt;0,"USD","")</f>
        <v>USD</v>
      </c>
      <c r="F15" t="str">
        <f>IF(Yardi!J14&lt;&gt;0,Yardi!J14,"")</f>
        <v/>
      </c>
      <c r="H15" t="str">
        <f>IF(Yardi!J14&lt;&gt;0,"@","")</f>
        <v/>
      </c>
    </row>
    <row r="16" spans="1:8" x14ac:dyDescent="0.35">
      <c r="A16" t="str">
        <f>IF(Yardi!I15&lt;&gt;0,Yardi!I15,"")</f>
        <v>'c6us087a</v>
      </c>
      <c r="B16" t="str">
        <f>IF(Yardi!K15&lt;&gt;0,CONCATENATE("RE",Yardi!K15),"")</f>
        <v>RE1630-2010</v>
      </c>
      <c r="C16" t="str">
        <f>IF(Yardi!J15&lt;&gt;0,Yardi!J15,"")</f>
        <v/>
      </c>
      <c r="D16" t="str">
        <f>_xlfn.TEXTJOIN(" ",TRUE,TEXT('Input-Instructions'!$B$6,"MM/YY"),"PPD",'Property Insurance'!$G$14,,"Amort")</f>
        <v>09/26 PPD Amort</v>
      </c>
      <c r="E16" t="str">
        <f>IF(Yardi!O15&lt;&gt;0,"USD","")</f>
        <v>USD</v>
      </c>
      <c r="F16" t="str">
        <f>IF(Yardi!J15&lt;&gt;0,Yardi!J15,"")</f>
        <v/>
      </c>
      <c r="H16" t="str">
        <f>IF(Yardi!J15&lt;&gt;0,"@","")</f>
        <v/>
      </c>
    </row>
    <row r="17" spans="1:8" x14ac:dyDescent="0.35">
      <c r="A17" t="str">
        <f>IF(Yardi!I16&lt;&gt;0,Yardi!I16,"")</f>
        <v>'c6us087a</v>
      </c>
      <c r="B17" t="str">
        <f>IF(Yardi!K16&lt;&gt;0,CONCATENATE("RE",Yardi!K16),"")</f>
        <v/>
      </c>
      <c r="C17" t="str">
        <f>IF(Yardi!J16&lt;&gt;0,Yardi!J16,"")</f>
        <v/>
      </c>
      <c r="D17" t="str">
        <f>_xlfn.TEXTJOIN(" ",TRUE,TEXT('Input-Instructions'!$B$6,"MM/YY"),"PPD",'Property Insurance'!$G$15,,"Amort")</f>
        <v>09/26 PPD Amort</v>
      </c>
      <c r="E17" t="str">
        <f>IF(Yardi!O16&lt;&gt;0,"USD","")</f>
        <v>USD</v>
      </c>
      <c r="F17" t="str">
        <f>IF(Yardi!J16&lt;&gt;0,Yardi!J16,"")</f>
        <v/>
      </c>
      <c r="H17" t="str">
        <f>IF(Yardi!J16&lt;&gt;0,"@","")</f>
        <v/>
      </c>
    </row>
    <row r="18" spans="1:8" x14ac:dyDescent="0.35">
      <c r="A18" t="str">
        <f>IF(Yardi!I17&lt;&gt;0,Yardi!I17,"")</f>
        <v>'c6us087a</v>
      </c>
      <c r="B18" t="str">
        <f>IF(Yardi!K17&lt;&gt;0,CONCATENATE("RE",Yardi!K17),"")</f>
        <v>RE1630-2010</v>
      </c>
      <c r="C18" t="str">
        <f>IF(Yardi!J17&lt;&gt;0,Yardi!J17,"")</f>
        <v/>
      </c>
      <c r="D18" t="str">
        <f>_xlfn.TEXTJOIN(" ",TRUE,TEXT('Input-Instructions'!$B$6,"MM/YY"),"PPD",'Property Insurance'!$G$15,,"Amort")</f>
        <v>09/26 PPD Amort</v>
      </c>
      <c r="E18" t="str">
        <f>IF(Yardi!O17&lt;&gt;0,"USD","")</f>
        <v>USD</v>
      </c>
      <c r="F18" t="str">
        <f>IF(Yardi!J17&lt;&gt;0,Yardi!J17,"")</f>
        <v/>
      </c>
      <c r="H18" t="str">
        <f>IF(Yardi!J17&lt;&gt;0,"@","")</f>
        <v/>
      </c>
    </row>
    <row r="19" spans="1:8" x14ac:dyDescent="0.35">
      <c r="A19" t="str">
        <f>IF(Yardi!I18&lt;&gt;0,Yardi!I18,"")</f>
        <v>'c6us087a</v>
      </c>
      <c r="B19" t="str">
        <f>IF(Yardi!K18&lt;&gt;0,CONCATENATE("RE",Yardi!K18),"")</f>
        <v/>
      </c>
      <c r="C19" t="str">
        <f>IF(Yardi!J18&lt;&gt;0,Yardi!J18,"")</f>
        <v/>
      </c>
      <c r="D19" t="str">
        <f>_xlfn.TEXTJOIN(" ",TRUE,TEXT('Input-Instructions'!$B$6,"MM/YY"),"PPD",'Property Insurance'!$G$16,,"Amort")</f>
        <v>09/26 PPD Amort</v>
      </c>
      <c r="E19" t="str">
        <f>IF(Yardi!O18&lt;&gt;0,"USD","")</f>
        <v>USD</v>
      </c>
      <c r="F19" t="str">
        <f>IF(Yardi!J18&lt;&gt;0,Yardi!J18,"")</f>
        <v/>
      </c>
      <c r="H19" t="str">
        <f>IF(Yardi!J18&lt;&gt;0,"@","")</f>
        <v/>
      </c>
    </row>
    <row r="20" spans="1:8" x14ac:dyDescent="0.35">
      <c r="A20" t="str">
        <f>IF(Yardi!I19&lt;&gt;0,Yardi!I19,"")</f>
        <v>'c6us087a</v>
      </c>
      <c r="B20" t="str">
        <f>IF(Yardi!K19&lt;&gt;0,CONCATENATE("RE",Yardi!K19),"")</f>
        <v>RE1630-2010</v>
      </c>
      <c r="C20" t="str">
        <f>IF(Yardi!J19&lt;&gt;0,Yardi!J19,"")</f>
        <v/>
      </c>
      <c r="D20" t="str">
        <f>_xlfn.TEXTJOIN(" ",TRUE,TEXT('Input-Instructions'!$B$6,"MM/YY"),"PPD",'Property Insurance'!$G$16,,"Amort")</f>
        <v>09/26 PPD Amort</v>
      </c>
      <c r="E20" t="str">
        <f>IF(Yardi!O19&lt;&gt;0,"USD","")</f>
        <v>USD</v>
      </c>
      <c r="F20" t="str">
        <f>IF(Yardi!J19&lt;&gt;0,Yardi!J19,"")</f>
        <v/>
      </c>
      <c r="H20" t="str">
        <f>IF(Yardi!J19&lt;&gt;0,"@","")</f>
        <v/>
      </c>
    </row>
    <row r="21" spans="1:8" x14ac:dyDescent="0.35">
      <c r="A21" t="str">
        <f>IF(Yardi!I20&lt;&gt;0,Yardi!I20,"")</f>
        <v>'c6us087a</v>
      </c>
      <c r="B21" t="str">
        <f>IF(Yardi!K20&lt;&gt;0,CONCATENATE("RE",Yardi!K20),"")</f>
        <v/>
      </c>
      <c r="C21" t="str">
        <f>IF(Yardi!J20&lt;&gt;0,Yardi!J20,"")</f>
        <v/>
      </c>
      <c r="D21" t="str">
        <f>_xlfn.TEXTJOIN(" ",TRUE,TEXT('Input-Instructions'!$B$6,"MM/YY"),"PPD",'Property Insurance'!$G$17,,"Amort")</f>
        <v>09/26 PPD Amort</v>
      </c>
      <c r="E21" t="str">
        <f>IF(Yardi!O20&lt;&gt;0,"USD","")</f>
        <v>USD</v>
      </c>
      <c r="F21" t="str">
        <f>IF(Yardi!J20&lt;&gt;0,Yardi!J20,"")</f>
        <v/>
      </c>
      <c r="H21" t="str">
        <f>IF(Yardi!J20&lt;&gt;0,"@","")</f>
        <v/>
      </c>
    </row>
    <row r="22" spans="1:8" x14ac:dyDescent="0.35">
      <c r="A22" t="str">
        <f>IF(Yardi!I21&lt;&gt;0,Yardi!I21,"")</f>
        <v>'c6us087a</v>
      </c>
      <c r="B22" t="str">
        <f>IF(Yardi!K21&lt;&gt;0,CONCATENATE("RE",Yardi!K21),"")</f>
        <v>RE1630-2010</v>
      </c>
      <c r="C22" t="str">
        <f>IF(Yardi!J21&lt;&gt;0,Yardi!J21,"")</f>
        <v/>
      </c>
      <c r="D22" t="str">
        <f>_xlfn.TEXTJOIN(" ",TRUE,TEXT('Input-Instructions'!$B$6,"MM/YY"),"PPD",'Property Insurance'!$G$17,,"Amort")</f>
        <v>09/26 PPD Amort</v>
      </c>
      <c r="E22" t="str">
        <f>IF(Yardi!O21&lt;&gt;0,"USD","")</f>
        <v>USD</v>
      </c>
      <c r="F22" t="str">
        <f>IF(Yardi!J21&lt;&gt;0,Yardi!J21,"")</f>
        <v/>
      </c>
      <c r="H22" t="str">
        <f>IF(Yardi!J21&lt;&gt;0,"@","")</f>
        <v/>
      </c>
    </row>
    <row r="23" spans="1:8" x14ac:dyDescent="0.35">
      <c r="A23" t="str">
        <f>IF(Yardi!I22&lt;&gt;0,Yardi!I22,"")</f>
        <v>'c6us087a</v>
      </c>
      <c r="B23" t="str">
        <f>IF(Yardi!K22&lt;&gt;0,CONCATENATE("RE",Yardi!K22),"")</f>
        <v>RE5510-0100</v>
      </c>
      <c r="C23">
        <f>IF(Yardi!J22&lt;&gt;0,Yardi!J22,"")</f>
        <v>12630.33</v>
      </c>
      <c r="D23" t="str">
        <f>_xlfn.TEXTJOIN(" ",TRUE,TEXT('Input-Instructions'!$B$6,"MM/YY"),'Property Insurance'!$G$24,,"ACC")</f>
        <v>09/26 ACC</v>
      </c>
      <c r="E23" t="str">
        <f>IF(Yardi!O22&lt;&gt;0,"USD","")</f>
        <v>USD</v>
      </c>
      <c r="F23">
        <f>IF(Yardi!J22&lt;&gt;0,Yardi!J22,"")</f>
        <v>12630.33</v>
      </c>
      <c r="H23" t="str">
        <f>IF(Yardi!J22&lt;&gt;0,"@","")</f>
        <v>@</v>
      </c>
    </row>
    <row r="24" spans="1:8" x14ac:dyDescent="0.35">
      <c r="A24" t="str">
        <f>IF(Yardi!I23&lt;&gt;0,Yardi!I23,"")</f>
        <v>'c6us087a</v>
      </c>
      <c r="B24" t="str">
        <f>IF(Yardi!K23&lt;&gt;0,CONCATENATE("RE",Yardi!K23),"")</f>
        <v>RE2611-7110</v>
      </c>
      <c r="C24">
        <f>IF(Yardi!J23&lt;&gt;0,Yardi!J23,"")</f>
        <v>-12630.33</v>
      </c>
      <c r="D24" t="str">
        <f>_xlfn.TEXTJOIN(" ",TRUE,TEXT('Input-Instructions'!$B$6,"MM/YY"),'Property Insurance'!$G$24,,"ACC")</f>
        <v>09/26 ACC</v>
      </c>
      <c r="E24" t="str">
        <f>IF(Yardi!O23&lt;&gt;0,"USD","")</f>
        <v>USD</v>
      </c>
      <c r="F24">
        <f>IF(Yardi!J23&lt;&gt;0,Yardi!J23,"")</f>
        <v>-12630.33</v>
      </c>
      <c r="H24" t="str">
        <f>IF(Yardi!J23&lt;&gt;0,"@","")</f>
        <v>@</v>
      </c>
    </row>
    <row r="25" spans="1:8" x14ac:dyDescent="0.35">
      <c r="A25" t="str">
        <f>IF(Yardi!I24&lt;&gt;0,Yardi!I24,"")</f>
        <v>'c6us087a</v>
      </c>
      <c r="B25" t="str">
        <f>IF(Yardi!K24&lt;&gt;0,CONCATENATE("RE",Yardi!K24),"")</f>
        <v>RE5510-1500</v>
      </c>
      <c r="C25">
        <f>IF(Yardi!J24&lt;&gt;0,Yardi!J24,"")</f>
        <v>4739.33</v>
      </c>
      <c r="D25" t="str">
        <f>_xlfn.TEXTJOIN(" ",TRUE,TEXT('Input-Instructions'!$B$6,"MM/YY"),'Property Insurance'!$G$24,,"ACC")</f>
        <v>09/26 ACC</v>
      </c>
      <c r="E25" t="str">
        <f>IF(Yardi!O24&lt;&gt;0,"USD","")</f>
        <v>USD</v>
      </c>
      <c r="F25">
        <f>IF(Yardi!J24&lt;&gt;0,Yardi!J24,"")</f>
        <v>4739.33</v>
      </c>
      <c r="H25" t="str">
        <f>IF(Yardi!J24&lt;&gt;0,"@","")</f>
        <v>@</v>
      </c>
    </row>
    <row r="26" spans="1:8" x14ac:dyDescent="0.35">
      <c r="A26" t="str">
        <f>IF(Yardi!I25&lt;&gt;0,Yardi!I25,"")</f>
        <v>'c6us087a</v>
      </c>
      <c r="B26" t="str">
        <f>IF(Yardi!K25&lt;&gt;0,CONCATENATE("RE",Yardi!K25),"")</f>
        <v>RE2611-7110</v>
      </c>
      <c r="C26">
        <f>IF(Yardi!J25&lt;&gt;0,Yardi!J25,"")</f>
        <v>-4739.33</v>
      </c>
      <c r="D26" t="str">
        <f>_xlfn.TEXTJOIN(" ",TRUE,TEXT('Input-Instructions'!$B$6,"MM/YY"),'Property Insurance'!$G$24,,"ACC")</f>
        <v>09/26 ACC</v>
      </c>
      <c r="E26" t="str">
        <f>IF(Yardi!O25&lt;&gt;0,"USD","")</f>
        <v>USD</v>
      </c>
      <c r="F26">
        <f>IF(Yardi!J25&lt;&gt;0,Yardi!J25,"")</f>
        <v>-4739.33</v>
      </c>
      <c r="H26" t="str">
        <f>IF(Yardi!J25&lt;&gt;0,"@","")</f>
        <v>@</v>
      </c>
    </row>
    <row r="27" spans="1:8" x14ac:dyDescent="0.35">
      <c r="A27" t="str">
        <f>IF(Yardi!I26&lt;&gt;0,Yardi!I26,"")</f>
        <v>'c6us087a</v>
      </c>
      <c r="B27" t="str">
        <f>IF(Yardi!K26&lt;&gt;0,CONCATENATE("RE",Yardi!K26),"")</f>
        <v>RE5510-2100</v>
      </c>
      <c r="C27">
        <f>IF(Yardi!J26&lt;&gt;0,Yardi!J26,"")</f>
        <v>1071</v>
      </c>
      <c r="D27" t="str">
        <f>_xlfn.TEXTJOIN(" ",TRUE,TEXT('Input-Instructions'!$B$6,"MM/YY"),'Property Insurance'!$G$25,,"ACC")</f>
        <v>09/26 ACC</v>
      </c>
      <c r="E27" t="str">
        <f>IF(Yardi!O26&lt;&gt;0,"USD","")</f>
        <v>USD</v>
      </c>
      <c r="F27">
        <f>IF(Yardi!J26&lt;&gt;0,Yardi!J26,"")</f>
        <v>1071</v>
      </c>
      <c r="H27" t="str">
        <f>IF(Yardi!J26&lt;&gt;0,"@","")</f>
        <v>@</v>
      </c>
    </row>
    <row r="28" spans="1:8" x14ac:dyDescent="0.35">
      <c r="A28" t="str">
        <f>IF(Yardi!I27&lt;&gt;0,Yardi!I27,"")</f>
        <v>'c6us087a</v>
      </c>
      <c r="B28" t="str">
        <f>IF(Yardi!K27&lt;&gt;0,CONCATENATE("RE",Yardi!K27),"")</f>
        <v>RE2611-7110</v>
      </c>
      <c r="C28">
        <f>IF(Yardi!J27&lt;&gt;0,Yardi!J27,"")</f>
        <v>-1071</v>
      </c>
      <c r="D28" t="str">
        <f>_xlfn.TEXTJOIN(" ",TRUE,TEXT('Input-Instructions'!$B$6,"MM/YY"),'Property Insurance'!$G$25,,"ACC")</f>
        <v>09/26 ACC</v>
      </c>
      <c r="E28" t="str">
        <f>IF(Yardi!O27&lt;&gt;0,"USD","")</f>
        <v>USD</v>
      </c>
      <c r="F28">
        <f>IF(Yardi!J27&lt;&gt;0,Yardi!J27,"")</f>
        <v>-1071</v>
      </c>
      <c r="H28" t="str">
        <f>IF(Yardi!J27&lt;&gt;0,"@","")</f>
        <v>@</v>
      </c>
    </row>
    <row r="29" spans="1:8" x14ac:dyDescent="0.35">
      <c r="A29" t="str">
        <f>IF(Yardi!I28&lt;&gt;0,Yardi!I28,"")</f>
        <v>'c6us087a</v>
      </c>
      <c r="B29" t="str">
        <f>IF(Yardi!K28&lt;&gt;0,CONCATENATE("RE",Yardi!K28),"")</f>
        <v/>
      </c>
      <c r="C29" t="str">
        <f>IF(Yardi!J28&lt;&gt;0,Yardi!J28,"")</f>
        <v/>
      </c>
      <c r="D29" t="str">
        <f>_xlfn.TEXTJOIN(" ",TRUE,TEXT('Input-Instructions'!$B$6,"MM/YY"),'Property Insurance'!$G$26,,"ACC")</f>
        <v>09/26 ACC</v>
      </c>
      <c r="E29" t="str">
        <f>IF(Yardi!O28&lt;&gt;0,"USD","")</f>
        <v>USD</v>
      </c>
      <c r="F29" t="str">
        <f>IF(Yardi!J28&lt;&gt;0,Yardi!J28,"")</f>
        <v/>
      </c>
      <c r="H29" t="str">
        <f>IF(Yardi!J28&lt;&gt;0,"@","")</f>
        <v/>
      </c>
    </row>
    <row r="30" spans="1:8" x14ac:dyDescent="0.35">
      <c r="A30" t="str">
        <f>IF(Yardi!I29&lt;&gt;0,Yardi!I29,"")</f>
        <v>'c6us087a</v>
      </c>
      <c r="B30" t="str">
        <f>IF(Yardi!K29&lt;&gt;0,CONCATENATE("RE",Yardi!K29),"")</f>
        <v>RE2611-7110</v>
      </c>
      <c r="C30" t="str">
        <f>IF(Yardi!J29&lt;&gt;0,Yardi!J29,"")</f>
        <v/>
      </c>
      <c r="D30" t="str">
        <f>_xlfn.TEXTJOIN(" ",TRUE,TEXT('Input-Instructions'!$B$6,"MM/YY"),'Property Insurance'!$G$26,,"ACC")</f>
        <v>09/26 ACC</v>
      </c>
      <c r="E30" t="str">
        <f>IF(Yardi!O29&lt;&gt;0,"USD","")</f>
        <v>USD</v>
      </c>
      <c r="F30" t="str">
        <f>IF(Yardi!J29&lt;&gt;0,Yardi!J29,"")</f>
        <v/>
      </c>
      <c r="H30" t="str">
        <f>IF(Yardi!J29&lt;&gt;0,"@","")</f>
        <v/>
      </c>
    </row>
    <row r="31" spans="1:8" x14ac:dyDescent="0.35">
      <c r="A31" t="str">
        <f>IF(Yardi!I30&lt;&gt;0,Yardi!I30,"")</f>
        <v>'c6us087a</v>
      </c>
      <c r="B31" t="str">
        <f>IF(Yardi!K30&lt;&gt;0,CONCATENATE("RE",Yardi!K30),"")</f>
        <v/>
      </c>
      <c r="C31" t="str">
        <f>IF(Yardi!J30&lt;&gt;0,Yardi!J30,"")</f>
        <v/>
      </c>
      <c r="D31" t="str">
        <f>_xlfn.TEXTJOIN(" ",TRUE,TEXT('Input-Instructions'!$B$6,"MM/YY"),'Property Insurance'!$G$27,,"ACC")</f>
        <v>09/26 ACC</v>
      </c>
      <c r="E31" t="str">
        <f>IF(Yardi!O30&lt;&gt;0,"USD","")</f>
        <v>USD</v>
      </c>
      <c r="F31" t="str">
        <f>IF(Yardi!J30&lt;&gt;0,Yardi!J30,"")</f>
        <v/>
      </c>
      <c r="H31" t="str">
        <f>IF(Yardi!J30&lt;&gt;0,"@","")</f>
        <v/>
      </c>
    </row>
    <row r="32" spans="1:8" x14ac:dyDescent="0.35">
      <c r="A32" t="str">
        <f>IF(Yardi!I31&lt;&gt;0,Yardi!I31,"")</f>
        <v>'c6us087a</v>
      </c>
      <c r="B32" t="str">
        <f>IF(Yardi!K31&lt;&gt;0,CONCATENATE("RE",Yardi!K31),"")</f>
        <v>RE2611-7110</v>
      </c>
      <c r="C32" t="str">
        <f>IF(Yardi!J31&lt;&gt;0,Yardi!J31,"")</f>
        <v/>
      </c>
      <c r="D32" t="str">
        <f>_xlfn.TEXTJOIN(" ",TRUE,TEXT('Input-Instructions'!$B$6,"MM/YY"),'Property Insurance'!$G$27,,"ACC")</f>
        <v>09/26 ACC</v>
      </c>
      <c r="E32" t="str">
        <f>IF(Yardi!O31&lt;&gt;0,"USD","")</f>
        <v>USD</v>
      </c>
      <c r="F32" t="str">
        <f>IF(Yardi!J31&lt;&gt;0,Yardi!J31,"")</f>
        <v/>
      </c>
      <c r="H32" t="str">
        <f>IF(Yardi!J31&lt;&gt;0,"@","")</f>
        <v/>
      </c>
    </row>
    <row r="33" spans="1:8" x14ac:dyDescent="0.35">
      <c r="A33" t="str">
        <f>IF(Yardi!I32&lt;&gt;0,Yardi!I32,"")</f>
        <v>'c6us087a</v>
      </c>
      <c r="B33" t="str">
        <f>IF(Yardi!K32&lt;&gt;0,CONCATENATE("RE",Yardi!K32),"")</f>
        <v/>
      </c>
      <c r="C33" t="str">
        <f>IF(Yardi!J32&lt;&gt;0,Yardi!J32,"")</f>
        <v/>
      </c>
      <c r="D33" t="str">
        <f>_xlfn.TEXTJOIN(" ",TRUE,TEXT('Input-Instructions'!$B$6,"MM/YY"),'Property Insurance'!$G$28,,"ACC")</f>
        <v>09/26 ACC</v>
      </c>
      <c r="E33" t="str">
        <f>IF(Yardi!O32&lt;&gt;0,"USD","")</f>
        <v>USD</v>
      </c>
      <c r="F33" t="str">
        <f>IF(Yardi!J32&lt;&gt;0,Yardi!J32,"")</f>
        <v/>
      </c>
      <c r="H33" t="str">
        <f>IF(Yardi!J32&lt;&gt;0,"@","")</f>
        <v/>
      </c>
    </row>
    <row r="34" spans="1:8" x14ac:dyDescent="0.35">
      <c r="A34" t="str">
        <f>IF(Yardi!I33&lt;&gt;0,Yardi!I33,"")</f>
        <v>'c6us087a</v>
      </c>
      <c r="B34" t="str">
        <f>IF(Yardi!K33&lt;&gt;0,CONCATENATE("RE",Yardi!K33),"")</f>
        <v>RE2611-7110</v>
      </c>
      <c r="C34" t="str">
        <f>IF(Yardi!J33&lt;&gt;0,Yardi!J33,"")</f>
        <v/>
      </c>
      <c r="D34" t="str">
        <f>_xlfn.TEXTJOIN(" ",TRUE,TEXT('Input-Instructions'!$B$6,"MM/YY"),'Property Insurance'!$G$28,,"ACC")</f>
        <v>09/26 ACC</v>
      </c>
      <c r="E34" t="str">
        <f>IF(Yardi!O33&lt;&gt;0,"USD","")</f>
        <v>USD</v>
      </c>
      <c r="F34" t="str">
        <f>IF(Yardi!J33&lt;&gt;0,Yardi!J33,"")</f>
        <v/>
      </c>
      <c r="H34" t="str">
        <f>IF(Yardi!J33&lt;&gt;0,"@","")</f>
        <v/>
      </c>
    </row>
    <row r="35" spans="1:8" x14ac:dyDescent="0.35">
      <c r="A35" t="str">
        <f>IF(Yardi!I34&lt;&gt;0,Yardi!I34,"")</f>
        <v>'c6us087a</v>
      </c>
      <c r="B35" t="str">
        <f>IF(Yardi!K34&lt;&gt;0,CONCATENATE("RE",Yardi!K34),"")</f>
        <v/>
      </c>
      <c r="C35" t="str">
        <f>IF(Yardi!J34&lt;&gt;0,Yardi!J34,"")</f>
        <v/>
      </c>
      <c r="D35" t="str">
        <f>_xlfn.TEXTJOIN(" ",TRUE,TEXT('Input-Instructions'!$B$6,"MM/YY"),'Property Insurance'!$G$29,,"ACC")</f>
        <v>09/26 ACC</v>
      </c>
      <c r="E35" t="str">
        <f>IF(Yardi!O34&lt;&gt;0,"USD","")</f>
        <v>USD</v>
      </c>
      <c r="F35" t="str">
        <f>IF(Yardi!J34&lt;&gt;0,Yardi!J34,"")</f>
        <v/>
      </c>
      <c r="H35" t="str">
        <f>IF(Yardi!J34&lt;&gt;0,"@","")</f>
        <v/>
      </c>
    </row>
    <row r="36" spans="1:8" x14ac:dyDescent="0.35">
      <c r="A36" t="str">
        <f>IF(Yardi!I35&lt;&gt;0,Yardi!I35,"")</f>
        <v>'c6us087a</v>
      </c>
      <c r="B36" t="str">
        <f>IF(Yardi!K35&lt;&gt;0,CONCATENATE("RE",Yardi!K35),"")</f>
        <v>RE2611-7110</v>
      </c>
      <c r="C36" t="str">
        <f>IF(Yardi!J35&lt;&gt;0,Yardi!J35,"")</f>
        <v/>
      </c>
      <c r="D36" t="str">
        <f>_xlfn.TEXTJOIN(" ",TRUE,TEXT('Input-Instructions'!$B$6,"MM/YY"),'Property Insurance'!$G$29,,"ACC")</f>
        <v>09/26 ACC</v>
      </c>
      <c r="E36" t="str">
        <f>IF(Yardi!O35&lt;&gt;0,"USD","")</f>
        <v>USD</v>
      </c>
      <c r="F36" t="str">
        <f>IF(Yardi!J35&lt;&gt;0,Yardi!J35,"")</f>
        <v/>
      </c>
      <c r="H36" t="str">
        <f>IF(Yardi!J35&lt;&gt;0,"@","")</f>
        <v/>
      </c>
    </row>
    <row r="37" spans="1:8" x14ac:dyDescent="0.35">
      <c r="A37" t="str">
        <f>IF(Yardi!I36&lt;&gt;0,Yardi!I36,"")</f>
        <v>'c6us087a</v>
      </c>
      <c r="B37" t="str">
        <f>IF(Yardi!K36&lt;&gt;0,CONCATENATE("RE",Yardi!K36),"")</f>
        <v/>
      </c>
      <c r="C37" t="str">
        <f>IF(Yardi!J36&lt;&gt;0,Yardi!J36,"")</f>
        <v/>
      </c>
      <c r="D37" t="str">
        <f>_xlfn.TEXTJOIN(" ",TRUE,TEXT('Input-Instructions'!$B$6,"MM/YY"),'Property Insurance'!$G$30,,"ACC")</f>
        <v>09/26 ACC</v>
      </c>
      <c r="E37" t="str">
        <f>IF(Yardi!O36&lt;&gt;0,"USD","")</f>
        <v>USD</v>
      </c>
      <c r="F37" t="str">
        <f>IF(Yardi!J36&lt;&gt;0,Yardi!J36,"")</f>
        <v/>
      </c>
      <c r="H37" t="str">
        <f>IF(Yardi!J36&lt;&gt;0,"@","")</f>
        <v/>
      </c>
    </row>
    <row r="38" spans="1:8" x14ac:dyDescent="0.35">
      <c r="A38" t="str">
        <f>IF(Yardi!I37&lt;&gt;0,Yardi!I37,"")</f>
        <v>'c6us087a</v>
      </c>
      <c r="B38" t="str">
        <f>IF(Yardi!K37&lt;&gt;0,CONCATENATE("RE",Yardi!K37),"")</f>
        <v>RE2611-7110</v>
      </c>
      <c r="C38" t="str">
        <f>IF(Yardi!J37&lt;&gt;0,Yardi!J37,"")</f>
        <v/>
      </c>
      <c r="D38" t="str">
        <f>_xlfn.TEXTJOIN(" ",TRUE,TEXT('Input-Instructions'!$B$6,"MM/YY"),'Property Insurance'!$G$30,,"ACC")</f>
        <v>09/26 ACC</v>
      </c>
      <c r="E38" t="str">
        <f>IF(Yardi!O37&lt;&gt;0,"USD","")</f>
        <v>USD</v>
      </c>
      <c r="F38" t="str">
        <f>IF(Yardi!J37&lt;&gt;0,Yardi!J37,"")</f>
        <v/>
      </c>
      <c r="H38" t="str">
        <f>IF(Yardi!J37&lt;&gt;0,"@","")</f>
        <v/>
      </c>
    </row>
    <row r="39" spans="1:8" x14ac:dyDescent="0.35">
      <c r="A39" t="str">
        <f>IF(Yardi!I38&lt;&gt;0,Yardi!I38,"")</f>
        <v>'c6us087a</v>
      </c>
      <c r="B39" t="str">
        <f>IF(Yardi!K38&lt;&gt;0,CONCATENATE("RE",Yardi!K38),"")</f>
        <v/>
      </c>
      <c r="C39" t="str">
        <f>IF(Yardi!J38&lt;&gt;0,Yardi!J38,"")</f>
        <v/>
      </c>
      <c r="D39" t="str">
        <f>_xlfn.TEXTJOIN(" ",TRUE,TEXT('Input-Instructions'!$B$6,"MM/YY"),'Property Insurance'!$G$31,,"ACC")</f>
        <v>09/26 ACC</v>
      </c>
      <c r="E39" t="str">
        <f>IF(Yardi!O38&lt;&gt;0,"USD","")</f>
        <v>USD</v>
      </c>
      <c r="F39" t="str">
        <f>IF(Yardi!J38&lt;&gt;0,Yardi!J38,"")</f>
        <v/>
      </c>
      <c r="H39" t="str">
        <f>IF(Yardi!J38&lt;&gt;0,"@","")</f>
        <v/>
      </c>
    </row>
    <row r="40" spans="1:8" x14ac:dyDescent="0.35">
      <c r="A40" t="str">
        <f>IF(Yardi!I39&lt;&gt;0,Yardi!I39,"")</f>
        <v>'c6us087a</v>
      </c>
      <c r="B40" t="str">
        <f>IF(Yardi!K39&lt;&gt;0,CONCATENATE("RE",Yardi!K39),"")</f>
        <v>RE2611-7110</v>
      </c>
      <c r="C40" t="str">
        <f>IF(Yardi!J39&lt;&gt;0,Yardi!J39,"")</f>
        <v/>
      </c>
      <c r="D40" t="str">
        <f>_xlfn.TEXTJOIN(" ",TRUE,TEXT('Input-Instructions'!$B$6,"MM/YY"),'Property Insurance'!$G$31,,"ACC")</f>
        <v>09/26 ACC</v>
      </c>
      <c r="E40" t="str">
        <f>IF(Yardi!O39&lt;&gt;0,"USD","")</f>
        <v>USD</v>
      </c>
      <c r="F40" t="str">
        <f>IF(Yardi!J39&lt;&gt;0,Yardi!J39,"")</f>
        <v/>
      </c>
      <c r="H40" t="str">
        <f>IF(Yardi!J39&lt;&gt;0,"@","")</f>
        <v/>
      </c>
    </row>
    <row r="41" spans="1:8" x14ac:dyDescent="0.35">
      <c r="A41" t="str">
        <f>IF(Yardi!I40&lt;&gt;0,Yardi!I40,"")</f>
        <v>'c6us087a</v>
      </c>
      <c r="B41" t="str">
        <f>IF(Yardi!K40&lt;&gt;0,CONCATENATE("RE",Yardi!K40),"")</f>
        <v/>
      </c>
      <c r="C41" t="str">
        <f>IF(Yardi!J40&lt;&gt;0,Yardi!J40,"")</f>
        <v/>
      </c>
      <c r="D41" t="str">
        <f>_xlfn.TEXTJOIN(" ",TRUE,TEXT('Input-Instructions'!$B$6,"MM/YY"),'Property Insurance'!$G$32,,"ACC")</f>
        <v>09/26 ACC</v>
      </c>
      <c r="E41" t="str">
        <f>IF(Yardi!O40&lt;&gt;0,"USD","")</f>
        <v>USD</v>
      </c>
      <c r="F41" t="str">
        <f>IF(Yardi!J40&lt;&gt;0,Yardi!J40,"")</f>
        <v/>
      </c>
      <c r="H41" t="str">
        <f>IF(Yardi!J40&lt;&gt;0,"@","")</f>
        <v/>
      </c>
    </row>
    <row r="42" spans="1:8" x14ac:dyDescent="0.35">
      <c r="A42" t="str">
        <f>IF(Yardi!I41&lt;&gt;0,Yardi!I41,"")</f>
        <v>'c6us087a</v>
      </c>
      <c r="B42" t="str">
        <f>IF(Yardi!K41&lt;&gt;0,CONCATENATE("RE",Yardi!K41),"")</f>
        <v>RE2611-7110</v>
      </c>
      <c r="C42" t="str">
        <f>IF(Yardi!J41&lt;&gt;0,Yardi!J41,"")</f>
        <v/>
      </c>
      <c r="D42" t="str">
        <f>_xlfn.TEXTJOIN(" ",TRUE,TEXT('Input-Instructions'!$B$6,"MM/YY"),'Property Insurance'!$G$32,,"ACC")</f>
        <v>09/26 ACC</v>
      </c>
      <c r="E42" t="str">
        <f>IF(Yardi!O41&lt;&gt;0,"USD","")</f>
        <v>USD</v>
      </c>
      <c r="F42" t="str">
        <f>IF(Yardi!J41&lt;&gt;0,Yardi!J41,"")</f>
        <v/>
      </c>
      <c r="H42" t="str">
        <f>IF(Yardi!J41&lt;&gt;0,"@","")</f>
        <v/>
      </c>
    </row>
    <row r="43" spans="1:8" x14ac:dyDescent="0.35">
      <c r="A43" t="str">
        <f>IF(Yardi!I42&lt;&gt;0,Yardi!I42,"")</f>
        <v>'c6us087a</v>
      </c>
      <c r="B43" t="str">
        <f>IF(Yardi!K42&lt;&gt;0,CONCATENATE("RE",Yardi!K42),"")</f>
        <v/>
      </c>
      <c r="C43" t="str">
        <f>IF(Yardi!J42&lt;&gt;0,Yardi!J42,"")</f>
        <v/>
      </c>
      <c r="D43" t="str">
        <f>_xlfn.TEXTJOIN(" ",TRUE,TEXT('Input-Instructions'!$B$6,"MM/YY"),"PPD",'Real Estate Taxes'!$G$9,,"Amort")</f>
        <v>09/26 PPD Amort</v>
      </c>
      <c r="E43" t="str">
        <f>IF(Yardi!O42&lt;&gt;0,"USD","")</f>
        <v>USD</v>
      </c>
      <c r="F43" t="str">
        <f>IF(Yardi!J42&lt;&gt;0,Yardi!J42,"")</f>
        <v/>
      </c>
      <c r="H43" t="str">
        <f>IF(Yardi!J42&lt;&gt;0,"@","")</f>
        <v/>
      </c>
    </row>
    <row r="44" spans="1:8" x14ac:dyDescent="0.35">
      <c r="A44" t="str">
        <f>IF(Yardi!I43&lt;&gt;0,Yardi!I43,"")</f>
        <v>'c6us087a</v>
      </c>
      <c r="B44" t="str">
        <f>IF(Yardi!K43&lt;&gt;0,CONCATENATE("RE",Yardi!K43),"")</f>
        <v>RE1630-1510</v>
      </c>
      <c r="C44" t="str">
        <f>IF(Yardi!J43&lt;&gt;0,Yardi!J43,"")</f>
        <v/>
      </c>
      <c r="D44" t="str">
        <f>_xlfn.TEXTJOIN(" ",TRUE,TEXT('Input-Instructions'!$B$6,"MM/YY"),"PPD",'Real Estate Taxes'!$G$9,,"Amort")</f>
        <v>09/26 PPD Amort</v>
      </c>
      <c r="E44" t="str">
        <f>IF(Yardi!O43&lt;&gt;0,"USD","")</f>
        <v>USD</v>
      </c>
      <c r="F44" t="str">
        <f>IF(Yardi!J43&lt;&gt;0,Yardi!J43,"")</f>
        <v/>
      </c>
      <c r="H44" t="str">
        <f>IF(Yardi!J43&lt;&gt;0,"@","")</f>
        <v/>
      </c>
    </row>
    <row r="45" spans="1:8" x14ac:dyDescent="0.35">
      <c r="A45" t="str">
        <f>IF(Yardi!I44&lt;&gt;0,Yardi!I44,"")</f>
        <v>'c6us087a</v>
      </c>
      <c r="B45" t="str">
        <f>IF(Yardi!K44&lt;&gt;0,CONCATENATE("RE",Yardi!K44),"")</f>
        <v/>
      </c>
      <c r="C45" t="str">
        <f>IF(Yardi!J44&lt;&gt;0,Yardi!J44,"")</f>
        <v/>
      </c>
      <c r="D45" t="str">
        <f>_xlfn.TEXTJOIN(" ",TRUE,TEXT('Input-Instructions'!$B$6,"MM/YY"),"PPD",'Real Estate Taxes'!$G$10,,"Amort")</f>
        <v>09/26 PPD Amort</v>
      </c>
      <c r="E45" t="str">
        <f>IF(Yardi!O44&lt;&gt;0,"USD","")</f>
        <v>USD</v>
      </c>
      <c r="F45" t="str">
        <f>IF(Yardi!J44&lt;&gt;0,Yardi!J44,"")</f>
        <v/>
      </c>
      <c r="H45" t="str">
        <f>IF(Yardi!J44&lt;&gt;0,"@","")</f>
        <v/>
      </c>
    </row>
    <row r="46" spans="1:8" x14ac:dyDescent="0.35">
      <c r="A46" t="str">
        <f>IF(Yardi!I45&lt;&gt;0,Yardi!I45,"")</f>
        <v>'c6us087a</v>
      </c>
      <c r="B46" t="str">
        <f>IF(Yardi!K45&lt;&gt;0,CONCATENATE("RE",Yardi!K45),"")</f>
        <v>RE1630-1510</v>
      </c>
      <c r="C46" t="str">
        <f>IF(Yardi!J45&lt;&gt;0,Yardi!J45,"")</f>
        <v/>
      </c>
      <c r="D46" t="str">
        <f>_xlfn.TEXTJOIN(" ",TRUE,TEXT('Input-Instructions'!$B$6,"MM/YY"),"PPD",'Real Estate Taxes'!$G$10,,"Amort")</f>
        <v>09/26 PPD Amort</v>
      </c>
      <c r="E46" t="str">
        <f>IF(Yardi!O45&lt;&gt;0,"USD","")</f>
        <v>USD</v>
      </c>
      <c r="F46" t="str">
        <f>IF(Yardi!J45&lt;&gt;0,Yardi!J45,"")</f>
        <v/>
      </c>
      <c r="H46" t="str">
        <f>IF(Yardi!J45&lt;&gt;0,"@","")</f>
        <v/>
      </c>
    </row>
    <row r="47" spans="1:8" x14ac:dyDescent="0.35">
      <c r="A47" t="str">
        <f>IF(Yardi!I46&lt;&gt;0,Yardi!I46,"")</f>
        <v>'c6us087a</v>
      </c>
      <c r="B47" t="str">
        <f>IF(Yardi!K46&lt;&gt;0,CONCATENATE("RE",Yardi!K46),"")</f>
        <v/>
      </c>
      <c r="C47" t="str">
        <f>IF(Yardi!J46&lt;&gt;0,Yardi!J46,"")</f>
        <v/>
      </c>
      <c r="D47" t="str">
        <f>_xlfn.TEXTJOIN(" ",TRUE,TEXT('Input-Instructions'!$B$6,"MM/YY"),"PPD",'Real Estate Taxes'!$G$11,,"Amort")</f>
        <v>09/26 PPD Amort</v>
      </c>
      <c r="E47" t="str">
        <f>IF(Yardi!O46&lt;&gt;0,"USD","")</f>
        <v>USD</v>
      </c>
      <c r="F47" t="str">
        <f>IF(Yardi!J46&lt;&gt;0,Yardi!J46,"")</f>
        <v/>
      </c>
      <c r="H47" t="str">
        <f>IF(Yardi!J46&lt;&gt;0,"@","")</f>
        <v/>
      </c>
    </row>
    <row r="48" spans="1:8" x14ac:dyDescent="0.35">
      <c r="A48" t="str">
        <f>IF(Yardi!I47&lt;&gt;0,Yardi!I47,"")</f>
        <v>'c6us087a</v>
      </c>
      <c r="B48" t="str">
        <f>IF(Yardi!K47&lt;&gt;0,CONCATENATE("RE",Yardi!K47),"")</f>
        <v>RE1630-1510</v>
      </c>
      <c r="C48" t="str">
        <f>IF(Yardi!J47&lt;&gt;0,Yardi!J47,"")</f>
        <v/>
      </c>
      <c r="D48" t="str">
        <f>_xlfn.TEXTJOIN(" ",TRUE,TEXT('Input-Instructions'!$B$6,"MM/YY"),"PPD",'Real Estate Taxes'!$G$11,,"Amort")</f>
        <v>09/26 PPD Amort</v>
      </c>
      <c r="E48" t="str">
        <f>IF(Yardi!O47&lt;&gt;0,"USD","")</f>
        <v>USD</v>
      </c>
      <c r="F48" t="str">
        <f>IF(Yardi!J47&lt;&gt;0,Yardi!J47,"")</f>
        <v/>
      </c>
      <c r="H48" t="str">
        <f>IF(Yardi!J47&lt;&gt;0,"@","")</f>
        <v/>
      </c>
    </row>
    <row r="49" spans="1:8" x14ac:dyDescent="0.35">
      <c r="A49" t="str">
        <f>IF(Yardi!I48&lt;&gt;0,Yardi!I48,"")</f>
        <v>'c6us087a</v>
      </c>
      <c r="B49" t="str">
        <f>IF(Yardi!K48&lt;&gt;0,CONCATENATE("RE",Yardi!K48),"")</f>
        <v/>
      </c>
      <c r="C49" t="str">
        <f>IF(Yardi!J48&lt;&gt;0,Yardi!J48,"")</f>
        <v/>
      </c>
      <c r="D49" t="str">
        <f>_xlfn.TEXTJOIN(" ",TRUE,TEXT('Input-Instructions'!$B$6,"MM/YY"),"PPD",'Real Estate Taxes'!$G$12,,"Amort")</f>
        <v>09/26 PPD Amort</v>
      </c>
      <c r="E49" t="str">
        <f>IF(Yardi!O48&lt;&gt;0,"USD","")</f>
        <v>USD</v>
      </c>
      <c r="F49" t="str">
        <f>IF(Yardi!J48&lt;&gt;0,Yardi!J48,"")</f>
        <v/>
      </c>
      <c r="H49" t="str">
        <f>IF(Yardi!J48&lt;&gt;0,"@","")</f>
        <v/>
      </c>
    </row>
    <row r="50" spans="1:8" x14ac:dyDescent="0.35">
      <c r="A50" t="str">
        <f>IF(Yardi!I49&lt;&gt;0,Yardi!I49,"")</f>
        <v>'c6us087a</v>
      </c>
      <c r="B50" t="str">
        <f>IF(Yardi!K49&lt;&gt;0,CONCATENATE("RE",Yardi!K49),"")</f>
        <v>RE1630-1510</v>
      </c>
      <c r="C50" t="str">
        <f>IF(Yardi!J49&lt;&gt;0,Yardi!J49,"")</f>
        <v/>
      </c>
      <c r="D50" t="str">
        <f>_xlfn.TEXTJOIN(" ",TRUE,TEXT('Input-Instructions'!$B$6,"MM/YY"),"PPD",'Real Estate Taxes'!$G$12,,"Amort")</f>
        <v>09/26 PPD Amort</v>
      </c>
      <c r="E50" t="str">
        <f>IF(Yardi!O49&lt;&gt;0,"USD","")</f>
        <v>USD</v>
      </c>
      <c r="F50" t="str">
        <f>IF(Yardi!J49&lt;&gt;0,Yardi!J49,"")</f>
        <v/>
      </c>
      <c r="H50" t="str">
        <f>IF(Yardi!J49&lt;&gt;0,"@","")</f>
        <v/>
      </c>
    </row>
    <row r="51" spans="1:8" x14ac:dyDescent="0.35">
      <c r="A51" t="str">
        <f>IF(Yardi!I50&lt;&gt;0,Yardi!I50,"")</f>
        <v>'c6us087a</v>
      </c>
      <c r="B51" t="str">
        <f>IF(Yardi!K50&lt;&gt;0,CONCATENATE("RE",Yardi!K50),"")</f>
        <v/>
      </c>
      <c r="C51" t="str">
        <f>IF(Yardi!J50&lt;&gt;0,Yardi!J50,"")</f>
        <v/>
      </c>
      <c r="D51" t="str">
        <f>_xlfn.TEXTJOIN(" ",TRUE,TEXT('Input-Instructions'!$B$6,"MM/YY"),"PPD",'Real Estate Taxes'!$G$13,,"Amort")</f>
        <v>09/26 PPD Amort</v>
      </c>
      <c r="E51" t="str">
        <f>IF(Yardi!O50&lt;&gt;0,"USD","")</f>
        <v>USD</v>
      </c>
      <c r="F51" t="str">
        <f>IF(Yardi!J50&lt;&gt;0,Yardi!J50,"")</f>
        <v/>
      </c>
      <c r="H51" t="str">
        <f>IF(Yardi!J50&lt;&gt;0,"@","")</f>
        <v/>
      </c>
    </row>
    <row r="52" spans="1:8" x14ac:dyDescent="0.35">
      <c r="A52" t="str">
        <f>IF(Yardi!I51&lt;&gt;0,Yardi!I51,"")</f>
        <v>'c6us087a</v>
      </c>
      <c r="B52" t="str">
        <f>IF(Yardi!K51&lt;&gt;0,CONCATENATE("RE",Yardi!K51),"")</f>
        <v>RE1630-1510</v>
      </c>
      <c r="C52" t="str">
        <f>IF(Yardi!J51&lt;&gt;0,Yardi!J51,"")</f>
        <v/>
      </c>
      <c r="D52" t="str">
        <f>_xlfn.TEXTJOIN(" ",TRUE,TEXT('Input-Instructions'!$B$6,"MM/YY"),"PPD",'Real Estate Taxes'!$G$13,,"Amort")</f>
        <v>09/26 PPD Amort</v>
      </c>
      <c r="E52" t="str">
        <f>IF(Yardi!O51&lt;&gt;0,"USD","")</f>
        <v>USD</v>
      </c>
      <c r="F52" t="str">
        <f>IF(Yardi!J51&lt;&gt;0,Yardi!J51,"")</f>
        <v/>
      </c>
      <c r="H52" t="str">
        <f>IF(Yardi!J51&lt;&gt;0,"@","")</f>
        <v/>
      </c>
    </row>
    <row r="53" spans="1:8" x14ac:dyDescent="0.35">
      <c r="A53" t="str">
        <f>IF(Yardi!I52&lt;&gt;0,Yardi!I52,"")</f>
        <v>'c6us087a</v>
      </c>
      <c r="B53" t="str">
        <f>IF(Yardi!K52&lt;&gt;0,CONCATENATE("RE",Yardi!K52),"")</f>
        <v/>
      </c>
      <c r="C53" t="str">
        <f>IF(Yardi!J52&lt;&gt;0,Yardi!J52,"")</f>
        <v/>
      </c>
      <c r="D53" t="str">
        <f>_xlfn.TEXTJOIN(" ",TRUE,TEXT('Input-Instructions'!$B$6,"MM/YY"),"PPD",'Real Estate Taxes'!$G$14,,"Amort")</f>
        <v>09/26 PPD Amort</v>
      </c>
      <c r="E53" t="str">
        <f>IF(Yardi!O52&lt;&gt;0,"USD","")</f>
        <v>USD</v>
      </c>
      <c r="F53" t="str">
        <f>IF(Yardi!J52&lt;&gt;0,Yardi!J52,"")</f>
        <v/>
      </c>
      <c r="H53" t="str">
        <f>IF(Yardi!J52&lt;&gt;0,"@","")</f>
        <v/>
      </c>
    </row>
    <row r="54" spans="1:8" x14ac:dyDescent="0.35">
      <c r="A54" t="str">
        <f>IF(Yardi!I53&lt;&gt;0,Yardi!I53,"")</f>
        <v>'c6us087a</v>
      </c>
      <c r="B54" t="str">
        <f>IF(Yardi!K53&lt;&gt;0,CONCATENATE("RE",Yardi!K53),"")</f>
        <v>RE1630-1510</v>
      </c>
      <c r="C54" t="str">
        <f>IF(Yardi!J53&lt;&gt;0,Yardi!J53,"")</f>
        <v/>
      </c>
      <c r="D54" t="str">
        <f>_xlfn.TEXTJOIN(" ",TRUE,TEXT('Input-Instructions'!$B$6,"MM/YY"),"PPD",'Real Estate Taxes'!$G$14,,"Amort")</f>
        <v>09/26 PPD Amort</v>
      </c>
      <c r="E54" t="str">
        <f>IF(Yardi!O53&lt;&gt;0,"USD","")</f>
        <v>USD</v>
      </c>
      <c r="F54" t="str">
        <f>IF(Yardi!J53&lt;&gt;0,Yardi!J53,"")</f>
        <v/>
      </c>
      <c r="H54" t="str">
        <f>IF(Yardi!J53&lt;&gt;0,"@","")</f>
        <v/>
      </c>
    </row>
    <row r="55" spans="1:8" x14ac:dyDescent="0.35">
      <c r="A55" t="str">
        <f>IF(Yardi!I54&lt;&gt;0,Yardi!I54,"")</f>
        <v>'c6us087a</v>
      </c>
      <c r="B55" t="str">
        <f>IF(Yardi!K54&lt;&gt;0,CONCATENATE("RE",Yardi!K54),"")</f>
        <v>RE5500-0100</v>
      </c>
      <c r="C55" t="str">
        <f>IF(Yardi!J54&lt;&gt;0,Yardi!J54,"")</f>
        <v/>
      </c>
      <c r="D55" t="str">
        <f>_xlfn.TEXTJOIN(" ",TRUE,TEXT('Input-Instructions'!$B$6,"MM/YY"),'Real Estate Taxes'!$G$20,,"ACC")</f>
        <v>09/26 Real Estate Taxes Accrual ACC</v>
      </c>
      <c r="E55" t="str">
        <f>IF(Yardi!O54&lt;&gt;0,"USD","")</f>
        <v>USD</v>
      </c>
      <c r="F55" t="str">
        <f>IF(Yardi!J54&lt;&gt;0,Yardi!J54,"")</f>
        <v/>
      </c>
      <c r="H55" t="str">
        <f>IF(Yardi!J54&lt;&gt;0,"@","")</f>
        <v/>
      </c>
    </row>
    <row r="56" spans="1:8" x14ac:dyDescent="0.35">
      <c r="A56" t="str">
        <f>IF(Yardi!I55&lt;&gt;0,Yardi!I55,"")</f>
        <v>'c6us087a</v>
      </c>
      <c r="B56" t="str">
        <f>IF(Yardi!K55&lt;&gt;0,CONCATENATE("RE",Yardi!K55),"")</f>
        <v>RE2611-3110</v>
      </c>
      <c r="C56" t="str">
        <f>IF(Yardi!J55&lt;&gt;0,Yardi!J55,"")</f>
        <v/>
      </c>
      <c r="D56" t="str">
        <f>_xlfn.TEXTJOIN(" ",TRUE,TEXT('Input-Instructions'!$B$6,"MM/YY"),'Real Estate Taxes'!$G$20,,"ACC")</f>
        <v>09/26 Real Estate Taxes Accrual ACC</v>
      </c>
      <c r="E56" t="str">
        <f>IF(Yardi!O55&lt;&gt;0,"USD","")</f>
        <v>USD</v>
      </c>
      <c r="F56" t="str">
        <f>IF(Yardi!J55&lt;&gt;0,Yardi!J55,"")</f>
        <v/>
      </c>
      <c r="H56" t="str">
        <f>IF(Yardi!J55&lt;&gt;0,"@","")</f>
        <v/>
      </c>
    </row>
    <row r="57" spans="1:8" x14ac:dyDescent="0.35">
      <c r="A57" t="str">
        <f>IF(Yardi!I56&lt;&gt;0,Yardi!I56,"")</f>
        <v>'c6us087a</v>
      </c>
      <c r="B57" t="str">
        <f>IF(Yardi!K56&lt;&gt;0,CONCATENATE("RE",Yardi!K56),"")</f>
        <v>RE5500-2100</v>
      </c>
      <c r="C57" t="str">
        <f>IF(Yardi!J56&lt;&gt;0,Yardi!J56,"")</f>
        <v/>
      </c>
      <c r="D57" t="str">
        <f>_xlfn.TEXTJOIN(" ",TRUE,TEXT('Input-Instructions'!$B$6,"MM/YY"),'Real Estate Taxes'!$G$21,,"ACC")</f>
        <v>09/26 Real Estate Tax Advisory / Consulting Fees ACC</v>
      </c>
      <c r="E57" t="str">
        <f>IF(Yardi!O56&lt;&gt;0,"USD","")</f>
        <v>USD</v>
      </c>
      <c r="F57" t="str">
        <f>IF(Yardi!J56&lt;&gt;0,Yardi!J56,"")</f>
        <v/>
      </c>
      <c r="H57" t="str">
        <f>IF(Yardi!J56&lt;&gt;0,"@","")</f>
        <v/>
      </c>
    </row>
    <row r="58" spans="1:8" x14ac:dyDescent="0.35">
      <c r="A58" t="str">
        <f>IF(Yardi!I57&lt;&gt;0,Yardi!I57,"")</f>
        <v>'c6us087a</v>
      </c>
      <c r="B58" t="str">
        <f>IF(Yardi!K57&lt;&gt;0,CONCATENATE("RE",Yardi!K57),"")</f>
        <v>RE2611-3110</v>
      </c>
      <c r="C58" t="str">
        <f>IF(Yardi!J57&lt;&gt;0,Yardi!J57,"")</f>
        <v/>
      </c>
      <c r="D58" t="str">
        <f>_xlfn.TEXTJOIN(" ",TRUE,TEXT('Input-Instructions'!$B$6,"MM/YY"),'Real Estate Taxes'!$G$21,,"ACC")</f>
        <v>09/26 Real Estate Tax Advisory / Consulting Fees ACC</v>
      </c>
      <c r="E58" t="str">
        <f>IF(Yardi!O57&lt;&gt;0,"USD","")</f>
        <v>USD</v>
      </c>
      <c r="F58" t="str">
        <f>IF(Yardi!J57&lt;&gt;0,Yardi!J57,"")</f>
        <v/>
      </c>
      <c r="H58" t="str">
        <f>IF(Yardi!J57&lt;&gt;0,"@","")</f>
        <v/>
      </c>
    </row>
    <row r="59" spans="1:8" x14ac:dyDescent="0.35">
      <c r="A59" t="str">
        <f>IF(Yardi!I58&lt;&gt;0,Yardi!I58,"")</f>
        <v>'c6us087a</v>
      </c>
      <c r="B59" t="str">
        <f>IF(Yardi!K58&lt;&gt;0,CONCATENATE("RE",Yardi!K58),"")</f>
        <v>RE5500-5110</v>
      </c>
      <c r="C59" t="str">
        <f>IF(Yardi!J58&lt;&gt;0,Yardi!J58,"")</f>
        <v/>
      </c>
      <c r="D59" t="str">
        <f>_xlfn.TEXTJOIN(" ",TRUE,TEXT('Input-Instructions'!$B$6,"MM/YY"),'Real Estate Taxes'!$G$22,,"ACC")</f>
        <v>09/26 Other Taxes ACC</v>
      </c>
      <c r="E59" t="str">
        <f>IF(Yardi!O58&lt;&gt;0,"USD","")</f>
        <v>USD</v>
      </c>
      <c r="F59" t="str">
        <f>IF(Yardi!J58&lt;&gt;0,Yardi!J58,"")</f>
        <v/>
      </c>
      <c r="H59" t="str">
        <f>IF(Yardi!J58&lt;&gt;0,"@","")</f>
        <v/>
      </c>
    </row>
    <row r="60" spans="1:8" x14ac:dyDescent="0.35">
      <c r="A60" t="str">
        <f>IF(Yardi!I59&lt;&gt;0,Yardi!I59,"")</f>
        <v>'c6us087a</v>
      </c>
      <c r="B60" t="str">
        <f>IF(Yardi!K59&lt;&gt;0,CONCATENATE("RE",Yardi!K59),"")</f>
        <v>RE2611-3110</v>
      </c>
      <c r="C60" t="str">
        <f>IF(Yardi!J59&lt;&gt;0,Yardi!J59,"")</f>
        <v/>
      </c>
      <c r="D60" t="str">
        <f>_xlfn.TEXTJOIN(" ",TRUE,TEXT('Input-Instructions'!$B$6,"MM/YY"),'Real Estate Taxes'!$G$22,,"ACC")</f>
        <v>09/26 Other Taxes ACC</v>
      </c>
      <c r="E60" t="str">
        <f>IF(Yardi!O59&lt;&gt;0,"USD","")</f>
        <v>USD</v>
      </c>
      <c r="F60" t="str">
        <f>IF(Yardi!J59&lt;&gt;0,Yardi!J59,"")</f>
        <v/>
      </c>
      <c r="H60" t="str">
        <f>IF(Yardi!J59&lt;&gt;0,"@","")</f>
        <v/>
      </c>
    </row>
    <row r="61" spans="1:8" x14ac:dyDescent="0.35">
      <c r="A61" t="str">
        <f>IF(Yardi!I60&lt;&gt;0,Yardi!I60,"")</f>
        <v>'c6us087a</v>
      </c>
      <c r="B61" t="str">
        <f>IF(Yardi!K60&lt;&gt;0,CONCATENATE("RE",Yardi!K60),"")</f>
        <v>RE5500-6100</v>
      </c>
      <c r="C61" t="str">
        <f>IF(Yardi!J60&lt;&gt;0,Yardi!J60,"")</f>
        <v/>
      </c>
      <c r="D61" t="str">
        <f>_xlfn.TEXTJOIN(" ",TRUE,TEXT('Input-Instructions'!$B$6,"MM/YY"),'Real Estate Taxes'!$G$23,,"ACC")</f>
        <v>09/26 Personal Property Taxes / Business Licences ACC</v>
      </c>
      <c r="E61" t="str">
        <f>IF(Yardi!O60&lt;&gt;0,"USD","")</f>
        <v>USD</v>
      </c>
      <c r="F61" t="str">
        <f>IF(Yardi!J60&lt;&gt;0,Yardi!J60,"")</f>
        <v/>
      </c>
      <c r="H61" t="str">
        <f>IF(Yardi!J60&lt;&gt;0,"@","")</f>
        <v/>
      </c>
    </row>
    <row r="62" spans="1:8" x14ac:dyDescent="0.35">
      <c r="A62" t="str">
        <f>IF(Yardi!I61&lt;&gt;0,Yardi!I61,"")</f>
        <v>'c6us087a</v>
      </c>
      <c r="B62" t="str">
        <f>IF(Yardi!K61&lt;&gt;0,CONCATENATE("RE",Yardi!K61),"")</f>
        <v>RE2611-3110</v>
      </c>
      <c r="C62" t="str">
        <f>IF(Yardi!J61&lt;&gt;0,Yardi!J61,"")</f>
        <v/>
      </c>
      <c r="D62" t="str">
        <f>_xlfn.TEXTJOIN(" ",TRUE,TEXT('Input-Instructions'!$B$6,"MM/YY"),'Real Estate Taxes'!$G$23,,"ACC")</f>
        <v>09/26 Personal Property Taxes / Business Licences ACC</v>
      </c>
      <c r="E62" t="str">
        <f>IF(Yardi!O61&lt;&gt;0,"USD","")</f>
        <v>USD</v>
      </c>
      <c r="F62" t="str">
        <f>IF(Yardi!J61&lt;&gt;0,Yardi!J61,"")</f>
        <v/>
      </c>
      <c r="H62" t="str">
        <f>IF(Yardi!J61&lt;&gt;0,"@","")</f>
        <v/>
      </c>
    </row>
    <row r="63" spans="1:8" x14ac:dyDescent="0.35">
      <c r="A63" t="str">
        <f>IF(Yardi!I62&lt;&gt;0,Yardi!I62,"")</f>
        <v>'c6us087a</v>
      </c>
      <c r="B63" t="str">
        <f>IF(Yardi!K62&lt;&gt;0,CONCATENATE("RE",Yardi!K62),"")</f>
        <v/>
      </c>
      <c r="C63" t="str">
        <f>IF(Yardi!J62&lt;&gt;0,Yardi!J62,"")</f>
        <v/>
      </c>
      <c r="D63" t="str">
        <f>_xlfn.TEXTJOIN(" ",TRUE,TEXT('Input-Instructions'!$B$6,"MM/YY"),'Real Estate Taxes'!$G$28,,"ACC")</f>
        <v>09/26 ACC</v>
      </c>
      <c r="E63" t="str">
        <f>IF(Yardi!O62&lt;&gt;0,"USD","")</f>
        <v>USD</v>
      </c>
      <c r="F63" t="str">
        <f>IF(Yardi!J62&lt;&gt;0,Yardi!J62,"")</f>
        <v/>
      </c>
      <c r="H63" t="str">
        <f>IF(Yardi!J62&lt;&gt;0,"@","")</f>
        <v/>
      </c>
    </row>
    <row r="64" spans="1:8" x14ac:dyDescent="0.35">
      <c r="A64" t="str">
        <f>IF(Yardi!I63&lt;&gt;0,Yardi!I63,"")</f>
        <v>'c6us087a</v>
      </c>
      <c r="B64" t="str">
        <f>IF(Yardi!K63&lt;&gt;0,CONCATENATE("RE",Yardi!K63),"")</f>
        <v>RE2611-3110</v>
      </c>
      <c r="C64" t="str">
        <f>IF(Yardi!J63&lt;&gt;0,Yardi!J63,"")</f>
        <v/>
      </c>
      <c r="D64" t="str">
        <f>_xlfn.TEXTJOIN(" ",TRUE,TEXT('Input-Instructions'!$B$6,"MM/YY"),'Real Estate Taxes'!$G$28,,"ACC")</f>
        <v>09/26 ACC</v>
      </c>
      <c r="E64" t="str">
        <f>IF(Yardi!O63&lt;&gt;0,"USD","")</f>
        <v>USD</v>
      </c>
      <c r="F64" t="str">
        <f>IF(Yardi!J63&lt;&gt;0,Yardi!J63,"")</f>
        <v/>
      </c>
      <c r="H64" t="str">
        <f>IF(Yardi!J63&lt;&gt;0,"@","")</f>
        <v/>
      </c>
    </row>
    <row r="65" spans="1:8" x14ac:dyDescent="0.35">
      <c r="A65" t="str">
        <f>IF(Yardi!I64&lt;&gt;0,Yardi!I64,"")</f>
        <v>'c6us087a</v>
      </c>
      <c r="B65" t="str">
        <f>IF(Yardi!K64&lt;&gt;0,CONCATENATE("RE",Yardi!K64),"")</f>
        <v/>
      </c>
      <c r="C65" t="str">
        <f>IF(Yardi!J64&lt;&gt;0,Yardi!J64,"")</f>
        <v/>
      </c>
      <c r="D65" t="str">
        <f>_xlfn.TEXTJOIN(" ",TRUE,TEXT('Input-Instructions'!$B$6,"MM/YY"),'Real Estate Taxes'!$G$29,,"ACC")</f>
        <v>09/26 ACC</v>
      </c>
      <c r="E65" t="str">
        <f>IF(Yardi!O64&lt;&gt;0,"USD","")</f>
        <v>USD</v>
      </c>
      <c r="F65" t="str">
        <f>IF(Yardi!J64&lt;&gt;0,Yardi!J64,"")</f>
        <v/>
      </c>
      <c r="H65" t="str">
        <f>IF(Yardi!J64&lt;&gt;0,"@","")</f>
        <v/>
      </c>
    </row>
    <row r="66" spans="1:8" x14ac:dyDescent="0.35">
      <c r="A66" t="str">
        <f>IF(Yardi!I65&lt;&gt;0,Yardi!I65,"")</f>
        <v>'c6us087a</v>
      </c>
      <c r="B66" t="str">
        <f>IF(Yardi!K65&lt;&gt;0,CONCATENATE("RE",Yardi!K65),"")</f>
        <v>RE2611-3110</v>
      </c>
      <c r="C66" t="str">
        <f>IF(Yardi!J65&lt;&gt;0,Yardi!J65,"")</f>
        <v/>
      </c>
      <c r="D66" t="str">
        <f>_xlfn.TEXTJOIN(" ",TRUE,TEXT('Input-Instructions'!$B$6,"MM/YY"),'Real Estate Taxes'!$G$29,,"ACC")</f>
        <v>09/26 ACC</v>
      </c>
      <c r="E66" t="str">
        <f>IF(Yardi!O65&lt;&gt;0,"USD","")</f>
        <v>USD</v>
      </c>
      <c r="F66" t="str">
        <f>IF(Yardi!J65&lt;&gt;0,Yardi!J65,"")</f>
        <v/>
      </c>
      <c r="H66" t="str">
        <f>IF(Yardi!J65&lt;&gt;0,"@","")</f>
        <v/>
      </c>
    </row>
    <row r="67" spans="1:8" x14ac:dyDescent="0.35">
      <c r="A67" t="str">
        <f>IF(Yardi!I66&lt;&gt;0,Yardi!I66,"")</f>
        <v>'c6us087a</v>
      </c>
      <c r="B67" t="str">
        <f>IF(Yardi!K66&lt;&gt;0,CONCATENATE("RE",Yardi!K66),"")</f>
        <v>RE5890-6600</v>
      </c>
      <c r="C67" t="str">
        <f>IF(Yardi!J66&lt;&gt;0,Yardi!J66,"")</f>
        <v/>
      </c>
      <c r="D67" t="str">
        <f>_xlfn.TEXTJOIN(" ",TRUE,TEXT('Input-Instructions'!$B$6,"MM/YY"),"PPD",'Prepaid Other'!$F$6,"Amort")</f>
        <v>09/26 PPD Hello data Property reports Amort</v>
      </c>
      <c r="E67" t="str">
        <f>IF(Yardi!O66&lt;&gt;0,"USD","")</f>
        <v>USD</v>
      </c>
      <c r="F67" t="str">
        <f>IF(Yardi!J66&lt;&gt;0,Yardi!J66,"")</f>
        <v/>
      </c>
      <c r="H67" t="str">
        <f>IF(Yardi!J66&lt;&gt;0,"@","")</f>
        <v/>
      </c>
    </row>
    <row r="68" spans="1:8" x14ac:dyDescent="0.35">
      <c r="A68" t="str">
        <f>IF(Yardi!I67&lt;&gt;0,Yardi!I67,"")</f>
        <v>'c6us087a</v>
      </c>
      <c r="B68" t="str">
        <f>IF(Yardi!K67&lt;&gt;0,CONCATENATE("RE",Yardi!K67),"")</f>
        <v>RE1630-8910</v>
      </c>
      <c r="C68" t="str">
        <f>IF(Yardi!J67&lt;&gt;0,Yardi!J67,"")</f>
        <v/>
      </c>
      <c r="D68" t="str">
        <f>_xlfn.TEXTJOIN(" ",TRUE,TEXT('Input-Instructions'!$B$6,"MM/YY"),"PPD",'Prepaid Other'!$F$6,"Amort")</f>
        <v>09/26 PPD Hello data Property reports Amort</v>
      </c>
      <c r="E68" t="str">
        <f>IF(Yardi!O67&lt;&gt;0,"USD","")</f>
        <v>USD</v>
      </c>
      <c r="F68" t="str">
        <f>IF(Yardi!J67&lt;&gt;0,Yardi!J67,"")</f>
        <v/>
      </c>
      <c r="H68" t="str">
        <f>IF(Yardi!J67&lt;&gt;0,"@","")</f>
        <v/>
      </c>
    </row>
    <row r="69" spans="1:8" x14ac:dyDescent="0.35">
      <c r="A69" t="str">
        <f>IF(Yardi!I68&lt;&gt;0,Yardi!I68,"")</f>
        <v>'c6us087a</v>
      </c>
      <c r="B69" t="e">
        <f>IF(Yardi!K68&lt;&gt;0,CONCATENATE("RE",Yardi!K68),"")</f>
        <v>#REF!</v>
      </c>
      <c r="C69" t="str">
        <f>IF(Yardi!J68&lt;&gt;0,Yardi!J68,"")</f>
        <v/>
      </c>
      <c r="D69" t="e">
        <f>_xlfn.TEXTJOIN(" ",TRUE,TEXT('Input-Instructions'!$B$6,"MM/YY"),"PPD",'Prepaid Other'!#REF!,"Amort")</f>
        <v>#REF!</v>
      </c>
      <c r="E69" t="e">
        <f>IF(Yardi!O68&lt;&gt;0,"USD","")</f>
        <v>#REF!</v>
      </c>
      <c r="F69" t="str">
        <f>IF(Yardi!J68&lt;&gt;0,Yardi!J68,"")</f>
        <v/>
      </c>
      <c r="H69" t="str">
        <f>IF(Yardi!J68&lt;&gt;0,"@","")</f>
        <v/>
      </c>
    </row>
    <row r="70" spans="1:8" x14ac:dyDescent="0.35">
      <c r="A70" t="str">
        <f>IF(Yardi!I69&lt;&gt;0,Yardi!I69,"")</f>
        <v>'c6us087a</v>
      </c>
      <c r="B70" t="str">
        <f>IF(Yardi!K69&lt;&gt;0,CONCATENATE("RE",Yardi!K69),"")</f>
        <v>RE1630-8910</v>
      </c>
      <c r="C70" t="str">
        <f>IF(Yardi!J69&lt;&gt;0,Yardi!J69,"")</f>
        <v/>
      </c>
      <c r="D70" t="e">
        <f>_xlfn.TEXTJOIN(" ",TRUE,TEXT('Input-Instructions'!$B$6,"MM/YY"),"PPD",'Prepaid Other'!#REF!,"Amort")</f>
        <v>#REF!</v>
      </c>
      <c r="E70" t="e">
        <f>IF(Yardi!O69&lt;&gt;0,"USD","")</f>
        <v>#REF!</v>
      </c>
      <c r="F70" t="str">
        <f>IF(Yardi!J69&lt;&gt;0,Yardi!J69,"")</f>
        <v/>
      </c>
      <c r="H70" t="str">
        <f>IF(Yardi!J69&lt;&gt;0,"@","")</f>
        <v/>
      </c>
    </row>
    <row r="71" spans="1:8" x14ac:dyDescent="0.35">
      <c r="A71" t="str">
        <f>IF(Yardi!I70&lt;&gt;0,Yardi!I70,"")</f>
        <v>'c6us087a</v>
      </c>
      <c r="B71" t="e">
        <f>IF(Yardi!K70&lt;&gt;0,CONCATENATE("RE",Yardi!K70),"")</f>
        <v>#REF!</v>
      </c>
      <c r="C71" t="str">
        <f>IF(Yardi!J70&lt;&gt;0,Yardi!J70,"")</f>
        <v/>
      </c>
      <c r="D71" t="e">
        <f>_xlfn.TEXTJOIN(" ",TRUE,TEXT('Input-Instructions'!$B$6,"MM/YY"),"PPD",'Prepaid Other'!#REF!,"Amort")</f>
        <v>#REF!</v>
      </c>
      <c r="E71" t="e">
        <f>IF(Yardi!O70&lt;&gt;0,"USD","")</f>
        <v>#REF!</v>
      </c>
      <c r="F71" t="str">
        <f>IF(Yardi!J70&lt;&gt;0,Yardi!J70,"")</f>
        <v/>
      </c>
      <c r="H71" t="str">
        <f>IF(Yardi!J70&lt;&gt;0,"@","")</f>
        <v/>
      </c>
    </row>
    <row r="72" spans="1:8" x14ac:dyDescent="0.35">
      <c r="A72" t="str">
        <f>IF(Yardi!I71&lt;&gt;0,Yardi!I71,"")</f>
        <v>'c6us087a</v>
      </c>
      <c r="B72" t="str">
        <f>IF(Yardi!K71&lt;&gt;0,CONCATENATE("RE",Yardi!K71),"")</f>
        <v>RE1630-8910</v>
      </c>
      <c r="C72" t="str">
        <f>IF(Yardi!J71&lt;&gt;0,Yardi!J71,"")</f>
        <v/>
      </c>
      <c r="D72" t="e">
        <f>_xlfn.TEXTJOIN(" ",TRUE,TEXT('Input-Instructions'!$B$6,"MM/YY"),"PPD",'Prepaid Other'!#REF!,"Amort")</f>
        <v>#REF!</v>
      </c>
      <c r="E72" t="e">
        <f>IF(Yardi!O71&lt;&gt;0,"USD","")</f>
        <v>#REF!</v>
      </c>
      <c r="F72" t="str">
        <f>IF(Yardi!J71&lt;&gt;0,Yardi!J71,"")</f>
        <v/>
      </c>
      <c r="H72" t="str">
        <f>IF(Yardi!J71&lt;&gt;0,"@","")</f>
        <v/>
      </c>
    </row>
    <row r="73" spans="1:8" x14ac:dyDescent="0.35">
      <c r="A73" t="str">
        <f>IF(Yardi!I72&lt;&gt;0,Yardi!I72,"")</f>
        <v>'c6us087a</v>
      </c>
      <c r="B73" t="e">
        <f>IF(Yardi!K72&lt;&gt;0,CONCATENATE("RE",Yardi!K72),"")</f>
        <v>#REF!</v>
      </c>
      <c r="C73" t="str">
        <f>IF(Yardi!J72&lt;&gt;0,Yardi!J72,"")</f>
        <v/>
      </c>
      <c r="D73" t="e">
        <f>_xlfn.TEXTJOIN(" ",TRUE,TEXT('Input-Instructions'!$B$6,"MM/YY"),"PPD",'Prepaid Other'!#REF!,"Amort")</f>
        <v>#REF!</v>
      </c>
      <c r="E73" t="e">
        <f>IF(Yardi!O72&lt;&gt;0,"USD","")</f>
        <v>#REF!</v>
      </c>
      <c r="F73" t="str">
        <f>IF(Yardi!J72&lt;&gt;0,Yardi!J72,"")</f>
        <v/>
      </c>
      <c r="H73" t="str">
        <f>IF(Yardi!J72&lt;&gt;0,"@","")</f>
        <v/>
      </c>
    </row>
    <row r="74" spans="1:8" x14ac:dyDescent="0.35">
      <c r="A74" t="str">
        <f>IF(Yardi!I73&lt;&gt;0,Yardi!I73,"")</f>
        <v>'c6us087a</v>
      </c>
      <c r="B74" t="str">
        <f>IF(Yardi!K73&lt;&gt;0,CONCATENATE("RE",Yardi!K73),"")</f>
        <v>RE1630-8910</v>
      </c>
      <c r="C74" t="str">
        <f>IF(Yardi!J73&lt;&gt;0,Yardi!J73,"")</f>
        <v/>
      </c>
      <c r="D74" t="e">
        <f>_xlfn.TEXTJOIN(" ",TRUE,TEXT('Input-Instructions'!$B$6,"MM/YY"),"PPD",'Prepaid Other'!#REF!,"Amort")</f>
        <v>#REF!</v>
      </c>
      <c r="E74" t="e">
        <f>IF(Yardi!O73&lt;&gt;0,"USD","")</f>
        <v>#REF!</v>
      </c>
      <c r="F74" t="str">
        <f>IF(Yardi!J73&lt;&gt;0,Yardi!J73,"")</f>
        <v/>
      </c>
      <c r="H74" t="str">
        <f>IF(Yardi!J73&lt;&gt;0,"@","")</f>
        <v/>
      </c>
    </row>
    <row r="75" spans="1:8" x14ac:dyDescent="0.35">
      <c r="A75" t="str">
        <f>IF(Yardi!I74&lt;&gt;0,Yardi!I74,"")</f>
        <v>'c6us087a</v>
      </c>
      <c r="B75" t="str">
        <f>IF(Yardi!K74&lt;&gt;0,CONCATENATE("RE",Yardi!K74),"")</f>
        <v>RE5890-6350</v>
      </c>
      <c r="C75" t="str">
        <f>IF(Yardi!J74&lt;&gt;0,Yardi!J74,"")</f>
        <v/>
      </c>
      <c r="D75" t="str">
        <f>_xlfn.TEXTJOIN(" ",TRUE,TEXT('Input-Instructions'!$B$6,"MM/YY"),"PPD",'Prepaid Other'!$F$7,"Amort")</f>
        <v>09/26 PPD Cobu Subscription - For the period 5/1/25 - 4/30/26 Amort</v>
      </c>
      <c r="E75" t="str">
        <f>IF(Yardi!O74&lt;&gt;0,"USD","")</f>
        <v>USD</v>
      </c>
      <c r="F75" t="str">
        <f>IF(Yardi!J74&lt;&gt;0,Yardi!J74,"")</f>
        <v/>
      </c>
      <c r="H75" t="str">
        <f>IF(Yardi!J74&lt;&gt;0,"@","")</f>
        <v/>
      </c>
    </row>
    <row r="76" spans="1:8" x14ac:dyDescent="0.35">
      <c r="A76" t="str">
        <f>IF(Yardi!I75&lt;&gt;0,Yardi!I75,"")</f>
        <v>'c6us087a</v>
      </c>
      <c r="B76" t="str">
        <f>IF(Yardi!K75&lt;&gt;0,CONCATENATE("RE",Yardi!K75),"")</f>
        <v>RE1630-8910</v>
      </c>
      <c r="C76" t="str">
        <f>IF(Yardi!J75&lt;&gt;0,Yardi!J75,"")</f>
        <v/>
      </c>
      <c r="D76" t="str">
        <f>_xlfn.TEXTJOIN(" ",TRUE,TEXT('Input-Instructions'!$B$6,"MM/YY"),"PPD",'Prepaid Other'!$F$7,"Amort")</f>
        <v>09/26 PPD Cobu Subscription - For the period 5/1/25 - 4/30/26 Amort</v>
      </c>
      <c r="E76" t="str">
        <f>IF(Yardi!O75&lt;&gt;0,"USD","")</f>
        <v>USD</v>
      </c>
      <c r="F76" t="str">
        <f>IF(Yardi!J75&lt;&gt;0,Yardi!J75,"")</f>
        <v/>
      </c>
      <c r="H76" t="str">
        <f>IF(Yardi!J75&lt;&gt;0,"@","")</f>
        <v/>
      </c>
    </row>
    <row r="77" spans="1:8" x14ac:dyDescent="0.35">
      <c r="A77" t="str">
        <f>IF(Yardi!I76&lt;&gt;0,Yardi!I76,"")</f>
        <v>'c6us087a</v>
      </c>
      <c r="B77" t="str">
        <f>IF(Yardi!K76&lt;&gt;0,CONCATENATE("RE",Yardi!K76),"")</f>
        <v>RE5600-4000</v>
      </c>
      <c r="C77" t="str">
        <f>IF(Yardi!J76&lt;&gt;0,Yardi!J76,"")</f>
        <v/>
      </c>
      <c r="D77" t="str">
        <f>_xlfn.TEXTJOIN(" ",TRUE,TEXT('Input-Instructions'!$B$6,"MM/YY"),"PPD",'Prepaid Other'!$F$8,"Amort")</f>
        <v>09/26 PPD Annual Support Fee - Locker | July 2025 - June 2026 Luxer One Amort</v>
      </c>
      <c r="E77" t="str">
        <f>IF(Yardi!O76&lt;&gt;0,"USD","")</f>
        <v>USD</v>
      </c>
      <c r="F77" t="str">
        <f>IF(Yardi!J76&lt;&gt;0,Yardi!J76,"")</f>
        <v/>
      </c>
      <c r="H77" t="str">
        <f>IF(Yardi!J76&lt;&gt;0,"@","")</f>
        <v/>
      </c>
    </row>
    <row r="78" spans="1:8" x14ac:dyDescent="0.35">
      <c r="A78" t="str">
        <f>IF(Yardi!I77&lt;&gt;0,Yardi!I77,"")</f>
        <v>'c6us087a</v>
      </c>
      <c r="B78" t="str">
        <f>IF(Yardi!K77&lt;&gt;0,CONCATENATE("RE",Yardi!K77),"")</f>
        <v>RE1630-8910</v>
      </c>
      <c r="C78" t="str">
        <f>IF(Yardi!J77&lt;&gt;0,Yardi!J77,"")</f>
        <v/>
      </c>
      <c r="D78" t="str">
        <f>_xlfn.TEXTJOIN(" ",TRUE,TEXT('Input-Instructions'!$B$6,"MM/YY"),"PPD",'Prepaid Other'!$F$8,"Amort")</f>
        <v>09/26 PPD Annual Support Fee - Locker | July 2025 - June 2026 Luxer One Amort</v>
      </c>
      <c r="E78" t="str">
        <f>IF(Yardi!O77&lt;&gt;0,"USD","")</f>
        <v>USD</v>
      </c>
      <c r="F78" t="str">
        <f>IF(Yardi!J77&lt;&gt;0,Yardi!J77,"")</f>
        <v/>
      </c>
      <c r="H78" t="str">
        <f>IF(Yardi!J77&lt;&gt;0,"@","")</f>
        <v/>
      </c>
    </row>
    <row r="79" spans="1:8" x14ac:dyDescent="0.35">
      <c r="A79" t="str">
        <f>IF(Yardi!I78&lt;&gt;0,Yardi!I78,"")</f>
        <v>'c6us087a</v>
      </c>
      <c r="B79" t="str">
        <f>IF(Yardi!K78&lt;&gt;0,CONCATENATE("RE",Yardi!K78),"")</f>
        <v>RE5890-6800</v>
      </c>
      <c r="C79" t="str">
        <f>IF(Yardi!J78&lt;&gt;0,Yardi!J78,"")</f>
        <v/>
      </c>
      <c r="D79" t="str">
        <f>_xlfn.TEXTJOIN(" ",TRUE,TEXT('Input-Instructions'!$B$6,"MM/YY"),"PPD",'Prepaid Other'!$F$9,"Amort")</f>
        <v>09/26 PPD 01/26 Graphic Design Tool Renewal Service Period:03/2026 - 12/2026 Amort</v>
      </c>
      <c r="E79" t="str">
        <f>IF(Yardi!O78&lt;&gt;0,"USD","")</f>
        <v>USD</v>
      </c>
      <c r="F79" t="str">
        <f>IF(Yardi!J78&lt;&gt;0,Yardi!J78,"")</f>
        <v/>
      </c>
      <c r="H79" t="str">
        <f>IF(Yardi!J78&lt;&gt;0,"@","")</f>
        <v/>
      </c>
    </row>
    <row r="80" spans="1:8" x14ac:dyDescent="0.35">
      <c r="A80" t="str">
        <f>IF(Yardi!I79&lt;&gt;0,Yardi!I79,"")</f>
        <v>'c6us087a</v>
      </c>
      <c r="B80" t="str">
        <f>IF(Yardi!K79&lt;&gt;0,CONCATENATE("RE",Yardi!K79),"")</f>
        <v>RE1630-8910</v>
      </c>
      <c r="C80" t="str">
        <f>IF(Yardi!J79&lt;&gt;0,Yardi!J79,"")</f>
        <v/>
      </c>
      <c r="D80" t="str">
        <f>_xlfn.TEXTJOIN(" ",TRUE,TEXT('Input-Instructions'!$B$6,"MM/YY"),"PPD",'Prepaid Other'!$F$9,"Amort")</f>
        <v>09/26 PPD 01/26 Graphic Design Tool Renewal Service Period:03/2026 - 12/2026 Amort</v>
      </c>
      <c r="E80" t="str">
        <f>IF(Yardi!O79&lt;&gt;0,"USD","")</f>
        <v>USD</v>
      </c>
      <c r="F80" t="str">
        <f>IF(Yardi!J79&lt;&gt;0,Yardi!J79,"")</f>
        <v/>
      </c>
      <c r="H80" t="str">
        <f>IF(Yardi!J79&lt;&gt;0,"@","")</f>
        <v/>
      </c>
    </row>
    <row r="81" spans="1:8" x14ac:dyDescent="0.35">
      <c r="A81" t="str">
        <f>IF(Yardi!I80&lt;&gt;0,Yardi!I80,"")</f>
        <v>'c6us087a</v>
      </c>
      <c r="B81" t="str">
        <f>IF(Yardi!K80&lt;&gt;0,CONCATENATE("RE",Yardi!K80),"")</f>
        <v>RE5600-4000</v>
      </c>
      <c r="C81" t="str">
        <f>IF(Yardi!J80&lt;&gt;0,Yardi!J80,"")</f>
        <v/>
      </c>
      <c r="D81" t="str">
        <f>_xlfn.TEXTJOIN(" ",TRUE,TEXT('Input-Instructions'!$B$6,"MM/YY"),"PPD",'Prepaid Other'!$F$10,"Amort")</f>
        <v>09/26 PPD June Service Fees Amort</v>
      </c>
      <c r="E81" t="str">
        <f>IF(Yardi!O80&lt;&gt;0,"USD","")</f>
        <v>USD</v>
      </c>
      <c r="F81" t="str">
        <f>IF(Yardi!J80&lt;&gt;0,Yardi!J80,"")</f>
        <v/>
      </c>
      <c r="H81" t="str">
        <f>IF(Yardi!J80&lt;&gt;0,"@","")</f>
        <v/>
      </c>
    </row>
    <row r="82" spans="1:8" x14ac:dyDescent="0.35">
      <c r="A82" t="str">
        <f>IF(Yardi!I81&lt;&gt;0,Yardi!I81,"")</f>
        <v>'c6us087a</v>
      </c>
      <c r="B82" t="str">
        <f>IF(Yardi!K81&lt;&gt;0,CONCATENATE("RE",Yardi!K81),"")</f>
        <v>RE1630-8910</v>
      </c>
      <c r="C82" t="str">
        <f>IF(Yardi!J81&lt;&gt;0,Yardi!J81,"")</f>
        <v/>
      </c>
      <c r="D82" t="str">
        <f>_xlfn.TEXTJOIN(" ",TRUE,TEXT('Input-Instructions'!$B$6,"MM/YY"),"PPD",'Prepaid Other'!$F$10,"Amort")</f>
        <v>09/26 PPD June Service Fees Amort</v>
      </c>
      <c r="E82" t="str">
        <f>IF(Yardi!O81&lt;&gt;0,"USD","")</f>
        <v>USD</v>
      </c>
      <c r="F82" t="str">
        <f>IF(Yardi!J81&lt;&gt;0,Yardi!J81,"")</f>
        <v/>
      </c>
      <c r="H82" t="str">
        <f>IF(Yardi!J81&lt;&gt;0,"@","")</f>
        <v/>
      </c>
    </row>
    <row r="83" spans="1:8" x14ac:dyDescent="0.35">
      <c r="A83" t="str">
        <f>IF(Yardi!I82&lt;&gt;0,Yardi!I82,"")</f>
        <v>'c6us087a</v>
      </c>
      <c r="B83" t="str">
        <f>IF(Yardi!K82&lt;&gt;0,CONCATENATE("RE",Yardi!K82),"")</f>
        <v>RE5890-6100</v>
      </c>
      <c r="C83">
        <f>IF(Yardi!J82&lt;&gt;0,Yardi!J82,"")</f>
        <v>172.85</v>
      </c>
      <c r="D83" t="str">
        <f>_xlfn.TEXTJOIN(" ",TRUE,TEXT('Input-Instructions'!$B$6,"MM/YY"),"PPD",'Prepaid Other'!$F$11,"Amort")</f>
        <v>09/26 PPD 04/26 ORM Yearly Renewal - Full Bundle 0426ORM|rpresshi| (07/26-03/27) Amort</v>
      </c>
      <c r="E83" t="str">
        <f>IF(Yardi!O82&lt;&gt;0,"USD","")</f>
        <v>USD</v>
      </c>
      <c r="F83">
        <f>IF(Yardi!J82&lt;&gt;0,Yardi!J82,"")</f>
        <v>172.85</v>
      </c>
      <c r="H83" t="str">
        <f>IF(Yardi!J82&lt;&gt;0,"@","")</f>
        <v>@</v>
      </c>
    </row>
    <row r="84" spans="1:8" x14ac:dyDescent="0.35">
      <c r="A84" t="str">
        <f>IF(Yardi!I83&lt;&gt;0,Yardi!I83,"")</f>
        <v>'c6us087a</v>
      </c>
      <c r="B84" t="str">
        <f>IF(Yardi!K83&lt;&gt;0,CONCATENATE("RE",Yardi!K83),"")</f>
        <v>RE1630-8910</v>
      </c>
      <c r="C84">
        <f>IF(Yardi!J83&lt;&gt;0,Yardi!J83,"")</f>
        <v>-172.85</v>
      </c>
      <c r="D84" t="str">
        <f>_xlfn.TEXTJOIN(" ",TRUE,TEXT('Input-Instructions'!$B$6,"MM/YY"),"PPD",'Prepaid Other'!$F$11,"Amort")</f>
        <v>09/26 PPD 04/26 ORM Yearly Renewal - Full Bundle 0426ORM|rpresshi| (07/26-03/27) Amort</v>
      </c>
      <c r="E84" t="str">
        <f>IF(Yardi!O83&lt;&gt;0,"USD","")</f>
        <v>USD</v>
      </c>
      <c r="F84">
        <f>IF(Yardi!J83&lt;&gt;0,Yardi!J83,"")</f>
        <v>-172.85</v>
      </c>
      <c r="H84" t="str">
        <f>IF(Yardi!J83&lt;&gt;0,"@","")</f>
        <v>@</v>
      </c>
    </row>
    <row r="85" spans="1:8" x14ac:dyDescent="0.35">
      <c r="A85" t="str">
        <f>IF(Yardi!I84&lt;&gt;0,Yardi!I84,"")</f>
        <v>'c6us087a</v>
      </c>
      <c r="B85" t="str">
        <f>IF(Yardi!K84&lt;&gt;0,CONCATENATE("RE",Yardi!K84),"")</f>
        <v>RE5400-1200</v>
      </c>
      <c r="C85" t="str">
        <f>IF(Yardi!J84&lt;&gt;0,Yardi!J84,"")</f>
        <v/>
      </c>
      <c r="D85" t="str">
        <f>_xlfn.TEXTJOIN(" ",TRUE,TEXT('Input-Instructions'!$B$6,"MM/YY"),"PPD",'Prepaid Other'!$F$12,"Amort")</f>
        <v>09/26 PPD Propane and Fees Amort</v>
      </c>
      <c r="E85" t="str">
        <f>IF(Yardi!O84&lt;&gt;0,"USD","")</f>
        <v>USD</v>
      </c>
      <c r="F85" t="str">
        <f>IF(Yardi!J84&lt;&gt;0,Yardi!J84,"")</f>
        <v/>
      </c>
      <c r="H85" t="str">
        <f>IF(Yardi!J84&lt;&gt;0,"@","")</f>
        <v/>
      </c>
    </row>
    <row r="86" spans="1:8" x14ac:dyDescent="0.35">
      <c r="A86" t="str">
        <f>IF(Yardi!I85&lt;&gt;0,Yardi!I85,"")</f>
        <v>'c6us087a</v>
      </c>
      <c r="B86" t="str">
        <f>IF(Yardi!K85&lt;&gt;0,CONCATENATE("RE",Yardi!K85),"")</f>
        <v>RE1630-8910</v>
      </c>
      <c r="C86" t="str">
        <f>IF(Yardi!J85&lt;&gt;0,Yardi!J85,"")</f>
        <v/>
      </c>
      <c r="D86" t="str">
        <f>_xlfn.TEXTJOIN(" ",TRUE,TEXT('Input-Instructions'!$B$6,"MM/YY"),"PPD",'Prepaid Other'!$F$12,"Amort")</f>
        <v>09/26 PPD Propane and Fees Amort</v>
      </c>
      <c r="E86" t="str">
        <f>IF(Yardi!O85&lt;&gt;0,"USD","")</f>
        <v>USD</v>
      </c>
      <c r="F86" t="str">
        <f>IF(Yardi!J85&lt;&gt;0,Yardi!J85,"")</f>
        <v/>
      </c>
      <c r="H86" t="str">
        <f>IF(Yardi!J85&lt;&gt;0,"@","")</f>
        <v/>
      </c>
    </row>
    <row r="87" spans="1:8" x14ac:dyDescent="0.35">
      <c r="A87" t="str">
        <f>IF(Yardi!I86&lt;&gt;0,Yardi!I86,"")</f>
        <v>'c6us087a</v>
      </c>
      <c r="B87" t="str">
        <f>IF(Yardi!K86&lt;&gt;0,CONCATENATE("RE",Yardi!K86),"")</f>
        <v>RE5300-4200</v>
      </c>
      <c r="C87" t="str">
        <f>IF(Yardi!J86&lt;&gt;0,Yardi!J86,"")</f>
        <v/>
      </c>
      <c r="D87" t="str">
        <f>_xlfn.TEXTJOIN(" ",TRUE,TEXT('Input-Instructions'!$B$6,"MM/YY"),"PPD",'Prepaid Other'!$F$13,"Amort")</f>
        <v>09/26 PPD 07/26 Monthly Landscape Maintenance Amort</v>
      </c>
      <c r="E87" t="str">
        <f>IF(Yardi!O86&lt;&gt;0,"USD","")</f>
        <v>USD</v>
      </c>
      <c r="F87" t="str">
        <f>IF(Yardi!J86&lt;&gt;0,Yardi!J86,"")</f>
        <v/>
      </c>
      <c r="H87" t="str">
        <f>IF(Yardi!J86&lt;&gt;0,"@","")</f>
        <v/>
      </c>
    </row>
    <row r="88" spans="1:8" x14ac:dyDescent="0.35">
      <c r="A88" t="str">
        <f>IF(Yardi!I87&lt;&gt;0,Yardi!I87,"")</f>
        <v>'c6us087a</v>
      </c>
      <c r="B88" t="str">
        <f>IF(Yardi!K87&lt;&gt;0,CONCATENATE("RE",Yardi!K87),"")</f>
        <v>RE1630-8910</v>
      </c>
      <c r="C88" t="str">
        <f>IF(Yardi!J87&lt;&gt;0,Yardi!J87,"")</f>
        <v/>
      </c>
      <c r="D88" t="str">
        <f>_xlfn.TEXTJOIN(" ",TRUE,TEXT('Input-Instructions'!$B$6,"MM/YY"),"PPD",'Prepaid Other'!$F$13,"Amort")</f>
        <v>09/26 PPD 07/26 Monthly Landscape Maintenance Amort</v>
      </c>
      <c r="E88" t="str">
        <f>IF(Yardi!O87&lt;&gt;0,"USD","")</f>
        <v>USD</v>
      </c>
      <c r="F88" t="str">
        <f>IF(Yardi!J87&lt;&gt;0,Yardi!J87,"")</f>
        <v/>
      </c>
      <c r="H88" t="str">
        <f>IF(Yardi!J87&lt;&gt;0,"@","")</f>
        <v/>
      </c>
    </row>
    <row r="89" spans="1:8" x14ac:dyDescent="0.35">
      <c r="A89" t="str">
        <f>IF(Yardi!I88&lt;&gt;0,Yardi!I88,"")</f>
        <v>'c6us087a</v>
      </c>
      <c r="B89" t="e">
        <f>IF(Yardi!K88&lt;&gt;0,CONCATENATE("RE",Yardi!K88),"")</f>
        <v>#REF!</v>
      </c>
      <c r="C89" t="str">
        <f>IF(Yardi!J88&lt;&gt;0,Yardi!J88,"")</f>
        <v/>
      </c>
      <c r="D89" t="e">
        <f>_xlfn.TEXTJOIN(" ",TRUE,TEXT('Input-Instructions'!$B$6,"MM/YY"),"PPD",'Prepaid Other'!#REF!,"Amort")</f>
        <v>#REF!</v>
      </c>
      <c r="E89" t="e">
        <f>IF(Yardi!O88&lt;&gt;0,"USD","")</f>
        <v>#REF!</v>
      </c>
      <c r="F89" t="str">
        <f>IF(Yardi!J88&lt;&gt;0,Yardi!J88,"")</f>
        <v/>
      </c>
      <c r="H89" t="str">
        <f>IF(Yardi!J88&lt;&gt;0,"@","")</f>
        <v/>
      </c>
    </row>
    <row r="90" spans="1:8" x14ac:dyDescent="0.35">
      <c r="A90" t="str">
        <f>IF(Yardi!I89&lt;&gt;0,Yardi!I89,"")</f>
        <v>'c6us087a</v>
      </c>
      <c r="B90" t="str">
        <f>IF(Yardi!K89&lt;&gt;0,CONCATENATE("RE",Yardi!K89),"")</f>
        <v>RE1630-8910</v>
      </c>
      <c r="C90" t="str">
        <f>IF(Yardi!J89&lt;&gt;0,Yardi!J89,"")</f>
        <v/>
      </c>
      <c r="D90" t="e">
        <f>_xlfn.TEXTJOIN(" ",TRUE,TEXT('Input-Instructions'!$B$6,"MM/YY"),"PPD",'Prepaid Other'!#REF!,"Amort")</f>
        <v>#REF!</v>
      </c>
      <c r="E90" t="e">
        <f>IF(Yardi!O89&lt;&gt;0,"USD","")</f>
        <v>#REF!</v>
      </c>
      <c r="F90" t="str">
        <f>IF(Yardi!J89&lt;&gt;0,Yardi!J89,"")</f>
        <v/>
      </c>
      <c r="H90" t="str">
        <f>IF(Yardi!J89&lt;&gt;0,"@","")</f>
        <v/>
      </c>
    </row>
    <row r="91" spans="1:8" x14ac:dyDescent="0.35">
      <c r="A91" t="str">
        <f>IF(Yardi!I90&lt;&gt;0,Yardi!I90,"")</f>
        <v>'c6us087a</v>
      </c>
      <c r="B91" t="e">
        <f>IF(Yardi!K90&lt;&gt;0,CONCATENATE("RE",Yardi!K90),"")</f>
        <v>#REF!</v>
      </c>
      <c r="C91" t="str">
        <f>IF(Yardi!J90&lt;&gt;0,Yardi!J90,"")</f>
        <v/>
      </c>
      <c r="D91" t="e">
        <f>_xlfn.TEXTJOIN(" ",TRUE,TEXT('Input-Instructions'!$B$6,"MM/YY"),"PPD",'Prepaid Other'!#REF!,"Amort")</f>
        <v>#REF!</v>
      </c>
      <c r="E91" t="e">
        <f>IF(Yardi!O90&lt;&gt;0,"USD","")</f>
        <v>#REF!</v>
      </c>
      <c r="F91" t="str">
        <f>IF(Yardi!J90&lt;&gt;0,Yardi!J90,"")</f>
        <v/>
      </c>
      <c r="H91" t="str">
        <f>IF(Yardi!J90&lt;&gt;0,"@","")</f>
        <v/>
      </c>
    </row>
    <row r="92" spans="1:8" x14ac:dyDescent="0.35">
      <c r="A92" t="str">
        <f>IF(Yardi!I91&lt;&gt;0,Yardi!I91,"")</f>
        <v>'c6us087a</v>
      </c>
      <c r="B92" t="str">
        <f>IF(Yardi!K91&lt;&gt;0,CONCATENATE("RE",Yardi!K91),"")</f>
        <v>RE1630-8910</v>
      </c>
      <c r="C92" t="str">
        <f>IF(Yardi!J91&lt;&gt;0,Yardi!J91,"")</f>
        <v/>
      </c>
      <c r="D92" t="e">
        <f>_xlfn.TEXTJOIN(" ",TRUE,TEXT('Input-Instructions'!$B$6,"MM/YY"),"PPD",'Prepaid Other'!#REF!,"Amort")</f>
        <v>#REF!</v>
      </c>
      <c r="E92" t="e">
        <f>IF(Yardi!O91&lt;&gt;0,"USD","")</f>
        <v>#REF!</v>
      </c>
      <c r="F92" t="str">
        <f>IF(Yardi!J91&lt;&gt;0,Yardi!J91,"")</f>
        <v/>
      </c>
      <c r="H92" t="str">
        <f>IF(Yardi!J91&lt;&gt;0,"@","")</f>
        <v/>
      </c>
    </row>
    <row r="93" spans="1:8" x14ac:dyDescent="0.35">
      <c r="A93" t="str">
        <f>IF(Yardi!I92&lt;&gt;0,Yardi!I92,"")</f>
        <v>'c6us087a</v>
      </c>
      <c r="B93" t="e">
        <f>IF(Yardi!K92&lt;&gt;0,CONCATENATE("RE",Yardi!K92),"")</f>
        <v>#REF!</v>
      </c>
      <c r="C93" t="str">
        <f>IF(Yardi!J92&lt;&gt;0,Yardi!J92,"")</f>
        <v/>
      </c>
      <c r="D93" t="e">
        <f>_xlfn.TEXTJOIN(" ",TRUE,TEXT('Input-Instructions'!$B$6,"MM/YY"),"PPD",'Prepaid Other'!#REF!,"Amort")</f>
        <v>#REF!</v>
      </c>
      <c r="E93" t="e">
        <f>IF(Yardi!O92&lt;&gt;0,"USD","")</f>
        <v>#REF!</v>
      </c>
      <c r="F93" t="str">
        <f>IF(Yardi!J92&lt;&gt;0,Yardi!J92,"")</f>
        <v/>
      </c>
      <c r="H93" t="str">
        <f>IF(Yardi!J92&lt;&gt;0,"@","")</f>
        <v/>
      </c>
    </row>
    <row r="94" spans="1:8" x14ac:dyDescent="0.35">
      <c r="A94" t="str">
        <f>IF(Yardi!I93&lt;&gt;0,Yardi!I93,"")</f>
        <v>'c6us087a</v>
      </c>
      <c r="B94" t="str">
        <f>IF(Yardi!K93&lt;&gt;0,CONCATENATE("RE",Yardi!K93),"")</f>
        <v>RE1630-8910</v>
      </c>
      <c r="C94" t="str">
        <f>IF(Yardi!J93&lt;&gt;0,Yardi!J93,"")</f>
        <v/>
      </c>
      <c r="D94" t="e">
        <f>_xlfn.TEXTJOIN(" ",TRUE,TEXT('Input-Instructions'!$B$6,"MM/YY"),"PPD",'Prepaid Other'!#REF!,"Amort")</f>
        <v>#REF!</v>
      </c>
      <c r="E94" t="e">
        <f>IF(Yardi!O93&lt;&gt;0,"USD","")</f>
        <v>#REF!</v>
      </c>
      <c r="F94" t="str">
        <f>IF(Yardi!J93&lt;&gt;0,Yardi!J93,"")</f>
        <v/>
      </c>
      <c r="H94" t="str">
        <f>IF(Yardi!J93&lt;&gt;0,"@","")</f>
        <v/>
      </c>
    </row>
    <row r="95" spans="1:8" x14ac:dyDescent="0.35">
      <c r="A95" t="str">
        <f>IF(Yardi!I94&lt;&gt;0,Yardi!I94,"")</f>
        <v>'c6us087a</v>
      </c>
      <c r="B95" t="e">
        <f>IF(Yardi!K94&lt;&gt;0,CONCATENATE("RE",Yardi!K94),"")</f>
        <v>#REF!</v>
      </c>
      <c r="C95" t="str">
        <f>IF(Yardi!J94&lt;&gt;0,Yardi!J94,"")</f>
        <v/>
      </c>
      <c r="D95" t="e">
        <f>_xlfn.TEXTJOIN(" ",TRUE,TEXT('Input-Instructions'!$B$6,"MM/YY"),"PPD",'Prepaid Other'!#REF!,"Amort")</f>
        <v>#REF!</v>
      </c>
      <c r="E95" t="e">
        <f>IF(Yardi!O94&lt;&gt;0,"USD","")</f>
        <v>#REF!</v>
      </c>
      <c r="F95" t="str">
        <f>IF(Yardi!J94&lt;&gt;0,Yardi!J94,"")</f>
        <v/>
      </c>
      <c r="H95" t="str">
        <f>IF(Yardi!J94&lt;&gt;0,"@","")</f>
        <v/>
      </c>
    </row>
    <row r="96" spans="1:8" x14ac:dyDescent="0.35">
      <c r="A96" t="str">
        <f>IF(Yardi!I95&lt;&gt;0,Yardi!I95,"")</f>
        <v>'c6us087a</v>
      </c>
      <c r="B96" t="str">
        <f>IF(Yardi!K95&lt;&gt;0,CONCATENATE("RE",Yardi!K95),"")</f>
        <v>RE1630-8910</v>
      </c>
      <c r="C96" t="str">
        <f>IF(Yardi!J95&lt;&gt;0,Yardi!J95,"")</f>
        <v/>
      </c>
      <c r="D96" t="e">
        <f>_xlfn.TEXTJOIN(" ",TRUE,TEXT('Input-Instructions'!$B$6,"MM/YY"),"PPD",'Prepaid Other'!#REF!,"Amort")</f>
        <v>#REF!</v>
      </c>
      <c r="E96" t="e">
        <f>IF(Yardi!O95&lt;&gt;0,"USD","")</f>
        <v>#REF!</v>
      </c>
      <c r="F96" t="str">
        <f>IF(Yardi!J95&lt;&gt;0,Yardi!J95,"")</f>
        <v/>
      </c>
      <c r="H96" t="str">
        <f>IF(Yardi!J95&lt;&gt;0,"@","")</f>
        <v/>
      </c>
    </row>
    <row r="97" spans="1:8" x14ac:dyDescent="0.35">
      <c r="A97" t="str">
        <f>IF(Yardi!I96&lt;&gt;0,Yardi!I96,"")</f>
        <v>'c6us087a</v>
      </c>
      <c r="B97" t="e">
        <f>IF(Yardi!K96&lt;&gt;0,CONCATENATE("RE",Yardi!K96),"")</f>
        <v>#REF!</v>
      </c>
      <c r="C97" t="str">
        <f>IF(Yardi!J96&lt;&gt;0,Yardi!J96,"")</f>
        <v/>
      </c>
      <c r="D97" t="e">
        <f>_xlfn.TEXTJOIN(" ",TRUE,TEXT('Input-Instructions'!$B$6,"MM/YY"),"PPD",'Prepaid Other'!#REF!,"Amort")</f>
        <v>#REF!</v>
      </c>
      <c r="E97" t="e">
        <f>IF(Yardi!O96&lt;&gt;0,"USD","")</f>
        <v>#REF!</v>
      </c>
      <c r="F97" t="str">
        <f>IF(Yardi!J96&lt;&gt;0,Yardi!J96,"")</f>
        <v/>
      </c>
      <c r="H97" t="str">
        <f>IF(Yardi!J96&lt;&gt;0,"@","")</f>
        <v/>
      </c>
    </row>
    <row r="98" spans="1:8" x14ac:dyDescent="0.35">
      <c r="A98" t="str">
        <f>IF(Yardi!I97&lt;&gt;0,Yardi!I97,"")</f>
        <v>'c6us087a</v>
      </c>
      <c r="B98" t="str">
        <f>IF(Yardi!K97&lt;&gt;0,CONCATENATE("RE",Yardi!K97),"")</f>
        <v>RE1630-8910</v>
      </c>
      <c r="C98" t="str">
        <f>IF(Yardi!J97&lt;&gt;0,Yardi!J97,"")</f>
        <v/>
      </c>
      <c r="D98" t="e">
        <f>_xlfn.TEXTJOIN(" ",TRUE,TEXT('Input-Instructions'!$B$6,"MM/YY"),"PPD",'Prepaid Other'!#REF!,"Amort")</f>
        <v>#REF!</v>
      </c>
      <c r="E98" t="e">
        <f>IF(Yardi!O97&lt;&gt;0,"USD","")</f>
        <v>#REF!</v>
      </c>
      <c r="F98" t="str">
        <f>IF(Yardi!J97&lt;&gt;0,Yardi!J97,"")</f>
        <v/>
      </c>
      <c r="H98" t="str">
        <f>IF(Yardi!J97&lt;&gt;0,"@","")</f>
        <v/>
      </c>
    </row>
    <row r="99" spans="1:8" x14ac:dyDescent="0.35">
      <c r="A99" t="str">
        <f>IF(Yardi!I98&lt;&gt;0,Yardi!I98,"")</f>
        <v>'c6us087a</v>
      </c>
      <c r="B99" t="e">
        <f>IF(Yardi!K98&lt;&gt;0,CONCATENATE("RE",Yardi!K98),"")</f>
        <v>#REF!</v>
      </c>
      <c r="C99" t="str">
        <f>IF(Yardi!J98&lt;&gt;0,Yardi!J98,"")</f>
        <v/>
      </c>
      <c r="D99" t="e">
        <f>_xlfn.TEXTJOIN(" ",TRUE,TEXT('Input-Instructions'!$B$6,"MM/YY"),"PPD",'Prepaid Other'!#REF!,"Amort")</f>
        <v>#REF!</v>
      </c>
      <c r="E99" t="e">
        <f>IF(Yardi!O98&lt;&gt;0,"USD","")</f>
        <v>#REF!</v>
      </c>
      <c r="F99" t="str">
        <f>IF(Yardi!J98&lt;&gt;0,Yardi!J98,"")</f>
        <v/>
      </c>
      <c r="H99" t="str">
        <f>IF(Yardi!J98&lt;&gt;0,"@","")</f>
        <v/>
      </c>
    </row>
    <row r="100" spans="1:8" x14ac:dyDescent="0.35">
      <c r="A100" t="str">
        <f>IF(Yardi!I99&lt;&gt;0,Yardi!I99,"")</f>
        <v>'c6us087a</v>
      </c>
      <c r="B100" t="str">
        <f>IF(Yardi!K99&lt;&gt;0,CONCATENATE("RE",Yardi!K99),"")</f>
        <v>RE1630-8910</v>
      </c>
      <c r="C100" t="str">
        <f>IF(Yardi!J99&lt;&gt;0,Yardi!J99,"")</f>
        <v/>
      </c>
      <c r="D100" t="e">
        <f>_xlfn.TEXTJOIN(" ",TRUE,TEXT('Input-Instructions'!$B$6,"MM/YY"),"PPD",'Prepaid Other'!#REF!,"Amort")</f>
        <v>#REF!</v>
      </c>
      <c r="E100" t="e">
        <f>IF(Yardi!O99&lt;&gt;0,"USD","")</f>
        <v>#REF!</v>
      </c>
      <c r="F100" t="str">
        <f>IF(Yardi!J99&lt;&gt;0,Yardi!J99,"")</f>
        <v/>
      </c>
      <c r="H100" t="str">
        <f>IF(Yardi!J99&lt;&gt;0,"@","")</f>
        <v/>
      </c>
    </row>
    <row r="101" spans="1:8" x14ac:dyDescent="0.35">
      <c r="A101" t="str">
        <f>IF(Yardi!I100&lt;&gt;0,Yardi!I100,"")</f>
        <v>'c6us087a</v>
      </c>
      <c r="B101" t="e">
        <f>IF(Yardi!K100&lt;&gt;0,CONCATENATE("RE",Yardi!K100),"")</f>
        <v>#REF!</v>
      </c>
      <c r="C101" t="str">
        <f>IF(Yardi!J100&lt;&gt;0,Yardi!J100,"")</f>
        <v/>
      </c>
      <c r="D101" t="e">
        <f>_xlfn.TEXTJOIN(" ",TRUE,TEXT('Input-Instructions'!$B$6,"MM/YY"),"PPD",'Prepaid Other'!#REF!,"Amort")</f>
        <v>#REF!</v>
      </c>
      <c r="E101" t="e">
        <f>IF(Yardi!O100&lt;&gt;0,"USD","")</f>
        <v>#REF!</v>
      </c>
      <c r="F101" t="str">
        <f>IF(Yardi!J100&lt;&gt;0,Yardi!J100,"")</f>
        <v/>
      </c>
      <c r="H101" t="str">
        <f>IF(Yardi!J100&lt;&gt;0,"@","")</f>
        <v/>
      </c>
    </row>
    <row r="102" spans="1:8" x14ac:dyDescent="0.35">
      <c r="A102" t="str">
        <f>IF(Yardi!I101&lt;&gt;0,Yardi!I101,"")</f>
        <v>'c6us087a</v>
      </c>
      <c r="B102" t="str">
        <f>IF(Yardi!K101&lt;&gt;0,CONCATENATE("RE",Yardi!K101),"")</f>
        <v>RE1630-8910</v>
      </c>
      <c r="C102" t="str">
        <f>IF(Yardi!J101&lt;&gt;0,Yardi!J101,"")</f>
        <v/>
      </c>
      <c r="D102" t="e">
        <f>_xlfn.TEXTJOIN(" ",TRUE,TEXT('Input-Instructions'!$B$6,"MM/YY"),"PPD",'Prepaid Other'!#REF!,"Amort")</f>
        <v>#REF!</v>
      </c>
      <c r="E102" t="e">
        <f>IF(Yardi!O101&lt;&gt;0,"USD","")</f>
        <v>#REF!</v>
      </c>
      <c r="F102" t="str">
        <f>IF(Yardi!J101&lt;&gt;0,Yardi!J101,"")</f>
        <v/>
      </c>
      <c r="H102" t="str">
        <f>IF(Yardi!J101&lt;&gt;0,"@","")</f>
        <v/>
      </c>
    </row>
    <row r="103" spans="1:8" x14ac:dyDescent="0.35">
      <c r="A103" t="str">
        <f>IF(Yardi!I102&lt;&gt;0,Yardi!I102,"")</f>
        <v>'c6us087a</v>
      </c>
      <c r="B103" t="e">
        <f>IF(Yardi!K102&lt;&gt;0,CONCATENATE("RE",Yardi!K102),"")</f>
        <v>#REF!</v>
      </c>
      <c r="C103" t="str">
        <f>IF(Yardi!J102&lt;&gt;0,Yardi!J102,"")</f>
        <v/>
      </c>
      <c r="D103" t="e">
        <f>_xlfn.TEXTJOIN(" ",TRUE,TEXT('Input-Instructions'!$B$6,"MM/YY"),"PPD",'Prepaid Other'!#REF!,"Amort")</f>
        <v>#REF!</v>
      </c>
      <c r="E103" t="e">
        <f>IF(Yardi!O102&lt;&gt;0,"USD","")</f>
        <v>#REF!</v>
      </c>
      <c r="F103" t="str">
        <f>IF(Yardi!J102&lt;&gt;0,Yardi!J102,"")</f>
        <v/>
      </c>
      <c r="H103" t="str">
        <f>IF(Yardi!J102&lt;&gt;0,"@","")</f>
        <v/>
      </c>
    </row>
    <row r="104" spans="1:8" x14ac:dyDescent="0.35">
      <c r="A104" t="str">
        <f>IF(Yardi!I103&lt;&gt;0,Yardi!I103,"")</f>
        <v>'c6us087a</v>
      </c>
      <c r="B104" t="str">
        <f>IF(Yardi!K103&lt;&gt;0,CONCATENATE("RE",Yardi!K103),"")</f>
        <v>RE1630-8910</v>
      </c>
      <c r="C104" t="str">
        <f>IF(Yardi!J103&lt;&gt;0,Yardi!J103,"")</f>
        <v/>
      </c>
      <c r="D104" t="e">
        <f>_xlfn.TEXTJOIN(" ",TRUE,TEXT('Input-Instructions'!$B$6,"MM/YY"),"PPD",'Prepaid Other'!#REF!,"Amort")</f>
        <v>#REF!</v>
      </c>
      <c r="E104" t="e">
        <f>IF(Yardi!O103&lt;&gt;0,"USD","")</f>
        <v>#REF!</v>
      </c>
      <c r="F104" t="str">
        <f>IF(Yardi!J103&lt;&gt;0,Yardi!J103,"")</f>
        <v/>
      </c>
      <c r="H104" t="str">
        <f>IF(Yardi!J103&lt;&gt;0,"@","")</f>
        <v/>
      </c>
    </row>
    <row r="105" spans="1:8" x14ac:dyDescent="0.35">
      <c r="A105" t="str">
        <f>IF(Yardi!I104&lt;&gt;0,Yardi!I104,"")</f>
        <v>'c6us087a</v>
      </c>
      <c r="B105" t="e">
        <f>IF(Yardi!K104&lt;&gt;0,CONCATENATE("RE",Yardi!K104),"")</f>
        <v>#REF!</v>
      </c>
      <c r="C105" t="str">
        <f>IF(Yardi!J104&lt;&gt;0,Yardi!J104,"")</f>
        <v/>
      </c>
      <c r="D105" t="e">
        <f>_xlfn.TEXTJOIN(" ",TRUE,TEXT('Input-Instructions'!$B$6,"MM/YY"),"PPD",'Prepaid Other'!#REF!,"Amort")</f>
        <v>#REF!</v>
      </c>
      <c r="E105" t="e">
        <f>IF(Yardi!O104&lt;&gt;0,"USD","")</f>
        <v>#REF!</v>
      </c>
      <c r="F105" t="str">
        <f>IF(Yardi!J104&lt;&gt;0,Yardi!J104,"")</f>
        <v/>
      </c>
      <c r="H105" t="str">
        <f>IF(Yardi!J104&lt;&gt;0,"@","")</f>
        <v/>
      </c>
    </row>
    <row r="106" spans="1:8" x14ac:dyDescent="0.35">
      <c r="A106" t="str">
        <f>IF(Yardi!I105&lt;&gt;0,Yardi!I105,"")</f>
        <v>'c6us087a</v>
      </c>
      <c r="B106" t="str">
        <f>IF(Yardi!K105&lt;&gt;0,CONCATENATE("RE",Yardi!K105),"")</f>
        <v>RE1630-8910</v>
      </c>
      <c r="C106" t="str">
        <f>IF(Yardi!J105&lt;&gt;0,Yardi!J105,"")</f>
        <v/>
      </c>
      <c r="D106" t="e">
        <f>_xlfn.TEXTJOIN(" ",TRUE,TEXT('Input-Instructions'!$B$6,"MM/YY"),"PPD",'Prepaid Other'!#REF!,"Amort")</f>
        <v>#REF!</v>
      </c>
      <c r="E106" t="e">
        <f>IF(Yardi!O105&lt;&gt;0,"USD","")</f>
        <v>#REF!</v>
      </c>
      <c r="F106" t="str">
        <f>IF(Yardi!J105&lt;&gt;0,Yardi!J105,"")</f>
        <v/>
      </c>
      <c r="H106" t="str">
        <f>IF(Yardi!J105&lt;&gt;0,"@","")</f>
        <v/>
      </c>
    </row>
    <row r="107" spans="1:8" x14ac:dyDescent="0.35">
      <c r="A107" t="str">
        <f>IF(Yardi!I106&lt;&gt;0,Yardi!I106,"")</f>
        <v>'c6us087a</v>
      </c>
      <c r="B107" t="e">
        <f>IF(Yardi!K106&lt;&gt;0,CONCATENATE("RE",Yardi!K106),"")</f>
        <v>#REF!</v>
      </c>
      <c r="C107" t="str">
        <f>IF(Yardi!J106&lt;&gt;0,Yardi!J106,"")</f>
        <v/>
      </c>
      <c r="D107" t="e">
        <f>_xlfn.TEXTJOIN(" ",TRUE,TEXT('Input-Instructions'!$B$6,"MM/YY"),"PPD",'Prepaid Other'!#REF!,"Amort")</f>
        <v>#REF!</v>
      </c>
      <c r="E107" t="e">
        <f>IF(Yardi!O106&lt;&gt;0,"USD","")</f>
        <v>#REF!</v>
      </c>
      <c r="F107" t="str">
        <f>IF(Yardi!J106&lt;&gt;0,Yardi!J106,"")</f>
        <v/>
      </c>
      <c r="H107" t="str">
        <f>IF(Yardi!J106&lt;&gt;0,"@","")</f>
        <v/>
      </c>
    </row>
    <row r="108" spans="1:8" x14ac:dyDescent="0.35">
      <c r="A108" t="str">
        <f>IF(Yardi!I107&lt;&gt;0,Yardi!I107,"")</f>
        <v>'c6us087a</v>
      </c>
      <c r="B108" t="str">
        <f>IF(Yardi!K107&lt;&gt;0,CONCATENATE("RE",Yardi!K107),"")</f>
        <v>RE1630-8910</v>
      </c>
      <c r="C108" t="str">
        <f>IF(Yardi!J107&lt;&gt;0,Yardi!J107,"")</f>
        <v/>
      </c>
      <c r="D108" t="e">
        <f>_xlfn.TEXTJOIN(" ",TRUE,TEXT('Input-Instructions'!$B$6,"MM/YY"),"PPD",'Prepaid Other'!#REF!,"Amort")</f>
        <v>#REF!</v>
      </c>
      <c r="E108" t="e">
        <f>IF(Yardi!O107&lt;&gt;0,"USD","")</f>
        <v>#REF!</v>
      </c>
      <c r="F108" t="str">
        <f>IF(Yardi!J107&lt;&gt;0,Yardi!J107,"")</f>
        <v/>
      </c>
      <c r="H108" t="str">
        <f>IF(Yardi!J107&lt;&gt;0,"@","")</f>
        <v/>
      </c>
    </row>
    <row r="109" spans="1:8" x14ac:dyDescent="0.35">
      <c r="A109" t="str">
        <f>IF(Yardi!I108&lt;&gt;0,Yardi!I108,"")</f>
        <v>'c6us087a</v>
      </c>
      <c r="B109" t="e">
        <f>IF(Yardi!K108&lt;&gt;0,CONCATENATE("RE",Yardi!K108),"")</f>
        <v>#REF!</v>
      </c>
      <c r="C109" t="str">
        <f>IF(Yardi!J108&lt;&gt;0,Yardi!J108,"")</f>
        <v/>
      </c>
      <c r="D109" t="e">
        <f>_xlfn.TEXTJOIN(" ",TRUE,TEXT('Input-Instructions'!$B$6,"MM/YY"),"PPD",'Prepaid Other'!#REF!,"Amort")</f>
        <v>#REF!</v>
      </c>
      <c r="E109" t="e">
        <f>IF(Yardi!O108&lt;&gt;0,"USD","")</f>
        <v>#REF!</v>
      </c>
      <c r="F109" t="str">
        <f>IF(Yardi!J108&lt;&gt;0,Yardi!J108,"")</f>
        <v/>
      </c>
      <c r="H109" t="str">
        <f>IF(Yardi!J108&lt;&gt;0,"@","")</f>
        <v/>
      </c>
    </row>
    <row r="110" spans="1:8" x14ac:dyDescent="0.35">
      <c r="A110" t="str">
        <f>IF(Yardi!I109&lt;&gt;0,Yardi!I109,"")</f>
        <v>'c6us087a</v>
      </c>
      <c r="B110" t="str">
        <f>IF(Yardi!K109&lt;&gt;0,CONCATENATE("RE",Yardi!K109),"")</f>
        <v>RE1630-8910</v>
      </c>
      <c r="C110" t="str">
        <f>IF(Yardi!J109&lt;&gt;0,Yardi!J109,"")</f>
        <v/>
      </c>
      <c r="D110" t="e">
        <f>_xlfn.TEXTJOIN(" ",TRUE,TEXT('Input-Instructions'!$B$6,"MM/YY"),"PPD",'Prepaid Other'!#REF!,"Amort")</f>
        <v>#REF!</v>
      </c>
      <c r="E110" t="e">
        <f>IF(Yardi!O109&lt;&gt;0,"USD","")</f>
        <v>#REF!</v>
      </c>
      <c r="F110" t="str">
        <f>IF(Yardi!J109&lt;&gt;0,Yardi!J109,"")</f>
        <v/>
      </c>
      <c r="H110" t="str">
        <f>IF(Yardi!J109&lt;&gt;0,"@","")</f>
        <v/>
      </c>
    </row>
    <row r="111" spans="1:8" x14ac:dyDescent="0.35">
      <c r="A111" t="str">
        <f>IF(Yardi!I110&lt;&gt;0,Yardi!I110,"")</f>
        <v>'c6us087a</v>
      </c>
      <c r="B111" t="e">
        <f>IF(Yardi!K110&lt;&gt;0,CONCATENATE("RE",Yardi!K110),"")</f>
        <v>#REF!</v>
      </c>
      <c r="C111" t="str">
        <f>IF(Yardi!J110&lt;&gt;0,Yardi!J110,"")</f>
        <v/>
      </c>
      <c r="D111" t="e">
        <f>_xlfn.TEXTJOIN(" ",TRUE,TEXT('Input-Instructions'!$B$6,"MM/YY"),"PPD",'Prepaid Other'!#REF!,"Amort")</f>
        <v>#REF!</v>
      </c>
      <c r="E111" t="e">
        <f>IF(Yardi!O110&lt;&gt;0,"USD","")</f>
        <v>#REF!</v>
      </c>
      <c r="F111" t="str">
        <f>IF(Yardi!J110&lt;&gt;0,Yardi!J110,"")</f>
        <v/>
      </c>
      <c r="H111" t="str">
        <f>IF(Yardi!J110&lt;&gt;0,"@","")</f>
        <v/>
      </c>
    </row>
    <row r="112" spans="1:8" x14ac:dyDescent="0.35">
      <c r="A112" t="str">
        <f>IF(Yardi!I111&lt;&gt;0,Yardi!I111,"")</f>
        <v>'c6us087a</v>
      </c>
      <c r="B112" t="str">
        <f>IF(Yardi!K111&lt;&gt;0,CONCATENATE("RE",Yardi!K111),"")</f>
        <v>RE1630-8910</v>
      </c>
      <c r="C112" t="str">
        <f>IF(Yardi!J111&lt;&gt;0,Yardi!J111,"")</f>
        <v/>
      </c>
      <c r="D112" t="e">
        <f>_xlfn.TEXTJOIN(" ",TRUE,TEXT('Input-Instructions'!$B$6,"MM/YY"),"PPD",'Prepaid Other'!#REF!,"Amort")</f>
        <v>#REF!</v>
      </c>
      <c r="E112" t="e">
        <f>IF(Yardi!O111&lt;&gt;0,"USD","")</f>
        <v>#REF!</v>
      </c>
      <c r="F112" t="str">
        <f>IF(Yardi!J111&lt;&gt;0,Yardi!J111,"")</f>
        <v/>
      </c>
      <c r="H112" t="str">
        <f>IF(Yardi!J111&lt;&gt;0,"@","")</f>
        <v/>
      </c>
    </row>
    <row r="113" spans="1:8" x14ac:dyDescent="0.35">
      <c r="A113" t="str">
        <f>IF(Yardi!I112&lt;&gt;0,Yardi!I112,"")</f>
        <v>'c6us087a</v>
      </c>
      <c r="B113" t="e">
        <f>IF(Yardi!K112&lt;&gt;0,CONCATENATE("RE",Yardi!K112),"")</f>
        <v>#REF!</v>
      </c>
      <c r="C113" t="str">
        <f>IF(Yardi!J112&lt;&gt;0,Yardi!J112,"")</f>
        <v/>
      </c>
      <c r="D113" t="e">
        <f>_xlfn.TEXTJOIN(" ",TRUE,TEXT('Input-Instructions'!$B$6,"MM/YY"),"PPD",'Prepaid Other'!#REF!,"Amort")</f>
        <v>#REF!</v>
      </c>
      <c r="E113" t="e">
        <f>IF(Yardi!O112&lt;&gt;0,"USD","")</f>
        <v>#REF!</v>
      </c>
      <c r="F113" t="str">
        <f>IF(Yardi!J112&lt;&gt;0,Yardi!J112,"")</f>
        <v/>
      </c>
      <c r="H113" t="str">
        <f>IF(Yardi!J112&lt;&gt;0,"@","")</f>
        <v/>
      </c>
    </row>
    <row r="114" spans="1:8" x14ac:dyDescent="0.35">
      <c r="A114" t="str">
        <f>IF(Yardi!I113&lt;&gt;0,Yardi!I113,"")</f>
        <v>'c6us087a</v>
      </c>
      <c r="B114" t="str">
        <f>IF(Yardi!K113&lt;&gt;0,CONCATENATE("RE",Yardi!K113),"")</f>
        <v>RE1630-8910</v>
      </c>
      <c r="C114" t="str">
        <f>IF(Yardi!J113&lt;&gt;0,Yardi!J113,"")</f>
        <v/>
      </c>
      <c r="D114" t="e">
        <f>_xlfn.TEXTJOIN(" ",TRUE,TEXT('Input-Instructions'!$B$6,"MM/YY"),"PPD",'Prepaid Other'!#REF!,"Amort")</f>
        <v>#REF!</v>
      </c>
      <c r="E114" t="e">
        <f>IF(Yardi!O113&lt;&gt;0,"USD","")</f>
        <v>#REF!</v>
      </c>
      <c r="F114" t="str">
        <f>IF(Yardi!J113&lt;&gt;0,Yardi!J113,"")</f>
        <v/>
      </c>
      <c r="H114" t="str">
        <f>IF(Yardi!J113&lt;&gt;0,"@","")</f>
        <v/>
      </c>
    </row>
    <row r="115" spans="1:8" x14ac:dyDescent="0.35">
      <c r="A115" t="str">
        <f>IF(Yardi!I114&lt;&gt;0,Yardi!I114,"")</f>
        <v>'c6us087a</v>
      </c>
      <c r="B115" t="e">
        <f>IF(Yardi!K114&lt;&gt;0,CONCATENATE("RE",Yardi!K114),"")</f>
        <v>#REF!</v>
      </c>
      <c r="C115" t="str">
        <f>IF(Yardi!J114&lt;&gt;0,Yardi!J114,"")</f>
        <v/>
      </c>
      <c r="D115" t="e">
        <f>_xlfn.TEXTJOIN(" ",TRUE,TEXT('Input-Instructions'!$B$6,"MM/YY"),"PPD",'Prepaid Other'!#REF!,"Amort")</f>
        <v>#REF!</v>
      </c>
      <c r="E115" t="e">
        <f>IF(Yardi!O114&lt;&gt;0,"USD","")</f>
        <v>#REF!</v>
      </c>
      <c r="F115" t="str">
        <f>IF(Yardi!J114&lt;&gt;0,Yardi!J114,"")</f>
        <v/>
      </c>
      <c r="H115" t="str">
        <f>IF(Yardi!J114&lt;&gt;0,"@","")</f>
        <v/>
      </c>
    </row>
    <row r="116" spans="1:8" x14ac:dyDescent="0.35">
      <c r="A116" t="str">
        <f>IF(Yardi!I115&lt;&gt;0,Yardi!I115,"")</f>
        <v>'c6us087a</v>
      </c>
      <c r="B116" t="str">
        <f>IF(Yardi!K115&lt;&gt;0,CONCATENATE("RE",Yardi!K115),"")</f>
        <v>RE1630-8910</v>
      </c>
      <c r="C116" t="str">
        <f>IF(Yardi!J115&lt;&gt;0,Yardi!J115,"")</f>
        <v/>
      </c>
      <c r="D116" t="e">
        <f>_xlfn.TEXTJOIN(" ",TRUE,TEXT('Input-Instructions'!$B$6,"MM/YY"),"PPD",'Prepaid Other'!#REF!,"Amort")</f>
        <v>#REF!</v>
      </c>
      <c r="E116" t="e">
        <f>IF(Yardi!O115&lt;&gt;0,"USD","")</f>
        <v>#REF!</v>
      </c>
      <c r="F116" t="str">
        <f>IF(Yardi!J115&lt;&gt;0,Yardi!J115,"")</f>
        <v/>
      </c>
      <c r="H116" t="str">
        <f>IF(Yardi!J115&lt;&gt;0,"@","")</f>
        <v/>
      </c>
    </row>
    <row r="117" spans="1:8" x14ac:dyDescent="0.35">
      <c r="A117" t="str">
        <f>IF(Yardi!I116&lt;&gt;0,Yardi!I116,"")</f>
        <v>'c6us087a</v>
      </c>
      <c r="B117" t="e">
        <f>IF(Yardi!K116&lt;&gt;0,CONCATENATE("RE",Yardi!K116),"")</f>
        <v>#REF!</v>
      </c>
      <c r="C117" t="str">
        <f>IF(Yardi!J116&lt;&gt;0,Yardi!J116,"")</f>
        <v/>
      </c>
      <c r="D117" t="e">
        <f>_xlfn.TEXTJOIN(" ",TRUE,TEXT('Input-Instructions'!$B$6,"MM/YY"),"PPD",'Prepaid Other'!#REF!,"Amort")</f>
        <v>#REF!</v>
      </c>
      <c r="E117" t="e">
        <f>IF(Yardi!O116&lt;&gt;0,"USD","")</f>
        <v>#REF!</v>
      </c>
      <c r="F117" t="str">
        <f>IF(Yardi!J116&lt;&gt;0,Yardi!J116,"")</f>
        <v/>
      </c>
      <c r="H117" t="str">
        <f>IF(Yardi!J116&lt;&gt;0,"@","")</f>
        <v/>
      </c>
    </row>
    <row r="118" spans="1:8" x14ac:dyDescent="0.35">
      <c r="A118" t="str">
        <f>IF(Yardi!I117&lt;&gt;0,Yardi!I117,"")</f>
        <v>'c6us087a</v>
      </c>
      <c r="B118" t="str">
        <f>IF(Yardi!K117&lt;&gt;0,CONCATENATE("RE",Yardi!K117),"")</f>
        <v>RE1630-8910</v>
      </c>
      <c r="C118" t="str">
        <f>IF(Yardi!J117&lt;&gt;0,Yardi!J117,"")</f>
        <v/>
      </c>
      <c r="D118" t="e">
        <f>_xlfn.TEXTJOIN(" ",TRUE,TEXT('Input-Instructions'!$B$6,"MM/YY"),"PPD",'Prepaid Other'!#REF!,"Amort")</f>
        <v>#REF!</v>
      </c>
      <c r="E118" t="e">
        <f>IF(Yardi!O117&lt;&gt;0,"USD","")</f>
        <v>#REF!</v>
      </c>
      <c r="F118" t="str">
        <f>IF(Yardi!J117&lt;&gt;0,Yardi!J117,"")</f>
        <v/>
      </c>
      <c r="H118" t="str">
        <f>IF(Yardi!J117&lt;&gt;0,"@","")</f>
        <v/>
      </c>
    </row>
    <row r="119" spans="1:8" x14ac:dyDescent="0.35">
      <c r="A119" t="str">
        <f>IF(Yardi!I118&lt;&gt;0,Yardi!I118,"")</f>
        <v>'c6us087a</v>
      </c>
      <c r="B119" t="e">
        <f>IF(Yardi!K118&lt;&gt;0,CONCATENATE("RE",Yardi!K118),"")</f>
        <v>#REF!</v>
      </c>
      <c r="C119" t="str">
        <f>IF(Yardi!J118&lt;&gt;0,Yardi!J118,"")</f>
        <v/>
      </c>
      <c r="D119" t="e">
        <f>_xlfn.TEXTJOIN(" ",TRUE,TEXT('Input-Instructions'!$B$6,"MM/YY"),"PPD",'Prepaid Other'!#REF!,"Amort")</f>
        <v>#REF!</v>
      </c>
      <c r="E119" t="e">
        <f>IF(Yardi!O118&lt;&gt;0,"USD","")</f>
        <v>#REF!</v>
      </c>
      <c r="F119" t="str">
        <f>IF(Yardi!J118&lt;&gt;0,Yardi!J118,"")</f>
        <v/>
      </c>
      <c r="H119" t="str">
        <f>IF(Yardi!J118&lt;&gt;0,"@","")</f>
        <v/>
      </c>
    </row>
    <row r="120" spans="1:8" x14ac:dyDescent="0.35">
      <c r="A120" t="str">
        <f>IF(Yardi!I119&lt;&gt;0,Yardi!I119,"")</f>
        <v>'c6us087a</v>
      </c>
      <c r="B120" t="str">
        <f>IF(Yardi!K119&lt;&gt;0,CONCATENATE("RE",Yardi!K119),"")</f>
        <v>RE1630-8910</v>
      </c>
      <c r="C120" t="str">
        <f>IF(Yardi!J119&lt;&gt;0,Yardi!J119,"")</f>
        <v/>
      </c>
      <c r="D120" t="e">
        <f>_xlfn.TEXTJOIN(" ",TRUE,TEXT('Input-Instructions'!$B$6,"MM/YY"),"PPD",'Prepaid Other'!#REF!,"Amort")</f>
        <v>#REF!</v>
      </c>
      <c r="E120" t="e">
        <f>IF(Yardi!O119&lt;&gt;0,"USD","")</f>
        <v>#REF!</v>
      </c>
      <c r="F120" t="str">
        <f>IF(Yardi!J119&lt;&gt;0,Yardi!J119,"")</f>
        <v/>
      </c>
      <c r="H120" t="str">
        <f>IF(Yardi!J119&lt;&gt;0,"@","")</f>
        <v/>
      </c>
    </row>
    <row r="121" spans="1:8" x14ac:dyDescent="0.35">
      <c r="A121" t="str">
        <f>IF(Yardi!I120&lt;&gt;0,Yardi!I120,"")</f>
        <v>'c6us087a</v>
      </c>
      <c r="B121" t="e">
        <f>IF(Yardi!K120&lt;&gt;0,CONCATENATE("RE",Yardi!K120),"")</f>
        <v>#REF!</v>
      </c>
      <c r="C121" t="str">
        <f>IF(Yardi!J120&lt;&gt;0,Yardi!J120,"")</f>
        <v/>
      </c>
      <c r="D121" t="e">
        <f>_xlfn.TEXTJOIN(" ",TRUE,TEXT('Input-Instructions'!$B$6,"MM/YY"),"PPD",'Prepaid Other'!#REF!,"Amort")</f>
        <v>#REF!</v>
      </c>
      <c r="E121" t="e">
        <f>IF(Yardi!O120&lt;&gt;0,"USD","")</f>
        <v>#REF!</v>
      </c>
      <c r="F121" t="str">
        <f>IF(Yardi!J120&lt;&gt;0,Yardi!J120,"")</f>
        <v/>
      </c>
      <c r="H121" t="str">
        <f>IF(Yardi!J120&lt;&gt;0,"@","")</f>
        <v/>
      </c>
    </row>
    <row r="122" spans="1:8" x14ac:dyDescent="0.35">
      <c r="A122" t="str">
        <f>IF(Yardi!I121&lt;&gt;0,Yardi!I121,"")</f>
        <v>'c6us087a</v>
      </c>
      <c r="B122" t="str">
        <f>IF(Yardi!K121&lt;&gt;0,CONCATENATE("RE",Yardi!K121),"")</f>
        <v>RE1630-8910</v>
      </c>
      <c r="C122" t="str">
        <f>IF(Yardi!J121&lt;&gt;0,Yardi!J121,"")</f>
        <v/>
      </c>
      <c r="D122" t="e">
        <f>_xlfn.TEXTJOIN(" ",TRUE,TEXT('Input-Instructions'!$B$6,"MM/YY"),"PPD",'Prepaid Other'!#REF!,"Amort")</f>
        <v>#REF!</v>
      </c>
      <c r="E122" t="e">
        <f>IF(Yardi!O121&lt;&gt;0,"USD","")</f>
        <v>#REF!</v>
      </c>
      <c r="F122" t="str">
        <f>IF(Yardi!J121&lt;&gt;0,Yardi!J121,"")</f>
        <v/>
      </c>
      <c r="H122" t="str">
        <f>IF(Yardi!J121&lt;&gt;0,"@","")</f>
        <v/>
      </c>
    </row>
    <row r="123" spans="1:8" x14ac:dyDescent="0.35">
      <c r="A123" t="str">
        <f>IF(Yardi!I122&lt;&gt;0,Yardi!I122,"")</f>
        <v>'c6us087a</v>
      </c>
      <c r="B123" t="e">
        <f>IF(Yardi!K122&lt;&gt;0,CONCATENATE("RE",Yardi!K122),"")</f>
        <v>#REF!</v>
      </c>
      <c r="C123" t="str">
        <f>IF(Yardi!J122&lt;&gt;0,Yardi!J122,"")</f>
        <v/>
      </c>
      <c r="D123" t="e">
        <f>_xlfn.TEXTJOIN(" ",TRUE,TEXT('Input-Instructions'!$B$6,"MM/YY"),"PPD",'Prepaid Other'!#REF!,"Amort")</f>
        <v>#REF!</v>
      </c>
      <c r="E123" t="e">
        <f>IF(Yardi!O122&lt;&gt;0,"USD","")</f>
        <v>#REF!</v>
      </c>
      <c r="F123" t="str">
        <f>IF(Yardi!J122&lt;&gt;0,Yardi!J122,"")</f>
        <v/>
      </c>
      <c r="H123" t="str">
        <f>IF(Yardi!J122&lt;&gt;0,"@","")</f>
        <v/>
      </c>
    </row>
    <row r="124" spans="1:8" x14ac:dyDescent="0.35">
      <c r="A124" t="str">
        <f>IF(Yardi!I123&lt;&gt;0,Yardi!I123,"")</f>
        <v>'c6us087a</v>
      </c>
      <c r="B124" t="str">
        <f>IF(Yardi!K123&lt;&gt;0,CONCATENATE("RE",Yardi!K123),"")</f>
        <v>RE1630-8910</v>
      </c>
      <c r="C124" t="str">
        <f>IF(Yardi!J123&lt;&gt;0,Yardi!J123,"")</f>
        <v/>
      </c>
      <c r="D124" t="e">
        <f>_xlfn.TEXTJOIN(" ",TRUE,TEXT('Input-Instructions'!$B$6,"MM/YY"),"PPD",'Prepaid Other'!#REF!,"Amort")</f>
        <v>#REF!</v>
      </c>
      <c r="E124" t="e">
        <f>IF(Yardi!O123&lt;&gt;0,"USD","")</f>
        <v>#REF!</v>
      </c>
      <c r="F124" t="str">
        <f>IF(Yardi!J123&lt;&gt;0,Yardi!J123,"")</f>
        <v/>
      </c>
      <c r="H124" t="str">
        <f>IF(Yardi!J123&lt;&gt;0,"@","")</f>
        <v/>
      </c>
    </row>
    <row r="125" spans="1:8" x14ac:dyDescent="0.35">
      <c r="A125" t="str">
        <f>IF(Yardi!I124&lt;&gt;0,Yardi!I124,"")</f>
        <v>'c6us087a</v>
      </c>
      <c r="B125" t="e">
        <f>IF(Yardi!K124&lt;&gt;0,CONCATENATE("RE",Yardi!K124),"")</f>
        <v>#REF!</v>
      </c>
      <c r="C125" t="str">
        <f>IF(Yardi!J124&lt;&gt;0,Yardi!J124,"")</f>
        <v/>
      </c>
      <c r="D125" t="e">
        <f>_xlfn.TEXTJOIN(" ",TRUE,TEXT('Input-Instructions'!$B$6,"MM/YY"),"PPD",'Prepaid Other'!#REF!,"Amort")</f>
        <v>#REF!</v>
      </c>
      <c r="E125" t="e">
        <f>IF(Yardi!O124&lt;&gt;0,"USD","")</f>
        <v>#REF!</v>
      </c>
      <c r="F125" t="str">
        <f>IF(Yardi!J124&lt;&gt;0,Yardi!J124,"")</f>
        <v/>
      </c>
      <c r="H125" t="str">
        <f>IF(Yardi!J124&lt;&gt;0,"@","")</f>
        <v/>
      </c>
    </row>
    <row r="126" spans="1:8" x14ac:dyDescent="0.35">
      <c r="A126" t="str">
        <f>IF(Yardi!I125&lt;&gt;0,Yardi!I125,"")</f>
        <v>'c6us087a</v>
      </c>
      <c r="B126" t="str">
        <f>IF(Yardi!K125&lt;&gt;0,CONCATENATE("RE",Yardi!K125),"")</f>
        <v>RE1630-8910</v>
      </c>
      <c r="C126" t="str">
        <f>IF(Yardi!J125&lt;&gt;0,Yardi!J125,"")</f>
        <v/>
      </c>
      <c r="D126" t="e">
        <f>_xlfn.TEXTJOIN(" ",TRUE,TEXT('Input-Instructions'!$B$6,"MM/YY"),"PPD",'Prepaid Other'!#REF!,"Amort")</f>
        <v>#REF!</v>
      </c>
      <c r="E126" t="e">
        <f>IF(Yardi!O125&lt;&gt;0,"USD","")</f>
        <v>#REF!</v>
      </c>
      <c r="F126" t="str">
        <f>IF(Yardi!J125&lt;&gt;0,Yardi!J125,"")</f>
        <v/>
      </c>
      <c r="H126" t="str">
        <f>IF(Yardi!J125&lt;&gt;0,"@","")</f>
        <v/>
      </c>
    </row>
    <row r="127" spans="1:8" x14ac:dyDescent="0.35">
      <c r="A127" t="str">
        <f>IF(Yardi!I126&lt;&gt;0,Yardi!I126,"")</f>
        <v>'c6us087a</v>
      </c>
      <c r="B127" t="e">
        <f>IF(Yardi!K126&lt;&gt;0,CONCATENATE("RE",Yardi!K126),"")</f>
        <v>#REF!</v>
      </c>
      <c r="C127" t="str">
        <f>IF(Yardi!J126&lt;&gt;0,Yardi!J126,"")</f>
        <v/>
      </c>
      <c r="D127" t="e">
        <f>_xlfn.TEXTJOIN(" ",TRUE,TEXT('Input-Instructions'!$B$6,"MM/YY"),"PPD",'Prepaid Other'!#REF!,"Amort")</f>
        <v>#REF!</v>
      </c>
      <c r="E127" t="e">
        <f>IF(Yardi!O126&lt;&gt;0,"USD","")</f>
        <v>#REF!</v>
      </c>
      <c r="F127" t="str">
        <f>IF(Yardi!J126&lt;&gt;0,Yardi!J126,"")</f>
        <v/>
      </c>
      <c r="H127" t="str">
        <f>IF(Yardi!J126&lt;&gt;0,"@","")</f>
        <v/>
      </c>
    </row>
    <row r="128" spans="1:8" x14ac:dyDescent="0.35">
      <c r="A128" t="str">
        <f>IF(Yardi!I127&lt;&gt;0,Yardi!I127,"")</f>
        <v>'c6us087a</v>
      </c>
      <c r="B128" t="str">
        <f>IF(Yardi!K127&lt;&gt;0,CONCATENATE("RE",Yardi!K127),"")</f>
        <v>RE1630-8910</v>
      </c>
      <c r="C128" t="str">
        <f>IF(Yardi!J127&lt;&gt;0,Yardi!J127,"")</f>
        <v/>
      </c>
      <c r="D128" t="e">
        <f>_xlfn.TEXTJOIN(" ",TRUE,TEXT('Input-Instructions'!$B$6,"MM/YY"),"PPD",'Prepaid Other'!#REF!,"Amort")</f>
        <v>#REF!</v>
      </c>
      <c r="E128" t="e">
        <f>IF(Yardi!O127&lt;&gt;0,"USD","")</f>
        <v>#REF!</v>
      </c>
      <c r="F128" t="str">
        <f>IF(Yardi!J127&lt;&gt;0,Yardi!J127,"")</f>
        <v/>
      </c>
      <c r="H128" t="str">
        <f>IF(Yardi!J127&lt;&gt;0,"@","")</f>
        <v/>
      </c>
    </row>
    <row r="129" spans="1:8" x14ac:dyDescent="0.35">
      <c r="A129" t="str">
        <f>IF(Yardi!I128&lt;&gt;0,Yardi!I128,"")</f>
        <v>'c6us087a</v>
      </c>
      <c r="B129" t="e">
        <f>IF(Yardi!K128&lt;&gt;0,CONCATENATE("RE",Yardi!K128),"")</f>
        <v>#REF!</v>
      </c>
      <c r="C129" t="str">
        <f>IF(Yardi!J128&lt;&gt;0,Yardi!J128,"")</f>
        <v/>
      </c>
      <c r="D129" t="e">
        <f>_xlfn.TEXTJOIN(" ",TRUE,TEXT('Input-Instructions'!$B$6,"MM/YY"),"PPD",'Prepaid Other'!#REF!,"Amort")</f>
        <v>#REF!</v>
      </c>
      <c r="E129" t="e">
        <f>IF(Yardi!O128&lt;&gt;0,"USD","")</f>
        <v>#REF!</v>
      </c>
      <c r="F129" t="str">
        <f>IF(Yardi!J128&lt;&gt;0,Yardi!J128,"")</f>
        <v/>
      </c>
      <c r="H129" t="str">
        <f>IF(Yardi!J128&lt;&gt;0,"@","")</f>
        <v/>
      </c>
    </row>
    <row r="130" spans="1:8" x14ac:dyDescent="0.35">
      <c r="A130" t="str">
        <f>IF(Yardi!I129&lt;&gt;0,Yardi!I129,"")</f>
        <v>'c6us087a</v>
      </c>
      <c r="B130" t="str">
        <f>IF(Yardi!K129&lt;&gt;0,CONCATENATE("RE",Yardi!K129),"")</f>
        <v>RE1630-8910</v>
      </c>
      <c r="C130" t="str">
        <f>IF(Yardi!J129&lt;&gt;0,Yardi!J129,"")</f>
        <v/>
      </c>
      <c r="D130" t="e">
        <f>_xlfn.TEXTJOIN(" ",TRUE,TEXT('Input-Instructions'!$B$6,"MM/YY"),"PPD",'Prepaid Other'!#REF!,"Amort")</f>
        <v>#REF!</v>
      </c>
      <c r="E130" t="e">
        <f>IF(Yardi!O129&lt;&gt;0,"USD","")</f>
        <v>#REF!</v>
      </c>
      <c r="F130" t="str">
        <f>IF(Yardi!J129&lt;&gt;0,Yardi!J129,"")</f>
        <v/>
      </c>
      <c r="H130" t="str">
        <f>IF(Yardi!J129&lt;&gt;0,"@","")</f>
        <v/>
      </c>
    </row>
    <row r="131" spans="1:8" x14ac:dyDescent="0.35">
      <c r="A131" t="str">
        <f>IF(Yardi!I130&lt;&gt;0,Yardi!I130,"")</f>
        <v>'c6us087a</v>
      </c>
      <c r="B131" t="e">
        <f>IF(Yardi!K130&lt;&gt;0,CONCATENATE("RE",Yardi!K130),"")</f>
        <v>#REF!</v>
      </c>
      <c r="C131" t="str">
        <f>IF(Yardi!J130&lt;&gt;0,Yardi!J130,"")</f>
        <v/>
      </c>
      <c r="D131" t="e">
        <f>_xlfn.TEXTJOIN(" ",TRUE,TEXT('Input-Instructions'!$B$6,"MM/YY"),"PPD",'Prepaid Other'!#REF!,"Amort")</f>
        <v>#REF!</v>
      </c>
      <c r="E131" t="e">
        <f>IF(Yardi!O130&lt;&gt;0,"USD","")</f>
        <v>#REF!</v>
      </c>
      <c r="F131" t="str">
        <f>IF(Yardi!J130&lt;&gt;0,Yardi!J130,"")</f>
        <v/>
      </c>
      <c r="H131" t="str">
        <f>IF(Yardi!J130&lt;&gt;0,"@","")</f>
        <v/>
      </c>
    </row>
    <row r="132" spans="1:8" x14ac:dyDescent="0.35">
      <c r="A132" t="str">
        <f>IF(Yardi!I131&lt;&gt;0,Yardi!I131,"")</f>
        <v>'c6us087a</v>
      </c>
      <c r="B132" t="str">
        <f>IF(Yardi!K131&lt;&gt;0,CONCATENATE("RE",Yardi!K131),"")</f>
        <v>RE1630-8910</v>
      </c>
      <c r="C132" t="str">
        <f>IF(Yardi!J131&lt;&gt;0,Yardi!J131,"")</f>
        <v/>
      </c>
      <c r="D132" t="e">
        <f>_xlfn.TEXTJOIN(" ",TRUE,TEXT('Input-Instructions'!$B$6,"MM/YY"),"PPD",'Prepaid Other'!#REF!,"Amort")</f>
        <v>#REF!</v>
      </c>
      <c r="E132" t="e">
        <f>IF(Yardi!O131&lt;&gt;0,"USD","")</f>
        <v>#REF!</v>
      </c>
      <c r="F132" t="str">
        <f>IF(Yardi!J131&lt;&gt;0,Yardi!J131,"")</f>
        <v/>
      </c>
      <c r="H132" t="str">
        <f>IF(Yardi!J131&lt;&gt;0,"@","")</f>
        <v/>
      </c>
    </row>
    <row r="133" spans="1:8" x14ac:dyDescent="0.35">
      <c r="A133" t="str">
        <f>IF(Yardi!I132&lt;&gt;0,Yardi!I132,"")</f>
        <v>'c6us087a</v>
      </c>
      <c r="B133" t="e">
        <f>IF(Yardi!K132&lt;&gt;0,CONCATENATE("RE",Yardi!K132),"")</f>
        <v>#REF!</v>
      </c>
      <c r="C133" t="str">
        <f>IF(Yardi!J132&lt;&gt;0,Yardi!J132,"")</f>
        <v/>
      </c>
      <c r="D133" t="e">
        <f>_xlfn.TEXTJOIN(" ",TRUE,TEXT('Input-Instructions'!$B$6,"MM/YY"),"PPD",'Prepaid Other'!#REF!,"Amort")</f>
        <v>#REF!</v>
      </c>
      <c r="E133" t="e">
        <f>IF(Yardi!O132&lt;&gt;0,"USD","")</f>
        <v>#REF!</v>
      </c>
      <c r="F133" t="str">
        <f>IF(Yardi!J132&lt;&gt;0,Yardi!J132,"")</f>
        <v/>
      </c>
      <c r="H133" t="str">
        <f>IF(Yardi!J132&lt;&gt;0,"@","")</f>
        <v/>
      </c>
    </row>
    <row r="134" spans="1:8" x14ac:dyDescent="0.35">
      <c r="A134" t="str">
        <f>IF(Yardi!I133&lt;&gt;0,Yardi!I133,"")</f>
        <v>'c6us087a</v>
      </c>
      <c r="B134" t="str">
        <f>IF(Yardi!K133&lt;&gt;0,CONCATENATE("RE",Yardi!K133),"")</f>
        <v>RE1630-8910</v>
      </c>
      <c r="C134" t="str">
        <f>IF(Yardi!J133&lt;&gt;0,Yardi!J133,"")</f>
        <v/>
      </c>
      <c r="D134" t="e">
        <f>_xlfn.TEXTJOIN(" ",TRUE,TEXT('Input-Instructions'!$B$6,"MM/YY"),"PPD",'Prepaid Other'!#REF!,"Amort")</f>
        <v>#REF!</v>
      </c>
      <c r="E134" t="e">
        <f>IF(Yardi!O133&lt;&gt;0,"USD","")</f>
        <v>#REF!</v>
      </c>
      <c r="F134" t="str">
        <f>IF(Yardi!J133&lt;&gt;0,Yardi!J133,"")</f>
        <v/>
      </c>
      <c r="H134" t="str">
        <f>IF(Yardi!J133&lt;&gt;0,"@","")</f>
        <v/>
      </c>
    </row>
    <row r="135" spans="1:8" x14ac:dyDescent="0.35">
      <c r="A135" t="str">
        <f>IF(Yardi!I134&lt;&gt;0,Yardi!I134,"")</f>
        <v>'c6us087a</v>
      </c>
      <c r="B135" t="e">
        <f>IF(Yardi!K134&lt;&gt;0,CONCATENATE("RE",Yardi!K134),"")</f>
        <v>#REF!</v>
      </c>
      <c r="C135" t="str">
        <f>IF(Yardi!J134&lt;&gt;0,Yardi!J134,"")</f>
        <v/>
      </c>
      <c r="D135" t="e">
        <f>_xlfn.TEXTJOIN(" ",TRUE,TEXT('Input-Instructions'!$B$6,"MM/YY"),"PPD",'Prepaid Other'!#REF!,"Amort")</f>
        <v>#REF!</v>
      </c>
      <c r="E135" t="e">
        <f>IF(Yardi!O134&lt;&gt;0,"USD","")</f>
        <v>#REF!</v>
      </c>
      <c r="F135" t="str">
        <f>IF(Yardi!J134&lt;&gt;0,Yardi!J134,"")</f>
        <v/>
      </c>
      <c r="H135" t="str">
        <f>IF(Yardi!J134&lt;&gt;0,"@","")</f>
        <v/>
      </c>
    </row>
    <row r="136" spans="1:8" x14ac:dyDescent="0.35">
      <c r="A136" t="str">
        <f>IF(Yardi!I135&lt;&gt;0,Yardi!I135,"")</f>
        <v>'c6us087a</v>
      </c>
      <c r="B136" t="str">
        <f>IF(Yardi!K135&lt;&gt;0,CONCATENATE("RE",Yardi!K135),"")</f>
        <v>RE1630-8910</v>
      </c>
      <c r="C136" t="str">
        <f>IF(Yardi!J135&lt;&gt;0,Yardi!J135,"")</f>
        <v/>
      </c>
      <c r="D136" t="e">
        <f>_xlfn.TEXTJOIN(" ",TRUE,TEXT('Input-Instructions'!$B$6,"MM/YY"),"PPD",'Prepaid Other'!#REF!,"Amort")</f>
        <v>#REF!</v>
      </c>
      <c r="E136" t="e">
        <f>IF(Yardi!O135&lt;&gt;0,"USD","")</f>
        <v>#REF!</v>
      </c>
      <c r="F136" t="str">
        <f>IF(Yardi!J135&lt;&gt;0,Yardi!J135,"")</f>
        <v/>
      </c>
      <c r="H136" t="str">
        <f>IF(Yardi!J135&lt;&gt;0,"@","")</f>
        <v/>
      </c>
    </row>
    <row r="137" spans="1:8" x14ac:dyDescent="0.35">
      <c r="A137" t="str">
        <f>IF(Yardi!I136&lt;&gt;0,Yardi!I136,"")</f>
        <v>'c6us087a</v>
      </c>
      <c r="B137" t="e">
        <f>IF(Yardi!K136&lt;&gt;0,CONCATENATE("RE",Yardi!K136),"")</f>
        <v>#REF!</v>
      </c>
      <c r="C137" t="str">
        <f>IF(Yardi!J136&lt;&gt;0,Yardi!J136,"")</f>
        <v/>
      </c>
      <c r="D137" t="e">
        <f>_xlfn.TEXTJOIN(" ",TRUE,TEXT('Input-Instructions'!$B$6,"MM/YY"),"PPD",'Prepaid Other'!#REF!,"Amort")</f>
        <v>#REF!</v>
      </c>
      <c r="E137" t="e">
        <f>IF(Yardi!O136&lt;&gt;0,"USD","")</f>
        <v>#REF!</v>
      </c>
      <c r="F137" t="str">
        <f>IF(Yardi!J136&lt;&gt;0,Yardi!J136,"")</f>
        <v/>
      </c>
      <c r="H137" t="str">
        <f>IF(Yardi!J136&lt;&gt;0,"@","")</f>
        <v/>
      </c>
    </row>
    <row r="138" spans="1:8" x14ac:dyDescent="0.35">
      <c r="A138" t="str">
        <f>IF(Yardi!I137&lt;&gt;0,Yardi!I137,"")</f>
        <v>'c6us087a</v>
      </c>
      <c r="B138" t="str">
        <f>IF(Yardi!K137&lt;&gt;0,CONCATENATE("RE",Yardi!K137),"")</f>
        <v>RE1630-8910</v>
      </c>
      <c r="C138" t="str">
        <f>IF(Yardi!J137&lt;&gt;0,Yardi!J137,"")</f>
        <v/>
      </c>
      <c r="D138" t="e">
        <f>_xlfn.TEXTJOIN(" ",TRUE,TEXT('Input-Instructions'!$B$6,"MM/YY"),"PPD",'Prepaid Other'!#REF!,"Amort")</f>
        <v>#REF!</v>
      </c>
      <c r="E138" t="e">
        <f>IF(Yardi!O137&lt;&gt;0,"USD","")</f>
        <v>#REF!</v>
      </c>
      <c r="F138" t="str">
        <f>IF(Yardi!J137&lt;&gt;0,Yardi!J137,"")</f>
        <v/>
      </c>
      <c r="H138" t="str">
        <f>IF(Yardi!J137&lt;&gt;0,"@","")</f>
        <v/>
      </c>
    </row>
    <row r="139" spans="1:8" x14ac:dyDescent="0.35">
      <c r="A139" t="str">
        <f>IF(Yardi!I138&lt;&gt;0,Yardi!I138,"")</f>
        <v>'c6us087a</v>
      </c>
      <c r="B139" t="e">
        <f>IF(Yardi!K138&lt;&gt;0,CONCATENATE("RE",Yardi!K138),"")</f>
        <v>#REF!</v>
      </c>
      <c r="C139" t="str">
        <f>IF(Yardi!J138&lt;&gt;0,Yardi!J138,"")</f>
        <v/>
      </c>
      <c r="D139" t="e">
        <f>_xlfn.TEXTJOIN(" ",TRUE,TEXT('Input-Instructions'!$B$6,"MM/YY"),"PPD",'Prepaid Other'!#REF!,"Amort")</f>
        <v>#REF!</v>
      </c>
      <c r="E139" t="e">
        <f>IF(Yardi!O138&lt;&gt;0,"USD","")</f>
        <v>#REF!</v>
      </c>
      <c r="F139" t="str">
        <f>IF(Yardi!J138&lt;&gt;0,Yardi!J138,"")</f>
        <v/>
      </c>
      <c r="H139" t="str">
        <f>IF(Yardi!J138&lt;&gt;0,"@","")</f>
        <v/>
      </c>
    </row>
    <row r="140" spans="1:8" x14ac:dyDescent="0.35">
      <c r="A140" t="str">
        <f>IF(Yardi!I139&lt;&gt;0,Yardi!I139,"")</f>
        <v>'c6us087a</v>
      </c>
      <c r="B140" t="str">
        <f>IF(Yardi!K139&lt;&gt;0,CONCATENATE("RE",Yardi!K139),"")</f>
        <v>RE1630-8910</v>
      </c>
      <c r="C140" t="str">
        <f>IF(Yardi!J139&lt;&gt;0,Yardi!J139,"")</f>
        <v/>
      </c>
      <c r="D140" t="e">
        <f>_xlfn.TEXTJOIN(" ",TRUE,TEXT('Input-Instructions'!$B$6,"MM/YY"),"PPD",'Prepaid Other'!#REF!,"Amort")</f>
        <v>#REF!</v>
      </c>
      <c r="E140" t="e">
        <f>IF(Yardi!O139&lt;&gt;0,"USD","")</f>
        <v>#REF!</v>
      </c>
      <c r="F140" t="str">
        <f>IF(Yardi!J139&lt;&gt;0,Yardi!J139,"")</f>
        <v/>
      </c>
      <c r="H140" t="str">
        <f>IF(Yardi!J139&lt;&gt;0,"@","")</f>
        <v/>
      </c>
    </row>
    <row r="141" spans="1:8" x14ac:dyDescent="0.35">
      <c r="A141" t="str">
        <f>IF(Yardi!I140&lt;&gt;0,Yardi!I140,"")</f>
        <v>'c6us087a</v>
      </c>
      <c r="B141" t="e">
        <f>IF(Yardi!K140&lt;&gt;0,CONCATENATE("RE",Yardi!K140),"")</f>
        <v>#REF!</v>
      </c>
      <c r="C141" t="str">
        <f>IF(Yardi!J140&lt;&gt;0,Yardi!J140,"")</f>
        <v/>
      </c>
      <c r="D141" t="e">
        <f>_xlfn.TEXTJOIN(" ",TRUE,TEXT('Input-Instructions'!$B$6,"MM/YY"),"PPD",'Prepaid Other'!#REF!,"Amort")</f>
        <v>#REF!</v>
      </c>
      <c r="E141" t="e">
        <f>IF(Yardi!O140&lt;&gt;0,"USD","")</f>
        <v>#REF!</v>
      </c>
      <c r="F141" t="str">
        <f>IF(Yardi!J140&lt;&gt;0,Yardi!J140,"")</f>
        <v/>
      </c>
      <c r="H141" t="str">
        <f>IF(Yardi!J140&lt;&gt;0,"@","")</f>
        <v/>
      </c>
    </row>
    <row r="142" spans="1:8" x14ac:dyDescent="0.35">
      <c r="A142" t="str">
        <f>IF(Yardi!I141&lt;&gt;0,Yardi!I141,"")</f>
        <v>'c6us087a</v>
      </c>
      <c r="B142" t="str">
        <f>IF(Yardi!K141&lt;&gt;0,CONCATENATE("RE",Yardi!K141),"")</f>
        <v>RE1630-8910</v>
      </c>
      <c r="C142" t="str">
        <f>IF(Yardi!J141&lt;&gt;0,Yardi!J141,"")</f>
        <v/>
      </c>
      <c r="D142" t="e">
        <f>_xlfn.TEXTJOIN(" ",TRUE,TEXT('Input-Instructions'!$B$6,"MM/YY"),"PPD",'Prepaid Other'!#REF!,"Amort")</f>
        <v>#REF!</v>
      </c>
      <c r="E142" t="e">
        <f>IF(Yardi!O141&lt;&gt;0,"USD","")</f>
        <v>#REF!</v>
      </c>
      <c r="F142" t="str">
        <f>IF(Yardi!J141&lt;&gt;0,Yardi!J141,"")</f>
        <v/>
      </c>
      <c r="H142" t="str">
        <f>IF(Yardi!J141&lt;&gt;0,"@","")</f>
        <v/>
      </c>
    </row>
    <row r="143" spans="1:8" x14ac:dyDescent="0.35">
      <c r="A143" t="str">
        <f>IF(Yardi!I142&lt;&gt;0,Yardi!I142,"")</f>
        <v>'c6us087a</v>
      </c>
      <c r="B143" t="e">
        <f>IF(Yardi!K142&lt;&gt;0,CONCATENATE("RE",Yardi!K142),"")</f>
        <v>#REF!</v>
      </c>
      <c r="C143" t="str">
        <f>IF(Yardi!J142&lt;&gt;0,Yardi!J142,"")</f>
        <v/>
      </c>
      <c r="D143" t="e">
        <f>_xlfn.TEXTJOIN(" ",TRUE,TEXT('Input-Instructions'!$B$6,"MM/YY"),"PPD",'Prepaid Other'!#REF!,"Amort")</f>
        <v>#REF!</v>
      </c>
      <c r="E143" t="e">
        <f>IF(Yardi!O142&lt;&gt;0,"USD","")</f>
        <v>#REF!</v>
      </c>
      <c r="F143" t="str">
        <f>IF(Yardi!J142&lt;&gt;0,Yardi!J142,"")</f>
        <v/>
      </c>
      <c r="H143" t="str">
        <f>IF(Yardi!J142&lt;&gt;0,"@","")</f>
        <v/>
      </c>
    </row>
    <row r="144" spans="1:8" x14ac:dyDescent="0.35">
      <c r="A144" t="str">
        <f>IF(Yardi!I143&lt;&gt;0,Yardi!I143,"")</f>
        <v>'c6us087a</v>
      </c>
      <c r="B144" t="str">
        <f>IF(Yardi!K143&lt;&gt;0,CONCATENATE("RE",Yardi!K143),"")</f>
        <v>RE1630-8910</v>
      </c>
      <c r="C144" t="str">
        <f>IF(Yardi!J143&lt;&gt;0,Yardi!J143,"")</f>
        <v/>
      </c>
      <c r="D144" t="e">
        <f>_xlfn.TEXTJOIN(" ",TRUE,TEXT('Input-Instructions'!$B$6,"MM/YY"),"PPD",'Prepaid Other'!#REF!,"Amort")</f>
        <v>#REF!</v>
      </c>
      <c r="E144" t="e">
        <f>IF(Yardi!O143&lt;&gt;0,"USD","")</f>
        <v>#REF!</v>
      </c>
      <c r="F144" t="str">
        <f>IF(Yardi!J143&lt;&gt;0,Yardi!J143,"")</f>
        <v/>
      </c>
      <c r="H144" t="str">
        <f>IF(Yardi!J143&lt;&gt;0,"@","")</f>
        <v/>
      </c>
    </row>
    <row r="145" spans="1:8" x14ac:dyDescent="0.35">
      <c r="A145" t="str">
        <f>IF(Yardi!I144&lt;&gt;0,Yardi!I144,"")</f>
        <v>'c6us087a</v>
      </c>
      <c r="B145" t="e">
        <f>IF(Yardi!K144&lt;&gt;0,CONCATENATE("RE",Yardi!K144),"")</f>
        <v>#REF!</v>
      </c>
      <c r="C145" t="str">
        <f>IF(Yardi!J144&lt;&gt;0,Yardi!J144,"")</f>
        <v/>
      </c>
      <c r="D145" t="e">
        <f>_xlfn.TEXTJOIN(" ",TRUE,TEXT('Input-Instructions'!$B$6,"MM/YY"),"PPD",'Prepaid Other'!#REF!,"Amort")</f>
        <v>#REF!</v>
      </c>
      <c r="E145" t="e">
        <f>IF(Yardi!O144&lt;&gt;0,"USD","")</f>
        <v>#REF!</v>
      </c>
      <c r="F145" t="str">
        <f>IF(Yardi!J144&lt;&gt;0,Yardi!J144,"")</f>
        <v/>
      </c>
      <c r="H145" t="str">
        <f>IF(Yardi!J144&lt;&gt;0,"@","")</f>
        <v/>
      </c>
    </row>
    <row r="146" spans="1:8" x14ac:dyDescent="0.35">
      <c r="A146" t="str">
        <f>IF(Yardi!I145&lt;&gt;0,Yardi!I145,"")</f>
        <v>'c6us087a</v>
      </c>
      <c r="B146" t="str">
        <f>IF(Yardi!K145&lt;&gt;0,CONCATENATE("RE",Yardi!K145),"")</f>
        <v>RE1630-8910</v>
      </c>
      <c r="C146" t="str">
        <f>IF(Yardi!J145&lt;&gt;0,Yardi!J145,"")</f>
        <v/>
      </c>
      <c r="D146" t="e">
        <f>_xlfn.TEXTJOIN(" ",TRUE,TEXT('Input-Instructions'!$B$6,"MM/YY"),"PPD",'Prepaid Other'!#REF!,"Amort")</f>
        <v>#REF!</v>
      </c>
      <c r="E146" t="e">
        <f>IF(Yardi!O145&lt;&gt;0,"USD","")</f>
        <v>#REF!</v>
      </c>
      <c r="F146" t="str">
        <f>IF(Yardi!J145&lt;&gt;0,Yardi!J145,"")</f>
        <v/>
      </c>
      <c r="H146" t="str">
        <f>IF(Yardi!J145&lt;&gt;0,"@","")</f>
        <v/>
      </c>
    </row>
    <row r="147" spans="1:8" x14ac:dyDescent="0.35">
      <c r="A147" t="str">
        <f>IF(Yardi!I146&lt;&gt;0,Yardi!I146,"")</f>
        <v>'c6us087a</v>
      </c>
      <c r="B147" t="e">
        <f>IF(Yardi!K146&lt;&gt;0,CONCATENATE("RE",Yardi!K146),"")</f>
        <v>#REF!</v>
      </c>
      <c r="C147" t="str">
        <f>IF(Yardi!J146&lt;&gt;0,Yardi!J146,"")</f>
        <v/>
      </c>
      <c r="D147" t="e">
        <f>_xlfn.TEXTJOIN(" ",TRUE,TEXT('Input-Instructions'!$B$6,"MM/YY"),"PPD",'Prepaid Other'!#REF!,"Amort")</f>
        <v>#REF!</v>
      </c>
      <c r="E147" t="e">
        <f>IF(Yardi!O146&lt;&gt;0,"USD","")</f>
        <v>#REF!</v>
      </c>
      <c r="F147" t="str">
        <f>IF(Yardi!J146&lt;&gt;0,Yardi!J146,"")</f>
        <v/>
      </c>
      <c r="H147" t="str">
        <f>IF(Yardi!J146&lt;&gt;0,"@","")</f>
        <v/>
      </c>
    </row>
    <row r="148" spans="1:8" x14ac:dyDescent="0.35">
      <c r="A148" t="str">
        <f>IF(Yardi!I147&lt;&gt;0,Yardi!I147,"")</f>
        <v>'c6us087a</v>
      </c>
      <c r="B148" t="str">
        <f>IF(Yardi!K147&lt;&gt;0,CONCATENATE("RE",Yardi!K147),"")</f>
        <v>RE1630-8910</v>
      </c>
      <c r="C148" t="str">
        <f>IF(Yardi!J147&lt;&gt;0,Yardi!J147,"")</f>
        <v/>
      </c>
      <c r="D148" t="e">
        <f>_xlfn.TEXTJOIN(" ",TRUE,TEXT('Input-Instructions'!$B$6,"MM/YY"),"PPD",'Prepaid Other'!#REF!,"Amort")</f>
        <v>#REF!</v>
      </c>
      <c r="E148" t="e">
        <f>IF(Yardi!O147&lt;&gt;0,"USD","")</f>
        <v>#REF!</v>
      </c>
      <c r="F148" t="str">
        <f>IF(Yardi!J147&lt;&gt;0,Yardi!J147,"")</f>
        <v/>
      </c>
      <c r="H148" t="str">
        <f>IF(Yardi!J147&lt;&gt;0,"@","")</f>
        <v/>
      </c>
    </row>
    <row r="149" spans="1:8" x14ac:dyDescent="0.35">
      <c r="A149" t="str">
        <f>IF(Yardi!I148&lt;&gt;0,Yardi!I148,"")</f>
        <v>'c6us087a</v>
      </c>
      <c r="B149" t="e">
        <f>IF(Yardi!K148&lt;&gt;0,CONCATENATE("RE",Yardi!K148),"")</f>
        <v>#REF!</v>
      </c>
      <c r="C149" t="str">
        <f>IF(Yardi!J148&lt;&gt;0,Yardi!J148,"")</f>
        <v/>
      </c>
      <c r="D149" t="e">
        <f>_xlfn.TEXTJOIN(" ",TRUE,TEXT('Input-Instructions'!$B$6,"MM/YY"),"PPD",'Prepaid Other'!#REF!,"Amort")</f>
        <v>#REF!</v>
      </c>
      <c r="E149" t="e">
        <f>IF(Yardi!O148&lt;&gt;0,"USD","")</f>
        <v>#REF!</v>
      </c>
      <c r="F149" t="str">
        <f>IF(Yardi!J148&lt;&gt;0,Yardi!J148,"")</f>
        <v/>
      </c>
      <c r="H149" t="str">
        <f>IF(Yardi!J148&lt;&gt;0,"@","")</f>
        <v/>
      </c>
    </row>
    <row r="150" spans="1:8" x14ac:dyDescent="0.35">
      <c r="A150" t="str">
        <f>IF(Yardi!I149&lt;&gt;0,Yardi!I149,"")</f>
        <v>'c6us087a</v>
      </c>
      <c r="B150" t="str">
        <f>IF(Yardi!K149&lt;&gt;0,CONCATENATE("RE",Yardi!K149),"")</f>
        <v>RE1630-8910</v>
      </c>
      <c r="C150" t="str">
        <f>IF(Yardi!J149&lt;&gt;0,Yardi!J149,"")</f>
        <v/>
      </c>
      <c r="D150" t="e">
        <f>_xlfn.TEXTJOIN(" ",TRUE,TEXT('Input-Instructions'!$B$6,"MM/YY"),"PPD",'Prepaid Other'!#REF!,"Amort")</f>
        <v>#REF!</v>
      </c>
      <c r="E150" t="e">
        <f>IF(Yardi!O149&lt;&gt;0,"USD","")</f>
        <v>#REF!</v>
      </c>
      <c r="F150" t="str">
        <f>IF(Yardi!J149&lt;&gt;0,Yardi!J149,"")</f>
        <v/>
      </c>
      <c r="H150" t="str">
        <f>IF(Yardi!J149&lt;&gt;0,"@","")</f>
        <v/>
      </c>
    </row>
    <row r="151" spans="1:8" x14ac:dyDescent="0.35">
      <c r="A151" t="str">
        <f>IF(Yardi!I150&lt;&gt;0,Yardi!I150,"")</f>
        <v>'c6us087a</v>
      </c>
      <c r="B151" t="e">
        <f>IF(Yardi!K150&lt;&gt;0,CONCATENATE("RE",Yardi!K150),"")</f>
        <v>#REF!</v>
      </c>
      <c r="C151" t="str">
        <f>IF(Yardi!J150&lt;&gt;0,Yardi!J150,"")</f>
        <v/>
      </c>
      <c r="D151" t="e">
        <f>_xlfn.TEXTJOIN(" ",TRUE,TEXT('Input-Instructions'!$B$6,"MM/YY"),"PPD",'Prepaid Other'!#REF!,"Amort")</f>
        <v>#REF!</v>
      </c>
      <c r="E151" t="e">
        <f>IF(Yardi!O150&lt;&gt;0,"USD","")</f>
        <v>#REF!</v>
      </c>
      <c r="F151" t="str">
        <f>IF(Yardi!J150&lt;&gt;0,Yardi!J150,"")</f>
        <v/>
      </c>
      <c r="H151" t="str">
        <f>IF(Yardi!J150&lt;&gt;0,"@","")</f>
        <v/>
      </c>
    </row>
    <row r="152" spans="1:8" x14ac:dyDescent="0.35">
      <c r="A152" t="str">
        <f>IF(Yardi!I151&lt;&gt;0,Yardi!I151,"")</f>
        <v>'c6us087a</v>
      </c>
      <c r="B152" t="str">
        <f>IF(Yardi!K151&lt;&gt;0,CONCATENATE("RE",Yardi!K151),"")</f>
        <v>RE1630-8910</v>
      </c>
      <c r="C152" t="str">
        <f>IF(Yardi!J151&lt;&gt;0,Yardi!J151,"")</f>
        <v/>
      </c>
      <c r="D152" t="e">
        <f>_xlfn.TEXTJOIN(" ",TRUE,TEXT('Input-Instructions'!$B$6,"MM/YY"),"PPD",'Prepaid Other'!#REF!,"Amort")</f>
        <v>#REF!</v>
      </c>
      <c r="E152" t="e">
        <f>IF(Yardi!O151&lt;&gt;0,"USD","")</f>
        <v>#REF!</v>
      </c>
      <c r="F152" t="str">
        <f>IF(Yardi!J151&lt;&gt;0,Yardi!J151,"")</f>
        <v/>
      </c>
      <c r="H152" t="str">
        <f>IF(Yardi!J151&lt;&gt;0,"@","")</f>
        <v/>
      </c>
    </row>
    <row r="153" spans="1:8" x14ac:dyDescent="0.35">
      <c r="A153" t="str">
        <f>IF(Yardi!I152&lt;&gt;0,Yardi!I152,"")</f>
        <v>'c6us087a</v>
      </c>
      <c r="B153" t="e">
        <f>IF(Yardi!K152&lt;&gt;0,CONCATENATE("RE",Yardi!K152),"")</f>
        <v>#REF!</v>
      </c>
      <c r="C153" t="str">
        <f>IF(Yardi!J152&lt;&gt;0,Yardi!J152,"")</f>
        <v/>
      </c>
      <c r="D153" t="e">
        <f>_xlfn.TEXTJOIN(" ",TRUE,TEXT('Input-Instructions'!$B$6,"MM/YY"),"PPD",'Prepaid Other'!#REF!,"Amort")</f>
        <v>#REF!</v>
      </c>
      <c r="E153" t="e">
        <f>IF(Yardi!O152&lt;&gt;0,"USD","")</f>
        <v>#REF!</v>
      </c>
      <c r="F153" t="str">
        <f>IF(Yardi!J152&lt;&gt;0,Yardi!J152,"")</f>
        <v/>
      </c>
      <c r="H153" t="str">
        <f>IF(Yardi!J152&lt;&gt;0,"@","")</f>
        <v/>
      </c>
    </row>
    <row r="154" spans="1:8" x14ac:dyDescent="0.35">
      <c r="A154" t="str">
        <f>IF(Yardi!I153&lt;&gt;0,Yardi!I153,"")</f>
        <v>'c6us087a</v>
      </c>
      <c r="B154" t="str">
        <f>IF(Yardi!K153&lt;&gt;0,CONCATENATE("RE",Yardi!K153),"")</f>
        <v>RE1630-8910</v>
      </c>
      <c r="C154" t="str">
        <f>IF(Yardi!J153&lt;&gt;0,Yardi!J153,"")</f>
        <v/>
      </c>
      <c r="D154" t="e">
        <f>_xlfn.TEXTJOIN(" ",TRUE,TEXT('Input-Instructions'!$B$6,"MM/YY"),"PPD",'Prepaid Other'!#REF!,"Amort")</f>
        <v>#REF!</v>
      </c>
      <c r="E154" t="e">
        <f>IF(Yardi!O153&lt;&gt;0,"USD","")</f>
        <v>#REF!</v>
      </c>
      <c r="F154" t="str">
        <f>IF(Yardi!J153&lt;&gt;0,Yardi!J153,"")</f>
        <v/>
      </c>
      <c r="H154" t="str">
        <f>IF(Yardi!J153&lt;&gt;0,"@","")</f>
        <v/>
      </c>
    </row>
    <row r="155" spans="1:8" x14ac:dyDescent="0.35">
      <c r="A155" t="str">
        <f>IF(Yardi!I154&lt;&gt;0,Yardi!I154,"")</f>
        <v>'c6us087a</v>
      </c>
      <c r="B155" t="e">
        <f>IF(Yardi!K154&lt;&gt;0,CONCATENATE("RE",Yardi!K154),"")</f>
        <v>#REF!</v>
      </c>
      <c r="C155" t="str">
        <f>IF(Yardi!J154&lt;&gt;0,Yardi!J154,"")</f>
        <v/>
      </c>
      <c r="D155" t="e">
        <f>_xlfn.TEXTJOIN(" ",TRUE,TEXT('Input-Instructions'!$B$6,"MM/YY"),"PPD",'Prepaid Other'!#REF!,"Amort")</f>
        <v>#REF!</v>
      </c>
      <c r="E155" t="e">
        <f>IF(Yardi!O154&lt;&gt;0,"USD","")</f>
        <v>#REF!</v>
      </c>
      <c r="F155" t="str">
        <f>IF(Yardi!J154&lt;&gt;0,Yardi!J154,"")</f>
        <v/>
      </c>
      <c r="H155" t="str">
        <f>IF(Yardi!J154&lt;&gt;0,"@","")</f>
        <v/>
      </c>
    </row>
    <row r="156" spans="1:8" x14ac:dyDescent="0.35">
      <c r="A156" t="str">
        <f>IF(Yardi!I155&lt;&gt;0,Yardi!I155,"")</f>
        <v>'c6us087a</v>
      </c>
      <c r="B156" t="str">
        <f>IF(Yardi!K155&lt;&gt;0,CONCATENATE("RE",Yardi!K155),"")</f>
        <v>RE1630-8910</v>
      </c>
      <c r="C156" t="str">
        <f>IF(Yardi!J155&lt;&gt;0,Yardi!J155,"")</f>
        <v/>
      </c>
      <c r="D156" t="e">
        <f>_xlfn.TEXTJOIN(" ",TRUE,TEXT('Input-Instructions'!$B$6,"MM/YY"),"PPD",'Prepaid Other'!#REF!,"Amort")</f>
        <v>#REF!</v>
      </c>
      <c r="E156" t="e">
        <f>IF(Yardi!O155&lt;&gt;0,"USD","")</f>
        <v>#REF!</v>
      </c>
      <c r="F156" t="str">
        <f>IF(Yardi!J155&lt;&gt;0,Yardi!J155,"")</f>
        <v/>
      </c>
      <c r="H156" t="str">
        <f>IF(Yardi!J155&lt;&gt;0,"@","")</f>
        <v/>
      </c>
    </row>
    <row r="157" spans="1:8" x14ac:dyDescent="0.35">
      <c r="A157" t="str">
        <f>IF(Yardi!I156&lt;&gt;0,Yardi!I156,"")</f>
        <v>'c6us087a</v>
      </c>
      <c r="B157" t="str">
        <f>IF(Yardi!K156&lt;&gt;0,CONCATENATE("RE",Yardi!K156),"")</f>
        <v/>
      </c>
      <c r="C157" t="str">
        <f>IF(Yardi!J156&lt;&gt;0,Yardi!J156,"")</f>
        <v/>
      </c>
      <c r="D157" t="str">
        <f>_xlfn.TEXTJOIN(" ",TRUE,TEXT('Input-Instructions'!$B$6,"MM/YY"),"PPD",'Prepaid Other'!$F$14,"Amort")</f>
        <v>09/26 PPD Amort</v>
      </c>
      <c r="E157" t="str">
        <f>IF(Yardi!O156&lt;&gt;0,"USD","")</f>
        <v>USD</v>
      </c>
      <c r="F157" t="str">
        <f>IF(Yardi!J156&lt;&gt;0,Yardi!J156,"")</f>
        <v/>
      </c>
      <c r="H157" t="str">
        <f>IF(Yardi!J156&lt;&gt;0,"@","")</f>
        <v/>
      </c>
    </row>
    <row r="158" spans="1:8" x14ac:dyDescent="0.35">
      <c r="A158" t="str">
        <f>IF(Yardi!I157&lt;&gt;0,Yardi!I157,"")</f>
        <v>'c6us087a</v>
      </c>
      <c r="B158" t="str">
        <f>IF(Yardi!K157&lt;&gt;0,CONCATENATE("RE",Yardi!K157),"")</f>
        <v>RE1630-8910</v>
      </c>
      <c r="C158" t="str">
        <f>IF(Yardi!J157&lt;&gt;0,Yardi!J157,"")</f>
        <v/>
      </c>
      <c r="D158" t="str">
        <f>_xlfn.TEXTJOIN(" ",TRUE,TEXT('Input-Instructions'!$B$6,"MM/YY"),"PPD",'Prepaid Other'!$F$14,"Amort")</f>
        <v>09/26 PPD Amort</v>
      </c>
      <c r="E158" t="str">
        <f>IF(Yardi!O157&lt;&gt;0,"USD","")</f>
        <v>USD</v>
      </c>
      <c r="F158" t="str">
        <f>IF(Yardi!J157&lt;&gt;0,Yardi!J157,"")</f>
        <v/>
      </c>
      <c r="H158" t="str">
        <f>IF(Yardi!J157&lt;&gt;0,"@","")</f>
        <v/>
      </c>
    </row>
    <row r="159" spans="1:8" x14ac:dyDescent="0.35">
      <c r="A159" t="str">
        <f>IF(Yardi!I158&lt;&gt;0,Yardi!I158,"")</f>
        <v>'c6us087a</v>
      </c>
      <c r="B159" t="str">
        <f>IF(Yardi!K158&lt;&gt;0,CONCATENATE("RE",Yardi!K158),"")</f>
        <v/>
      </c>
      <c r="C159" t="str">
        <f>IF(Yardi!J158&lt;&gt;0,Yardi!J158,"")</f>
        <v/>
      </c>
      <c r="D159" t="str">
        <f>_xlfn.TEXTJOIN(" ",TRUE,TEXT('Input-Instructions'!$B$6,"MM/YY"),"PPD",'Prepaid Other'!$F$15,"Amort")</f>
        <v>09/26 PPD Amort</v>
      </c>
      <c r="E159" t="str">
        <f>IF(Yardi!O158&lt;&gt;0,"USD","")</f>
        <v>USD</v>
      </c>
      <c r="F159" t="str">
        <f>IF(Yardi!J158&lt;&gt;0,Yardi!J158,"")</f>
        <v/>
      </c>
      <c r="H159" t="str">
        <f>IF(Yardi!J158&lt;&gt;0,"@","")</f>
        <v/>
      </c>
    </row>
    <row r="160" spans="1:8" x14ac:dyDescent="0.35">
      <c r="A160" t="str">
        <f>IF(Yardi!I159&lt;&gt;0,Yardi!I159,"")</f>
        <v>'c6us087a</v>
      </c>
      <c r="B160" t="str">
        <f>IF(Yardi!K159&lt;&gt;0,CONCATENATE("RE",Yardi!K159),"")</f>
        <v>RE1630-8910</v>
      </c>
      <c r="C160" t="str">
        <f>IF(Yardi!J159&lt;&gt;0,Yardi!J159,"")</f>
        <v/>
      </c>
      <c r="D160" t="str">
        <f>_xlfn.TEXTJOIN(" ",TRUE,TEXT('Input-Instructions'!$B$6,"MM/YY"),"PPD",'Prepaid Other'!$F$15,"Amort")</f>
        <v>09/26 PPD Amort</v>
      </c>
      <c r="E160" t="str">
        <f>IF(Yardi!O159&lt;&gt;0,"USD","")</f>
        <v>USD</v>
      </c>
      <c r="F160" t="str">
        <f>IF(Yardi!J159&lt;&gt;0,Yardi!J159,"")</f>
        <v/>
      </c>
      <c r="H160" t="str">
        <f>IF(Yardi!J159&lt;&gt;0,"@","")</f>
        <v/>
      </c>
    </row>
    <row r="161" spans="1:8" x14ac:dyDescent="0.35">
      <c r="A161" t="str">
        <f>IF(Yardi!I160&lt;&gt;0,Yardi!I160,"")</f>
        <v>'c6us087a</v>
      </c>
      <c r="B161" t="str">
        <f>IF(Yardi!K160&lt;&gt;0,CONCATENATE("RE",Yardi!K160),"")</f>
        <v/>
      </c>
      <c r="C161" t="str">
        <f>IF(Yardi!J160&lt;&gt;0,Yardi!J160,"")</f>
        <v/>
      </c>
      <c r="D161" t="str">
        <f>_xlfn.TEXTJOIN(" ",TRUE,TEXT('Input-Instructions'!$B$6,"MM/YY"),"PPD",'Prepaid Other'!$F$16,"Amort")</f>
        <v>09/26 PPD Amort</v>
      </c>
      <c r="E161" t="str">
        <f>IF(Yardi!O160&lt;&gt;0,"USD","")</f>
        <v>USD</v>
      </c>
      <c r="F161" t="str">
        <f>IF(Yardi!J160&lt;&gt;0,Yardi!J160,"")</f>
        <v/>
      </c>
      <c r="H161" t="str">
        <f>IF(Yardi!J160&lt;&gt;0,"@","")</f>
        <v/>
      </c>
    </row>
    <row r="162" spans="1:8" x14ac:dyDescent="0.35">
      <c r="A162" t="str">
        <f>IF(Yardi!I161&lt;&gt;0,Yardi!I161,"")</f>
        <v>'c6us087a</v>
      </c>
      <c r="B162" t="str">
        <f>IF(Yardi!K161&lt;&gt;0,CONCATENATE("RE",Yardi!K161),"")</f>
        <v>RE1630-8910</v>
      </c>
      <c r="C162" t="str">
        <f>IF(Yardi!J161&lt;&gt;0,Yardi!J161,"")</f>
        <v/>
      </c>
      <c r="D162" t="str">
        <f>_xlfn.TEXTJOIN(" ",TRUE,TEXT('Input-Instructions'!$B$6,"MM/YY"),"PPD",'Prepaid Other'!$F$16,"Amort")</f>
        <v>09/26 PPD Amort</v>
      </c>
      <c r="E162" t="str">
        <f>IF(Yardi!O161&lt;&gt;0,"USD","")</f>
        <v>USD</v>
      </c>
      <c r="F162" t="str">
        <f>IF(Yardi!J161&lt;&gt;0,Yardi!J161,"")</f>
        <v/>
      </c>
      <c r="H162" t="str">
        <f>IF(Yardi!J161&lt;&gt;0,"@","")</f>
        <v/>
      </c>
    </row>
    <row r="163" spans="1:8" x14ac:dyDescent="0.35">
      <c r="A163" t="str">
        <f>IF(Yardi!I162&lt;&gt;0,Yardi!I162,"")</f>
        <v>'c6us087a</v>
      </c>
      <c r="B163" t="str">
        <f>IF(Yardi!K162&lt;&gt;0,CONCATENATE("RE",Yardi!K162),"")</f>
        <v/>
      </c>
      <c r="C163" t="str">
        <f>IF(Yardi!J162&lt;&gt;0,Yardi!J162,"")</f>
        <v/>
      </c>
      <c r="D163" t="str">
        <f>_xlfn.TEXTJOIN(" ",TRUE,TEXT('Input-Instructions'!$B$6,"MM/YY"),"PPD",'Prepaid Other'!$F$17,"Amort")</f>
        <v>09/26 PPD Amort</v>
      </c>
      <c r="E163" t="str">
        <f>IF(Yardi!O162&lt;&gt;0,"USD","")</f>
        <v>USD</v>
      </c>
      <c r="F163" t="str">
        <f>IF(Yardi!J162&lt;&gt;0,Yardi!J162,"")</f>
        <v/>
      </c>
      <c r="H163" t="str">
        <f>IF(Yardi!J162&lt;&gt;0,"@","")</f>
        <v/>
      </c>
    </row>
    <row r="164" spans="1:8" x14ac:dyDescent="0.35">
      <c r="A164" t="str">
        <f>IF(Yardi!I163&lt;&gt;0,Yardi!I163,"")</f>
        <v>'c6us087a</v>
      </c>
      <c r="B164" t="str">
        <f>IF(Yardi!K163&lt;&gt;0,CONCATENATE("RE",Yardi!K163),"")</f>
        <v>RE1630-8910</v>
      </c>
      <c r="C164" t="str">
        <f>IF(Yardi!J163&lt;&gt;0,Yardi!J163,"")</f>
        <v/>
      </c>
      <c r="D164" t="str">
        <f>_xlfn.TEXTJOIN(" ",TRUE,TEXT('Input-Instructions'!$B$6,"MM/YY"),"PPD",'Prepaid Other'!$F$17,"Amort")</f>
        <v>09/26 PPD Amort</v>
      </c>
      <c r="E164" t="str">
        <f>IF(Yardi!O163&lt;&gt;0,"USD","")</f>
        <v>USD</v>
      </c>
      <c r="F164" t="str">
        <f>IF(Yardi!J163&lt;&gt;0,Yardi!J163,"")</f>
        <v/>
      </c>
      <c r="H164" t="str">
        <f>IF(Yardi!J163&lt;&gt;0,"@","")</f>
        <v/>
      </c>
    </row>
    <row r="165" spans="1:8" x14ac:dyDescent="0.35">
      <c r="A165" t="str">
        <f>IF(Yardi!I164&lt;&gt;0,Yardi!I164,"")</f>
        <v>'c6us087a</v>
      </c>
      <c r="B165" t="str">
        <f>IF(Yardi!K164&lt;&gt;0,CONCATENATE("RE",Yardi!K164),"")</f>
        <v/>
      </c>
      <c r="C165" t="str">
        <f>IF(Yardi!J164&lt;&gt;0,Yardi!J164,"")</f>
        <v/>
      </c>
      <c r="D165" t="str">
        <f>_xlfn.TEXTJOIN(" ",TRUE,TEXT('Input-Instructions'!$B$6,"MM/YY"),"PPD",'Prepaid Other'!$F$18,"Amort")</f>
        <v>09/26 PPD Amort</v>
      </c>
      <c r="E165" t="str">
        <f>IF(Yardi!O164&lt;&gt;0,"USD","")</f>
        <v>USD</v>
      </c>
      <c r="F165" t="str">
        <f>IF(Yardi!J164&lt;&gt;0,Yardi!J164,"")</f>
        <v/>
      </c>
      <c r="H165" t="str">
        <f>IF(Yardi!J164&lt;&gt;0,"@","")</f>
        <v/>
      </c>
    </row>
    <row r="166" spans="1:8" x14ac:dyDescent="0.35">
      <c r="A166" t="str">
        <f>IF(Yardi!I165&lt;&gt;0,Yardi!I165,"")</f>
        <v>'c6us087a</v>
      </c>
      <c r="B166" t="str">
        <f>IF(Yardi!K165&lt;&gt;0,CONCATENATE("RE",Yardi!K165),"")</f>
        <v>RE1630-8910</v>
      </c>
      <c r="C166" t="str">
        <f>IF(Yardi!J165&lt;&gt;0,Yardi!J165,"")</f>
        <v/>
      </c>
      <c r="D166" t="str">
        <f>_xlfn.TEXTJOIN(" ",TRUE,TEXT('Input-Instructions'!$B$6,"MM/YY"),"PPD",'Prepaid Other'!$F$18,"Amort")</f>
        <v>09/26 PPD Amort</v>
      </c>
      <c r="E166" t="str">
        <f>IF(Yardi!O165&lt;&gt;0,"USD","")</f>
        <v>USD</v>
      </c>
      <c r="F166" t="str">
        <f>IF(Yardi!J165&lt;&gt;0,Yardi!J165,"")</f>
        <v/>
      </c>
      <c r="H166" t="str">
        <f>IF(Yardi!J165&lt;&gt;0,"@","")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A45E0-BDF6-448B-91A6-7F68E909A3FE}">
  <sheetPr codeName="Sheet13">
    <pageSetUpPr fitToPage="1"/>
  </sheetPr>
  <dimension ref="A1:AA118"/>
  <sheetViews>
    <sheetView zoomScale="80" zoomScaleNormal="80" workbookViewId="0">
      <selection activeCell="I6" sqref="I6"/>
    </sheetView>
  </sheetViews>
  <sheetFormatPr defaultColWidth="12.453125" defaultRowHeight="15.5" x14ac:dyDescent="0.35"/>
  <cols>
    <col min="1" max="1" width="54.26953125" style="9" customWidth="1"/>
    <col min="2" max="2" width="22" style="9" customWidth="1"/>
    <col min="3" max="3" width="41.453125" style="13" customWidth="1"/>
    <col min="4" max="4" width="16.81640625" style="98" customWidth="1"/>
    <col min="5" max="5" width="23.453125" style="13" customWidth="1"/>
    <col min="6" max="6" width="17.54296875" style="13" customWidth="1"/>
    <col min="7" max="7" width="24.26953125" style="46" customWidth="1"/>
    <col min="8" max="8" width="6.453125" style="9" customWidth="1"/>
    <col min="9" max="9" width="87" style="9" customWidth="1"/>
    <col min="10" max="10" width="6.1796875" style="9" customWidth="1"/>
    <col min="11" max="11" width="8.1796875" style="9" customWidth="1"/>
    <col min="12" max="16384" width="12.453125" style="9"/>
  </cols>
  <sheetData>
    <row r="1" spans="1:27" ht="28.5" customHeight="1" x14ac:dyDescent="0.5">
      <c r="A1" s="564" t="str">
        <f>'Input-Instructions'!B3</f>
        <v>Residences at Shiloh Crossing</v>
      </c>
      <c r="B1" s="564"/>
      <c r="C1" s="564"/>
      <c r="D1" s="564"/>
      <c r="E1" s="564"/>
      <c r="F1" s="564"/>
      <c r="G1" s="564"/>
      <c r="H1" s="564"/>
      <c r="AA1" s="9" t="b">
        <v>0</v>
      </c>
    </row>
    <row r="2" spans="1:27" ht="25.5" customHeight="1" x14ac:dyDescent="0.45">
      <c r="A2" s="646" t="s">
        <v>699</v>
      </c>
      <c r="B2" s="646"/>
      <c r="C2" s="646"/>
      <c r="D2" s="646"/>
      <c r="E2" s="646"/>
      <c r="F2" s="646"/>
      <c r="G2" s="646"/>
      <c r="H2" s="646"/>
    </row>
    <row r="3" spans="1:27" ht="21" customHeight="1" x14ac:dyDescent="0.45">
      <c r="A3" s="10"/>
      <c r="B3" s="10"/>
      <c r="C3" s="11"/>
      <c r="D3" s="11"/>
      <c r="E3" s="11"/>
      <c r="F3" s="11"/>
      <c r="G3" s="11"/>
    </row>
    <row r="4" spans="1:27" ht="21" customHeight="1" x14ac:dyDescent="0.45">
      <c r="B4" s="88" t="s">
        <v>700</v>
      </c>
      <c r="C4" s="626"/>
      <c r="D4" s="626"/>
      <c r="E4" s="89"/>
      <c r="F4" s="90" t="s">
        <v>701</v>
      </c>
      <c r="G4" s="89"/>
    </row>
    <row r="5" spans="1:27" ht="21" customHeight="1" x14ac:dyDescent="0.45">
      <c r="B5" s="88" t="s">
        <v>702</v>
      </c>
      <c r="C5" s="627"/>
      <c r="D5" s="627"/>
      <c r="E5" s="91"/>
      <c r="F5" s="90" t="s">
        <v>703</v>
      </c>
      <c r="G5" s="92"/>
    </row>
    <row r="6" spans="1:27" ht="21" customHeight="1" x14ac:dyDescent="0.45">
      <c r="B6" s="88" t="s">
        <v>704</v>
      </c>
      <c r="C6" s="89"/>
      <c r="D6" s="93"/>
      <c r="E6" s="93"/>
      <c r="F6" s="90"/>
      <c r="G6" s="92"/>
    </row>
    <row r="7" spans="1:27" ht="21" customHeight="1" thickBot="1" x14ac:dyDescent="0.5">
      <c r="A7" s="10"/>
      <c r="B7" s="10"/>
      <c r="C7" s="11"/>
      <c r="D7" s="11"/>
      <c r="E7" s="11"/>
      <c r="F7" s="11"/>
      <c r="G7" s="11"/>
    </row>
    <row r="8" spans="1:27" ht="21" customHeight="1" x14ac:dyDescent="0.45">
      <c r="A8" s="628" t="s">
        <v>705</v>
      </c>
      <c r="B8" s="629"/>
      <c r="C8" s="11"/>
      <c r="D8" s="634" t="s">
        <v>706</v>
      </c>
      <c r="E8" s="635"/>
      <c r="F8" s="635"/>
      <c r="G8" s="636"/>
    </row>
    <row r="9" spans="1:27" ht="21" customHeight="1" x14ac:dyDescent="0.45">
      <c r="A9" s="630"/>
      <c r="B9" s="631"/>
      <c r="C9" s="11"/>
      <c r="D9" s="637"/>
      <c r="E9" s="638"/>
      <c r="F9" s="638"/>
      <c r="G9" s="639"/>
    </row>
    <row r="10" spans="1:27" ht="21" customHeight="1" x14ac:dyDescent="0.45">
      <c r="A10" s="630"/>
      <c r="B10" s="631"/>
      <c r="C10" s="11"/>
      <c r="D10" s="637"/>
      <c r="E10" s="638"/>
      <c r="F10" s="638"/>
      <c r="G10" s="639"/>
    </row>
    <row r="11" spans="1:27" ht="21" customHeight="1" thickBot="1" x14ac:dyDescent="0.5">
      <c r="A11" s="632"/>
      <c r="B11" s="633"/>
      <c r="C11" s="11"/>
      <c r="D11" s="640"/>
      <c r="E11" s="641"/>
      <c r="F11" s="641"/>
      <c r="G11" s="642"/>
    </row>
    <row r="12" spans="1:27" ht="21" customHeight="1" x14ac:dyDescent="0.45">
      <c r="A12" s="10"/>
      <c r="B12" s="10"/>
      <c r="C12" s="11"/>
      <c r="D12" s="11"/>
      <c r="E12" s="11"/>
      <c r="F12" s="11"/>
      <c r="G12" s="11"/>
      <c r="I12" s="94"/>
    </row>
    <row r="13" spans="1:27" ht="21" customHeight="1" x14ac:dyDescent="0.35">
      <c r="A13" s="643" t="str">
        <f ca="1">IF(G5&gt;=TODAY()-365,"REMINDER: HUD typically requires monthly financial statements be submitted for the first year of a project.  If you are unfamiliar with this process, consult your supervisor."," ")</f>
        <v xml:space="preserve"> </v>
      </c>
      <c r="B13" s="643"/>
      <c r="C13" s="643"/>
      <c r="D13" s="643"/>
      <c r="E13" s="643"/>
      <c r="F13" s="643"/>
      <c r="G13" s="643"/>
    </row>
    <row r="14" spans="1:27" ht="21" customHeight="1" x14ac:dyDescent="0.45">
      <c r="A14" s="10"/>
      <c r="B14" s="10"/>
      <c r="C14" s="11"/>
      <c r="D14" s="11"/>
      <c r="E14" s="11"/>
      <c r="F14" s="11"/>
      <c r="G14" s="11"/>
    </row>
    <row r="15" spans="1:27" ht="15" customHeight="1" x14ac:dyDescent="0.35">
      <c r="A15" s="95" t="s">
        <v>707</v>
      </c>
      <c r="C15" s="9"/>
      <c r="D15" s="9"/>
      <c r="E15" s="9"/>
      <c r="F15" s="9"/>
      <c r="G15" s="9"/>
    </row>
    <row r="16" spans="1:27" ht="15" customHeight="1" x14ac:dyDescent="0.4">
      <c r="A16" s="96" t="s">
        <v>708</v>
      </c>
      <c r="B16" s="625" t="s">
        <v>709</v>
      </c>
      <c r="C16" s="625"/>
      <c r="D16" s="625"/>
      <c r="E16" s="625"/>
      <c r="F16" s="625"/>
      <c r="G16" s="625"/>
    </row>
    <row r="17" spans="1:8" ht="15" customHeight="1" x14ac:dyDescent="0.35">
      <c r="B17" s="20"/>
      <c r="C17" s="20"/>
      <c r="D17" s="97"/>
      <c r="E17" s="20"/>
      <c r="F17" s="19"/>
      <c r="G17" s="28"/>
    </row>
    <row r="18" spans="1:8" ht="15" customHeight="1" x14ac:dyDescent="0.35">
      <c r="B18" s="20"/>
      <c r="C18" s="98"/>
      <c r="D18" s="20"/>
      <c r="E18" s="99" t="s">
        <v>710</v>
      </c>
      <c r="F18" s="100"/>
      <c r="G18" s="9"/>
    </row>
    <row r="19" spans="1:8" ht="15" customHeight="1" x14ac:dyDescent="0.35">
      <c r="B19" s="20"/>
      <c r="C19" s="101"/>
      <c r="D19" s="20"/>
      <c r="E19" s="19"/>
      <c r="F19" s="28"/>
      <c r="G19" s="9"/>
    </row>
    <row r="20" spans="1:8" ht="15" customHeight="1" x14ac:dyDescent="0.35">
      <c r="B20" s="20"/>
      <c r="C20" s="98"/>
      <c r="D20" s="102"/>
      <c r="E20" s="103" t="s">
        <v>711</v>
      </c>
      <c r="F20" s="104"/>
      <c r="G20" s="9"/>
    </row>
    <row r="21" spans="1:8" ht="15" customHeight="1" x14ac:dyDescent="0.35">
      <c r="A21" s="12"/>
      <c r="B21" s="20"/>
      <c r="C21" s="16"/>
      <c r="D21" s="105"/>
      <c r="E21" s="25"/>
      <c r="F21" s="16"/>
      <c r="G21" s="106" t="str">
        <f>IF(F18&gt;=F20,"OK", "ERROR")</f>
        <v>OK</v>
      </c>
    </row>
    <row r="22" spans="1:8" ht="15" customHeight="1" thickBot="1" x14ac:dyDescent="0.4">
      <c r="A22" s="107"/>
      <c r="B22" s="107"/>
      <c r="C22" s="108"/>
      <c r="D22" s="109"/>
      <c r="E22" s="110"/>
      <c r="F22" s="111"/>
      <c r="G22" s="112"/>
    </row>
    <row r="23" spans="1:8" ht="15" customHeight="1" x14ac:dyDescent="0.35">
      <c r="A23" s="9" t="s">
        <v>712</v>
      </c>
      <c r="B23" s="12"/>
      <c r="E23" s="15"/>
      <c r="F23" s="16"/>
      <c r="G23" s="9"/>
    </row>
    <row r="24" spans="1:8" ht="15" customHeight="1" x14ac:dyDescent="0.4">
      <c r="A24" s="96" t="s">
        <v>713</v>
      </c>
      <c r="B24" s="96" t="s">
        <v>714</v>
      </c>
      <c r="C24" s="113"/>
      <c r="D24" s="114"/>
      <c r="E24" s="115"/>
      <c r="F24" s="116"/>
      <c r="G24" s="12"/>
    </row>
    <row r="25" spans="1:8" ht="15" customHeight="1" x14ac:dyDescent="0.35">
      <c r="B25" s="17"/>
      <c r="C25" s="17"/>
      <c r="D25" s="97"/>
      <c r="E25" s="19"/>
      <c r="F25" s="19"/>
      <c r="G25" s="28"/>
    </row>
    <row r="26" spans="1:8" ht="15" customHeight="1" x14ac:dyDescent="0.35">
      <c r="A26" s="12"/>
      <c r="B26" s="12"/>
      <c r="C26" s="117" t="s">
        <v>715</v>
      </c>
      <c r="D26" s="118"/>
      <c r="E26" s="13" t="s">
        <v>716</v>
      </c>
      <c r="F26" s="119"/>
      <c r="G26" s="9"/>
    </row>
    <row r="27" spans="1:8" ht="15" customHeight="1" x14ac:dyDescent="0.35">
      <c r="A27" s="12"/>
      <c r="B27" s="12"/>
      <c r="D27" s="120"/>
      <c r="E27" s="121"/>
      <c r="F27" s="16"/>
      <c r="G27" s="9"/>
    </row>
    <row r="28" spans="1:8" ht="15" customHeight="1" x14ac:dyDescent="0.35">
      <c r="A28" s="12"/>
      <c r="B28" s="12"/>
      <c r="D28" s="120"/>
      <c r="E28" s="117" t="s">
        <v>717</v>
      </c>
      <c r="F28" s="118"/>
      <c r="G28" s="116" t="str">
        <f>IF(F28&lt;&gt;D26,"ERROR","OK")</f>
        <v>OK</v>
      </c>
    </row>
    <row r="29" spans="1:8" ht="15" customHeight="1" x14ac:dyDescent="0.35">
      <c r="A29" s="12"/>
      <c r="B29" s="12"/>
      <c r="D29" s="120"/>
      <c r="E29" s="117"/>
      <c r="F29" s="122"/>
      <c r="G29" s="116"/>
    </row>
    <row r="30" spans="1:8" ht="15" customHeight="1" thickBot="1" x14ac:dyDescent="0.4">
      <c r="A30" s="107"/>
      <c r="B30" s="107"/>
      <c r="C30" s="123"/>
      <c r="D30" s="124"/>
      <c r="E30" s="125"/>
      <c r="F30" s="126"/>
      <c r="G30" s="127"/>
    </row>
    <row r="31" spans="1:8" ht="15" customHeight="1" x14ac:dyDescent="0.35">
      <c r="A31" s="9" t="s">
        <v>718</v>
      </c>
      <c r="B31" s="12"/>
      <c r="D31" s="120"/>
      <c r="E31" s="121"/>
      <c r="F31" s="16"/>
      <c r="G31" s="9"/>
    </row>
    <row r="32" spans="1:8" ht="51.75" customHeight="1" x14ac:dyDescent="0.4">
      <c r="A32" s="128" t="s">
        <v>719</v>
      </c>
      <c r="B32" s="644" t="s">
        <v>720</v>
      </c>
      <c r="C32" s="644"/>
      <c r="D32" s="644"/>
      <c r="E32" s="644"/>
      <c r="F32" s="644"/>
      <c r="G32" s="129"/>
      <c r="H32" s="129"/>
    </row>
    <row r="33" spans="1:27" ht="15" customHeight="1" x14ac:dyDescent="0.4">
      <c r="B33" s="96"/>
      <c r="C33" s="130"/>
      <c r="D33" s="131"/>
      <c r="E33" s="132"/>
      <c r="F33" s="133"/>
      <c r="G33" s="129"/>
      <c r="H33" s="129"/>
      <c r="I33" s="134"/>
    </row>
    <row r="34" spans="1:27" ht="15" customHeight="1" x14ac:dyDescent="0.35">
      <c r="B34" s="20"/>
      <c r="C34" s="20"/>
      <c r="D34" s="135"/>
      <c r="E34" s="117" t="s">
        <v>721</v>
      </c>
      <c r="F34" s="118"/>
      <c r="G34" s="28"/>
      <c r="I34" s="134" t="s">
        <v>32</v>
      </c>
    </row>
    <row r="35" spans="1:27" ht="15" customHeight="1" x14ac:dyDescent="0.35">
      <c r="B35" s="20"/>
      <c r="C35" s="20"/>
      <c r="D35" s="135"/>
      <c r="E35" s="20"/>
      <c r="F35" s="20"/>
      <c r="G35" s="28"/>
      <c r="I35" s="134"/>
    </row>
    <row r="36" spans="1:27" ht="15" customHeight="1" thickBot="1" x14ac:dyDescent="0.4">
      <c r="A36" s="136"/>
      <c r="B36" s="136"/>
      <c r="C36" s="123"/>
      <c r="D36" s="109"/>
      <c r="E36" s="123"/>
      <c r="F36" s="137"/>
      <c r="G36" s="138"/>
      <c r="I36" s="134"/>
    </row>
    <row r="37" spans="1:27" ht="15" customHeight="1" x14ac:dyDescent="0.35">
      <c r="A37" s="33" t="s">
        <v>722</v>
      </c>
      <c r="B37" s="33"/>
      <c r="D37" s="16"/>
      <c r="E37" s="121"/>
      <c r="F37" s="16"/>
      <c r="G37" s="139"/>
    </row>
    <row r="38" spans="1:27" ht="38.25" customHeight="1" x14ac:dyDescent="0.4">
      <c r="A38" s="140" t="s">
        <v>723</v>
      </c>
      <c r="B38" s="625" t="s">
        <v>724</v>
      </c>
      <c r="C38" s="625"/>
      <c r="D38" s="625"/>
      <c r="E38" s="625"/>
      <c r="F38" s="625"/>
      <c r="G38" s="139"/>
    </row>
    <row r="39" spans="1:27" ht="15" customHeight="1" x14ac:dyDescent="0.4">
      <c r="A39" s="33"/>
      <c r="B39" s="141"/>
      <c r="C39" s="42"/>
      <c r="D39" s="120"/>
      <c r="E39" s="121"/>
      <c r="F39" s="16"/>
      <c r="G39" s="142"/>
    </row>
    <row r="40" spans="1:27" ht="15" customHeight="1" x14ac:dyDescent="0.35">
      <c r="A40" s="33"/>
      <c r="B40" s="30"/>
      <c r="C40" s="33"/>
      <c r="D40" s="120"/>
      <c r="E40" s="121"/>
      <c r="F40" s="16"/>
      <c r="G40" s="142"/>
      <c r="AA40" s="9" t="b">
        <v>0</v>
      </c>
    </row>
    <row r="41" spans="1:27" ht="15" customHeight="1" x14ac:dyDescent="0.35">
      <c r="A41" s="33"/>
      <c r="B41" s="20"/>
      <c r="C41" s="20"/>
      <c r="D41" s="101"/>
      <c r="E41" s="143" t="s">
        <v>725</v>
      </c>
      <c r="F41" s="19"/>
      <c r="G41" s="28"/>
    </row>
    <row r="42" spans="1:27" ht="15" customHeight="1" x14ac:dyDescent="0.35">
      <c r="A42" s="33"/>
      <c r="B42" s="20"/>
      <c r="C42" s="19"/>
      <c r="D42" s="101"/>
      <c r="E42" s="19"/>
      <c r="F42" s="19"/>
      <c r="G42" s="28"/>
    </row>
    <row r="43" spans="1:27" ht="15" customHeight="1" x14ac:dyDescent="0.35">
      <c r="A43" s="33"/>
      <c r="B43" s="20"/>
      <c r="C43" s="16"/>
      <c r="D43" s="120"/>
      <c r="E43" s="117" t="s">
        <v>726</v>
      </c>
      <c r="F43" s="144"/>
      <c r="G43" s="145" t="str">
        <f>IF($AA$40=TRUE,IF(F43="43127-000","OK","ERROR"),"N/A ")</f>
        <v xml:space="preserve">N/A </v>
      </c>
    </row>
    <row r="44" spans="1:27" ht="15" customHeight="1" x14ac:dyDescent="0.35">
      <c r="A44" s="33"/>
      <c r="B44" s="33"/>
      <c r="C44" s="42"/>
      <c r="D44" s="120"/>
      <c r="E44" s="121"/>
      <c r="F44" s="16"/>
      <c r="G44" s="139"/>
    </row>
    <row r="45" spans="1:27" ht="15" customHeight="1" thickBot="1" x14ac:dyDescent="0.4">
      <c r="A45" s="146"/>
      <c r="B45" s="146"/>
      <c r="C45" s="108"/>
      <c r="D45" s="109"/>
      <c r="E45" s="110"/>
      <c r="F45" s="111"/>
      <c r="G45" s="112"/>
    </row>
    <row r="46" spans="1:27" ht="15" customHeight="1" x14ac:dyDescent="0.35">
      <c r="A46" s="9" t="s">
        <v>727</v>
      </c>
      <c r="B46" s="12"/>
      <c r="E46" s="15"/>
      <c r="F46" s="16"/>
      <c r="G46" s="9"/>
    </row>
    <row r="47" spans="1:27" ht="52.5" customHeight="1" x14ac:dyDescent="0.4">
      <c r="A47" s="147" t="s">
        <v>728</v>
      </c>
      <c r="B47" s="645" t="s">
        <v>729</v>
      </c>
      <c r="C47" s="645"/>
      <c r="D47" s="645"/>
      <c r="E47" s="645"/>
      <c r="F47" s="645"/>
      <c r="G47" s="28"/>
    </row>
    <row r="48" spans="1:27" ht="15" customHeight="1" x14ac:dyDescent="0.4">
      <c r="A48" s="30"/>
      <c r="B48" s="148"/>
      <c r="C48" s="20"/>
      <c r="D48" s="135"/>
      <c r="E48" s="20"/>
      <c r="F48" s="20"/>
      <c r="G48" s="28"/>
    </row>
    <row r="49" spans="1:7" ht="15" customHeight="1" x14ac:dyDescent="0.4">
      <c r="A49" s="30"/>
      <c r="B49" s="148"/>
      <c r="C49" s="20"/>
      <c r="D49" s="135"/>
      <c r="E49" s="149" t="s">
        <v>730</v>
      </c>
      <c r="F49" s="37"/>
      <c r="G49" s="28"/>
    </row>
    <row r="50" spans="1:7" ht="15" customHeight="1" x14ac:dyDescent="0.4">
      <c r="A50" s="30"/>
      <c r="B50" s="148"/>
      <c r="C50" s="20"/>
      <c r="D50" s="135"/>
      <c r="E50" s="121"/>
      <c r="F50" s="16"/>
      <c r="G50" s="28"/>
    </row>
    <row r="51" spans="1:7" ht="15" customHeight="1" x14ac:dyDescent="0.35">
      <c r="A51" s="30"/>
      <c r="B51" s="20"/>
      <c r="C51" s="20"/>
      <c r="D51" s="135"/>
      <c r="E51" s="149" t="s">
        <v>731</v>
      </c>
      <c r="G51" s="28"/>
    </row>
    <row r="52" spans="1:7" ht="15" customHeight="1" x14ac:dyDescent="0.35">
      <c r="A52" s="30"/>
      <c r="B52" s="150"/>
      <c r="C52" s="33"/>
      <c r="D52" s="151"/>
      <c r="E52" s="45"/>
      <c r="F52" s="37"/>
      <c r="G52" s="139"/>
    </row>
    <row r="53" spans="1:7" ht="15" customHeight="1" thickBot="1" x14ac:dyDescent="0.4">
      <c r="A53" s="127"/>
      <c r="B53" s="127"/>
      <c r="C53" s="127"/>
      <c r="D53" s="127"/>
      <c r="E53" s="127"/>
      <c r="F53" s="127"/>
      <c r="G53" s="112"/>
    </row>
    <row r="54" spans="1:7" x14ac:dyDescent="0.35">
      <c r="A54" s="9" t="s">
        <v>732</v>
      </c>
      <c r="B54" s="12"/>
      <c r="E54" s="15"/>
      <c r="F54" s="16"/>
      <c r="G54" s="9"/>
    </row>
    <row r="55" spans="1:7" ht="72.75" customHeight="1" x14ac:dyDescent="0.4">
      <c r="A55" s="147" t="s">
        <v>733</v>
      </c>
      <c r="B55" s="625" t="s">
        <v>734</v>
      </c>
      <c r="C55" s="625"/>
      <c r="D55" s="625"/>
      <c r="E55" s="625"/>
      <c r="F55" s="625"/>
      <c r="G55" s="9"/>
    </row>
    <row r="56" spans="1:7" ht="18" x14ac:dyDescent="0.4">
      <c r="A56" s="30"/>
      <c r="B56" s="141"/>
      <c r="C56" s="20"/>
      <c r="D56" s="135"/>
      <c r="E56" s="20"/>
      <c r="F56" s="20"/>
      <c r="G56" s="9"/>
    </row>
    <row r="57" spans="1:7" ht="18" x14ac:dyDescent="0.4">
      <c r="A57" s="30"/>
      <c r="B57" s="141"/>
      <c r="C57" s="20"/>
      <c r="D57" s="135"/>
      <c r="E57" s="20"/>
      <c r="F57" s="20"/>
      <c r="G57" s="9"/>
    </row>
    <row r="58" spans="1:7" x14ac:dyDescent="0.35">
      <c r="A58" s="30"/>
      <c r="B58" s="37"/>
      <c r="C58" s="33"/>
      <c r="D58" s="135"/>
      <c r="E58" s="39"/>
      <c r="F58" s="20"/>
      <c r="G58" s="32"/>
    </row>
    <row r="59" spans="1:7" x14ac:dyDescent="0.35">
      <c r="E59" s="15"/>
      <c r="F59" s="16"/>
    </row>
    <row r="60" spans="1:7" x14ac:dyDescent="0.35">
      <c r="E60" s="15"/>
      <c r="F60" s="16"/>
    </row>
    <row r="61" spans="1:7" x14ac:dyDescent="0.35">
      <c r="E61" s="15"/>
      <c r="F61" s="16"/>
    </row>
    <row r="62" spans="1:7" x14ac:dyDescent="0.35">
      <c r="E62" s="15"/>
      <c r="F62" s="16"/>
    </row>
    <row r="63" spans="1:7" x14ac:dyDescent="0.35">
      <c r="A63" s="152"/>
      <c r="B63" s="650" t="s">
        <v>735</v>
      </c>
      <c r="C63" s="651"/>
      <c r="D63" s="651"/>
      <c r="E63" s="651"/>
      <c r="F63" s="651"/>
      <c r="G63" s="652"/>
    </row>
    <row r="64" spans="1:7" x14ac:dyDescent="0.35">
      <c r="A64" s="653"/>
      <c r="B64" s="654" t="s">
        <v>736</v>
      </c>
      <c r="C64" s="654"/>
      <c r="D64" s="656" t="s">
        <v>737</v>
      </c>
      <c r="E64" s="656"/>
      <c r="F64" s="658" t="s">
        <v>738</v>
      </c>
      <c r="G64" s="658"/>
    </row>
    <row r="65" spans="1:9" x14ac:dyDescent="0.35">
      <c r="A65" s="653"/>
      <c r="B65" s="655"/>
      <c r="C65" s="655"/>
      <c r="D65" s="657"/>
      <c r="E65" s="657"/>
      <c r="F65" s="659"/>
      <c r="G65" s="659"/>
    </row>
    <row r="66" spans="1:9" x14ac:dyDescent="0.35">
      <c r="A66" s="660" t="s">
        <v>739</v>
      </c>
      <c r="B66" s="662" t="s">
        <v>740</v>
      </c>
      <c r="C66" s="663"/>
      <c r="D66" s="664" t="s">
        <v>741</v>
      </c>
      <c r="E66" s="665"/>
      <c r="F66" s="666" t="s">
        <v>741</v>
      </c>
      <c r="G66" s="667"/>
    </row>
    <row r="67" spans="1:9" x14ac:dyDescent="0.35">
      <c r="A67" s="661"/>
      <c r="B67" s="152"/>
      <c r="C67" s="153"/>
      <c r="D67" s="668" t="s">
        <v>740</v>
      </c>
      <c r="E67" s="669"/>
      <c r="F67" s="670" t="s">
        <v>740</v>
      </c>
      <c r="G67" s="671"/>
    </row>
    <row r="68" spans="1:9" x14ac:dyDescent="0.35">
      <c r="A68" s="661"/>
      <c r="B68" s="152"/>
      <c r="C68" s="153"/>
      <c r="D68" s="668" t="s">
        <v>742</v>
      </c>
      <c r="E68" s="669"/>
      <c r="F68" s="670" t="s">
        <v>742</v>
      </c>
      <c r="G68" s="671"/>
    </row>
    <row r="69" spans="1:9" x14ac:dyDescent="0.35">
      <c r="A69" s="661"/>
      <c r="B69" s="152"/>
      <c r="C69" s="153"/>
      <c r="D69" s="154"/>
      <c r="E69" s="155"/>
      <c r="F69" s="670" t="s">
        <v>743</v>
      </c>
      <c r="G69" s="671"/>
    </row>
    <row r="70" spans="1:9" x14ac:dyDescent="0.35">
      <c r="A70" s="654"/>
      <c r="B70" s="156"/>
      <c r="C70" s="157"/>
      <c r="D70" s="158"/>
      <c r="E70" s="159"/>
      <c r="F70" s="672" t="s">
        <v>744</v>
      </c>
      <c r="G70" s="673"/>
    </row>
    <row r="71" spans="1:9" x14ac:dyDescent="0.35">
      <c r="E71" s="15"/>
      <c r="F71" s="16"/>
    </row>
    <row r="72" spans="1:9" x14ac:dyDescent="0.35">
      <c r="E72" s="15"/>
      <c r="F72" s="16"/>
    </row>
    <row r="73" spans="1:9" ht="16" thickBot="1" x14ac:dyDescent="0.4">
      <c r="E73" s="15"/>
      <c r="F73" s="16"/>
    </row>
    <row r="74" spans="1:9" ht="21" thickBot="1" x14ac:dyDescent="0.5">
      <c r="A74" s="647" t="s">
        <v>745</v>
      </c>
      <c r="B74" s="648"/>
      <c r="C74" s="648"/>
      <c r="D74" s="648"/>
      <c r="E74" s="648"/>
      <c r="F74" s="648"/>
      <c r="G74" s="648"/>
      <c r="H74" s="649"/>
      <c r="I74" s="160" t="s">
        <v>746</v>
      </c>
    </row>
    <row r="75" spans="1:9" ht="20.5" x14ac:dyDescent="0.45">
      <c r="A75" s="161"/>
      <c r="B75" s="162"/>
      <c r="C75" s="163"/>
      <c r="D75" s="164"/>
      <c r="E75" s="165"/>
      <c r="F75" s="166"/>
      <c r="G75" s="167"/>
      <c r="H75" s="168"/>
    </row>
    <row r="76" spans="1:9" x14ac:dyDescent="0.35">
      <c r="A76" s="169"/>
      <c r="B76" s="33"/>
      <c r="C76" s="42"/>
      <c r="D76" s="120"/>
      <c r="E76" s="34"/>
      <c r="F76" s="16"/>
      <c r="G76" s="139"/>
      <c r="H76" s="170"/>
    </row>
    <row r="77" spans="1:9" ht="31" x14ac:dyDescent="0.35">
      <c r="A77" s="171" t="s">
        <v>747</v>
      </c>
      <c r="B77" s="172" t="s">
        <v>748</v>
      </c>
      <c r="C77" s="173" t="s">
        <v>749</v>
      </c>
      <c r="D77" s="1"/>
      <c r="E77" s="1"/>
      <c r="F77" s="1"/>
      <c r="G77" s="1"/>
      <c r="H77" s="174"/>
    </row>
    <row r="78" spans="1:9" ht="26" x14ac:dyDescent="0.35">
      <c r="A78" s="175" t="s">
        <v>750</v>
      </c>
      <c r="B78" s="172" t="s">
        <v>751</v>
      </c>
      <c r="C78" s="173" t="s">
        <v>752</v>
      </c>
      <c r="D78" s="1"/>
      <c r="E78" s="1"/>
      <c r="F78" s="1"/>
      <c r="G78" s="1"/>
      <c r="H78" s="174"/>
    </row>
    <row r="79" spans="1:9" x14ac:dyDescent="0.35">
      <c r="A79" s="176"/>
      <c r="B79" s="177" t="s">
        <v>753</v>
      </c>
      <c r="C79" s="178"/>
      <c r="D79" s="1"/>
      <c r="E79" s="1"/>
      <c r="F79" s="1"/>
      <c r="G79" s="1"/>
      <c r="H79" s="174"/>
    </row>
    <row r="80" spans="1:9" x14ac:dyDescent="0.35">
      <c r="A80" s="179"/>
      <c r="B80" s="177" t="s">
        <v>754</v>
      </c>
      <c r="C80" s="178"/>
      <c r="D80" s="1"/>
      <c r="E80" s="1"/>
      <c r="F80" s="1"/>
      <c r="G80" s="1"/>
      <c r="H80" s="174"/>
    </row>
    <row r="81" spans="1:9" x14ac:dyDescent="0.35">
      <c r="A81" s="180"/>
      <c r="B81" s="1"/>
      <c r="C81" s="1"/>
      <c r="D81" s="1"/>
      <c r="E81" s="1"/>
      <c r="F81" s="1"/>
      <c r="G81" s="1"/>
      <c r="H81" s="174"/>
    </row>
    <row r="82" spans="1:9" ht="21" thickBot="1" x14ac:dyDescent="0.4">
      <c r="A82" s="181"/>
      <c r="B82" s="1"/>
      <c r="C82" s="1"/>
      <c r="D82" s="1"/>
      <c r="E82" s="1"/>
      <c r="F82" s="1"/>
      <c r="G82" s="1"/>
      <c r="H82" s="174"/>
    </row>
    <row r="83" spans="1:9" ht="15.75" customHeight="1" thickBot="1" x14ac:dyDescent="0.4">
      <c r="A83" s="679" t="s">
        <v>755</v>
      </c>
      <c r="B83" s="680"/>
      <c r="C83" s="679" t="s">
        <v>756</v>
      </c>
      <c r="D83" s="681"/>
      <c r="E83" s="680"/>
      <c r="F83" s="679" t="s">
        <v>757</v>
      </c>
      <c r="G83" s="681"/>
      <c r="H83" s="680"/>
    </row>
    <row r="84" spans="1:9" ht="16.5" thickTop="1" thickBot="1" x14ac:dyDescent="0.4">
      <c r="A84" s="682" t="s">
        <v>758</v>
      </c>
      <c r="B84" s="683"/>
      <c r="C84" s="683"/>
      <c r="D84" s="683"/>
      <c r="E84" s="683"/>
      <c r="F84" s="683"/>
      <c r="G84" s="683"/>
      <c r="H84" s="684"/>
    </row>
    <row r="85" spans="1:9" ht="16.5" thickTop="1" thickBot="1" x14ac:dyDescent="0.4">
      <c r="A85" s="685" t="s">
        <v>759</v>
      </c>
      <c r="B85" s="686"/>
      <c r="C85" s="686"/>
      <c r="D85" s="686"/>
      <c r="E85" s="686"/>
      <c r="F85" s="686"/>
      <c r="G85" s="686"/>
      <c r="H85" s="687"/>
    </row>
    <row r="86" spans="1:9" ht="39.75" customHeight="1" thickBot="1" x14ac:dyDescent="0.4">
      <c r="A86" s="674" t="s">
        <v>760</v>
      </c>
      <c r="B86" s="675"/>
      <c r="C86" s="675"/>
      <c r="D86" s="676"/>
      <c r="E86" s="677" t="s">
        <v>761</v>
      </c>
      <c r="F86" s="678"/>
      <c r="G86" s="688"/>
      <c r="H86" s="689"/>
      <c r="I86" s="182" t="s">
        <v>762</v>
      </c>
    </row>
    <row r="87" spans="1:9" ht="15.75" customHeight="1" thickBot="1" x14ac:dyDescent="0.4">
      <c r="A87" s="694" t="s">
        <v>763</v>
      </c>
      <c r="B87" s="695"/>
      <c r="C87" s="695"/>
      <c r="D87" s="696"/>
      <c r="E87" s="677" t="s">
        <v>761</v>
      </c>
      <c r="F87" s="678"/>
      <c r="G87" s="690"/>
      <c r="H87" s="691"/>
      <c r="I87" s="183" t="s">
        <v>764</v>
      </c>
    </row>
    <row r="88" spans="1:9" ht="34.5" customHeight="1" thickBot="1" x14ac:dyDescent="0.4">
      <c r="A88" s="674" t="s">
        <v>765</v>
      </c>
      <c r="B88" s="675"/>
      <c r="C88" s="675"/>
      <c r="D88" s="676"/>
      <c r="E88" s="677" t="s">
        <v>761</v>
      </c>
      <c r="F88" s="678"/>
      <c r="G88" s="692"/>
      <c r="H88" s="693"/>
      <c r="I88" s="182" t="s">
        <v>766</v>
      </c>
    </row>
    <row r="89" spans="1:9" ht="16" thickBot="1" x14ac:dyDescent="0.4">
      <c r="A89" s="697" t="s">
        <v>767</v>
      </c>
      <c r="B89" s="698"/>
      <c r="C89" s="698"/>
      <c r="D89" s="698"/>
      <c r="E89" s="698"/>
      <c r="F89" s="699"/>
      <c r="G89" s="700" t="s">
        <v>761</v>
      </c>
      <c r="H89" s="701"/>
    </row>
    <row r="90" spans="1:9" ht="16.5" thickTop="1" thickBot="1" x14ac:dyDescent="0.4">
      <c r="A90" s="685" t="s">
        <v>768</v>
      </c>
      <c r="B90" s="686"/>
      <c r="C90" s="686"/>
      <c r="D90" s="686"/>
      <c r="E90" s="686"/>
      <c r="F90" s="686"/>
      <c r="G90" s="686"/>
      <c r="H90" s="687"/>
    </row>
    <row r="91" spans="1:9" ht="41.25" customHeight="1" thickBot="1" x14ac:dyDescent="0.4">
      <c r="A91" s="674" t="s">
        <v>769</v>
      </c>
      <c r="B91" s="675"/>
      <c r="C91" s="675"/>
      <c r="D91" s="676"/>
      <c r="E91" s="677" t="s">
        <v>761</v>
      </c>
      <c r="F91" s="678"/>
      <c r="G91" s="688"/>
      <c r="H91" s="689"/>
      <c r="I91" s="182" t="s">
        <v>770</v>
      </c>
    </row>
    <row r="92" spans="1:9" ht="16" thickBot="1" x14ac:dyDescent="0.4">
      <c r="A92" s="674" t="s">
        <v>771</v>
      </c>
      <c r="B92" s="675"/>
      <c r="C92" s="675"/>
      <c r="D92" s="676"/>
      <c r="E92" s="677" t="s">
        <v>761</v>
      </c>
      <c r="F92" s="678"/>
      <c r="G92" s="690"/>
      <c r="H92" s="691"/>
      <c r="I92" s="183" t="s">
        <v>772</v>
      </c>
    </row>
    <row r="93" spans="1:9" ht="24.75" customHeight="1" thickBot="1" x14ac:dyDescent="0.4">
      <c r="A93" s="674" t="s">
        <v>773</v>
      </c>
      <c r="B93" s="675"/>
      <c r="C93" s="675"/>
      <c r="D93" s="676"/>
      <c r="E93" s="677" t="s">
        <v>761</v>
      </c>
      <c r="F93" s="678"/>
      <c r="G93" s="690"/>
      <c r="H93" s="691"/>
      <c r="I93" s="182" t="s">
        <v>774</v>
      </c>
    </row>
    <row r="94" spans="1:9" ht="39.75" customHeight="1" thickBot="1" x14ac:dyDescent="0.4">
      <c r="A94" s="674" t="s">
        <v>775</v>
      </c>
      <c r="B94" s="675"/>
      <c r="C94" s="675"/>
      <c r="D94" s="676"/>
      <c r="E94" s="677" t="s">
        <v>761</v>
      </c>
      <c r="F94" s="678"/>
      <c r="G94" s="690"/>
      <c r="H94" s="691"/>
      <c r="I94" s="182" t="s">
        <v>776</v>
      </c>
    </row>
    <row r="95" spans="1:9" ht="16" thickBot="1" x14ac:dyDescent="0.4">
      <c r="A95" s="674" t="s">
        <v>777</v>
      </c>
      <c r="B95" s="675"/>
      <c r="C95" s="675"/>
      <c r="D95" s="676"/>
      <c r="E95" s="677" t="s">
        <v>761</v>
      </c>
      <c r="F95" s="678"/>
      <c r="G95" s="690"/>
      <c r="H95" s="691"/>
      <c r="I95" s="183" t="s">
        <v>778</v>
      </c>
    </row>
    <row r="96" spans="1:9" ht="35.25" customHeight="1" thickBot="1" x14ac:dyDescent="0.4">
      <c r="A96" s="674" t="s">
        <v>779</v>
      </c>
      <c r="B96" s="675"/>
      <c r="C96" s="675"/>
      <c r="D96" s="676"/>
      <c r="E96" s="677" t="s">
        <v>761</v>
      </c>
      <c r="F96" s="678"/>
      <c r="G96" s="690"/>
      <c r="H96" s="691"/>
      <c r="I96" s="182" t="s">
        <v>780</v>
      </c>
    </row>
    <row r="97" spans="1:9" ht="16" thickBot="1" x14ac:dyDescent="0.4">
      <c r="A97" s="674" t="s">
        <v>781</v>
      </c>
      <c r="B97" s="675"/>
      <c r="C97" s="675"/>
      <c r="D97" s="676"/>
      <c r="E97" s="677" t="s">
        <v>761</v>
      </c>
      <c r="F97" s="678"/>
      <c r="G97" s="690"/>
      <c r="H97" s="691"/>
      <c r="I97" s="182" t="s">
        <v>782</v>
      </c>
    </row>
    <row r="98" spans="1:9" ht="16" thickBot="1" x14ac:dyDescent="0.4">
      <c r="A98" s="674" t="s">
        <v>783</v>
      </c>
      <c r="B98" s="675"/>
      <c r="C98" s="675"/>
      <c r="D98" s="676"/>
      <c r="E98" s="677" t="s">
        <v>761</v>
      </c>
      <c r="F98" s="678"/>
      <c r="G98" s="690"/>
      <c r="H98" s="691"/>
      <c r="I98" s="183" t="s">
        <v>784</v>
      </c>
    </row>
    <row r="99" spans="1:9" ht="16" thickBot="1" x14ac:dyDescent="0.4">
      <c r="A99" s="674" t="s">
        <v>785</v>
      </c>
      <c r="B99" s="675"/>
      <c r="C99" s="675"/>
      <c r="D99" s="676"/>
      <c r="E99" s="677" t="s">
        <v>761</v>
      </c>
      <c r="F99" s="678"/>
      <c r="G99" s="690"/>
      <c r="H99" s="691"/>
      <c r="I99" s="183" t="s">
        <v>786</v>
      </c>
    </row>
    <row r="100" spans="1:9" ht="37.5" customHeight="1" thickBot="1" x14ac:dyDescent="0.4">
      <c r="A100" s="674" t="s">
        <v>787</v>
      </c>
      <c r="B100" s="675"/>
      <c r="C100" s="675"/>
      <c r="D100" s="676"/>
      <c r="E100" s="705" t="s">
        <v>761</v>
      </c>
      <c r="F100" s="706"/>
      <c r="G100" s="692"/>
      <c r="H100" s="693"/>
      <c r="I100" s="184" t="s">
        <v>788</v>
      </c>
    </row>
    <row r="101" spans="1:9" ht="15.75" customHeight="1" thickBot="1" x14ac:dyDescent="0.4">
      <c r="A101" s="707" t="s">
        <v>789</v>
      </c>
      <c r="B101" s="708"/>
      <c r="C101" s="708"/>
      <c r="D101" s="709"/>
      <c r="E101" s="677"/>
      <c r="F101" s="678"/>
      <c r="G101" s="677" t="s">
        <v>761</v>
      </c>
      <c r="H101" s="678"/>
    </row>
    <row r="102" spans="1:9" ht="15.75" customHeight="1" thickBot="1" x14ac:dyDescent="0.4">
      <c r="A102" s="697" t="s">
        <v>790</v>
      </c>
      <c r="B102" s="698"/>
      <c r="C102" s="698"/>
      <c r="D102" s="699"/>
      <c r="E102" s="700"/>
      <c r="F102" s="701"/>
      <c r="G102" s="700" t="s">
        <v>761</v>
      </c>
      <c r="H102" s="701"/>
    </row>
    <row r="103" spans="1:9" ht="16.5" customHeight="1" thickTop="1" thickBot="1" x14ac:dyDescent="0.4">
      <c r="A103" s="685" t="s">
        <v>791</v>
      </c>
      <c r="B103" s="686"/>
      <c r="C103" s="686"/>
      <c r="D103" s="686"/>
      <c r="E103" s="686"/>
      <c r="F103" s="686"/>
      <c r="G103" s="686"/>
      <c r="H103" s="687"/>
    </row>
    <row r="104" spans="1:9" ht="16" thickBot="1" x14ac:dyDescent="0.4">
      <c r="A104" s="702" t="s">
        <v>792</v>
      </c>
      <c r="B104" s="703"/>
      <c r="C104" s="703"/>
      <c r="D104" s="703"/>
      <c r="E104" s="703"/>
      <c r="F104" s="704"/>
      <c r="G104" s="677" t="s">
        <v>761</v>
      </c>
      <c r="H104" s="678"/>
    </row>
    <row r="105" spans="1:9" ht="16.5" customHeight="1" thickBot="1" x14ac:dyDescent="0.4">
      <c r="A105" s="711" t="s">
        <v>793</v>
      </c>
      <c r="B105" s="712"/>
      <c r="C105" s="712"/>
      <c r="D105" s="712"/>
      <c r="E105" s="712"/>
      <c r="F105" s="713"/>
      <c r="G105" s="677" t="s">
        <v>761</v>
      </c>
      <c r="H105" s="678"/>
      <c r="I105" s="12"/>
    </row>
    <row r="106" spans="1:9" ht="16" thickBot="1" x14ac:dyDescent="0.4">
      <c r="A106" s="714" t="s">
        <v>11</v>
      </c>
      <c r="B106" s="715"/>
      <c r="C106" s="716"/>
      <c r="D106" s="714" t="s">
        <v>13</v>
      </c>
      <c r="E106" s="715"/>
      <c r="F106" s="715"/>
      <c r="G106" s="715"/>
      <c r="H106" s="716"/>
    </row>
    <row r="107" spans="1:9" ht="15" customHeight="1" x14ac:dyDescent="0.35">
      <c r="A107" s="717" t="s">
        <v>794</v>
      </c>
      <c r="B107" s="719" t="s">
        <v>281</v>
      </c>
      <c r="C107" s="720"/>
      <c r="D107" s="719" t="s">
        <v>795</v>
      </c>
      <c r="E107" s="723"/>
      <c r="F107" s="723"/>
      <c r="G107" s="720"/>
      <c r="H107" s="717" t="s">
        <v>281</v>
      </c>
      <c r="I107" s="710" t="s">
        <v>796</v>
      </c>
    </row>
    <row r="108" spans="1:9" ht="16" thickBot="1" x14ac:dyDescent="0.4">
      <c r="A108" s="718"/>
      <c r="B108" s="721"/>
      <c r="C108" s="722"/>
      <c r="D108" s="721"/>
      <c r="E108" s="724"/>
      <c r="F108" s="724"/>
      <c r="G108" s="722"/>
      <c r="H108" s="718"/>
      <c r="I108" s="710"/>
    </row>
    <row r="109" spans="1:9" x14ac:dyDescent="0.35">
      <c r="F109" s="16"/>
    </row>
    <row r="110" spans="1:9" x14ac:dyDescent="0.35">
      <c r="F110" s="16"/>
    </row>
    <row r="111" spans="1:9" x14ac:dyDescent="0.35">
      <c r="F111" s="16"/>
    </row>
    <row r="112" spans="1:9" x14ac:dyDescent="0.35">
      <c r="F112" s="16"/>
    </row>
    <row r="113" spans="6:6" x14ac:dyDescent="0.35">
      <c r="F113" s="16"/>
    </row>
    <row r="114" spans="6:6" x14ac:dyDescent="0.35">
      <c r="F114" s="16"/>
    </row>
    <row r="115" spans="6:6" x14ac:dyDescent="0.35">
      <c r="F115" s="16"/>
    </row>
    <row r="116" spans="6:6" x14ac:dyDescent="0.35">
      <c r="F116" s="16"/>
    </row>
    <row r="117" spans="6:6" x14ac:dyDescent="0.35">
      <c r="F117" s="16"/>
    </row>
    <row r="118" spans="6:6" x14ac:dyDescent="0.35">
      <c r="F118" s="16"/>
    </row>
  </sheetData>
  <mergeCells count="82">
    <mergeCell ref="I107:I108"/>
    <mergeCell ref="A105:F105"/>
    <mergeCell ref="G105:H105"/>
    <mergeCell ref="A106:C106"/>
    <mergeCell ref="D106:H106"/>
    <mergeCell ref="A107:A108"/>
    <mergeCell ref="B107:C108"/>
    <mergeCell ref="D107:G108"/>
    <mergeCell ref="H107:H108"/>
    <mergeCell ref="A104:F104"/>
    <mergeCell ref="G104:H104"/>
    <mergeCell ref="A99:D99"/>
    <mergeCell ref="E99:F99"/>
    <mergeCell ref="A100:D100"/>
    <mergeCell ref="E100:F100"/>
    <mergeCell ref="A101:D101"/>
    <mergeCell ref="E101:F101"/>
    <mergeCell ref="G101:H101"/>
    <mergeCell ref="A102:D102"/>
    <mergeCell ref="E102:F102"/>
    <mergeCell ref="G102:H102"/>
    <mergeCell ref="A103:H103"/>
    <mergeCell ref="A93:D93"/>
    <mergeCell ref="E93:F93"/>
    <mergeCell ref="A91:D91"/>
    <mergeCell ref="E91:F91"/>
    <mergeCell ref="G91:H100"/>
    <mergeCell ref="A92:D92"/>
    <mergeCell ref="E92:F92"/>
    <mergeCell ref="A94:D94"/>
    <mergeCell ref="E94:F94"/>
    <mergeCell ref="A95:D95"/>
    <mergeCell ref="E95:F95"/>
    <mergeCell ref="A96:D96"/>
    <mergeCell ref="E96:F96"/>
    <mergeCell ref="A88:D88"/>
    <mergeCell ref="E88:F88"/>
    <mergeCell ref="A89:F89"/>
    <mergeCell ref="G89:H89"/>
    <mergeCell ref="A90:H90"/>
    <mergeCell ref="F69:G69"/>
    <mergeCell ref="F70:G70"/>
    <mergeCell ref="A97:D97"/>
    <mergeCell ref="E97:F97"/>
    <mergeCell ref="A98:D98"/>
    <mergeCell ref="E98:F98"/>
    <mergeCell ref="A83:B83"/>
    <mergeCell ref="C83:E83"/>
    <mergeCell ref="F83:H83"/>
    <mergeCell ref="A84:H84"/>
    <mergeCell ref="A85:H85"/>
    <mergeCell ref="A86:D86"/>
    <mergeCell ref="E86:F86"/>
    <mergeCell ref="G86:H88"/>
    <mergeCell ref="A87:D87"/>
    <mergeCell ref="E87:F87"/>
    <mergeCell ref="A1:H1"/>
    <mergeCell ref="A2:H2"/>
    <mergeCell ref="A74:H74"/>
    <mergeCell ref="B63:G63"/>
    <mergeCell ref="A64:A65"/>
    <mergeCell ref="B64:C65"/>
    <mergeCell ref="D64:E65"/>
    <mergeCell ref="F64:G65"/>
    <mergeCell ref="A66:A70"/>
    <mergeCell ref="B66:C66"/>
    <mergeCell ref="D66:E66"/>
    <mergeCell ref="F66:G66"/>
    <mergeCell ref="D67:E67"/>
    <mergeCell ref="F67:G67"/>
    <mergeCell ref="D68:E68"/>
    <mergeCell ref="F68:G68"/>
    <mergeCell ref="B55:F55"/>
    <mergeCell ref="C4:D4"/>
    <mergeCell ref="C5:D5"/>
    <mergeCell ref="A8:B11"/>
    <mergeCell ref="D8:G11"/>
    <mergeCell ref="A13:G13"/>
    <mergeCell ref="B16:G16"/>
    <mergeCell ref="B32:F32"/>
    <mergeCell ref="B38:F38"/>
    <mergeCell ref="B47:F47"/>
  </mergeCells>
  <conditionalFormatting sqref="I33:I36">
    <cfRule type="containsText" dxfId="10" priority="6" operator="containsText" text="HUD">
      <formula>NOT(ISERROR(SEARCH("HUD",I33)))</formula>
    </cfRule>
    <cfRule type="containsText" dxfId="9" priority="7" operator="containsText" text="ERROR">
      <formula>NOT(ISERROR(SEARCH("ERROR",I33)))</formula>
    </cfRule>
  </conditionalFormatting>
  <conditionalFormatting sqref="A53:F53">
    <cfRule type="containsText" dxfId="8" priority="5" operator="containsText" text="HUD">
      <formula>NOT(ISERROR(SEARCH("HUD",A53)))</formula>
    </cfRule>
  </conditionalFormatting>
  <conditionalFormatting sqref="G21">
    <cfRule type="containsText" dxfId="7" priority="4" operator="containsText" text="ERROR">
      <formula>NOT(ISERROR(SEARCH("ERROR",G21)))</formula>
    </cfRule>
  </conditionalFormatting>
  <conditionalFormatting sqref="G28">
    <cfRule type="containsText" dxfId="6" priority="3" operator="containsText" text="ERROR">
      <formula>NOT(ISERROR(SEARCH("ERROR",G28)))</formula>
    </cfRule>
  </conditionalFormatting>
  <conditionalFormatting sqref="G43">
    <cfRule type="containsText" dxfId="5" priority="2" operator="containsText" text="ERROR">
      <formula>NOT(ISERROR(SEARCH("ERROR",G43)))</formula>
    </cfRule>
  </conditionalFormatting>
  <conditionalFormatting sqref="A13">
    <cfRule type="containsText" dxfId="4" priority="1" operator="containsText" text="REMINDER">
      <formula>NOT(ISERROR(SEARCH("REMINDER",A13)))</formula>
    </cfRule>
  </conditionalFormatting>
  <printOptions horizontalCentered="1"/>
  <pageMargins left="0.7" right="0.7" top="0.75" bottom="0.75" header="0.3" footer="0.3"/>
  <pageSetup scale="5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5</xdr:col>
                    <xdr:colOff>114300</xdr:colOff>
                    <xdr:row>39</xdr:row>
                    <xdr:rowOff>184150</xdr:rowOff>
                  </from>
                  <to>
                    <xdr:col>6</xdr:col>
                    <xdr:colOff>222250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5</xdr:col>
                    <xdr:colOff>95250</xdr:colOff>
                    <xdr:row>47</xdr:row>
                    <xdr:rowOff>171450</xdr:rowOff>
                  </from>
                  <to>
                    <xdr:col>6</xdr:col>
                    <xdr:colOff>222250</xdr:colOff>
                    <xdr:row>49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5</xdr:col>
                    <xdr:colOff>95250</xdr:colOff>
                    <xdr:row>49</xdr:row>
                    <xdr:rowOff>171450</xdr:rowOff>
                  </from>
                  <to>
                    <xdr:col>6</xdr:col>
                    <xdr:colOff>222250</xdr:colOff>
                    <xdr:row>51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24E9D-3449-44A3-8599-9DA77797E766}">
  <sheetPr codeName="Sheet14">
    <tabColor rgb="FFFFFF00"/>
  </sheetPr>
  <dimension ref="A1:B9193"/>
  <sheetViews>
    <sheetView workbookViewId="0">
      <selection activeCell="A2" sqref="A2:B456"/>
    </sheetView>
  </sheetViews>
  <sheetFormatPr defaultColWidth="9.1796875" defaultRowHeight="14.5" x14ac:dyDescent="0.35"/>
  <cols>
    <col min="1" max="1" width="10.54296875" style="1" customWidth="1"/>
    <col min="2" max="2" width="56" style="1" bestFit="1" customWidth="1"/>
    <col min="3" max="16384" width="9.1796875" style="1"/>
  </cols>
  <sheetData>
    <row r="1" spans="1:2" x14ac:dyDescent="0.35">
      <c r="A1" s="185" t="s">
        <v>103</v>
      </c>
      <c r="B1" s="185" t="s">
        <v>797</v>
      </c>
    </row>
    <row r="2" spans="1:2" ht="15.5" x14ac:dyDescent="0.35">
      <c r="A2" s="345" t="s">
        <v>798</v>
      </c>
      <c r="B2" s="346" t="s">
        <v>799</v>
      </c>
    </row>
    <row r="3" spans="1:2" ht="15.5" x14ac:dyDescent="0.35">
      <c r="A3" s="345" t="s">
        <v>800</v>
      </c>
      <c r="B3" s="346" t="s">
        <v>801</v>
      </c>
    </row>
    <row r="4" spans="1:2" ht="15.5" x14ac:dyDescent="0.35">
      <c r="A4" s="345" t="s">
        <v>802</v>
      </c>
      <c r="B4" s="346" t="s">
        <v>803</v>
      </c>
    </row>
    <row r="5" spans="1:2" ht="15.5" x14ac:dyDescent="0.35">
      <c r="A5" s="345" t="s">
        <v>804</v>
      </c>
      <c r="B5" s="346" t="s">
        <v>805</v>
      </c>
    </row>
    <row r="6" spans="1:2" ht="15.5" x14ac:dyDescent="0.35">
      <c r="A6" s="345" t="s">
        <v>806</v>
      </c>
      <c r="B6" s="346" t="s">
        <v>807</v>
      </c>
    </row>
    <row r="7" spans="1:2" ht="15.5" x14ac:dyDescent="0.35">
      <c r="A7" s="345" t="s">
        <v>808</v>
      </c>
      <c r="B7" s="346" t="s">
        <v>809</v>
      </c>
    </row>
    <row r="8" spans="1:2" ht="15.5" x14ac:dyDescent="0.35">
      <c r="A8" s="345" t="s">
        <v>810</v>
      </c>
      <c r="B8" s="346" t="s">
        <v>811</v>
      </c>
    </row>
    <row r="9" spans="1:2" ht="15.5" x14ac:dyDescent="0.35">
      <c r="A9" s="345" t="s">
        <v>812</v>
      </c>
      <c r="B9" s="346" t="s">
        <v>813</v>
      </c>
    </row>
    <row r="10" spans="1:2" ht="15.5" x14ac:dyDescent="0.35">
      <c r="A10" s="345" t="s">
        <v>814</v>
      </c>
      <c r="B10" s="346" t="s">
        <v>815</v>
      </c>
    </row>
    <row r="11" spans="1:2" ht="15.5" x14ac:dyDescent="0.35">
      <c r="A11" s="345" t="s">
        <v>816</v>
      </c>
      <c r="B11" s="346" t="s">
        <v>817</v>
      </c>
    </row>
    <row r="12" spans="1:2" ht="15.5" x14ac:dyDescent="0.35">
      <c r="A12" s="345" t="s">
        <v>818</v>
      </c>
      <c r="B12" s="346" t="s">
        <v>819</v>
      </c>
    </row>
    <row r="13" spans="1:2" ht="15.5" x14ac:dyDescent="0.35">
      <c r="A13" s="345" t="s">
        <v>820</v>
      </c>
      <c r="B13" s="346" t="s">
        <v>821</v>
      </c>
    </row>
    <row r="14" spans="1:2" ht="15.5" x14ac:dyDescent="0.35">
      <c r="A14" s="345" t="s">
        <v>822</v>
      </c>
      <c r="B14" s="346" t="s">
        <v>823</v>
      </c>
    </row>
    <row r="15" spans="1:2" ht="15.5" x14ac:dyDescent="0.35">
      <c r="A15" s="345" t="s">
        <v>824</v>
      </c>
      <c r="B15" s="346" t="s">
        <v>825</v>
      </c>
    </row>
    <row r="16" spans="1:2" ht="15.5" x14ac:dyDescent="0.35">
      <c r="A16" s="345" t="s">
        <v>826</v>
      </c>
      <c r="B16" s="346" t="s">
        <v>827</v>
      </c>
    </row>
    <row r="17" spans="1:2" ht="15.5" x14ac:dyDescent="0.35">
      <c r="A17" s="345" t="s">
        <v>828</v>
      </c>
      <c r="B17" s="346" t="s">
        <v>829</v>
      </c>
    </row>
    <row r="18" spans="1:2" ht="15.5" x14ac:dyDescent="0.35">
      <c r="A18" s="345" t="s">
        <v>830</v>
      </c>
      <c r="B18" s="346" t="s">
        <v>831</v>
      </c>
    </row>
    <row r="19" spans="1:2" ht="15.5" x14ac:dyDescent="0.35">
      <c r="A19" s="345" t="s">
        <v>832</v>
      </c>
      <c r="B19" s="346" t="s">
        <v>833</v>
      </c>
    </row>
    <row r="20" spans="1:2" ht="15.5" x14ac:dyDescent="0.35">
      <c r="A20" s="345" t="s">
        <v>834</v>
      </c>
      <c r="B20" s="346" t="s">
        <v>835</v>
      </c>
    </row>
    <row r="21" spans="1:2" ht="15.5" x14ac:dyDescent="0.35">
      <c r="A21" s="345" t="s">
        <v>836</v>
      </c>
      <c r="B21" s="346" t="s">
        <v>837</v>
      </c>
    </row>
    <row r="22" spans="1:2" ht="15.5" x14ac:dyDescent="0.35">
      <c r="A22" s="345" t="s">
        <v>838</v>
      </c>
      <c r="B22" s="346" t="s">
        <v>839</v>
      </c>
    </row>
    <row r="23" spans="1:2" ht="15.5" x14ac:dyDescent="0.35">
      <c r="A23" s="345" t="s">
        <v>840</v>
      </c>
      <c r="B23" s="346" t="s">
        <v>841</v>
      </c>
    </row>
    <row r="24" spans="1:2" ht="15.5" x14ac:dyDescent="0.35">
      <c r="A24" s="345" t="s">
        <v>842</v>
      </c>
      <c r="B24" s="346" t="s">
        <v>843</v>
      </c>
    </row>
    <row r="25" spans="1:2" ht="15.5" x14ac:dyDescent="0.35">
      <c r="A25" s="345" t="s">
        <v>844</v>
      </c>
      <c r="B25" s="346" t="s">
        <v>845</v>
      </c>
    </row>
    <row r="26" spans="1:2" ht="15.5" x14ac:dyDescent="0.35">
      <c r="A26" s="345" t="s">
        <v>846</v>
      </c>
      <c r="B26" s="346" t="s">
        <v>847</v>
      </c>
    </row>
    <row r="27" spans="1:2" ht="15.5" x14ac:dyDescent="0.35">
      <c r="A27" s="345" t="s">
        <v>848</v>
      </c>
      <c r="B27" s="346" t="s">
        <v>849</v>
      </c>
    </row>
    <row r="28" spans="1:2" ht="15.5" x14ac:dyDescent="0.35">
      <c r="A28" s="345" t="s">
        <v>850</v>
      </c>
      <c r="B28" s="346" t="s">
        <v>851</v>
      </c>
    </row>
    <row r="29" spans="1:2" ht="15.5" x14ac:dyDescent="0.35">
      <c r="A29" s="345" t="s">
        <v>852</v>
      </c>
      <c r="B29" s="346" t="s">
        <v>853</v>
      </c>
    </row>
    <row r="30" spans="1:2" ht="15.5" x14ac:dyDescent="0.35">
      <c r="A30" s="345" t="s">
        <v>854</v>
      </c>
      <c r="B30" s="346" t="s">
        <v>855</v>
      </c>
    </row>
    <row r="31" spans="1:2" ht="15.5" x14ac:dyDescent="0.35">
      <c r="A31" s="345" t="s">
        <v>856</v>
      </c>
      <c r="B31" s="346" t="s">
        <v>857</v>
      </c>
    </row>
    <row r="32" spans="1:2" ht="15.5" x14ac:dyDescent="0.35">
      <c r="A32" s="345" t="s">
        <v>858</v>
      </c>
      <c r="B32" s="346" t="s">
        <v>859</v>
      </c>
    </row>
    <row r="33" spans="1:2" ht="15.5" x14ac:dyDescent="0.35">
      <c r="A33" s="345" t="s">
        <v>860</v>
      </c>
      <c r="B33" s="346" t="s">
        <v>861</v>
      </c>
    </row>
    <row r="34" spans="1:2" ht="15.5" x14ac:dyDescent="0.35">
      <c r="A34" s="345" t="s">
        <v>862</v>
      </c>
      <c r="B34" s="346" t="s">
        <v>863</v>
      </c>
    </row>
    <row r="35" spans="1:2" ht="15.5" x14ac:dyDescent="0.35">
      <c r="A35" s="345" t="s">
        <v>864</v>
      </c>
      <c r="B35" s="346" t="s">
        <v>865</v>
      </c>
    </row>
    <row r="36" spans="1:2" ht="15.5" x14ac:dyDescent="0.35">
      <c r="A36" s="345" t="s">
        <v>866</v>
      </c>
      <c r="B36" s="346" t="s">
        <v>867</v>
      </c>
    </row>
    <row r="37" spans="1:2" ht="15.5" x14ac:dyDescent="0.35">
      <c r="A37" s="345" t="s">
        <v>868</v>
      </c>
      <c r="B37" s="346" t="s">
        <v>869</v>
      </c>
    </row>
    <row r="38" spans="1:2" ht="15.5" x14ac:dyDescent="0.35">
      <c r="A38" s="345" t="s">
        <v>870</v>
      </c>
      <c r="B38" s="346" t="s">
        <v>871</v>
      </c>
    </row>
    <row r="39" spans="1:2" ht="15.5" x14ac:dyDescent="0.35">
      <c r="A39" s="345" t="s">
        <v>872</v>
      </c>
      <c r="B39" s="346" t="s">
        <v>873</v>
      </c>
    </row>
    <row r="40" spans="1:2" ht="15.5" x14ac:dyDescent="0.35">
      <c r="A40" s="345" t="s">
        <v>874</v>
      </c>
      <c r="B40" s="346" t="s">
        <v>875</v>
      </c>
    </row>
    <row r="41" spans="1:2" ht="15.5" x14ac:dyDescent="0.35">
      <c r="A41" s="345" t="s">
        <v>876</v>
      </c>
      <c r="B41" s="346" t="s">
        <v>877</v>
      </c>
    </row>
    <row r="42" spans="1:2" ht="15.5" x14ac:dyDescent="0.35">
      <c r="A42" s="345" t="s">
        <v>878</v>
      </c>
      <c r="B42" s="346" t="s">
        <v>879</v>
      </c>
    </row>
    <row r="43" spans="1:2" ht="15.5" x14ac:dyDescent="0.35">
      <c r="A43" s="345" t="s">
        <v>880</v>
      </c>
      <c r="B43" s="346" t="s">
        <v>881</v>
      </c>
    </row>
    <row r="44" spans="1:2" ht="15.5" x14ac:dyDescent="0.35">
      <c r="A44" s="345" t="s">
        <v>882</v>
      </c>
      <c r="B44" s="346" t="s">
        <v>883</v>
      </c>
    </row>
    <row r="45" spans="1:2" ht="15.5" x14ac:dyDescent="0.35">
      <c r="A45" s="345" t="s">
        <v>884</v>
      </c>
      <c r="B45" s="346" t="s">
        <v>885</v>
      </c>
    </row>
    <row r="46" spans="1:2" ht="15.5" x14ac:dyDescent="0.35">
      <c r="A46" s="345" t="s">
        <v>886</v>
      </c>
      <c r="B46" s="346" t="s">
        <v>887</v>
      </c>
    </row>
    <row r="47" spans="1:2" ht="15.5" x14ac:dyDescent="0.35">
      <c r="A47" s="345" t="s">
        <v>888</v>
      </c>
      <c r="B47" s="346" t="s">
        <v>889</v>
      </c>
    </row>
    <row r="48" spans="1:2" ht="15.5" x14ac:dyDescent="0.35">
      <c r="A48" s="345" t="s">
        <v>890</v>
      </c>
      <c r="B48" s="346" t="s">
        <v>891</v>
      </c>
    </row>
    <row r="49" spans="1:2" ht="15.5" x14ac:dyDescent="0.35">
      <c r="A49" s="345" t="s">
        <v>892</v>
      </c>
      <c r="B49" s="346" t="s">
        <v>893</v>
      </c>
    </row>
    <row r="50" spans="1:2" ht="15.5" x14ac:dyDescent="0.35">
      <c r="A50" s="345" t="s">
        <v>894</v>
      </c>
      <c r="B50" s="346" t="s">
        <v>895</v>
      </c>
    </row>
    <row r="51" spans="1:2" ht="15.5" x14ac:dyDescent="0.35">
      <c r="A51" s="345" t="s">
        <v>896</v>
      </c>
      <c r="B51" s="346" t="s">
        <v>897</v>
      </c>
    </row>
    <row r="52" spans="1:2" ht="15.5" x14ac:dyDescent="0.35">
      <c r="A52" s="345" t="s">
        <v>898</v>
      </c>
      <c r="B52" s="346" t="s">
        <v>899</v>
      </c>
    </row>
    <row r="53" spans="1:2" ht="15.5" x14ac:dyDescent="0.35">
      <c r="A53" s="345" t="s">
        <v>900</v>
      </c>
      <c r="B53" s="346" t="s">
        <v>901</v>
      </c>
    </row>
    <row r="54" spans="1:2" ht="15.5" x14ac:dyDescent="0.35">
      <c r="A54" s="345" t="s">
        <v>902</v>
      </c>
      <c r="B54" s="346" t="s">
        <v>903</v>
      </c>
    </row>
    <row r="55" spans="1:2" ht="15.5" x14ac:dyDescent="0.35">
      <c r="A55" s="345" t="s">
        <v>904</v>
      </c>
      <c r="B55" s="346" t="s">
        <v>905</v>
      </c>
    </row>
    <row r="56" spans="1:2" ht="15.5" x14ac:dyDescent="0.35">
      <c r="A56" s="345" t="s">
        <v>906</v>
      </c>
      <c r="B56" s="346" t="s">
        <v>907</v>
      </c>
    </row>
    <row r="57" spans="1:2" ht="15.5" x14ac:dyDescent="0.35">
      <c r="A57" s="345" t="s">
        <v>908</v>
      </c>
      <c r="B57" s="346" t="s">
        <v>909</v>
      </c>
    </row>
    <row r="58" spans="1:2" ht="15.5" x14ac:dyDescent="0.35">
      <c r="A58" s="345" t="s">
        <v>910</v>
      </c>
      <c r="B58" s="346" t="s">
        <v>911</v>
      </c>
    </row>
    <row r="59" spans="1:2" ht="15.5" x14ac:dyDescent="0.35">
      <c r="A59" s="345" t="s">
        <v>912</v>
      </c>
      <c r="B59" s="346" t="s">
        <v>913</v>
      </c>
    </row>
    <row r="60" spans="1:2" ht="15.5" x14ac:dyDescent="0.35">
      <c r="A60" s="345" t="s">
        <v>914</v>
      </c>
      <c r="B60" s="346" t="s">
        <v>915</v>
      </c>
    </row>
    <row r="61" spans="1:2" ht="15.5" x14ac:dyDescent="0.35">
      <c r="A61" s="345" t="s">
        <v>916</v>
      </c>
      <c r="B61" s="346" t="s">
        <v>917</v>
      </c>
    </row>
    <row r="62" spans="1:2" ht="15.5" x14ac:dyDescent="0.35">
      <c r="A62" s="345" t="s">
        <v>918</v>
      </c>
      <c r="B62" s="346" t="s">
        <v>919</v>
      </c>
    </row>
    <row r="63" spans="1:2" ht="15.5" x14ac:dyDescent="0.35">
      <c r="A63" s="345" t="s">
        <v>920</v>
      </c>
      <c r="B63" s="346" t="s">
        <v>921</v>
      </c>
    </row>
    <row r="64" spans="1:2" ht="15.5" x14ac:dyDescent="0.35">
      <c r="A64" s="345" t="s">
        <v>922</v>
      </c>
      <c r="B64" s="346" t="s">
        <v>923</v>
      </c>
    </row>
    <row r="65" spans="1:2" ht="15.5" x14ac:dyDescent="0.35">
      <c r="A65" s="345" t="s">
        <v>924</v>
      </c>
      <c r="B65" s="346" t="s">
        <v>925</v>
      </c>
    </row>
    <row r="66" spans="1:2" ht="15.5" x14ac:dyDescent="0.35">
      <c r="A66" s="345" t="s">
        <v>926</v>
      </c>
      <c r="B66" s="346" t="s">
        <v>927</v>
      </c>
    </row>
    <row r="67" spans="1:2" ht="15.5" x14ac:dyDescent="0.35">
      <c r="A67" s="345" t="s">
        <v>928</v>
      </c>
      <c r="B67" s="346" t="s">
        <v>929</v>
      </c>
    </row>
    <row r="68" spans="1:2" ht="15.5" x14ac:dyDescent="0.35">
      <c r="A68" s="345" t="s">
        <v>930</v>
      </c>
      <c r="B68" s="346" t="s">
        <v>931</v>
      </c>
    </row>
    <row r="69" spans="1:2" ht="15.5" x14ac:dyDescent="0.35">
      <c r="A69" s="345" t="s">
        <v>932</v>
      </c>
      <c r="B69" s="346" t="s">
        <v>933</v>
      </c>
    </row>
    <row r="70" spans="1:2" ht="15.5" x14ac:dyDescent="0.35">
      <c r="A70" s="345" t="s">
        <v>934</v>
      </c>
      <c r="B70" s="346" t="s">
        <v>935</v>
      </c>
    </row>
    <row r="71" spans="1:2" ht="15.5" x14ac:dyDescent="0.35">
      <c r="A71" s="345" t="s">
        <v>936</v>
      </c>
      <c r="B71" s="346" t="s">
        <v>937</v>
      </c>
    </row>
    <row r="72" spans="1:2" ht="15.5" x14ac:dyDescent="0.35">
      <c r="A72" s="345" t="s">
        <v>938</v>
      </c>
      <c r="B72" s="346" t="s">
        <v>939</v>
      </c>
    </row>
    <row r="73" spans="1:2" ht="15.5" x14ac:dyDescent="0.35">
      <c r="A73" s="345" t="s">
        <v>940</v>
      </c>
      <c r="B73" s="346" t="s">
        <v>941</v>
      </c>
    </row>
    <row r="74" spans="1:2" ht="15.5" x14ac:dyDescent="0.35">
      <c r="A74" s="345" t="s">
        <v>942</v>
      </c>
      <c r="B74" s="346" t="s">
        <v>943</v>
      </c>
    </row>
    <row r="75" spans="1:2" ht="15.5" x14ac:dyDescent="0.35">
      <c r="A75" s="345" t="s">
        <v>944</v>
      </c>
      <c r="B75" s="346" t="s">
        <v>945</v>
      </c>
    </row>
    <row r="76" spans="1:2" ht="15.5" x14ac:dyDescent="0.35">
      <c r="A76" s="345" t="s">
        <v>946</v>
      </c>
      <c r="B76" s="346" t="s">
        <v>947</v>
      </c>
    </row>
    <row r="77" spans="1:2" ht="15.5" x14ac:dyDescent="0.35">
      <c r="A77" s="345" t="s">
        <v>948</v>
      </c>
      <c r="B77" s="346" t="s">
        <v>949</v>
      </c>
    </row>
    <row r="78" spans="1:2" ht="15.5" x14ac:dyDescent="0.35">
      <c r="A78" s="345" t="s">
        <v>950</v>
      </c>
      <c r="B78" s="346" t="s">
        <v>951</v>
      </c>
    </row>
    <row r="79" spans="1:2" ht="15.5" x14ac:dyDescent="0.35">
      <c r="A79" s="345" t="s">
        <v>952</v>
      </c>
      <c r="B79" s="346" t="s">
        <v>953</v>
      </c>
    </row>
    <row r="80" spans="1:2" ht="15.5" x14ac:dyDescent="0.35">
      <c r="A80" s="345" t="s">
        <v>954</v>
      </c>
      <c r="B80" s="346" t="s">
        <v>955</v>
      </c>
    </row>
    <row r="81" spans="1:2" ht="15.5" x14ac:dyDescent="0.35">
      <c r="A81" s="345" t="s">
        <v>956</v>
      </c>
      <c r="B81" s="346" t="s">
        <v>957</v>
      </c>
    </row>
    <row r="82" spans="1:2" ht="15.5" x14ac:dyDescent="0.35">
      <c r="A82" s="345" t="s">
        <v>958</v>
      </c>
      <c r="B82" s="346" t="s">
        <v>959</v>
      </c>
    </row>
    <row r="83" spans="1:2" ht="15.5" x14ac:dyDescent="0.35">
      <c r="A83" s="345" t="s">
        <v>960</v>
      </c>
      <c r="B83" s="346" t="s">
        <v>961</v>
      </c>
    </row>
    <row r="84" spans="1:2" ht="15.5" x14ac:dyDescent="0.35">
      <c r="A84" s="345" t="s">
        <v>962</v>
      </c>
      <c r="B84" s="346" t="s">
        <v>963</v>
      </c>
    </row>
    <row r="85" spans="1:2" ht="15.5" x14ac:dyDescent="0.35">
      <c r="A85" s="345" t="s">
        <v>964</v>
      </c>
      <c r="B85" s="346" t="s">
        <v>965</v>
      </c>
    </row>
    <row r="86" spans="1:2" ht="15.5" x14ac:dyDescent="0.35">
      <c r="A86" s="345" t="s">
        <v>966</v>
      </c>
      <c r="B86" s="346" t="s">
        <v>967</v>
      </c>
    </row>
    <row r="87" spans="1:2" ht="15.5" x14ac:dyDescent="0.35">
      <c r="A87" s="345" t="s">
        <v>968</v>
      </c>
      <c r="B87" s="346" t="s">
        <v>969</v>
      </c>
    </row>
    <row r="88" spans="1:2" ht="15.5" x14ac:dyDescent="0.35">
      <c r="A88" s="345" t="s">
        <v>970</v>
      </c>
      <c r="B88" s="346" t="s">
        <v>971</v>
      </c>
    </row>
    <row r="89" spans="1:2" ht="15.5" x14ac:dyDescent="0.35">
      <c r="A89" s="345" t="s">
        <v>972</v>
      </c>
      <c r="B89" s="346" t="s">
        <v>973</v>
      </c>
    </row>
    <row r="90" spans="1:2" ht="15.5" x14ac:dyDescent="0.35">
      <c r="A90" s="345" t="s">
        <v>22</v>
      </c>
      <c r="B90" s="346" t="s">
        <v>974</v>
      </c>
    </row>
    <row r="91" spans="1:2" ht="15.5" x14ac:dyDescent="0.35">
      <c r="A91" s="345" t="s">
        <v>26</v>
      </c>
      <c r="B91" s="346" t="s">
        <v>975</v>
      </c>
    </row>
    <row r="92" spans="1:2" ht="15.5" x14ac:dyDescent="0.35">
      <c r="A92" s="345" t="s">
        <v>29</v>
      </c>
      <c r="B92" s="346" t="s">
        <v>976</v>
      </c>
    </row>
    <row r="93" spans="1:2" ht="15.5" x14ac:dyDescent="0.35">
      <c r="A93" s="345" t="s">
        <v>31</v>
      </c>
      <c r="B93" s="346" t="s">
        <v>977</v>
      </c>
    </row>
    <row r="94" spans="1:2" ht="15.5" x14ac:dyDescent="0.35">
      <c r="A94" s="345" t="s">
        <v>33</v>
      </c>
      <c r="B94" s="346" t="s">
        <v>978</v>
      </c>
    </row>
    <row r="95" spans="1:2" ht="15.5" x14ac:dyDescent="0.35">
      <c r="A95" s="345" t="s">
        <v>35</v>
      </c>
      <c r="B95" s="346" t="s">
        <v>979</v>
      </c>
    </row>
    <row r="96" spans="1:2" ht="15.5" x14ac:dyDescent="0.35">
      <c r="A96" s="345" t="s">
        <v>980</v>
      </c>
      <c r="B96" s="346" t="s">
        <v>981</v>
      </c>
    </row>
    <row r="97" spans="1:2" ht="15.5" x14ac:dyDescent="0.35">
      <c r="A97" s="345" t="s">
        <v>36</v>
      </c>
      <c r="B97" s="346" t="s">
        <v>982</v>
      </c>
    </row>
    <row r="98" spans="1:2" ht="15.5" x14ac:dyDescent="0.35">
      <c r="A98" s="345" t="s">
        <v>37</v>
      </c>
      <c r="B98" s="346" t="s">
        <v>983</v>
      </c>
    </row>
    <row r="99" spans="1:2" ht="15.5" x14ac:dyDescent="0.35">
      <c r="A99" s="345" t="s">
        <v>38</v>
      </c>
      <c r="B99" s="346" t="s">
        <v>984</v>
      </c>
    </row>
    <row r="100" spans="1:2" ht="15.5" x14ac:dyDescent="0.35">
      <c r="A100" s="345" t="s">
        <v>39</v>
      </c>
      <c r="B100" s="346" t="s">
        <v>985</v>
      </c>
    </row>
    <row r="101" spans="1:2" ht="15.5" x14ac:dyDescent="0.35">
      <c r="A101" s="345" t="s">
        <v>986</v>
      </c>
      <c r="B101" s="346" t="s">
        <v>987</v>
      </c>
    </row>
    <row r="102" spans="1:2" ht="15.5" x14ac:dyDescent="0.35">
      <c r="A102" s="345" t="s">
        <v>40</v>
      </c>
      <c r="B102" s="346" t="s">
        <v>988</v>
      </c>
    </row>
    <row r="103" spans="1:2" ht="15.5" x14ac:dyDescent="0.35">
      <c r="A103" s="345" t="s">
        <v>173</v>
      </c>
      <c r="B103" s="346" t="s">
        <v>989</v>
      </c>
    </row>
    <row r="104" spans="1:2" ht="15.5" x14ac:dyDescent="0.35">
      <c r="A104" s="345" t="s">
        <v>131</v>
      </c>
      <c r="B104" s="346" t="s">
        <v>990</v>
      </c>
    </row>
    <row r="105" spans="1:2" ht="15.5" x14ac:dyDescent="0.35">
      <c r="A105" s="345" t="s">
        <v>991</v>
      </c>
      <c r="B105" s="346" t="s">
        <v>992</v>
      </c>
    </row>
    <row r="106" spans="1:2" ht="15.5" x14ac:dyDescent="0.35">
      <c r="A106" s="345" t="s">
        <v>104</v>
      </c>
      <c r="B106" s="346" t="s">
        <v>993</v>
      </c>
    </row>
    <row r="107" spans="1:2" ht="15.5" x14ac:dyDescent="0.35">
      <c r="A107" s="345" t="s">
        <v>41</v>
      </c>
      <c r="B107" s="346" t="s">
        <v>994</v>
      </c>
    </row>
    <row r="108" spans="1:2" ht="15.5" x14ac:dyDescent="0.35">
      <c r="A108" s="345" t="s">
        <v>47</v>
      </c>
      <c r="B108" s="346" t="s">
        <v>995</v>
      </c>
    </row>
    <row r="109" spans="1:2" ht="15.5" x14ac:dyDescent="0.35">
      <c r="A109" s="345" t="s">
        <v>48</v>
      </c>
      <c r="B109" s="346" t="s">
        <v>996</v>
      </c>
    </row>
    <row r="110" spans="1:2" ht="15.5" x14ac:dyDescent="0.35">
      <c r="A110" s="345" t="s">
        <v>997</v>
      </c>
      <c r="B110" s="346" t="s">
        <v>998</v>
      </c>
    </row>
    <row r="111" spans="1:2" ht="15.5" x14ac:dyDescent="0.35">
      <c r="A111" s="345" t="s">
        <v>999</v>
      </c>
      <c r="B111" s="346" t="s">
        <v>1000</v>
      </c>
    </row>
    <row r="112" spans="1:2" ht="15.5" x14ac:dyDescent="0.35">
      <c r="A112" s="345" t="s">
        <v>1001</v>
      </c>
      <c r="B112" s="346" t="s">
        <v>1002</v>
      </c>
    </row>
    <row r="113" spans="1:2" ht="15.5" x14ac:dyDescent="0.35">
      <c r="A113" s="345" t="s">
        <v>1003</v>
      </c>
      <c r="B113" s="346" t="s">
        <v>1004</v>
      </c>
    </row>
    <row r="114" spans="1:2" ht="15.5" x14ac:dyDescent="0.35">
      <c r="A114" s="345" t="s">
        <v>1005</v>
      </c>
      <c r="B114" s="346" t="s">
        <v>1006</v>
      </c>
    </row>
    <row r="115" spans="1:2" ht="15.5" x14ac:dyDescent="0.35">
      <c r="A115" s="345" t="s">
        <v>1007</v>
      </c>
      <c r="B115" s="346" t="s">
        <v>1008</v>
      </c>
    </row>
    <row r="116" spans="1:2" ht="15.5" x14ac:dyDescent="0.35">
      <c r="A116" s="345" t="s">
        <v>1009</v>
      </c>
      <c r="B116" s="346" t="s">
        <v>1010</v>
      </c>
    </row>
    <row r="117" spans="1:2" ht="15.5" x14ac:dyDescent="0.35">
      <c r="A117" s="345" t="s">
        <v>1011</v>
      </c>
      <c r="B117" s="346" t="s">
        <v>1012</v>
      </c>
    </row>
    <row r="118" spans="1:2" ht="15.5" x14ac:dyDescent="0.35">
      <c r="A118" s="345" t="s">
        <v>1013</v>
      </c>
      <c r="B118" s="346" t="s">
        <v>1014</v>
      </c>
    </row>
    <row r="119" spans="1:2" ht="15.5" x14ac:dyDescent="0.35">
      <c r="A119" s="345" t="s">
        <v>1015</v>
      </c>
      <c r="B119" s="346" t="s">
        <v>1016</v>
      </c>
    </row>
    <row r="120" spans="1:2" ht="15.5" x14ac:dyDescent="0.35">
      <c r="A120" s="345" t="s">
        <v>1017</v>
      </c>
      <c r="B120" s="346" t="s">
        <v>1018</v>
      </c>
    </row>
    <row r="121" spans="1:2" ht="15.5" x14ac:dyDescent="0.35">
      <c r="A121" s="345" t="s">
        <v>1019</v>
      </c>
      <c r="B121" s="346" t="s">
        <v>1020</v>
      </c>
    </row>
    <row r="122" spans="1:2" ht="15.5" x14ac:dyDescent="0.35">
      <c r="A122" s="345" t="s">
        <v>1021</v>
      </c>
      <c r="B122" s="346" t="s">
        <v>1022</v>
      </c>
    </row>
    <row r="123" spans="1:2" ht="15.5" x14ac:dyDescent="0.35">
      <c r="A123" s="345" t="s">
        <v>49</v>
      </c>
      <c r="B123" s="346" t="s">
        <v>1023</v>
      </c>
    </row>
    <row r="124" spans="1:2" ht="15.5" x14ac:dyDescent="0.35">
      <c r="A124" s="345" t="s">
        <v>51</v>
      </c>
      <c r="B124" s="346" t="s">
        <v>296</v>
      </c>
    </row>
    <row r="125" spans="1:2" ht="15.5" x14ac:dyDescent="0.35">
      <c r="A125" s="345" t="s">
        <v>52</v>
      </c>
      <c r="B125" s="346" t="s">
        <v>1024</v>
      </c>
    </row>
    <row r="126" spans="1:2" ht="15.5" x14ac:dyDescent="0.35">
      <c r="A126" s="345" t="s">
        <v>1025</v>
      </c>
      <c r="B126" s="346" t="s">
        <v>1026</v>
      </c>
    </row>
    <row r="127" spans="1:2" ht="15.5" x14ac:dyDescent="0.35">
      <c r="A127" s="345" t="s">
        <v>54</v>
      </c>
      <c r="B127" s="346" t="s">
        <v>1027</v>
      </c>
    </row>
    <row r="128" spans="1:2" ht="15.5" x14ac:dyDescent="0.35">
      <c r="A128" s="345" t="s">
        <v>55</v>
      </c>
      <c r="B128" s="346" t="s">
        <v>1028</v>
      </c>
    </row>
    <row r="129" spans="1:2" ht="15.5" x14ac:dyDescent="0.35">
      <c r="A129" s="345" t="s">
        <v>56</v>
      </c>
      <c r="B129" s="346" t="s">
        <v>1029</v>
      </c>
    </row>
    <row r="130" spans="1:2" ht="15.5" x14ac:dyDescent="0.35">
      <c r="A130" s="345" t="s">
        <v>57</v>
      </c>
      <c r="B130" s="346" t="s">
        <v>1030</v>
      </c>
    </row>
    <row r="131" spans="1:2" ht="15.5" x14ac:dyDescent="0.35">
      <c r="A131" s="345" t="s">
        <v>58</v>
      </c>
      <c r="B131" s="346" t="s">
        <v>1031</v>
      </c>
    </row>
    <row r="132" spans="1:2" ht="15.5" x14ac:dyDescent="0.35">
      <c r="A132" s="345" t="s">
        <v>59</v>
      </c>
      <c r="B132" s="346" t="s">
        <v>1032</v>
      </c>
    </row>
    <row r="133" spans="1:2" ht="15.5" x14ac:dyDescent="0.35">
      <c r="A133" s="345" t="s">
        <v>280</v>
      </c>
      <c r="B133" s="346" t="s">
        <v>1033</v>
      </c>
    </row>
    <row r="134" spans="1:2" ht="15.5" x14ac:dyDescent="0.35">
      <c r="A134" s="345" t="s">
        <v>303</v>
      </c>
      <c r="B134" s="346" t="s">
        <v>1034</v>
      </c>
    </row>
    <row r="135" spans="1:2" ht="15.5" x14ac:dyDescent="0.35">
      <c r="A135" s="345" t="s">
        <v>189</v>
      </c>
      <c r="B135" s="346" t="s">
        <v>1035</v>
      </c>
    </row>
    <row r="136" spans="1:2" ht="15.5" x14ac:dyDescent="0.35">
      <c r="A136" s="345" t="s">
        <v>154</v>
      </c>
      <c r="B136" s="346" t="s">
        <v>1036</v>
      </c>
    </row>
    <row r="137" spans="1:2" ht="15.5" x14ac:dyDescent="0.35">
      <c r="A137" s="345" t="s">
        <v>60</v>
      </c>
      <c r="B137" s="346" t="s">
        <v>1037</v>
      </c>
    </row>
    <row r="138" spans="1:2" ht="15.5" x14ac:dyDescent="0.35">
      <c r="A138" s="345" t="s">
        <v>61</v>
      </c>
      <c r="B138" s="346" t="s">
        <v>1038</v>
      </c>
    </row>
    <row r="139" spans="1:2" ht="15.5" x14ac:dyDescent="0.35">
      <c r="A139" s="345" t="s">
        <v>62</v>
      </c>
      <c r="B139" s="346" t="s">
        <v>1039</v>
      </c>
    </row>
    <row r="140" spans="1:2" ht="15.5" x14ac:dyDescent="0.35">
      <c r="A140" s="345" t="s">
        <v>63</v>
      </c>
      <c r="B140" s="346" t="s">
        <v>1040</v>
      </c>
    </row>
    <row r="141" spans="1:2" ht="15.5" x14ac:dyDescent="0.35">
      <c r="A141" s="345" t="s">
        <v>1041</v>
      </c>
      <c r="B141" s="346" t="s">
        <v>1042</v>
      </c>
    </row>
    <row r="142" spans="1:2" ht="15.5" x14ac:dyDescent="0.35">
      <c r="A142" s="345" t="s">
        <v>64</v>
      </c>
      <c r="B142" s="346" t="s">
        <v>1043</v>
      </c>
    </row>
    <row r="143" spans="1:2" ht="15.5" x14ac:dyDescent="0.35">
      <c r="A143" s="345" t="s">
        <v>1044</v>
      </c>
      <c r="B143" s="346" t="s">
        <v>1045</v>
      </c>
    </row>
    <row r="144" spans="1:2" ht="15.5" x14ac:dyDescent="0.35">
      <c r="A144" s="345" t="s">
        <v>65</v>
      </c>
      <c r="B144" s="346" t="s">
        <v>1046</v>
      </c>
    </row>
    <row r="145" spans="1:2" ht="15.5" x14ac:dyDescent="0.35">
      <c r="A145" s="345" t="s">
        <v>66</v>
      </c>
      <c r="B145" s="346" t="s">
        <v>1047</v>
      </c>
    </row>
    <row r="146" spans="1:2" ht="15.5" x14ac:dyDescent="0.35">
      <c r="A146" s="345" t="s">
        <v>1048</v>
      </c>
      <c r="B146" s="346" t="s">
        <v>1049</v>
      </c>
    </row>
    <row r="147" spans="1:2" ht="15.5" x14ac:dyDescent="0.35">
      <c r="A147" s="345" t="s">
        <v>67</v>
      </c>
      <c r="B147" s="346" t="s">
        <v>1050</v>
      </c>
    </row>
    <row r="148" spans="1:2" ht="15.5" x14ac:dyDescent="0.35">
      <c r="A148" s="345" t="s">
        <v>68</v>
      </c>
      <c r="B148" s="346" t="s">
        <v>1051</v>
      </c>
    </row>
    <row r="149" spans="1:2" ht="15.5" x14ac:dyDescent="0.35">
      <c r="A149" s="345" t="s">
        <v>69</v>
      </c>
      <c r="B149" s="346" t="s">
        <v>1052</v>
      </c>
    </row>
    <row r="150" spans="1:2" ht="15.5" x14ac:dyDescent="0.35">
      <c r="A150" s="345" t="s">
        <v>70</v>
      </c>
      <c r="B150" s="346" t="s">
        <v>1053</v>
      </c>
    </row>
    <row r="151" spans="1:2" ht="15.5" x14ac:dyDescent="0.35">
      <c r="A151" s="345" t="s">
        <v>71</v>
      </c>
      <c r="B151" s="346" t="s">
        <v>1054</v>
      </c>
    </row>
    <row r="152" spans="1:2" ht="15.5" x14ac:dyDescent="0.35">
      <c r="A152" s="345" t="s">
        <v>72</v>
      </c>
      <c r="B152" s="346" t="s">
        <v>1055</v>
      </c>
    </row>
    <row r="153" spans="1:2" ht="15.5" x14ac:dyDescent="0.35">
      <c r="A153" s="345" t="s">
        <v>73</v>
      </c>
      <c r="B153" s="346" t="s">
        <v>1056</v>
      </c>
    </row>
    <row r="154" spans="1:2" ht="15.5" x14ac:dyDescent="0.35">
      <c r="A154" s="345" t="s">
        <v>74</v>
      </c>
      <c r="B154" s="346" t="s">
        <v>1057</v>
      </c>
    </row>
    <row r="155" spans="1:2" ht="15.5" x14ac:dyDescent="0.35">
      <c r="A155" s="345" t="s">
        <v>1058</v>
      </c>
      <c r="B155" s="346" t="s">
        <v>1059</v>
      </c>
    </row>
    <row r="156" spans="1:2" ht="15.5" x14ac:dyDescent="0.35">
      <c r="A156" s="345" t="s">
        <v>1060</v>
      </c>
      <c r="B156" s="346" t="s">
        <v>1061</v>
      </c>
    </row>
    <row r="157" spans="1:2" ht="15.5" x14ac:dyDescent="0.35">
      <c r="A157" s="345" t="s">
        <v>75</v>
      </c>
      <c r="B157" s="346" t="s">
        <v>1062</v>
      </c>
    </row>
    <row r="158" spans="1:2" ht="15.5" x14ac:dyDescent="0.35">
      <c r="A158" s="345" t="s">
        <v>76</v>
      </c>
      <c r="B158" s="346" t="s">
        <v>1063</v>
      </c>
    </row>
    <row r="159" spans="1:2" ht="15.5" x14ac:dyDescent="0.35">
      <c r="A159" s="345" t="s">
        <v>93</v>
      </c>
      <c r="B159" s="346" t="s">
        <v>1064</v>
      </c>
    </row>
    <row r="160" spans="1:2" ht="15.5" x14ac:dyDescent="0.35">
      <c r="A160" s="345" t="s">
        <v>94</v>
      </c>
      <c r="B160" s="346" t="s">
        <v>1065</v>
      </c>
    </row>
    <row r="161" spans="1:2" ht="15.5" x14ac:dyDescent="0.35">
      <c r="A161" s="345" t="s">
        <v>95</v>
      </c>
      <c r="B161" s="346" t="s">
        <v>1066</v>
      </c>
    </row>
    <row r="162" spans="1:2" ht="15.5" x14ac:dyDescent="0.35">
      <c r="A162" s="345" t="s">
        <v>96</v>
      </c>
      <c r="B162" s="346" t="s">
        <v>1067</v>
      </c>
    </row>
    <row r="163" spans="1:2" ht="15.5" x14ac:dyDescent="0.35">
      <c r="A163" s="345" t="s">
        <v>1068</v>
      </c>
      <c r="B163" s="346" t="s">
        <v>1069</v>
      </c>
    </row>
    <row r="164" spans="1:2" ht="15.5" x14ac:dyDescent="0.35">
      <c r="A164" s="345" t="s">
        <v>1070</v>
      </c>
      <c r="B164" s="346" t="s">
        <v>1071</v>
      </c>
    </row>
    <row r="165" spans="1:2" ht="15.5" x14ac:dyDescent="0.35">
      <c r="A165" s="345" t="s">
        <v>1072</v>
      </c>
      <c r="B165" s="346" t="s">
        <v>1073</v>
      </c>
    </row>
    <row r="166" spans="1:2" ht="15.5" x14ac:dyDescent="0.35">
      <c r="A166" s="345" t="s">
        <v>1074</v>
      </c>
      <c r="B166" s="346" t="s">
        <v>1075</v>
      </c>
    </row>
    <row r="167" spans="1:2" ht="15.5" x14ac:dyDescent="0.35">
      <c r="A167" s="345" t="s">
        <v>1076</v>
      </c>
      <c r="B167" s="346" t="s">
        <v>1077</v>
      </c>
    </row>
    <row r="168" spans="1:2" ht="15.5" x14ac:dyDescent="0.35">
      <c r="A168" s="345" t="s">
        <v>1078</v>
      </c>
      <c r="B168" s="346" t="s">
        <v>1079</v>
      </c>
    </row>
    <row r="169" spans="1:2" ht="15.5" x14ac:dyDescent="0.35">
      <c r="A169" s="345" t="s">
        <v>1080</v>
      </c>
      <c r="B169" s="346" t="s">
        <v>1081</v>
      </c>
    </row>
    <row r="170" spans="1:2" ht="15.5" x14ac:dyDescent="0.35">
      <c r="A170" s="345" t="s">
        <v>1082</v>
      </c>
      <c r="B170" s="346" t="s">
        <v>1083</v>
      </c>
    </row>
    <row r="171" spans="1:2" ht="15.5" x14ac:dyDescent="0.35">
      <c r="A171" s="345" t="s">
        <v>1084</v>
      </c>
      <c r="B171" s="346" t="s">
        <v>1085</v>
      </c>
    </row>
    <row r="172" spans="1:2" ht="15.5" x14ac:dyDescent="0.35">
      <c r="A172" s="345" t="s">
        <v>1086</v>
      </c>
      <c r="B172" s="346" t="s">
        <v>1087</v>
      </c>
    </row>
    <row r="173" spans="1:2" ht="15.5" x14ac:dyDescent="0.35">
      <c r="A173" s="345" t="s">
        <v>1088</v>
      </c>
      <c r="B173" s="346" t="s">
        <v>1089</v>
      </c>
    </row>
    <row r="174" spans="1:2" ht="15.5" x14ac:dyDescent="0.35">
      <c r="A174" s="345" t="s">
        <v>1090</v>
      </c>
      <c r="B174" s="346" t="s">
        <v>1091</v>
      </c>
    </row>
    <row r="175" spans="1:2" ht="15.5" x14ac:dyDescent="0.35">
      <c r="A175" s="345" t="s">
        <v>1092</v>
      </c>
      <c r="B175" s="346" t="s">
        <v>1093</v>
      </c>
    </row>
    <row r="176" spans="1:2" ht="15.5" x14ac:dyDescent="0.35">
      <c r="A176" s="345" t="s">
        <v>1094</v>
      </c>
      <c r="B176" s="346" t="s">
        <v>1095</v>
      </c>
    </row>
    <row r="177" spans="1:2" ht="15.5" x14ac:dyDescent="0.35">
      <c r="A177" s="345" t="s">
        <v>1096</v>
      </c>
      <c r="B177" s="346" t="s">
        <v>1097</v>
      </c>
    </row>
    <row r="178" spans="1:2" ht="15.5" x14ac:dyDescent="0.35">
      <c r="A178" s="345" t="s">
        <v>1098</v>
      </c>
      <c r="B178" s="346" t="s">
        <v>1099</v>
      </c>
    </row>
    <row r="179" spans="1:2" ht="15.5" x14ac:dyDescent="0.35">
      <c r="A179" s="345" t="s">
        <v>1100</v>
      </c>
      <c r="B179" s="346" t="s">
        <v>1101</v>
      </c>
    </row>
    <row r="180" spans="1:2" ht="15.5" x14ac:dyDescent="0.35">
      <c r="A180" s="345" t="s">
        <v>1102</v>
      </c>
      <c r="B180" s="346" t="s">
        <v>1103</v>
      </c>
    </row>
    <row r="181" spans="1:2" ht="15.5" x14ac:dyDescent="0.35">
      <c r="A181" s="345" t="s">
        <v>1104</v>
      </c>
      <c r="B181" s="346" t="s">
        <v>1105</v>
      </c>
    </row>
    <row r="182" spans="1:2" ht="15.5" x14ac:dyDescent="0.35">
      <c r="A182" s="345" t="s">
        <v>1106</v>
      </c>
      <c r="B182" s="346" t="s">
        <v>1107</v>
      </c>
    </row>
    <row r="183" spans="1:2" ht="15.5" x14ac:dyDescent="0.35">
      <c r="A183" s="345" t="s">
        <v>1108</v>
      </c>
      <c r="B183" s="346" t="s">
        <v>1109</v>
      </c>
    </row>
    <row r="184" spans="1:2" ht="15.5" x14ac:dyDescent="0.35">
      <c r="A184" s="345" t="s">
        <v>1110</v>
      </c>
      <c r="B184" s="346" t="s">
        <v>1111</v>
      </c>
    </row>
    <row r="185" spans="1:2" ht="15.5" x14ac:dyDescent="0.35">
      <c r="A185" s="345" t="s">
        <v>1112</v>
      </c>
      <c r="B185" s="346" t="s">
        <v>1113</v>
      </c>
    </row>
    <row r="186" spans="1:2" ht="15.5" x14ac:dyDescent="0.35">
      <c r="A186" s="345" t="s">
        <v>1114</v>
      </c>
      <c r="B186" s="346" t="s">
        <v>1115</v>
      </c>
    </row>
    <row r="187" spans="1:2" ht="15.5" x14ac:dyDescent="0.35">
      <c r="A187" s="345" t="s">
        <v>1116</v>
      </c>
      <c r="B187" s="346" t="s">
        <v>1117</v>
      </c>
    </row>
    <row r="188" spans="1:2" ht="15.5" x14ac:dyDescent="0.35">
      <c r="A188" s="345" t="s">
        <v>1118</v>
      </c>
      <c r="B188" s="346" t="s">
        <v>1119</v>
      </c>
    </row>
    <row r="189" spans="1:2" ht="15.5" x14ac:dyDescent="0.35">
      <c r="A189" s="345" t="s">
        <v>1120</v>
      </c>
      <c r="B189" s="346" t="s">
        <v>1121</v>
      </c>
    </row>
    <row r="190" spans="1:2" ht="15.5" x14ac:dyDescent="0.35">
      <c r="A190" s="345" t="s">
        <v>1122</v>
      </c>
      <c r="B190" s="346" t="s">
        <v>1123</v>
      </c>
    </row>
    <row r="191" spans="1:2" ht="15.5" x14ac:dyDescent="0.35">
      <c r="A191" s="345" t="s">
        <v>1124</v>
      </c>
      <c r="B191" s="346" t="s">
        <v>1125</v>
      </c>
    </row>
    <row r="192" spans="1:2" ht="15.5" x14ac:dyDescent="0.35">
      <c r="A192" s="345" t="s">
        <v>1126</v>
      </c>
      <c r="B192" s="346" t="s">
        <v>1127</v>
      </c>
    </row>
    <row r="193" spans="1:2" ht="15.5" x14ac:dyDescent="0.35">
      <c r="A193" s="345" t="s">
        <v>1128</v>
      </c>
      <c r="B193" s="346" t="s">
        <v>1129</v>
      </c>
    </row>
    <row r="194" spans="1:2" ht="15.5" x14ac:dyDescent="0.35">
      <c r="A194" s="345" t="s">
        <v>1130</v>
      </c>
      <c r="B194" s="346" t="s">
        <v>1131</v>
      </c>
    </row>
    <row r="195" spans="1:2" ht="15.5" x14ac:dyDescent="0.35">
      <c r="A195" s="345" t="s">
        <v>1132</v>
      </c>
      <c r="B195" s="346" t="s">
        <v>1133</v>
      </c>
    </row>
    <row r="196" spans="1:2" ht="15.5" x14ac:dyDescent="0.35">
      <c r="A196" s="345" t="s">
        <v>1134</v>
      </c>
      <c r="B196" s="346" t="s">
        <v>1135</v>
      </c>
    </row>
    <row r="197" spans="1:2" ht="15.5" x14ac:dyDescent="0.35">
      <c r="A197" s="345" t="s">
        <v>1136</v>
      </c>
      <c r="B197" s="346" t="s">
        <v>1137</v>
      </c>
    </row>
    <row r="198" spans="1:2" ht="15.5" x14ac:dyDescent="0.35">
      <c r="A198" s="345" t="s">
        <v>1138</v>
      </c>
      <c r="B198" s="346" t="s">
        <v>1139</v>
      </c>
    </row>
    <row r="199" spans="1:2" ht="15.5" x14ac:dyDescent="0.35">
      <c r="A199" s="345" t="s">
        <v>1140</v>
      </c>
      <c r="B199" s="346" t="s">
        <v>1141</v>
      </c>
    </row>
    <row r="200" spans="1:2" ht="15.5" x14ac:dyDescent="0.35">
      <c r="A200" s="345" t="s">
        <v>1142</v>
      </c>
      <c r="B200" s="346" t="s">
        <v>1143</v>
      </c>
    </row>
    <row r="201" spans="1:2" ht="15.5" x14ac:dyDescent="0.35">
      <c r="A201" s="345" t="s">
        <v>1144</v>
      </c>
      <c r="B201" s="346" t="s">
        <v>1145</v>
      </c>
    </row>
    <row r="202" spans="1:2" ht="15.5" x14ac:dyDescent="0.35">
      <c r="A202" s="345" t="s">
        <v>1146</v>
      </c>
      <c r="B202" s="346" t="s">
        <v>1147</v>
      </c>
    </row>
    <row r="203" spans="1:2" ht="15.5" x14ac:dyDescent="0.35">
      <c r="A203" s="345" t="s">
        <v>1148</v>
      </c>
      <c r="B203" s="346" t="s">
        <v>1149</v>
      </c>
    </row>
    <row r="204" spans="1:2" ht="15.5" x14ac:dyDescent="0.35">
      <c r="A204" s="345" t="s">
        <v>1150</v>
      </c>
      <c r="B204" s="346" t="s">
        <v>1151</v>
      </c>
    </row>
    <row r="205" spans="1:2" ht="15.5" x14ac:dyDescent="0.35">
      <c r="A205" s="345" t="s">
        <v>1152</v>
      </c>
      <c r="B205" s="346" t="s">
        <v>1153</v>
      </c>
    </row>
    <row r="206" spans="1:2" ht="15.5" x14ac:dyDescent="0.35">
      <c r="A206" s="345" t="s">
        <v>1154</v>
      </c>
      <c r="B206" s="346" t="s">
        <v>1155</v>
      </c>
    </row>
    <row r="207" spans="1:2" ht="15.5" x14ac:dyDescent="0.35">
      <c r="A207" s="345" t="s">
        <v>1156</v>
      </c>
      <c r="B207" s="346" t="s">
        <v>1157</v>
      </c>
    </row>
    <row r="208" spans="1:2" ht="15.5" x14ac:dyDescent="0.35">
      <c r="A208" s="345" t="s">
        <v>1158</v>
      </c>
      <c r="B208" s="346" t="s">
        <v>1159</v>
      </c>
    </row>
    <row r="209" spans="1:2" ht="15.5" x14ac:dyDescent="0.35">
      <c r="A209" s="345" t="s">
        <v>1160</v>
      </c>
      <c r="B209" s="346" t="s">
        <v>1161</v>
      </c>
    </row>
    <row r="210" spans="1:2" ht="15.5" x14ac:dyDescent="0.35">
      <c r="A210" s="345" t="s">
        <v>1162</v>
      </c>
      <c r="B210" s="346" t="s">
        <v>1163</v>
      </c>
    </row>
    <row r="211" spans="1:2" ht="15.5" x14ac:dyDescent="0.35">
      <c r="A211" s="345" t="s">
        <v>1164</v>
      </c>
      <c r="B211" s="346" t="s">
        <v>1165</v>
      </c>
    </row>
    <row r="212" spans="1:2" ht="15.5" x14ac:dyDescent="0.35">
      <c r="A212" s="345" t="s">
        <v>1166</v>
      </c>
      <c r="B212" s="346" t="s">
        <v>1167</v>
      </c>
    </row>
    <row r="213" spans="1:2" ht="15.5" x14ac:dyDescent="0.35">
      <c r="A213" s="345" t="s">
        <v>1168</v>
      </c>
      <c r="B213" s="346" t="s">
        <v>1169</v>
      </c>
    </row>
    <row r="214" spans="1:2" ht="15.5" x14ac:dyDescent="0.35">
      <c r="A214" s="345" t="s">
        <v>1170</v>
      </c>
      <c r="B214" s="346" t="s">
        <v>1171</v>
      </c>
    </row>
    <row r="215" spans="1:2" ht="15.5" x14ac:dyDescent="0.35">
      <c r="A215" s="345" t="s">
        <v>1172</v>
      </c>
      <c r="B215" s="346" t="s">
        <v>1173</v>
      </c>
    </row>
    <row r="216" spans="1:2" ht="15.5" x14ac:dyDescent="0.35">
      <c r="A216" s="345" t="s">
        <v>1174</v>
      </c>
      <c r="B216" s="346" t="s">
        <v>1175</v>
      </c>
    </row>
    <row r="217" spans="1:2" ht="15.5" x14ac:dyDescent="0.35">
      <c r="A217" s="345" t="s">
        <v>1176</v>
      </c>
      <c r="B217" s="346" t="s">
        <v>1177</v>
      </c>
    </row>
    <row r="218" spans="1:2" ht="15.5" x14ac:dyDescent="0.35">
      <c r="A218" s="345" t="s">
        <v>1178</v>
      </c>
      <c r="B218" s="346" t="s">
        <v>1179</v>
      </c>
    </row>
    <row r="219" spans="1:2" ht="15.5" x14ac:dyDescent="0.35">
      <c r="A219" s="345" t="s">
        <v>1180</v>
      </c>
      <c r="B219" s="346" t="s">
        <v>1181</v>
      </c>
    </row>
    <row r="220" spans="1:2" ht="15.5" x14ac:dyDescent="0.35">
      <c r="A220" s="345" t="s">
        <v>1182</v>
      </c>
      <c r="B220" s="346" t="s">
        <v>1183</v>
      </c>
    </row>
    <row r="221" spans="1:2" ht="15.5" x14ac:dyDescent="0.35">
      <c r="A221" s="345" t="s">
        <v>1184</v>
      </c>
      <c r="B221" s="346" t="s">
        <v>1185</v>
      </c>
    </row>
    <row r="222" spans="1:2" ht="15.5" x14ac:dyDescent="0.35">
      <c r="A222" s="345" t="s">
        <v>1186</v>
      </c>
      <c r="B222" s="346" t="s">
        <v>1187</v>
      </c>
    </row>
    <row r="223" spans="1:2" ht="15.5" x14ac:dyDescent="0.35">
      <c r="A223" s="345" t="s">
        <v>1188</v>
      </c>
      <c r="B223" s="346" t="s">
        <v>1189</v>
      </c>
    </row>
    <row r="224" spans="1:2" ht="15.5" x14ac:dyDescent="0.35">
      <c r="A224" s="345" t="s">
        <v>1190</v>
      </c>
      <c r="B224" s="346" t="s">
        <v>1191</v>
      </c>
    </row>
    <row r="225" spans="1:2" ht="15.5" x14ac:dyDescent="0.35">
      <c r="A225" s="345" t="s">
        <v>1192</v>
      </c>
      <c r="B225" s="346" t="s">
        <v>1193</v>
      </c>
    </row>
    <row r="226" spans="1:2" ht="15.5" x14ac:dyDescent="0.35">
      <c r="A226" s="345" t="s">
        <v>1194</v>
      </c>
      <c r="B226" s="346" t="s">
        <v>1195</v>
      </c>
    </row>
    <row r="227" spans="1:2" ht="15.5" x14ac:dyDescent="0.35">
      <c r="A227" s="345" t="s">
        <v>1196</v>
      </c>
      <c r="B227" s="346" t="s">
        <v>1197</v>
      </c>
    </row>
    <row r="228" spans="1:2" ht="15.5" x14ac:dyDescent="0.35">
      <c r="A228" s="345" t="s">
        <v>1198</v>
      </c>
      <c r="B228" s="346" t="s">
        <v>1199</v>
      </c>
    </row>
    <row r="229" spans="1:2" ht="15.5" x14ac:dyDescent="0.35">
      <c r="A229" s="345" t="s">
        <v>1200</v>
      </c>
      <c r="B229" s="346" t="s">
        <v>1201</v>
      </c>
    </row>
    <row r="230" spans="1:2" ht="15.5" x14ac:dyDescent="0.35">
      <c r="A230" s="345" t="s">
        <v>1202</v>
      </c>
      <c r="B230" s="346" t="s">
        <v>1203</v>
      </c>
    </row>
    <row r="231" spans="1:2" ht="15.5" x14ac:dyDescent="0.35">
      <c r="A231" s="345" t="s">
        <v>1204</v>
      </c>
      <c r="B231" s="346" t="s">
        <v>1205</v>
      </c>
    </row>
    <row r="232" spans="1:2" ht="15.5" x14ac:dyDescent="0.35">
      <c r="A232" s="345" t="s">
        <v>1206</v>
      </c>
      <c r="B232" s="346" t="s">
        <v>1207</v>
      </c>
    </row>
    <row r="233" spans="1:2" ht="15.5" x14ac:dyDescent="0.35">
      <c r="A233" s="345" t="s">
        <v>1208</v>
      </c>
      <c r="B233" s="346" t="s">
        <v>1209</v>
      </c>
    </row>
    <row r="234" spans="1:2" ht="15.5" x14ac:dyDescent="0.35">
      <c r="A234" s="345" t="s">
        <v>1210</v>
      </c>
      <c r="B234" s="346" t="s">
        <v>1211</v>
      </c>
    </row>
    <row r="235" spans="1:2" ht="15.5" x14ac:dyDescent="0.35">
      <c r="A235" s="345" t="s">
        <v>1212</v>
      </c>
      <c r="B235" s="346" t="s">
        <v>1213</v>
      </c>
    </row>
    <row r="236" spans="1:2" ht="15.5" x14ac:dyDescent="0.35">
      <c r="A236" s="345" t="s">
        <v>1214</v>
      </c>
      <c r="B236" s="346" t="s">
        <v>1215</v>
      </c>
    </row>
    <row r="237" spans="1:2" ht="15.5" x14ac:dyDescent="0.35">
      <c r="A237" s="345" t="s">
        <v>1216</v>
      </c>
      <c r="B237" s="346" t="s">
        <v>1217</v>
      </c>
    </row>
    <row r="238" spans="1:2" ht="15.5" x14ac:dyDescent="0.35">
      <c r="A238" s="345" t="s">
        <v>1218</v>
      </c>
      <c r="B238" s="346" t="s">
        <v>1219</v>
      </c>
    </row>
    <row r="239" spans="1:2" ht="15.5" x14ac:dyDescent="0.35">
      <c r="A239" s="345" t="s">
        <v>1220</v>
      </c>
      <c r="B239" s="346" t="s">
        <v>1221</v>
      </c>
    </row>
    <row r="240" spans="1:2" ht="15.5" x14ac:dyDescent="0.35">
      <c r="A240" s="345" t="s">
        <v>1222</v>
      </c>
      <c r="B240" s="346" t="s">
        <v>1223</v>
      </c>
    </row>
    <row r="241" spans="1:2" ht="15.5" x14ac:dyDescent="0.35">
      <c r="A241" s="345" t="s">
        <v>1224</v>
      </c>
      <c r="B241" s="346" t="s">
        <v>1225</v>
      </c>
    </row>
    <row r="242" spans="1:2" ht="15.5" x14ac:dyDescent="0.35">
      <c r="A242" s="345" t="s">
        <v>1226</v>
      </c>
      <c r="B242" s="346" t="s">
        <v>1227</v>
      </c>
    </row>
    <row r="243" spans="1:2" ht="15.5" x14ac:dyDescent="0.35">
      <c r="A243" s="345" t="s">
        <v>1228</v>
      </c>
      <c r="B243" s="346" t="s">
        <v>1229</v>
      </c>
    </row>
    <row r="244" spans="1:2" ht="15.5" x14ac:dyDescent="0.35">
      <c r="A244" s="345" t="s">
        <v>1230</v>
      </c>
      <c r="B244" s="346" t="s">
        <v>1231</v>
      </c>
    </row>
    <row r="245" spans="1:2" ht="15.5" x14ac:dyDescent="0.35">
      <c r="A245" s="345" t="s">
        <v>1232</v>
      </c>
      <c r="B245" s="346" t="s">
        <v>1233</v>
      </c>
    </row>
    <row r="246" spans="1:2" ht="15.5" x14ac:dyDescent="0.35">
      <c r="A246" s="345" t="s">
        <v>295</v>
      </c>
      <c r="B246" s="346" t="s">
        <v>1234</v>
      </c>
    </row>
    <row r="247" spans="1:2" ht="15.5" x14ac:dyDescent="0.35">
      <c r="A247" s="345" t="s">
        <v>1235</v>
      </c>
      <c r="B247" s="346" t="s">
        <v>1236</v>
      </c>
    </row>
    <row r="248" spans="1:2" ht="15.5" x14ac:dyDescent="0.35">
      <c r="A248" s="345" t="s">
        <v>1237</v>
      </c>
      <c r="B248" s="346" t="s">
        <v>1238</v>
      </c>
    </row>
    <row r="249" spans="1:2" ht="15.5" x14ac:dyDescent="0.35">
      <c r="A249" s="345" t="s">
        <v>1239</v>
      </c>
      <c r="B249" s="346" t="s">
        <v>1240</v>
      </c>
    </row>
    <row r="250" spans="1:2" ht="15.5" x14ac:dyDescent="0.35">
      <c r="A250" s="345" t="s">
        <v>1241</v>
      </c>
      <c r="B250" s="346" t="s">
        <v>1242</v>
      </c>
    </row>
    <row r="251" spans="1:2" ht="15.5" x14ac:dyDescent="0.35">
      <c r="A251" s="345" t="s">
        <v>1243</v>
      </c>
      <c r="B251" s="346" t="s">
        <v>1244</v>
      </c>
    </row>
    <row r="252" spans="1:2" ht="15.5" x14ac:dyDescent="0.35">
      <c r="A252" s="345" t="s">
        <v>1245</v>
      </c>
      <c r="B252" s="346" t="s">
        <v>1246</v>
      </c>
    </row>
    <row r="253" spans="1:2" ht="15.5" x14ac:dyDescent="0.35">
      <c r="A253" s="345" t="s">
        <v>1247</v>
      </c>
      <c r="B253" s="346" t="s">
        <v>1248</v>
      </c>
    </row>
    <row r="254" spans="1:2" ht="15.5" x14ac:dyDescent="0.35">
      <c r="A254" s="345" t="s">
        <v>1249</v>
      </c>
      <c r="B254" s="346" t="s">
        <v>1250</v>
      </c>
    </row>
    <row r="255" spans="1:2" ht="15.5" x14ac:dyDescent="0.35">
      <c r="A255" s="345" t="s">
        <v>1251</v>
      </c>
      <c r="B255" s="346" t="s">
        <v>1252</v>
      </c>
    </row>
    <row r="256" spans="1:2" ht="15.5" x14ac:dyDescent="0.35">
      <c r="A256" s="345" t="s">
        <v>1253</v>
      </c>
      <c r="B256" s="346" t="s">
        <v>1254</v>
      </c>
    </row>
    <row r="257" spans="1:2" ht="15.5" x14ac:dyDescent="0.35">
      <c r="A257" s="345" t="s">
        <v>1255</v>
      </c>
      <c r="B257" s="346" t="s">
        <v>1256</v>
      </c>
    </row>
    <row r="258" spans="1:2" ht="15.5" x14ac:dyDescent="0.35">
      <c r="A258" s="345" t="s">
        <v>1257</v>
      </c>
      <c r="B258" s="346" t="s">
        <v>1258</v>
      </c>
    </row>
    <row r="259" spans="1:2" ht="15.5" x14ac:dyDescent="0.35">
      <c r="A259" s="345" t="s">
        <v>1259</v>
      </c>
      <c r="B259" s="346" t="s">
        <v>1260</v>
      </c>
    </row>
    <row r="260" spans="1:2" ht="15.5" x14ac:dyDescent="0.35">
      <c r="A260" s="345" t="s">
        <v>1261</v>
      </c>
      <c r="B260" s="346" t="s">
        <v>1262</v>
      </c>
    </row>
    <row r="261" spans="1:2" ht="15.5" x14ac:dyDescent="0.35">
      <c r="A261" s="345" t="s">
        <v>1263</v>
      </c>
      <c r="B261" s="346" t="s">
        <v>1264</v>
      </c>
    </row>
    <row r="262" spans="1:2" ht="15.5" x14ac:dyDescent="0.35">
      <c r="A262" s="345" t="s">
        <v>1265</v>
      </c>
      <c r="B262" s="346" t="s">
        <v>1266</v>
      </c>
    </row>
    <row r="263" spans="1:2" ht="15.5" x14ac:dyDescent="0.35">
      <c r="A263" s="345" t="s">
        <v>1267</v>
      </c>
      <c r="B263" s="346" t="s">
        <v>1268</v>
      </c>
    </row>
    <row r="264" spans="1:2" ht="15.5" x14ac:dyDescent="0.35">
      <c r="A264" s="345" t="s">
        <v>298</v>
      </c>
      <c r="B264" s="346" t="s">
        <v>1269</v>
      </c>
    </row>
    <row r="265" spans="1:2" ht="15.5" x14ac:dyDescent="0.35">
      <c r="A265" s="345" t="s">
        <v>1270</v>
      </c>
      <c r="B265" s="346" t="s">
        <v>1271</v>
      </c>
    </row>
    <row r="266" spans="1:2" ht="15.5" x14ac:dyDescent="0.35">
      <c r="A266" s="345" t="s">
        <v>1272</v>
      </c>
      <c r="B266" s="346" t="s">
        <v>1273</v>
      </c>
    </row>
    <row r="267" spans="1:2" ht="15.5" x14ac:dyDescent="0.35">
      <c r="A267" s="345" t="s">
        <v>1274</v>
      </c>
      <c r="B267" s="346" t="s">
        <v>1275</v>
      </c>
    </row>
    <row r="268" spans="1:2" ht="15.5" x14ac:dyDescent="0.35">
      <c r="A268" s="345" t="s">
        <v>1276</v>
      </c>
      <c r="B268" s="346" t="s">
        <v>1277</v>
      </c>
    </row>
    <row r="269" spans="1:2" ht="15.5" x14ac:dyDescent="0.35">
      <c r="A269" s="345" t="s">
        <v>1278</v>
      </c>
      <c r="B269" s="346" t="s">
        <v>1279</v>
      </c>
    </row>
    <row r="270" spans="1:2" ht="15.5" x14ac:dyDescent="0.35">
      <c r="A270" s="345" t="s">
        <v>1280</v>
      </c>
      <c r="B270" s="346" t="s">
        <v>1281</v>
      </c>
    </row>
    <row r="271" spans="1:2" ht="15.5" x14ac:dyDescent="0.35">
      <c r="A271" s="345" t="s">
        <v>1282</v>
      </c>
      <c r="B271" s="346" t="s">
        <v>1283</v>
      </c>
    </row>
    <row r="272" spans="1:2" ht="15.5" x14ac:dyDescent="0.35">
      <c r="A272" s="345" t="s">
        <v>1284</v>
      </c>
      <c r="B272" s="346" t="s">
        <v>1285</v>
      </c>
    </row>
    <row r="273" spans="1:2" ht="15.5" x14ac:dyDescent="0.35">
      <c r="A273" s="345" t="s">
        <v>1286</v>
      </c>
      <c r="B273" s="346" t="s">
        <v>1287</v>
      </c>
    </row>
    <row r="274" spans="1:2" ht="15.5" x14ac:dyDescent="0.35">
      <c r="A274" s="345" t="s">
        <v>1288</v>
      </c>
      <c r="B274" s="346" t="s">
        <v>1289</v>
      </c>
    </row>
    <row r="275" spans="1:2" ht="15.5" x14ac:dyDescent="0.35">
      <c r="A275" s="345" t="s">
        <v>1290</v>
      </c>
      <c r="B275" s="346" t="s">
        <v>1291</v>
      </c>
    </row>
    <row r="276" spans="1:2" ht="15.5" x14ac:dyDescent="0.35">
      <c r="A276" s="345" t="s">
        <v>1292</v>
      </c>
      <c r="B276" s="346" t="s">
        <v>1293</v>
      </c>
    </row>
    <row r="277" spans="1:2" ht="15.5" x14ac:dyDescent="0.35">
      <c r="A277" s="345" t="s">
        <v>1294</v>
      </c>
      <c r="B277" s="346" t="s">
        <v>1295</v>
      </c>
    </row>
    <row r="278" spans="1:2" ht="15.5" x14ac:dyDescent="0.35">
      <c r="A278" s="345" t="s">
        <v>1296</v>
      </c>
      <c r="B278" s="346" t="s">
        <v>1297</v>
      </c>
    </row>
    <row r="279" spans="1:2" ht="15.5" x14ac:dyDescent="0.35">
      <c r="A279" s="345" t="s">
        <v>1298</v>
      </c>
      <c r="B279" s="346" t="s">
        <v>1299</v>
      </c>
    </row>
    <row r="280" spans="1:2" ht="15.5" x14ac:dyDescent="0.35">
      <c r="A280" s="345" t="s">
        <v>1300</v>
      </c>
      <c r="B280" s="346" t="s">
        <v>1301</v>
      </c>
    </row>
    <row r="281" spans="1:2" ht="15.5" x14ac:dyDescent="0.35">
      <c r="A281" s="345" t="s">
        <v>1302</v>
      </c>
      <c r="B281" s="346" t="s">
        <v>1303</v>
      </c>
    </row>
    <row r="282" spans="1:2" ht="15.5" x14ac:dyDescent="0.35">
      <c r="A282" s="345" t="s">
        <v>1304</v>
      </c>
      <c r="B282" s="346" t="s">
        <v>1305</v>
      </c>
    </row>
    <row r="283" spans="1:2" ht="15.5" x14ac:dyDescent="0.35">
      <c r="A283" s="345" t="s">
        <v>1306</v>
      </c>
      <c r="B283" s="346" t="s">
        <v>1307</v>
      </c>
    </row>
    <row r="284" spans="1:2" ht="15.5" x14ac:dyDescent="0.35">
      <c r="A284" s="345" t="s">
        <v>1308</v>
      </c>
      <c r="B284" s="346" t="s">
        <v>1309</v>
      </c>
    </row>
    <row r="285" spans="1:2" ht="15.5" x14ac:dyDescent="0.35">
      <c r="A285" s="345" t="s">
        <v>1310</v>
      </c>
      <c r="B285" s="346" t="s">
        <v>1311</v>
      </c>
    </row>
    <row r="286" spans="1:2" ht="15.5" x14ac:dyDescent="0.35">
      <c r="A286" s="345" t="s">
        <v>1312</v>
      </c>
      <c r="B286" s="346" t="s">
        <v>1313</v>
      </c>
    </row>
    <row r="287" spans="1:2" ht="15.5" x14ac:dyDescent="0.35">
      <c r="A287" s="345" t="s">
        <v>1314</v>
      </c>
      <c r="B287" s="346" t="s">
        <v>1315</v>
      </c>
    </row>
    <row r="288" spans="1:2" ht="15.5" x14ac:dyDescent="0.35">
      <c r="A288" s="345" t="s">
        <v>1316</v>
      </c>
      <c r="B288" s="346" t="s">
        <v>1317</v>
      </c>
    </row>
    <row r="289" spans="1:2" ht="15.5" x14ac:dyDescent="0.35">
      <c r="A289" s="345" t="s">
        <v>1318</v>
      </c>
      <c r="B289" s="346" t="s">
        <v>1319</v>
      </c>
    </row>
    <row r="290" spans="1:2" ht="15.5" x14ac:dyDescent="0.35">
      <c r="A290" s="345" t="s">
        <v>1320</v>
      </c>
      <c r="B290" s="346" t="s">
        <v>1321</v>
      </c>
    </row>
    <row r="291" spans="1:2" ht="15.5" x14ac:dyDescent="0.35">
      <c r="A291" s="345" t="s">
        <v>1322</v>
      </c>
      <c r="B291" s="346" t="s">
        <v>1323</v>
      </c>
    </row>
    <row r="292" spans="1:2" ht="15.5" x14ac:dyDescent="0.35">
      <c r="A292" s="345" t="s">
        <v>1324</v>
      </c>
      <c r="B292" s="346" t="s">
        <v>1325</v>
      </c>
    </row>
    <row r="293" spans="1:2" ht="15.5" x14ac:dyDescent="0.35">
      <c r="A293" s="345" t="s">
        <v>1326</v>
      </c>
      <c r="B293" s="346" t="s">
        <v>1327</v>
      </c>
    </row>
    <row r="294" spans="1:2" ht="15.5" x14ac:dyDescent="0.35">
      <c r="A294" s="345" t="s">
        <v>293</v>
      </c>
      <c r="B294" s="346" t="s">
        <v>1328</v>
      </c>
    </row>
    <row r="295" spans="1:2" ht="15.5" x14ac:dyDescent="0.35">
      <c r="A295" s="345" t="s">
        <v>1329</v>
      </c>
      <c r="B295" s="346" t="s">
        <v>1330</v>
      </c>
    </row>
    <row r="296" spans="1:2" ht="15.5" x14ac:dyDescent="0.35">
      <c r="A296" s="345" t="s">
        <v>1331</v>
      </c>
      <c r="B296" s="346" t="s">
        <v>1332</v>
      </c>
    </row>
    <row r="297" spans="1:2" ht="15.5" x14ac:dyDescent="0.35">
      <c r="A297" s="345" t="s">
        <v>1333</v>
      </c>
      <c r="B297" s="346" t="s">
        <v>1334</v>
      </c>
    </row>
    <row r="298" spans="1:2" ht="15.5" x14ac:dyDescent="0.35">
      <c r="A298" s="345" t="s">
        <v>125</v>
      </c>
      <c r="B298" s="346" t="s">
        <v>1335</v>
      </c>
    </row>
    <row r="299" spans="1:2" ht="15.5" x14ac:dyDescent="0.35">
      <c r="A299" s="345" t="s">
        <v>1336</v>
      </c>
      <c r="B299" s="346" t="s">
        <v>1337</v>
      </c>
    </row>
    <row r="300" spans="1:2" ht="15.5" x14ac:dyDescent="0.35">
      <c r="A300" s="345" t="s">
        <v>1338</v>
      </c>
      <c r="B300" s="346" t="s">
        <v>1339</v>
      </c>
    </row>
    <row r="301" spans="1:2" ht="15.5" x14ac:dyDescent="0.35">
      <c r="A301" s="345" t="s">
        <v>285</v>
      </c>
      <c r="B301" s="346" t="s">
        <v>1340</v>
      </c>
    </row>
    <row r="302" spans="1:2" ht="15.5" x14ac:dyDescent="0.35">
      <c r="A302" s="345" t="s">
        <v>1341</v>
      </c>
      <c r="B302" s="346" t="s">
        <v>1342</v>
      </c>
    </row>
    <row r="303" spans="1:2" ht="15.5" x14ac:dyDescent="0.35">
      <c r="A303" s="345" t="s">
        <v>286</v>
      </c>
      <c r="B303" s="346" t="s">
        <v>1343</v>
      </c>
    </row>
    <row r="304" spans="1:2" ht="15.5" x14ac:dyDescent="0.35">
      <c r="A304" s="345" t="s">
        <v>1344</v>
      </c>
      <c r="B304" s="346" t="s">
        <v>1345</v>
      </c>
    </row>
    <row r="305" spans="1:2" ht="15.5" x14ac:dyDescent="0.35">
      <c r="A305" s="345" t="s">
        <v>1346</v>
      </c>
      <c r="B305" s="346" t="s">
        <v>1347</v>
      </c>
    </row>
    <row r="306" spans="1:2" ht="15.5" x14ac:dyDescent="0.35">
      <c r="A306" s="345" t="s">
        <v>1348</v>
      </c>
      <c r="B306" s="346" t="s">
        <v>1349</v>
      </c>
    </row>
    <row r="307" spans="1:2" ht="15.5" x14ac:dyDescent="0.35">
      <c r="A307" s="345" t="s">
        <v>1350</v>
      </c>
      <c r="B307" s="346" t="s">
        <v>1351</v>
      </c>
    </row>
    <row r="308" spans="1:2" ht="15.5" x14ac:dyDescent="0.35">
      <c r="A308" s="345" t="s">
        <v>1352</v>
      </c>
      <c r="B308" s="346" t="s">
        <v>1353</v>
      </c>
    </row>
    <row r="309" spans="1:2" ht="15.5" x14ac:dyDescent="0.35">
      <c r="A309" s="345" t="s">
        <v>1354</v>
      </c>
      <c r="B309" s="346" t="s">
        <v>1355</v>
      </c>
    </row>
    <row r="310" spans="1:2" ht="15.5" x14ac:dyDescent="0.35">
      <c r="A310" s="345" t="s">
        <v>1356</v>
      </c>
      <c r="B310" s="346" t="s">
        <v>1357</v>
      </c>
    </row>
    <row r="311" spans="1:2" ht="15.5" x14ac:dyDescent="0.35">
      <c r="A311" s="345" t="s">
        <v>123</v>
      </c>
      <c r="B311" s="346" t="s">
        <v>1358</v>
      </c>
    </row>
    <row r="312" spans="1:2" ht="15.5" x14ac:dyDescent="0.35">
      <c r="A312" s="345" t="s">
        <v>1359</v>
      </c>
      <c r="B312" s="346" t="s">
        <v>1360</v>
      </c>
    </row>
    <row r="313" spans="1:2" ht="15.5" x14ac:dyDescent="0.35">
      <c r="A313" s="345" t="s">
        <v>1361</v>
      </c>
      <c r="B313" s="346" t="s">
        <v>1362</v>
      </c>
    </row>
    <row r="314" spans="1:2" ht="15.5" x14ac:dyDescent="0.35">
      <c r="A314" s="345" t="s">
        <v>1363</v>
      </c>
      <c r="B314" s="346" t="s">
        <v>1364</v>
      </c>
    </row>
    <row r="315" spans="1:2" ht="15.5" x14ac:dyDescent="0.35">
      <c r="A315" s="345" t="s">
        <v>1365</v>
      </c>
      <c r="B315" s="346" t="s">
        <v>1366</v>
      </c>
    </row>
    <row r="316" spans="1:2" ht="15.5" x14ac:dyDescent="0.35">
      <c r="A316" s="345" t="s">
        <v>1367</v>
      </c>
      <c r="B316" s="346" t="s">
        <v>1368</v>
      </c>
    </row>
    <row r="317" spans="1:2" ht="15.5" x14ac:dyDescent="0.35">
      <c r="A317" s="345" t="s">
        <v>1369</v>
      </c>
      <c r="B317" s="346" t="s">
        <v>1370</v>
      </c>
    </row>
    <row r="318" spans="1:2" ht="15.5" x14ac:dyDescent="0.35">
      <c r="A318" s="345" t="s">
        <v>1371</v>
      </c>
      <c r="B318" s="346" t="s">
        <v>1372</v>
      </c>
    </row>
    <row r="319" spans="1:2" ht="15.5" x14ac:dyDescent="0.35">
      <c r="A319" s="345" t="s">
        <v>1373</v>
      </c>
      <c r="B319" s="346" t="s">
        <v>1374</v>
      </c>
    </row>
    <row r="320" spans="1:2" ht="15.5" x14ac:dyDescent="0.35">
      <c r="A320" s="345" t="s">
        <v>197</v>
      </c>
      <c r="B320" s="346" t="s">
        <v>1375</v>
      </c>
    </row>
    <row r="321" spans="1:2" ht="15.5" x14ac:dyDescent="0.35">
      <c r="A321" s="345" t="s">
        <v>201</v>
      </c>
      <c r="B321" s="346" t="s">
        <v>1376</v>
      </c>
    </row>
    <row r="322" spans="1:2" ht="15.5" x14ac:dyDescent="0.35">
      <c r="A322" s="345" t="s">
        <v>204</v>
      </c>
      <c r="B322" s="346" t="s">
        <v>1377</v>
      </c>
    </row>
    <row r="323" spans="1:2" ht="15.5" x14ac:dyDescent="0.35">
      <c r="A323" s="345" t="s">
        <v>207</v>
      </c>
      <c r="B323" s="346" t="s">
        <v>1378</v>
      </c>
    </row>
    <row r="324" spans="1:2" ht="15.5" x14ac:dyDescent="0.35">
      <c r="A324" s="345" t="s">
        <v>147</v>
      </c>
      <c r="B324" s="346" t="s">
        <v>1379</v>
      </c>
    </row>
    <row r="325" spans="1:2" ht="15.5" x14ac:dyDescent="0.35">
      <c r="A325" s="345" t="s">
        <v>149</v>
      </c>
      <c r="B325" s="346" t="s">
        <v>1380</v>
      </c>
    </row>
    <row r="326" spans="1:2" ht="15.5" x14ac:dyDescent="0.35">
      <c r="A326" s="345" t="s">
        <v>152</v>
      </c>
      <c r="B326" s="346" t="s">
        <v>1381</v>
      </c>
    </row>
    <row r="327" spans="1:2" ht="15.5" x14ac:dyDescent="0.35">
      <c r="A327" s="345" t="s">
        <v>159</v>
      </c>
      <c r="B327" s="346" t="s">
        <v>1382</v>
      </c>
    </row>
    <row r="328" spans="1:2" ht="15.5" x14ac:dyDescent="0.35">
      <c r="A328" s="345" t="s">
        <v>160</v>
      </c>
      <c r="B328" s="346" t="s">
        <v>1383</v>
      </c>
    </row>
    <row r="329" spans="1:2" ht="15.5" x14ac:dyDescent="0.35">
      <c r="A329" s="345" t="s">
        <v>150</v>
      </c>
      <c r="B329" s="346" t="s">
        <v>1384</v>
      </c>
    </row>
    <row r="330" spans="1:2" ht="15.5" x14ac:dyDescent="0.35">
      <c r="A330" s="345" t="s">
        <v>161</v>
      </c>
      <c r="B330" s="346" t="s">
        <v>1385</v>
      </c>
    </row>
    <row r="331" spans="1:2" ht="15.5" x14ac:dyDescent="0.35">
      <c r="A331" s="345" t="s">
        <v>1386</v>
      </c>
      <c r="B331" s="346" t="s">
        <v>1387</v>
      </c>
    </row>
    <row r="332" spans="1:2" ht="15.5" x14ac:dyDescent="0.35">
      <c r="A332" s="345" t="s">
        <v>1388</v>
      </c>
      <c r="B332" s="346" t="s">
        <v>1389</v>
      </c>
    </row>
    <row r="333" spans="1:2" ht="15.5" x14ac:dyDescent="0.35">
      <c r="A333" s="345" t="s">
        <v>302</v>
      </c>
      <c r="B333" s="346" t="s">
        <v>1390</v>
      </c>
    </row>
    <row r="334" spans="1:2" ht="15.5" x14ac:dyDescent="0.35">
      <c r="A334" s="345" t="s">
        <v>1391</v>
      </c>
      <c r="B334" s="346" t="s">
        <v>1392</v>
      </c>
    </row>
    <row r="335" spans="1:2" ht="15.5" x14ac:dyDescent="0.35">
      <c r="A335" s="345" t="s">
        <v>297</v>
      </c>
      <c r="B335" s="346" t="s">
        <v>1393</v>
      </c>
    </row>
    <row r="336" spans="1:2" ht="15.5" x14ac:dyDescent="0.35">
      <c r="A336" s="345" t="s">
        <v>1394</v>
      </c>
      <c r="B336" s="346" t="s">
        <v>1395</v>
      </c>
    </row>
    <row r="337" spans="1:2" ht="15.5" x14ac:dyDescent="0.35">
      <c r="A337" s="345" t="s">
        <v>1396</v>
      </c>
      <c r="B337" s="346" t="s">
        <v>1397</v>
      </c>
    </row>
    <row r="338" spans="1:2" ht="15.5" x14ac:dyDescent="0.35">
      <c r="A338" s="345" t="s">
        <v>1398</v>
      </c>
      <c r="B338" s="346" t="s">
        <v>1399</v>
      </c>
    </row>
    <row r="339" spans="1:2" ht="15.5" x14ac:dyDescent="0.35">
      <c r="A339" s="345" t="s">
        <v>1400</v>
      </c>
      <c r="B339" s="346" t="s">
        <v>1401</v>
      </c>
    </row>
    <row r="340" spans="1:2" ht="15.5" x14ac:dyDescent="0.35">
      <c r="A340" s="345" t="s">
        <v>1402</v>
      </c>
      <c r="B340" s="346" t="s">
        <v>1403</v>
      </c>
    </row>
    <row r="341" spans="1:2" ht="15.5" x14ac:dyDescent="0.35">
      <c r="A341" s="345" t="s">
        <v>1404</v>
      </c>
      <c r="B341" s="346" t="s">
        <v>1405</v>
      </c>
    </row>
    <row r="342" spans="1:2" ht="15.5" x14ac:dyDescent="0.35">
      <c r="A342" s="345" t="s">
        <v>1406</v>
      </c>
      <c r="B342" s="346" t="s">
        <v>1407</v>
      </c>
    </row>
    <row r="343" spans="1:2" ht="15.5" x14ac:dyDescent="0.35">
      <c r="A343" s="345" t="s">
        <v>1408</v>
      </c>
      <c r="B343" s="346" t="s">
        <v>1409</v>
      </c>
    </row>
    <row r="344" spans="1:2" ht="15.5" x14ac:dyDescent="0.35">
      <c r="A344" s="345" t="s">
        <v>1410</v>
      </c>
      <c r="B344" s="346" t="s">
        <v>1411</v>
      </c>
    </row>
    <row r="345" spans="1:2" ht="15.5" x14ac:dyDescent="0.35">
      <c r="A345" s="345" t="s">
        <v>1412</v>
      </c>
      <c r="B345" s="346" t="s">
        <v>1413</v>
      </c>
    </row>
    <row r="346" spans="1:2" ht="15.5" x14ac:dyDescent="0.35">
      <c r="A346" s="345" t="s">
        <v>299</v>
      </c>
      <c r="B346" s="346" t="s">
        <v>1414</v>
      </c>
    </row>
    <row r="347" spans="1:2" ht="15.5" x14ac:dyDescent="0.35">
      <c r="A347" s="345" t="s">
        <v>287</v>
      </c>
      <c r="B347" s="346" t="s">
        <v>1415</v>
      </c>
    </row>
    <row r="348" spans="1:2" ht="15.5" x14ac:dyDescent="0.35">
      <c r="A348" s="345" t="s">
        <v>288</v>
      </c>
      <c r="B348" s="346" t="s">
        <v>1416</v>
      </c>
    </row>
    <row r="349" spans="1:2" ht="15.5" x14ac:dyDescent="0.35">
      <c r="A349" s="345" t="s">
        <v>1417</v>
      </c>
      <c r="B349" s="346" t="s">
        <v>1418</v>
      </c>
    </row>
    <row r="350" spans="1:2" ht="15.5" x14ac:dyDescent="0.35">
      <c r="A350" s="345" t="s">
        <v>294</v>
      </c>
      <c r="B350" s="346" t="s">
        <v>1419</v>
      </c>
    </row>
    <row r="351" spans="1:2" ht="15.5" x14ac:dyDescent="0.35">
      <c r="A351" s="345" t="s">
        <v>116</v>
      </c>
      <c r="B351" s="346" t="s">
        <v>1420</v>
      </c>
    </row>
    <row r="352" spans="1:2" ht="15.5" x14ac:dyDescent="0.35">
      <c r="A352" s="345" t="s">
        <v>1421</v>
      </c>
      <c r="B352" s="346" t="s">
        <v>1422</v>
      </c>
    </row>
    <row r="353" spans="1:2" ht="15.5" x14ac:dyDescent="0.35">
      <c r="A353" s="345" t="s">
        <v>289</v>
      </c>
      <c r="B353" s="346" t="s">
        <v>1423</v>
      </c>
    </row>
    <row r="354" spans="1:2" ht="15.5" x14ac:dyDescent="0.35">
      <c r="A354" s="345" t="s">
        <v>1424</v>
      </c>
      <c r="B354" s="346" t="s">
        <v>1425</v>
      </c>
    </row>
    <row r="355" spans="1:2" ht="15.5" x14ac:dyDescent="0.35">
      <c r="A355" s="345" t="s">
        <v>1426</v>
      </c>
      <c r="B355" s="346" t="s">
        <v>1427</v>
      </c>
    </row>
    <row r="356" spans="1:2" ht="15.5" x14ac:dyDescent="0.35">
      <c r="A356" s="345" t="s">
        <v>1428</v>
      </c>
      <c r="B356" s="346" t="s">
        <v>1429</v>
      </c>
    </row>
    <row r="357" spans="1:2" ht="15.5" x14ac:dyDescent="0.35">
      <c r="A357" s="345" t="s">
        <v>290</v>
      </c>
      <c r="B357" s="346" t="s">
        <v>1430</v>
      </c>
    </row>
    <row r="358" spans="1:2" ht="15.5" x14ac:dyDescent="0.35">
      <c r="A358" s="345" t="s">
        <v>1431</v>
      </c>
      <c r="B358" s="346" t="s">
        <v>1432</v>
      </c>
    </row>
    <row r="359" spans="1:2" ht="15.5" x14ac:dyDescent="0.35">
      <c r="A359" s="345" t="s">
        <v>1433</v>
      </c>
      <c r="B359" s="346" t="s">
        <v>1434</v>
      </c>
    </row>
    <row r="360" spans="1:2" ht="15.5" x14ac:dyDescent="0.35">
      <c r="A360" s="345" t="s">
        <v>1435</v>
      </c>
      <c r="B360" s="346" t="s">
        <v>1436</v>
      </c>
    </row>
    <row r="361" spans="1:2" ht="15.5" x14ac:dyDescent="0.35">
      <c r="A361" s="345" t="s">
        <v>1437</v>
      </c>
      <c r="B361" s="346" t="s">
        <v>1438</v>
      </c>
    </row>
    <row r="362" spans="1:2" ht="15.5" x14ac:dyDescent="0.35">
      <c r="A362" s="345" t="s">
        <v>1439</v>
      </c>
      <c r="B362" s="346" t="s">
        <v>1440</v>
      </c>
    </row>
    <row r="363" spans="1:2" ht="15.5" x14ac:dyDescent="0.35">
      <c r="A363" s="345" t="s">
        <v>1441</v>
      </c>
      <c r="B363" s="346" t="s">
        <v>1442</v>
      </c>
    </row>
    <row r="364" spans="1:2" ht="15.5" x14ac:dyDescent="0.35">
      <c r="A364" s="345" t="s">
        <v>1443</v>
      </c>
      <c r="B364" s="346" t="s">
        <v>1444</v>
      </c>
    </row>
    <row r="365" spans="1:2" ht="15.5" x14ac:dyDescent="0.35">
      <c r="A365" s="345" t="s">
        <v>1445</v>
      </c>
      <c r="B365" s="346" t="s">
        <v>1446</v>
      </c>
    </row>
    <row r="366" spans="1:2" ht="15.5" x14ac:dyDescent="0.35">
      <c r="A366" s="345" t="s">
        <v>1447</v>
      </c>
      <c r="B366" s="346" t="s">
        <v>1448</v>
      </c>
    </row>
    <row r="367" spans="1:2" ht="15.5" x14ac:dyDescent="0.35">
      <c r="A367" s="345" t="s">
        <v>1449</v>
      </c>
      <c r="B367" s="346" t="s">
        <v>1450</v>
      </c>
    </row>
    <row r="368" spans="1:2" ht="15.5" x14ac:dyDescent="0.35">
      <c r="A368" s="345" t="s">
        <v>1451</v>
      </c>
      <c r="B368" s="346" t="s">
        <v>1452</v>
      </c>
    </row>
    <row r="369" spans="1:2" ht="15.5" x14ac:dyDescent="0.35">
      <c r="A369" s="345" t="s">
        <v>1453</v>
      </c>
      <c r="B369" s="346" t="s">
        <v>1454</v>
      </c>
    </row>
    <row r="370" spans="1:2" ht="15.5" x14ac:dyDescent="0.35">
      <c r="A370" s="345" t="s">
        <v>1455</v>
      </c>
      <c r="B370" s="346" t="s">
        <v>1456</v>
      </c>
    </row>
    <row r="371" spans="1:2" ht="15.5" x14ac:dyDescent="0.35">
      <c r="A371" s="345" t="s">
        <v>1457</v>
      </c>
      <c r="B371" s="346" t="s">
        <v>1458</v>
      </c>
    </row>
    <row r="372" spans="1:2" ht="15.5" x14ac:dyDescent="0.35">
      <c r="A372" s="345" t="s">
        <v>1459</v>
      </c>
      <c r="B372" s="346" t="s">
        <v>1460</v>
      </c>
    </row>
    <row r="373" spans="1:2" ht="15.5" x14ac:dyDescent="0.35">
      <c r="A373" s="345" t="s">
        <v>1461</v>
      </c>
      <c r="B373" s="346" t="s">
        <v>1462</v>
      </c>
    </row>
    <row r="374" spans="1:2" ht="15.5" x14ac:dyDescent="0.35">
      <c r="A374" s="345" t="s">
        <v>1463</v>
      </c>
      <c r="B374" s="346" t="s">
        <v>1464</v>
      </c>
    </row>
    <row r="375" spans="1:2" ht="15.5" x14ac:dyDescent="0.35">
      <c r="A375" s="345" t="s">
        <v>1465</v>
      </c>
      <c r="B375" s="346" t="s">
        <v>1466</v>
      </c>
    </row>
    <row r="376" spans="1:2" ht="15.5" x14ac:dyDescent="0.35">
      <c r="A376" s="345" t="s">
        <v>1467</v>
      </c>
      <c r="B376" s="346" t="s">
        <v>1468</v>
      </c>
    </row>
    <row r="377" spans="1:2" ht="15.5" x14ac:dyDescent="0.35">
      <c r="A377" s="345" t="s">
        <v>1469</v>
      </c>
      <c r="B377" s="346" t="s">
        <v>1470</v>
      </c>
    </row>
    <row r="378" spans="1:2" ht="15.5" x14ac:dyDescent="0.35">
      <c r="A378" s="345" t="s">
        <v>1471</v>
      </c>
      <c r="B378" s="346" t="s">
        <v>1472</v>
      </c>
    </row>
    <row r="379" spans="1:2" ht="15.5" x14ac:dyDescent="0.35">
      <c r="A379" s="345" t="s">
        <v>1473</v>
      </c>
      <c r="B379" s="346" t="s">
        <v>1474</v>
      </c>
    </row>
    <row r="380" spans="1:2" ht="15.5" x14ac:dyDescent="0.35">
      <c r="A380" s="345" t="s">
        <v>1475</v>
      </c>
      <c r="B380" s="346" t="s">
        <v>1476</v>
      </c>
    </row>
    <row r="381" spans="1:2" ht="15.5" x14ac:dyDescent="0.35">
      <c r="A381" s="345" t="s">
        <v>1477</v>
      </c>
      <c r="B381" s="346" t="s">
        <v>1478</v>
      </c>
    </row>
    <row r="382" spans="1:2" ht="15.5" x14ac:dyDescent="0.35">
      <c r="A382" s="345" t="s">
        <v>1479</v>
      </c>
      <c r="B382" s="346" t="s">
        <v>1480</v>
      </c>
    </row>
    <row r="383" spans="1:2" ht="15.5" x14ac:dyDescent="0.35">
      <c r="A383" s="345" t="s">
        <v>1481</v>
      </c>
      <c r="B383" s="346" t="s">
        <v>1482</v>
      </c>
    </row>
    <row r="384" spans="1:2" ht="15.5" x14ac:dyDescent="0.35">
      <c r="A384" s="345" t="s">
        <v>1483</v>
      </c>
      <c r="B384" s="346" t="s">
        <v>1484</v>
      </c>
    </row>
    <row r="385" spans="1:2" ht="15.5" x14ac:dyDescent="0.35">
      <c r="A385" s="345" t="s">
        <v>1485</v>
      </c>
      <c r="B385" s="346" t="s">
        <v>1486</v>
      </c>
    </row>
    <row r="386" spans="1:2" ht="15.5" x14ac:dyDescent="0.35">
      <c r="A386" s="345" t="s">
        <v>1487</v>
      </c>
      <c r="B386" s="346" t="s">
        <v>1488</v>
      </c>
    </row>
    <row r="387" spans="1:2" ht="15.5" x14ac:dyDescent="0.35">
      <c r="A387" s="345" t="s">
        <v>121</v>
      </c>
      <c r="B387" s="346" t="s">
        <v>1489</v>
      </c>
    </row>
    <row r="388" spans="1:2" ht="15.5" x14ac:dyDescent="0.35">
      <c r="A388" s="345" t="s">
        <v>1490</v>
      </c>
      <c r="B388" s="346" t="s">
        <v>1491</v>
      </c>
    </row>
    <row r="389" spans="1:2" ht="15.5" x14ac:dyDescent="0.35">
      <c r="A389" s="345" t="s">
        <v>114</v>
      </c>
      <c r="B389" s="346" t="s">
        <v>291</v>
      </c>
    </row>
    <row r="390" spans="1:2" ht="15.5" x14ac:dyDescent="0.35">
      <c r="A390" s="345" t="s">
        <v>1492</v>
      </c>
      <c r="B390" s="346" t="s">
        <v>1493</v>
      </c>
    </row>
    <row r="391" spans="1:2" ht="15.5" x14ac:dyDescent="0.35">
      <c r="A391" s="345" t="s">
        <v>1494</v>
      </c>
      <c r="B391" s="346" t="s">
        <v>1495</v>
      </c>
    </row>
    <row r="392" spans="1:2" ht="15.5" x14ac:dyDescent="0.35">
      <c r="A392" s="345" t="s">
        <v>1496</v>
      </c>
      <c r="B392" s="346" t="s">
        <v>1497</v>
      </c>
    </row>
    <row r="393" spans="1:2" ht="15.5" x14ac:dyDescent="0.35">
      <c r="A393" s="345" t="s">
        <v>1498</v>
      </c>
      <c r="B393" s="346" t="s">
        <v>1499</v>
      </c>
    </row>
    <row r="394" spans="1:2" ht="15.5" x14ac:dyDescent="0.35">
      <c r="A394" s="345" t="s">
        <v>112</v>
      </c>
      <c r="B394" s="346" t="s">
        <v>1500</v>
      </c>
    </row>
    <row r="395" spans="1:2" ht="15.5" x14ac:dyDescent="0.35">
      <c r="A395" s="345" t="s">
        <v>292</v>
      </c>
      <c r="B395" s="346" t="s">
        <v>1501</v>
      </c>
    </row>
    <row r="396" spans="1:2" ht="15.5" x14ac:dyDescent="0.35">
      <c r="A396" s="345" t="s">
        <v>1502</v>
      </c>
      <c r="B396" s="346" t="s">
        <v>1503</v>
      </c>
    </row>
    <row r="397" spans="1:2" ht="15.5" x14ac:dyDescent="0.35">
      <c r="A397" s="345" t="s">
        <v>1504</v>
      </c>
      <c r="B397" s="346" t="s">
        <v>1505</v>
      </c>
    </row>
    <row r="398" spans="1:2" ht="15.5" x14ac:dyDescent="0.35">
      <c r="A398" s="345" t="s">
        <v>118</v>
      </c>
      <c r="B398" s="346" t="s">
        <v>1506</v>
      </c>
    </row>
    <row r="399" spans="1:2" ht="15.5" x14ac:dyDescent="0.35">
      <c r="A399" s="345" t="s">
        <v>1507</v>
      </c>
      <c r="B399" s="346" t="s">
        <v>1508</v>
      </c>
    </row>
    <row r="400" spans="1:2" ht="15.5" x14ac:dyDescent="0.35">
      <c r="A400" s="345" t="s">
        <v>1509</v>
      </c>
      <c r="B400" s="346" t="s">
        <v>1510</v>
      </c>
    </row>
    <row r="401" spans="1:2" ht="15.5" x14ac:dyDescent="0.35">
      <c r="A401" s="345" t="s">
        <v>1511</v>
      </c>
      <c r="B401" s="346" t="s">
        <v>1512</v>
      </c>
    </row>
    <row r="402" spans="1:2" ht="15.5" x14ac:dyDescent="0.35">
      <c r="A402" s="345" t="s">
        <v>300</v>
      </c>
      <c r="B402" s="346" t="s">
        <v>1513</v>
      </c>
    </row>
    <row r="403" spans="1:2" ht="15.5" x14ac:dyDescent="0.35">
      <c r="A403" s="345" t="s">
        <v>301</v>
      </c>
      <c r="B403" s="346" t="s">
        <v>1514</v>
      </c>
    </row>
    <row r="404" spans="1:2" ht="15.5" x14ac:dyDescent="0.35">
      <c r="A404" s="345" t="s">
        <v>1515</v>
      </c>
      <c r="B404" s="346" t="s">
        <v>1516</v>
      </c>
    </row>
    <row r="405" spans="1:2" ht="15.5" x14ac:dyDescent="0.35">
      <c r="A405" s="345" t="s">
        <v>1517</v>
      </c>
      <c r="B405" s="346" t="s">
        <v>1518</v>
      </c>
    </row>
    <row r="406" spans="1:2" ht="15.5" x14ac:dyDescent="0.35">
      <c r="A406" s="345" t="s">
        <v>1519</v>
      </c>
      <c r="B406" s="346" t="s">
        <v>1520</v>
      </c>
    </row>
    <row r="407" spans="1:2" ht="15.5" x14ac:dyDescent="0.35">
      <c r="A407" s="345" t="s">
        <v>1521</v>
      </c>
      <c r="B407" s="346" t="s">
        <v>1522</v>
      </c>
    </row>
    <row r="408" spans="1:2" ht="15.5" x14ac:dyDescent="0.35">
      <c r="A408" s="345" t="s">
        <v>1523</v>
      </c>
      <c r="B408" s="346" t="s">
        <v>869</v>
      </c>
    </row>
    <row r="409" spans="1:2" ht="15.5" x14ac:dyDescent="0.35">
      <c r="A409" s="345" t="s">
        <v>1524</v>
      </c>
      <c r="B409" s="346" t="s">
        <v>1525</v>
      </c>
    </row>
    <row r="410" spans="1:2" ht="15.5" x14ac:dyDescent="0.35">
      <c r="A410" s="345" t="s">
        <v>1526</v>
      </c>
      <c r="B410" s="346" t="s">
        <v>1527</v>
      </c>
    </row>
    <row r="411" spans="1:2" ht="15.5" x14ac:dyDescent="0.35">
      <c r="A411" s="345" t="s">
        <v>1528</v>
      </c>
      <c r="B411" s="346" t="s">
        <v>1529</v>
      </c>
    </row>
    <row r="412" spans="1:2" ht="15.5" x14ac:dyDescent="0.35">
      <c r="A412" s="345" t="s">
        <v>1530</v>
      </c>
      <c r="B412" s="346" t="s">
        <v>1531</v>
      </c>
    </row>
    <row r="413" spans="1:2" ht="15.5" x14ac:dyDescent="0.35">
      <c r="A413" s="345" t="s">
        <v>1532</v>
      </c>
      <c r="B413" s="346" t="s">
        <v>1533</v>
      </c>
    </row>
    <row r="414" spans="1:2" ht="15.5" x14ac:dyDescent="0.35">
      <c r="A414" s="345" t="s">
        <v>1534</v>
      </c>
      <c r="B414" s="346" t="s">
        <v>1535</v>
      </c>
    </row>
    <row r="415" spans="1:2" ht="15.5" x14ac:dyDescent="0.35">
      <c r="A415" s="345" t="s">
        <v>1536</v>
      </c>
      <c r="B415" s="346" t="s">
        <v>1537</v>
      </c>
    </row>
    <row r="416" spans="1:2" ht="15.5" x14ac:dyDescent="0.35">
      <c r="A416" s="345" t="s">
        <v>1538</v>
      </c>
      <c r="B416" s="346" t="s">
        <v>1539</v>
      </c>
    </row>
    <row r="417" spans="1:2" ht="15.5" x14ac:dyDescent="0.35">
      <c r="A417" s="345" t="s">
        <v>1540</v>
      </c>
      <c r="B417" s="346" t="s">
        <v>1541</v>
      </c>
    </row>
    <row r="418" spans="1:2" ht="15.5" x14ac:dyDescent="0.35">
      <c r="A418" s="345" t="s">
        <v>1542</v>
      </c>
      <c r="B418" s="346" t="s">
        <v>1543</v>
      </c>
    </row>
    <row r="419" spans="1:2" ht="15.5" x14ac:dyDescent="0.35">
      <c r="A419" s="345" t="s">
        <v>1544</v>
      </c>
      <c r="B419" s="346" t="s">
        <v>1545</v>
      </c>
    </row>
    <row r="420" spans="1:2" ht="15.5" x14ac:dyDescent="0.35">
      <c r="A420" s="345" t="s">
        <v>1546</v>
      </c>
      <c r="B420" s="346" t="s">
        <v>1547</v>
      </c>
    </row>
    <row r="421" spans="1:2" ht="15.5" x14ac:dyDescent="0.35">
      <c r="A421" s="345" t="s">
        <v>1548</v>
      </c>
      <c r="B421" s="346" t="s">
        <v>1549</v>
      </c>
    </row>
    <row r="422" spans="1:2" ht="15.5" x14ac:dyDescent="0.35">
      <c r="A422" s="345" t="s">
        <v>1550</v>
      </c>
      <c r="B422" s="346" t="s">
        <v>1551</v>
      </c>
    </row>
    <row r="423" spans="1:2" ht="15.5" x14ac:dyDescent="0.35">
      <c r="A423" s="345" t="s">
        <v>1552</v>
      </c>
      <c r="B423" s="346" t="s">
        <v>1553</v>
      </c>
    </row>
    <row r="424" spans="1:2" ht="15.5" x14ac:dyDescent="0.35">
      <c r="A424" s="345" t="s">
        <v>1554</v>
      </c>
      <c r="B424" s="346" t="s">
        <v>1555</v>
      </c>
    </row>
    <row r="425" spans="1:2" ht="15.5" x14ac:dyDescent="0.35">
      <c r="A425" s="345" t="s">
        <v>1556</v>
      </c>
      <c r="B425" s="346" t="s">
        <v>1557</v>
      </c>
    </row>
    <row r="426" spans="1:2" ht="15.5" x14ac:dyDescent="0.35">
      <c r="A426" s="345" t="s">
        <v>1558</v>
      </c>
      <c r="B426" s="346" t="s">
        <v>1559</v>
      </c>
    </row>
    <row r="427" spans="1:2" ht="15.5" x14ac:dyDescent="0.35">
      <c r="A427" s="345" t="s">
        <v>1560</v>
      </c>
      <c r="B427" s="346" t="s">
        <v>1561</v>
      </c>
    </row>
    <row r="428" spans="1:2" ht="15.5" x14ac:dyDescent="0.35">
      <c r="A428" s="345" t="s">
        <v>1562</v>
      </c>
      <c r="B428" s="346" t="s">
        <v>1563</v>
      </c>
    </row>
    <row r="429" spans="1:2" ht="15.5" x14ac:dyDescent="0.35">
      <c r="A429" s="345" t="s">
        <v>1564</v>
      </c>
      <c r="B429" s="346" t="s">
        <v>1565</v>
      </c>
    </row>
    <row r="430" spans="1:2" ht="15.5" x14ac:dyDescent="0.35">
      <c r="A430" s="345" t="s">
        <v>1566</v>
      </c>
      <c r="B430" s="346" t="s">
        <v>1567</v>
      </c>
    </row>
    <row r="431" spans="1:2" ht="15.5" x14ac:dyDescent="0.35">
      <c r="A431" s="345" t="s">
        <v>1568</v>
      </c>
      <c r="B431" s="346" t="s">
        <v>1569</v>
      </c>
    </row>
    <row r="432" spans="1:2" ht="15.5" x14ac:dyDescent="0.35">
      <c r="A432" s="345" t="s">
        <v>1570</v>
      </c>
      <c r="B432" s="346" t="s">
        <v>1571</v>
      </c>
    </row>
    <row r="433" spans="1:2" ht="15.5" x14ac:dyDescent="0.35">
      <c r="A433" s="345" t="s">
        <v>1572</v>
      </c>
      <c r="B433" s="346" t="s">
        <v>889</v>
      </c>
    </row>
    <row r="434" spans="1:2" ht="15.5" x14ac:dyDescent="0.35">
      <c r="A434" s="345" t="s">
        <v>1573</v>
      </c>
      <c r="B434" s="346" t="s">
        <v>1574</v>
      </c>
    </row>
    <row r="435" spans="1:2" ht="15.5" x14ac:dyDescent="0.35">
      <c r="A435" s="345" t="s">
        <v>1575</v>
      </c>
      <c r="B435" s="346" t="s">
        <v>1576</v>
      </c>
    </row>
    <row r="436" spans="1:2" ht="15.5" x14ac:dyDescent="0.35">
      <c r="A436" s="345" t="s">
        <v>1577</v>
      </c>
      <c r="B436" s="346" t="s">
        <v>1578</v>
      </c>
    </row>
    <row r="437" spans="1:2" ht="15.5" x14ac:dyDescent="0.35">
      <c r="A437" s="345" t="s">
        <v>1579</v>
      </c>
      <c r="B437" s="346" t="s">
        <v>1580</v>
      </c>
    </row>
    <row r="438" spans="1:2" ht="15.5" x14ac:dyDescent="0.35">
      <c r="A438" s="345" t="s">
        <v>1581</v>
      </c>
      <c r="B438" s="346" t="s">
        <v>1582</v>
      </c>
    </row>
    <row r="439" spans="1:2" ht="15.5" x14ac:dyDescent="0.35">
      <c r="A439" s="345" t="s">
        <v>1583</v>
      </c>
      <c r="B439" s="346" t="s">
        <v>1584</v>
      </c>
    </row>
    <row r="440" spans="1:2" ht="15.5" x14ac:dyDescent="0.35">
      <c r="A440" s="345" t="s">
        <v>1585</v>
      </c>
      <c r="B440" s="346" t="s">
        <v>1586</v>
      </c>
    </row>
    <row r="441" spans="1:2" ht="15.5" x14ac:dyDescent="0.35">
      <c r="A441" s="345" t="s">
        <v>1587</v>
      </c>
      <c r="B441" s="346" t="s">
        <v>1588</v>
      </c>
    </row>
    <row r="442" spans="1:2" ht="15.5" x14ac:dyDescent="0.35">
      <c r="A442" s="345" t="s">
        <v>1589</v>
      </c>
      <c r="B442" s="346" t="s">
        <v>1590</v>
      </c>
    </row>
    <row r="443" spans="1:2" ht="15.5" x14ac:dyDescent="0.35">
      <c r="A443" s="345" t="s">
        <v>1591</v>
      </c>
      <c r="B443" s="346" t="s">
        <v>1592</v>
      </c>
    </row>
    <row r="444" spans="1:2" ht="15.5" x14ac:dyDescent="0.35">
      <c r="A444" s="345" t="s">
        <v>1593</v>
      </c>
      <c r="B444" s="346" t="s">
        <v>1594</v>
      </c>
    </row>
    <row r="445" spans="1:2" ht="15.5" x14ac:dyDescent="0.35">
      <c r="A445" s="345" t="s">
        <v>1595</v>
      </c>
      <c r="B445" s="346" t="s">
        <v>1596</v>
      </c>
    </row>
    <row r="446" spans="1:2" ht="15.5" x14ac:dyDescent="0.35">
      <c r="A446" s="345" t="s">
        <v>1597</v>
      </c>
      <c r="B446" s="346" t="s">
        <v>1598</v>
      </c>
    </row>
    <row r="447" spans="1:2" ht="15.5" x14ac:dyDescent="0.35">
      <c r="A447" s="345" t="s">
        <v>1599</v>
      </c>
      <c r="B447" s="346" t="s">
        <v>1600</v>
      </c>
    </row>
    <row r="448" spans="1:2" ht="15.5" x14ac:dyDescent="0.35">
      <c r="A448" s="345" t="s">
        <v>1601</v>
      </c>
      <c r="B448" s="346" t="s">
        <v>1602</v>
      </c>
    </row>
    <row r="449" spans="1:2" ht="15.5" x14ac:dyDescent="0.35">
      <c r="A449" s="345" t="s">
        <v>1603</v>
      </c>
      <c r="B449" s="346" t="s">
        <v>1604</v>
      </c>
    </row>
    <row r="450" spans="1:2" ht="15.5" x14ac:dyDescent="0.35">
      <c r="A450" s="345" t="s">
        <v>1605</v>
      </c>
      <c r="B450" s="346" t="s">
        <v>1606</v>
      </c>
    </row>
    <row r="451" spans="1:2" ht="15.5" x14ac:dyDescent="0.35">
      <c r="A451" s="345" t="s">
        <v>1607</v>
      </c>
      <c r="B451" s="346" t="s">
        <v>1608</v>
      </c>
    </row>
    <row r="452" spans="1:2" ht="15.5" x14ac:dyDescent="0.35">
      <c r="A452" s="345" t="s">
        <v>1609</v>
      </c>
      <c r="B452" s="346" t="s">
        <v>1610</v>
      </c>
    </row>
    <row r="453" spans="1:2" ht="15.5" x14ac:dyDescent="0.35">
      <c r="A453" s="345" t="s">
        <v>1611</v>
      </c>
      <c r="B453" s="346" t="s">
        <v>1612</v>
      </c>
    </row>
    <row r="454" spans="1:2" ht="15.5" x14ac:dyDescent="0.35">
      <c r="A454" s="345" t="s">
        <v>1613</v>
      </c>
      <c r="B454" s="346" t="s">
        <v>1614</v>
      </c>
    </row>
    <row r="455" spans="1:2" ht="15.5" x14ac:dyDescent="0.35">
      <c r="A455" s="345" t="s">
        <v>1615</v>
      </c>
      <c r="B455" s="346" t="s">
        <v>1616</v>
      </c>
    </row>
    <row r="456" spans="1:2" ht="15.5" x14ac:dyDescent="0.35">
      <c r="A456" s="345" t="s">
        <v>1617</v>
      </c>
      <c r="B456" s="346" t="s">
        <v>1618</v>
      </c>
    </row>
    <row r="457" spans="1:2" ht="15.5" x14ac:dyDescent="0.35">
      <c r="A457" s="345"/>
      <c r="B457" s="346"/>
    </row>
    <row r="458" spans="1:2" ht="15.5" x14ac:dyDescent="0.35">
      <c r="A458" s="345"/>
      <c r="B458" s="346"/>
    </row>
    <row r="459" spans="1:2" ht="15.5" x14ac:dyDescent="0.35">
      <c r="A459" s="345"/>
      <c r="B459" s="346"/>
    </row>
    <row r="460" spans="1:2" ht="15.5" x14ac:dyDescent="0.35">
      <c r="A460" s="345"/>
      <c r="B460" s="346"/>
    </row>
    <row r="461" spans="1:2" ht="15.5" x14ac:dyDescent="0.35">
      <c r="A461" s="345"/>
      <c r="B461" s="346"/>
    </row>
    <row r="462" spans="1:2" ht="15.5" x14ac:dyDescent="0.35">
      <c r="A462" s="345"/>
      <c r="B462" s="346"/>
    </row>
    <row r="463" spans="1:2" ht="15.5" x14ac:dyDescent="0.35">
      <c r="A463" s="345"/>
      <c r="B463" s="346"/>
    </row>
    <row r="464" spans="1:2" ht="15.5" x14ac:dyDescent="0.35">
      <c r="A464" s="345"/>
      <c r="B464" s="346"/>
    </row>
    <row r="465" spans="1:2" ht="15.5" x14ac:dyDescent="0.35">
      <c r="A465" s="345"/>
      <c r="B465" s="346"/>
    </row>
    <row r="466" spans="1:2" ht="15.5" x14ac:dyDescent="0.35">
      <c r="A466" s="345"/>
      <c r="B466" s="346"/>
    </row>
    <row r="467" spans="1:2" ht="15.5" x14ac:dyDescent="0.35">
      <c r="A467" s="345"/>
      <c r="B467" s="346"/>
    </row>
    <row r="468" spans="1:2" ht="15.5" x14ac:dyDescent="0.35">
      <c r="A468" s="345"/>
      <c r="B468" s="346"/>
    </row>
    <row r="469" spans="1:2" ht="15.5" x14ac:dyDescent="0.35">
      <c r="A469" s="345"/>
      <c r="B469" s="346"/>
    </row>
    <row r="470" spans="1:2" ht="15.5" x14ac:dyDescent="0.35">
      <c r="A470" s="345"/>
      <c r="B470" s="346"/>
    </row>
    <row r="471" spans="1:2" ht="15.5" x14ac:dyDescent="0.35">
      <c r="A471" s="345"/>
      <c r="B471" s="346"/>
    </row>
    <row r="472" spans="1:2" ht="15.5" x14ac:dyDescent="0.35">
      <c r="A472" s="345"/>
      <c r="B472" s="346"/>
    </row>
    <row r="473" spans="1:2" ht="15.5" x14ac:dyDescent="0.35">
      <c r="A473" s="345"/>
      <c r="B473" s="346"/>
    </row>
    <row r="474" spans="1:2" ht="15.5" x14ac:dyDescent="0.35">
      <c r="A474" s="345"/>
      <c r="B474" s="346"/>
    </row>
    <row r="475" spans="1:2" ht="15.5" x14ac:dyDescent="0.35">
      <c r="A475" s="345"/>
      <c r="B475" s="346"/>
    </row>
    <row r="476" spans="1:2" ht="15.5" x14ac:dyDescent="0.35">
      <c r="A476" s="345"/>
      <c r="B476" s="346"/>
    </row>
    <row r="477" spans="1:2" ht="15.5" x14ac:dyDescent="0.35">
      <c r="A477" s="345"/>
      <c r="B477" s="346"/>
    </row>
    <row r="478" spans="1:2" ht="15.5" x14ac:dyDescent="0.35">
      <c r="A478" s="345"/>
      <c r="B478" s="346"/>
    </row>
    <row r="479" spans="1:2" ht="15.5" x14ac:dyDescent="0.35">
      <c r="A479" s="345"/>
      <c r="B479" s="346"/>
    </row>
    <row r="480" spans="1:2" ht="15.5" x14ac:dyDescent="0.35">
      <c r="A480" s="345"/>
      <c r="B480" s="346"/>
    </row>
    <row r="481" spans="1:2" ht="15.5" x14ac:dyDescent="0.35">
      <c r="A481" s="345"/>
      <c r="B481" s="346"/>
    </row>
    <row r="482" spans="1:2" ht="15.5" x14ac:dyDescent="0.35">
      <c r="A482" s="345"/>
      <c r="B482" s="346"/>
    </row>
    <row r="483" spans="1:2" ht="15.5" x14ac:dyDescent="0.35">
      <c r="A483" s="345"/>
      <c r="B483" s="346"/>
    </row>
    <row r="484" spans="1:2" ht="15.5" x14ac:dyDescent="0.35">
      <c r="A484" s="345"/>
      <c r="B484" s="346"/>
    </row>
    <row r="485" spans="1:2" ht="15.5" x14ac:dyDescent="0.35">
      <c r="A485" s="345"/>
      <c r="B485" s="346"/>
    </row>
    <row r="486" spans="1:2" ht="15.5" x14ac:dyDescent="0.35">
      <c r="A486" s="345"/>
      <c r="B486" s="346"/>
    </row>
    <row r="487" spans="1:2" ht="15.5" x14ac:dyDescent="0.35">
      <c r="A487" s="345"/>
      <c r="B487" s="346"/>
    </row>
    <row r="488" spans="1:2" ht="15.5" x14ac:dyDescent="0.35">
      <c r="A488" s="345"/>
      <c r="B488" s="346"/>
    </row>
    <row r="489" spans="1:2" ht="15.5" x14ac:dyDescent="0.35">
      <c r="A489" s="345"/>
      <c r="B489" s="346"/>
    </row>
    <row r="490" spans="1:2" ht="15.5" x14ac:dyDescent="0.35">
      <c r="A490" s="345"/>
      <c r="B490" s="346"/>
    </row>
    <row r="491" spans="1:2" ht="15.5" x14ac:dyDescent="0.35">
      <c r="A491" s="345"/>
      <c r="B491" s="346"/>
    </row>
    <row r="492" spans="1:2" ht="15.5" x14ac:dyDescent="0.35">
      <c r="A492" s="345"/>
      <c r="B492" s="346"/>
    </row>
    <row r="493" spans="1:2" ht="15.5" x14ac:dyDescent="0.35">
      <c r="A493" s="345"/>
      <c r="B493" s="346"/>
    </row>
    <row r="494" spans="1:2" ht="15.5" x14ac:dyDescent="0.35">
      <c r="A494" s="345"/>
      <c r="B494" s="346"/>
    </row>
    <row r="495" spans="1:2" ht="15.5" x14ac:dyDescent="0.35">
      <c r="A495" s="345"/>
      <c r="B495" s="346"/>
    </row>
    <row r="496" spans="1:2" ht="15.5" x14ac:dyDescent="0.35">
      <c r="A496" s="345"/>
      <c r="B496" s="346"/>
    </row>
    <row r="497" spans="1:2" ht="15.5" x14ac:dyDescent="0.35">
      <c r="A497" s="345"/>
      <c r="B497" s="346"/>
    </row>
    <row r="498" spans="1:2" ht="15.5" x14ac:dyDescent="0.35">
      <c r="A498" s="345"/>
      <c r="B498" s="346"/>
    </row>
    <row r="499" spans="1:2" ht="15.5" x14ac:dyDescent="0.35">
      <c r="A499" s="345"/>
      <c r="B499" s="346"/>
    </row>
    <row r="500" spans="1:2" ht="15.5" x14ac:dyDescent="0.35">
      <c r="A500" s="345"/>
      <c r="B500" s="346"/>
    </row>
    <row r="501" spans="1:2" ht="15.5" x14ac:dyDescent="0.35">
      <c r="A501" s="345"/>
      <c r="B501" s="346"/>
    </row>
    <row r="502" spans="1:2" ht="15.5" x14ac:dyDescent="0.35">
      <c r="A502" s="345"/>
      <c r="B502" s="346"/>
    </row>
    <row r="503" spans="1:2" ht="15.5" x14ac:dyDescent="0.35">
      <c r="A503" s="345"/>
      <c r="B503" s="346"/>
    </row>
    <row r="504" spans="1:2" ht="15.5" x14ac:dyDescent="0.35">
      <c r="A504" s="345"/>
      <c r="B504" s="346"/>
    </row>
    <row r="505" spans="1:2" ht="15.5" x14ac:dyDescent="0.35">
      <c r="A505" s="345"/>
      <c r="B505" s="346"/>
    </row>
    <row r="506" spans="1:2" ht="15.5" x14ac:dyDescent="0.35">
      <c r="A506" s="345"/>
      <c r="B506" s="346"/>
    </row>
    <row r="507" spans="1:2" ht="15.5" x14ac:dyDescent="0.35">
      <c r="A507" s="345"/>
      <c r="B507" s="346"/>
    </row>
    <row r="508" spans="1:2" ht="15.5" x14ac:dyDescent="0.35">
      <c r="A508" s="345"/>
      <c r="B508" s="346"/>
    </row>
    <row r="509" spans="1:2" ht="15.5" x14ac:dyDescent="0.35">
      <c r="A509" s="345"/>
      <c r="B509" s="346"/>
    </row>
    <row r="510" spans="1:2" ht="15.5" x14ac:dyDescent="0.35">
      <c r="A510" s="345"/>
      <c r="B510" s="346"/>
    </row>
    <row r="511" spans="1:2" ht="15.5" x14ac:dyDescent="0.35">
      <c r="A511" s="345"/>
      <c r="B511" s="346"/>
    </row>
    <row r="512" spans="1:2" ht="15.5" x14ac:dyDescent="0.35">
      <c r="A512" s="345"/>
      <c r="B512" s="346"/>
    </row>
    <row r="513" spans="1:2" ht="15.5" x14ac:dyDescent="0.35">
      <c r="A513" s="345"/>
      <c r="B513" s="346"/>
    </row>
    <row r="514" spans="1:2" ht="15.5" x14ac:dyDescent="0.35">
      <c r="A514" s="345"/>
      <c r="B514" s="346"/>
    </row>
    <row r="515" spans="1:2" ht="15.5" x14ac:dyDescent="0.35">
      <c r="A515" s="345"/>
      <c r="B515" s="346"/>
    </row>
    <row r="516" spans="1:2" ht="15.5" x14ac:dyDescent="0.35">
      <c r="A516" s="345"/>
      <c r="B516" s="346"/>
    </row>
    <row r="517" spans="1:2" ht="15.5" x14ac:dyDescent="0.35">
      <c r="A517" s="345"/>
      <c r="B517" s="346"/>
    </row>
    <row r="518" spans="1:2" ht="15.5" x14ac:dyDescent="0.35">
      <c r="A518" s="345"/>
      <c r="B518" s="346"/>
    </row>
    <row r="519" spans="1:2" ht="15.5" x14ac:dyDescent="0.35">
      <c r="A519" s="345"/>
      <c r="B519" s="346"/>
    </row>
    <row r="520" spans="1:2" ht="15.5" x14ac:dyDescent="0.35">
      <c r="A520" s="345"/>
      <c r="B520" s="346"/>
    </row>
    <row r="521" spans="1:2" ht="15.5" x14ac:dyDescent="0.35">
      <c r="A521" s="345"/>
      <c r="B521" s="346"/>
    </row>
    <row r="522" spans="1:2" ht="15.5" x14ac:dyDescent="0.35">
      <c r="A522" s="345"/>
      <c r="B522" s="346"/>
    </row>
    <row r="523" spans="1:2" ht="15.5" x14ac:dyDescent="0.35">
      <c r="A523" s="345"/>
      <c r="B523" s="346"/>
    </row>
    <row r="524" spans="1:2" ht="15.5" x14ac:dyDescent="0.35">
      <c r="A524" s="345"/>
      <c r="B524" s="346"/>
    </row>
    <row r="525" spans="1:2" ht="15.5" x14ac:dyDescent="0.35">
      <c r="A525" s="345"/>
      <c r="B525" s="346"/>
    </row>
    <row r="526" spans="1:2" ht="15.5" x14ac:dyDescent="0.35">
      <c r="A526" s="345"/>
      <c r="B526" s="346"/>
    </row>
    <row r="527" spans="1:2" ht="15.5" x14ac:dyDescent="0.35">
      <c r="A527" s="345"/>
      <c r="B527" s="346"/>
    </row>
    <row r="528" spans="1:2" ht="15.5" x14ac:dyDescent="0.35">
      <c r="A528" s="345"/>
      <c r="B528" s="346"/>
    </row>
    <row r="529" spans="1:2" ht="15.5" x14ac:dyDescent="0.35">
      <c r="A529" s="345"/>
      <c r="B529" s="346"/>
    </row>
    <row r="530" spans="1:2" ht="15.5" x14ac:dyDescent="0.35">
      <c r="A530" s="345"/>
      <c r="B530" s="346"/>
    </row>
    <row r="531" spans="1:2" ht="15.5" x14ac:dyDescent="0.35">
      <c r="A531" s="345"/>
      <c r="B531" s="346"/>
    </row>
    <row r="532" spans="1:2" ht="15.5" x14ac:dyDescent="0.35">
      <c r="A532" s="345"/>
      <c r="B532" s="346"/>
    </row>
    <row r="533" spans="1:2" ht="15.5" x14ac:dyDescent="0.35">
      <c r="A533" s="345"/>
      <c r="B533" s="346"/>
    </row>
    <row r="534" spans="1:2" ht="15.5" x14ac:dyDescent="0.35">
      <c r="A534" s="345"/>
      <c r="B534" s="346"/>
    </row>
    <row r="535" spans="1:2" ht="15.5" x14ac:dyDescent="0.35">
      <c r="A535" s="345"/>
      <c r="B535" s="346"/>
    </row>
    <row r="536" spans="1:2" ht="15.5" x14ac:dyDescent="0.35">
      <c r="A536" s="345"/>
      <c r="B536" s="346"/>
    </row>
    <row r="537" spans="1:2" ht="15.5" x14ac:dyDescent="0.35">
      <c r="A537" s="345"/>
      <c r="B537" s="346"/>
    </row>
    <row r="538" spans="1:2" ht="15.5" x14ac:dyDescent="0.35">
      <c r="A538" s="345"/>
      <c r="B538" s="346"/>
    </row>
    <row r="539" spans="1:2" ht="15.5" x14ac:dyDescent="0.35">
      <c r="A539" s="345"/>
      <c r="B539" s="346"/>
    </row>
    <row r="540" spans="1:2" ht="15.5" x14ac:dyDescent="0.35">
      <c r="A540" s="345"/>
      <c r="B540" s="346"/>
    </row>
    <row r="541" spans="1:2" ht="15.5" x14ac:dyDescent="0.35">
      <c r="A541" s="345"/>
      <c r="B541" s="346"/>
    </row>
    <row r="542" spans="1:2" ht="15.5" x14ac:dyDescent="0.35">
      <c r="A542" s="345"/>
      <c r="B542" s="346"/>
    </row>
    <row r="543" spans="1:2" ht="15.5" x14ac:dyDescent="0.35">
      <c r="A543" s="345"/>
      <c r="B543" s="346"/>
    </row>
    <row r="544" spans="1:2" ht="15.5" x14ac:dyDescent="0.35">
      <c r="A544" s="345"/>
      <c r="B544" s="346"/>
    </row>
    <row r="545" spans="1:2" ht="15.5" x14ac:dyDescent="0.35">
      <c r="A545" s="345"/>
      <c r="B545" s="346"/>
    </row>
    <row r="546" spans="1:2" ht="15.5" x14ac:dyDescent="0.35">
      <c r="A546" s="345"/>
      <c r="B546" s="346"/>
    </row>
    <row r="547" spans="1:2" ht="15.5" x14ac:dyDescent="0.35">
      <c r="A547" s="345"/>
      <c r="B547" s="346"/>
    </row>
    <row r="548" spans="1:2" ht="15.5" x14ac:dyDescent="0.35">
      <c r="A548" s="345"/>
      <c r="B548" s="346"/>
    </row>
    <row r="549" spans="1:2" ht="15.5" x14ac:dyDescent="0.35">
      <c r="A549" s="345"/>
      <c r="B549" s="346"/>
    </row>
    <row r="550" spans="1:2" ht="15.5" x14ac:dyDescent="0.35">
      <c r="A550" s="345"/>
      <c r="B550" s="346"/>
    </row>
    <row r="551" spans="1:2" ht="15.5" x14ac:dyDescent="0.35">
      <c r="A551" s="345"/>
      <c r="B551" s="346"/>
    </row>
    <row r="552" spans="1:2" ht="15.5" x14ac:dyDescent="0.35">
      <c r="A552" s="345"/>
      <c r="B552" s="346"/>
    </row>
    <row r="553" spans="1:2" ht="15.5" x14ac:dyDescent="0.35">
      <c r="A553" s="345"/>
      <c r="B553" s="346"/>
    </row>
    <row r="554" spans="1:2" ht="15.5" x14ac:dyDescent="0.35">
      <c r="A554" s="345"/>
      <c r="B554" s="346"/>
    </row>
    <row r="555" spans="1:2" ht="15.5" x14ac:dyDescent="0.35">
      <c r="A555" s="345"/>
      <c r="B555" s="346"/>
    </row>
    <row r="556" spans="1:2" ht="15.5" x14ac:dyDescent="0.35">
      <c r="A556" s="345"/>
      <c r="B556" s="346"/>
    </row>
    <row r="557" spans="1:2" ht="15.5" x14ac:dyDescent="0.35">
      <c r="A557" s="345"/>
      <c r="B557" s="346"/>
    </row>
    <row r="558" spans="1:2" ht="15.5" x14ac:dyDescent="0.35">
      <c r="A558" s="345"/>
      <c r="B558" s="346"/>
    </row>
    <row r="559" spans="1:2" ht="15.5" x14ac:dyDescent="0.35">
      <c r="A559" s="345"/>
      <c r="B559" s="346"/>
    </row>
    <row r="560" spans="1:2" ht="15.5" x14ac:dyDescent="0.35">
      <c r="A560" s="345"/>
      <c r="B560" s="346"/>
    </row>
    <row r="561" spans="1:2" ht="15.5" x14ac:dyDescent="0.35">
      <c r="A561" s="345"/>
      <c r="B561" s="346"/>
    </row>
    <row r="562" spans="1:2" ht="15.5" x14ac:dyDescent="0.35">
      <c r="A562" s="345"/>
      <c r="B562" s="346"/>
    </row>
    <row r="563" spans="1:2" ht="15.5" x14ac:dyDescent="0.35">
      <c r="A563" s="345"/>
      <c r="B563" s="346"/>
    </row>
    <row r="564" spans="1:2" ht="15.5" x14ac:dyDescent="0.35">
      <c r="A564" s="345"/>
      <c r="B564" s="346"/>
    </row>
    <row r="565" spans="1:2" ht="15.5" x14ac:dyDescent="0.35">
      <c r="A565" s="345"/>
      <c r="B565" s="346"/>
    </row>
    <row r="566" spans="1:2" ht="15.5" x14ac:dyDescent="0.35">
      <c r="A566" s="345"/>
      <c r="B566" s="346"/>
    </row>
    <row r="567" spans="1:2" ht="15.5" x14ac:dyDescent="0.35">
      <c r="A567" s="345"/>
      <c r="B567" s="346"/>
    </row>
    <row r="568" spans="1:2" ht="15.5" x14ac:dyDescent="0.35">
      <c r="A568" s="345"/>
      <c r="B568" s="346"/>
    </row>
    <row r="569" spans="1:2" ht="15.5" x14ac:dyDescent="0.35">
      <c r="A569" s="345"/>
      <c r="B569" s="346"/>
    </row>
    <row r="570" spans="1:2" ht="15.5" x14ac:dyDescent="0.35">
      <c r="A570" s="345"/>
      <c r="B570" s="346"/>
    </row>
    <row r="571" spans="1:2" ht="15.5" x14ac:dyDescent="0.35">
      <c r="A571" s="345"/>
      <c r="B571" s="346"/>
    </row>
    <row r="572" spans="1:2" ht="15.5" x14ac:dyDescent="0.35">
      <c r="A572" s="345"/>
      <c r="B572" s="346"/>
    </row>
    <row r="573" spans="1:2" ht="15.5" x14ac:dyDescent="0.35">
      <c r="A573" s="345"/>
      <c r="B573" s="346"/>
    </row>
    <row r="574" spans="1:2" ht="15.5" x14ac:dyDescent="0.35">
      <c r="A574" s="345"/>
      <c r="B574" s="346"/>
    </row>
    <row r="575" spans="1:2" ht="15.5" x14ac:dyDescent="0.35">
      <c r="A575" s="345"/>
      <c r="B575" s="346"/>
    </row>
    <row r="576" spans="1:2" ht="15.5" x14ac:dyDescent="0.35">
      <c r="A576" s="345"/>
      <c r="B576" s="346"/>
    </row>
    <row r="577" spans="1:2" ht="15.5" x14ac:dyDescent="0.35">
      <c r="A577" s="345"/>
      <c r="B577" s="346"/>
    </row>
    <row r="578" spans="1:2" ht="15.5" x14ac:dyDescent="0.35">
      <c r="A578" s="345"/>
      <c r="B578" s="346"/>
    </row>
    <row r="579" spans="1:2" ht="15.5" x14ac:dyDescent="0.35">
      <c r="A579" s="345"/>
      <c r="B579" s="346"/>
    </row>
    <row r="580" spans="1:2" ht="15.5" x14ac:dyDescent="0.35">
      <c r="A580" s="345"/>
      <c r="B580" s="346"/>
    </row>
    <row r="581" spans="1:2" ht="15.5" x14ac:dyDescent="0.35">
      <c r="A581" s="345"/>
      <c r="B581" s="346"/>
    </row>
    <row r="582" spans="1:2" ht="15.5" x14ac:dyDescent="0.35">
      <c r="A582" s="345"/>
      <c r="B582" s="346"/>
    </row>
    <row r="583" spans="1:2" ht="15.5" x14ac:dyDescent="0.35">
      <c r="A583" s="345"/>
      <c r="B583" s="346"/>
    </row>
    <row r="584" spans="1:2" ht="15.5" x14ac:dyDescent="0.35">
      <c r="A584" s="345"/>
      <c r="B584" s="346"/>
    </row>
    <row r="585" spans="1:2" ht="15.5" x14ac:dyDescent="0.35">
      <c r="A585" s="345"/>
      <c r="B585" s="346"/>
    </row>
    <row r="586" spans="1:2" ht="15.5" x14ac:dyDescent="0.35">
      <c r="A586" s="345"/>
      <c r="B586" s="346"/>
    </row>
    <row r="587" spans="1:2" ht="15.5" x14ac:dyDescent="0.35">
      <c r="A587" s="345"/>
      <c r="B587" s="346"/>
    </row>
    <row r="588" spans="1:2" ht="15.5" x14ac:dyDescent="0.35">
      <c r="A588" s="345"/>
      <c r="B588" s="346"/>
    </row>
    <row r="589" spans="1:2" ht="15.5" x14ac:dyDescent="0.35">
      <c r="A589" s="345"/>
      <c r="B589" s="346"/>
    </row>
    <row r="590" spans="1:2" ht="15.5" x14ac:dyDescent="0.35">
      <c r="A590" s="345"/>
      <c r="B590" s="346"/>
    </row>
    <row r="591" spans="1:2" ht="15.5" x14ac:dyDescent="0.35">
      <c r="A591" s="345"/>
      <c r="B591" s="346"/>
    </row>
    <row r="592" spans="1:2" ht="15.5" x14ac:dyDescent="0.35">
      <c r="A592" s="345"/>
      <c r="B592" s="346"/>
    </row>
    <row r="593" spans="1:2" ht="15.5" x14ac:dyDescent="0.35">
      <c r="A593" s="345"/>
      <c r="B593" s="346"/>
    </row>
    <row r="594" spans="1:2" ht="15.5" x14ac:dyDescent="0.35">
      <c r="A594" s="345"/>
      <c r="B594" s="346"/>
    </row>
    <row r="595" spans="1:2" ht="15.5" x14ac:dyDescent="0.35">
      <c r="A595" s="345"/>
      <c r="B595" s="346"/>
    </row>
    <row r="596" spans="1:2" ht="15.5" x14ac:dyDescent="0.35">
      <c r="A596" s="345"/>
      <c r="B596" s="346"/>
    </row>
    <row r="597" spans="1:2" ht="15.5" x14ac:dyDescent="0.35">
      <c r="A597" s="345"/>
      <c r="B597" s="346"/>
    </row>
    <row r="598" spans="1:2" ht="15.5" x14ac:dyDescent="0.35">
      <c r="A598" s="345"/>
      <c r="B598" s="346"/>
    </row>
    <row r="599" spans="1:2" ht="15.5" x14ac:dyDescent="0.35">
      <c r="A599" s="345"/>
      <c r="B599" s="346"/>
    </row>
    <row r="600" spans="1:2" ht="15.5" x14ac:dyDescent="0.35">
      <c r="A600" s="345"/>
      <c r="B600" s="346"/>
    </row>
    <row r="601" spans="1:2" ht="15.5" x14ac:dyDescent="0.35">
      <c r="A601" s="345"/>
      <c r="B601" s="346"/>
    </row>
    <row r="602" spans="1:2" ht="15.5" x14ac:dyDescent="0.35">
      <c r="A602" s="345"/>
      <c r="B602" s="346"/>
    </row>
    <row r="603" spans="1:2" ht="15.5" x14ac:dyDescent="0.35">
      <c r="A603" s="345"/>
      <c r="B603" s="346"/>
    </row>
    <row r="604" spans="1:2" ht="15.5" x14ac:dyDescent="0.35">
      <c r="A604" s="345"/>
      <c r="B604" s="346"/>
    </row>
    <row r="605" spans="1:2" ht="15.5" x14ac:dyDescent="0.35">
      <c r="A605" s="345"/>
      <c r="B605" s="346"/>
    </row>
    <row r="606" spans="1:2" ht="15.5" x14ac:dyDescent="0.35">
      <c r="A606" s="345"/>
      <c r="B606" s="346"/>
    </row>
    <row r="607" spans="1:2" ht="15.5" x14ac:dyDescent="0.35">
      <c r="A607" s="345"/>
      <c r="B607" s="346"/>
    </row>
    <row r="608" spans="1:2" ht="15.5" x14ac:dyDescent="0.35">
      <c r="A608" s="345"/>
      <c r="B608" s="346"/>
    </row>
    <row r="609" spans="1:2" ht="15.5" x14ac:dyDescent="0.35">
      <c r="A609" s="345"/>
      <c r="B609" s="346"/>
    </row>
    <row r="610" spans="1:2" ht="15.5" x14ac:dyDescent="0.35">
      <c r="A610" s="345"/>
      <c r="B610" s="346"/>
    </row>
    <row r="611" spans="1:2" ht="15.5" x14ac:dyDescent="0.35">
      <c r="A611" s="345"/>
      <c r="B611" s="346"/>
    </row>
    <row r="612" spans="1:2" ht="15.5" x14ac:dyDescent="0.35">
      <c r="A612" s="345"/>
      <c r="B612" s="346"/>
    </row>
    <row r="613" spans="1:2" ht="15.5" x14ac:dyDescent="0.35">
      <c r="A613" s="345"/>
      <c r="B613" s="346"/>
    </row>
    <row r="614" spans="1:2" ht="15.5" x14ac:dyDescent="0.35">
      <c r="A614" s="345"/>
      <c r="B614" s="346"/>
    </row>
    <row r="615" spans="1:2" ht="15.5" x14ac:dyDescent="0.35">
      <c r="A615" s="345"/>
      <c r="B615" s="346"/>
    </row>
    <row r="616" spans="1:2" ht="15.5" x14ac:dyDescent="0.35">
      <c r="A616" s="345"/>
      <c r="B616" s="346"/>
    </row>
    <row r="617" spans="1:2" ht="15.5" x14ac:dyDescent="0.35">
      <c r="A617" s="345"/>
      <c r="B617" s="346"/>
    </row>
    <row r="618" spans="1:2" ht="15.5" x14ac:dyDescent="0.35">
      <c r="A618" s="345"/>
      <c r="B618" s="346"/>
    </row>
    <row r="619" spans="1:2" ht="15.5" x14ac:dyDescent="0.35">
      <c r="A619" s="345"/>
      <c r="B619" s="346"/>
    </row>
    <row r="620" spans="1:2" ht="15.5" x14ac:dyDescent="0.35">
      <c r="A620" s="345"/>
      <c r="B620" s="346"/>
    </row>
    <row r="621" spans="1:2" ht="15.5" x14ac:dyDescent="0.35">
      <c r="A621" s="345"/>
      <c r="B621" s="346"/>
    </row>
    <row r="622" spans="1:2" ht="15.5" x14ac:dyDescent="0.35">
      <c r="A622" s="345"/>
      <c r="B622" s="346"/>
    </row>
    <row r="623" spans="1:2" ht="15.5" x14ac:dyDescent="0.35">
      <c r="A623" s="345"/>
      <c r="B623" s="346"/>
    </row>
    <row r="624" spans="1:2" ht="15.5" x14ac:dyDescent="0.35">
      <c r="A624" s="345"/>
      <c r="B624" s="346"/>
    </row>
    <row r="625" spans="1:2" ht="15.5" x14ac:dyDescent="0.35">
      <c r="A625" s="345"/>
      <c r="B625" s="346"/>
    </row>
    <row r="626" spans="1:2" ht="15.5" x14ac:dyDescent="0.35">
      <c r="A626" s="345"/>
      <c r="B626" s="346"/>
    </row>
    <row r="627" spans="1:2" ht="15.5" x14ac:dyDescent="0.35">
      <c r="A627" s="345"/>
      <c r="B627" s="346"/>
    </row>
    <row r="628" spans="1:2" ht="15.5" x14ac:dyDescent="0.35">
      <c r="A628" s="345"/>
      <c r="B628" s="346"/>
    </row>
    <row r="629" spans="1:2" ht="15.5" x14ac:dyDescent="0.35">
      <c r="A629" s="345"/>
      <c r="B629" s="346"/>
    </row>
    <row r="630" spans="1:2" ht="15.5" x14ac:dyDescent="0.35">
      <c r="A630" s="345"/>
      <c r="B630" s="346"/>
    </row>
    <row r="631" spans="1:2" ht="15.5" x14ac:dyDescent="0.35">
      <c r="A631" s="345"/>
      <c r="B631" s="346"/>
    </row>
    <row r="632" spans="1:2" ht="15.5" x14ac:dyDescent="0.35">
      <c r="A632" s="345"/>
      <c r="B632" s="346"/>
    </row>
    <row r="633" spans="1:2" ht="15.5" x14ac:dyDescent="0.35">
      <c r="A633" s="345"/>
      <c r="B633" s="346"/>
    </row>
    <row r="634" spans="1:2" ht="15.5" x14ac:dyDescent="0.35">
      <c r="A634" s="345"/>
      <c r="B634" s="346"/>
    </row>
    <row r="635" spans="1:2" ht="15.5" x14ac:dyDescent="0.35">
      <c r="A635" s="345"/>
      <c r="B635" s="346"/>
    </row>
    <row r="636" spans="1:2" ht="15.5" x14ac:dyDescent="0.35">
      <c r="A636" s="345"/>
      <c r="B636" s="346"/>
    </row>
    <row r="637" spans="1:2" ht="15.5" x14ac:dyDescent="0.35">
      <c r="A637" s="345"/>
      <c r="B637" s="346"/>
    </row>
    <row r="638" spans="1:2" ht="15.5" x14ac:dyDescent="0.35">
      <c r="A638" s="345"/>
      <c r="B638" s="346"/>
    </row>
    <row r="639" spans="1:2" ht="15.5" x14ac:dyDescent="0.35">
      <c r="A639" s="345"/>
      <c r="B639" s="346"/>
    </row>
    <row r="640" spans="1:2" ht="15.5" x14ac:dyDescent="0.35">
      <c r="A640" s="345"/>
      <c r="B640" s="346"/>
    </row>
    <row r="641" spans="1:2" ht="15.5" x14ac:dyDescent="0.35">
      <c r="A641" s="345"/>
      <c r="B641" s="346"/>
    </row>
    <row r="642" spans="1:2" ht="15.5" x14ac:dyDescent="0.35">
      <c r="A642" s="345"/>
      <c r="B642" s="346"/>
    </row>
    <row r="643" spans="1:2" ht="15.5" x14ac:dyDescent="0.35">
      <c r="A643" s="345"/>
      <c r="B643" s="346"/>
    </row>
    <row r="644" spans="1:2" ht="15.5" x14ac:dyDescent="0.35">
      <c r="A644" s="345"/>
      <c r="B644" s="346"/>
    </row>
    <row r="645" spans="1:2" ht="15.5" x14ac:dyDescent="0.35">
      <c r="A645" s="345"/>
      <c r="B645" s="346"/>
    </row>
    <row r="646" spans="1:2" ht="15.5" x14ac:dyDescent="0.35">
      <c r="A646" s="345"/>
      <c r="B646" s="346"/>
    </row>
    <row r="647" spans="1:2" ht="15.5" x14ac:dyDescent="0.35">
      <c r="A647" s="345"/>
      <c r="B647" s="346"/>
    </row>
    <row r="648" spans="1:2" ht="15.5" x14ac:dyDescent="0.35">
      <c r="A648" s="345"/>
      <c r="B648" s="346"/>
    </row>
    <row r="649" spans="1:2" ht="15.5" x14ac:dyDescent="0.35">
      <c r="A649" s="345"/>
      <c r="B649" s="346"/>
    </row>
    <row r="650" spans="1:2" ht="15.5" x14ac:dyDescent="0.35">
      <c r="A650" s="345"/>
      <c r="B650" s="346"/>
    </row>
    <row r="651" spans="1:2" ht="15.5" x14ac:dyDescent="0.35">
      <c r="A651" s="345"/>
      <c r="B651" s="346"/>
    </row>
    <row r="652" spans="1:2" ht="15.5" x14ac:dyDescent="0.35">
      <c r="A652" s="345"/>
      <c r="B652" s="346"/>
    </row>
    <row r="653" spans="1:2" ht="15.5" x14ac:dyDescent="0.35">
      <c r="A653" s="345"/>
      <c r="B653" s="346"/>
    </row>
    <row r="654" spans="1:2" ht="15.5" x14ac:dyDescent="0.35">
      <c r="A654" s="345"/>
      <c r="B654" s="346"/>
    </row>
    <row r="655" spans="1:2" ht="15.5" x14ac:dyDescent="0.35">
      <c r="A655" s="345"/>
      <c r="B655" s="346"/>
    </row>
    <row r="656" spans="1:2" ht="15.5" x14ac:dyDescent="0.35">
      <c r="A656" s="345"/>
      <c r="B656" s="346"/>
    </row>
    <row r="657" spans="1:2" ht="15.5" x14ac:dyDescent="0.35">
      <c r="A657" s="345"/>
      <c r="B657" s="346"/>
    </row>
    <row r="658" spans="1:2" ht="15.5" x14ac:dyDescent="0.35">
      <c r="A658" s="345"/>
      <c r="B658" s="346"/>
    </row>
    <row r="659" spans="1:2" ht="15.5" x14ac:dyDescent="0.35">
      <c r="A659" s="345"/>
      <c r="B659" s="346"/>
    </row>
    <row r="660" spans="1:2" ht="15.5" x14ac:dyDescent="0.35">
      <c r="A660" s="345"/>
      <c r="B660" s="346"/>
    </row>
    <row r="661" spans="1:2" ht="15.5" x14ac:dyDescent="0.35">
      <c r="A661" s="345"/>
      <c r="B661" s="346"/>
    </row>
    <row r="662" spans="1:2" ht="15.5" x14ac:dyDescent="0.35">
      <c r="A662" s="345"/>
      <c r="B662" s="346"/>
    </row>
    <row r="663" spans="1:2" ht="15.5" x14ac:dyDescent="0.35">
      <c r="A663" s="345"/>
      <c r="B663" s="346"/>
    </row>
    <row r="664" spans="1:2" ht="15.5" x14ac:dyDescent="0.35">
      <c r="A664" s="345"/>
      <c r="B664" s="346"/>
    </row>
    <row r="665" spans="1:2" ht="15.5" x14ac:dyDescent="0.35">
      <c r="A665" s="345"/>
      <c r="B665" s="346"/>
    </row>
    <row r="666" spans="1:2" ht="15.5" x14ac:dyDescent="0.35">
      <c r="A666" s="345"/>
      <c r="B666" s="346"/>
    </row>
    <row r="667" spans="1:2" ht="15.5" x14ac:dyDescent="0.35">
      <c r="A667" s="345"/>
      <c r="B667" s="346"/>
    </row>
    <row r="668" spans="1:2" ht="15.5" x14ac:dyDescent="0.35">
      <c r="A668" s="345"/>
      <c r="B668" s="346"/>
    </row>
    <row r="669" spans="1:2" ht="15.5" x14ac:dyDescent="0.35">
      <c r="A669" s="345"/>
      <c r="B669" s="346"/>
    </row>
    <row r="670" spans="1:2" ht="15.5" x14ac:dyDescent="0.35">
      <c r="A670" s="345"/>
      <c r="B670" s="346"/>
    </row>
    <row r="671" spans="1:2" ht="15.5" x14ac:dyDescent="0.35">
      <c r="A671" s="345"/>
      <c r="B671" s="346"/>
    </row>
    <row r="672" spans="1:2" ht="15.5" x14ac:dyDescent="0.35">
      <c r="A672" s="345"/>
      <c r="B672" s="346"/>
    </row>
    <row r="673" spans="1:2" ht="15.5" x14ac:dyDescent="0.35">
      <c r="A673" s="345"/>
      <c r="B673" s="346"/>
    </row>
    <row r="674" spans="1:2" ht="15.5" x14ac:dyDescent="0.35">
      <c r="A674" s="345"/>
      <c r="B674" s="346"/>
    </row>
    <row r="675" spans="1:2" ht="15.5" x14ac:dyDescent="0.35">
      <c r="A675" s="345"/>
      <c r="B675" s="346"/>
    </row>
    <row r="676" spans="1:2" ht="15.5" x14ac:dyDescent="0.35">
      <c r="A676" s="345"/>
      <c r="B676" s="346"/>
    </row>
    <row r="677" spans="1:2" ht="15.5" x14ac:dyDescent="0.35">
      <c r="A677" s="345"/>
      <c r="B677" s="346"/>
    </row>
    <row r="678" spans="1:2" ht="15.5" x14ac:dyDescent="0.35">
      <c r="A678" s="345"/>
      <c r="B678" s="346"/>
    </row>
    <row r="679" spans="1:2" ht="15.5" x14ac:dyDescent="0.35">
      <c r="A679" s="345"/>
      <c r="B679" s="346"/>
    </row>
    <row r="680" spans="1:2" ht="15.5" x14ac:dyDescent="0.35">
      <c r="A680" s="345"/>
      <c r="B680" s="346"/>
    </row>
    <row r="681" spans="1:2" ht="15.5" x14ac:dyDescent="0.35">
      <c r="A681" s="345"/>
      <c r="B681" s="346"/>
    </row>
    <row r="682" spans="1:2" ht="15.5" x14ac:dyDescent="0.35">
      <c r="A682" s="345"/>
      <c r="B682" s="346"/>
    </row>
    <row r="683" spans="1:2" ht="15.5" x14ac:dyDescent="0.35">
      <c r="A683" s="345"/>
      <c r="B683" s="346"/>
    </row>
    <row r="684" spans="1:2" ht="15.5" x14ac:dyDescent="0.35">
      <c r="A684" s="345"/>
      <c r="B684" s="346"/>
    </row>
    <row r="685" spans="1:2" ht="15.5" x14ac:dyDescent="0.35">
      <c r="A685" s="345"/>
      <c r="B685" s="346"/>
    </row>
    <row r="686" spans="1:2" ht="15.5" x14ac:dyDescent="0.35">
      <c r="A686" s="345"/>
      <c r="B686" s="346"/>
    </row>
    <row r="687" spans="1:2" ht="15.5" x14ac:dyDescent="0.35">
      <c r="A687" s="345"/>
      <c r="B687" s="346"/>
    </row>
    <row r="688" spans="1:2" ht="15.5" x14ac:dyDescent="0.35">
      <c r="A688" s="345"/>
      <c r="B688" s="346"/>
    </row>
    <row r="689" spans="1:2" ht="15.5" x14ac:dyDescent="0.35">
      <c r="A689" s="345"/>
      <c r="B689" s="346"/>
    </row>
    <row r="690" spans="1:2" ht="15.5" x14ac:dyDescent="0.35">
      <c r="A690" s="345"/>
      <c r="B690" s="346"/>
    </row>
    <row r="691" spans="1:2" ht="15.5" x14ac:dyDescent="0.35">
      <c r="A691" s="345"/>
      <c r="B691" s="346"/>
    </row>
    <row r="692" spans="1:2" ht="15.5" x14ac:dyDescent="0.35">
      <c r="A692" s="345"/>
      <c r="B692" s="346"/>
    </row>
    <row r="693" spans="1:2" ht="15.5" x14ac:dyDescent="0.35">
      <c r="A693" s="345"/>
      <c r="B693" s="346"/>
    </row>
    <row r="694" spans="1:2" ht="15.5" x14ac:dyDescent="0.35">
      <c r="A694" s="345"/>
      <c r="B694" s="346"/>
    </row>
    <row r="695" spans="1:2" ht="15.5" x14ac:dyDescent="0.35">
      <c r="A695" s="345"/>
      <c r="B695" s="346"/>
    </row>
    <row r="696" spans="1:2" ht="15.5" x14ac:dyDescent="0.35">
      <c r="A696" s="345"/>
      <c r="B696" s="346"/>
    </row>
    <row r="697" spans="1:2" ht="15.5" x14ac:dyDescent="0.35">
      <c r="A697" s="345"/>
      <c r="B697" s="346"/>
    </row>
    <row r="698" spans="1:2" ht="15.5" x14ac:dyDescent="0.35">
      <c r="A698" s="345"/>
      <c r="B698" s="346"/>
    </row>
    <row r="699" spans="1:2" ht="15.5" x14ac:dyDescent="0.35">
      <c r="A699" s="345"/>
      <c r="B699" s="346"/>
    </row>
    <row r="700" spans="1:2" ht="15.5" x14ac:dyDescent="0.35">
      <c r="A700" s="345"/>
      <c r="B700" s="346"/>
    </row>
    <row r="701" spans="1:2" ht="15.5" x14ac:dyDescent="0.35">
      <c r="A701" s="345"/>
      <c r="B701" s="346"/>
    </row>
    <row r="702" spans="1:2" ht="15.5" x14ac:dyDescent="0.35">
      <c r="A702" s="345"/>
      <c r="B702" s="346"/>
    </row>
    <row r="703" spans="1:2" ht="15.5" x14ac:dyDescent="0.35">
      <c r="A703" s="345"/>
      <c r="B703" s="346"/>
    </row>
    <row r="704" spans="1:2" ht="15.5" x14ac:dyDescent="0.35">
      <c r="A704" s="345"/>
      <c r="B704" s="346"/>
    </row>
    <row r="705" spans="1:2" ht="15.5" x14ac:dyDescent="0.35">
      <c r="A705" s="345"/>
      <c r="B705" s="346"/>
    </row>
    <row r="706" spans="1:2" ht="15.5" x14ac:dyDescent="0.35">
      <c r="A706" s="345"/>
      <c r="B706" s="346"/>
    </row>
    <row r="707" spans="1:2" ht="15.5" x14ac:dyDescent="0.35">
      <c r="A707" s="345"/>
      <c r="B707" s="346"/>
    </row>
    <row r="708" spans="1:2" ht="15.5" x14ac:dyDescent="0.35">
      <c r="A708" s="345"/>
      <c r="B708" s="346"/>
    </row>
    <row r="709" spans="1:2" ht="15.5" x14ac:dyDescent="0.35">
      <c r="A709" s="345"/>
      <c r="B709" s="346"/>
    </row>
    <row r="710" spans="1:2" ht="15.5" x14ac:dyDescent="0.35">
      <c r="A710" s="345"/>
      <c r="B710" s="346"/>
    </row>
    <row r="711" spans="1:2" ht="15.5" x14ac:dyDescent="0.35">
      <c r="A711" s="345"/>
      <c r="B711" s="346"/>
    </row>
    <row r="712" spans="1:2" ht="15.5" x14ac:dyDescent="0.35">
      <c r="A712" s="345"/>
      <c r="B712" s="346"/>
    </row>
    <row r="713" spans="1:2" ht="15.5" x14ac:dyDescent="0.35">
      <c r="A713" s="345"/>
      <c r="B713" s="346"/>
    </row>
    <row r="714" spans="1:2" ht="15.5" x14ac:dyDescent="0.35">
      <c r="A714" s="345"/>
      <c r="B714" s="346"/>
    </row>
    <row r="715" spans="1:2" ht="15.5" x14ac:dyDescent="0.35">
      <c r="A715" s="345"/>
      <c r="B715" s="346"/>
    </row>
    <row r="716" spans="1:2" ht="15.5" x14ac:dyDescent="0.35">
      <c r="A716" s="345"/>
      <c r="B716" s="346"/>
    </row>
    <row r="717" spans="1:2" ht="15.5" x14ac:dyDescent="0.35">
      <c r="A717" s="345"/>
      <c r="B717" s="346"/>
    </row>
    <row r="718" spans="1:2" ht="15.5" x14ac:dyDescent="0.35">
      <c r="A718" s="345"/>
      <c r="B718" s="346"/>
    </row>
    <row r="719" spans="1:2" ht="15.5" x14ac:dyDescent="0.35">
      <c r="A719" s="345"/>
      <c r="B719" s="346"/>
    </row>
    <row r="720" spans="1:2" ht="15.5" x14ac:dyDescent="0.35">
      <c r="A720" s="345"/>
      <c r="B720" s="346"/>
    </row>
    <row r="721" spans="1:2" ht="15.5" x14ac:dyDescent="0.35">
      <c r="A721" s="345"/>
      <c r="B721" s="346"/>
    </row>
    <row r="722" spans="1:2" ht="15.5" x14ac:dyDescent="0.35">
      <c r="A722" s="345"/>
      <c r="B722" s="346"/>
    </row>
    <row r="723" spans="1:2" ht="15.5" x14ac:dyDescent="0.35">
      <c r="A723" s="345"/>
      <c r="B723" s="346"/>
    </row>
    <row r="724" spans="1:2" ht="15.5" x14ac:dyDescent="0.35">
      <c r="A724" s="345"/>
      <c r="B724" s="346"/>
    </row>
    <row r="725" spans="1:2" ht="15.5" x14ac:dyDescent="0.35">
      <c r="A725" s="345"/>
      <c r="B725" s="346"/>
    </row>
    <row r="726" spans="1:2" ht="15.5" x14ac:dyDescent="0.35">
      <c r="A726" s="345"/>
      <c r="B726" s="346"/>
    </row>
    <row r="727" spans="1:2" ht="15.5" x14ac:dyDescent="0.35">
      <c r="A727" s="345"/>
      <c r="B727" s="346"/>
    </row>
    <row r="728" spans="1:2" ht="15.5" x14ac:dyDescent="0.35">
      <c r="A728" s="345"/>
      <c r="B728" s="346"/>
    </row>
    <row r="729" spans="1:2" ht="15.5" x14ac:dyDescent="0.35">
      <c r="A729" s="345"/>
      <c r="B729" s="346"/>
    </row>
    <row r="730" spans="1:2" ht="15.5" x14ac:dyDescent="0.35">
      <c r="A730" s="345"/>
      <c r="B730" s="346"/>
    </row>
    <row r="731" spans="1:2" ht="15.5" x14ac:dyDescent="0.35">
      <c r="A731" s="345"/>
      <c r="B731" s="346"/>
    </row>
    <row r="732" spans="1:2" ht="15.5" x14ac:dyDescent="0.35">
      <c r="A732" s="345"/>
      <c r="B732" s="346"/>
    </row>
    <row r="733" spans="1:2" ht="15.5" x14ac:dyDescent="0.35">
      <c r="A733" s="345"/>
      <c r="B733" s="346"/>
    </row>
    <row r="734" spans="1:2" ht="15.5" x14ac:dyDescent="0.35">
      <c r="A734" s="345"/>
      <c r="B734" s="346"/>
    </row>
    <row r="735" spans="1:2" ht="15.5" x14ac:dyDescent="0.35">
      <c r="A735" s="345"/>
      <c r="B735" s="346"/>
    </row>
    <row r="736" spans="1:2" ht="15.5" x14ac:dyDescent="0.35">
      <c r="A736" s="345"/>
      <c r="B736" s="346"/>
    </row>
    <row r="737" spans="1:2" ht="15.5" x14ac:dyDescent="0.35">
      <c r="A737" s="345"/>
      <c r="B737" s="346"/>
    </row>
    <row r="738" spans="1:2" ht="15.5" x14ac:dyDescent="0.35">
      <c r="A738" s="345"/>
      <c r="B738" s="346"/>
    </row>
    <row r="739" spans="1:2" ht="15.5" x14ac:dyDescent="0.35">
      <c r="A739" s="345"/>
      <c r="B739" s="346"/>
    </row>
    <row r="740" spans="1:2" ht="15.5" x14ac:dyDescent="0.35">
      <c r="A740" s="345"/>
      <c r="B740" s="346"/>
    </row>
    <row r="741" spans="1:2" ht="15.5" x14ac:dyDescent="0.35">
      <c r="A741" s="343"/>
      <c r="B741" s="344"/>
    </row>
    <row r="742" spans="1:2" ht="15.5" x14ac:dyDescent="0.35">
      <c r="A742" s="343"/>
      <c r="B742" s="344"/>
    </row>
    <row r="743" spans="1:2" ht="15.5" x14ac:dyDescent="0.35">
      <c r="A743" s="343"/>
      <c r="B743" s="344"/>
    </row>
    <row r="744" spans="1:2" ht="15.5" x14ac:dyDescent="0.35">
      <c r="A744" s="343"/>
      <c r="B744" s="344"/>
    </row>
    <row r="745" spans="1:2" ht="15.5" x14ac:dyDescent="0.35">
      <c r="A745" s="343"/>
      <c r="B745" s="344"/>
    </row>
    <row r="746" spans="1:2" ht="15.5" x14ac:dyDescent="0.35">
      <c r="A746" s="343"/>
      <c r="B746" s="344"/>
    </row>
    <row r="747" spans="1:2" ht="15.5" x14ac:dyDescent="0.35">
      <c r="A747" s="343"/>
      <c r="B747" s="344"/>
    </row>
    <row r="748" spans="1:2" ht="15.5" x14ac:dyDescent="0.35">
      <c r="A748" s="343"/>
      <c r="B748" s="344"/>
    </row>
    <row r="749" spans="1:2" ht="15.5" x14ac:dyDescent="0.35">
      <c r="A749" s="343"/>
      <c r="B749" s="344"/>
    </row>
    <row r="750" spans="1:2" ht="15.5" x14ac:dyDescent="0.35">
      <c r="A750" s="343"/>
      <c r="B750" s="344"/>
    </row>
    <row r="751" spans="1:2" ht="15.5" x14ac:dyDescent="0.35">
      <c r="A751" s="343"/>
      <c r="B751" s="344"/>
    </row>
    <row r="752" spans="1:2" ht="15.5" x14ac:dyDescent="0.35">
      <c r="A752" s="343"/>
      <c r="B752" s="344"/>
    </row>
    <row r="753" spans="1:2" ht="15.5" x14ac:dyDescent="0.35">
      <c r="A753" s="343"/>
      <c r="B753" s="344"/>
    </row>
    <row r="754" spans="1:2" ht="15.5" x14ac:dyDescent="0.35">
      <c r="A754" s="343"/>
      <c r="B754" s="344"/>
    </row>
    <row r="755" spans="1:2" ht="15.5" x14ac:dyDescent="0.35">
      <c r="A755" s="343"/>
      <c r="B755" s="344"/>
    </row>
    <row r="756" spans="1:2" ht="15.5" x14ac:dyDescent="0.35">
      <c r="A756" s="343"/>
      <c r="B756" s="344"/>
    </row>
    <row r="757" spans="1:2" ht="15.5" x14ac:dyDescent="0.35">
      <c r="A757" s="343"/>
      <c r="B757" s="344"/>
    </row>
    <row r="758" spans="1:2" ht="15.5" x14ac:dyDescent="0.35">
      <c r="A758" s="343"/>
      <c r="B758" s="344"/>
    </row>
    <row r="759" spans="1:2" ht="15.5" x14ac:dyDescent="0.35">
      <c r="A759" s="343"/>
      <c r="B759" s="344"/>
    </row>
    <row r="760" spans="1:2" ht="15.5" x14ac:dyDescent="0.35">
      <c r="A760" s="343"/>
      <c r="B760" s="344"/>
    </row>
    <row r="761" spans="1:2" ht="15.5" x14ac:dyDescent="0.35">
      <c r="A761" s="343"/>
      <c r="B761" s="344"/>
    </row>
    <row r="762" spans="1:2" ht="15.5" x14ac:dyDescent="0.35">
      <c r="A762" s="343"/>
      <c r="B762" s="344"/>
    </row>
    <row r="763" spans="1:2" ht="15.5" x14ac:dyDescent="0.35">
      <c r="A763" s="343"/>
      <c r="B763" s="344"/>
    </row>
    <row r="764" spans="1:2" ht="15.5" x14ac:dyDescent="0.35">
      <c r="A764" s="343"/>
      <c r="B764" s="344"/>
    </row>
    <row r="765" spans="1:2" ht="15.5" x14ac:dyDescent="0.35">
      <c r="A765" s="343"/>
      <c r="B765" s="344"/>
    </row>
    <row r="766" spans="1:2" ht="15.5" x14ac:dyDescent="0.35">
      <c r="A766" s="343"/>
      <c r="B766" s="344"/>
    </row>
    <row r="767" spans="1:2" ht="15.5" x14ac:dyDescent="0.35">
      <c r="A767" s="343"/>
      <c r="B767" s="344"/>
    </row>
    <row r="768" spans="1:2" ht="15.5" x14ac:dyDescent="0.35">
      <c r="A768" s="343"/>
      <c r="B768" s="344"/>
    </row>
    <row r="769" spans="1:2" ht="15.5" x14ac:dyDescent="0.35">
      <c r="A769" s="343"/>
      <c r="B769" s="344"/>
    </row>
    <row r="770" spans="1:2" ht="15.5" x14ac:dyDescent="0.35">
      <c r="A770" s="343"/>
      <c r="B770" s="344"/>
    </row>
    <row r="771" spans="1:2" ht="15.5" x14ac:dyDescent="0.35">
      <c r="A771" s="343"/>
      <c r="B771" s="344"/>
    </row>
    <row r="772" spans="1:2" ht="15.5" x14ac:dyDescent="0.35">
      <c r="A772" s="343"/>
      <c r="B772" s="344"/>
    </row>
    <row r="773" spans="1:2" ht="15.5" x14ac:dyDescent="0.35">
      <c r="A773" s="343"/>
      <c r="B773" s="344"/>
    </row>
    <row r="774" spans="1:2" ht="15.5" x14ac:dyDescent="0.35">
      <c r="A774" s="343"/>
      <c r="B774" s="344"/>
    </row>
    <row r="775" spans="1:2" ht="15.5" x14ac:dyDescent="0.35">
      <c r="A775" s="343"/>
      <c r="B775" s="344"/>
    </row>
    <row r="776" spans="1:2" ht="15.5" x14ac:dyDescent="0.35">
      <c r="A776" s="343"/>
      <c r="B776" s="344"/>
    </row>
    <row r="777" spans="1:2" ht="15.5" x14ac:dyDescent="0.35">
      <c r="A777" s="343"/>
      <c r="B777" s="344"/>
    </row>
    <row r="778" spans="1:2" ht="15.5" x14ac:dyDescent="0.35">
      <c r="A778" s="343"/>
      <c r="B778" s="344"/>
    </row>
    <row r="779" spans="1:2" ht="15.5" x14ac:dyDescent="0.35">
      <c r="A779" s="343"/>
      <c r="B779" s="344"/>
    </row>
    <row r="780" spans="1:2" ht="15.5" x14ac:dyDescent="0.35">
      <c r="A780" s="343"/>
      <c r="B780" s="344"/>
    </row>
    <row r="781" spans="1:2" ht="15.5" x14ac:dyDescent="0.35">
      <c r="A781" s="343"/>
      <c r="B781" s="344"/>
    </row>
    <row r="782" spans="1:2" ht="15.5" x14ac:dyDescent="0.35">
      <c r="A782" s="343"/>
      <c r="B782" s="344"/>
    </row>
    <row r="783" spans="1:2" ht="15.5" x14ac:dyDescent="0.35">
      <c r="A783" s="343"/>
      <c r="B783" s="344"/>
    </row>
    <row r="784" spans="1:2" ht="15.5" x14ac:dyDescent="0.35">
      <c r="A784" s="343"/>
      <c r="B784" s="344"/>
    </row>
    <row r="785" spans="1:2" ht="15.5" x14ac:dyDescent="0.35">
      <c r="A785" s="343"/>
      <c r="B785" s="344"/>
    </row>
    <row r="786" spans="1:2" ht="15.5" x14ac:dyDescent="0.35">
      <c r="A786" s="343"/>
      <c r="B786" s="344"/>
    </row>
    <row r="787" spans="1:2" ht="15.5" x14ac:dyDescent="0.35">
      <c r="A787" s="343"/>
      <c r="B787" s="344"/>
    </row>
    <row r="788" spans="1:2" ht="15.5" x14ac:dyDescent="0.35">
      <c r="A788" s="343"/>
      <c r="B788" s="344"/>
    </row>
    <row r="789" spans="1:2" ht="15.5" x14ac:dyDescent="0.35">
      <c r="A789" s="343"/>
      <c r="B789" s="344"/>
    </row>
    <row r="790" spans="1:2" ht="15.5" x14ac:dyDescent="0.35">
      <c r="A790" s="343"/>
      <c r="B790" s="344"/>
    </row>
    <row r="791" spans="1:2" ht="15.5" x14ac:dyDescent="0.35">
      <c r="A791" s="343"/>
      <c r="B791" s="344"/>
    </row>
    <row r="792" spans="1:2" ht="15.5" x14ac:dyDescent="0.35">
      <c r="A792" s="343"/>
      <c r="B792" s="344"/>
    </row>
    <row r="793" spans="1:2" ht="15.5" x14ac:dyDescent="0.35">
      <c r="A793" s="343"/>
      <c r="B793" s="344"/>
    </row>
    <row r="794" spans="1:2" ht="15.5" x14ac:dyDescent="0.35">
      <c r="A794" s="343"/>
      <c r="B794" s="344"/>
    </row>
    <row r="795" spans="1:2" ht="15.5" x14ac:dyDescent="0.35">
      <c r="A795" s="343"/>
      <c r="B795" s="344"/>
    </row>
    <row r="796" spans="1:2" ht="15.5" x14ac:dyDescent="0.35">
      <c r="A796" s="343"/>
      <c r="B796" s="344"/>
    </row>
    <row r="797" spans="1:2" ht="15.5" x14ac:dyDescent="0.35">
      <c r="A797" s="343"/>
      <c r="B797" s="344"/>
    </row>
    <row r="798" spans="1:2" ht="15.5" x14ac:dyDescent="0.35">
      <c r="A798" s="343"/>
      <c r="B798" s="344"/>
    </row>
    <row r="799" spans="1:2" ht="15.5" x14ac:dyDescent="0.35">
      <c r="A799" s="343"/>
      <c r="B799" s="344"/>
    </row>
    <row r="800" spans="1:2" ht="15.5" x14ac:dyDescent="0.35">
      <c r="A800" s="343"/>
      <c r="B800" s="344"/>
    </row>
    <row r="801" spans="1:2" ht="15.5" x14ac:dyDescent="0.35">
      <c r="A801" s="343"/>
      <c r="B801" s="344"/>
    </row>
    <row r="802" spans="1:2" ht="15.5" x14ac:dyDescent="0.35">
      <c r="A802" s="343"/>
      <c r="B802" s="344"/>
    </row>
    <row r="803" spans="1:2" ht="15.5" x14ac:dyDescent="0.35">
      <c r="A803" s="343"/>
      <c r="B803" s="344"/>
    </row>
    <row r="804" spans="1:2" ht="15.5" x14ac:dyDescent="0.35">
      <c r="A804" s="343"/>
      <c r="B804" s="344"/>
    </row>
    <row r="805" spans="1:2" ht="15.5" x14ac:dyDescent="0.35">
      <c r="A805" s="343"/>
      <c r="B805" s="344"/>
    </row>
    <row r="806" spans="1:2" ht="15.5" x14ac:dyDescent="0.35">
      <c r="A806" s="343"/>
      <c r="B806" s="344"/>
    </row>
    <row r="807" spans="1:2" ht="15.5" x14ac:dyDescent="0.35">
      <c r="A807" s="343"/>
      <c r="B807" s="344"/>
    </row>
    <row r="808" spans="1:2" ht="15.5" x14ac:dyDescent="0.35">
      <c r="A808" s="343"/>
      <c r="B808" s="344"/>
    </row>
    <row r="809" spans="1:2" ht="15.5" x14ac:dyDescent="0.35">
      <c r="A809" s="343"/>
      <c r="B809" s="344"/>
    </row>
    <row r="810" spans="1:2" ht="15.5" x14ac:dyDescent="0.35">
      <c r="A810" s="343"/>
      <c r="B810" s="344"/>
    </row>
    <row r="811" spans="1:2" ht="15.5" x14ac:dyDescent="0.35">
      <c r="A811" s="343"/>
      <c r="B811" s="344"/>
    </row>
    <row r="812" spans="1:2" ht="15.5" x14ac:dyDescent="0.35">
      <c r="A812" s="343"/>
      <c r="B812" s="344"/>
    </row>
    <row r="813" spans="1:2" ht="15.5" x14ac:dyDescent="0.35">
      <c r="A813" s="343"/>
      <c r="B813" s="344"/>
    </row>
    <row r="814" spans="1:2" ht="15.5" x14ac:dyDescent="0.35">
      <c r="A814" s="343"/>
      <c r="B814" s="344"/>
    </row>
    <row r="815" spans="1:2" ht="15.5" x14ac:dyDescent="0.35">
      <c r="A815" s="343"/>
      <c r="B815" s="344"/>
    </row>
    <row r="816" spans="1:2" ht="15.5" x14ac:dyDescent="0.35">
      <c r="A816" s="343"/>
      <c r="B816" s="344"/>
    </row>
    <row r="817" spans="1:2" ht="15.5" x14ac:dyDescent="0.35">
      <c r="A817" s="343"/>
      <c r="B817" s="344"/>
    </row>
    <row r="818" spans="1:2" ht="15.5" x14ac:dyDescent="0.35">
      <c r="A818" s="343"/>
      <c r="B818" s="344"/>
    </row>
    <row r="819" spans="1:2" ht="15.5" x14ac:dyDescent="0.35">
      <c r="A819" s="343"/>
      <c r="B819" s="344"/>
    </row>
    <row r="820" spans="1:2" ht="15.5" x14ac:dyDescent="0.35">
      <c r="A820" s="343"/>
      <c r="B820" s="344"/>
    </row>
    <row r="821" spans="1:2" ht="15.5" x14ac:dyDescent="0.35">
      <c r="A821" s="343"/>
      <c r="B821" s="344"/>
    </row>
    <row r="822" spans="1:2" ht="15.5" x14ac:dyDescent="0.35">
      <c r="A822" s="343"/>
      <c r="B822" s="344"/>
    </row>
    <row r="823" spans="1:2" ht="15.5" x14ac:dyDescent="0.35">
      <c r="A823" s="343"/>
      <c r="B823" s="344"/>
    </row>
    <row r="824" spans="1:2" ht="15.5" x14ac:dyDescent="0.35">
      <c r="A824" s="343"/>
      <c r="B824" s="344"/>
    </row>
    <row r="825" spans="1:2" ht="15.5" x14ac:dyDescent="0.35">
      <c r="A825" s="343"/>
      <c r="B825" s="344"/>
    </row>
    <row r="826" spans="1:2" ht="15.5" x14ac:dyDescent="0.35">
      <c r="A826" s="343"/>
      <c r="B826" s="344"/>
    </row>
    <row r="827" spans="1:2" ht="15.5" x14ac:dyDescent="0.35">
      <c r="A827" s="343"/>
      <c r="B827" s="344"/>
    </row>
    <row r="828" spans="1:2" ht="15.5" x14ac:dyDescent="0.35">
      <c r="A828" s="343"/>
      <c r="B828" s="344"/>
    </row>
    <row r="829" spans="1:2" ht="15.5" x14ac:dyDescent="0.35">
      <c r="A829" s="343"/>
      <c r="B829" s="344"/>
    </row>
    <row r="830" spans="1:2" ht="15.5" x14ac:dyDescent="0.35">
      <c r="A830" s="343"/>
      <c r="B830" s="344"/>
    </row>
    <row r="831" spans="1:2" ht="15.5" x14ac:dyDescent="0.35">
      <c r="A831" s="343"/>
      <c r="B831" s="344"/>
    </row>
    <row r="832" spans="1:2" ht="15.5" x14ac:dyDescent="0.35">
      <c r="A832" s="343"/>
      <c r="B832" s="344"/>
    </row>
    <row r="833" spans="1:2" ht="15.5" x14ac:dyDescent="0.35">
      <c r="A833" s="343"/>
      <c r="B833" s="344"/>
    </row>
    <row r="834" spans="1:2" ht="15.5" x14ac:dyDescent="0.35">
      <c r="A834" s="343"/>
      <c r="B834" s="344"/>
    </row>
    <row r="835" spans="1:2" ht="15.5" x14ac:dyDescent="0.35">
      <c r="A835" s="343"/>
      <c r="B835" s="344"/>
    </row>
    <row r="836" spans="1:2" ht="15.5" x14ac:dyDescent="0.35">
      <c r="A836" s="343"/>
      <c r="B836" s="344"/>
    </row>
    <row r="837" spans="1:2" ht="15.5" x14ac:dyDescent="0.35">
      <c r="A837" s="343"/>
      <c r="B837" s="344"/>
    </row>
    <row r="838" spans="1:2" ht="15.5" x14ac:dyDescent="0.35">
      <c r="A838" s="343"/>
      <c r="B838" s="344"/>
    </row>
    <row r="839" spans="1:2" ht="15.5" x14ac:dyDescent="0.35">
      <c r="A839" s="343"/>
      <c r="B839" s="344"/>
    </row>
    <row r="840" spans="1:2" ht="15.5" x14ac:dyDescent="0.35">
      <c r="A840" s="343"/>
      <c r="B840" s="344"/>
    </row>
    <row r="841" spans="1:2" ht="15.5" x14ac:dyDescent="0.35">
      <c r="A841" s="343"/>
      <c r="B841" s="344"/>
    </row>
    <row r="842" spans="1:2" ht="15.5" x14ac:dyDescent="0.35">
      <c r="A842" s="343"/>
      <c r="B842" s="344"/>
    </row>
    <row r="843" spans="1:2" ht="15.5" x14ac:dyDescent="0.35">
      <c r="A843" s="343"/>
      <c r="B843" s="344"/>
    </row>
    <row r="844" spans="1:2" ht="15.5" x14ac:dyDescent="0.35">
      <c r="A844" s="343"/>
      <c r="B844" s="344"/>
    </row>
    <row r="845" spans="1:2" ht="15.5" x14ac:dyDescent="0.35">
      <c r="A845" s="343"/>
      <c r="B845" s="344"/>
    </row>
    <row r="846" spans="1:2" ht="15.5" x14ac:dyDescent="0.35">
      <c r="A846" s="343"/>
      <c r="B846" s="344"/>
    </row>
    <row r="847" spans="1:2" ht="15.5" x14ac:dyDescent="0.35">
      <c r="A847" s="343"/>
      <c r="B847" s="344"/>
    </row>
    <row r="848" spans="1:2" ht="15.5" x14ac:dyDescent="0.35">
      <c r="A848" s="343"/>
      <c r="B848" s="344"/>
    </row>
    <row r="849" spans="1:2" ht="15.5" x14ac:dyDescent="0.35">
      <c r="A849" s="343"/>
      <c r="B849" s="344"/>
    </row>
    <row r="850" spans="1:2" ht="15.5" x14ac:dyDescent="0.35">
      <c r="A850" s="343"/>
      <c r="B850" s="344"/>
    </row>
    <row r="851" spans="1:2" ht="15.5" x14ac:dyDescent="0.35">
      <c r="A851" s="343"/>
      <c r="B851" s="344"/>
    </row>
    <row r="852" spans="1:2" ht="15.5" x14ac:dyDescent="0.35">
      <c r="A852" s="343"/>
      <c r="B852" s="344"/>
    </row>
    <row r="853" spans="1:2" ht="15.5" x14ac:dyDescent="0.35">
      <c r="A853" s="343"/>
      <c r="B853" s="344"/>
    </row>
    <row r="854" spans="1:2" ht="15.5" x14ac:dyDescent="0.35">
      <c r="A854" s="343"/>
      <c r="B854" s="344"/>
    </row>
    <row r="855" spans="1:2" ht="15.5" x14ac:dyDescent="0.35">
      <c r="A855" s="343"/>
      <c r="B855" s="344"/>
    </row>
    <row r="856" spans="1:2" ht="15.5" x14ac:dyDescent="0.35">
      <c r="A856" s="343"/>
      <c r="B856" s="344"/>
    </row>
    <row r="857" spans="1:2" ht="15.5" x14ac:dyDescent="0.35">
      <c r="A857" s="343"/>
      <c r="B857" s="344"/>
    </row>
    <row r="858" spans="1:2" ht="15.5" x14ac:dyDescent="0.35">
      <c r="A858" s="343"/>
      <c r="B858" s="344"/>
    </row>
    <row r="859" spans="1:2" ht="15.5" x14ac:dyDescent="0.35">
      <c r="A859" s="343"/>
      <c r="B859" s="344"/>
    </row>
    <row r="860" spans="1:2" ht="15.5" x14ac:dyDescent="0.35">
      <c r="A860" s="343"/>
      <c r="B860" s="344"/>
    </row>
    <row r="861" spans="1:2" ht="15.5" x14ac:dyDescent="0.35">
      <c r="A861" s="343"/>
      <c r="B861" s="344"/>
    </row>
    <row r="862" spans="1:2" ht="15.5" x14ac:dyDescent="0.35">
      <c r="A862" s="343"/>
      <c r="B862" s="344"/>
    </row>
    <row r="863" spans="1:2" ht="15.5" x14ac:dyDescent="0.35">
      <c r="A863" s="343"/>
      <c r="B863" s="344"/>
    </row>
    <row r="864" spans="1:2" ht="15.5" x14ac:dyDescent="0.35">
      <c r="A864" s="343"/>
      <c r="B864" s="344"/>
    </row>
    <row r="865" spans="1:2" ht="15.5" x14ac:dyDescent="0.35">
      <c r="A865" s="343"/>
      <c r="B865" s="344"/>
    </row>
    <row r="866" spans="1:2" ht="15.5" x14ac:dyDescent="0.35">
      <c r="A866" s="343"/>
      <c r="B866" s="344"/>
    </row>
    <row r="867" spans="1:2" ht="15.5" x14ac:dyDescent="0.35">
      <c r="A867" s="343"/>
      <c r="B867" s="344"/>
    </row>
    <row r="868" spans="1:2" ht="15.5" x14ac:dyDescent="0.35">
      <c r="A868" s="343"/>
      <c r="B868" s="344"/>
    </row>
    <row r="869" spans="1:2" ht="15.5" x14ac:dyDescent="0.35">
      <c r="A869" s="343"/>
      <c r="B869" s="344"/>
    </row>
    <row r="870" spans="1:2" ht="15.5" x14ac:dyDescent="0.35">
      <c r="A870" s="343"/>
      <c r="B870" s="344"/>
    </row>
    <row r="871" spans="1:2" ht="15.5" x14ac:dyDescent="0.35">
      <c r="A871" s="343"/>
      <c r="B871" s="344"/>
    </row>
    <row r="872" spans="1:2" ht="15.5" x14ac:dyDescent="0.35">
      <c r="A872" s="343"/>
      <c r="B872" s="344"/>
    </row>
    <row r="873" spans="1:2" ht="15.5" x14ac:dyDescent="0.35">
      <c r="A873" s="343"/>
      <c r="B873" s="344"/>
    </row>
    <row r="874" spans="1:2" ht="15.5" x14ac:dyDescent="0.35">
      <c r="A874" s="343"/>
      <c r="B874" s="344"/>
    </row>
    <row r="875" spans="1:2" ht="15.5" x14ac:dyDescent="0.35">
      <c r="A875" s="343"/>
      <c r="B875" s="344"/>
    </row>
    <row r="876" spans="1:2" ht="15.5" x14ac:dyDescent="0.35">
      <c r="A876" s="343"/>
      <c r="B876" s="344"/>
    </row>
    <row r="877" spans="1:2" ht="15.5" x14ac:dyDescent="0.35">
      <c r="A877" s="343"/>
      <c r="B877" s="344"/>
    </row>
    <row r="878" spans="1:2" ht="15.5" x14ac:dyDescent="0.35">
      <c r="A878" s="343"/>
      <c r="B878" s="344"/>
    </row>
    <row r="879" spans="1:2" ht="15.5" x14ac:dyDescent="0.35">
      <c r="A879" s="343"/>
      <c r="B879" s="344"/>
    </row>
    <row r="880" spans="1:2" ht="15.5" x14ac:dyDescent="0.35">
      <c r="A880" s="343"/>
      <c r="B880" s="344"/>
    </row>
    <row r="881" spans="1:2" ht="15.5" x14ac:dyDescent="0.35">
      <c r="A881" s="343"/>
      <c r="B881" s="344"/>
    </row>
    <row r="882" spans="1:2" ht="15.5" x14ac:dyDescent="0.35">
      <c r="A882" s="343"/>
      <c r="B882" s="344"/>
    </row>
    <row r="883" spans="1:2" ht="15.5" x14ac:dyDescent="0.35">
      <c r="A883" s="343"/>
      <c r="B883" s="344"/>
    </row>
    <row r="884" spans="1:2" ht="15.5" x14ac:dyDescent="0.35">
      <c r="A884" s="343"/>
      <c r="B884" s="344"/>
    </row>
    <row r="885" spans="1:2" ht="15.5" x14ac:dyDescent="0.35">
      <c r="A885" s="343"/>
      <c r="B885" s="344"/>
    </row>
    <row r="886" spans="1:2" ht="15.5" x14ac:dyDescent="0.35">
      <c r="A886" s="343"/>
      <c r="B886" s="344"/>
    </row>
    <row r="887" spans="1:2" ht="15.5" x14ac:dyDescent="0.35">
      <c r="A887" s="343"/>
      <c r="B887" s="344"/>
    </row>
    <row r="888" spans="1:2" ht="15.5" x14ac:dyDescent="0.35">
      <c r="A888" s="343"/>
      <c r="B888" s="344"/>
    </row>
    <row r="889" spans="1:2" ht="15.5" x14ac:dyDescent="0.35">
      <c r="A889" s="343"/>
      <c r="B889" s="344"/>
    </row>
    <row r="890" spans="1:2" ht="15.5" x14ac:dyDescent="0.35">
      <c r="A890" s="343"/>
      <c r="B890" s="344"/>
    </row>
    <row r="891" spans="1:2" ht="15.5" x14ac:dyDescent="0.35">
      <c r="A891" s="343"/>
      <c r="B891" s="344"/>
    </row>
    <row r="892" spans="1:2" ht="15.5" x14ac:dyDescent="0.35">
      <c r="A892" s="343"/>
      <c r="B892" s="344"/>
    </row>
    <row r="893" spans="1:2" ht="15.5" x14ac:dyDescent="0.35">
      <c r="A893" s="343"/>
      <c r="B893" s="344"/>
    </row>
    <row r="894" spans="1:2" ht="15.5" x14ac:dyDescent="0.35">
      <c r="A894" s="343"/>
      <c r="B894" s="344"/>
    </row>
    <row r="895" spans="1:2" ht="15.5" x14ac:dyDescent="0.35">
      <c r="A895" s="343"/>
      <c r="B895" s="344"/>
    </row>
    <row r="896" spans="1:2" ht="15.5" x14ac:dyDescent="0.35">
      <c r="A896" s="343"/>
      <c r="B896" s="344"/>
    </row>
    <row r="897" spans="1:2" ht="15.5" x14ac:dyDescent="0.35">
      <c r="A897" s="343"/>
      <c r="B897" s="344"/>
    </row>
    <row r="898" spans="1:2" ht="15.5" x14ac:dyDescent="0.35">
      <c r="A898" s="343"/>
      <c r="B898" s="344"/>
    </row>
    <row r="899" spans="1:2" ht="15.5" x14ac:dyDescent="0.35">
      <c r="A899" s="343"/>
      <c r="B899" s="344"/>
    </row>
    <row r="900" spans="1:2" ht="15.5" x14ac:dyDescent="0.35">
      <c r="A900" s="343"/>
      <c r="B900" s="344"/>
    </row>
    <row r="901" spans="1:2" ht="15.5" x14ac:dyDescent="0.35">
      <c r="A901" s="343"/>
      <c r="B901" s="344"/>
    </row>
    <row r="902" spans="1:2" ht="15.5" x14ac:dyDescent="0.35">
      <c r="A902" s="343"/>
      <c r="B902" s="344"/>
    </row>
    <row r="903" spans="1:2" ht="15.5" x14ac:dyDescent="0.35">
      <c r="A903" s="343"/>
      <c r="B903" s="344"/>
    </row>
    <row r="904" spans="1:2" ht="15.5" x14ac:dyDescent="0.35">
      <c r="A904" s="343"/>
      <c r="B904" s="344"/>
    </row>
    <row r="905" spans="1:2" ht="15.5" x14ac:dyDescent="0.35">
      <c r="A905" s="343"/>
      <c r="B905" s="344"/>
    </row>
    <row r="906" spans="1:2" ht="15.5" x14ac:dyDescent="0.35">
      <c r="A906" s="343"/>
      <c r="B906" s="344"/>
    </row>
    <row r="907" spans="1:2" ht="15.5" x14ac:dyDescent="0.35">
      <c r="A907" s="343"/>
      <c r="B907" s="344"/>
    </row>
    <row r="908" spans="1:2" ht="15.5" x14ac:dyDescent="0.35">
      <c r="A908" s="343"/>
      <c r="B908" s="344"/>
    </row>
    <row r="909" spans="1:2" ht="15.5" x14ac:dyDescent="0.35">
      <c r="A909" s="343"/>
      <c r="B909" s="344"/>
    </row>
    <row r="910" spans="1:2" ht="15.5" x14ac:dyDescent="0.35">
      <c r="A910" s="343"/>
      <c r="B910" s="344"/>
    </row>
    <row r="911" spans="1:2" ht="15.5" x14ac:dyDescent="0.35">
      <c r="A911" s="343"/>
      <c r="B911" s="344"/>
    </row>
    <row r="912" spans="1:2" ht="15.5" x14ac:dyDescent="0.35">
      <c r="A912" s="343"/>
      <c r="B912" s="344"/>
    </row>
    <row r="913" spans="1:2" ht="15.5" x14ac:dyDescent="0.35">
      <c r="A913" s="343"/>
      <c r="B913" s="344"/>
    </row>
    <row r="914" spans="1:2" ht="15.5" x14ac:dyDescent="0.35">
      <c r="A914" s="343"/>
      <c r="B914" s="344"/>
    </row>
    <row r="915" spans="1:2" ht="15.5" x14ac:dyDescent="0.35">
      <c r="A915" s="343"/>
      <c r="B915" s="344"/>
    </row>
    <row r="916" spans="1:2" ht="15.5" x14ac:dyDescent="0.35">
      <c r="A916" s="343"/>
      <c r="B916" s="344"/>
    </row>
    <row r="917" spans="1:2" ht="15.5" x14ac:dyDescent="0.35">
      <c r="A917" s="343"/>
      <c r="B917" s="344"/>
    </row>
    <row r="918" spans="1:2" ht="15.5" x14ac:dyDescent="0.35">
      <c r="A918" s="343"/>
      <c r="B918" s="344"/>
    </row>
    <row r="919" spans="1:2" ht="15.5" x14ac:dyDescent="0.35">
      <c r="A919" s="343"/>
      <c r="B919" s="344"/>
    </row>
    <row r="920" spans="1:2" ht="15.5" x14ac:dyDescent="0.35">
      <c r="A920" s="343"/>
      <c r="B920" s="344"/>
    </row>
    <row r="921" spans="1:2" ht="15.5" x14ac:dyDescent="0.35">
      <c r="A921" s="343"/>
      <c r="B921" s="344"/>
    </row>
    <row r="922" spans="1:2" ht="15.5" x14ac:dyDescent="0.35">
      <c r="A922" s="343"/>
      <c r="B922" s="344"/>
    </row>
    <row r="923" spans="1:2" ht="15.5" x14ac:dyDescent="0.35">
      <c r="A923" s="343"/>
      <c r="B923" s="344"/>
    </row>
    <row r="924" spans="1:2" ht="15.5" x14ac:dyDescent="0.35">
      <c r="A924" s="343"/>
      <c r="B924" s="344"/>
    </row>
    <row r="925" spans="1:2" ht="15.5" x14ac:dyDescent="0.35">
      <c r="A925" s="343"/>
      <c r="B925" s="344"/>
    </row>
    <row r="926" spans="1:2" ht="15.5" x14ac:dyDescent="0.35">
      <c r="A926" s="343"/>
      <c r="B926" s="344"/>
    </row>
    <row r="927" spans="1:2" ht="15.5" x14ac:dyDescent="0.35">
      <c r="A927" s="343"/>
      <c r="B927" s="344"/>
    </row>
    <row r="928" spans="1:2" ht="15.5" x14ac:dyDescent="0.35">
      <c r="A928" s="343"/>
      <c r="B928" s="344"/>
    </row>
    <row r="929" spans="1:2" ht="15.5" x14ac:dyDescent="0.35">
      <c r="A929" s="343"/>
      <c r="B929" s="344"/>
    </row>
    <row r="930" spans="1:2" ht="15.5" x14ac:dyDescent="0.35">
      <c r="A930" s="343"/>
      <c r="B930" s="344"/>
    </row>
    <row r="931" spans="1:2" ht="15.5" x14ac:dyDescent="0.35">
      <c r="A931" s="343"/>
      <c r="B931" s="344"/>
    </row>
    <row r="932" spans="1:2" ht="15.5" x14ac:dyDescent="0.35">
      <c r="A932" s="343"/>
      <c r="B932" s="344"/>
    </row>
    <row r="933" spans="1:2" ht="15.5" x14ac:dyDescent="0.35">
      <c r="A933" s="343"/>
      <c r="B933" s="344"/>
    </row>
    <row r="934" spans="1:2" ht="15.5" x14ac:dyDescent="0.35">
      <c r="A934" s="343"/>
      <c r="B934" s="344"/>
    </row>
    <row r="935" spans="1:2" ht="15.5" x14ac:dyDescent="0.35">
      <c r="A935" s="343"/>
      <c r="B935" s="344"/>
    </row>
    <row r="936" spans="1:2" ht="15.5" x14ac:dyDescent="0.35">
      <c r="A936" s="343"/>
      <c r="B936" s="344"/>
    </row>
    <row r="937" spans="1:2" ht="15.5" x14ac:dyDescent="0.35">
      <c r="A937" s="343"/>
      <c r="B937" s="344"/>
    </row>
    <row r="938" spans="1:2" ht="15.5" x14ac:dyDescent="0.35">
      <c r="A938" s="343"/>
      <c r="B938" s="344"/>
    </row>
    <row r="939" spans="1:2" ht="15.5" x14ac:dyDescent="0.35">
      <c r="A939" s="343"/>
      <c r="B939" s="344"/>
    </row>
    <row r="940" spans="1:2" ht="15.5" x14ac:dyDescent="0.35">
      <c r="A940" s="343"/>
      <c r="B940" s="344"/>
    </row>
    <row r="941" spans="1:2" ht="15.5" x14ac:dyDescent="0.35">
      <c r="A941" s="343"/>
      <c r="B941" s="344"/>
    </row>
    <row r="942" spans="1:2" ht="15.5" x14ac:dyDescent="0.35">
      <c r="A942" s="343"/>
      <c r="B942" s="344"/>
    </row>
    <row r="943" spans="1:2" ht="15.5" x14ac:dyDescent="0.35">
      <c r="A943" s="343"/>
      <c r="B943" s="344"/>
    </row>
    <row r="944" spans="1:2" ht="15.5" x14ac:dyDescent="0.35">
      <c r="A944" s="343"/>
      <c r="B944" s="344"/>
    </row>
    <row r="945" spans="1:2" ht="15.5" x14ac:dyDescent="0.35">
      <c r="A945" s="343"/>
      <c r="B945" s="344"/>
    </row>
    <row r="946" spans="1:2" ht="15.5" x14ac:dyDescent="0.35">
      <c r="A946" s="343"/>
      <c r="B946" s="344"/>
    </row>
    <row r="947" spans="1:2" ht="15.5" x14ac:dyDescent="0.35">
      <c r="A947" s="343"/>
      <c r="B947" s="344"/>
    </row>
    <row r="948" spans="1:2" ht="15.5" x14ac:dyDescent="0.35">
      <c r="A948" s="343"/>
      <c r="B948" s="344"/>
    </row>
    <row r="949" spans="1:2" ht="15.5" x14ac:dyDescent="0.35">
      <c r="A949" s="343"/>
      <c r="B949" s="344"/>
    </row>
    <row r="950" spans="1:2" ht="15.5" x14ac:dyDescent="0.35">
      <c r="A950" s="343"/>
      <c r="B950" s="344"/>
    </row>
    <row r="951" spans="1:2" ht="15.5" x14ac:dyDescent="0.35">
      <c r="A951" s="343"/>
      <c r="B951" s="344"/>
    </row>
    <row r="952" spans="1:2" ht="15.5" x14ac:dyDescent="0.35">
      <c r="A952" s="343"/>
      <c r="B952" s="344"/>
    </row>
    <row r="953" spans="1:2" ht="15.5" x14ac:dyDescent="0.35">
      <c r="A953" s="343"/>
      <c r="B953" s="344"/>
    </row>
    <row r="954" spans="1:2" ht="15.5" x14ac:dyDescent="0.35">
      <c r="A954" s="343"/>
      <c r="B954" s="344"/>
    </row>
    <row r="955" spans="1:2" ht="15.5" x14ac:dyDescent="0.35">
      <c r="A955" s="343"/>
      <c r="B955" s="344"/>
    </row>
    <row r="956" spans="1:2" ht="15.5" x14ac:dyDescent="0.35">
      <c r="A956" s="343"/>
      <c r="B956" s="344"/>
    </row>
    <row r="957" spans="1:2" ht="15.5" x14ac:dyDescent="0.35">
      <c r="A957" s="343"/>
      <c r="B957" s="344"/>
    </row>
    <row r="958" spans="1:2" ht="15.5" x14ac:dyDescent="0.35">
      <c r="A958" s="343"/>
      <c r="B958" s="344"/>
    </row>
    <row r="959" spans="1:2" ht="15.5" x14ac:dyDescent="0.35">
      <c r="A959" s="343"/>
      <c r="B959" s="344"/>
    </row>
    <row r="960" spans="1:2" ht="15.5" x14ac:dyDescent="0.35">
      <c r="A960" s="343"/>
      <c r="B960" s="344"/>
    </row>
    <row r="961" spans="1:2" ht="15.5" x14ac:dyDescent="0.35">
      <c r="A961" s="343"/>
      <c r="B961" s="344"/>
    </row>
    <row r="962" spans="1:2" ht="15.5" x14ac:dyDescent="0.35">
      <c r="A962" s="343"/>
      <c r="B962" s="344"/>
    </row>
    <row r="963" spans="1:2" ht="15.5" x14ac:dyDescent="0.35">
      <c r="A963" s="343"/>
      <c r="B963" s="344"/>
    </row>
    <row r="964" spans="1:2" ht="15.5" x14ac:dyDescent="0.35">
      <c r="A964" s="343"/>
      <c r="B964" s="344"/>
    </row>
    <row r="965" spans="1:2" ht="15.5" x14ac:dyDescent="0.35">
      <c r="A965" s="343"/>
      <c r="B965" s="344"/>
    </row>
    <row r="966" spans="1:2" ht="15.5" x14ac:dyDescent="0.35">
      <c r="A966" s="343"/>
      <c r="B966" s="344"/>
    </row>
    <row r="967" spans="1:2" ht="15.5" x14ac:dyDescent="0.35">
      <c r="A967" s="343"/>
      <c r="B967" s="344"/>
    </row>
    <row r="968" spans="1:2" ht="15.5" x14ac:dyDescent="0.35">
      <c r="A968" s="343"/>
      <c r="B968" s="344"/>
    </row>
    <row r="969" spans="1:2" ht="15.5" x14ac:dyDescent="0.35">
      <c r="A969" s="343"/>
      <c r="B969" s="344"/>
    </row>
    <row r="970" spans="1:2" ht="15.5" x14ac:dyDescent="0.35">
      <c r="A970" s="343"/>
      <c r="B970" s="344"/>
    </row>
    <row r="971" spans="1:2" ht="15.5" x14ac:dyDescent="0.35">
      <c r="A971" s="343"/>
      <c r="B971" s="344"/>
    </row>
    <row r="972" spans="1:2" ht="15.5" x14ac:dyDescent="0.35">
      <c r="A972" s="343"/>
      <c r="B972" s="344"/>
    </row>
    <row r="973" spans="1:2" ht="15.5" x14ac:dyDescent="0.35">
      <c r="A973" s="343"/>
      <c r="B973" s="344"/>
    </row>
    <row r="974" spans="1:2" ht="15.5" x14ac:dyDescent="0.35">
      <c r="A974" s="343"/>
      <c r="B974" s="344"/>
    </row>
    <row r="975" spans="1:2" ht="15.5" x14ac:dyDescent="0.35">
      <c r="A975" s="343"/>
      <c r="B975" s="344"/>
    </row>
    <row r="976" spans="1:2" ht="15.5" x14ac:dyDescent="0.35">
      <c r="A976" s="343"/>
      <c r="B976" s="344"/>
    </row>
    <row r="977" spans="1:2" ht="15.5" x14ac:dyDescent="0.35">
      <c r="A977" s="343"/>
      <c r="B977" s="344"/>
    </row>
    <row r="978" spans="1:2" ht="15.5" x14ac:dyDescent="0.35">
      <c r="A978" s="343"/>
      <c r="B978" s="344"/>
    </row>
    <row r="979" spans="1:2" ht="15.5" x14ac:dyDescent="0.35">
      <c r="A979" s="343"/>
      <c r="B979" s="344"/>
    </row>
    <row r="980" spans="1:2" ht="15.5" x14ac:dyDescent="0.35">
      <c r="A980" s="343"/>
      <c r="B980" s="344"/>
    </row>
    <row r="981" spans="1:2" ht="15.5" x14ac:dyDescent="0.35">
      <c r="A981" s="343"/>
      <c r="B981" s="344"/>
    </row>
    <row r="982" spans="1:2" ht="15.5" x14ac:dyDescent="0.35">
      <c r="A982" s="343"/>
      <c r="B982" s="344"/>
    </row>
    <row r="983" spans="1:2" ht="15.5" x14ac:dyDescent="0.35">
      <c r="A983" s="343"/>
      <c r="B983" s="344"/>
    </row>
    <row r="984" spans="1:2" ht="15.5" x14ac:dyDescent="0.35">
      <c r="A984" s="343"/>
      <c r="B984" s="344"/>
    </row>
    <row r="985" spans="1:2" ht="15.5" x14ac:dyDescent="0.35">
      <c r="A985" s="343"/>
      <c r="B985" s="344"/>
    </row>
    <row r="986" spans="1:2" ht="15.5" x14ac:dyDescent="0.35">
      <c r="A986" s="343"/>
      <c r="B986" s="344"/>
    </row>
    <row r="987" spans="1:2" ht="15.5" x14ac:dyDescent="0.35">
      <c r="A987" s="343"/>
      <c r="B987" s="344"/>
    </row>
    <row r="988" spans="1:2" ht="15.5" x14ac:dyDescent="0.35">
      <c r="A988" s="343"/>
      <c r="B988" s="344"/>
    </row>
    <row r="989" spans="1:2" ht="15.5" x14ac:dyDescent="0.35">
      <c r="A989" s="343"/>
      <c r="B989" s="344"/>
    </row>
    <row r="990" spans="1:2" ht="15.5" x14ac:dyDescent="0.35">
      <c r="A990" s="343"/>
      <c r="B990" s="344"/>
    </row>
    <row r="991" spans="1:2" ht="15.5" x14ac:dyDescent="0.35">
      <c r="A991" s="343"/>
      <c r="B991" s="344"/>
    </row>
    <row r="992" spans="1:2" ht="15.5" x14ac:dyDescent="0.35">
      <c r="A992" s="343"/>
      <c r="B992" s="344"/>
    </row>
    <row r="993" spans="1:2" ht="15.5" x14ac:dyDescent="0.35">
      <c r="A993" s="343"/>
      <c r="B993" s="344"/>
    </row>
    <row r="994" spans="1:2" ht="15.5" x14ac:dyDescent="0.35">
      <c r="A994" s="343"/>
      <c r="B994" s="344"/>
    </row>
    <row r="995" spans="1:2" ht="15.5" x14ac:dyDescent="0.35">
      <c r="A995" s="343"/>
      <c r="B995" s="344"/>
    </row>
    <row r="996" spans="1:2" ht="15.5" x14ac:dyDescent="0.35">
      <c r="A996" s="343"/>
      <c r="B996" s="344"/>
    </row>
    <row r="997" spans="1:2" ht="15.5" x14ac:dyDescent="0.35">
      <c r="A997" s="343"/>
      <c r="B997" s="344"/>
    </row>
    <row r="998" spans="1:2" ht="15.5" x14ac:dyDescent="0.35">
      <c r="A998" s="343"/>
      <c r="B998" s="344"/>
    </row>
    <row r="999" spans="1:2" ht="15.5" x14ac:dyDescent="0.35">
      <c r="A999" s="343"/>
      <c r="B999" s="344"/>
    </row>
    <row r="1000" spans="1:2" ht="15.5" x14ac:dyDescent="0.35">
      <c r="A1000" s="343"/>
      <c r="B1000" s="344"/>
    </row>
    <row r="1001" spans="1:2" ht="15.5" x14ac:dyDescent="0.35">
      <c r="A1001" s="343"/>
      <c r="B1001" s="344"/>
    </row>
    <row r="1002" spans="1:2" ht="15.5" x14ac:dyDescent="0.35">
      <c r="A1002" s="343"/>
      <c r="B1002" s="344"/>
    </row>
    <row r="1003" spans="1:2" ht="15.5" x14ac:dyDescent="0.35">
      <c r="A1003" s="343"/>
      <c r="B1003" s="344"/>
    </row>
    <row r="1004" spans="1:2" ht="15.5" x14ac:dyDescent="0.35">
      <c r="A1004" s="343"/>
      <c r="B1004" s="344"/>
    </row>
    <row r="1005" spans="1:2" ht="15.5" x14ac:dyDescent="0.35">
      <c r="A1005" s="343"/>
      <c r="B1005" s="344"/>
    </row>
    <row r="1006" spans="1:2" ht="15.5" x14ac:dyDescent="0.35">
      <c r="A1006" s="343"/>
      <c r="B1006" s="344"/>
    </row>
    <row r="1007" spans="1:2" ht="15.5" x14ac:dyDescent="0.35">
      <c r="A1007" s="343"/>
      <c r="B1007" s="344"/>
    </row>
    <row r="1008" spans="1:2" ht="15.5" x14ac:dyDescent="0.35">
      <c r="A1008" s="343"/>
      <c r="B1008" s="344"/>
    </row>
    <row r="1009" spans="1:2" ht="15.5" x14ac:dyDescent="0.35">
      <c r="A1009" s="343"/>
      <c r="B1009" s="344"/>
    </row>
    <row r="1010" spans="1:2" ht="15.5" x14ac:dyDescent="0.35">
      <c r="A1010" s="343"/>
      <c r="B1010" s="344"/>
    </row>
    <row r="1011" spans="1:2" ht="15.5" x14ac:dyDescent="0.35">
      <c r="A1011" s="343"/>
      <c r="B1011" s="344"/>
    </row>
    <row r="1012" spans="1:2" ht="15.5" x14ac:dyDescent="0.35">
      <c r="A1012" s="343"/>
      <c r="B1012" s="344"/>
    </row>
    <row r="1013" spans="1:2" ht="15.5" x14ac:dyDescent="0.35">
      <c r="A1013" s="343"/>
      <c r="B1013" s="344"/>
    </row>
    <row r="1014" spans="1:2" ht="15.5" x14ac:dyDescent="0.35">
      <c r="A1014" s="343"/>
      <c r="B1014" s="344"/>
    </row>
    <row r="1015" spans="1:2" ht="15.5" x14ac:dyDescent="0.35">
      <c r="A1015" s="343"/>
      <c r="B1015" s="344"/>
    </row>
    <row r="1016" spans="1:2" ht="15.5" x14ac:dyDescent="0.35">
      <c r="A1016" s="343"/>
      <c r="B1016" s="344"/>
    </row>
    <row r="1017" spans="1:2" ht="15.5" x14ac:dyDescent="0.35">
      <c r="A1017" s="343"/>
      <c r="B1017" s="344"/>
    </row>
    <row r="1018" spans="1:2" ht="15.5" x14ac:dyDescent="0.35">
      <c r="A1018" s="343"/>
      <c r="B1018" s="344"/>
    </row>
    <row r="1019" spans="1:2" ht="15.5" x14ac:dyDescent="0.35">
      <c r="A1019" s="343"/>
      <c r="B1019" s="344"/>
    </row>
    <row r="1020" spans="1:2" ht="15.5" x14ac:dyDescent="0.35">
      <c r="A1020" s="343"/>
      <c r="B1020" s="344"/>
    </row>
    <row r="1021" spans="1:2" ht="15.5" x14ac:dyDescent="0.35">
      <c r="A1021" s="343"/>
      <c r="B1021" s="344"/>
    </row>
    <row r="1022" spans="1:2" ht="15.5" x14ac:dyDescent="0.35">
      <c r="A1022" s="343"/>
      <c r="B1022" s="344"/>
    </row>
    <row r="1023" spans="1:2" ht="15.5" x14ac:dyDescent="0.35">
      <c r="A1023" s="343"/>
      <c r="B1023" s="344"/>
    </row>
    <row r="1024" spans="1:2" ht="15.5" x14ac:dyDescent="0.35">
      <c r="A1024" s="343"/>
      <c r="B1024" s="344"/>
    </row>
    <row r="1025" spans="1:2" ht="15.5" x14ac:dyDescent="0.35">
      <c r="A1025" s="343"/>
      <c r="B1025" s="344"/>
    </row>
    <row r="1026" spans="1:2" ht="15.5" x14ac:dyDescent="0.35">
      <c r="A1026" s="343"/>
      <c r="B1026" s="344"/>
    </row>
    <row r="1027" spans="1:2" ht="15.5" x14ac:dyDescent="0.35">
      <c r="A1027" s="343"/>
      <c r="B1027" s="344"/>
    </row>
    <row r="1028" spans="1:2" ht="15.5" x14ac:dyDescent="0.35">
      <c r="A1028" s="343"/>
      <c r="B1028" s="344"/>
    </row>
    <row r="1029" spans="1:2" ht="15.5" x14ac:dyDescent="0.35">
      <c r="A1029" s="343"/>
      <c r="B1029" s="344"/>
    </row>
    <row r="1030" spans="1:2" ht="15.5" x14ac:dyDescent="0.35">
      <c r="A1030" s="343"/>
      <c r="B1030" s="344"/>
    </row>
    <row r="1031" spans="1:2" ht="15.5" x14ac:dyDescent="0.35">
      <c r="A1031" s="343"/>
      <c r="B1031" s="344"/>
    </row>
    <row r="1032" spans="1:2" ht="15.5" x14ac:dyDescent="0.35">
      <c r="A1032" s="343"/>
      <c r="B1032" s="344"/>
    </row>
    <row r="1033" spans="1:2" ht="15.5" x14ac:dyDescent="0.35">
      <c r="A1033" s="343"/>
      <c r="B1033" s="344"/>
    </row>
    <row r="1034" spans="1:2" ht="15.5" x14ac:dyDescent="0.35">
      <c r="A1034" s="343"/>
      <c r="B1034" s="344"/>
    </row>
    <row r="1035" spans="1:2" ht="15.5" x14ac:dyDescent="0.35">
      <c r="A1035" s="343"/>
      <c r="B1035" s="344"/>
    </row>
    <row r="1036" spans="1:2" ht="15.5" x14ac:dyDescent="0.35">
      <c r="A1036" s="343"/>
      <c r="B1036" s="344"/>
    </row>
    <row r="1037" spans="1:2" ht="15.5" x14ac:dyDescent="0.35">
      <c r="A1037" s="343"/>
      <c r="B1037" s="344"/>
    </row>
    <row r="1038" spans="1:2" ht="15.5" x14ac:dyDescent="0.35">
      <c r="A1038" s="343"/>
      <c r="B1038" s="344"/>
    </row>
    <row r="1039" spans="1:2" ht="15.5" x14ac:dyDescent="0.35">
      <c r="A1039" s="343"/>
      <c r="B1039" s="344"/>
    </row>
    <row r="1040" spans="1:2" ht="15.5" x14ac:dyDescent="0.35">
      <c r="A1040" s="343"/>
      <c r="B1040" s="344"/>
    </row>
    <row r="1041" spans="1:2" ht="15.5" x14ac:dyDescent="0.35">
      <c r="A1041" s="343"/>
      <c r="B1041" s="344"/>
    </row>
    <row r="1042" spans="1:2" ht="15.5" x14ac:dyDescent="0.35">
      <c r="A1042" s="343"/>
      <c r="B1042" s="344"/>
    </row>
    <row r="1043" spans="1:2" ht="15.5" x14ac:dyDescent="0.35">
      <c r="A1043" s="343"/>
      <c r="B1043" s="344"/>
    </row>
    <row r="1044" spans="1:2" ht="15.5" x14ac:dyDescent="0.35">
      <c r="A1044" s="343"/>
      <c r="B1044" s="344"/>
    </row>
    <row r="1045" spans="1:2" ht="15.5" x14ac:dyDescent="0.35">
      <c r="A1045" s="343"/>
      <c r="B1045" s="344"/>
    </row>
    <row r="1046" spans="1:2" ht="15.5" x14ac:dyDescent="0.35">
      <c r="A1046" s="343"/>
      <c r="B1046" s="344"/>
    </row>
    <row r="1047" spans="1:2" ht="15.5" x14ac:dyDescent="0.35">
      <c r="A1047" s="343"/>
      <c r="B1047" s="344"/>
    </row>
    <row r="1048" spans="1:2" ht="15.5" x14ac:dyDescent="0.35">
      <c r="A1048" s="343"/>
      <c r="B1048" s="344"/>
    </row>
    <row r="1049" spans="1:2" ht="15.5" x14ac:dyDescent="0.35">
      <c r="A1049" s="343"/>
      <c r="B1049" s="344"/>
    </row>
    <row r="1050" spans="1:2" ht="15.5" x14ac:dyDescent="0.35">
      <c r="A1050" s="343"/>
      <c r="B1050" s="344"/>
    </row>
    <row r="1051" spans="1:2" ht="15.5" x14ac:dyDescent="0.35">
      <c r="A1051" s="343"/>
      <c r="B1051" s="344"/>
    </row>
    <row r="1052" spans="1:2" ht="15.5" x14ac:dyDescent="0.35">
      <c r="A1052" s="343"/>
      <c r="B1052" s="344"/>
    </row>
    <row r="1053" spans="1:2" ht="15.5" x14ac:dyDescent="0.35">
      <c r="A1053" s="343"/>
      <c r="B1053" s="344"/>
    </row>
    <row r="1054" spans="1:2" ht="15.5" x14ac:dyDescent="0.35">
      <c r="A1054" s="343"/>
      <c r="B1054" s="344"/>
    </row>
    <row r="1055" spans="1:2" ht="15.5" x14ac:dyDescent="0.35">
      <c r="A1055" s="343"/>
      <c r="B1055" s="344"/>
    </row>
    <row r="1056" spans="1:2" ht="15.5" x14ac:dyDescent="0.35">
      <c r="A1056" s="343"/>
      <c r="B1056" s="344"/>
    </row>
    <row r="1057" spans="1:2" ht="15.5" x14ac:dyDescent="0.35">
      <c r="A1057" s="343"/>
      <c r="B1057" s="344"/>
    </row>
    <row r="1058" spans="1:2" ht="15.5" x14ac:dyDescent="0.35">
      <c r="A1058" s="343"/>
      <c r="B1058" s="344"/>
    </row>
    <row r="1059" spans="1:2" ht="15.5" x14ac:dyDescent="0.35">
      <c r="A1059" s="343"/>
      <c r="B1059" s="344"/>
    </row>
    <row r="1060" spans="1:2" ht="15.5" x14ac:dyDescent="0.35">
      <c r="A1060" s="343"/>
      <c r="B1060" s="344"/>
    </row>
    <row r="1061" spans="1:2" ht="15.5" x14ac:dyDescent="0.35">
      <c r="A1061" s="343"/>
      <c r="B1061" s="344"/>
    </row>
    <row r="1062" spans="1:2" ht="15.5" x14ac:dyDescent="0.35">
      <c r="A1062" s="343"/>
      <c r="B1062" s="344"/>
    </row>
    <row r="1063" spans="1:2" ht="15.5" x14ac:dyDescent="0.35">
      <c r="A1063" s="343"/>
      <c r="B1063" s="344"/>
    </row>
    <row r="1064" spans="1:2" ht="15.5" x14ac:dyDescent="0.35">
      <c r="A1064" s="343"/>
      <c r="B1064" s="344"/>
    </row>
    <row r="1065" spans="1:2" ht="15.5" x14ac:dyDescent="0.35">
      <c r="A1065" s="343"/>
      <c r="B1065" s="344"/>
    </row>
    <row r="1066" spans="1:2" ht="15.5" x14ac:dyDescent="0.35">
      <c r="A1066" s="343"/>
      <c r="B1066" s="344"/>
    </row>
    <row r="1067" spans="1:2" ht="15.5" x14ac:dyDescent="0.35">
      <c r="A1067" s="343"/>
      <c r="B1067" s="344"/>
    </row>
    <row r="1068" spans="1:2" ht="15.5" x14ac:dyDescent="0.35">
      <c r="A1068" s="343"/>
      <c r="B1068" s="344"/>
    </row>
    <row r="1069" spans="1:2" ht="15.5" x14ac:dyDescent="0.35">
      <c r="A1069" s="343"/>
      <c r="B1069" s="344"/>
    </row>
    <row r="1070" spans="1:2" ht="15.5" x14ac:dyDescent="0.35">
      <c r="A1070" s="343"/>
      <c r="B1070" s="344"/>
    </row>
    <row r="1071" spans="1:2" ht="15.5" x14ac:dyDescent="0.35">
      <c r="A1071" s="343"/>
      <c r="B1071" s="344"/>
    </row>
    <row r="1072" spans="1:2" ht="15.5" x14ac:dyDescent="0.35">
      <c r="A1072" s="343"/>
      <c r="B1072" s="344"/>
    </row>
    <row r="1073" spans="1:2" ht="15.5" x14ac:dyDescent="0.35">
      <c r="A1073" s="343"/>
      <c r="B1073" s="344"/>
    </row>
    <row r="1074" spans="1:2" ht="15.5" x14ac:dyDescent="0.35">
      <c r="A1074" s="343"/>
      <c r="B1074" s="344"/>
    </row>
    <row r="1075" spans="1:2" ht="15.5" x14ac:dyDescent="0.35">
      <c r="A1075" s="343"/>
      <c r="B1075" s="344"/>
    </row>
    <row r="1076" spans="1:2" ht="15.5" x14ac:dyDescent="0.35">
      <c r="A1076" s="343"/>
      <c r="B1076" s="344"/>
    </row>
    <row r="1077" spans="1:2" ht="15.5" x14ac:dyDescent="0.35">
      <c r="A1077" s="343"/>
      <c r="B1077" s="344"/>
    </row>
    <row r="1078" spans="1:2" ht="15.5" x14ac:dyDescent="0.35">
      <c r="A1078" s="343"/>
      <c r="B1078" s="344"/>
    </row>
    <row r="1079" spans="1:2" ht="15.5" x14ac:dyDescent="0.35">
      <c r="A1079" s="343"/>
      <c r="B1079" s="344"/>
    </row>
    <row r="1080" spans="1:2" ht="15.5" x14ac:dyDescent="0.35">
      <c r="A1080" s="343"/>
      <c r="B1080" s="344"/>
    </row>
    <row r="1081" spans="1:2" ht="15.5" x14ac:dyDescent="0.35">
      <c r="A1081" s="343"/>
      <c r="B1081" s="344"/>
    </row>
    <row r="1082" spans="1:2" ht="15.5" x14ac:dyDescent="0.35">
      <c r="A1082" s="343"/>
      <c r="B1082" s="344"/>
    </row>
    <row r="1083" spans="1:2" ht="15.5" x14ac:dyDescent="0.35">
      <c r="A1083" s="343"/>
      <c r="B1083" s="344"/>
    </row>
    <row r="1084" spans="1:2" ht="15.5" x14ac:dyDescent="0.35">
      <c r="A1084" s="343"/>
      <c r="B1084" s="344"/>
    </row>
    <row r="1085" spans="1:2" ht="15.5" x14ac:dyDescent="0.35">
      <c r="A1085" s="343"/>
      <c r="B1085" s="344"/>
    </row>
    <row r="1086" spans="1:2" ht="15.5" x14ac:dyDescent="0.35">
      <c r="A1086" s="343"/>
      <c r="B1086" s="344"/>
    </row>
    <row r="1087" spans="1:2" ht="15.5" x14ac:dyDescent="0.35">
      <c r="A1087" s="343"/>
      <c r="B1087" s="344"/>
    </row>
    <row r="1088" spans="1:2" ht="15.5" x14ac:dyDescent="0.35">
      <c r="A1088" s="343"/>
      <c r="B1088" s="344"/>
    </row>
    <row r="1089" spans="1:2" ht="15.5" x14ac:dyDescent="0.35">
      <c r="A1089" s="343"/>
      <c r="B1089" s="344"/>
    </row>
    <row r="1090" spans="1:2" ht="15.5" x14ac:dyDescent="0.35">
      <c r="A1090" s="343"/>
      <c r="B1090" s="344"/>
    </row>
    <row r="1091" spans="1:2" ht="15.5" x14ac:dyDescent="0.35">
      <c r="A1091" s="343"/>
      <c r="B1091" s="344"/>
    </row>
    <row r="1092" spans="1:2" ht="15.5" x14ac:dyDescent="0.35">
      <c r="A1092" s="343"/>
      <c r="B1092" s="344"/>
    </row>
    <row r="1093" spans="1:2" ht="15.5" x14ac:dyDescent="0.35">
      <c r="A1093" s="343"/>
      <c r="B1093" s="344"/>
    </row>
    <row r="1094" spans="1:2" ht="15.5" x14ac:dyDescent="0.35">
      <c r="A1094" s="343"/>
      <c r="B1094" s="344"/>
    </row>
    <row r="1095" spans="1:2" ht="15.5" x14ac:dyDescent="0.35">
      <c r="A1095" s="343"/>
      <c r="B1095" s="344"/>
    </row>
    <row r="1096" spans="1:2" ht="15.5" x14ac:dyDescent="0.35">
      <c r="A1096" s="343"/>
      <c r="B1096" s="344"/>
    </row>
    <row r="1097" spans="1:2" ht="15.5" x14ac:dyDescent="0.35">
      <c r="A1097" s="343"/>
      <c r="B1097" s="344"/>
    </row>
    <row r="1098" spans="1:2" ht="15.5" x14ac:dyDescent="0.35">
      <c r="A1098" s="343"/>
      <c r="B1098" s="344"/>
    </row>
    <row r="1099" spans="1:2" ht="15.5" x14ac:dyDescent="0.35">
      <c r="A1099" s="343"/>
      <c r="B1099" s="344"/>
    </row>
    <row r="1100" spans="1:2" ht="15.5" x14ac:dyDescent="0.35">
      <c r="A1100" s="343"/>
      <c r="B1100" s="344"/>
    </row>
    <row r="1101" spans="1:2" ht="15.5" x14ac:dyDescent="0.35">
      <c r="A1101" s="343"/>
      <c r="B1101" s="344"/>
    </row>
    <row r="1102" spans="1:2" ht="15.5" x14ac:dyDescent="0.35">
      <c r="A1102" s="343"/>
      <c r="B1102" s="344"/>
    </row>
    <row r="1103" spans="1:2" ht="15.5" x14ac:dyDescent="0.35">
      <c r="A1103" s="343"/>
      <c r="B1103" s="344"/>
    </row>
    <row r="1104" spans="1:2" ht="15.5" x14ac:dyDescent="0.35">
      <c r="A1104" s="343"/>
      <c r="B1104" s="344"/>
    </row>
    <row r="1105" spans="1:2" ht="15.5" x14ac:dyDescent="0.35">
      <c r="A1105" s="343"/>
      <c r="B1105" s="344"/>
    </row>
    <row r="1106" spans="1:2" ht="15.5" x14ac:dyDescent="0.35">
      <c r="A1106" s="343"/>
      <c r="B1106" s="344"/>
    </row>
    <row r="1107" spans="1:2" ht="15.5" x14ac:dyDescent="0.35">
      <c r="A1107" s="343"/>
      <c r="B1107" s="344"/>
    </row>
    <row r="1108" spans="1:2" ht="15.5" x14ac:dyDescent="0.35">
      <c r="A1108" s="343"/>
      <c r="B1108" s="344"/>
    </row>
    <row r="1109" spans="1:2" ht="15.5" x14ac:dyDescent="0.35">
      <c r="A1109" s="343"/>
      <c r="B1109" s="344"/>
    </row>
    <row r="1110" spans="1:2" ht="15.5" x14ac:dyDescent="0.35">
      <c r="A1110" s="343"/>
      <c r="B1110" s="344"/>
    </row>
    <row r="1111" spans="1:2" ht="15.5" x14ac:dyDescent="0.35">
      <c r="A1111" s="343"/>
      <c r="B1111" s="344"/>
    </row>
    <row r="1112" spans="1:2" ht="15.5" x14ac:dyDescent="0.35">
      <c r="A1112" s="343"/>
      <c r="B1112" s="344"/>
    </row>
    <row r="1113" spans="1:2" ht="15.5" x14ac:dyDescent="0.35">
      <c r="A1113" s="343"/>
      <c r="B1113" s="344"/>
    </row>
    <row r="1114" spans="1:2" ht="15.5" x14ac:dyDescent="0.35">
      <c r="A1114" s="343"/>
      <c r="B1114" s="344"/>
    </row>
    <row r="1115" spans="1:2" ht="15.5" x14ac:dyDescent="0.35">
      <c r="A1115" s="343"/>
      <c r="B1115" s="344"/>
    </row>
    <row r="1116" spans="1:2" ht="15.5" x14ac:dyDescent="0.35">
      <c r="A1116" s="343"/>
      <c r="B1116" s="344"/>
    </row>
    <row r="1117" spans="1:2" ht="15.5" x14ac:dyDescent="0.35">
      <c r="A1117" s="343"/>
      <c r="B1117" s="344"/>
    </row>
    <row r="1118" spans="1:2" ht="15.5" x14ac:dyDescent="0.35">
      <c r="A1118" s="343"/>
      <c r="B1118" s="344"/>
    </row>
    <row r="1119" spans="1:2" ht="15.5" x14ac:dyDescent="0.35">
      <c r="A1119" s="343"/>
      <c r="B1119" s="344"/>
    </row>
    <row r="1120" spans="1:2" ht="15.5" x14ac:dyDescent="0.35">
      <c r="A1120" s="343"/>
      <c r="B1120" s="344"/>
    </row>
    <row r="1121" spans="1:2" ht="15.5" x14ac:dyDescent="0.35">
      <c r="A1121" s="343"/>
      <c r="B1121" s="344"/>
    </row>
    <row r="1122" spans="1:2" ht="15.5" x14ac:dyDescent="0.35">
      <c r="A1122" s="343"/>
      <c r="B1122" s="344"/>
    </row>
    <row r="1123" spans="1:2" ht="15.5" x14ac:dyDescent="0.35">
      <c r="A1123" s="343"/>
      <c r="B1123" s="344"/>
    </row>
    <row r="1124" spans="1:2" ht="15.5" x14ac:dyDescent="0.35">
      <c r="A1124" s="343"/>
      <c r="B1124" s="344"/>
    </row>
    <row r="1125" spans="1:2" ht="15.5" x14ac:dyDescent="0.35">
      <c r="A1125" s="343"/>
      <c r="B1125" s="344"/>
    </row>
    <row r="1126" spans="1:2" ht="15.5" x14ac:dyDescent="0.35">
      <c r="A1126" s="343"/>
      <c r="B1126" s="344"/>
    </row>
    <row r="1127" spans="1:2" ht="15.5" x14ac:dyDescent="0.35">
      <c r="A1127" s="343"/>
      <c r="B1127" s="344"/>
    </row>
    <row r="1128" spans="1:2" ht="15.5" x14ac:dyDescent="0.35">
      <c r="A1128" s="343"/>
      <c r="B1128" s="344"/>
    </row>
    <row r="1129" spans="1:2" ht="15.5" x14ac:dyDescent="0.35">
      <c r="A1129" s="343"/>
      <c r="B1129" s="344"/>
    </row>
    <row r="1130" spans="1:2" ht="15.5" x14ac:dyDescent="0.35">
      <c r="A1130" s="343"/>
      <c r="B1130" s="344"/>
    </row>
    <row r="1131" spans="1:2" ht="15.5" x14ac:dyDescent="0.35">
      <c r="A1131" s="343"/>
      <c r="B1131" s="344"/>
    </row>
    <row r="1132" spans="1:2" ht="15.5" x14ac:dyDescent="0.35">
      <c r="A1132" s="343"/>
      <c r="B1132" s="344"/>
    </row>
    <row r="1133" spans="1:2" ht="15.5" x14ac:dyDescent="0.35">
      <c r="A1133" s="343"/>
      <c r="B1133" s="344"/>
    </row>
    <row r="1134" spans="1:2" ht="15.5" x14ac:dyDescent="0.35">
      <c r="A1134" s="343"/>
      <c r="B1134" s="344"/>
    </row>
    <row r="1135" spans="1:2" ht="15.5" x14ac:dyDescent="0.35">
      <c r="A1135" s="343"/>
      <c r="B1135" s="344"/>
    </row>
    <row r="1136" spans="1:2" ht="15.5" x14ac:dyDescent="0.35">
      <c r="A1136" s="343"/>
      <c r="B1136" s="344"/>
    </row>
    <row r="1137" spans="1:2" ht="15.5" x14ac:dyDescent="0.35">
      <c r="A1137" s="343"/>
      <c r="B1137" s="344"/>
    </row>
    <row r="1138" spans="1:2" ht="15.5" x14ac:dyDescent="0.35">
      <c r="A1138" s="343"/>
      <c r="B1138" s="344"/>
    </row>
    <row r="1139" spans="1:2" ht="15.5" x14ac:dyDescent="0.35">
      <c r="A1139" s="343"/>
      <c r="B1139" s="344"/>
    </row>
    <row r="1140" spans="1:2" ht="15.5" x14ac:dyDescent="0.35">
      <c r="A1140" s="343"/>
      <c r="B1140" s="344"/>
    </row>
    <row r="1141" spans="1:2" ht="15.5" x14ac:dyDescent="0.35">
      <c r="A1141" s="343"/>
      <c r="B1141" s="344"/>
    </row>
    <row r="1142" spans="1:2" ht="15.5" x14ac:dyDescent="0.35">
      <c r="A1142" s="343"/>
      <c r="B1142" s="344"/>
    </row>
    <row r="1143" spans="1:2" ht="15.5" x14ac:dyDescent="0.35">
      <c r="A1143" s="343"/>
      <c r="B1143" s="344"/>
    </row>
    <row r="1144" spans="1:2" ht="15.5" x14ac:dyDescent="0.35">
      <c r="A1144" s="343"/>
      <c r="B1144" s="344"/>
    </row>
    <row r="1145" spans="1:2" ht="15.5" x14ac:dyDescent="0.35">
      <c r="A1145" s="343"/>
      <c r="B1145" s="344"/>
    </row>
    <row r="1146" spans="1:2" ht="15.5" x14ac:dyDescent="0.35">
      <c r="A1146" s="343"/>
      <c r="B1146" s="344"/>
    </row>
    <row r="1147" spans="1:2" ht="15.5" x14ac:dyDescent="0.35">
      <c r="A1147" s="343"/>
      <c r="B1147" s="344"/>
    </row>
    <row r="1148" spans="1:2" ht="15.5" x14ac:dyDescent="0.35">
      <c r="A1148" s="343"/>
      <c r="B1148" s="344"/>
    </row>
    <row r="1149" spans="1:2" ht="15.5" x14ac:dyDescent="0.35">
      <c r="A1149" s="343"/>
      <c r="B1149" s="344"/>
    </row>
    <row r="1150" spans="1:2" ht="15.5" x14ac:dyDescent="0.35">
      <c r="A1150" s="343"/>
      <c r="B1150" s="344"/>
    </row>
    <row r="1151" spans="1:2" ht="15.5" x14ac:dyDescent="0.35">
      <c r="A1151" s="343"/>
      <c r="B1151" s="344"/>
    </row>
    <row r="1152" spans="1:2" ht="15.5" x14ac:dyDescent="0.35">
      <c r="A1152" s="343"/>
      <c r="B1152" s="344"/>
    </row>
    <row r="1153" spans="1:2" ht="15.5" x14ac:dyDescent="0.35">
      <c r="A1153" s="343"/>
      <c r="B1153" s="344"/>
    </row>
    <row r="1154" spans="1:2" ht="15.5" x14ac:dyDescent="0.35">
      <c r="A1154" s="343"/>
      <c r="B1154" s="344"/>
    </row>
    <row r="1155" spans="1:2" ht="15.5" x14ac:dyDescent="0.35">
      <c r="A1155" s="343"/>
      <c r="B1155" s="344"/>
    </row>
    <row r="1156" spans="1:2" ht="15.5" x14ac:dyDescent="0.35">
      <c r="A1156" s="343"/>
      <c r="B1156" s="344"/>
    </row>
    <row r="1157" spans="1:2" ht="15.5" x14ac:dyDescent="0.35">
      <c r="A1157" s="343"/>
      <c r="B1157" s="344"/>
    </row>
    <row r="1158" spans="1:2" ht="15.5" x14ac:dyDescent="0.35">
      <c r="A1158" s="343"/>
      <c r="B1158" s="344"/>
    </row>
    <row r="1159" spans="1:2" ht="15.5" x14ac:dyDescent="0.35">
      <c r="A1159" s="343"/>
      <c r="B1159" s="344"/>
    </row>
    <row r="1160" spans="1:2" ht="15.5" x14ac:dyDescent="0.35">
      <c r="A1160" s="343"/>
      <c r="B1160" s="344"/>
    </row>
    <row r="1161" spans="1:2" ht="15.5" x14ac:dyDescent="0.35">
      <c r="A1161" s="343"/>
      <c r="B1161" s="344"/>
    </row>
    <row r="1162" spans="1:2" ht="15.5" x14ac:dyDescent="0.35">
      <c r="A1162" s="343"/>
      <c r="B1162" s="344"/>
    </row>
    <row r="1163" spans="1:2" ht="15.5" x14ac:dyDescent="0.35">
      <c r="A1163" s="343"/>
      <c r="B1163" s="344"/>
    </row>
    <row r="1164" spans="1:2" ht="15.5" x14ac:dyDescent="0.35">
      <c r="A1164" s="343"/>
      <c r="B1164" s="344"/>
    </row>
    <row r="1165" spans="1:2" ht="15.5" x14ac:dyDescent="0.35">
      <c r="A1165" s="343"/>
      <c r="B1165" s="344"/>
    </row>
    <row r="1166" spans="1:2" ht="15.5" x14ac:dyDescent="0.35">
      <c r="A1166" s="343"/>
      <c r="B1166" s="344"/>
    </row>
    <row r="1167" spans="1:2" ht="15.5" x14ac:dyDescent="0.35">
      <c r="A1167" s="343"/>
      <c r="B1167" s="344"/>
    </row>
    <row r="1168" spans="1:2" ht="15.5" x14ac:dyDescent="0.35">
      <c r="A1168" s="343"/>
      <c r="B1168" s="344"/>
    </row>
    <row r="1169" spans="1:2" ht="15.5" x14ac:dyDescent="0.35">
      <c r="A1169" s="343"/>
      <c r="B1169" s="344"/>
    </row>
    <row r="1170" spans="1:2" ht="15.5" x14ac:dyDescent="0.35">
      <c r="A1170" s="343"/>
      <c r="B1170" s="344"/>
    </row>
    <row r="1171" spans="1:2" ht="15.5" x14ac:dyDescent="0.35">
      <c r="A1171" s="343"/>
      <c r="B1171" s="344"/>
    </row>
    <row r="1172" spans="1:2" ht="15.5" x14ac:dyDescent="0.35">
      <c r="A1172" s="343"/>
      <c r="B1172" s="344"/>
    </row>
    <row r="1173" spans="1:2" ht="15.5" x14ac:dyDescent="0.35">
      <c r="A1173" s="343"/>
      <c r="B1173" s="344"/>
    </row>
    <row r="1174" spans="1:2" ht="15.5" x14ac:dyDescent="0.35">
      <c r="A1174" s="343"/>
      <c r="B1174" s="344"/>
    </row>
    <row r="1175" spans="1:2" ht="15.5" x14ac:dyDescent="0.35">
      <c r="A1175" s="343"/>
      <c r="B1175" s="344"/>
    </row>
    <row r="1176" spans="1:2" ht="15.5" x14ac:dyDescent="0.35">
      <c r="A1176" s="343"/>
      <c r="B1176" s="344"/>
    </row>
    <row r="1177" spans="1:2" ht="15.5" x14ac:dyDescent="0.35">
      <c r="A1177" s="343"/>
      <c r="B1177" s="344"/>
    </row>
    <row r="1178" spans="1:2" ht="15.5" x14ac:dyDescent="0.35">
      <c r="A1178" s="343"/>
      <c r="B1178" s="344"/>
    </row>
    <row r="1179" spans="1:2" ht="15.5" x14ac:dyDescent="0.35">
      <c r="A1179" s="343"/>
      <c r="B1179" s="344"/>
    </row>
    <row r="1180" spans="1:2" ht="15.5" x14ac:dyDescent="0.35">
      <c r="A1180" s="343"/>
      <c r="B1180" s="344"/>
    </row>
    <row r="1181" spans="1:2" ht="15.5" x14ac:dyDescent="0.35">
      <c r="A1181" s="343"/>
      <c r="B1181" s="344"/>
    </row>
    <row r="1182" spans="1:2" ht="15.5" x14ac:dyDescent="0.35">
      <c r="A1182" s="343"/>
      <c r="B1182" s="344"/>
    </row>
    <row r="1183" spans="1:2" ht="15.5" x14ac:dyDescent="0.35">
      <c r="A1183" s="343"/>
      <c r="B1183" s="344"/>
    </row>
    <row r="1184" spans="1:2" ht="15.5" x14ac:dyDescent="0.35">
      <c r="A1184" s="343"/>
      <c r="B1184" s="344"/>
    </row>
    <row r="1185" spans="1:2" ht="15.5" x14ac:dyDescent="0.35">
      <c r="A1185" s="343"/>
      <c r="B1185" s="344"/>
    </row>
    <row r="1186" spans="1:2" ht="15.5" x14ac:dyDescent="0.35">
      <c r="A1186" s="343"/>
      <c r="B1186" s="344"/>
    </row>
    <row r="1187" spans="1:2" ht="15.5" x14ac:dyDescent="0.35">
      <c r="A1187" s="343"/>
      <c r="B1187" s="344"/>
    </row>
    <row r="1188" spans="1:2" ht="15.5" x14ac:dyDescent="0.35">
      <c r="A1188" s="343"/>
      <c r="B1188" s="344"/>
    </row>
    <row r="1189" spans="1:2" ht="15.5" x14ac:dyDescent="0.35">
      <c r="A1189" s="343"/>
      <c r="B1189" s="344"/>
    </row>
    <row r="1190" spans="1:2" ht="15.5" x14ac:dyDescent="0.35">
      <c r="A1190" s="343"/>
      <c r="B1190" s="344"/>
    </row>
    <row r="1191" spans="1:2" ht="15.5" x14ac:dyDescent="0.35">
      <c r="A1191" s="343"/>
      <c r="B1191" s="344"/>
    </row>
    <row r="1192" spans="1:2" ht="15.5" x14ac:dyDescent="0.35">
      <c r="A1192" s="343"/>
      <c r="B1192" s="344"/>
    </row>
    <row r="1193" spans="1:2" ht="15.5" x14ac:dyDescent="0.35">
      <c r="A1193" s="343"/>
      <c r="B1193" s="344"/>
    </row>
    <row r="1194" spans="1:2" ht="15.5" x14ac:dyDescent="0.35">
      <c r="A1194" s="343"/>
      <c r="B1194" s="344"/>
    </row>
    <row r="1195" spans="1:2" ht="15.5" x14ac:dyDescent="0.35">
      <c r="A1195" s="343"/>
      <c r="B1195" s="344"/>
    </row>
    <row r="1196" spans="1:2" ht="15.5" x14ac:dyDescent="0.35">
      <c r="A1196" s="343"/>
      <c r="B1196" s="344"/>
    </row>
    <row r="1197" spans="1:2" ht="15.5" x14ac:dyDescent="0.35">
      <c r="A1197" s="343"/>
      <c r="B1197" s="344"/>
    </row>
    <row r="1198" spans="1:2" ht="15.5" x14ac:dyDescent="0.35">
      <c r="A1198" s="343"/>
      <c r="B1198" s="344"/>
    </row>
    <row r="1199" spans="1:2" ht="15.5" x14ac:dyDescent="0.35">
      <c r="A1199" s="343"/>
      <c r="B1199" s="344"/>
    </row>
    <row r="1200" spans="1:2" ht="15.5" x14ac:dyDescent="0.35">
      <c r="A1200" s="343"/>
      <c r="B1200" s="344"/>
    </row>
    <row r="1201" spans="1:2" ht="15.5" x14ac:dyDescent="0.35">
      <c r="A1201" s="343"/>
      <c r="B1201" s="344"/>
    </row>
    <row r="1202" spans="1:2" ht="15.5" x14ac:dyDescent="0.35">
      <c r="A1202" s="343"/>
      <c r="B1202" s="344"/>
    </row>
    <row r="1203" spans="1:2" ht="15.5" x14ac:dyDescent="0.35">
      <c r="A1203" s="343"/>
      <c r="B1203" s="344"/>
    </row>
    <row r="1204" spans="1:2" ht="15.5" x14ac:dyDescent="0.35">
      <c r="A1204" s="343"/>
      <c r="B1204" s="344"/>
    </row>
    <row r="1205" spans="1:2" ht="15.5" x14ac:dyDescent="0.35">
      <c r="A1205" s="343"/>
      <c r="B1205" s="344"/>
    </row>
    <row r="1206" spans="1:2" ht="15.5" x14ac:dyDescent="0.35">
      <c r="A1206" s="343"/>
      <c r="B1206" s="344"/>
    </row>
    <row r="1207" spans="1:2" ht="15.5" x14ac:dyDescent="0.35">
      <c r="A1207" s="343"/>
      <c r="B1207" s="344"/>
    </row>
    <row r="1208" spans="1:2" ht="15.5" x14ac:dyDescent="0.35">
      <c r="A1208" s="343"/>
      <c r="B1208" s="344"/>
    </row>
    <row r="1209" spans="1:2" ht="15.5" x14ac:dyDescent="0.35">
      <c r="A1209" s="343"/>
      <c r="B1209" s="344"/>
    </row>
    <row r="1210" spans="1:2" ht="15.5" x14ac:dyDescent="0.35">
      <c r="A1210" s="343"/>
      <c r="B1210" s="344"/>
    </row>
    <row r="1211" spans="1:2" ht="15.5" x14ac:dyDescent="0.35">
      <c r="A1211" s="343"/>
      <c r="B1211" s="344"/>
    </row>
    <row r="1212" spans="1:2" ht="15.5" x14ac:dyDescent="0.35">
      <c r="A1212" s="343"/>
      <c r="B1212" s="344"/>
    </row>
    <row r="1213" spans="1:2" ht="15.5" x14ac:dyDescent="0.35">
      <c r="A1213" s="343"/>
      <c r="B1213" s="344"/>
    </row>
    <row r="1214" spans="1:2" ht="15.5" x14ac:dyDescent="0.35">
      <c r="A1214" s="343"/>
      <c r="B1214" s="344"/>
    </row>
    <row r="1215" spans="1:2" ht="15.5" x14ac:dyDescent="0.35">
      <c r="A1215" s="343"/>
      <c r="B1215" s="344"/>
    </row>
    <row r="1216" spans="1:2" ht="15.5" x14ac:dyDescent="0.35">
      <c r="A1216" s="343"/>
      <c r="B1216" s="344"/>
    </row>
    <row r="1217" spans="1:2" ht="15.5" x14ac:dyDescent="0.35">
      <c r="A1217" s="343"/>
      <c r="B1217" s="344"/>
    </row>
    <row r="1218" spans="1:2" ht="15.5" x14ac:dyDescent="0.35">
      <c r="A1218" s="343"/>
      <c r="B1218" s="344"/>
    </row>
    <row r="1219" spans="1:2" ht="15.5" x14ac:dyDescent="0.35">
      <c r="A1219" s="343"/>
      <c r="B1219" s="344"/>
    </row>
    <row r="1220" spans="1:2" ht="15.5" x14ac:dyDescent="0.35">
      <c r="A1220" s="343"/>
      <c r="B1220" s="344"/>
    </row>
    <row r="1221" spans="1:2" ht="15.5" x14ac:dyDescent="0.35">
      <c r="A1221" s="343"/>
      <c r="B1221" s="344"/>
    </row>
    <row r="1222" spans="1:2" ht="15.5" x14ac:dyDescent="0.35">
      <c r="A1222" s="343"/>
      <c r="B1222" s="344"/>
    </row>
    <row r="1223" spans="1:2" ht="15.5" x14ac:dyDescent="0.35">
      <c r="A1223" s="343"/>
      <c r="B1223" s="344"/>
    </row>
    <row r="1224" spans="1:2" ht="15.5" x14ac:dyDescent="0.35">
      <c r="A1224" s="343"/>
      <c r="B1224" s="344"/>
    </row>
    <row r="1225" spans="1:2" ht="15.5" x14ac:dyDescent="0.35">
      <c r="A1225" s="343"/>
      <c r="B1225" s="344"/>
    </row>
    <row r="1226" spans="1:2" ht="15.5" x14ac:dyDescent="0.35">
      <c r="A1226" s="343"/>
      <c r="B1226" s="344"/>
    </row>
    <row r="1227" spans="1:2" ht="15.5" x14ac:dyDescent="0.35">
      <c r="A1227" s="343"/>
      <c r="B1227" s="344"/>
    </row>
    <row r="1228" spans="1:2" ht="15.5" x14ac:dyDescent="0.35">
      <c r="A1228" s="343"/>
      <c r="B1228" s="344"/>
    </row>
    <row r="1229" spans="1:2" ht="15.5" x14ac:dyDescent="0.35">
      <c r="A1229" s="343"/>
      <c r="B1229" s="344"/>
    </row>
    <row r="1230" spans="1:2" ht="15.5" x14ac:dyDescent="0.35">
      <c r="A1230" s="343"/>
      <c r="B1230" s="344"/>
    </row>
    <row r="1231" spans="1:2" ht="15.5" x14ac:dyDescent="0.35">
      <c r="A1231" s="343"/>
      <c r="B1231" s="344"/>
    </row>
    <row r="1232" spans="1:2" ht="15.5" x14ac:dyDescent="0.35">
      <c r="A1232" s="343"/>
      <c r="B1232" s="344"/>
    </row>
    <row r="1233" spans="1:2" ht="15.5" x14ac:dyDescent="0.35">
      <c r="A1233" s="343"/>
      <c r="B1233" s="344"/>
    </row>
    <row r="1234" spans="1:2" ht="15.5" x14ac:dyDescent="0.35">
      <c r="A1234" s="343"/>
      <c r="B1234" s="344"/>
    </row>
    <row r="1235" spans="1:2" ht="15.5" x14ac:dyDescent="0.35">
      <c r="A1235" s="343"/>
      <c r="B1235" s="344"/>
    </row>
    <row r="1236" spans="1:2" ht="15.5" x14ac:dyDescent="0.35">
      <c r="A1236" s="343"/>
      <c r="B1236" s="344"/>
    </row>
    <row r="1237" spans="1:2" ht="15.5" x14ac:dyDescent="0.35">
      <c r="A1237" s="343"/>
      <c r="B1237" s="344"/>
    </row>
    <row r="1238" spans="1:2" ht="15.5" x14ac:dyDescent="0.35">
      <c r="A1238" s="343"/>
      <c r="B1238" s="344"/>
    </row>
    <row r="1239" spans="1:2" ht="15.5" x14ac:dyDescent="0.35">
      <c r="A1239" s="343"/>
      <c r="B1239" s="344"/>
    </row>
    <row r="1240" spans="1:2" ht="15.5" x14ac:dyDescent="0.35">
      <c r="A1240" s="343"/>
      <c r="B1240" s="344"/>
    </row>
    <row r="1241" spans="1:2" ht="15.5" x14ac:dyDescent="0.35">
      <c r="A1241" s="343"/>
      <c r="B1241" s="344"/>
    </row>
    <row r="1242" spans="1:2" ht="15.5" x14ac:dyDescent="0.35">
      <c r="A1242" s="343"/>
      <c r="B1242" s="344"/>
    </row>
    <row r="1243" spans="1:2" ht="15.5" x14ac:dyDescent="0.35">
      <c r="A1243" s="343"/>
      <c r="B1243" s="344"/>
    </row>
    <row r="1244" spans="1:2" ht="15.5" x14ac:dyDescent="0.35">
      <c r="A1244" s="343"/>
      <c r="B1244" s="344"/>
    </row>
    <row r="1245" spans="1:2" ht="15.5" x14ac:dyDescent="0.35">
      <c r="A1245" s="343"/>
      <c r="B1245" s="344"/>
    </row>
    <row r="1246" spans="1:2" ht="15.5" x14ac:dyDescent="0.35">
      <c r="A1246" s="343"/>
      <c r="B1246" s="344"/>
    </row>
    <row r="1247" spans="1:2" ht="15.5" x14ac:dyDescent="0.35">
      <c r="A1247" s="343"/>
      <c r="B1247" s="344"/>
    </row>
    <row r="1248" spans="1:2" ht="15.5" x14ac:dyDescent="0.35">
      <c r="A1248" s="343"/>
      <c r="B1248" s="344"/>
    </row>
    <row r="1249" spans="1:2" ht="15.5" x14ac:dyDescent="0.35">
      <c r="A1249" s="343"/>
      <c r="B1249" s="344"/>
    </row>
    <row r="1250" spans="1:2" ht="15.5" x14ac:dyDescent="0.35">
      <c r="A1250" s="343"/>
      <c r="B1250" s="344"/>
    </row>
    <row r="1251" spans="1:2" ht="15.5" x14ac:dyDescent="0.35">
      <c r="A1251" s="343"/>
      <c r="B1251" s="344"/>
    </row>
    <row r="1252" spans="1:2" ht="15.5" x14ac:dyDescent="0.35">
      <c r="A1252" s="343"/>
      <c r="B1252" s="344"/>
    </row>
    <row r="1253" spans="1:2" ht="15.5" x14ac:dyDescent="0.35">
      <c r="A1253" s="343"/>
      <c r="B1253" s="344"/>
    </row>
    <row r="1254" spans="1:2" ht="15.5" x14ac:dyDescent="0.35">
      <c r="A1254" s="343"/>
      <c r="B1254" s="344"/>
    </row>
    <row r="1255" spans="1:2" ht="15.5" x14ac:dyDescent="0.35">
      <c r="A1255" s="343"/>
      <c r="B1255" s="344"/>
    </row>
    <row r="1256" spans="1:2" ht="15.5" x14ac:dyDescent="0.35">
      <c r="A1256" s="343"/>
      <c r="B1256" s="344"/>
    </row>
    <row r="1257" spans="1:2" ht="15.5" x14ac:dyDescent="0.35">
      <c r="A1257" s="343"/>
      <c r="B1257" s="344"/>
    </row>
    <row r="1258" spans="1:2" ht="15.5" x14ac:dyDescent="0.35">
      <c r="A1258" s="343"/>
      <c r="B1258" s="344"/>
    </row>
    <row r="1259" spans="1:2" ht="15.5" x14ac:dyDescent="0.35">
      <c r="A1259" s="343"/>
      <c r="B1259" s="344"/>
    </row>
    <row r="1260" spans="1:2" ht="15.5" x14ac:dyDescent="0.35">
      <c r="A1260" s="343"/>
      <c r="B1260" s="344"/>
    </row>
    <row r="1261" spans="1:2" ht="15.5" x14ac:dyDescent="0.35">
      <c r="A1261" s="343"/>
      <c r="B1261" s="344"/>
    </row>
    <row r="1262" spans="1:2" ht="15.5" x14ac:dyDescent="0.35">
      <c r="A1262" s="343"/>
      <c r="B1262" s="344"/>
    </row>
    <row r="1263" spans="1:2" ht="15.5" x14ac:dyDescent="0.35">
      <c r="A1263" s="343"/>
      <c r="B1263" s="344"/>
    </row>
    <row r="1264" spans="1:2" ht="15.5" x14ac:dyDescent="0.35">
      <c r="A1264" s="343"/>
      <c r="B1264" s="344"/>
    </row>
    <row r="1265" spans="1:2" ht="15.5" x14ac:dyDescent="0.35">
      <c r="A1265" s="343"/>
      <c r="B1265" s="344"/>
    </row>
    <row r="1266" spans="1:2" ht="15.5" x14ac:dyDescent="0.35">
      <c r="A1266" s="343"/>
      <c r="B1266" s="344"/>
    </row>
    <row r="1267" spans="1:2" ht="15.5" x14ac:dyDescent="0.35">
      <c r="A1267" s="343"/>
      <c r="B1267" s="344"/>
    </row>
    <row r="1268" spans="1:2" ht="15.5" x14ac:dyDescent="0.35">
      <c r="A1268" s="343"/>
      <c r="B1268" s="344"/>
    </row>
    <row r="1269" spans="1:2" ht="15.5" x14ac:dyDescent="0.35">
      <c r="A1269" s="343"/>
      <c r="B1269" s="344"/>
    </row>
    <row r="1270" spans="1:2" ht="15.5" x14ac:dyDescent="0.35">
      <c r="A1270" s="343"/>
      <c r="B1270" s="344"/>
    </row>
    <row r="1271" spans="1:2" ht="15.5" x14ac:dyDescent="0.35">
      <c r="A1271" s="343"/>
      <c r="B1271" s="344"/>
    </row>
    <row r="1272" spans="1:2" ht="15.5" x14ac:dyDescent="0.35">
      <c r="A1272" s="343"/>
      <c r="B1272" s="344"/>
    </row>
    <row r="1273" spans="1:2" ht="15.5" x14ac:dyDescent="0.35">
      <c r="A1273" s="343"/>
      <c r="B1273" s="344"/>
    </row>
    <row r="1274" spans="1:2" ht="15.5" x14ac:dyDescent="0.35">
      <c r="A1274" s="343"/>
      <c r="B1274" s="344"/>
    </row>
    <row r="1275" spans="1:2" ht="15.5" x14ac:dyDescent="0.35">
      <c r="A1275" s="343"/>
      <c r="B1275" s="344"/>
    </row>
    <row r="1276" spans="1:2" ht="15.5" x14ac:dyDescent="0.35">
      <c r="A1276" s="343"/>
      <c r="B1276" s="344"/>
    </row>
    <row r="1277" spans="1:2" ht="15.5" x14ac:dyDescent="0.35">
      <c r="A1277" s="343"/>
      <c r="B1277" s="344"/>
    </row>
    <row r="1278" spans="1:2" ht="15.5" x14ac:dyDescent="0.35">
      <c r="A1278" s="343"/>
      <c r="B1278" s="344"/>
    </row>
    <row r="1279" spans="1:2" ht="15.5" x14ac:dyDescent="0.35">
      <c r="A1279" s="343"/>
      <c r="B1279" s="344"/>
    </row>
    <row r="1280" spans="1:2" ht="15.5" x14ac:dyDescent="0.35">
      <c r="A1280" s="343"/>
      <c r="B1280" s="344"/>
    </row>
    <row r="1281" spans="1:2" ht="15.5" x14ac:dyDescent="0.35">
      <c r="A1281" s="343"/>
      <c r="B1281" s="344"/>
    </row>
    <row r="1282" spans="1:2" ht="15.5" x14ac:dyDescent="0.35">
      <c r="A1282" s="343"/>
      <c r="B1282" s="344"/>
    </row>
    <row r="1283" spans="1:2" ht="15.5" x14ac:dyDescent="0.35">
      <c r="A1283" s="343"/>
      <c r="B1283" s="344"/>
    </row>
    <row r="1284" spans="1:2" ht="15.5" x14ac:dyDescent="0.35">
      <c r="A1284" s="343"/>
      <c r="B1284" s="344"/>
    </row>
    <row r="1285" spans="1:2" ht="15.5" x14ac:dyDescent="0.35">
      <c r="A1285" s="343"/>
      <c r="B1285" s="344"/>
    </row>
    <row r="1286" spans="1:2" ht="15.5" x14ac:dyDescent="0.35">
      <c r="A1286" s="343"/>
      <c r="B1286" s="344"/>
    </row>
    <row r="1287" spans="1:2" ht="15.5" x14ac:dyDescent="0.35">
      <c r="A1287" s="343"/>
      <c r="B1287" s="344"/>
    </row>
    <row r="1288" spans="1:2" ht="15.5" x14ac:dyDescent="0.35">
      <c r="A1288" s="343"/>
      <c r="B1288" s="344"/>
    </row>
    <row r="1289" spans="1:2" ht="15.5" x14ac:dyDescent="0.35">
      <c r="A1289" s="343"/>
      <c r="B1289" s="344"/>
    </row>
    <row r="1290" spans="1:2" ht="15.5" x14ac:dyDescent="0.35">
      <c r="A1290" s="343"/>
      <c r="B1290" s="344"/>
    </row>
    <row r="1291" spans="1:2" ht="15.5" x14ac:dyDescent="0.35">
      <c r="A1291" s="343"/>
      <c r="B1291" s="344"/>
    </row>
    <row r="1292" spans="1:2" ht="15.5" x14ac:dyDescent="0.35">
      <c r="A1292" s="343"/>
      <c r="B1292" s="344"/>
    </row>
    <row r="1293" spans="1:2" ht="15.5" x14ac:dyDescent="0.35">
      <c r="A1293" s="343"/>
      <c r="B1293" s="344"/>
    </row>
    <row r="1294" spans="1:2" ht="15.5" x14ac:dyDescent="0.35">
      <c r="A1294" s="343"/>
      <c r="B1294" s="344"/>
    </row>
    <row r="1295" spans="1:2" ht="15.5" x14ac:dyDescent="0.35">
      <c r="A1295" s="343"/>
      <c r="B1295" s="344"/>
    </row>
    <row r="1296" spans="1:2" ht="15.5" x14ac:dyDescent="0.35">
      <c r="A1296" s="343"/>
      <c r="B1296" s="344"/>
    </row>
    <row r="1297" spans="1:2" ht="15.5" x14ac:dyDescent="0.35">
      <c r="A1297" s="343"/>
      <c r="B1297" s="344"/>
    </row>
    <row r="1298" spans="1:2" ht="15.5" x14ac:dyDescent="0.35">
      <c r="A1298" s="343"/>
      <c r="B1298" s="344"/>
    </row>
    <row r="1299" spans="1:2" ht="15.5" x14ac:dyDescent="0.35">
      <c r="A1299" s="343"/>
      <c r="B1299" s="344"/>
    </row>
    <row r="1300" spans="1:2" ht="15.5" x14ac:dyDescent="0.35">
      <c r="A1300" s="343"/>
      <c r="B1300" s="344"/>
    </row>
    <row r="1301" spans="1:2" ht="15.5" x14ac:dyDescent="0.35">
      <c r="A1301" s="343"/>
      <c r="B1301" s="344"/>
    </row>
    <row r="1302" spans="1:2" ht="15.5" x14ac:dyDescent="0.35">
      <c r="A1302" s="343"/>
      <c r="B1302" s="344"/>
    </row>
    <row r="1303" spans="1:2" ht="15.5" x14ac:dyDescent="0.35">
      <c r="A1303" s="343"/>
      <c r="B1303" s="344"/>
    </row>
    <row r="1304" spans="1:2" ht="15.5" x14ac:dyDescent="0.35">
      <c r="A1304" s="343"/>
      <c r="B1304" s="344"/>
    </row>
    <row r="1305" spans="1:2" ht="15.5" x14ac:dyDescent="0.35">
      <c r="A1305" s="343"/>
      <c r="B1305" s="344"/>
    </row>
    <row r="1306" spans="1:2" ht="15.5" x14ac:dyDescent="0.35">
      <c r="A1306" s="343"/>
      <c r="B1306" s="344"/>
    </row>
    <row r="1307" spans="1:2" ht="15.5" x14ac:dyDescent="0.35">
      <c r="A1307" s="343"/>
      <c r="B1307" s="344"/>
    </row>
    <row r="1308" spans="1:2" ht="15.5" x14ac:dyDescent="0.35">
      <c r="A1308" s="343"/>
      <c r="B1308" s="344"/>
    </row>
    <row r="1309" spans="1:2" ht="15.5" x14ac:dyDescent="0.35">
      <c r="A1309" s="343"/>
      <c r="B1309" s="344"/>
    </row>
    <row r="1310" spans="1:2" ht="15.5" x14ac:dyDescent="0.35">
      <c r="A1310" s="343"/>
      <c r="B1310" s="344"/>
    </row>
    <row r="1311" spans="1:2" ht="15.5" x14ac:dyDescent="0.35">
      <c r="A1311" s="343"/>
      <c r="B1311" s="344"/>
    </row>
    <row r="1312" spans="1:2" ht="15.5" x14ac:dyDescent="0.35">
      <c r="A1312" s="343"/>
      <c r="B1312" s="344"/>
    </row>
    <row r="1313" spans="1:2" ht="15.5" x14ac:dyDescent="0.35">
      <c r="A1313" s="343"/>
      <c r="B1313" s="344"/>
    </row>
    <row r="1314" spans="1:2" ht="15.5" x14ac:dyDescent="0.35">
      <c r="A1314" s="343"/>
      <c r="B1314" s="344"/>
    </row>
    <row r="1315" spans="1:2" ht="15.5" x14ac:dyDescent="0.35">
      <c r="A1315" s="343"/>
      <c r="B1315" s="344"/>
    </row>
    <row r="1316" spans="1:2" ht="15.5" x14ac:dyDescent="0.35">
      <c r="A1316" s="343"/>
      <c r="B1316" s="344"/>
    </row>
    <row r="1317" spans="1:2" ht="15.5" x14ac:dyDescent="0.35">
      <c r="A1317" s="343"/>
      <c r="B1317" s="344"/>
    </row>
    <row r="1318" spans="1:2" ht="15.5" x14ac:dyDescent="0.35">
      <c r="A1318" s="343"/>
      <c r="B1318" s="344"/>
    </row>
    <row r="1319" spans="1:2" ht="15.5" x14ac:dyDescent="0.35">
      <c r="A1319" s="343"/>
      <c r="B1319" s="344"/>
    </row>
    <row r="1320" spans="1:2" ht="15.5" x14ac:dyDescent="0.35">
      <c r="A1320" s="343"/>
      <c r="B1320" s="344"/>
    </row>
    <row r="1321" spans="1:2" ht="15.5" x14ac:dyDescent="0.35">
      <c r="A1321" s="343"/>
      <c r="B1321" s="344"/>
    </row>
    <row r="1322" spans="1:2" ht="15.5" x14ac:dyDescent="0.35">
      <c r="A1322" s="343"/>
      <c r="B1322" s="344"/>
    </row>
    <row r="1323" spans="1:2" ht="15.5" x14ac:dyDescent="0.35">
      <c r="A1323" s="343"/>
      <c r="B1323" s="344"/>
    </row>
    <row r="1324" spans="1:2" ht="15.5" x14ac:dyDescent="0.35">
      <c r="A1324" s="343"/>
      <c r="B1324" s="344"/>
    </row>
    <row r="1325" spans="1:2" ht="15.5" x14ac:dyDescent="0.35">
      <c r="A1325" s="343"/>
      <c r="B1325" s="344"/>
    </row>
    <row r="1326" spans="1:2" ht="15.5" x14ac:dyDescent="0.35">
      <c r="A1326" s="343"/>
      <c r="B1326" s="344"/>
    </row>
    <row r="1327" spans="1:2" ht="15.5" x14ac:dyDescent="0.35">
      <c r="A1327" s="343"/>
      <c r="B1327" s="344"/>
    </row>
    <row r="1328" spans="1:2" ht="15.5" x14ac:dyDescent="0.35">
      <c r="A1328" s="343"/>
      <c r="B1328" s="344"/>
    </row>
    <row r="1329" spans="1:2" ht="15.5" x14ac:dyDescent="0.35">
      <c r="A1329" s="343"/>
      <c r="B1329" s="344"/>
    </row>
    <row r="1330" spans="1:2" ht="15.5" x14ac:dyDescent="0.35">
      <c r="A1330" s="343"/>
      <c r="B1330" s="344"/>
    </row>
    <row r="1331" spans="1:2" ht="15.5" x14ac:dyDescent="0.35">
      <c r="A1331" s="343"/>
      <c r="B1331" s="344"/>
    </row>
    <row r="1332" spans="1:2" ht="15.5" x14ac:dyDescent="0.35">
      <c r="A1332" s="343"/>
      <c r="B1332" s="344"/>
    </row>
    <row r="1333" spans="1:2" ht="15.5" x14ac:dyDescent="0.35">
      <c r="A1333" s="343"/>
      <c r="B1333" s="344"/>
    </row>
    <row r="1334" spans="1:2" ht="15.5" x14ac:dyDescent="0.35">
      <c r="A1334" s="343"/>
      <c r="B1334" s="344"/>
    </row>
    <row r="1335" spans="1:2" ht="15.5" x14ac:dyDescent="0.35">
      <c r="A1335" s="343"/>
      <c r="B1335" s="344"/>
    </row>
    <row r="1336" spans="1:2" ht="15.5" x14ac:dyDescent="0.35">
      <c r="A1336" s="343"/>
      <c r="B1336" s="344"/>
    </row>
    <row r="1337" spans="1:2" ht="15.5" x14ac:dyDescent="0.35">
      <c r="A1337" s="343"/>
      <c r="B1337" s="344"/>
    </row>
    <row r="1338" spans="1:2" ht="15.5" x14ac:dyDescent="0.35">
      <c r="A1338" s="343"/>
      <c r="B1338" s="344"/>
    </row>
    <row r="1339" spans="1:2" ht="15.5" x14ac:dyDescent="0.35">
      <c r="A1339" s="343"/>
      <c r="B1339" s="344"/>
    </row>
    <row r="1340" spans="1:2" ht="15.5" x14ac:dyDescent="0.35">
      <c r="A1340" s="343"/>
      <c r="B1340" s="344"/>
    </row>
    <row r="1341" spans="1:2" ht="15.5" x14ac:dyDescent="0.35">
      <c r="A1341" s="343"/>
      <c r="B1341" s="344"/>
    </row>
    <row r="1342" spans="1:2" ht="15.5" x14ac:dyDescent="0.35">
      <c r="A1342" s="343"/>
      <c r="B1342" s="344"/>
    </row>
    <row r="1343" spans="1:2" ht="15.5" x14ac:dyDescent="0.35">
      <c r="A1343" s="343"/>
      <c r="B1343" s="344"/>
    </row>
    <row r="1344" spans="1:2" ht="15.5" x14ac:dyDescent="0.35">
      <c r="A1344" s="343"/>
      <c r="B1344" s="344"/>
    </row>
    <row r="1345" spans="1:2" ht="15.5" x14ac:dyDescent="0.35">
      <c r="A1345" s="343"/>
      <c r="B1345" s="344"/>
    </row>
    <row r="1346" spans="1:2" ht="15.5" x14ac:dyDescent="0.35">
      <c r="A1346" s="343"/>
      <c r="B1346" s="344"/>
    </row>
    <row r="1347" spans="1:2" ht="15.5" x14ac:dyDescent="0.35">
      <c r="A1347" s="343"/>
      <c r="B1347" s="344"/>
    </row>
    <row r="1348" spans="1:2" ht="15.5" x14ac:dyDescent="0.35">
      <c r="A1348" s="343"/>
      <c r="B1348" s="344"/>
    </row>
    <row r="1349" spans="1:2" ht="15.5" x14ac:dyDescent="0.35">
      <c r="A1349" s="343"/>
      <c r="B1349" s="344"/>
    </row>
    <row r="1350" spans="1:2" ht="15.5" x14ac:dyDescent="0.35">
      <c r="A1350" s="343"/>
      <c r="B1350" s="344"/>
    </row>
    <row r="1351" spans="1:2" ht="15.5" x14ac:dyDescent="0.35">
      <c r="A1351" s="343"/>
      <c r="B1351" s="344"/>
    </row>
    <row r="1352" spans="1:2" ht="15.5" x14ac:dyDescent="0.35">
      <c r="A1352" s="343"/>
      <c r="B1352" s="344"/>
    </row>
    <row r="1353" spans="1:2" ht="15.5" x14ac:dyDescent="0.35">
      <c r="A1353" s="343"/>
      <c r="B1353" s="344"/>
    </row>
    <row r="1354" spans="1:2" ht="15.5" x14ac:dyDescent="0.35">
      <c r="A1354" s="343"/>
      <c r="B1354" s="344"/>
    </row>
    <row r="1355" spans="1:2" ht="15.5" x14ac:dyDescent="0.35">
      <c r="A1355" s="343"/>
      <c r="B1355" s="344"/>
    </row>
    <row r="1356" spans="1:2" ht="15.5" x14ac:dyDescent="0.35">
      <c r="A1356" s="343"/>
      <c r="B1356" s="344"/>
    </row>
    <row r="1357" spans="1:2" ht="15.5" x14ac:dyDescent="0.35">
      <c r="A1357" s="343"/>
      <c r="B1357" s="344"/>
    </row>
    <row r="1358" spans="1:2" ht="15.5" x14ac:dyDescent="0.35">
      <c r="A1358" s="343"/>
      <c r="B1358" s="344"/>
    </row>
    <row r="1359" spans="1:2" ht="15.5" x14ac:dyDescent="0.35">
      <c r="A1359" s="343"/>
      <c r="B1359" s="344"/>
    </row>
    <row r="1360" spans="1:2" ht="15.5" x14ac:dyDescent="0.35">
      <c r="A1360" s="343"/>
      <c r="B1360" s="344"/>
    </row>
    <row r="1361" spans="1:2" ht="15.5" x14ac:dyDescent="0.35">
      <c r="A1361" s="343"/>
      <c r="B1361" s="344"/>
    </row>
    <row r="1362" spans="1:2" ht="15.5" x14ac:dyDescent="0.35">
      <c r="A1362" s="343"/>
      <c r="B1362" s="344"/>
    </row>
    <row r="1363" spans="1:2" ht="15.5" x14ac:dyDescent="0.35">
      <c r="A1363" s="343"/>
      <c r="B1363" s="344"/>
    </row>
    <row r="1364" spans="1:2" ht="15.5" x14ac:dyDescent="0.35">
      <c r="A1364" s="343"/>
      <c r="B1364" s="344"/>
    </row>
    <row r="1365" spans="1:2" ht="15.5" x14ac:dyDescent="0.35">
      <c r="A1365" s="343"/>
      <c r="B1365" s="344"/>
    </row>
    <row r="1366" spans="1:2" ht="15.5" x14ac:dyDescent="0.35">
      <c r="A1366" s="343"/>
      <c r="B1366" s="344"/>
    </row>
    <row r="1367" spans="1:2" ht="15.5" x14ac:dyDescent="0.35">
      <c r="A1367" s="343"/>
      <c r="B1367" s="344"/>
    </row>
    <row r="1368" spans="1:2" ht="15.5" x14ac:dyDescent="0.35">
      <c r="A1368" s="343"/>
      <c r="B1368" s="344"/>
    </row>
    <row r="1369" spans="1:2" ht="15.5" x14ac:dyDescent="0.35">
      <c r="A1369" s="343"/>
      <c r="B1369" s="344"/>
    </row>
    <row r="1370" spans="1:2" ht="15.5" x14ac:dyDescent="0.35">
      <c r="A1370" s="343"/>
      <c r="B1370" s="344"/>
    </row>
    <row r="1371" spans="1:2" ht="15.5" x14ac:dyDescent="0.35">
      <c r="A1371" s="343"/>
      <c r="B1371" s="344"/>
    </row>
    <row r="1372" spans="1:2" ht="15.5" x14ac:dyDescent="0.35">
      <c r="A1372" s="343"/>
      <c r="B1372" s="344"/>
    </row>
    <row r="1373" spans="1:2" ht="15.5" x14ac:dyDescent="0.35">
      <c r="A1373" s="343"/>
      <c r="B1373" s="344"/>
    </row>
    <row r="1374" spans="1:2" ht="15.5" x14ac:dyDescent="0.35">
      <c r="A1374" s="343"/>
      <c r="B1374" s="344"/>
    </row>
    <row r="1375" spans="1:2" ht="15.5" x14ac:dyDescent="0.35">
      <c r="A1375" s="343"/>
      <c r="B1375" s="344"/>
    </row>
    <row r="1376" spans="1:2" ht="15.5" x14ac:dyDescent="0.35">
      <c r="A1376" s="343"/>
      <c r="B1376" s="344"/>
    </row>
    <row r="1377" spans="1:2" ht="15.5" x14ac:dyDescent="0.35">
      <c r="A1377" s="343"/>
      <c r="B1377" s="344"/>
    </row>
    <row r="1378" spans="1:2" ht="15.5" x14ac:dyDescent="0.35">
      <c r="A1378" s="343"/>
      <c r="B1378" s="344"/>
    </row>
    <row r="1379" spans="1:2" ht="15.5" x14ac:dyDescent="0.35">
      <c r="A1379" s="343"/>
      <c r="B1379" s="344"/>
    </row>
    <row r="1380" spans="1:2" ht="15.5" x14ac:dyDescent="0.35">
      <c r="A1380" s="343"/>
      <c r="B1380" s="344"/>
    </row>
    <row r="1381" spans="1:2" ht="15.5" x14ac:dyDescent="0.35">
      <c r="A1381" s="343"/>
      <c r="B1381" s="344"/>
    </row>
    <row r="1382" spans="1:2" ht="15.5" x14ac:dyDescent="0.35">
      <c r="A1382" s="343"/>
      <c r="B1382" s="344"/>
    </row>
    <row r="1383" spans="1:2" ht="15.5" x14ac:dyDescent="0.35">
      <c r="A1383" s="343"/>
      <c r="B1383" s="344"/>
    </row>
    <row r="1384" spans="1:2" ht="15.5" x14ac:dyDescent="0.35">
      <c r="A1384" s="343"/>
      <c r="B1384" s="344"/>
    </row>
    <row r="1385" spans="1:2" ht="15.5" x14ac:dyDescent="0.35">
      <c r="A1385" s="343"/>
      <c r="B1385" s="344"/>
    </row>
    <row r="1386" spans="1:2" ht="15.5" x14ac:dyDescent="0.35">
      <c r="A1386" s="343"/>
      <c r="B1386" s="344"/>
    </row>
    <row r="1387" spans="1:2" ht="15.5" x14ac:dyDescent="0.35">
      <c r="A1387" s="343"/>
      <c r="B1387" s="344"/>
    </row>
    <row r="1388" spans="1:2" ht="15.5" x14ac:dyDescent="0.35">
      <c r="A1388" s="343"/>
      <c r="B1388" s="344"/>
    </row>
    <row r="1389" spans="1:2" ht="15.5" x14ac:dyDescent="0.35">
      <c r="A1389" s="343"/>
      <c r="B1389" s="344"/>
    </row>
    <row r="1390" spans="1:2" ht="15.5" x14ac:dyDescent="0.35">
      <c r="A1390" s="343"/>
      <c r="B1390" s="344"/>
    </row>
    <row r="1391" spans="1:2" ht="15.5" x14ac:dyDescent="0.35">
      <c r="A1391" s="343"/>
      <c r="B1391" s="344"/>
    </row>
    <row r="1392" spans="1:2" ht="15.5" x14ac:dyDescent="0.35">
      <c r="A1392" s="343"/>
      <c r="B1392" s="344"/>
    </row>
    <row r="1393" spans="1:2" ht="15.5" x14ac:dyDescent="0.35">
      <c r="A1393" s="343"/>
      <c r="B1393" s="344"/>
    </row>
    <row r="1394" spans="1:2" ht="15.5" x14ac:dyDescent="0.35">
      <c r="A1394" s="343"/>
      <c r="B1394" s="344"/>
    </row>
    <row r="1395" spans="1:2" ht="15.5" x14ac:dyDescent="0.35">
      <c r="A1395" s="343"/>
      <c r="B1395" s="344"/>
    </row>
    <row r="1396" spans="1:2" ht="15.5" x14ac:dyDescent="0.35">
      <c r="A1396" s="343"/>
      <c r="B1396" s="344"/>
    </row>
    <row r="1397" spans="1:2" ht="15.5" x14ac:dyDescent="0.35">
      <c r="A1397" s="343"/>
      <c r="B1397" s="344"/>
    </row>
    <row r="1398" spans="1:2" ht="15.5" x14ac:dyDescent="0.35">
      <c r="A1398" s="343"/>
      <c r="B1398" s="344"/>
    </row>
    <row r="1399" spans="1:2" ht="15.5" x14ac:dyDescent="0.35">
      <c r="A1399" s="343"/>
      <c r="B1399" s="344"/>
    </row>
    <row r="1400" spans="1:2" ht="15.5" x14ac:dyDescent="0.35">
      <c r="A1400" s="343"/>
      <c r="B1400" s="344"/>
    </row>
    <row r="1401" spans="1:2" ht="15.5" x14ac:dyDescent="0.35">
      <c r="A1401" s="343"/>
      <c r="B1401" s="344"/>
    </row>
    <row r="1402" spans="1:2" ht="15.5" x14ac:dyDescent="0.35">
      <c r="A1402" s="343"/>
      <c r="B1402" s="344"/>
    </row>
    <row r="1403" spans="1:2" ht="15.5" x14ac:dyDescent="0.35">
      <c r="A1403" s="343"/>
      <c r="B1403" s="344"/>
    </row>
    <row r="1404" spans="1:2" ht="15.5" x14ac:dyDescent="0.35">
      <c r="A1404" s="343"/>
      <c r="B1404" s="344"/>
    </row>
    <row r="1405" spans="1:2" ht="15.5" x14ac:dyDescent="0.35">
      <c r="A1405" s="343"/>
      <c r="B1405" s="344"/>
    </row>
    <row r="1406" spans="1:2" ht="15.5" x14ac:dyDescent="0.35">
      <c r="A1406" s="343"/>
      <c r="B1406" s="344"/>
    </row>
    <row r="1407" spans="1:2" ht="15.5" x14ac:dyDescent="0.35">
      <c r="A1407" s="343"/>
      <c r="B1407" s="344"/>
    </row>
    <row r="1408" spans="1:2" ht="15.5" x14ac:dyDescent="0.35">
      <c r="A1408" s="343"/>
      <c r="B1408" s="344"/>
    </row>
    <row r="1409" spans="1:2" ht="15.5" x14ac:dyDescent="0.35">
      <c r="A1409" s="343"/>
      <c r="B1409" s="344"/>
    </row>
    <row r="1410" spans="1:2" ht="15.5" x14ac:dyDescent="0.35">
      <c r="A1410" s="343"/>
      <c r="B1410" s="344"/>
    </row>
    <row r="1411" spans="1:2" ht="15.5" x14ac:dyDescent="0.35">
      <c r="A1411" s="343"/>
      <c r="B1411" s="344"/>
    </row>
    <row r="1412" spans="1:2" ht="15.5" x14ac:dyDescent="0.35">
      <c r="A1412" s="343"/>
      <c r="B1412" s="344"/>
    </row>
    <row r="1413" spans="1:2" ht="15.5" x14ac:dyDescent="0.35">
      <c r="A1413" s="343"/>
      <c r="B1413" s="344"/>
    </row>
    <row r="1414" spans="1:2" ht="15.5" x14ac:dyDescent="0.35">
      <c r="A1414" s="343"/>
      <c r="B1414" s="344"/>
    </row>
    <row r="1415" spans="1:2" ht="15.5" x14ac:dyDescent="0.35">
      <c r="A1415" s="343"/>
      <c r="B1415" s="344"/>
    </row>
    <row r="1416" spans="1:2" ht="15.5" x14ac:dyDescent="0.35">
      <c r="A1416" s="343"/>
      <c r="B1416" s="344"/>
    </row>
    <row r="1417" spans="1:2" ht="15.5" x14ac:dyDescent="0.35">
      <c r="A1417" s="343"/>
      <c r="B1417" s="344"/>
    </row>
    <row r="1418" spans="1:2" ht="15.5" x14ac:dyDescent="0.35">
      <c r="A1418" s="343"/>
      <c r="B1418" s="344"/>
    </row>
    <row r="1419" spans="1:2" ht="15.5" x14ac:dyDescent="0.35">
      <c r="A1419" s="343"/>
      <c r="B1419" s="344"/>
    </row>
    <row r="1420" spans="1:2" ht="15.5" x14ac:dyDescent="0.35">
      <c r="A1420" s="343"/>
      <c r="B1420" s="344"/>
    </row>
    <row r="1421" spans="1:2" ht="15.5" x14ac:dyDescent="0.35">
      <c r="A1421" s="343"/>
      <c r="B1421" s="344"/>
    </row>
    <row r="1422" spans="1:2" ht="15.5" x14ac:dyDescent="0.35">
      <c r="A1422" s="343"/>
      <c r="B1422" s="344"/>
    </row>
    <row r="1423" spans="1:2" ht="15.5" x14ac:dyDescent="0.35">
      <c r="A1423" s="343"/>
      <c r="B1423" s="344"/>
    </row>
    <row r="1424" spans="1:2" ht="15.5" x14ac:dyDescent="0.35">
      <c r="A1424" s="343"/>
      <c r="B1424" s="344"/>
    </row>
    <row r="1425" spans="1:2" ht="15.5" x14ac:dyDescent="0.35">
      <c r="A1425" s="343"/>
      <c r="B1425" s="344"/>
    </row>
    <row r="1426" spans="1:2" ht="15.5" x14ac:dyDescent="0.35">
      <c r="A1426" s="343"/>
      <c r="B1426" s="344"/>
    </row>
    <row r="1427" spans="1:2" ht="15.5" x14ac:dyDescent="0.35">
      <c r="A1427" s="343"/>
      <c r="B1427" s="344"/>
    </row>
    <row r="1428" spans="1:2" ht="15.5" x14ac:dyDescent="0.35">
      <c r="A1428" s="343"/>
      <c r="B1428" s="344"/>
    </row>
    <row r="1429" spans="1:2" ht="15.5" x14ac:dyDescent="0.35">
      <c r="A1429" s="343"/>
      <c r="B1429" s="344"/>
    </row>
    <row r="1430" spans="1:2" ht="15.5" x14ac:dyDescent="0.35">
      <c r="A1430" s="343"/>
      <c r="B1430" s="344"/>
    </row>
    <row r="1431" spans="1:2" ht="15.5" x14ac:dyDescent="0.35">
      <c r="A1431" s="343"/>
      <c r="B1431" s="344"/>
    </row>
    <row r="1432" spans="1:2" ht="15.5" x14ac:dyDescent="0.35">
      <c r="A1432" s="343"/>
      <c r="B1432" s="344"/>
    </row>
    <row r="1433" spans="1:2" ht="15.5" x14ac:dyDescent="0.35">
      <c r="A1433" s="343"/>
      <c r="B1433" s="344"/>
    </row>
    <row r="1434" spans="1:2" ht="15.5" x14ac:dyDescent="0.35">
      <c r="A1434" s="343"/>
      <c r="B1434" s="344"/>
    </row>
    <row r="1435" spans="1:2" ht="15.5" x14ac:dyDescent="0.35">
      <c r="A1435" s="343"/>
      <c r="B1435" s="344"/>
    </row>
    <row r="1436" spans="1:2" ht="15.5" x14ac:dyDescent="0.35">
      <c r="A1436" s="343"/>
      <c r="B1436" s="344"/>
    </row>
    <row r="1437" spans="1:2" ht="15.5" x14ac:dyDescent="0.35">
      <c r="A1437" s="343"/>
      <c r="B1437" s="344"/>
    </row>
    <row r="1438" spans="1:2" ht="15.5" x14ac:dyDescent="0.35">
      <c r="A1438" s="343"/>
      <c r="B1438" s="344"/>
    </row>
    <row r="1439" spans="1:2" ht="15.5" x14ac:dyDescent="0.35">
      <c r="A1439" s="343"/>
      <c r="B1439" s="344"/>
    </row>
    <row r="1440" spans="1:2" ht="15.5" x14ac:dyDescent="0.35">
      <c r="A1440" s="343"/>
      <c r="B1440" s="344"/>
    </row>
    <row r="1441" spans="1:2" ht="15.5" x14ac:dyDescent="0.35">
      <c r="A1441" s="343"/>
      <c r="B1441" s="344"/>
    </row>
    <row r="1442" spans="1:2" ht="15.5" x14ac:dyDescent="0.35">
      <c r="A1442" s="343"/>
      <c r="B1442" s="344"/>
    </row>
    <row r="1443" spans="1:2" ht="15.5" x14ac:dyDescent="0.35">
      <c r="A1443" s="343"/>
      <c r="B1443" s="344"/>
    </row>
    <row r="1444" spans="1:2" ht="15.5" x14ac:dyDescent="0.35">
      <c r="A1444" s="343"/>
      <c r="B1444" s="344"/>
    </row>
    <row r="1445" spans="1:2" ht="15.5" x14ac:dyDescent="0.35">
      <c r="A1445" s="343"/>
      <c r="B1445" s="344"/>
    </row>
    <row r="1446" spans="1:2" ht="15.5" x14ac:dyDescent="0.35">
      <c r="A1446" s="343"/>
      <c r="B1446" s="344"/>
    </row>
    <row r="1447" spans="1:2" ht="15.5" x14ac:dyDescent="0.35">
      <c r="A1447" s="343"/>
      <c r="B1447" s="344"/>
    </row>
    <row r="1448" spans="1:2" ht="15.5" x14ac:dyDescent="0.35">
      <c r="A1448" s="343"/>
      <c r="B1448" s="344"/>
    </row>
    <row r="1449" spans="1:2" ht="15.5" x14ac:dyDescent="0.35">
      <c r="A1449" s="343"/>
      <c r="B1449" s="344"/>
    </row>
    <row r="1450" spans="1:2" ht="15.5" x14ac:dyDescent="0.35">
      <c r="A1450" s="343"/>
      <c r="B1450" s="344"/>
    </row>
    <row r="1451" spans="1:2" ht="15.5" x14ac:dyDescent="0.35">
      <c r="A1451" s="343"/>
      <c r="B1451" s="344"/>
    </row>
    <row r="1452" spans="1:2" ht="15.5" x14ac:dyDescent="0.35">
      <c r="A1452" s="343"/>
      <c r="B1452" s="344"/>
    </row>
    <row r="1453" spans="1:2" ht="15.5" x14ac:dyDescent="0.35">
      <c r="A1453" s="343"/>
      <c r="B1453" s="344"/>
    </row>
    <row r="1454" spans="1:2" ht="15.5" x14ac:dyDescent="0.35">
      <c r="A1454" s="343"/>
      <c r="B1454" s="344"/>
    </row>
    <row r="1455" spans="1:2" ht="15.5" x14ac:dyDescent="0.35">
      <c r="A1455" s="343"/>
      <c r="B1455" s="344"/>
    </row>
    <row r="1456" spans="1:2" ht="15.5" x14ac:dyDescent="0.35">
      <c r="A1456" s="343"/>
      <c r="B1456" s="344"/>
    </row>
    <row r="1457" spans="1:2" ht="15.5" x14ac:dyDescent="0.35">
      <c r="A1457" s="343"/>
      <c r="B1457" s="344"/>
    </row>
    <row r="1458" spans="1:2" ht="15.5" x14ac:dyDescent="0.35">
      <c r="A1458" s="343"/>
      <c r="B1458" s="344"/>
    </row>
    <row r="1459" spans="1:2" ht="15.5" x14ac:dyDescent="0.35">
      <c r="A1459" s="343"/>
      <c r="B1459" s="344"/>
    </row>
    <row r="1460" spans="1:2" ht="15.5" x14ac:dyDescent="0.35">
      <c r="A1460" s="343"/>
      <c r="B1460" s="344"/>
    </row>
    <row r="1461" spans="1:2" ht="15.5" x14ac:dyDescent="0.35">
      <c r="A1461" s="343"/>
      <c r="B1461" s="344"/>
    </row>
    <row r="1462" spans="1:2" ht="15.5" x14ac:dyDescent="0.35">
      <c r="A1462" s="343"/>
      <c r="B1462" s="344"/>
    </row>
    <row r="1463" spans="1:2" ht="15.5" x14ac:dyDescent="0.35">
      <c r="A1463" s="343"/>
      <c r="B1463" s="344"/>
    </row>
    <row r="1464" spans="1:2" ht="15.5" x14ac:dyDescent="0.35">
      <c r="A1464" s="343"/>
      <c r="B1464" s="344"/>
    </row>
    <row r="1465" spans="1:2" ht="15.5" x14ac:dyDescent="0.35">
      <c r="A1465" s="343"/>
      <c r="B1465" s="344"/>
    </row>
    <row r="1466" spans="1:2" ht="15.5" x14ac:dyDescent="0.35">
      <c r="A1466" s="343"/>
      <c r="B1466" s="344"/>
    </row>
    <row r="1467" spans="1:2" ht="15.5" x14ac:dyDescent="0.35">
      <c r="A1467" s="343"/>
      <c r="B1467" s="344"/>
    </row>
    <row r="1468" spans="1:2" ht="15.5" x14ac:dyDescent="0.35">
      <c r="A1468" s="343"/>
      <c r="B1468" s="344"/>
    </row>
    <row r="1469" spans="1:2" ht="15.5" x14ac:dyDescent="0.35">
      <c r="A1469" s="343"/>
      <c r="B1469" s="344"/>
    </row>
    <row r="1470" spans="1:2" ht="15.5" x14ac:dyDescent="0.35">
      <c r="A1470" s="343"/>
      <c r="B1470" s="344"/>
    </row>
    <row r="1471" spans="1:2" ht="15.5" x14ac:dyDescent="0.35">
      <c r="A1471" s="343"/>
      <c r="B1471" s="344"/>
    </row>
    <row r="1472" spans="1:2" ht="15.5" x14ac:dyDescent="0.35">
      <c r="A1472" s="343"/>
      <c r="B1472" s="344"/>
    </row>
    <row r="1473" spans="1:2" ht="15.5" x14ac:dyDescent="0.35">
      <c r="A1473" s="343"/>
      <c r="B1473" s="344"/>
    </row>
    <row r="1474" spans="1:2" ht="15.5" x14ac:dyDescent="0.35">
      <c r="A1474" s="343"/>
      <c r="B1474" s="344"/>
    </row>
    <row r="1475" spans="1:2" ht="15.5" x14ac:dyDescent="0.35">
      <c r="A1475" s="343"/>
      <c r="B1475" s="344"/>
    </row>
    <row r="1476" spans="1:2" ht="15.5" x14ac:dyDescent="0.35">
      <c r="A1476" s="343"/>
      <c r="B1476" s="344"/>
    </row>
    <row r="1477" spans="1:2" ht="15.5" x14ac:dyDescent="0.35">
      <c r="A1477" s="343"/>
      <c r="B1477" s="344"/>
    </row>
    <row r="1478" spans="1:2" ht="15.5" x14ac:dyDescent="0.35">
      <c r="A1478" s="343"/>
      <c r="B1478" s="344"/>
    </row>
    <row r="1479" spans="1:2" ht="15.5" x14ac:dyDescent="0.35">
      <c r="A1479" s="343"/>
      <c r="B1479" s="344"/>
    </row>
    <row r="1480" spans="1:2" ht="15.5" x14ac:dyDescent="0.35">
      <c r="A1480" s="343"/>
      <c r="B1480" s="344"/>
    </row>
    <row r="1481" spans="1:2" ht="15.5" x14ac:dyDescent="0.35">
      <c r="A1481" s="343"/>
      <c r="B1481" s="344"/>
    </row>
    <row r="1482" spans="1:2" ht="15.5" x14ac:dyDescent="0.35">
      <c r="A1482" s="343"/>
      <c r="B1482" s="344"/>
    </row>
    <row r="1483" spans="1:2" ht="15.5" x14ac:dyDescent="0.35">
      <c r="A1483" s="343"/>
      <c r="B1483" s="344"/>
    </row>
    <row r="1484" spans="1:2" ht="15.5" x14ac:dyDescent="0.35">
      <c r="A1484" s="343"/>
      <c r="B1484" s="344"/>
    </row>
    <row r="1485" spans="1:2" ht="15.5" x14ac:dyDescent="0.35">
      <c r="A1485" s="343"/>
      <c r="B1485" s="344"/>
    </row>
    <row r="1486" spans="1:2" ht="15.5" x14ac:dyDescent="0.35">
      <c r="A1486" s="343"/>
      <c r="B1486" s="344"/>
    </row>
    <row r="1487" spans="1:2" ht="15.5" x14ac:dyDescent="0.35">
      <c r="A1487" s="343"/>
      <c r="B1487" s="344"/>
    </row>
    <row r="1488" spans="1:2" ht="15.5" x14ac:dyDescent="0.35">
      <c r="A1488" s="343"/>
      <c r="B1488" s="344"/>
    </row>
    <row r="1489" spans="1:2" ht="15.5" x14ac:dyDescent="0.35">
      <c r="A1489" s="343"/>
      <c r="B1489" s="344"/>
    </row>
    <row r="1490" spans="1:2" ht="15.5" x14ac:dyDescent="0.35">
      <c r="A1490" s="343"/>
      <c r="B1490" s="344"/>
    </row>
    <row r="1491" spans="1:2" ht="15.5" x14ac:dyDescent="0.35">
      <c r="A1491" s="343"/>
      <c r="B1491" s="344"/>
    </row>
    <row r="1492" spans="1:2" ht="15.5" x14ac:dyDescent="0.35">
      <c r="A1492" s="343"/>
      <c r="B1492" s="344"/>
    </row>
    <row r="1493" spans="1:2" ht="15.5" x14ac:dyDescent="0.35">
      <c r="A1493" s="343"/>
      <c r="B1493" s="344"/>
    </row>
    <row r="1494" spans="1:2" ht="15.5" x14ac:dyDescent="0.35">
      <c r="A1494" s="343"/>
      <c r="B1494" s="344"/>
    </row>
    <row r="1495" spans="1:2" ht="15.5" x14ac:dyDescent="0.35">
      <c r="A1495" s="343"/>
      <c r="B1495" s="344"/>
    </row>
    <row r="1496" spans="1:2" ht="15.5" x14ac:dyDescent="0.35">
      <c r="A1496" s="343"/>
      <c r="B1496" s="344"/>
    </row>
    <row r="1497" spans="1:2" ht="15.5" x14ac:dyDescent="0.35">
      <c r="A1497" s="343"/>
      <c r="B1497" s="344"/>
    </row>
    <row r="1498" spans="1:2" ht="15.5" x14ac:dyDescent="0.35">
      <c r="A1498" s="343"/>
      <c r="B1498" s="344"/>
    </row>
    <row r="1499" spans="1:2" ht="15.5" x14ac:dyDescent="0.35">
      <c r="A1499" s="343"/>
      <c r="B1499" s="344"/>
    </row>
    <row r="1500" spans="1:2" ht="15.5" x14ac:dyDescent="0.35">
      <c r="A1500" s="343"/>
      <c r="B1500" s="344"/>
    </row>
    <row r="1501" spans="1:2" ht="15.5" x14ac:dyDescent="0.35">
      <c r="A1501" s="343"/>
      <c r="B1501" s="344"/>
    </row>
    <row r="1502" spans="1:2" ht="15.5" x14ac:dyDescent="0.35">
      <c r="A1502" s="343"/>
      <c r="B1502" s="344"/>
    </row>
    <row r="1503" spans="1:2" ht="15.5" x14ac:dyDescent="0.35">
      <c r="A1503" s="343"/>
      <c r="B1503" s="344"/>
    </row>
    <row r="1504" spans="1:2" ht="15.5" x14ac:dyDescent="0.35">
      <c r="A1504" s="343"/>
      <c r="B1504" s="344"/>
    </row>
    <row r="1505" spans="1:2" ht="15.5" x14ac:dyDescent="0.35">
      <c r="A1505" s="343"/>
      <c r="B1505" s="344"/>
    </row>
    <row r="1506" spans="1:2" ht="15.5" x14ac:dyDescent="0.35">
      <c r="A1506" s="343"/>
      <c r="B1506" s="344"/>
    </row>
    <row r="1507" spans="1:2" ht="15.5" x14ac:dyDescent="0.35">
      <c r="A1507" s="343"/>
      <c r="B1507" s="344"/>
    </row>
    <row r="1508" spans="1:2" ht="15.5" x14ac:dyDescent="0.35">
      <c r="A1508" s="343"/>
      <c r="B1508" s="344"/>
    </row>
    <row r="1509" spans="1:2" ht="15.5" x14ac:dyDescent="0.35">
      <c r="A1509" s="343"/>
      <c r="B1509" s="344"/>
    </row>
    <row r="1510" spans="1:2" ht="15.5" x14ac:dyDescent="0.35">
      <c r="A1510" s="343"/>
      <c r="B1510" s="344"/>
    </row>
    <row r="1511" spans="1:2" ht="15.5" x14ac:dyDescent="0.35">
      <c r="A1511" s="343"/>
      <c r="B1511" s="344"/>
    </row>
    <row r="1512" spans="1:2" ht="15.5" x14ac:dyDescent="0.35">
      <c r="A1512" s="343"/>
      <c r="B1512" s="344"/>
    </row>
    <row r="1513" spans="1:2" ht="15.5" x14ac:dyDescent="0.35">
      <c r="A1513" s="343"/>
      <c r="B1513" s="344"/>
    </row>
    <row r="1514" spans="1:2" ht="15.5" x14ac:dyDescent="0.35">
      <c r="A1514" s="343"/>
      <c r="B1514" s="344"/>
    </row>
    <row r="1515" spans="1:2" ht="15.5" x14ac:dyDescent="0.35">
      <c r="A1515" s="343"/>
      <c r="B1515" s="344"/>
    </row>
    <row r="1516" spans="1:2" ht="15.5" x14ac:dyDescent="0.35">
      <c r="A1516" s="343"/>
      <c r="B1516" s="344"/>
    </row>
    <row r="1517" spans="1:2" ht="15.5" x14ac:dyDescent="0.35">
      <c r="A1517" s="343"/>
      <c r="B1517" s="344"/>
    </row>
    <row r="1518" spans="1:2" ht="15.5" x14ac:dyDescent="0.35">
      <c r="A1518" s="343"/>
      <c r="B1518" s="344"/>
    </row>
    <row r="1519" spans="1:2" ht="15.5" x14ac:dyDescent="0.35">
      <c r="A1519" s="343"/>
      <c r="B1519" s="344"/>
    </row>
    <row r="1520" spans="1:2" ht="15.5" x14ac:dyDescent="0.35">
      <c r="A1520" s="343"/>
      <c r="B1520" s="344"/>
    </row>
    <row r="1521" spans="1:2" ht="15.5" x14ac:dyDescent="0.35">
      <c r="A1521" s="343"/>
      <c r="B1521" s="344"/>
    </row>
    <row r="1522" spans="1:2" ht="15.5" x14ac:dyDescent="0.35">
      <c r="A1522" s="343"/>
      <c r="B1522" s="344"/>
    </row>
    <row r="1523" spans="1:2" ht="15.5" x14ac:dyDescent="0.35">
      <c r="A1523" s="343"/>
      <c r="B1523" s="344"/>
    </row>
    <row r="1524" spans="1:2" ht="15.5" x14ac:dyDescent="0.35">
      <c r="A1524" s="343"/>
      <c r="B1524" s="344"/>
    </row>
    <row r="1525" spans="1:2" ht="15.5" x14ac:dyDescent="0.35">
      <c r="A1525" s="343"/>
      <c r="B1525" s="344"/>
    </row>
    <row r="1526" spans="1:2" ht="15.5" x14ac:dyDescent="0.35">
      <c r="A1526" s="343"/>
      <c r="B1526" s="344"/>
    </row>
    <row r="1527" spans="1:2" ht="15.5" x14ac:dyDescent="0.35">
      <c r="A1527" s="343"/>
      <c r="B1527" s="344"/>
    </row>
    <row r="1528" spans="1:2" ht="15.5" x14ac:dyDescent="0.35">
      <c r="A1528" s="343"/>
      <c r="B1528" s="344"/>
    </row>
    <row r="1529" spans="1:2" ht="15.5" x14ac:dyDescent="0.35">
      <c r="A1529" s="343"/>
      <c r="B1529" s="344"/>
    </row>
    <row r="1530" spans="1:2" ht="15.5" x14ac:dyDescent="0.35">
      <c r="A1530" s="343"/>
      <c r="B1530" s="344"/>
    </row>
    <row r="1531" spans="1:2" ht="15.5" x14ac:dyDescent="0.35">
      <c r="A1531" s="343"/>
      <c r="B1531" s="344"/>
    </row>
    <row r="1532" spans="1:2" ht="15.5" x14ac:dyDescent="0.35">
      <c r="A1532" s="343"/>
      <c r="B1532" s="344"/>
    </row>
    <row r="1533" spans="1:2" ht="15.5" x14ac:dyDescent="0.35">
      <c r="A1533" s="343"/>
      <c r="B1533" s="344"/>
    </row>
    <row r="1534" spans="1:2" ht="15.5" x14ac:dyDescent="0.35">
      <c r="A1534" s="343"/>
      <c r="B1534" s="344"/>
    </row>
    <row r="1535" spans="1:2" ht="15.5" x14ac:dyDescent="0.35">
      <c r="A1535" s="343"/>
      <c r="B1535" s="344"/>
    </row>
    <row r="1536" spans="1:2" ht="15.5" x14ac:dyDescent="0.35">
      <c r="A1536" s="343"/>
      <c r="B1536" s="344"/>
    </row>
    <row r="1537" spans="1:2" ht="15.5" x14ac:dyDescent="0.35">
      <c r="A1537" s="343"/>
      <c r="B1537" s="344"/>
    </row>
    <row r="1538" spans="1:2" ht="15.5" x14ac:dyDescent="0.35">
      <c r="A1538" s="343"/>
      <c r="B1538" s="344"/>
    </row>
    <row r="1539" spans="1:2" ht="15.5" x14ac:dyDescent="0.35">
      <c r="A1539" s="343"/>
      <c r="B1539" s="344"/>
    </row>
    <row r="1540" spans="1:2" ht="15.5" x14ac:dyDescent="0.35">
      <c r="A1540" s="343"/>
      <c r="B1540" s="344"/>
    </row>
    <row r="1541" spans="1:2" ht="15.5" x14ac:dyDescent="0.35">
      <c r="A1541" s="343"/>
      <c r="B1541" s="344"/>
    </row>
    <row r="1542" spans="1:2" ht="15.5" x14ac:dyDescent="0.35">
      <c r="A1542" s="343"/>
      <c r="B1542" s="344"/>
    </row>
    <row r="1543" spans="1:2" ht="15.5" x14ac:dyDescent="0.35">
      <c r="A1543" s="343"/>
      <c r="B1543" s="344"/>
    </row>
    <row r="1544" spans="1:2" ht="15.5" x14ac:dyDescent="0.35">
      <c r="A1544" s="343"/>
      <c r="B1544" s="344"/>
    </row>
    <row r="1545" spans="1:2" ht="15.5" x14ac:dyDescent="0.35">
      <c r="A1545" s="343"/>
      <c r="B1545" s="344"/>
    </row>
    <row r="1546" spans="1:2" ht="15.5" x14ac:dyDescent="0.35">
      <c r="A1546" s="343"/>
      <c r="B1546" s="344"/>
    </row>
    <row r="1547" spans="1:2" ht="15.5" x14ac:dyDescent="0.35">
      <c r="A1547" s="343"/>
      <c r="B1547" s="344"/>
    </row>
    <row r="1548" spans="1:2" ht="15.5" x14ac:dyDescent="0.35">
      <c r="A1548" s="343"/>
      <c r="B1548" s="344"/>
    </row>
    <row r="1549" spans="1:2" ht="15.5" x14ac:dyDescent="0.35">
      <c r="A1549" s="343"/>
      <c r="B1549" s="344"/>
    </row>
    <row r="1550" spans="1:2" ht="15.5" x14ac:dyDescent="0.35">
      <c r="A1550" s="343"/>
      <c r="B1550" s="344"/>
    </row>
    <row r="1551" spans="1:2" ht="15.5" x14ac:dyDescent="0.35">
      <c r="A1551" s="343"/>
      <c r="B1551" s="344"/>
    </row>
    <row r="1552" spans="1:2" ht="15.5" x14ac:dyDescent="0.35">
      <c r="A1552" s="343"/>
      <c r="B1552" s="344"/>
    </row>
    <row r="1553" spans="1:2" ht="15.5" x14ac:dyDescent="0.35">
      <c r="A1553" s="343"/>
      <c r="B1553" s="344"/>
    </row>
    <row r="1554" spans="1:2" ht="15.5" x14ac:dyDescent="0.35">
      <c r="A1554" s="343"/>
      <c r="B1554" s="344"/>
    </row>
    <row r="1555" spans="1:2" ht="15.5" x14ac:dyDescent="0.35">
      <c r="A1555" s="343"/>
      <c r="B1555" s="344"/>
    </row>
    <row r="1556" spans="1:2" ht="15.5" x14ac:dyDescent="0.35">
      <c r="A1556" s="343"/>
      <c r="B1556" s="344"/>
    </row>
    <row r="1557" spans="1:2" ht="15.5" x14ac:dyDescent="0.35">
      <c r="A1557" s="343"/>
      <c r="B1557" s="344"/>
    </row>
    <row r="1558" spans="1:2" ht="15.5" x14ac:dyDescent="0.35">
      <c r="A1558" s="343"/>
      <c r="B1558" s="344"/>
    </row>
    <row r="1559" spans="1:2" ht="15.5" x14ac:dyDescent="0.35">
      <c r="A1559" s="343"/>
      <c r="B1559" s="344"/>
    </row>
    <row r="1560" spans="1:2" ht="15.5" x14ac:dyDescent="0.35">
      <c r="A1560" s="343"/>
      <c r="B1560" s="344"/>
    </row>
    <row r="1561" spans="1:2" ht="15.5" x14ac:dyDescent="0.35">
      <c r="A1561" s="343"/>
      <c r="B1561" s="344"/>
    </row>
    <row r="1562" spans="1:2" ht="15.5" x14ac:dyDescent="0.35">
      <c r="A1562" s="343"/>
      <c r="B1562" s="344"/>
    </row>
    <row r="1563" spans="1:2" ht="15.5" x14ac:dyDescent="0.35">
      <c r="A1563" s="343"/>
      <c r="B1563" s="344"/>
    </row>
    <row r="1564" spans="1:2" ht="15.5" x14ac:dyDescent="0.35">
      <c r="A1564" s="343"/>
      <c r="B1564" s="344"/>
    </row>
    <row r="1565" spans="1:2" ht="15.5" x14ac:dyDescent="0.35">
      <c r="A1565" s="343"/>
      <c r="B1565" s="344"/>
    </row>
    <row r="1566" spans="1:2" ht="15.5" x14ac:dyDescent="0.35">
      <c r="A1566" s="343"/>
      <c r="B1566" s="344"/>
    </row>
    <row r="1567" spans="1:2" ht="15.5" x14ac:dyDescent="0.35">
      <c r="A1567" s="343"/>
      <c r="B1567" s="344"/>
    </row>
    <row r="1568" spans="1:2" ht="15.5" x14ac:dyDescent="0.35">
      <c r="A1568" s="343"/>
      <c r="B1568" s="344"/>
    </row>
    <row r="1569" spans="1:2" ht="15.5" x14ac:dyDescent="0.35">
      <c r="A1569" s="343"/>
      <c r="B1569" s="344"/>
    </row>
    <row r="1570" spans="1:2" ht="15.5" x14ac:dyDescent="0.35">
      <c r="A1570" s="343"/>
      <c r="B1570" s="344"/>
    </row>
    <row r="1571" spans="1:2" ht="15.5" x14ac:dyDescent="0.35">
      <c r="A1571" s="343"/>
      <c r="B1571" s="344"/>
    </row>
    <row r="1572" spans="1:2" ht="15.5" x14ac:dyDescent="0.35">
      <c r="A1572" s="343"/>
      <c r="B1572" s="344"/>
    </row>
    <row r="1573" spans="1:2" ht="15.5" x14ac:dyDescent="0.35">
      <c r="A1573" s="343"/>
      <c r="B1573" s="344"/>
    </row>
    <row r="1574" spans="1:2" ht="15.5" x14ac:dyDescent="0.35">
      <c r="A1574" s="343"/>
      <c r="B1574" s="344"/>
    </row>
    <row r="1575" spans="1:2" ht="15.5" x14ac:dyDescent="0.35">
      <c r="A1575" s="343"/>
      <c r="B1575" s="344"/>
    </row>
    <row r="1576" spans="1:2" ht="15.5" x14ac:dyDescent="0.35">
      <c r="A1576" s="343"/>
      <c r="B1576" s="344"/>
    </row>
    <row r="1577" spans="1:2" ht="15.5" x14ac:dyDescent="0.35">
      <c r="A1577" s="343"/>
      <c r="B1577" s="344"/>
    </row>
    <row r="1578" spans="1:2" ht="15.5" x14ac:dyDescent="0.35">
      <c r="A1578" s="343"/>
      <c r="B1578" s="344"/>
    </row>
    <row r="1579" spans="1:2" ht="15.5" x14ac:dyDescent="0.35">
      <c r="A1579" s="343"/>
      <c r="B1579" s="344"/>
    </row>
    <row r="1580" spans="1:2" ht="15.5" x14ac:dyDescent="0.35">
      <c r="A1580" s="343"/>
      <c r="B1580" s="344"/>
    </row>
    <row r="1581" spans="1:2" ht="15.5" x14ac:dyDescent="0.35">
      <c r="A1581" s="343"/>
      <c r="B1581" s="344"/>
    </row>
    <row r="1582" spans="1:2" ht="15.5" x14ac:dyDescent="0.35">
      <c r="A1582" s="343"/>
      <c r="B1582" s="344"/>
    </row>
    <row r="1583" spans="1:2" ht="15.5" x14ac:dyDescent="0.35">
      <c r="A1583" s="343"/>
      <c r="B1583" s="344"/>
    </row>
    <row r="1584" spans="1:2" ht="15.5" x14ac:dyDescent="0.35">
      <c r="A1584" s="343"/>
      <c r="B1584" s="344"/>
    </row>
    <row r="1585" spans="1:2" ht="15.5" x14ac:dyDescent="0.35">
      <c r="A1585" s="343"/>
      <c r="B1585" s="344"/>
    </row>
    <row r="1586" spans="1:2" ht="15.5" x14ac:dyDescent="0.35">
      <c r="A1586" s="343"/>
      <c r="B1586" s="344"/>
    </row>
    <row r="1587" spans="1:2" ht="15.5" x14ac:dyDescent="0.35">
      <c r="A1587" s="343"/>
      <c r="B1587" s="344"/>
    </row>
    <row r="1588" spans="1:2" ht="15.5" x14ac:dyDescent="0.35">
      <c r="A1588" s="343"/>
      <c r="B1588" s="344"/>
    </row>
    <row r="1589" spans="1:2" ht="15.5" x14ac:dyDescent="0.35">
      <c r="A1589" s="343"/>
      <c r="B1589" s="344"/>
    </row>
    <row r="1590" spans="1:2" ht="15.5" x14ac:dyDescent="0.35">
      <c r="A1590" s="343"/>
      <c r="B1590" s="344"/>
    </row>
    <row r="1591" spans="1:2" ht="15.5" x14ac:dyDescent="0.35">
      <c r="A1591" s="343"/>
      <c r="B1591" s="344"/>
    </row>
    <row r="1592" spans="1:2" ht="15.5" x14ac:dyDescent="0.35">
      <c r="A1592" s="343"/>
      <c r="B1592" s="344"/>
    </row>
    <row r="1593" spans="1:2" ht="15.5" x14ac:dyDescent="0.35">
      <c r="A1593" s="343"/>
      <c r="B1593" s="344"/>
    </row>
    <row r="1594" spans="1:2" ht="15.5" x14ac:dyDescent="0.35">
      <c r="A1594" s="343"/>
      <c r="B1594" s="344"/>
    </row>
    <row r="1595" spans="1:2" ht="15.5" x14ac:dyDescent="0.35">
      <c r="A1595" s="343"/>
      <c r="B1595" s="344"/>
    </row>
    <row r="1596" spans="1:2" ht="15.5" x14ac:dyDescent="0.35">
      <c r="A1596" s="343"/>
      <c r="B1596" s="344"/>
    </row>
    <row r="1597" spans="1:2" ht="15.5" x14ac:dyDescent="0.35">
      <c r="A1597" s="343"/>
      <c r="B1597" s="344"/>
    </row>
    <row r="1598" spans="1:2" ht="15.5" x14ac:dyDescent="0.35">
      <c r="A1598" s="343"/>
      <c r="B1598" s="344"/>
    </row>
    <row r="1599" spans="1:2" ht="15.5" x14ac:dyDescent="0.35">
      <c r="A1599" s="343"/>
      <c r="B1599" s="344"/>
    </row>
    <row r="1600" spans="1:2" ht="15.5" x14ac:dyDescent="0.35">
      <c r="A1600" s="343"/>
      <c r="B1600" s="344"/>
    </row>
    <row r="1601" spans="1:2" ht="15.5" x14ac:dyDescent="0.35">
      <c r="A1601" s="343"/>
      <c r="B1601" s="344"/>
    </row>
    <row r="1602" spans="1:2" ht="15.5" x14ac:dyDescent="0.35">
      <c r="A1602" s="343"/>
      <c r="B1602" s="344"/>
    </row>
    <row r="1603" spans="1:2" ht="15.5" x14ac:dyDescent="0.35">
      <c r="A1603" s="343"/>
      <c r="B1603" s="344"/>
    </row>
    <row r="1604" spans="1:2" ht="15.5" x14ac:dyDescent="0.35">
      <c r="A1604" s="343"/>
      <c r="B1604" s="344"/>
    </row>
    <row r="1605" spans="1:2" ht="15.5" x14ac:dyDescent="0.35">
      <c r="A1605" s="343"/>
      <c r="B1605" s="344"/>
    </row>
    <row r="1606" spans="1:2" ht="15.5" x14ac:dyDescent="0.35">
      <c r="A1606" s="343"/>
      <c r="B1606" s="344"/>
    </row>
    <row r="1607" spans="1:2" ht="15.5" x14ac:dyDescent="0.35">
      <c r="A1607" s="343"/>
      <c r="B1607" s="344"/>
    </row>
    <row r="1608" spans="1:2" ht="15.5" x14ac:dyDescent="0.35">
      <c r="A1608" s="343"/>
      <c r="B1608" s="344"/>
    </row>
    <row r="1609" spans="1:2" ht="15.5" x14ac:dyDescent="0.35">
      <c r="A1609" s="343"/>
      <c r="B1609" s="344"/>
    </row>
    <row r="1610" spans="1:2" ht="15.5" x14ac:dyDescent="0.35">
      <c r="A1610" s="343"/>
      <c r="B1610" s="344"/>
    </row>
    <row r="1611" spans="1:2" ht="15.5" x14ac:dyDescent="0.35">
      <c r="A1611" s="343"/>
      <c r="B1611" s="344"/>
    </row>
    <row r="1612" spans="1:2" ht="15.5" x14ac:dyDescent="0.35">
      <c r="A1612" s="343"/>
      <c r="B1612" s="344"/>
    </row>
    <row r="1613" spans="1:2" ht="15.5" x14ac:dyDescent="0.35">
      <c r="A1613" s="343"/>
      <c r="B1613" s="344"/>
    </row>
    <row r="1614" spans="1:2" ht="15.5" x14ac:dyDescent="0.35">
      <c r="A1614" s="343"/>
      <c r="B1614" s="344"/>
    </row>
    <row r="1615" spans="1:2" ht="15.5" x14ac:dyDescent="0.35">
      <c r="A1615" s="343"/>
      <c r="B1615" s="344"/>
    </row>
    <row r="1616" spans="1:2" ht="15.5" x14ac:dyDescent="0.35">
      <c r="A1616" s="343"/>
      <c r="B1616" s="344"/>
    </row>
    <row r="1617" spans="1:2" ht="15.5" x14ac:dyDescent="0.35">
      <c r="A1617" s="343"/>
      <c r="B1617" s="344"/>
    </row>
    <row r="1618" spans="1:2" ht="15.5" x14ac:dyDescent="0.35">
      <c r="A1618" s="343"/>
      <c r="B1618" s="344"/>
    </row>
    <row r="1619" spans="1:2" ht="15.5" x14ac:dyDescent="0.35">
      <c r="A1619" s="343"/>
      <c r="B1619" s="344"/>
    </row>
    <row r="1620" spans="1:2" ht="15.5" x14ac:dyDescent="0.35">
      <c r="A1620" s="343"/>
      <c r="B1620" s="344"/>
    </row>
    <row r="1621" spans="1:2" ht="15.5" x14ac:dyDescent="0.35">
      <c r="A1621" s="343"/>
      <c r="B1621" s="344"/>
    </row>
    <row r="1622" spans="1:2" ht="15.5" x14ac:dyDescent="0.35">
      <c r="A1622" s="343"/>
      <c r="B1622" s="344"/>
    </row>
    <row r="1623" spans="1:2" ht="15.5" x14ac:dyDescent="0.35">
      <c r="A1623" s="343"/>
      <c r="B1623" s="344"/>
    </row>
    <row r="1624" spans="1:2" ht="15.5" x14ac:dyDescent="0.35">
      <c r="A1624" s="343"/>
      <c r="B1624" s="344"/>
    </row>
    <row r="1625" spans="1:2" ht="15.5" x14ac:dyDescent="0.35">
      <c r="A1625" s="343"/>
      <c r="B1625" s="344"/>
    </row>
    <row r="1626" spans="1:2" ht="15.5" x14ac:dyDescent="0.35">
      <c r="A1626" s="343"/>
      <c r="B1626" s="344"/>
    </row>
    <row r="1627" spans="1:2" ht="15.5" x14ac:dyDescent="0.35">
      <c r="A1627" s="343"/>
      <c r="B1627" s="344"/>
    </row>
    <row r="1628" spans="1:2" ht="15.5" x14ac:dyDescent="0.35">
      <c r="A1628" s="343"/>
      <c r="B1628" s="344"/>
    </row>
    <row r="1629" spans="1:2" ht="15.5" x14ac:dyDescent="0.35">
      <c r="A1629" s="343"/>
      <c r="B1629" s="344"/>
    </row>
    <row r="1630" spans="1:2" ht="15.5" x14ac:dyDescent="0.35">
      <c r="A1630" s="343"/>
      <c r="B1630" s="344"/>
    </row>
    <row r="1631" spans="1:2" ht="15.5" x14ac:dyDescent="0.35">
      <c r="A1631" s="343"/>
      <c r="B1631" s="344"/>
    </row>
    <row r="1632" spans="1:2" ht="15.5" x14ac:dyDescent="0.35">
      <c r="A1632" s="343"/>
      <c r="B1632" s="344"/>
    </row>
    <row r="1633" spans="1:2" ht="15.5" x14ac:dyDescent="0.35">
      <c r="A1633" s="343"/>
      <c r="B1633" s="344"/>
    </row>
    <row r="1634" spans="1:2" ht="15.5" x14ac:dyDescent="0.35">
      <c r="A1634" s="343"/>
      <c r="B1634" s="344"/>
    </row>
    <row r="1635" spans="1:2" ht="15.5" x14ac:dyDescent="0.35">
      <c r="A1635" s="343"/>
      <c r="B1635" s="344"/>
    </row>
    <row r="1636" spans="1:2" ht="15.5" x14ac:dyDescent="0.35">
      <c r="A1636" s="343"/>
      <c r="B1636" s="344"/>
    </row>
    <row r="1637" spans="1:2" ht="15.5" x14ac:dyDescent="0.35">
      <c r="A1637" s="343"/>
      <c r="B1637" s="344"/>
    </row>
    <row r="1638" spans="1:2" ht="15.5" x14ac:dyDescent="0.35">
      <c r="A1638" s="343"/>
      <c r="B1638" s="344"/>
    </row>
    <row r="1639" spans="1:2" ht="15.5" x14ac:dyDescent="0.35">
      <c r="A1639" s="343"/>
      <c r="B1639" s="344"/>
    </row>
    <row r="1640" spans="1:2" ht="15.5" x14ac:dyDescent="0.35">
      <c r="A1640" s="343"/>
      <c r="B1640" s="344"/>
    </row>
    <row r="1641" spans="1:2" ht="15.5" x14ac:dyDescent="0.35">
      <c r="A1641" s="343"/>
      <c r="B1641" s="344"/>
    </row>
    <row r="1642" spans="1:2" ht="15.5" x14ac:dyDescent="0.35">
      <c r="A1642" s="343"/>
      <c r="B1642" s="344"/>
    </row>
    <row r="1643" spans="1:2" ht="15.5" x14ac:dyDescent="0.35">
      <c r="A1643" s="343"/>
      <c r="B1643" s="344"/>
    </row>
    <row r="1644" spans="1:2" ht="15.5" x14ac:dyDescent="0.35">
      <c r="A1644" s="343"/>
      <c r="B1644" s="344"/>
    </row>
    <row r="1645" spans="1:2" ht="15.5" x14ac:dyDescent="0.35">
      <c r="A1645" s="343"/>
      <c r="B1645" s="344"/>
    </row>
    <row r="1646" spans="1:2" ht="15.5" x14ac:dyDescent="0.35">
      <c r="A1646" s="343"/>
      <c r="B1646" s="344"/>
    </row>
    <row r="1647" spans="1:2" ht="15.5" x14ac:dyDescent="0.35">
      <c r="A1647" s="343"/>
      <c r="B1647" s="344"/>
    </row>
    <row r="1648" spans="1:2" ht="15.5" x14ac:dyDescent="0.35">
      <c r="A1648" s="343"/>
      <c r="B1648" s="344"/>
    </row>
    <row r="1649" spans="1:2" ht="15.5" x14ac:dyDescent="0.35">
      <c r="A1649" s="343"/>
      <c r="B1649" s="344"/>
    </row>
    <row r="1650" spans="1:2" ht="15.5" x14ac:dyDescent="0.35">
      <c r="A1650" s="343"/>
      <c r="B1650" s="344"/>
    </row>
    <row r="1651" spans="1:2" ht="15.5" x14ac:dyDescent="0.35">
      <c r="A1651" s="343"/>
      <c r="B1651" s="344"/>
    </row>
    <row r="1652" spans="1:2" ht="15.5" x14ac:dyDescent="0.35">
      <c r="A1652" s="343"/>
      <c r="B1652" s="344"/>
    </row>
    <row r="1653" spans="1:2" ht="15.5" x14ac:dyDescent="0.35">
      <c r="A1653" s="343"/>
      <c r="B1653" s="344"/>
    </row>
    <row r="1654" spans="1:2" ht="15.5" x14ac:dyDescent="0.35">
      <c r="A1654" s="343"/>
      <c r="B1654" s="344"/>
    </row>
    <row r="1655" spans="1:2" ht="15.5" x14ac:dyDescent="0.35">
      <c r="A1655" s="343"/>
      <c r="B1655" s="344"/>
    </row>
    <row r="1656" spans="1:2" ht="15.5" x14ac:dyDescent="0.35">
      <c r="A1656" s="343"/>
      <c r="B1656" s="344"/>
    </row>
    <row r="1657" spans="1:2" ht="15.5" x14ac:dyDescent="0.35">
      <c r="A1657" s="343"/>
      <c r="B1657" s="344"/>
    </row>
    <row r="1658" spans="1:2" ht="15.5" x14ac:dyDescent="0.35">
      <c r="A1658" s="343"/>
      <c r="B1658" s="344"/>
    </row>
    <row r="1659" spans="1:2" ht="15.5" x14ac:dyDescent="0.35">
      <c r="A1659" s="343"/>
      <c r="B1659" s="344"/>
    </row>
    <row r="1660" spans="1:2" ht="15.5" x14ac:dyDescent="0.35">
      <c r="A1660" s="343"/>
      <c r="B1660" s="344"/>
    </row>
    <row r="1661" spans="1:2" ht="15.5" x14ac:dyDescent="0.35">
      <c r="A1661" s="343"/>
      <c r="B1661" s="344"/>
    </row>
    <row r="1662" spans="1:2" ht="15.5" x14ac:dyDescent="0.35">
      <c r="A1662" s="343"/>
      <c r="B1662" s="344"/>
    </row>
    <row r="1663" spans="1:2" ht="15.5" x14ac:dyDescent="0.35">
      <c r="A1663" s="343"/>
      <c r="B1663" s="344"/>
    </row>
    <row r="1664" spans="1:2" ht="15.5" x14ac:dyDescent="0.35">
      <c r="A1664" s="343"/>
      <c r="B1664" s="344"/>
    </row>
    <row r="1665" spans="1:2" ht="15.5" x14ac:dyDescent="0.35">
      <c r="A1665" s="343"/>
      <c r="B1665" s="344"/>
    </row>
    <row r="1666" spans="1:2" ht="15.5" x14ac:dyDescent="0.35">
      <c r="A1666" s="343"/>
      <c r="B1666" s="344"/>
    </row>
    <row r="1667" spans="1:2" ht="15.5" x14ac:dyDescent="0.35">
      <c r="A1667" s="343"/>
      <c r="B1667" s="344"/>
    </row>
    <row r="1668" spans="1:2" ht="15.5" x14ac:dyDescent="0.35">
      <c r="A1668" s="343"/>
      <c r="B1668" s="344"/>
    </row>
    <row r="1669" spans="1:2" ht="15.5" x14ac:dyDescent="0.35">
      <c r="A1669" s="343"/>
      <c r="B1669" s="344"/>
    </row>
    <row r="1670" spans="1:2" ht="15.5" x14ac:dyDescent="0.35">
      <c r="A1670" s="343"/>
      <c r="B1670" s="344"/>
    </row>
    <row r="1671" spans="1:2" ht="15.5" x14ac:dyDescent="0.35">
      <c r="A1671" s="343"/>
      <c r="B1671" s="344"/>
    </row>
    <row r="1672" spans="1:2" ht="15.5" x14ac:dyDescent="0.35">
      <c r="A1672" s="343"/>
      <c r="B1672" s="344"/>
    </row>
    <row r="1673" spans="1:2" ht="15.5" x14ac:dyDescent="0.35">
      <c r="A1673" s="343"/>
      <c r="B1673" s="344"/>
    </row>
    <row r="1674" spans="1:2" ht="15.5" x14ac:dyDescent="0.35">
      <c r="A1674" s="343"/>
      <c r="B1674" s="344"/>
    </row>
    <row r="1675" spans="1:2" ht="15.5" x14ac:dyDescent="0.35">
      <c r="A1675" s="343"/>
      <c r="B1675" s="344"/>
    </row>
    <row r="1676" spans="1:2" ht="15.5" x14ac:dyDescent="0.35">
      <c r="A1676" s="343"/>
      <c r="B1676" s="344"/>
    </row>
    <row r="1677" spans="1:2" ht="15.5" x14ac:dyDescent="0.35">
      <c r="A1677" s="343"/>
      <c r="B1677" s="344"/>
    </row>
    <row r="1678" spans="1:2" ht="15.5" x14ac:dyDescent="0.35">
      <c r="A1678" s="343"/>
      <c r="B1678" s="344"/>
    </row>
    <row r="1679" spans="1:2" ht="15.5" x14ac:dyDescent="0.35">
      <c r="A1679" s="343"/>
      <c r="B1679" s="344"/>
    </row>
    <row r="1680" spans="1:2" ht="15.5" x14ac:dyDescent="0.35">
      <c r="A1680" s="343"/>
      <c r="B1680" s="344"/>
    </row>
    <row r="1681" spans="1:2" ht="15.5" x14ac:dyDescent="0.35">
      <c r="A1681" s="343"/>
      <c r="B1681" s="344"/>
    </row>
    <row r="1682" spans="1:2" ht="15.5" x14ac:dyDescent="0.35">
      <c r="A1682" s="343"/>
      <c r="B1682" s="344"/>
    </row>
    <row r="1683" spans="1:2" ht="15.5" x14ac:dyDescent="0.35">
      <c r="A1683" s="343"/>
      <c r="B1683" s="344"/>
    </row>
    <row r="1684" spans="1:2" ht="15.5" x14ac:dyDescent="0.35">
      <c r="A1684" s="343"/>
      <c r="B1684" s="344"/>
    </row>
    <row r="1685" spans="1:2" ht="15.5" x14ac:dyDescent="0.35">
      <c r="A1685" s="343"/>
      <c r="B1685" s="344"/>
    </row>
    <row r="1686" spans="1:2" ht="15.5" x14ac:dyDescent="0.35">
      <c r="A1686" s="343"/>
      <c r="B1686" s="344"/>
    </row>
    <row r="1687" spans="1:2" ht="15.5" x14ac:dyDescent="0.35">
      <c r="A1687" s="343"/>
      <c r="B1687" s="344"/>
    </row>
    <row r="1688" spans="1:2" ht="15.5" x14ac:dyDescent="0.35">
      <c r="A1688" s="343"/>
      <c r="B1688" s="344"/>
    </row>
    <row r="1689" spans="1:2" ht="15.5" x14ac:dyDescent="0.35">
      <c r="A1689" s="343"/>
      <c r="B1689" s="344"/>
    </row>
    <row r="1690" spans="1:2" ht="15.5" x14ac:dyDescent="0.35">
      <c r="A1690" s="343"/>
      <c r="B1690" s="344"/>
    </row>
    <row r="1691" spans="1:2" ht="15.5" x14ac:dyDescent="0.35">
      <c r="A1691" s="343"/>
      <c r="B1691" s="344"/>
    </row>
    <row r="1692" spans="1:2" ht="15.5" x14ac:dyDescent="0.35">
      <c r="A1692" s="343"/>
      <c r="B1692" s="344"/>
    </row>
    <row r="1693" spans="1:2" ht="15.5" x14ac:dyDescent="0.35">
      <c r="A1693" s="343"/>
      <c r="B1693" s="344"/>
    </row>
    <row r="1694" spans="1:2" ht="15.5" x14ac:dyDescent="0.35">
      <c r="A1694" s="343"/>
      <c r="B1694" s="344"/>
    </row>
    <row r="1695" spans="1:2" ht="15.5" x14ac:dyDescent="0.35">
      <c r="A1695" s="343"/>
      <c r="B1695" s="344"/>
    </row>
    <row r="1696" spans="1:2" ht="15.5" x14ac:dyDescent="0.35">
      <c r="A1696" s="343"/>
      <c r="B1696" s="344"/>
    </row>
    <row r="1697" spans="1:2" ht="15.5" x14ac:dyDescent="0.35">
      <c r="A1697" s="343"/>
      <c r="B1697" s="344"/>
    </row>
    <row r="1698" spans="1:2" ht="15.5" x14ac:dyDescent="0.35">
      <c r="A1698" s="343"/>
      <c r="B1698" s="344"/>
    </row>
    <row r="1699" spans="1:2" ht="15.5" x14ac:dyDescent="0.35">
      <c r="A1699" s="343"/>
      <c r="B1699" s="344"/>
    </row>
    <row r="1700" spans="1:2" ht="15.5" x14ac:dyDescent="0.35">
      <c r="A1700" s="343"/>
      <c r="B1700" s="344"/>
    </row>
    <row r="1701" spans="1:2" ht="15.5" x14ac:dyDescent="0.35">
      <c r="A1701" s="343"/>
      <c r="B1701" s="344"/>
    </row>
    <row r="1702" spans="1:2" ht="15.5" x14ac:dyDescent="0.35">
      <c r="A1702" s="343"/>
      <c r="B1702" s="344"/>
    </row>
    <row r="1703" spans="1:2" ht="15.5" x14ac:dyDescent="0.35">
      <c r="A1703" s="343"/>
      <c r="B1703" s="344"/>
    </row>
    <row r="1704" spans="1:2" ht="15.5" x14ac:dyDescent="0.35">
      <c r="A1704" s="343"/>
      <c r="B1704" s="344"/>
    </row>
    <row r="1705" spans="1:2" ht="15.5" x14ac:dyDescent="0.35">
      <c r="A1705" s="343"/>
      <c r="B1705" s="344"/>
    </row>
    <row r="1706" spans="1:2" ht="15.5" x14ac:dyDescent="0.35">
      <c r="A1706" s="343"/>
      <c r="B1706" s="344"/>
    </row>
    <row r="1707" spans="1:2" ht="15.5" x14ac:dyDescent="0.35">
      <c r="A1707" s="343"/>
      <c r="B1707" s="344"/>
    </row>
    <row r="1708" spans="1:2" ht="15.5" x14ac:dyDescent="0.35">
      <c r="A1708" s="343"/>
      <c r="B1708" s="344"/>
    </row>
    <row r="1709" spans="1:2" ht="15.5" x14ac:dyDescent="0.35">
      <c r="A1709" s="343"/>
      <c r="B1709" s="344"/>
    </row>
    <row r="1710" spans="1:2" ht="15.5" x14ac:dyDescent="0.35">
      <c r="A1710" s="343"/>
      <c r="B1710" s="344"/>
    </row>
    <row r="1711" spans="1:2" ht="15.5" x14ac:dyDescent="0.35">
      <c r="A1711" s="343"/>
      <c r="B1711" s="344"/>
    </row>
    <row r="1712" spans="1:2" ht="15.5" x14ac:dyDescent="0.35">
      <c r="A1712" s="343"/>
      <c r="B1712" s="344"/>
    </row>
    <row r="1713" spans="1:2" ht="15.5" x14ac:dyDescent="0.35">
      <c r="A1713" s="343"/>
      <c r="B1713" s="344"/>
    </row>
    <row r="1714" spans="1:2" ht="15.5" x14ac:dyDescent="0.35">
      <c r="A1714" s="343"/>
      <c r="B1714" s="344"/>
    </row>
    <row r="1715" spans="1:2" ht="15.5" x14ac:dyDescent="0.35">
      <c r="A1715" s="343"/>
      <c r="B1715" s="344"/>
    </row>
    <row r="1716" spans="1:2" ht="15.5" x14ac:dyDescent="0.35">
      <c r="A1716" s="343"/>
      <c r="B1716" s="344"/>
    </row>
    <row r="1717" spans="1:2" ht="15.5" x14ac:dyDescent="0.35">
      <c r="A1717" s="343"/>
      <c r="B1717" s="344"/>
    </row>
    <row r="1718" spans="1:2" ht="15.5" x14ac:dyDescent="0.35">
      <c r="A1718" s="343"/>
      <c r="B1718" s="344"/>
    </row>
    <row r="1719" spans="1:2" ht="15.5" x14ac:dyDescent="0.35">
      <c r="A1719" s="343"/>
      <c r="B1719" s="344"/>
    </row>
    <row r="1720" spans="1:2" ht="15.5" x14ac:dyDescent="0.35">
      <c r="A1720" s="343"/>
      <c r="B1720" s="344"/>
    </row>
    <row r="1721" spans="1:2" ht="15.5" x14ac:dyDescent="0.35">
      <c r="A1721" s="343"/>
      <c r="B1721" s="344"/>
    </row>
    <row r="1722" spans="1:2" ht="15.5" x14ac:dyDescent="0.35">
      <c r="A1722" s="343"/>
      <c r="B1722" s="344"/>
    </row>
    <row r="1723" spans="1:2" ht="15.5" x14ac:dyDescent="0.35">
      <c r="A1723" s="343"/>
      <c r="B1723" s="344"/>
    </row>
    <row r="1724" spans="1:2" ht="15.5" x14ac:dyDescent="0.35">
      <c r="A1724" s="343"/>
      <c r="B1724" s="344"/>
    </row>
    <row r="1725" spans="1:2" ht="15.5" x14ac:dyDescent="0.35">
      <c r="A1725" s="343"/>
      <c r="B1725" s="344"/>
    </row>
    <row r="1726" spans="1:2" ht="15.5" x14ac:dyDescent="0.35">
      <c r="A1726" s="343"/>
      <c r="B1726" s="344"/>
    </row>
    <row r="1727" spans="1:2" ht="15.5" x14ac:dyDescent="0.35">
      <c r="A1727" s="343"/>
      <c r="B1727" s="344"/>
    </row>
    <row r="1728" spans="1:2" ht="15.5" x14ac:dyDescent="0.35">
      <c r="A1728" s="343"/>
      <c r="B1728" s="344"/>
    </row>
    <row r="1729" spans="1:2" ht="15.5" x14ac:dyDescent="0.35">
      <c r="A1729" s="343"/>
      <c r="B1729" s="344"/>
    </row>
    <row r="1730" spans="1:2" ht="15.5" x14ac:dyDescent="0.35">
      <c r="A1730" s="343"/>
      <c r="B1730" s="344"/>
    </row>
    <row r="1731" spans="1:2" ht="15.5" x14ac:dyDescent="0.35">
      <c r="A1731" s="343"/>
      <c r="B1731" s="344"/>
    </row>
    <row r="1732" spans="1:2" ht="15.5" x14ac:dyDescent="0.35">
      <c r="A1732" s="343"/>
      <c r="B1732" s="344"/>
    </row>
    <row r="1733" spans="1:2" ht="15.5" x14ac:dyDescent="0.35">
      <c r="A1733" s="343"/>
      <c r="B1733" s="344"/>
    </row>
    <row r="1734" spans="1:2" ht="15.5" x14ac:dyDescent="0.35">
      <c r="A1734" s="343"/>
      <c r="B1734" s="344"/>
    </row>
    <row r="1735" spans="1:2" ht="15.5" x14ac:dyDescent="0.35">
      <c r="A1735" s="343"/>
      <c r="B1735" s="344"/>
    </row>
    <row r="1736" spans="1:2" ht="15.5" x14ac:dyDescent="0.35">
      <c r="A1736" s="343"/>
      <c r="B1736" s="344"/>
    </row>
    <row r="1737" spans="1:2" ht="15.5" x14ac:dyDescent="0.35">
      <c r="A1737" s="343"/>
      <c r="B1737" s="344"/>
    </row>
    <row r="1738" spans="1:2" ht="15.5" x14ac:dyDescent="0.35">
      <c r="A1738" s="343"/>
      <c r="B1738" s="344"/>
    </row>
    <row r="1739" spans="1:2" ht="15.5" x14ac:dyDescent="0.35">
      <c r="A1739" s="343"/>
      <c r="B1739" s="344"/>
    </row>
    <row r="1740" spans="1:2" ht="15.5" x14ac:dyDescent="0.35">
      <c r="A1740" s="343"/>
      <c r="B1740" s="344"/>
    </row>
    <row r="1741" spans="1:2" ht="15.5" x14ac:dyDescent="0.35">
      <c r="A1741" s="343"/>
      <c r="B1741" s="344"/>
    </row>
    <row r="1742" spans="1:2" ht="15.5" x14ac:dyDescent="0.35">
      <c r="A1742" s="343"/>
      <c r="B1742" s="344"/>
    </row>
    <row r="1743" spans="1:2" ht="15.5" x14ac:dyDescent="0.35">
      <c r="A1743" s="343"/>
      <c r="B1743" s="344"/>
    </row>
    <row r="1744" spans="1:2" ht="15.5" x14ac:dyDescent="0.35">
      <c r="A1744" s="343"/>
      <c r="B1744" s="344"/>
    </row>
    <row r="1745" spans="1:2" ht="15.5" x14ac:dyDescent="0.35">
      <c r="A1745" s="343"/>
      <c r="B1745" s="344"/>
    </row>
    <row r="1746" spans="1:2" ht="15.5" x14ac:dyDescent="0.35">
      <c r="A1746" s="343"/>
      <c r="B1746" s="344"/>
    </row>
    <row r="1747" spans="1:2" ht="15.5" x14ac:dyDescent="0.35">
      <c r="A1747" s="343"/>
      <c r="B1747" s="344"/>
    </row>
    <row r="1748" spans="1:2" ht="15.5" x14ac:dyDescent="0.35">
      <c r="A1748" s="343"/>
      <c r="B1748" s="344"/>
    </row>
    <row r="1749" spans="1:2" ht="15.5" x14ac:dyDescent="0.35">
      <c r="A1749" s="343"/>
      <c r="B1749" s="344"/>
    </row>
    <row r="1750" spans="1:2" ht="15.5" x14ac:dyDescent="0.35">
      <c r="A1750" s="343"/>
      <c r="B1750" s="344"/>
    </row>
    <row r="1751" spans="1:2" ht="15.5" x14ac:dyDescent="0.35">
      <c r="A1751" s="343"/>
      <c r="B1751" s="344"/>
    </row>
    <row r="1752" spans="1:2" ht="15.5" x14ac:dyDescent="0.35">
      <c r="A1752" s="343"/>
      <c r="B1752" s="344"/>
    </row>
    <row r="1753" spans="1:2" ht="15.5" x14ac:dyDescent="0.35">
      <c r="A1753" s="343"/>
      <c r="B1753" s="344"/>
    </row>
    <row r="1754" spans="1:2" ht="15.5" x14ac:dyDescent="0.35">
      <c r="A1754" s="343"/>
      <c r="B1754" s="344"/>
    </row>
    <row r="1755" spans="1:2" ht="15.5" x14ac:dyDescent="0.35">
      <c r="A1755" s="343"/>
      <c r="B1755" s="344"/>
    </row>
    <row r="1756" spans="1:2" ht="15.5" x14ac:dyDescent="0.35">
      <c r="A1756" s="343"/>
      <c r="B1756" s="344"/>
    </row>
    <row r="1757" spans="1:2" ht="15.5" x14ac:dyDescent="0.35">
      <c r="A1757" s="343"/>
      <c r="B1757" s="344"/>
    </row>
    <row r="1758" spans="1:2" ht="15.5" x14ac:dyDescent="0.35">
      <c r="A1758" s="343"/>
      <c r="B1758" s="344"/>
    </row>
    <row r="1759" spans="1:2" ht="15.5" x14ac:dyDescent="0.35">
      <c r="A1759" s="343"/>
      <c r="B1759" s="344"/>
    </row>
    <row r="1760" spans="1:2" ht="15.5" x14ac:dyDescent="0.35">
      <c r="A1760" s="343"/>
      <c r="B1760" s="344"/>
    </row>
    <row r="1761" spans="1:2" ht="15.5" x14ac:dyDescent="0.35">
      <c r="A1761" s="343"/>
      <c r="B1761" s="344"/>
    </row>
    <row r="1762" spans="1:2" ht="15.5" x14ac:dyDescent="0.35">
      <c r="A1762" s="343"/>
      <c r="B1762" s="344"/>
    </row>
    <row r="1763" spans="1:2" ht="15.5" x14ac:dyDescent="0.35">
      <c r="A1763" s="343"/>
      <c r="B1763" s="344"/>
    </row>
    <row r="1764" spans="1:2" ht="15.5" x14ac:dyDescent="0.35">
      <c r="A1764" s="343"/>
      <c r="B1764" s="344"/>
    </row>
    <row r="1765" spans="1:2" ht="15.5" x14ac:dyDescent="0.35">
      <c r="A1765" s="343"/>
      <c r="B1765" s="344"/>
    </row>
    <row r="1766" spans="1:2" ht="15.5" x14ac:dyDescent="0.35">
      <c r="A1766" s="343"/>
      <c r="B1766" s="344"/>
    </row>
    <row r="1767" spans="1:2" ht="15.5" x14ac:dyDescent="0.35">
      <c r="A1767" s="343"/>
      <c r="B1767" s="344"/>
    </row>
    <row r="1768" spans="1:2" ht="15.5" x14ac:dyDescent="0.35">
      <c r="A1768" s="343"/>
      <c r="B1768" s="344"/>
    </row>
    <row r="1769" spans="1:2" ht="15.5" x14ac:dyDescent="0.35">
      <c r="A1769" s="343"/>
      <c r="B1769" s="344"/>
    </row>
    <row r="1770" spans="1:2" ht="15.5" x14ac:dyDescent="0.35">
      <c r="A1770" s="343"/>
      <c r="B1770" s="344"/>
    </row>
    <row r="1771" spans="1:2" ht="15.5" x14ac:dyDescent="0.35">
      <c r="A1771" s="343"/>
      <c r="B1771" s="344"/>
    </row>
    <row r="1772" spans="1:2" ht="15.5" x14ac:dyDescent="0.35">
      <c r="A1772" s="343"/>
      <c r="B1772" s="344"/>
    </row>
    <row r="1773" spans="1:2" ht="15.5" x14ac:dyDescent="0.35">
      <c r="A1773" s="343"/>
      <c r="B1773" s="344"/>
    </row>
    <row r="1774" spans="1:2" ht="15.5" x14ac:dyDescent="0.35">
      <c r="A1774" s="343"/>
      <c r="B1774" s="344"/>
    </row>
    <row r="1775" spans="1:2" ht="15.5" x14ac:dyDescent="0.35">
      <c r="A1775" s="343"/>
      <c r="B1775" s="344"/>
    </row>
    <row r="1776" spans="1:2" ht="15.5" x14ac:dyDescent="0.35">
      <c r="A1776" s="343"/>
      <c r="B1776" s="344"/>
    </row>
    <row r="1777" spans="1:2" ht="15.5" x14ac:dyDescent="0.35">
      <c r="A1777" s="343"/>
      <c r="B1777" s="344"/>
    </row>
    <row r="1778" spans="1:2" ht="15.5" x14ac:dyDescent="0.35">
      <c r="A1778" s="343"/>
      <c r="B1778" s="344"/>
    </row>
    <row r="1779" spans="1:2" ht="15.5" x14ac:dyDescent="0.35">
      <c r="A1779" s="343"/>
      <c r="B1779" s="344"/>
    </row>
    <row r="1780" spans="1:2" ht="15.5" x14ac:dyDescent="0.35">
      <c r="A1780" s="343"/>
      <c r="B1780" s="344"/>
    </row>
    <row r="1781" spans="1:2" ht="15.5" x14ac:dyDescent="0.35">
      <c r="A1781" s="343"/>
      <c r="B1781" s="344"/>
    </row>
    <row r="1782" spans="1:2" ht="15.5" x14ac:dyDescent="0.35">
      <c r="A1782" s="343"/>
      <c r="B1782" s="344"/>
    </row>
    <row r="1783" spans="1:2" ht="15.5" x14ac:dyDescent="0.35">
      <c r="A1783" s="343"/>
      <c r="B1783" s="344"/>
    </row>
    <row r="1784" spans="1:2" ht="15.5" x14ac:dyDescent="0.35">
      <c r="A1784" s="343"/>
      <c r="B1784" s="344"/>
    </row>
    <row r="1785" spans="1:2" ht="15.5" x14ac:dyDescent="0.35">
      <c r="A1785" s="343"/>
      <c r="B1785" s="344"/>
    </row>
    <row r="1786" spans="1:2" ht="15.5" x14ac:dyDescent="0.35">
      <c r="A1786" s="343"/>
      <c r="B1786" s="344"/>
    </row>
    <row r="1787" spans="1:2" ht="15.5" x14ac:dyDescent="0.35">
      <c r="A1787" s="343"/>
      <c r="B1787" s="344"/>
    </row>
    <row r="1788" spans="1:2" ht="15.5" x14ac:dyDescent="0.35">
      <c r="A1788" s="343"/>
      <c r="B1788" s="344"/>
    </row>
    <row r="1789" spans="1:2" ht="15.5" x14ac:dyDescent="0.35">
      <c r="A1789" s="343"/>
      <c r="B1789" s="344"/>
    </row>
    <row r="1790" spans="1:2" ht="15.5" x14ac:dyDescent="0.35">
      <c r="A1790" s="343"/>
      <c r="B1790" s="344"/>
    </row>
    <row r="1791" spans="1:2" ht="15.5" x14ac:dyDescent="0.35">
      <c r="A1791" s="343"/>
      <c r="B1791" s="344"/>
    </row>
    <row r="1792" spans="1:2" ht="15.5" x14ac:dyDescent="0.35">
      <c r="A1792" s="343"/>
      <c r="B1792" s="344"/>
    </row>
    <row r="1793" spans="1:2" ht="15.5" x14ac:dyDescent="0.35">
      <c r="A1793" s="343"/>
      <c r="B1793" s="344"/>
    </row>
    <row r="1794" spans="1:2" ht="15.5" x14ac:dyDescent="0.35">
      <c r="A1794" s="343"/>
      <c r="B1794" s="344"/>
    </row>
    <row r="1795" spans="1:2" ht="15.5" x14ac:dyDescent="0.35">
      <c r="A1795" s="343"/>
      <c r="B1795" s="344"/>
    </row>
    <row r="1796" spans="1:2" ht="15.5" x14ac:dyDescent="0.35">
      <c r="A1796" s="343"/>
      <c r="B1796" s="344"/>
    </row>
    <row r="1797" spans="1:2" ht="15.5" x14ac:dyDescent="0.35">
      <c r="A1797" s="343"/>
      <c r="B1797" s="344"/>
    </row>
    <row r="1798" spans="1:2" ht="15.5" x14ac:dyDescent="0.35">
      <c r="A1798" s="343"/>
      <c r="B1798" s="344"/>
    </row>
    <row r="1799" spans="1:2" ht="15.5" x14ac:dyDescent="0.35">
      <c r="A1799" s="343"/>
      <c r="B1799" s="344"/>
    </row>
    <row r="1800" spans="1:2" ht="15.5" x14ac:dyDescent="0.35">
      <c r="A1800" s="343"/>
      <c r="B1800" s="344"/>
    </row>
    <row r="1801" spans="1:2" ht="15.5" x14ac:dyDescent="0.35">
      <c r="A1801" s="343"/>
      <c r="B1801" s="344"/>
    </row>
    <row r="1802" spans="1:2" ht="15.5" x14ac:dyDescent="0.35">
      <c r="A1802" s="343"/>
      <c r="B1802" s="344"/>
    </row>
    <row r="1803" spans="1:2" ht="15.5" x14ac:dyDescent="0.35">
      <c r="A1803" s="343"/>
      <c r="B1803" s="344"/>
    </row>
    <row r="1804" spans="1:2" ht="15.5" x14ac:dyDescent="0.35">
      <c r="A1804" s="343"/>
      <c r="B1804" s="344"/>
    </row>
    <row r="1805" spans="1:2" ht="15.5" x14ac:dyDescent="0.35">
      <c r="A1805" s="343"/>
      <c r="B1805" s="344"/>
    </row>
    <row r="1806" spans="1:2" ht="15.5" x14ac:dyDescent="0.35">
      <c r="A1806" s="343"/>
      <c r="B1806" s="344"/>
    </row>
    <row r="1807" spans="1:2" ht="15.5" x14ac:dyDescent="0.35">
      <c r="A1807" s="343"/>
      <c r="B1807" s="344"/>
    </row>
    <row r="1808" spans="1:2" ht="15.5" x14ac:dyDescent="0.35">
      <c r="A1808" s="343"/>
      <c r="B1808" s="344"/>
    </row>
    <row r="1809" spans="1:2" ht="15.5" x14ac:dyDescent="0.35">
      <c r="A1809" s="343"/>
      <c r="B1809" s="344"/>
    </row>
    <row r="1810" spans="1:2" ht="15.5" x14ac:dyDescent="0.35">
      <c r="A1810" s="343"/>
      <c r="B1810" s="344"/>
    </row>
    <row r="1811" spans="1:2" ht="15.5" x14ac:dyDescent="0.35">
      <c r="A1811" s="343"/>
      <c r="B1811" s="344"/>
    </row>
    <row r="1812" spans="1:2" ht="15.5" x14ac:dyDescent="0.35">
      <c r="A1812" s="343"/>
      <c r="B1812" s="344"/>
    </row>
    <row r="1813" spans="1:2" ht="15.5" x14ac:dyDescent="0.35">
      <c r="A1813" s="343"/>
      <c r="B1813" s="344"/>
    </row>
    <row r="1814" spans="1:2" ht="15.5" x14ac:dyDescent="0.35">
      <c r="A1814" s="343"/>
      <c r="B1814" s="344"/>
    </row>
    <row r="1815" spans="1:2" ht="15.5" x14ac:dyDescent="0.35">
      <c r="A1815" s="343"/>
      <c r="B1815" s="344"/>
    </row>
    <row r="1816" spans="1:2" ht="15.5" x14ac:dyDescent="0.35">
      <c r="A1816" s="343"/>
      <c r="B1816" s="344"/>
    </row>
    <row r="1817" spans="1:2" ht="15.5" x14ac:dyDescent="0.35">
      <c r="A1817" s="343"/>
      <c r="B1817" s="344"/>
    </row>
    <row r="1818" spans="1:2" ht="15.5" x14ac:dyDescent="0.35">
      <c r="A1818" s="343"/>
      <c r="B1818" s="344"/>
    </row>
    <row r="1819" spans="1:2" ht="15.5" x14ac:dyDescent="0.35">
      <c r="A1819" s="343"/>
      <c r="B1819" s="344"/>
    </row>
    <row r="1820" spans="1:2" ht="15.5" x14ac:dyDescent="0.35">
      <c r="A1820" s="343"/>
      <c r="B1820" s="344"/>
    </row>
    <row r="1821" spans="1:2" ht="15.5" x14ac:dyDescent="0.35">
      <c r="A1821" s="343"/>
      <c r="B1821" s="344"/>
    </row>
    <row r="1822" spans="1:2" ht="15.5" x14ac:dyDescent="0.35">
      <c r="A1822" s="343"/>
      <c r="B1822" s="344"/>
    </row>
    <row r="1823" spans="1:2" ht="15.5" x14ac:dyDescent="0.35">
      <c r="A1823" s="343"/>
      <c r="B1823" s="344"/>
    </row>
    <row r="1824" spans="1:2" ht="15.5" x14ac:dyDescent="0.35">
      <c r="A1824" s="343"/>
      <c r="B1824" s="344"/>
    </row>
    <row r="1825" spans="1:2" ht="15.5" x14ac:dyDescent="0.35">
      <c r="A1825" s="343"/>
      <c r="B1825" s="344"/>
    </row>
    <row r="1826" spans="1:2" ht="15.5" x14ac:dyDescent="0.35">
      <c r="A1826" s="343"/>
      <c r="B1826" s="344"/>
    </row>
    <row r="1827" spans="1:2" ht="15.5" x14ac:dyDescent="0.35">
      <c r="A1827" s="343"/>
      <c r="B1827" s="344"/>
    </row>
    <row r="1828" spans="1:2" ht="15.5" x14ac:dyDescent="0.35">
      <c r="A1828" s="343"/>
      <c r="B1828" s="344"/>
    </row>
    <row r="1829" spans="1:2" ht="15.5" x14ac:dyDescent="0.35">
      <c r="A1829" s="343"/>
      <c r="B1829" s="344"/>
    </row>
    <row r="1830" spans="1:2" ht="15.5" x14ac:dyDescent="0.35">
      <c r="A1830" s="343"/>
      <c r="B1830" s="344"/>
    </row>
    <row r="1831" spans="1:2" ht="15.5" x14ac:dyDescent="0.35">
      <c r="A1831" s="343"/>
      <c r="B1831" s="344"/>
    </row>
    <row r="1832" spans="1:2" ht="15.5" x14ac:dyDescent="0.35">
      <c r="A1832" s="343"/>
      <c r="B1832" s="344"/>
    </row>
    <row r="1833" spans="1:2" ht="15.5" x14ac:dyDescent="0.35">
      <c r="A1833" s="343"/>
      <c r="B1833" s="344"/>
    </row>
    <row r="1834" spans="1:2" ht="15.5" x14ac:dyDescent="0.35">
      <c r="A1834" s="343"/>
      <c r="B1834" s="344"/>
    </row>
    <row r="1835" spans="1:2" ht="15.5" x14ac:dyDescent="0.35">
      <c r="A1835" s="343"/>
      <c r="B1835" s="344"/>
    </row>
    <row r="1836" spans="1:2" ht="15.5" x14ac:dyDescent="0.35">
      <c r="A1836" s="343"/>
      <c r="B1836" s="344"/>
    </row>
    <row r="1837" spans="1:2" ht="15.5" x14ac:dyDescent="0.35">
      <c r="A1837" s="343"/>
      <c r="B1837" s="344"/>
    </row>
    <row r="1838" spans="1:2" ht="15.5" x14ac:dyDescent="0.35">
      <c r="A1838" s="343"/>
      <c r="B1838" s="344"/>
    </row>
    <row r="1839" spans="1:2" ht="15.5" x14ac:dyDescent="0.35">
      <c r="A1839" s="343"/>
      <c r="B1839" s="344"/>
    </row>
    <row r="1840" spans="1:2" ht="15.5" x14ac:dyDescent="0.35">
      <c r="A1840" s="343"/>
      <c r="B1840" s="344"/>
    </row>
    <row r="1841" spans="1:2" ht="15.5" x14ac:dyDescent="0.35">
      <c r="A1841" s="343"/>
      <c r="B1841" s="344"/>
    </row>
    <row r="1842" spans="1:2" ht="15.5" x14ac:dyDescent="0.35">
      <c r="A1842" s="343"/>
      <c r="B1842" s="344"/>
    </row>
    <row r="1843" spans="1:2" ht="15.5" x14ac:dyDescent="0.35">
      <c r="A1843" s="343"/>
      <c r="B1843" s="344"/>
    </row>
    <row r="1844" spans="1:2" ht="15.5" x14ac:dyDescent="0.35">
      <c r="A1844" s="343"/>
      <c r="B1844" s="344"/>
    </row>
    <row r="1845" spans="1:2" ht="15.5" x14ac:dyDescent="0.35">
      <c r="A1845" s="343"/>
      <c r="B1845" s="344"/>
    </row>
    <row r="1846" spans="1:2" ht="15.5" x14ac:dyDescent="0.35">
      <c r="A1846" s="343"/>
      <c r="B1846" s="344"/>
    </row>
    <row r="1847" spans="1:2" ht="15.5" x14ac:dyDescent="0.35">
      <c r="A1847" s="343"/>
      <c r="B1847" s="344"/>
    </row>
    <row r="1848" spans="1:2" ht="15.5" x14ac:dyDescent="0.35">
      <c r="A1848" s="343"/>
      <c r="B1848" s="344"/>
    </row>
    <row r="1849" spans="1:2" ht="15.5" x14ac:dyDescent="0.35">
      <c r="A1849" s="343"/>
      <c r="B1849" s="344"/>
    </row>
    <row r="1850" spans="1:2" ht="15.5" x14ac:dyDescent="0.35">
      <c r="A1850" s="343"/>
      <c r="B1850" s="344"/>
    </row>
    <row r="1851" spans="1:2" ht="15.5" x14ac:dyDescent="0.35">
      <c r="A1851" s="343"/>
      <c r="B1851" s="344"/>
    </row>
    <row r="1852" spans="1:2" ht="15.5" x14ac:dyDescent="0.35">
      <c r="A1852" s="343"/>
      <c r="B1852" s="344"/>
    </row>
    <row r="1853" spans="1:2" ht="15.5" x14ac:dyDescent="0.35">
      <c r="A1853" s="343"/>
      <c r="B1853" s="344"/>
    </row>
    <row r="1854" spans="1:2" ht="15.5" x14ac:dyDescent="0.35">
      <c r="A1854" s="343"/>
      <c r="B1854" s="344"/>
    </row>
    <row r="1855" spans="1:2" ht="15.5" x14ac:dyDescent="0.35">
      <c r="A1855" s="343"/>
      <c r="B1855" s="344"/>
    </row>
    <row r="1856" spans="1:2" ht="15.5" x14ac:dyDescent="0.35">
      <c r="A1856" s="343"/>
      <c r="B1856" s="344"/>
    </row>
    <row r="1857" spans="1:2" ht="15.5" x14ac:dyDescent="0.35">
      <c r="A1857" s="343"/>
      <c r="B1857" s="344"/>
    </row>
    <row r="1858" spans="1:2" ht="15.5" x14ac:dyDescent="0.35">
      <c r="A1858" s="343"/>
      <c r="B1858" s="344"/>
    </row>
    <row r="1859" spans="1:2" ht="15.5" x14ac:dyDescent="0.35">
      <c r="A1859" s="343"/>
      <c r="B1859" s="344"/>
    </row>
    <row r="1860" spans="1:2" ht="15.5" x14ac:dyDescent="0.35">
      <c r="A1860" s="343"/>
      <c r="B1860" s="344"/>
    </row>
    <row r="1861" spans="1:2" ht="15.5" x14ac:dyDescent="0.35">
      <c r="A1861" s="343"/>
      <c r="B1861" s="344"/>
    </row>
    <row r="1862" spans="1:2" ht="15.5" x14ac:dyDescent="0.35">
      <c r="A1862" s="343"/>
      <c r="B1862" s="344"/>
    </row>
    <row r="1863" spans="1:2" ht="15.5" x14ac:dyDescent="0.35">
      <c r="A1863" s="343"/>
      <c r="B1863" s="344"/>
    </row>
    <row r="1864" spans="1:2" ht="15.5" x14ac:dyDescent="0.35">
      <c r="A1864" s="343"/>
      <c r="B1864" s="344"/>
    </row>
    <row r="1865" spans="1:2" ht="15.5" x14ac:dyDescent="0.35">
      <c r="A1865" s="343"/>
      <c r="B1865" s="344"/>
    </row>
    <row r="1866" spans="1:2" ht="15.5" x14ac:dyDescent="0.35">
      <c r="A1866" s="343"/>
      <c r="B1866" s="344"/>
    </row>
    <row r="1867" spans="1:2" ht="15.5" x14ac:dyDescent="0.35">
      <c r="A1867" s="343"/>
      <c r="B1867" s="344"/>
    </row>
    <row r="1868" spans="1:2" ht="15.5" x14ac:dyDescent="0.35">
      <c r="A1868" s="343"/>
      <c r="B1868" s="344"/>
    </row>
    <row r="1869" spans="1:2" ht="15.5" x14ac:dyDescent="0.35">
      <c r="A1869" s="343"/>
      <c r="B1869" s="344"/>
    </row>
    <row r="1870" spans="1:2" ht="15.5" x14ac:dyDescent="0.35">
      <c r="A1870" s="343"/>
      <c r="B1870" s="344"/>
    </row>
    <row r="1871" spans="1:2" ht="15.5" x14ac:dyDescent="0.35">
      <c r="A1871" s="343"/>
      <c r="B1871" s="344"/>
    </row>
    <row r="1872" spans="1:2" ht="15.5" x14ac:dyDescent="0.35">
      <c r="A1872" s="343"/>
      <c r="B1872" s="344"/>
    </row>
    <row r="1873" spans="1:2" ht="15.5" x14ac:dyDescent="0.35">
      <c r="A1873" s="343"/>
      <c r="B1873" s="344"/>
    </row>
    <row r="1874" spans="1:2" ht="15.5" x14ac:dyDescent="0.35">
      <c r="A1874" s="343"/>
      <c r="B1874" s="344"/>
    </row>
    <row r="1875" spans="1:2" ht="15.5" x14ac:dyDescent="0.35">
      <c r="A1875" s="343"/>
      <c r="B1875" s="344"/>
    </row>
    <row r="1876" spans="1:2" ht="15.5" x14ac:dyDescent="0.35">
      <c r="A1876" s="343"/>
      <c r="B1876" s="344"/>
    </row>
    <row r="1877" spans="1:2" ht="15.5" x14ac:dyDescent="0.35">
      <c r="A1877" s="343"/>
      <c r="B1877" s="344"/>
    </row>
    <row r="1878" spans="1:2" ht="15.5" x14ac:dyDescent="0.35">
      <c r="A1878" s="343"/>
      <c r="B1878" s="344"/>
    </row>
    <row r="1879" spans="1:2" ht="15.5" x14ac:dyDescent="0.35">
      <c r="A1879" s="343"/>
      <c r="B1879" s="344"/>
    </row>
    <row r="1880" spans="1:2" ht="15.5" x14ac:dyDescent="0.35">
      <c r="A1880" s="343"/>
      <c r="B1880" s="344"/>
    </row>
    <row r="1881" spans="1:2" ht="15.5" x14ac:dyDescent="0.35">
      <c r="A1881" s="343"/>
      <c r="B1881" s="344"/>
    </row>
    <row r="1882" spans="1:2" ht="15.5" x14ac:dyDescent="0.35">
      <c r="A1882" s="343"/>
      <c r="B1882" s="344"/>
    </row>
    <row r="1883" spans="1:2" ht="15.5" x14ac:dyDescent="0.35">
      <c r="A1883" s="343"/>
      <c r="B1883" s="344"/>
    </row>
    <row r="1884" spans="1:2" ht="15.5" x14ac:dyDescent="0.35">
      <c r="A1884" s="343"/>
      <c r="B1884" s="344"/>
    </row>
    <row r="1885" spans="1:2" ht="15.5" x14ac:dyDescent="0.35">
      <c r="A1885" s="343"/>
      <c r="B1885" s="344"/>
    </row>
    <row r="1886" spans="1:2" ht="15.5" x14ac:dyDescent="0.35">
      <c r="A1886" s="343"/>
      <c r="B1886" s="344"/>
    </row>
    <row r="1887" spans="1:2" ht="15.5" x14ac:dyDescent="0.35">
      <c r="A1887" s="343"/>
      <c r="B1887" s="344"/>
    </row>
    <row r="1888" spans="1:2" ht="15.5" x14ac:dyDescent="0.35">
      <c r="A1888" s="343"/>
      <c r="B1888" s="344"/>
    </row>
    <row r="1889" spans="1:2" ht="15.5" x14ac:dyDescent="0.35">
      <c r="A1889" s="343"/>
      <c r="B1889" s="344"/>
    </row>
    <row r="1890" spans="1:2" ht="15.5" x14ac:dyDescent="0.35">
      <c r="A1890" s="343"/>
      <c r="B1890" s="344"/>
    </row>
    <row r="1891" spans="1:2" ht="15.5" x14ac:dyDescent="0.35">
      <c r="A1891" s="343"/>
      <c r="B1891" s="344"/>
    </row>
    <row r="1892" spans="1:2" ht="15.5" x14ac:dyDescent="0.35">
      <c r="A1892" s="343"/>
      <c r="B1892" s="344"/>
    </row>
    <row r="1893" spans="1:2" ht="15.5" x14ac:dyDescent="0.35">
      <c r="A1893" s="343"/>
      <c r="B1893" s="344"/>
    </row>
    <row r="1894" spans="1:2" ht="15.5" x14ac:dyDescent="0.35">
      <c r="A1894" s="343"/>
      <c r="B1894" s="344"/>
    </row>
    <row r="1895" spans="1:2" ht="15.5" x14ac:dyDescent="0.35">
      <c r="A1895" s="343"/>
      <c r="B1895" s="344"/>
    </row>
    <row r="1896" spans="1:2" ht="15.5" x14ac:dyDescent="0.35">
      <c r="A1896" s="343"/>
      <c r="B1896" s="344"/>
    </row>
    <row r="1897" spans="1:2" ht="15.5" x14ac:dyDescent="0.35">
      <c r="A1897" s="343"/>
      <c r="B1897" s="344"/>
    </row>
    <row r="1898" spans="1:2" ht="15.5" x14ac:dyDescent="0.35">
      <c r="A1898" s="343"/>
      <c r="B1898" s="344"/>
    </row>
    <row r="1899" spans="1:2" ht="15.5" x14ac:dyDescent="0.35">
      <c r="A1899" s="343"/>
      <c r="B1899" s="344"/>
    </row>
    <row r="1900" spans="1:2" ht="15.5" x14ac:dyDescent="0.35">
      <c r="A1900" s="343"/>
      <c r="B1900" s="344"/>
    </row>
    <row r="1901" spans="1:2" ht="15.5" x14ac:dyDescent="0.35">
      <c r="A1901" s="343"/>
      <c r="B1901" s="344"/>
    </row>
    <row r="1902" spans="1:2" ht="15.5" x14ac:dyDescent="0.35">
      <c r="A1902" s="343"/>
      <c r="B1902" s="344"/>
    </row>
    <row r="1903" spans="1:2" ht="15.5" x14ac:dyDescent="0.35">
      <c r="A1903" s="343"/>
      <c r="B1903" s="344"/>
    </row>
    <row r="1904" spans="1:2" ht="15.5" x14ac:dyDescent="0.35">
      <c r="A1904" s="343"/>
      <c r="B1904" s="344"/>
    </row>
    <row r="1905" spans="1:2" ht="15.5" x14ac:dyDescent="0.35">
      <c r="A1905" s="343"/>
      <c r="B1905" s="344"/>
    </row>
    <row r="1906" spans="1:2" ht="15.5" x14ac:dyDescent="0.35">
      <c r="A1906" s="343"/>
      <c r="B1906" s="344"/>
    </row>
    <row r="1907" spans="1:2" ht="15.5" x14ac:dyDescent="0.35">
      <c r="A1907" s="343"/>
      <c r="B1907" s="344"/>
    </row>
    <row r="1908" spans="1:2" ht="15.5" x14ac:dyDescent="0.35">
      <c r="A1908" s="343"/>
      <c r="B1908" s="344"/>
    </row>
    <row r="1909" spans="1:2" ht="15.5" x14ac:dyDescent="0.35">
      <c r="A1909" s="343"/>
      <c r="B1909" s="344"/>
    </row>
    <row r="1910" spans="1:2" ht="15.5" x14ac:dyDescent="0.35">
      <c r="A1910" s="343"/>
      <c r="B1910" s="344"/>
    </row>
    <row r="1911" spans="1:2" ht="15.5" x14ac:dyDescent="0.35">
      <c r="A1911" s="343"/>
      <c r="B1911" s="344"/>
    </row>
    <row r="1912" spans="1:2" ht="15.5" x14ac:dyDescent="0.35">
      <c r="A1912" s="343"/>
      <c r="B1912" s="344"/>
    </row>
    <row r="1913" spans="1:2" ht="15.5" x14ac:dyDescent="0.35">
      <c r="A1913" s="343"/>
      <c r="B1913" s="344"/>
    </row>
    <row r="1914" spans="1:2" ht="15.5" x14ac:dyDescent="0.35">
      <c r="A1914" s="343"/>
      <c r="B1914" s="344"/>
    </row>
    <row r="1915" spans="1:2" ht="15.5" x14ac:dyDescent="0.35">
      <c r="A1915" s="343"/>
      <c r="B1915" s="344"/>
    </row>
    <row r="1916" spans="1:2" ht="15.5" x14ac:dyDescent="0.35">
      <c r="A1916" s="343"/>
      <c r="B1916" s="344"/>
    </row>
    <row r="1917" spans="1:2" ht="15.5" x14ac:dyDescent="0.35">
      <c r="A1917" s="343"/>
      <c r="B1917" s="344"/>
    </row>
    <row r="1918" spans="1:2" ht="15.5" x14ac:dyDescent="0.35">
      <c r="A1918" s="343"/>
      <c r="B1918" s="344"/>
    </row>
    <row r="1919" spans="1:2" ht="15.5" x14ac:dyDescent="0.35">
      <c r="A1919" s="343"/>
      <c r="B1919" s="344"/>
    </row>
    <row r="1920" spans="1:2" ht="15.5" x14ac:dyDescent="0.35">
      <c r="A1920" s="343"/>
      <c r="B1920" s="344"/>
    </row>
    <row r="1921" spans="1:2" ht="15.5" x14ac:dyDescent="0.35">
      <c r="A1921" s="343"/>
      <c r="B1921" s="344"/>
    </row>
    <row r="1922" spans="1:2" ht="15.5" x14ac:dyDescent="0.35">
      <c r="A1922" s="343"/>
      <c r="B1922" s="344"/>
    </row>
    <row r="1923" spans="1:2" ht="15.5" x14ac:dyDescent="0.35">
      <c r="A1923" s="343"/>
      <c r="B1923" s="344"/>
    </row>
    <row r="1924" spans="1:2" ht="15.5" x14ac:dyDescent="0.35">
      <c r="A1924" s="343"/>
      <c r="B1924" s="344"/>
    </row>
    <row r="1925" spans="1:2" ht="15.5" x14ac:dyDescent="0.35">
      <c r="A1925" s="343"/>
      <c r="B1925" s="344"/>
    </row>
    <row r="1926" spans="1:2" ht="15.5" x14ac:dyDescent="0.35">
      <c r="A1926" s="343"/>
      <c r="B1926" s="344"/>
    </row>
    <row r="1927" spans="1:2" ht="15.5" x14ac:dyDescent="0.35">
      <c r="A1927" s="343"/>
      <c r="B1927" s="344"/>
    </row>
    <row r="1928" spans="1:2" ht="15.5" x14ac:dyDescent="0.35">
      <c r="A1928" s="343"/>
      <c r="B1928" s="344"/>
    </row>
    <row r="1929" spans="1:2" ht="15.5" x14ac:dyDescent="0.35">
      <c r="A1929" s="343"/>
      <c r="B1929" s="344"/>
    </row>
    <row r="1930" spans="1:2" ht="15.5" x14ac:dyDescent="0.35">
      <c r="A1930" s="343"/>
      <c r="B1930" s="344"/>
    </row>
    <row r="1931" spans="1:2" ht="15.5" x14ac:dyDescent="0.35">
      <c r="A1931" s="343"/>
      <c r="B1931" s="344"/>
    </row>
    <row r="1932" spans="1:2" ht="15.5" x14ac:dyDescent="0.35">
      <c r="A1932" s="343"/>
      <c r="B1932" s="344"/>
    </row>
    <row r="1933" spans="1:2" ht="15.5" x14ac:dyDescent="0.35">
      <c r="A1933" s="343"/>
      <c r="B1933" s="344"/>
    </row>
    <row r="1934" spans="1:2" ht="15.5" x14ac:dyDescent="0.35">
      <c r="A1934" s="343"/>
      <c r="B1934" s="344"/>
    </row>
    <row r="1935" spans="1:2" ht="15.5" x14ac:dyDescent="0.35">
      <c r="A1935" s="343"/>
      <c r="B1935" s="344"/>
    </row>
    <row r="1936" spans="1:2" ht="15.5" x14ac:dyDescent="0.35">
      <c r="A1936" s="343"/>
      <c r="B1936" s="344"/>
    </row>
    <row r="1937" spans="1:2" ht="15.5" x14ac:dyDescent="0.35">
      <c r="A1937" s="343"/>
      <c r="B1937" s="344"/>
    </row>
    <row r="1938" spans="1:2" ht="15.5" x14ac:dyDescent="0.35">
      <c r="A1938" s="343"/>
      <c r="B1938" s="344"/>
    </row>
    <row r="1939" spans="1:2" ht="15.5" x14ac:dyDescent="0.35">
      <c r="A1939" s="343"/>
      <c r="B1939" s="344"/>
    </row>
    <row r="1940" spans="1:2" ht="15.5" x14ac:dyDescent="0.35">
      <c r="A1940" s="343"/>
      <c r="B1940" s="344"/>
    </row>
    <row r="1941" spans="1:2" ht="15.5" x14ac:dyDescent="0.35">
      <c r="A1941" s="343"/>
      <c r="B1941" s="344"/>
    </row>
    <row r="1942" spans="1:2" ht="15.5" x14ac:dyDescent="0.35">
      <c r="A1942" s="343"/>
      <c r="B1942" s="344"/>
    </row>
    <row r="1943" spans="1:2" ht="15.5" x14ac:dyDescent="0.35">
      <c r="A1943" s="343"/>
      <c r="B1943" s="344"/>
    </row>
    <row r="1944" spans="1:2" ht="15.5" x14ac:dyDescent="0.35">
      <c r="A1944" s="343"/>
      <c r="B1944" s="344"/>
    </row>
    <row r="1945" spans="1:2" ht="15.5" x14ac:dyDescent="0.35">
      <c r="A1945" s="343"/>
      <c r="B1945" s="344"/>
    </row>
    <row r="1946" spans="1:2" ht="15.5" x14ac:dyDescent="0.35">
      <c r="A1946" s="343"/>
      <c r="B1946" s="344"/>
    </row>
    <row r="1947" spans="1:2" ht="15.5" x14ac:dyDescent="0.35">
      <c r="A1947" s="343"/>
      <c r="B1947" s="344"/>
    </row>
    <row r="1948" spans="1:2" ht="15.5" x14ac:dyDescent="0.35">
      <c r="A1948" s="343"/>
      <c r="B1948" s="344"/>
    </row>
    <row r="1949" spans="1:2" ht="15.5" x14ac:dyDescent="0.35">
      <c r="A1949" s="343"/>
      <c r="B1949" s="344"/>
    </row>
    <row r="1950" spans="1:2" ht="15.5" x14ac:dyDescent="0.35">
      <c r="A1950" s="343"/>
      <c r="B1950" s="344"/>
    </row>
    <row r="1951" spans="1:2" ht="15.5" x14ac:dyDescent="0.35">
      <c r="A1951" s="343"/>
      <c r="B1951" s="344"/>
    </row>
    <row r="1952" spans="1:2" ht="15.5" x14ac:dyDescent="0.35">
      <c r="A1952" s="343"/>
      <c r="B1952" s="344"/>
    </row>
    <row r="1953" spans="1:2" ht="15.5" x14ac:dyDescent="0.35">
      <c r="A1953" s="343"/>
      <c r="B1953" s="344"/>
    </row>
    <row r="1954" spans="1:2" ht="15.5" x14ac:dyDescent="0.35">
      <c r="A1954" s="343"/>
      <c r="B1954" s="344"/>
    </row>
    <row r="1955" spans="1:2" ht="15.5" x14ac:dyDescent="0.35">
      <c r="A1955" s="343"/>
      <c r="B1955" s="344"/>
    </row>
    <row r="1956" spans="1:2" ht="15.5" x14ac:dyDescent="0.35">
      <c r="A1956" s="343"/>
      <c r="B1956" s="344"/>
    </row>
    <row r="1957" spans="1:2" ht="15.5" x14ac:dyDescent="0.35">
      <c r="A1957" s="343"/>
      <c r="B1957" s="344"/>
    </row>
    <row r="1958" spans="1:2" ht="15.5" x14ac:dyDescent="0.35">
      <c r="A1958" s="343"/>
      <c r="B1958" s="344"/>
    </row>
    <row r="1959" spans="1:2" ht="15.5" x14ac:dyDescent="0.35">
      <c r="A1959" s="343"/>
      <c r="B1959" s="344"/>
    </row>
    <row r="1960" spans="1:2" ht="15.5" x14ac:dyDescent="0.35">
      <c r="A1960" s="343"/>
      <c r="B1960" s="344"/>
    </row>
    <row r="1961" spans="1:2" ht="15.5" x14ac:dyDescent="0.35">
      <c r="A1961" s="343"/>
      <c r="B1961" s="344"/>
    </row>
    <row r="1962" spans="1:2" ht="15.5" x14ac:dyDescent="0.35">
      <c r="A1962" s="343"/>
      <c r="B1962" s="344"/>
    </row>
    <row r="1963" spans="1:2" ht="15.5" x14ac:dyDescent="0.35">
      <c r="A1963" s="343"/>
      <c r="B1963" s="344"/>
    </row>
    <row r="1964" spans="1:2" ht="15.5" x14ac:dyDescent="0.35">
      <c r="A1964" s="343"/>
      <c r="B1964" s="344"/>
    </row>
    <row r="1965" spans="1:2" ht="15.5" x14ac:dyDescent="0.35">
      <c r="A1965" s="343"/>
      <c r="B1965" s="344"/>
    </row>
    <row r="1966" spans="1:2" ht="15.5" x14ac:dyDescent="0.35">
      <c r="A1966" s="343"/>
      <c r="B1966" s="344"/>
    </row>
    <row r="1967" spans="1:2" ht="15.5" x14ac:dyDescent="0.35">
      <c r="A1967" s="343"/>
      <c r="B1967" s="344"/>
    </row>
    <row r="1968" spans="1:2" ht="15.5" x14ac:dyDescent="0.35">
      <c r="A1968" s="343"/>
      <c r="B1968" s="344"/>
    </row>
    <row r="1969" spans="1:2" ht="15.5" x14ac:dyDescent="0.35">
      <c r="A1969" s="343"/>
      <c r="B1969" s="344"/>
    </row>
    <row r="1970" spans="1:2" ht="15.5" x14ac:dyDescent="0.35">
      <c r="A1970" s="343"/>
      <c r="B1970" s="344"/>
    </row>
    <row r="1971" spans="1:2" ht="15.5" x14ac:dyDescent="0.35">
      <c r="A1971" s="343"/>
      <c r="B1971" s="344"/>
    </row>
    <row r="1972" spans="1:2" ht="15.5" x14ac:dyDescent="0.35">
      <c r="A1972" s="343"/>
      <c r="B1972" s="344"/>
    </row>
    <row r="1973" spans="1:2" ht="15.5" x14ac:dyDescent="0.35">
      <c r="A1973" s="343"/>
      <c r="B1973" s="344"/>
    </row>
    <row r="1974" spans="1:2" ht="15.5" x14ac:dyDescent="0.35">
      <c r="A1974" s="343"/>
      <c r="B1974" s="344"/>
    </row>
    <row r="1975" spans="1:2" ht="15.5" x14ac:dyDescent="0.35">
      <c r="A1975" s="343"/>
      <c r="B1975" s="344"/>
    </row>
    <row r="1976" spans="1:2" ht="15.5" x14ac:dyDescent="0.35">
      <c r="A1976" s="343"/>
      <c r="B1976" s="344"/>
    </row>
    <row r="1977" spans="1:2" ht="15.5" x14ac:dyDescent="0.35">
      <c r="A1977" s="343"/>
      <c r="B1977" s="344"/>
    </row>
    <row r="1978" spans="1:2" ht="15.5" x14ac:dyDescent="0.35">
      <c r="A1978" s="343"/>
      <c r="B1978" s="344"/>
    </row>
    <row r="1979" spans="1:2" ht="15.5" x14ac:dyDescent="0.35">
      <c r="A1979" s="343"/>
      <c r="B1979" s="344"/>
    </row>
    <row r="1980" spans="1:2" ht="15.5" x14ac:dyDescent="0.35">
      <c r="A1980" s="343"/>
      <c r="B1980" s="344"/>
    </row>
    <row r="1981" spans="1:2" ht="15.5" x14ac:dyDescent="0.35">
      <c r="A1981" s="343"/>
      <c r="B1981" s="344"/>
    </row>
    <row r="1982" spans="1:2" ht="15.5" x14ac:dyDescent="0.35">
      <c r="A1982" s="343"/>
      <c r="B1982" s="344"/>
    </row>
    <row r="1983" spans="1:2" ht="15.5" x14ac:dyDescent="0.35">
      <c r="A1983" s="343"/>
      <c r="B1983" s="344"/>
    </row>
    <row r="1984" spans="1:2" ht="15.5" x14ac:dyDescent="0.35">
      <c r="A1984" s="343"/>
      <c r="B1984" s="344"/>
    </row>
    <row r="1985" spans="1:2" ht="15.5" x14ac:dyDescent="0.35">
      <c r="A1985" s="343"/>
      <c r="B1985" s="344"/>
    </row>
    <row r="1986" spans="1:2" ht="15.5" x14ac:dyDescent="0.35">
      <c r="A1986" s="343"/>
      <c r="B1986" s="344"/>
    </row>
    <row r="1987" spans="1:2" ht="15.5" x14ac:dyDescent="0.35">
      <c r="A1987" s="343"/>
      <c r="B1987" s="344"/>
    </row>
    <row r="1988" spans="1:2" ht="15.5" x14ac:dyDescent="0.35">
      <c r="A1988" s="343"/>
      <c r="B1988" s="344"/>
    </row>
    <row r="1989" spans="1:2" ht="15.5" x14ac:dyDescent="0.35">
      <c r="A1989" s="343"/>
      <c r="B1989" s="344"/>
    </row>
    <row r="1990" spans="1:2" ht="15.5" x14ac:dyDescent="0.35">
      <c r="A1990" s="343"/>
      <c r="B1990" s="344"/>
    </row>
    <row r="1991" spans="1:2" ht="15.5" x14ac:dyDescent="0.35">
      <c r="A1991" s="343"/>
      <c r="B1991" s="344"/>
    </row>
    <row r="1992" spans="1:2" ht="15.5" x14ac:dyDescent="0.35">
      <c r="A1992" s="343"/>
      <c r="B1992" s="344"/>
    </row>
    <row r="1993" spans="1:2" ht="15.5" x14ac:dyDescent="0.35">
      <c r="A1993" s="343"/>
      <c r="B1993" s="344"/>
    </row>
    <row r="1994" spans="1:2" ht="15.5" x14ac:dyDescent="0.35">
      <c r="A1994" s="343"/>
      <c r="B1994" s="344"/>
    </row>
    <row r="1995" spans="1:2" ht="15.5" x14ac:dyDescent="0.35">
      <c r="A1995" s="343"/>
      <c r="B1995" s="344"/>
    </row>
    <row r="1996" spans="1:2" ht="15.5" x14ac:dyDescent="0.35">
      <c r="A1996" s="343"/>
      <c r="B1996" s="344"/>
    </row>
    <row r="1997" spans="1:2" ht="15.5" x14ac:dyDescent="0.35">
      <c r="A1997" s="343"/>
      <c r="B1997" s="344"/>
    </row>
    <row r="1998" spans="1:2" ht="15.5" x14ac:dyDescent="0.35">
      <c r="A1998" s="343"/>
      <c r="B1998" s="344"/>
    </row>
    <row r="1999" spans="1:2" ht="15.5" x14ac:dyDescent="0.35">
      <c r="A1999" s="343"/>
      <c r="B1999" s="344"/>
    </row>
    <row r="2000" spans="1:2" ht="15.5" x14ac:dyDescent="0.35">
      <c r="A2000" s="343"/>
      <c r="B2000" s="344"/>
    </row>
    <row r="2001" spans="1:2" ht="15.5" x14ac:dyDescent="0.35">
      <c r="A2001" s="343"/>
      <c r="B2001" s="344"/>
    </row>
    <row r="2002" spans="1:2" ht="15.5" x14ac:dyDescent="0.35">
      <c r="A2002" s="343"/>
      <c r="B2002" s="344"/>
    </row>
    <row r="2003" spans="1:2" ht="15.5" x14ac:dyDescent="0.35">
      <c r="A2003" s="343"/>
      <c r="B2003" s="344"/>
    </row>
    <row r="2004" spans="1:2" ht="15.5" x14ac:dyDescent="0.35">
      <c r="A2004" s="343"/>
      <c r="B2004" s="344"/>
    </row>
    <row r="2005" spans="1:2" ht="15.5" x14ac:dyDescent="0.35">
      <c r="A2005" s="343"/>
      <c r="B2005" s="344"/>
    </row>
    <row r="2006" spans="1:2" ht="15.5" x14ac:dyDescent="0.35">
      <c r="A2006" s="343"/>
      <c r="B2006" s="344"/>
    </row>
    <row r="2007" spans="1:2" ht="15.5" x14ac:dyDescent="0.35">
      <c r="A2007" s="343"/>
      <c r="B2007" s="344"/>
    </row>
    <row r="2008" spans="1:2" ht="15.5" x14ac:dyDescent="0.35">
      <c r="A2008" s="343"/>
      <c r="B2008" s="344"/>
    </row>
    <row r="2009" spans="1:2" ht="15.5" x14ac:dyDescent="0.35">
      <c r="A2009" s="343"/>
      <c r="B2009" s="344"/>
    </row>
    <row r="2010" spans="1:2" ht="15.5" x14ac:dyDescent="0.35">
      <c r="A2010" s="343"/>
      <c r="B2010" s="344"/>
    </row>
    <row r="2011" spans="1:2" ht="15.5" x14ac:dyDescent="0.35">
      <c r="A2011" s="343"/>
      <c r="B2011" s="344"/>
    </row>
    <row r="2012" spans="1:2" ht="15.5" x14ac:dyDescent="0.35">
      <c r="A2012" s="343"/>
      <c r="B2012" s="344"/>
    </row>
    <row r="2013" spans="1:2" ht="15.5" x14ac:dyDescent="0.35">
      <c r="A2013" s="343"/>
      <c r="B2013" s="344"/>
    </row>
    <row r="2014" spans="1:2" ht="15.5" x14ac:dyDescent="0.35">
      <c r="A2014" s="343"/>
      <c r="B2014" s="344"/>
    </row>
    <row r="2015" spans="1:2" ht="15.5" x14ac:dyDescent="0.35">
      <c r="A2015" s="343"/>
      <c r="B2015" s="344"/>
    </row>
    <row r="2016" spans="1:2" ht="15.5" x14ac:dyDescent="0.35">
      <c r="A2016" s="343"/>
      <c r="B2016" s="344"/>
    </row>
    <row r="2017" spans="1:2" ht="15.5" x14ac:dyDescent="0.35">
      <c r="A2017" s="343"/>
      <c r="B2017" s="344"/>
    </row>
    <row r="2018" spans="1:2" ht="15.5" x14ac:dyDescent="0.35">
      <c r="A2018" s="343"/>
      <c r="B2018" s="344"/>
    </row>
    <row r="2019" spans="1:2" ht="15.5" x14ac:dyDescent="0.35">
      <c r="A2019" s="343"/>
      <c r="B2019" s="344"/>
    </row>
    <row r="2020" spans="1:2" ht="15.5" x14ac:dyDescent="0.35">
      <c r="A2020" s="343"/>
      <c r="B2020" s="344"/>
    </row>
    <row r="2021" spans="1:2" ht="15.5" x14ac:dyDescent="0.35">
      <c r="A2021" s="343"/>
      <c r="B2021" s="344"/>
    </row>
    <row r="2022" spans="1:2" ht="15.5" x14ac:dyDescent="0.35">
      <c r="A2022" s="343"/>
      <c r="B2022" s="344"/>
    </row>
    <row r="2023" spans="1:2" ht="15.5" x14ac:dyDescent="0.35">
      <c r="A2023" s="343"/>
      <c r="B2023" s="344"/>
    </row>
    <row r="2024" spans="1:2" ht="15.5" x14ac:dyDescent="0.35">
      <c r="A2024" s="343"/>
      <c r="B2024" s="344"/>
    </row>
    <row r="2025" spans="1:2" ht="15.5" x14ac:dyDescent="0.35">
      <c r="A2025" s="343"/>
      <c r="B2025" s="344"/>
    </row>
    <row r="2026" spans="1:2" ht="15.5" x14ac:dyDescent="0.35">
      <c r="A2026" s="343"/>
      <c r="B2026" s="344"/>
    </row>
    <row r="2027" spans="1:2" ht="15.5" x14ac:dyDescent="0.35">
      <c r="A2027" s="343"/>
      <c r="B2027" s="344"/>
    </row>
    <row r="2028" spans="1:2" ht="15.5" x14ac:dyDescent="0.35">
      <c r="A2028" s="343"/>
      <c r="B2028" s="344"/>
    </row>
    <row r="2029" spans="1:2" ht="15.5" x14ac:dyDescent="0.35">
      <c r="A2029" s="343"/>
      <c r="B2029" s="344"/>
    </row>
    <row r="2030" spans="1:2" ht="15.5" x14ac:dyDescent="0.35">
      <c r="A2030" s="343"/>
      <c r="B2030" s="344"/>
    </row>
    <row r="2031" spans="1:2" ht="15.5" x14ac:dyDescent="0.35">
      <c r="A2031" s="343"/>
      <c r="B2031" s="344"/>
    </row>
    <row r="2032" spans="1:2" ht="15.5" x14ac:dyDescent="0.35">
      <c r="A2032" s="343"/>
      <c r="B2032" s="344"/>
    </row>
    <row r="2033" spans="1:2" ht="15.5" x14ac:dyDescent="0.35">
      <c r="A2033" s="343"/>
      <c r="B2033" s="344"/>
    </row>
    <row r="2034" spans="1:2" ht="15.5" x14ac:dyDescent="0.35">
      <c r="A2034" s="343"/>
      <c r="B2034" s="344"/>
    </row>
    <row r="2035" spans="1:2" ht="15.5" x14ac:dyDescent="0.35">
      <c r="A2035" s="343"/>
      <c r="B2035" s="344"/>
    </row>
    <row r="2036" spans="1:2" ht="15.5" x14ac:dyDescent="0.35">
      <c r="A2036" s="343"/>
      <c r="B2036" s="344"/>
    </row>
    <row r="2037" spans="1:2" ht="15.5" x14ac:dyDescent="0.35">
      <c r="A2037" s="343"/>
      <c r="B2037" s="344"/>
    </row>
    <row r="2038" spans="1:2" ht="15.5" x14ac:dyDescent="0.35">
      <c r="A2038" s="343"/>
      <c r="B2038" s="344"/>
    </row>
    <row r="2039" spans="1:2" ht="15.5" x14ac:dyDescent="0.35">
      <c r="A2039" s="343"/>
      <c r="B2039" s="344"/>
    </row>
    <row r="2040" spans="1:2" ht="15.5" x14ac:dyDescent="0.35">
      <c r="A2040" s="343"/>
      <c r="B2040" s="344"/>
    </row>
    <row r="2041" spans="1:2" ht="15.5" x14ac:dyDescent="0.35">
      <c r="A2041" s="343"/>
      <c r="B2041" s="344"/>
    </row>
    <row r="2042" spans="1:2" ht="15.5" x14ac:dyDescent="0.35">
      <c r="A2042" s="343"/>
      <c r="B2042" s="344"/>
    </row>
    <row r="2043" spans="1:2" ht="15.5" x14ac:dyDescent="0.35">
      <c r="A2043" s="343"/>
      <c r="B2043" s="344"/>
    </row>
    <row r="2044" spans="1:2" ht="15.5" x14ac:dyDescent="0.35">
      <c r="A2044" s="343"/>
      <c r="B2044" s="344"/>
    </row>
    <row r="2045" spans="1:2" ht="15.5" x14ac:dyDescent="0.35">
      <c r="A2045" s="343"/>
      <c r="B2045" s="344"/>
    </row>
    <row r="2046" spans="1:2" ht="15.5" x14ac:dyDescent="0.35">
      <c r="A2046" s="343"/>
      <c r="B2046" s="344"/>
    </row>
    <row r="2047" spans="1:2" ht="15.5" x14ac:dyDescent="0.35">
      <c r="A2047" s="343"/>
      <c r="B2047" s="344"/>
    </row>
    <row r="2048" spans="1:2" ht="15.5" x14ac:dyDescent="0.35">
      <c r="A2048" s="343"/>
      <c r="B2048" s="344"/>
    </row>
    <row r="2049" spans="1:2" ht="15.5" x14ac:dyDescent="0.35">
      <c r="A2049" s="343"/>
      <c r="B2049" s="344"/>
    </row>
    <row r="2050" spans="1:2" ht="15.5" x14ac:dyDescent="0.35">
      <c r="A2050" s="343"/>
      <c r="B2050" s="344"/>
    </row>
    <row r="2051" spans="1:2" ht="15.5" x14ac:dyDescent="0.35">
      <c r="A2051" s="343"/>
      <c r="B2051" s="344"/>
    </row>
    <row r="2052" spans="1:2" ht="15.5" x14ac:dyDescent="0.35">
      <c r="A2052" s="343"/>
      <c r="B2052" s="344"/>
    </row>
    <row r="2053" spans="1:2" ht="15.5" x14ac:dyDescent="0.35">
      <c r="A2053" s="343"/>
      <c r="B2053" s="344"/>
    </row>
    <row r="2054" spans="1:2" ht="15.5" x14ac:dyDescent="0.35">
      <c r="A2054" s="343"/>
      <c r="B2054" s="344"/>
    </row>
    <row r="2055" spans="1:2" ht="15.5" x14ac:dyDescent="0.35">
      <c r="A2055" s="343"/>
      <c r="B2055" s="344"/>
    </row>
    <row r="2056" spans="1:2" ht="15.5" x14ac:dyDescent="0.35">
      <c r="A2056" s="343"/>
      <c r="B2056" s="344"/>
    </row>
    <row r="2057" spans="1:2" ht="15.5" x14ac:dyDescent="0.35">
      <c r="A2057" s="343"/>
      <c r="B2057" s="344"/>
    </row>
    <row r="2058" spans="1:2" ht="15.5" x14ac:dyDescent="0.35">
      <c r="A2058" s="343"/>
      <c r="B2058" s="344"/>
    </row>
    <row r="2059" spans="1:2" ht="15.5" x14ac:dyDescent="0.35">
      <c r="A2059" s="343"/>
      <c r="B2059" s="344"/>
    </row>
    <row r="2060" spans="1:2" ht="15.5" x14ac:dyDescent="0.35">
      <c r="A2060" s="343"/>
      <c r="B2060" s="344"/>
    </row>
    <row r="2061" spans="1:2" ht="15.5" x14ac:dyDescent="0.35">
      <c r="A2061" s="343"/>
      <c r="B2061" s="344"/>
    </row>
    <row r="2062" spans="1:2" ht="15.5" x14ac:dyDescent="0.35">
      <c r="A2062" s="343"/>
      <c r="B2062" s="344"/>
    </row>
    <row r="2063" spans="1:2" ht="15.5" x14ac:dyDescent="0.35">
      <c r="A2063" s="343"/>
      <c r="B2063" s="344"/>
    </row>
    <row r="2064" spans="1:2" ht="15.5" x14ac:dyDescent="0.35">
      <c r="A2064" s="343"/>
      <c r="B2064" s="344"/>
    </row>
    <row r="2065" spans="1:2" ht="15.5" x14ac:dyDescent="0.35">
      <c r="A2065" s="343"/>
      <c r="B2065" s="344"/>
    </row>
    <row r="2066" spans="1:2" ht="15.5" x14ac:dyDescent="0.35">
      <c r="A2066" s="343"/>
      <c r="B2066" s="344"/>
    </row>
    <row r="2067" spans="1:2" ht="15.5" x14ac:dyDescent="0.35">
      <c r="A2067" s="343"/>
      <c r="B2067" s="344"/>
    </row>
    <row r="2068" spans="1:2" ht="15.5" x14ac:dyDescent="0.35">
      <c r="A2068" s="343"/>
      <c r="B2068" s="344"/>
    </row>
    <row r="2069" spans="1:2" ht="15.5" x14ac:dyDescent="0.35">
      <c r="A2069" s="343"/>
      <c r="B2069" s="344"/>
    </row>
    <row r="2070" spans="1:2" ht="15.5" x14ac:dyDescent="0.35">
      <c r="A2070" s="343"/>
      <c r="B2070" s="344"/>
    </row>
    <row r="2071" spans="1:2" ht="15.5" x14ac:dyDescent="0.35">
      <c r="A2071" s="343"/>
      <c r="B2071" s="344"/>
    </row>
    <row r="2072" spans="1:2" ht="15.5" x14ac:dyDescent="0.35">
      <c r="A2072" s="343"/>
      <c r="B2072" s="344"/>
    </row>
    <row r="2073" spans="1:2" ht="15.5" x14ac:dyDescent="0.35">
      <c r="A2073" s="343"/>
      <c r="B2073" s="344"/>
    </row>
    <row r="2074" spans="1:2" ht="15.5" x14ac:dyDescent="0.35">
      <c r="A2074" s="343"/>
      <c r="B2074" s="344"/>
    </row>
    <row r="2075" spans="1:2" ht="15.5" x14ac:dyDescent="0.35">
      <c r="A2075" s="343"/>
      <c r="B2075" s="344"/>
    </row>
    <row r="2076" spans="1:2" ht="15.5" x14ac:dyDescent="0.35">
      <c r="A2076" s="343"/>
      <c r="B2076" s="344"/>
    </row>
    <row r="2077" spans="1:2" ht="15.5" x14ac:dyDescent="0.35">
      <c r="A2077" s="343"/>
      <c r="B2077" s="344"/>
    </row>
    <row r="2078" spans="1:2" ht="15.5" x14ac:dyDescent="0.35">
      <c r="A2078" s="343"/>
      <c r="B2078" s="344"/>
    </row>
    <row r="2079" spans="1:2" ht="15.5" x14ac:dyDescent="0.35">
      <c r="A2079" s="343"/>
      <c r="B2079" s="344"/>
    </row>
    <row r="2080" spans="1:2" ht="15.5" x14ac:dyDescent="0.35">
      <c r="A2080" s="343"/>
      <c r="B2080" s="344"/>
    </row>
    <row r="2081" spans="1:2" ht="15.5" x14ac:dyDescent="0.35">
      <c r="A2081" s="343"/>
      <c r="B2081" s="344"/>
    </row>
    <row r="2082" spans="1:2" ht="15.5" x14ac:dyDescent="0.35">
      <c r="A2082" s="343"/>
      <c r="B2082" s="344"/>
    </row>
    <row r="2083" spans="1:2" ht="15.5" x14ac:dyDescent="0.35">
      <c r="A2083" s="343"/>
      <c r="B2083" s="344"/>
    </row>
    <row r="2084" spans="1:2" ht="15.5" x14ac:dyDescent="0.35">
      <c r="A2084" s="343"/>
      <c r="B2084" s="344"/>
    </row>
    <row r="2085" spans="1:2" ht="15.5" x14ac:dyDescent="0.35">
      <c r="A2085" s="343"/>
      <c r="B2085" s="344"/>
    </row>
    <row r="2086" spans="1:2" ht="15.5" x14ac:dyDescent="0.35">
      <c r="A2086" s="343"/>
      <c r="B2086" s="344"/>
    </row>
    <row r="2087" spans="1:2" ht="15.5" x14ac:dyDescent="0.35">
      <c r="A2087" s="343"/>
      <c r="B2087" s="344"/>
    </row>
    <row r="2088" spans="1:2" ht="15.5" x14ac:dyDescent="0.35">
      <c r="A2088" s="343"/>
      <c r="B2088" s="344"/>
    </row>
    <row r="2089" spans="1:2" ht="15.5" x14ac:dyDescent="0.35">
      <c r="A2089" s="343"/>
      <c r="B2089" s="344"/>
    </row>
    <row r="2090" spans="1:2" ht="15.5" x14ac:dyDescent="0.35">
      <c r="A2090" s="343"/>
      <c r="B2090" s="344"/>
    </row>
    <row r="2091" spans="1:2" ht="15.5" x14ac:dyDescent="0.35">
      <c r="A2091" s="343"/>
      <c r="B2091" s="344"/>
    </row>
    <row r="2092" spans="1:2" ht="15.5" x14ac:dyDescent="0.35">
      <c r="A2092" s="343"/>
      <c r="B2092" s="344"/>
    </row>
    <row r="2093" spans="1:2" ht="15.5" x14ac:dyDescent="0.35">
      <c r="A2093" s="343"/>
      <c r="B2093" s="344"/>
    </row>
    <row r="2094" spans="1:2" ht="15.5" x14ac:dyDescent="0.35">
      <c r="A2094" s="343"/>
      <c r="B2094" s="344"/>
    </row>
    <row r="2095" spans="1:2" ht="15.5" x14ac:dyDescent="0.35">
      <c r="A2095" s="343"/>
      <c r="B2095" s="344"/>
    </row>
    <row r="2096" spans="1:2" ht="15.5" x14ac:dyDescent="0.35">
      <c r="A2096" s="343"/>
      <c r="B2096" s="344"/>
    </row>
    <row r="2097" spans="1:2" ht="15.5" x14ac:dyDescent="0.35">
      <c r="A2097" s="343"/>
      <c r="B2097" s="344"/>
    </row>
    <row r="2098" spans="1:2" ht="15.5" x14ac:dyDescent="0.35">
      <c r="A2098" s="343"/>
      <c r="B2098" s="344"/>
    </row>
    <row r="2099" spans="1:2" ht="15.5" x14ac:dyDescent="0.35">
      <c r="A2099" s="343"/>
      <c r="B2099" s="344"/>
    </row>
    <row r="2100" spans="1:2" ht="15.5" x14ac:dyDescent="0.35">
      <c r="A2100" s="343"/>
      <c r="B2100" s="344"/>
    </row>
    <row r="2101" spans="1:2" ht="15.5" x14ac:dyDescent="0.35">
      <c r="A2101" s="343"/>
      <c r="B2101" s="344"/>
    </row>
    <row r="2102" spans="1:2" ht="15.5" x14ac:dyDescent="0.35">
      <c r="A2102" s="343"/>
      <c r="B2102" s="344"/>
    </row>
    <row r="2103" spans="1:2" ht="15.5" x14ac:dyDescent="0.35">
      <c r="A2103" s="343"/>
      <c r="B2103" s="344"/>
    </row>
    <row r="2104" spans="1:2" ht="15.5" x14ac:dyDescent="0.35">
      <c r="A2104" s="343"/>
      <c r="B2104" s="344"/>
    </row>
    <row r="2105" spans="1:2" ht="15.5" x14ac:dyDescent="0.35">
      <c r="A2105" s="343"/>
      <c r="B2105" s="344"/>
    </row>
    <row r="2106" spans="1:2" ht="15.5" x14ac:dyDescent="0.35">
      <c r="A2106" s="343"/>
      <c r="B2106" s="344"/>
    </row>
    <row r="2107" spans="1:2" ht="15.5" x14ac:dyDescent="0.35">
      <c r="A2107" s="343"/>
      <c r="B2107" s="344"/>
    </row>
    <row r="2108" spans="1:2" ht="15.5" x14ac:dyDescent="0.35">
      <c r="A2108" s="343"/>
      <c r="B2108" s="344"/>
    </row>
    <row r="2109" spans="1:2" ht="15.5" x14ac:dyDescent="0.35">
      <c r="A2109" s="343"/>
      <c r="B2109" s="344"/>
    </row>
    <row r="2110" spans="1:2" ht="15.5" x14ac:dyDescent="0.35">
      <c r="A2110" s="343"/>
      <c r="B2110" s="344"/>
    </row>
    <row r="2111" spans="1:2" ht="15.5" x14ac:dyDescent="0.35">
      <c r="A2111" s="343"/>
      <c r="B2111" s="344"/>
    </row>
    <row r="2112" spans="1:2" ht="15.5" x14ac:dyDescent="0.35">
      <c r="A2112" s="343"/>
      <c r="B2112" s="344"/>
    </row>
    <row r="2113" spans="1:2" ht="15.5" x14ac:dyDescent="0.35">
      <c r="A2113" s="343"/>
      <c r="B2113" s="344"/>
    </row>
    <row r="2114" spans="1:2" ht="15.5" x14ac:dyDescent="0.35">
      <c r="A2114" s="343"/>
      <c r="B2114" s="344"/>
    </row>
    <row r="2115" spans="1:2" ht="15.5" x14ac:dyDescent="0.35">
      <c r="A2115" s="343"/>
      <c r="B2115" s="344"/>
    </row>
    <row r="2116" spans="1:2" ht="15.5" x14ac:dyDescent="0.35">
      <c r="A2116" s="343"/>
      <c r="B2116" s="344"/>
    </row>
    <row r="2117" spans="1:2" ht="15.5" x14ac:dyDescent="0.35">
      <c r="A2117" s="343"/>
      <c r="B2117" s="344"/>
    </row>
    <row r="2118" spans="1:2" ht="15.5" x14ac:dyDescent="0.35">
      <c r="A2118" s="343"/>
      <c r="B2118" s="344"/>
    </row>
    <row r="2119" spans="1:2" ht="15.5" x14ac:dyDescent="0.35">
      <c r="A2119" s="343"/>
      <c r="B2119" s="344"/>
    </row>
    <row r="2120" spans="1:2" ht="15.5" x14ac:dyDescent="0.35">
      <c r="A2120" s="343"/>
      <c r="B2120" s="344"/>
    </row>
    <row r="2121" spans="1:2" ht="15.5" x14ac:dyDescent="0.35">
      <c r="A2121" s="343"/>
      <c r="B2121" s="344"/>
    </row>
    <row r="2122" spans="1:2" ht="15.5" x14ac:dyDescent="0.35">
      <c r="A2122" s="343"/>
      <c r="B2122" s="344"/>
    </row>
    <row r="2123" spans="1:2" ht="15.5" x14ac:dyDescent="0.35">
      <c r="A2123" s="343"/>
      <c r="B2123" s="344"/>
    </row>
    <row r="2124" spans="1:2" ht="15.5" x14ac:dyDescent="0.35">
      <c r="A2124" s="343"/>
      <c r="B2124" s="344"/>
    </row>
    <row r="2125" spans="1:2" ht="15.5" x14ac:dyDescent="0.35">
      <c r="A2125" s="343"/>
      <c r="B2125" s="344"/>
    </row>
    <row r="2126" spans="1:2" ht="15.5" x14ac:dyDescent="0.35">
      <c r="A2126" s="343"/>
      <c r="B2126" s="344"/>
    </row>
    <row r="2127" spans="1:2" ht="15.5" x14ac:dyDescent="0.35">
      <c r="A2127" s="343"/>
      <c r="B2127" s="344"/>
    </row>
    <row r="2128" spans="1:2" ht="15.5" x14ac:dyDescent="0.35">
      <c r="A2128" s="343"/>
      <c r="B2128" s="344"/>
    </row>
    <row r="2129" spans="1:2" ht="15.5" x14ac:dyDescent="0.35">
      <c r="A2129" s="343"/>
      <c r="B2129" s="344"/>
    </row>
    <row r="2130" spans="1:2" ht="15.5" x14ac:dyDescent="0.35">
      <c r="A2130" s="343"/>
      <c r="B2130" s="344"/>
    </row>
    <row r="2131" spans="1:2" ht="15.5" x14ac:dyDescent="0.35">
      <c r="A2131" s="343"/>
      <c r="B2131" s="344"/>
    </row>
    <row r="2132" spans="1:2" ht="15.5" x14ac:dyDescent="0.35">
      <c r="A2132" s="343"/>
      <c r="B2132" s="344"/>
    </row>
    <row r="2133" spans="1:2" ht="15.5" x14ac:dyDescent="0.35">
      <c r="A2133" s="343"/>
      <c r="B2133" s="344"/>
    </row>
    <row r="2134" spans="1:2" ht="15.5" x14ac:dyDescent="0.35">
      <c r="A2134" s="343"/>
      <c r="B2134" s="344"/>
    </row>
    <row r="2135" spans="1:2" ht="15.5" x14ac:dyDescent="0.35">
      <c r="A2135" s="343"/>
      <c r="B2135" s="344"/>
    </row>
    <row r="2136" spans="1:2" ht="15.5" x14ac:dyDescent="0.35">
      <c r="A2136" s="343"/>
      <c r="B2136" s="344"/>
    </row>
    <row r="2137" spans="1:2" ht="15.5" x14ac:dyDescent="0.35">
      <c r="A2137" s="343"/>
      <c r="B2137" s="344"/>
    </row>
    <row r="2138" spans="1:2" ht="15.5" x14ac:dyDescent="0.35">
      <c r="A2138" s="343"/>
      <c r="B2138" s="344"/>
    </row>
    <row r="2139" spans="1:2" ht="15.5" x14ac:dyDescent="0.35">
      <c r="A2139" s="343"/>
      <c r="B2139" s="344"/>
    </row>
    <row r="2140" spans="1:2" ht="15.5" x14ac:dyDescent="0.35">
      <c r="A2140" s="343"/>
      <c r="B2140" s="344"/>
    </row>
    <row r="2141" spans="1:2" ht="15.5" x14ac:dyDescent="0.35">
      <c r="A2141" s="343"/>
      <c r="B2141" s="344"/>
    </row>
    <row r="2142" spans="1:2" ht="15.5" x14ac:dyDescent="0.35">
      <c r="A2142" s="343"/>
      <c r="B2142" s="344"/>
    </row>
    <row r="2143" spans="1:2" ht="15.5" x14ac:dyDescent="0.35">
      <c r="A2143" s="343"/>
      <c r="B2143" s="344"/>
    </row>
    <row r="2144" spans="1:2" ht="15.5" x14ac:dyDescent="0.35">
      <c r="A2144" s="343"/>
      <c r="B2144" s="344"/>
    </row>
    <row r="2145" spans="1:2" ht="15.5" x14ac:dyDescent="0.35">
      <c r="A2145" s="343"/>
      <c r="B2145" s="344"/>
    </row>
    <row r="2146" spans="1:2" ht="15.5" x14ac:dyDescent="0.35">
      <c r="A2146" s="343"/>
      <c r="B2146" s="344"/>
    </row>
    <row r="2147" spans="1:2" ht="15.5" x14ac:dyDescent="0.35">
      <c r="A2147" s="343"/>
      <c r="B2147" s="344"/>
    </row>
    <row r="2148" spans="1:2" ht="15.5" x14ac:dyDescent="0.35">
      <c r="A2148" s="343"/>
      <c r="B2148" s="344"/>
    </row>
    <row r="2149" spans="1:2" ht="15.5" x14ac:dyDescent="0.35">
      <c r="A2149" s="343"/>
      <c r="B2149" s="344"/>
    </row>
    <row r="2150" spans="1:2" ht="15.5" x14ac:dyDescent="0.35">
      <c r="A2150" s="343"/>
      <c r="B2150" s="344"/>
    </row>
    <row r="2151" spans="1:2" ht="15.5" x14ac:dyDescent="0.35">
      <c r="A2151" s="343"/>
      <c r="B2151" s="344"/>
    </row>
    <row r="2152" spans="1:2" ht="15.5" x14ac:dyDescent="0.35">
      <c r="A2152" s="343"/>
      <c r="B2152" s="344"/>
    </row>
    <row r="2153" spans="1:2" ht="15.5" x14ac:dyDescent="0.35">
      <c r="A2153" s="343"/>
      <c r="B2153" s="344"/>
    </row>
    <row r="2154" spans="1:2" ht="15.5" x14ac:dyDescent="0.35">
      <c r="A2154" s="343"/>
      <c r="B2154" s="344"/>
    </row>
    <row r="2155" spans="1:2" ht="15.5" x14ac:dyDescent="0.35">
      <c r="A2155" s="343"/>
      <c r="B2155" s="344"/>
    </row>
    <row r="2156" spans="1:2" ht="15.5" x14ac:dyDescent="0.35">
      <c r="A2156" s="343"/>
      <c r="B2156" s="344"/>
    </row>
    <row r="2157" spans="1:2" ht="15.5" x14ac:dyDescent="0.35">
      <c r="A2157" s="343"/>
      <c r="B2157" s="344"/>
    </row>
    <row r="2158" spans="1:2" ht="15.5" x14ac:dyDescent="0.35">
      <c r="A2158" s="343"/>
      <c r="B2158" s="344"/>
    </row>
    <row r="2159" spans="1:2" ht="15.5" x14ac:dyDescent="0.35">
      <c r="A2159" s="343"/>
      <c r="B2159" s="344"/>
    </row>
    <row r="2160" spans="1:2" ht="15.5" x14ac:dyDescent="0.35">
      <c r="A2160" s="343"/>
      <c r="B2160" s="344"/>
    </row>
    <row r="2161" spans="1:2" ht="15.5" x14ac:dyDescent="0.35">
      <c r="A2161" s="343"/>
      <c r="B2161" s="344"/>
    </row>
    <row r="2162" spans="1:2" ht="15.5" x14ac:dyDescent="0.35">
      <c r="A2162" s="343"/>
      <c r="B2162" s="344"/>
    </row>
    <row r="2163" spans="1:2" ht="15.5" x14ac:dyDescent="0.35">
      <c r="A2163" s="343"/>
      <c r="B2163" s="344"/>
    </row>
    <row r="2164" spans="1:2" ht="15.5" x14ac:dyDescent="0.35">
      <c r="A2164" s="343"/>
      <c r="B2164" s="344"/>
    </row>
    <row r="2165" spans="1:2" ht="15.5" x14ac:dyDescent="0.35">
      <c r="A2165" s="343"/>
      <c r="B2165" s="344"/>
    </row>
    <row r="2166" spans="1:2" ht="15.5" x14ac:dyDescent="0.35">
      <c r="A2166" s="343"/>
      <c r="B2166" s="344"/>
    </row>
    <row r="2167" spans="1:2" ht="15.5" x14ac:dyDescent="0.35">
      <c r="A2167" s="343"/>
      <c r="B2167" s="344"/>
    </row>
    <row r="2168" spans="1:2" ht="15.5" x14ac:dyDescent="0.35">
      <c r="A2168" s="343"/>
      <c r="B2168" s="344"/>
    </row>
    <row r="2169" spans="1:2" ht="15.5" x14ac:dyDescent="0.35">
      <c r="A2169" s="343"/>
      <c r="B2169" s="344"/>
    </row>
    <row r="2170" spans="1:2" ht="15.5" x14ac:dyDescent="0.35">
      <c r="A2170" s="343"/>
      <c r="B2170" s="344"/>
    </row>
    <row r="2171" spans="1:2" ht="15.5" x14ac:dyDescent="0.35">
      <c r="A2171" s="343"/>
      <c r="B2171" s="344"/>
    </row>
    <row r="2172" spans="1:2" ht="15.5" x14ac:dyDescent="0.35">
      <c r="A2172" s="343"/>
      <c r="B2172" s="344"/>
    </row>
    <row r="2173" spans="1:2" ht="15.5" x14ac:dyDescent="0.35">
      <c r="A2173" s="343"/>
      <c r="B2173" s="344"/>
    </row>
    <row r="2174" spans="1:2" ht="15.5" x14ac:dyDescent="0.35">
      <c r="A2174" s="343"/>
      <c r="B2174" s="344"/>
    </row>
    <row r="2175" spans="1:2" ht="15.5" x14ac:dyDescent="0.35">
      <c r="A2175" s="343"/>
      <c r="B2175" s="344"/>
    </row>
    <row r="2176" spans="1:2" ht="15.5" x14ac:dyDescent="0.35">
      <c r="A2176" s="343"/>
      <c r="B2176" s="344"/>
    </row>
    <row r="2177" spans="1:2" ht="15.5" x14ac:dyDescent="0.35">
      <c r="A2177" s="343"/>
      <c r="B2177" s="344"/>
    </row>
    <row r="2178" spans="1:2" ht="15.5" x14ac:dyDescent="0.35">
      <c r="A2178" s="343"/>
      <c r="B2178" s="344"/>
    </row>
    <row r="2179" spans="1:2" ht="15.5" x14ac:dyDescent="0.35">
      <c r="A2179" s="343"/>
      <c r="B2179" s="344"/>
    </row>
    <row r="2180" spans="1:2" ht="15.5" x14ac:dyDescent="0.35">
      <c r="A2180" s="343"/>
      <c r="B2180" s="344"/>
    </row>
    <row r="2181" spans="1:2" ht="15.5" x14ac:dyDescent="0.35">
      <c r="A2181" s="343"/>
      <c r="B2181" s="344"/>
    </row>
    <row r="2182" spans="1:2" ht="15.5" x14ac:dyDescent="0.35">
      <c r="A2182" s="343"/>
      <c r="B2182" s="344"/>
    </row>
    <row r="2183" spans="1:2" ht="15.5" x14ac:dyDescent="0.35">
      <c r="A2183" s="343"/>
      <c r="B2183" s="344"/>
    </row>
    <row r="2184" spans="1:2" ht="15.5" x14ac:dyDescent="0.35">
      <c r="A2184" s="343"/>
      <c r="B2184" s="344"/>
    </row>
    <row r="2185" spans="1:2" ht="15.5" x14ac:dyDescent="0.35">
      <c r="A2185" s="343"/>
      <c r="B2185" s="344"/>
    </row>
    <row r="2186" spans="1:2" ht="15.5" x14ac:dyDescent="0.35">
      <c r="A2186" s="343"/>
      <c r="B2186" s="344"/>
    </row>
    <row r="2187" spans="1:2" ht="15.5" x14ac:dyDescent="0.35">
      <c r="A2187" s="343"/>
      <c r="B2187" s="344"/>
    </row>
    <row r="2188" spans="1:2" ht="15.5" x14ac:dyDescent="0.35">
      <c r="A2188" s="343"/>
      <c r="B2188" s="344"/>
    </row>
    <row r="2189" spans="1:2" ht="15.5" x14ac:dyDescent="0.35">
      <c r="A2189" s="343"/>
      <c r="B2189" s="344"/>
    </row>
    <row r="2190" spans="1:2" ht="15.5" x14ac:dyDescent="0.35">
      <c r="A2190" s="343"/>
      <c r="B2190" s="344"/>
    </row>
    <row r="2191" spans="1:2" ht="15.5" x14ac:dyDescent="0.35">
      <c r="A2191" s="343"/>
      <c r="B2191" s="344"/>
    </row>
    <row r="2192" spans="1:2" ht="15.5" x14ac:dyDescent="0.35">
      <c r="A2192" s="343"/>
      <c r="B2192" s="344"/>
    </row>
    <row r="2193" spans="1:2" ht="15.5" x14ac:dyDescent="0.35">
      <c r="A2193" s="343"/>
      <c r="B2193" s="344"/>
    </row>
    <row r="2194" spans="1:2" ht="15.5" x14ac:dyDescent="0.35">
      <c r="A2194" s="343"/>
      <c r="B2194" s="344"/>
    </row>
    <row r="2195" spans="1:2" ht="15.5" x14ac:dyDescent="0.35">
      <c r="A2195" s="343"/>
      <c r="B2195" s="344"/>
    </row>
    <row r="2196" spans="1:2" ht="15.5" x14ac:dyDescent="0.35">
      <c r="A2196" s="343"/>
      <c r="B2196" s="344"/>
    </row>
    <row r="2197" spans="1:2" ht="15.5" x14ac:dyDescent="0.35">
      <c r="A2197" s="343"/>
      <c r="B2197" s="344"/>
    </row>
    <row r="2198" spans="1:2" ht="15.5" x14ac:dyDescent="0.35">
      <c r="A2198" s="343"/>
      <c r="B2198" s="344"/>
    </row>
    <row r="2199" spans="1:2" ht="15.5" x14ac:dyDescent="0.35">
      <c r="A2199" s="343"/>
      <c r="B2199" s="344"/>
    </row>
    <row r="2200" spans="1:2" ht="15.5" x14ac:dyDescent="0.35">
      <c r="A2200" s="343"/>
      <c r="B2200" s="344"/>
    </row>
    <row r="2201" spans="1:2" ht="15.5" x14ac:dyDescent="0.35">
      <c r="A2201" s="343"/>
      <c r="B2201" s="344"/>
    </row>
    <row r="2202" spans="1:2" ht="15.5" x14ac:dyDescent="0.35">
      <c r="A2202" s="343"/>
      <c r="B2202" s="344"/>
    </row>
    <row r="2203" spans="1:2" ht="15.5" x14ac:dyDescent="0.35">
      <c r="A2203" s="343"/>
      <c r="B2203" s="344"/>
    </row>
    <row r="2204" spans="1:2" ht="15.5" x14ac:dyDescent="0.35">
      <c r="A2204" s="343"/>
      <c r="B2204" s="344"/>
    </row>
    <row r="2205" spans="1:2" ht="15.5" x14ac:dyDescent="0.35">
      <c r="A2205" s="343"/>
      <c r="B2205" s="344"/>
    </row>
    <row r="2206" spans="1:2" ht="15.5" x14ac:dyDescent="0.35">
      <c r="A2206" s="343"/>
      <c r="B2206" s="344"/>
    </row>
    <row r="2207" spans="1:2" ht="15.5" x14ac:dyDescent="0.35">
      <c r="A2207" s="343"/>
      <c r="B2207" s="344"/>
    </row>
    <row r="2208" spans="1:2" ht="15.5" x14ac:dyDescent="0.35">
      <c r="A2208" s="343"/>
      <c r="B2208" s="344"/>
    </row>
    <row r="2209" spans="1:2" ht="15.5" x14ac:dyDescent="0.35">
      <c r="A2209" s="343"/>
      <c r="B2209" s="344"/>
    </row>
    <row r="2210" spans="1:2" ht="15.5" x14ac:dyDescent="0.35">
      <c r="A2210" s="343"/>
      <c r="B2210" s="344"/>
    </row>
    <row r="2211" spans="1:2" ht="15.5" x14ac:dyDescent="0.35">
      <c r="A2211" s="343"/>
      <c r="B2211" s="344"/>
    </row>
    <row r="2212" spans="1:2" ht="15.5" x14ac:dyDescent="0.35">
      <c r="A2212" s="343"/>
      <c r="B2212" s="344"/>
    </row>
    <row r="2213" spans="1:2" ht="15.5" x14ac:dyDescent="0.35">
      <c r="A2213" s="343"/>
      <c r="B2213" s="344"/>
    </row>
    <row r="2214" spans="1:2" ht="15.5" x14ac:dyDescent="0.35">
      <c r="A2214" s="343"/>
      <c r="B2214" s="344"/>
    </row>
    <row r="2215" spans="1:2" ht="15.5" x14ac:dyDescent="0.35">
      <c r="A2215" s="343"/>
      <c r="B2215" s="344"/>
    </row>
    <row r="2216" spans="1:2" ht="15.5" x14ac:dyDescent="0.35">
      <c r="A2216" s="343"/>
      <c r="B2216" s="344"/>
    </row>
    <row r="2217" spans="1:2" ht="15.5" x14ac:dyDescent="0.35">
      <c r="A2217" s="343"/>
      <c r="B2217" s="344"/>
    </row>
    <row r="2218" spans="1:2" ht="15.5" x14ac:dyDescent="0.35">
      <c r="A2218" s="343"/>
      <c r="B2218" s="344"/>
    </row>
    <row r="2219" spans="1:2" ht="15.5" x14ac:dyDescent="0.35">
      <c r="A2219" s="343"/>
      <c r="B2219" s="344"/>
    </row>
    <row r="2220" spans="1:2" ht="15.5" x14ac:dyDescent="0.35">
      <c r="A2220" s="343"/>
      <c r="B2220" s="344"/>
    </row>
    <row r="2221" spans="1:2" ht="15.5" x14ac:dyDescent="0.35">
      <c r="A2221" s="343"/>
      <c r="B2221" s="344"/>
    </row>
    <row r="2222" spans="1:2" ht="15.5" x14ac:dyDescent="0.35">
      <c r="A2222" s="343"/>
      <c r="B2222" s="344"/>
    </row>
    <row r="2223" spans="1:2" ht="15.5" x14ac:dyDescent="0.35">
      <c r="A2223" s="343"/>
      <c r="B2223" s="344"/>
    </row>
    <row r="2224" spans="1:2" ht="15.5" x14ac:dyDescent="0.35">
      <c r="A2224" s="343"/>
      <c r="B2224" s="344"/>
    </row>
    <row r="2225" spans="1:2" ht="15.5" x14ac:dyDescent="0.35">
      <c r="A2225" s="343"/>
      <c r="B2225" s="344"/>
    </row>
    <row r="2226" spans="1:2" ht="15.5" x14ac:dyDescent="0.35">
      <c r="A2226" s="343"/>
      <c r="B2226" s="344"/>
    </row>
    <row r="2227" spans="1:2" ht="15.5" x14ac:dyDescent="0.35">
      <c r="A2227" s="343"/>
      <c r="B2227" s="344"/>
    </row>
    <row r="2228" spans="1:2" ht="15.5" x14ac:dyDescent="0.35">
      <c r="A2228" s="343"/>
      <c r="B2228" s="344"/>
    </row>
    <row r="2229" spans="1:2" ht="15.5" x14ac:dyDescent="0.35">
      <c r="A2229" s="343"/>
      <c r="B2229" s="344"/>
    </row>
    <row r="2230" spans="1:2" ht="15.5" x14ac:dyDescent="0.35">
      <c r="A2230" s="343"/>
      <c r="B2230" s="344"/>
    </row>
    <row r="2231" spans="1:2" ht="15.5" x14ac:dyDescent="0.35">
      <c r="A2231" s="343"/>
      <c r="B2231" s="344"/>
    </row>
    <row r="2232" spans="1:2" ht="15.5" x14ac:dyDescent="0.35">
      <c r="A2232" s="343"/>
      <c r="B2232" s="344"/>
    </row>
    <row r="2233" spans="1:2" ht="15.5" x14ac:dyDescent="0.35">
      <c r="A2233" s="343"/>
      <c r="B2233" s="344"/>
    </row>
    <row r="2234" spans="1:2" ht="15.5" x14ac:dyDescent="0.35">
      <c r="A2234" s="343"/>
      <c r="B2234" s="344"/>
    </row>
    <row r="2235" spans="1:2" ht="15.5" x14ac:dyDescent="0.35">
      <c r="A2235" s="343"/>
      <c r="B2235" s="344"/>
    </row>
    <row r="2236" spans="1:2" ht="15.5" x14ac:dyDescent="0.35">
      <c r="A2236" s="343"/>
      <c r="B2236" s="344"/>
    </row>
    <row r="2237" spans="1:2" ht="15.5" x14ac:dyDescent="0.35">
      <c r="A2237" s="343"/>
      <c r="B2237" s="344"/>
    </row>
    <row r="2238" spans="1:2" ht="15.5" x14ac:dyDescent="0.35">
      <c r="A2238" s="343"/>
      <c r="B2238" s="344"/>
    </row>
    <row r="2239" spans="1:2" ht="15.5" x14ac:dyDescent="0.35">
      <c r="A2239" s="343"/>
      <c r="B2239" s="344"/>
    </row>
    <row r="2240" spans="1:2" ht="15.5" x14ac:dyDescent="0.35">
      <c r="A2240" s="343"/>
      <c r="B2240" s="344"/>
    </row>
    <row r="2241" spans="1:2" ht="15.5" x14ac:dyDescent="0.35">
      <c r="A2241" s="343"/>
      <c r="B2241" s="344"/>
    </row>
    <row r="2242" spans="1:2" ht="15.5" x14ac:dyDescent="0.35">
      <c r="A2242" s="343"/>
      <c r="B2242" s="344"/>
    </row>
    <row r="2243" spans="1:2" ht="15.5" x14ac:dyDescent="0.35">
      <c r="A2243" s="343"/>
      <c r="B2243" s="344"/>
    </row>
    <row r="2244" spans="1:2" ht="15.5" x14ac:dyDescent="0.35">
      <c r="A2244" s="343"/>
      <c r="B2244" s="344"/>
    </row>
    <row r="2245" spans="1:2" ht="15.5" x14ac:dyDescent="0.35">
      <c r="A2245" s="343"/>
      <c r="B2245" s="344"/>
    </row>
    <row r="2246" spans="1:2" ht="15.5" x14ac:dyDescent="0.35">
      <c r="A2246" s="343"/>
      <c r="B2246" s="344"/>
    </row>
    <row r="2247" spans="1:2" ht="15.5" x14ac:dyDescent="0.35">
      <c r="A2247" s="343"/>
      <c r="B2247" s="344"/>
    </row>
    <row r="2248" spans="1:2" ht="15.5" x14ac:dyDescent="0.35">
      <c r="A2248" s="343"/>
      <c r="B2248" s="344"/>
    </row>
    <row r="2249" spans="1:2" ht="15.5" x14ac:dyDescent="0.35">
      <c r="A2249" s="343"/>
      <c r="B2249" s="344"/>
    </row>
    <row r="2250" spans="1:2" ht="15.5" x14ac:dyDescent="0.35">
      <c r="A2250" s="343"/>
      <c r="B2250" s="344"/>
    </row>
    <row r="2251" spans="1:2" ht="15.5" x14ac:dyDescent="0.35">
      <c r="A2251" s="343"/>
      <c r="B2251" s="344"/>
    </row>
    <row r="2252" spans="1:2" ht="15.5" x14ac:dyDescent="0.35">
      <c r="A2252" s="343"/>
      <c r="B2252" s="344"/>
    </row>
    <row r="2253" spans="1:2" ht="15.5" x14ac:dyDescent="0.35">
      <c r="A2253" s="343"/>
      <c r="B2253" s="344"/>
    </row>
    <row r="2254" spans="1:2" ht="15.5" x14ac:dyDescent="0.35">
      <c r="A2254" s="343"/>
      <c r="B2254" s="344"/>
    </row>
    <row r="2255" spans="1:2" ht="15.5" x14ac:dyDescent="0.35">
      <c r="A2255" s="343"/>
      <c r="B2255" s="344"/>
    </row>
    <row r="2256" spans="1:2" ht="15.5" x14ac:dyDescent="0.35">
      <c r="A2256" s="343"/>
      <c r="B2256" s="344"/>
    </row>
    <row r="2257" spans="1:2" ht="15.5" x14ac:dyDescent="0.35">
      <c r="A2257" s="343"/>
      <c r="B2257" s="344"/>
    </row>
    <row r="2258" spans="1:2" ht="15.5" x14ac:dyDescent="0.35">
      <c r="A2258" s="343"/>
      <c r="B2258" s="344"/>
    </row>
    <row r="2259" spans="1:2" ht="15.5" x14ac:dyDescent="0.35">
      <c r="A2259" s="343"/>
      <c r="B2259" s="344"/>
    </row>
    <row r="2260" spans="1:2" ht="15.5" x14ac:dyDescent="0.35">
      <c r="A2260" s="343"/>
      <c r="B2260" s="344"/>
    </row>
    <row r="2261" spans="1:2" ht="15.5" x14ac:dyDescent="0.35">
      <c r="A2261" s="343"/>
      <c r="B2261" s="344"/>
    </row>
    <row r="2262" spans="1:2" ht="15.5" x14ac:dyDescent="0.35">
      <c r="A2262" s="343"/>
      <c r="B2262" s="344"/>
    </row>
    <row r="2263" spans="1:2" ht="15.5" x14ac:dyDescent="0.35">
      <c r="A2263" s="343"/>
      <c r="B2263" s="344"/>
    </row>
    <row r="2264" spans="1:2" ht="15.5" x14ac:dyDescent="0.35">
      <c r="A2264" s="343"/>
      <c r="B2264" s="344"/>
    </row>
    <row r="2265" spans="1:2" ht="15.5" x14ac:dyDescent="0.35">
      <c r="A2265" s="343"/>
      <c r="B2265" s="344"/>
    </row>
    <row r="2266" spans="1:2" ht="15.5" x14ac:dyDescent="0.35">
      <c r="A2266" s="343"/>
      <c r="B2266" s="344"/>
    </row>
    <row r="2267" spans="1:2" ht="15.5" x14ac:dyDescent="0.35">
      <c r="A2267" s="343"/>
      <c r="B2267" s="344"/>
    </row>
    <row r="2268" spans="1:2" ht="15.5" x14ac:dyDescent="0.35">
      <c r="A2268" s="343"/>
      <c r="B2268" s="344"/>
    </row>
    <row r="2269" spans="1:2" ht="15.5" x14ac:dyDescent="0.35">
      <c r="A2269" s="343"/>
      <c r="B2269" s="344"/>
    </row>
    <row r="2270" spans="1:2" ht="15.5" x14ac:dyDescent="0.35">
      <c r="A2270" s="343"/>
      <c r="B2270" s="344"/>
    </row>
    <row r="2271" spans="1:2" ht="15.5" x14ac:dyDescent="0.35">
      <c r="A2271" s="343"/>
      <c r="B2271" s="344"/>
    </row>
    <row r="2272" spans="1:2" ht="15.5" x14ac:dyDescent="0.35">
      <c r="A2272" s="343"/>
      <c r="B2272" s="344"/>
    </row>
    <row r="2273" spans="1:2" ht="15.5" x14ac:dyDescent="0.35">
      <c r="A2273" s="343"/>
      <c r="B2273" s="344"/>
    </row>
    <row r="2274" spans="1:2" ht="15.5" x14ac:dyDescent="0.35">
      <c r="A2274" s="343"/>
      <c r="B2274" s="344"/>
    </row>
    <row r="2275" spans="1:2" ht="15.5" x14ac:dyDescent="0.35">
      <c r="A2275" s="343"/>
      <c r="B2275" s="344"/>
    </row>
    <row r="2276" spans="1:2" ht="15.5" x14ac:dyDescent="0.35">
      <c r="A2276" s="343"/>
      <c r="B2276" s="344"/>
    </row>
    <row r="2277" spans="1:2" ht="15.5" x14ac:dyDescent="0.35">
      <c r="A2277" s="343"/>
      <c r="B2277" s="344"/>
    </row>
    <row r="2278" spans="1:2" ht="15.5" x14ac:dyDescent="0.35">
      <c r="A2278" s="343"/>
      <c r="B2278" s="344"/>
    </row>
    <row r="2279" spans="1:2" ht="15.5" x14ac:dyDescent="0.35">
      <c r="A2279" s="343"/>
      <c r="B2279" s="344"/>
    </row>
    <row r="2280" spans="1:2" ht="15.5" x14ac:dyDescent="0.35">
      <c r="A2280" s="343"/>
      <c r="B2280" s="344"/>
    </row>
    <row r="2281" spans="1:2" ht="15.5" x14ac:dyDescent="0.35">
      <c r="A2281" s="343"/>
      <c r="B2281" s="344"/>
    </row>
    <row r="2282" spans="1:2" ht="15.5" x14ac:dyDescent="0.35">
      <c r="A2282" s="343"/>
      <c r="B2282" s="344"/>
    </row>
    <row r="2283" spans="1:2" ht="15.5" x14ac:dyDescent="0.35">
      <c r="A2283" s="343"/>
      <c r="B2283" s="344"/>
    </row>
    <row r="2284" spans="1:2" ht="15.5" x14ac:dyDescent="0.35">
      <c r="A2284" s="343"/>
      <c r="B2284" s="344"/>
    </row>
    <row r="2285" spans="1:2" ht="15.5" x14ac:dyDescent="0.35">
      <c r="A2285" s="343"/>
      <c r="B2285" s="344"/>
    </row>
    <row r="2286" spans="1:2" ht="15.5" x14ac:dyDescent="0.35">
      <c r="A2286" s="343"/>
      <c r="B2286" s="344"/>
    </row>
    <row r="2287" spans="1:2" ht="15.5" x14ac:dyDescent="0.35">
      <c r="A2287" s="343"/>
      <c r="B2287" s="344"/>
    </row>
    <row r="2288" spans="1:2" ht="15.5" x14ac:dyDescent="0.35">
      <c r="A2288" s="343"/>
      <c r="B2288" s="344"/>
    </row>
    <row r="2289" spans="1:2" ht="15.5" x14ac:dyDescent="0.35">
      <c r="A2289" s="343"/>
      <c r="B2289" s="344"/>
    </row>
    <row r="2290" spans="1:2" ht="15.5" x14ac:dyDescent="0.35">
      <c r="A2290" s="343"/>
      <c r="B2290" s="344"/>
    </row>
    <row r="2291" spans="1:2" ht="15.5" x14ac:dyDescent="0.35">
      <c r="A2291" s="343"/>
      <c r="B2291" s="344"/>
    </row>
    <row r="2292" spans="1:2" ht="15.5" x14ac:dyDescent="0.35">
      <c r="A2292" s="343"/>
      <c r="B2292" s="344"/>
    </row>
    <row r="2293" spans="1:2" ht="15.5" x14ac:dyDescent="0.35">
      <c r="A2293" s="343"/>
      <c r="B2293" s="344"/>
    </row>
    <row r="2294" spans="1:2" ht="15.5" x14ac:dyDescent="0.35">
      <c r="A2294" s="343"/>
      <c r="B2294" s="344"/>
    </row>
    <row r="2295" spans="1:2" ht="15.5" x14ac:dyDescent="0.35">
      <c r="A2295" s="343"/>
      <c r="B2295" s="344"/>
    </row>
    <row r="2296" spans="1:2" ht="15.5" x14ac:dyDescent="0.35">
      <c r="A2296" s="343"/>
      <c r="B2296" s="344"/>
    </row>
    <row r="2297" spans="1:2" ht="15.5" x14ac:dyDescent="0.35">
      <c r="A2297" s="343"/>
      <c r="B2297" s="344"/>
    </row>
    <row r="2298" spans="1:2" ht="15.5" x14ac:dyDescent="0.35">
      <c r="A2298" s="343"/>
      <c r="B2298" s="344"/>
    </row>
    <row r="2299" spans="1:2" ht="15.5" x14ac:dyDescent="0.35">
      <c r="A2299" s="343"/>
      <c r="B2299" s="344"/>
    </row>
    <row r="2300" spans="1:2" ht="15.5" x14ac:dyDescent="0.35">
      <c r="A2300" s="343"/>
      <c r="B2300" s="344"/>
    </row>
    <row r="2301" spans="1:2" ht="15.5" x14ac:dyDescent="0.35">
      <c r="A2301" s="343"/>
      <c r="B2301" s="344"/>
    </row>
    <row r="2302" spans="1:2" ht="15.5" x14ac:dyDescent="0.35">
      <c r="A2302" s="343"/>
      <c r="B2302" s="344"/>
    </row>
    <row r="2303" spans="1:2" ht="15.5" x14ac:dyDescent="0.35">
      <c r="A2303" s="343"/>
      <c r="B2303" s="344"/>
    </row>
    <row r="2304" spans="1:2" ht="15.5" x14ac:dyDescent="0.35">
      <c r="A2304" s="343"/>
      <c r="B2304" s="344"/>
    </row>
    <row r="2305" spans="1:2" ht="15.5" x14ac:dyDescent="0.35">
      <c r="A2305" s="343"/>
      <c r="B2305" s="344"/>
    </row>
    <row r="2306" spans="1:2" ht="15.5" x14ac:dyDescent="0.35">
      <c r="A2306" s="343"/>
      <c r="B2306" s="344"/>
    </row>
    <row r="2307" spans="1:2" ht="15.5" x14ac:dyDescent="0.35">
      <c r="A2307" s="343"/>
      <c r="B2307" s="344"/>
    </row>
    <row r="2308" spans="1:2" ht="15.5" x14ac:dyDescent="0.35">
      <c r="A2308" s="343"/>
      <c r="B2308" s="344"/>
    </row>
    <row r="2309" spans="1:2" ht="15.5" x14ac:dyDescent="0.35">
      <c r="A2309" s="343"/>
      <c r="B2309" s="344"/>
    </row>
    <row r="2310" spans="1:2" ht="15.5" x14ac:dyDescent="0.35">
      <c r="A2310" s="343"/>
      <c r="B2310" s="344"/>
    </row>
    <row r="2311" spans="1:2" ht="15.5" x14ac:dyDescent="0.35">
      <c r="A2311" s="343"/>
      <c r="B2311" s="344"/>
    </row>
    <row r="2312" spans="1:2" ht="15.5" x14ac:dyDescent="0.35">
      <c r="A2312" s="343"/>
      <c r="B2312" s="344"/>
    </row>
    <row r="2313" spans="1:2" ht="15.5" x14ac:dyDescent="0.35">
      <c r="A2313" s="343"/>
      <c r="B2313" s="344"/>
    </row>
    <row r="2314" spans="1:2" ht="15.5" x14ac:dyDescent="0.35">
      <c r="A2314" s="343"/>
      <c r="B2314" s="344"/>
    </row>
    <row r="2315" spans="1:2" ht="15.5" x14ac:dyDescent="0.35">
      <c r="A2315" s="343"/>
      <c r="B2315" s="344"/>
    </row>
    <row r="2316" spans="1:2" ht="15.5" x14ac:dyDescent="0.35">
      <c r="A2316" s="343"/>
      <c r="B2316" s="344"/>
    </row>
    <row r="2317" spans="1:2" ht="15.5" x14ac:dyDescent="0.35">
      <c r="A2317" s="343"/>
      <c r="B2317" s="344"/>
    </row>
    <row r="2318" spans="1:2" ht="15.5" x14ac:dyDescent="0.35">
      <c r="A2318" s="343"/>
      <c r="B2318" s="344"/>
    </row>
    <row r="2319" spans="1:2" ht="15.5" x14ac:dyDescent="0.35">
      <c r="A2319" s="343"/>
      <c r="B2319" s="344"/>
    </row>
    <row r="2320" spans="1:2" ht="15.5" x14ac:dyDescent="0.35">
      <c r="A2320" s="343"/>
      <c r="B2320" s="344"/>
    </row>
    <row r="2321" spans="1:2" ht="15.5" x14ac:dyDescent="0.35">
      <c r="A2321" s="343"/>
      <c r="B2321" s="344"/>
    </row>
    <row r="2322" spans="1:2" ht="15.5" x14ac:dyDescent="0.35">
      <c r="A2322" s="343"/>
      <c r="B2322" s="344"/>
    </row>
    <row r="2323" spans="1:2" ht="15.5" x14ac:dyDescent="0.35">
      <c r="A2323" s="343"/>
      <c r="B2323" s="344"/>
    </row>
    <row r="2324" spans="1:2" ht="15.5" x14ac:dyDescent="0.35">
      <c r="A2324" s="343"/>
      <c r="B2324" s="344"/>
    </row>
    <row r="2325" spans="1:2" ht="15.5" x14ac:dyDescent="0.35">
      <c r="A2325" s="343"/>
      <c r="B2325" s="344"/>
    </row>
    <row r="2326" spans="1:2" ht="15.5" x14ac:dyDescent="0.35">
      <c r="A2326" s="343"/>
      <c r="B2326" s="344"/>
    </row>
    <row r="2327" spans="1:2" ht="15.5" x14ac:dyDescent="0.35">
      <c r="A2327" s="343"/>
      <c r="B2327" s="344"/>
    </row>
    <row r="2328" spans="1:2" ht="15.5" x14ac:dyDescent="0.35">
      <c r="A2328" s="343"/>
      <c r="B2328" s="344"/>
    </row>
    <row r="2329" spans="1:2" ht="15.5" x14ac:dyDescent="0.35">
      <c r="A2329" s="343"/>
      <c r="B2329" s="344"/>
    </row>
    <row r="2330" spans="1:2" ht="15.5" x14ac:dyDescent="0.35">
      <c r="A2330" s="343"/>
      <c r="B2330" s="344"/>
    </row>
    <row r="2331" spans="1:2" ht="15.5" x14ac:dyDescent="0.35">
      <c r="A2331" s="343"/>
      <c r="B2331" s="344"/>
    </row>
    <row r="2332" spans="1:2" ht="15.5" x14ac:dyDescent="0.35">
      <c r="A2332" s="343"/>
      <c r="B2332" s="344"/>
    </row>
    <row r="2333" spans="1:2" ht="15.5" x14ac:dyDescent="0.35">
      <c r="A2333" s="343"/>
      <c r="B2333" s="344"/>
    </row>
    <row r="2334" spans="1:2" ht="15.5" x14ac:dyDescent="0.35">
      <c r="A2334" s="343"/>
      <c r="B2334" s="344"/>
    </row>
    <row r="2335" spans="1:2" ht="15.5" x14ac:dyDescent="0.35">
      <c r="A2335" s="343"/>
      <c r="B2335" s="344"/>
    </row>
    <row r="2336" spans="1:2" ht="15.5" x14ac:dyDescent="0.35">
      <c r="A2336" s="343"/>
      <c r="B2336" s="344"/>
    </row>
    <row r="2337" spans="1:2" ht="15.5" x14ac:dyDescent="0.35">
      <c r="A2337" s="343"/>
      <c r="B2337" s="344"/>
    </row>
    <row r="2338" spans="1:2" ht="15.5" x14ac:dyDescent="0.35">
      <c r="A2338" s="343"/>
      <c r="B2338" s="344"/>
    </row>
    <row r="2339" spans="1:2" ht="15.5" x14ac:dyDescent="0.35">
      <c r="A2339" s="343"/>
      <c r="B2339" s="344"/>
    </row>
    <row r="2340" spans="1:2" ht="15.5" x14ac:dyDescent="0.35">
      <c r="A2340" s="343"/>
      <c r="B2340" s="344"/>
    </row>
    <row r="2341" spans="1:2" ht="15.5" x14ac:dyDescent="0.35">
      <c r="A2341" s="343"/>
      <c r="B2341" s="344"/>
    </row>
    <row r="2342" spans="1:2" ht="15.5" x14ac:dyDescent="0.35">
      <c r="A2342" s="343"/>
      <c r="B2342" s="344"/>
    </row>
    <row r="2343" spans="1:2" ht="15.5" x14ac:dyDescent="0.35">
      <c r="A2343" s="343"/>
      <c r="B2343" s="344"/>
    </row>
    <row r="2344" spans="1:2" ht="15.5" x14ac:dyDescent="0.35">
      <c r="A2344" s="343"/>
      <c r="B2344" s="344"/>
    </row>
    <row r="2345" spans="1:2" ht="15.5" x14ac:dyDescent="0.35">
      <c r="A2345" s="343"/>
      <c r="B2345" s="344"/>
    </row>
    <row r="2346" spans="1:2" ht="15.5" x14ac:dyDescent="0.35">
      <c r="A2346" s="343"/>
      <c r="B2346" s="344"/>
    </row>
    <row r="2347" spans="1:2" ht="15.5" x14ac:dyDescent="0.35">
      <c r="A2347" s="343"/>
      <c r="B2347" s="344"/>
    </row>
    <row r="2348" spans="1:2" ht="15.5" x14ac:dyDescent="0.35">
      <c r="A2348" s="343"/>
      <c r="B2348" s="344"/>
    </row>
    <row r="2349" spans="1:2" ht="15.5" x14ac:dyDescent="0.35">
      <c r="A2349" s="343"/>
      <c r="B2349" s="344"/>
    </row>
    <row r="2350" spans="1:2" ht="15.5" x14ac:dyDescent="0.35">
      <c r="A2350" s="343"/>
      <c r="B2350" s="344"/>
    </row>
    <row r="2351" spans="1:2" ht="15.5" x14ac:dyDescent="0.35">
      <c r="A2351" s="343"/>
      <c r="B2351" s="344"/>
    </row>
    <row r="2352" spans="1:2" ht="15.5" x14ac:dyDescent="0.35">
      <c r="A2352" s="343"/>
      <c r="B2352" s="344"/>
    </row>
    <row r="2353" spans="1:2" ht="15.5" x14ac:dyDescent="0.35">
      <c r="A2353" s="343"/>
      <c r="B2353" s="344"/>
    </row>
    <row r="2354" spans="1:2" ht="15.5" x14ac:dyDescent="0.35">
      <c r="A2354" s="343"/>
      <c r="B2354" s="344"/>
    </row>
    <row r="2355" spans="1:2" ht="15.5" x14ac:dyDescent="0.35">
      <c r="A2355" s="343"/>
      <c r="B2355" s="344"/>
    </row>
    <row r="2356" spans="1:2" ht="15.5" x14ac:dyDescent="0.35">
      <c r="A2356" s="343"/>
      <c r="B2356" s="344"/>
    </row>
    <row r="2357" spans="1:2" ht="15.5" x14ac:dyDescent="0.35">
      <c r="A2357" s="343"/>
      <c r="B2357" s="344"/>
    </row>
    <row r="2358" spans="1:2" ht="15.5" x14ac:dyDescent="0.35">
      <c r="A2358" s="343"/>
      <c r="B2358" s="344"/>
    </row>
    <row r="2359" spans="1:2" ht="15.5" x14ac:dyDescent="0.35">
      <c r="A2359" s="343"/>
      <c r="B2359" s="344"/>
    </row>
    <row r="2360" spans="1:2" ht="15.5" x14ac:dyDescent="0.35">
      <c r="A2360" s="343"/>
      <c r="B2360" s="344"/>
    </row>
    <row r="2361" spans="1:2" ht="15.5" x14ac:dyDescent="0.35">
      <c r="A2361" s="343"/>
      <c r="B2361" s="344"/>
    </row>
    <row r="2362" spans="1:2" ht="15.5" x14ac:dyDescent="0.35">
      <c r="A2362" s="343"/>
      <c r="B2362" s="344"/>
    </row>
    <row r="2363" spans="1:2" ht="15.5" x14ac:dyDescent="0.35">
      <c r="A2363" s="343"/>
      <c r="B2363" s="344"/>
    </row>
    <row r="2364" spans="1:2" ht="15.5" x14ac:dyDescent="0.35">
      <c r="A2364" s="343"/>
      <c r="B2364" s="344"/>
    </row>
    <row r="2365" spans="1:2" ht="15.5" x14ac:dyDescent="0.35">
      <c r="A2365" s="343"/>
      <c r="B2365" s="344"/>
    </row>
    <row r="2366" spans="1:2" ht="15.5" x14ac:dyDescent="0.35">
      <c r="A2366" s="343"/>
      <c r="B2366" s="344"/>
    </row>
    <row r="2367" spans="1:2" ht="15.5" x14ac:dyDescent="0.35">
      <c r="A2367" s="343"/>
      <c r="B2367" s="344"/>
    </row>
    <row r="2368" spans="1:2" ht="15.5" x14ac:dyDescent="0.35">
      <c r="A2368" s="343"/>
      <c r="B2368" s="344"/>
    </row>
    <row r="2369" spans="1:2" ht="15.5" x14ac:dyDescent="0.35">
      <c r="A2369" s="343"/>
      <c r="B2369" s="344"/>
    </row>
    <row r="2370" spans="1:2" ht="15.5" x14ac:dyDescent="0.35">
      <c r="A2370" s="343"/>
      <c r="B2370" s="344"/>
    </row>
    <row r="2371" spans="1:2" ht="15.5" x14ac:dyDescent="0.35">
      <c r="A2371" s="343"/>
      <c r="B2371" s="344"/>
    </row>
    <row r="2372" spans="1:2" ht="15.5" x14ac:dyDescent="0.35">
      <c r="A2372" s="343"/>
      <c r="B2372" s="344"/>
    </row>
    <row r="2373" spans="1:2" ht="15.5" x14ac:dyDescent="0.35">
      <c r="A2373" s="343"/>
      <c r="B2373" s="344"/>
    </row>
    <row r="2374" spans="1:2" ht="15.5" x14ac:dyDescent="0.35">
      <c r="A2374" s="343"/>
      <c r="B2374" s="344"/>
    </row>
    <row r="2375" spans="1:2" ht="15.5" x14ac:dyDescent="0.35">
      <c r="A2375" s="343"/>
      <c r="B2375" s="344"/>
    </row>
    <row r="2376" spans="1:2" ht="15.5" x14ac:dyDescent="0.35">
      <c r="A2376" s="343"/>
      <c r="B2376" s="344"/>
    </row>
    <row r="2377" spans="1:2" ht="15.5" x14ac:dyDescent="0.35">
      <c r="A2377" s="343"/>
      <c r="B2377" s="344"/>
    </row>
    <row r="2378" spans="1:2" ht="15.5" x14ac:dyDescent="0.35">
      <c r="A2378" s="343"/>
      <c r="B2378" s="344"/>
    </row>
    <row r="2379" spans="1:2" ht="15.5" x14ac:dyDescent="0.35">
      <c r="A2379" s="343"/>
      <c r="B2379" s="344"/>
    </row>
    <row r="2380" spans="1:2" ht="15.5" x14ac:dyDescent="0.35">
      <c r="A2380" s="343"/>
      <c r="B2380" s="344"/>
    </row>
    <row r="2381" spans="1:2" ht="15.5" x14ac:dyDescent="0.35">
      <c r="A2381" s="343"/>
      <c r="B2381" s="344"/>
    </row>
    <row r="2382" spans="1:2" ht="15.5" x14ac:dyDescent="0.35">
      <c r="A2382" s="343"/>
      <c r="B2382" s="344"/>
    </row>
    <row r="2383" spans="1:2" ht="15.5" x14ac:dyDescent="0.35">
      <c r="A2383" s="343"/>
      <c r="B2383" s="344"/>
    </row>
    <row r="2384" spans="1:2" ht="15.5" x14ac:dyDescent="0.35">
      <c r="A2384" s="343"/>
      <c r="B2384" s="344"/>
    </row>
    <row r="2385" spans="1:2" ht="15.5" x14ac:dyDescent="0.35">
      <c r="A2385" s="343"/>
      <c r="B2385" s="344"/>
    </row>
    <row r="2386" spans="1:2" ht="15.5" x14ac:dyDescent="0.35">
      <c r="A2386" s="343"/>
      <c r="B2386" s="344"/>
    </row>
    <row r="2387" spans="1:2" ht="15.5" x14ac:dyDescent="0.35">
      <c r="A2387" s="343"/>
      <c r="B2387" s="344"/>
    </row>
    <row r="2388" spans="1:2" ht="15.5" x14ac:dyDescent="0.35">
      <c r="A2388" s="343"/>
      <c r="B2388" s="344"/>
    </row>
    <row r="2389" spans="1:2" ht="15.5" x14ac:dyDescent="0.35">
      <c r="A2389" s="343"/>
      <c r="B2389" s="344"/>
    </row>
    <row r="2390" spans="1:2" ht="15.5" x14ac:dyDescent="0.35">
      <c r="A2390" s="343"/>
      <c r="B2390" s="344"/>
    </row>
    <row r="2391" spans="1:2" ht="15.5" x14ac:dyDescent="0.35">
      <c r="A2391" s="343"/>
      <c r="B2391" s="344"/>
    </row>
    <row r="2392" spans="1:2" ht="15.5" x14ac:dyDescent="0.35">
      <c r="A2392" s="343"/>
      <c r="B2392" s="344"/>
    </row>
    <row r="2393" spans="1:2" ht="15.5" x14ac:dyDescent="0.35">
      <c r="A2393" s="343"/>
      <c r="B2393" s="344"/>
    </row>
    <row r="2394" spans="1:2" ht="15.5" x14ac:dyDescent="0.35">
      <c r="A2394" s="343"/>
      <c r="B2394" s="344"/>
    </row>
    <row r="2395" spans="1:2" ht="15.5" x14ac:dyDescent="0.35">
      <c r="A2395" s="343"/>
      <c r="B2395" s="344"/>
    </row>
    <row r="2396" spans="1:2" ht="15.5" x14ac:dyDescent="0.35">
      <c r="A2396" s="343"/>
      <c r="B2396" s="344"/>
    </row>
    <row r="2397" spans="1:2" ht="15.5" x14ac:dyDescent="0.35">
      <c r="A2397" s="343"/>
      <c r="B2397" s="344"/>
    </row>
    <row r="2398" spans="1:2" ht="15.5" x14ac:dyDescent="0.35">
      <c r="A2398" s="343"/>
      <c r="B2398" s="344"/>
    </row>
    <row r="2399" spans="1:2" ht="15.5" x14ac:dyDescent="0.35">
      <c r="A2399" s="343"/>
      <c r="B2399" s="344"/>
    </row>
    <row r="2400" spans="1:2" ht="15.5" x14ac:dyDescent="0.35">
      <c r="A2400" s="343"/>
      <c r="B2400" s="344"/>
    </row>
    <row r="2401" spans="1:2" ht="15.5" x14ac:dyDescent="0.35">
      <c r="A2401" s="343"/>
      <c r="B2401" s="344"/>
    </row>
    <row r="2402" spans="1:2" ht="15.5" x14ac:dyDescent="0.35">
      <c r="A2402" s="343"/>
      <c r="B2402" s="344"/>
    </row>
    <row r="2403" spans="1:2" ht="15.5" x14ac:dyDescent="0.35">
      <c r="A2403" s="343"/>
      <c r="B2403" s="344"/>
    </row>
    <row r="2404" spans="1:2" ht="15.5" x14ac:dyDescent="0.35">
      <c r="A2404" s="343"/>
      <c r="B2404" s="344"/>
    </row>
    <row r="2405" spans="1:2" ht="15.5" x14ac:dyDescent="0.35">
      <c r="A2405" s="343"/>
      <c r="B2405" s="344"/>
    </row>
    <row r="2406" spans="1:2" ht="15.5" x14ac:dyDescent="0.35">
      <c r="A2406" s="343"/>
      <c r="B2406" s="344"/>
    </row>
    <row r="2407" spans="1:2" ht="15.5" x14ac:dyDescent="0.35">
      <c r="A2407" s="343"/>
      <c r="B2407" s="344"/>
    </row>
    <row r="2408" spans="1:2" ht="15.5" x14ac:dyDescent="0.35">
      <c r="A2408" s="343"/>
      <c r="B2408" s="344"/>
    </row>
    <row r="2409" spans="1:2" ht="15.5" x14ac:dyDescent="0.35">
      <c r="A2409" s="343"/>
      <c r="B2409" s="344"/>
    </row>
    <row r="2410" spans="1:2" ht="15.5" x14ac:dyDescent="0.35">
      <c r="A2410" s="343"/>
      <c r="B2410" s="344"/>
    </row>
    <row r="2411" spans="1:2" ht="15.5" x14ac:dyDescent="0.35">
      <c r="A2411" s="343"/>
      <c r="B2411" s="344"/>
    </row>
    <row r="2412" spans="1:2" ht="15.5" x14ac:dyDescent="0.35">
      <c r="A2412" s="343"/>
      <c r="B2412" s="344"/>
    </row>
    <row r="2413" spans="1:2" ht="15.5" x14ac:dyDescent="0.35">
      <c r="A2413" s="343"/>
      <c r="B2413" s="344"/>
    </row>
    <row r="2414" spans="1:2" ht="15.5" x14ac:dyDescent="0.35">
      <c r="A2414" s="343"/>
      <c r="B2414" s="344"/>
    </row>
    <row r="2415" spans="1:2" ht="15.5" x14ac:dyDescent="0.35">
      <c r="A2415" s="343"/>
      <c r="B2415" s="344"/>
    </row>
    <row r="2416" spans="1:2" ht="15.5" x14ac:dyDescent="0.35">
      <c r="A2416" s="343"/>
      <c r="B2416" s="344"/>
    </row>
    <row r="2417" spans="1:2" ht="15.5" x14ac:dyDescent="0.35">
      <c r="A2417" s="343"/>
      <c r="B2417" s="344"/>
    </row>
    <row r="2418" spans="1:2" ht="15.5" x14ac:dyDescent="0.35">
      <c r="A2418" s="343"/>
      <c r="B2418" s="344"/>
    </row>
    <row r="2419" spans="1:2" ht="15.5" x14ac:dyDescent="0.35">
      <c r="A2419" s="343"/>
      <c r="B2419" s="344"/>
    </row>
    <row r="2420" spans="1:2" ht="15.5" x14ac:dyDescent="0.35">
      <c r="A2420" s="343"/>
      <c r="B2420" s="344"/>
    </row>
    <row r="2421" spans="1:2" ht="15.5" x14ac:dyDescent="0.35">
      <c r="A2421" s="343"/>
      <c r="B2421" s="344"/>
    </row>
    <row r="2422" spans="1:2" ht="15.5" x14ac:dyDescent="0.35">
      <c r="A2422" s="343"/>
      <c r="B2422" s="344"/>
    </row>
    <row r="2423" spans="1:2" ht="15.5" x14ac:dyDescent="0.35">
      <c r="A2423" s="343"/>
      <c r="B2423" s="344"/>
    </row>
    <row r="2424" spans="1:2" ht="15.5" x14ac:dyDescent="0.35">
      <c r="A2424" s="343"/>
      <c r="B2424" s="344"/>
    </row>
    <row r="2425" spans="1:2" ht="15.5" x14ac:dyDescent="0.35">
      <c r="A2425" s="343"/>
      <c r="B2425" s="344"/>
    </row>
    <row r="2426" spans="1:2" ht="15.5" x14ac:dyDescent="0.35">
      <c r="A2426" s="343"/>
      <c r="B2426" s="344"/>
    </row>
    <row r="2427" spans="1:2" ht="15.5" x14ac:dyDescent="0.35">
      <c r="A2427" s="343"/>
      <c r="B2427" s="344"/>
    </row>
    <row r="2428" spans="1:2" ht="15.5" x14ac:dyDescent="0.35">
      <c r="A2428" s="343"/>
      <c r="B2428" s="344"/>
    </row>
    <row r="2429" spans="1:2" ht="15.5" x14ac:dyDescent="0.35">
      <c r="A2429" s="343"/>
      <c r="B2429" s="344"/>
    </row>
    <row r="2430" spans="1:2" ht="15.5" x14ac:dyDescent="0.35">
      <c r="A2430" s="343"/>
      <c r="B2430" s="344"/>
    </row>
    <row r="2431" spans="1:2" ht="15.5" x14ac:dyDescent="0.35">
      <c r="A2431" s="343"/>
      <c r="B2431" s="344"/>
    </row>
    <row r="2432" spans="1:2" ht="15.5" x14ac:dyDescent="0.35">
      <c r="A2432" s="343"/>
      <c r="B2432" s="344"/>
    </row>
    <row r="2433" spans="1:2" ht="15.5" x14ac:dyDescent="0.35">
      <c r="A2433" s="343"/>
      <c r="B2433" s="344"/>
    </row>
    <row r="2434" spans="1:2" ht="15.5" x14ac:dyDescent="0.35">
      <c r="A2434" s="343"/>
      <c r="B2434" s="344"/>
    </row>
    <row r="2435" spans="1:2" ht="15.5" x14ac:dyDescent="0.35">
      <c r="A2435" s="343"/>
      <c r="B2435" s="344"/>
    </row>
    <row r="2436" spans="1:2" ht="15.5" x14ac:dyDescent="0.35">
      <c r="A2436" s="343"/>
      <c r="B2436" s="344"/>
    </row>
    <row r="2437" spans="1:2" ht="15.5" x14ac:dyDescent="0.35">
      <c r="A2437" s="343"/>
      <c r="B2437" s="344"/>
    </row>
    <row r="2438" spans="1:2" ht="15.5" x14ac:dyDescent="0.35">
      <c r="A2438" s="343"/>
      <c r="B2438" s="344"/>
    </row>
    <row r="2439" spans="1:2" ht="15.5" x14ac:dyDescent="0.35">
      <c r="A2439" s="343"/>
      <c r="B2439" s="344"/>
    </row>
    <row r="2440" spans="1:2" ht="15.5" x14ac:dyDescent="0.35">
      <c r="A2440" s="343"/>
      <c r="B2440" s="344"/>
    </row>
    <row r="2441" spans="1:2" ht="15.5" x14ac:dyDescent="0.35">
      <c r="A2441" s="343"/>
      <c r="B2441" s="344"/>
    </row>
    <row r="2442" spans="1:2" ht="15.5" x14ac:dyDescent="0.35">
      <c r="A2442" s="343"/>
      <c r="B2442" s="344"/>
    </row>
    <row r="2443" spans="1:2" ht="15.5" x14ac:dyDescent="0.35">
      <c r="A2443" s="343"/>
      <c r="B2443" s="344"/>
    </row>
    <row r="2444" spans="1:2" ht="15.5" x14ac:dyDescent="0.35">
      <c r="A2444" s="343"/>
      <c r="B2444" s="344"/>
    </row>
    <row r="2445" spans="1:2" ht="15.5" x14ac:dyDescent="0.35">
      <c r="A2445" s="343"/>
      <c r="B2445" s="344"/>
    </row>
    <row r="2446" spans="1:2" ht="15.5" x14ac:dyDescent="0.35">
      <c r="A2446" s="343"/>
      <c r="B2446" s="344"/>
    </row>
    <row r="2447" spans="1:2" ht="15.5" x14ac:dyDescent="0.35">
      <c r="A2447" s="343"/>
      <c r="B2447" s="344"/>
    </row>
    <row r="2448" spans="1:2" ht="15.5" x14ac:dyDescent="0.35">
      <c r="A2448" s="343"/>
      <c r="B2448" s="344"/>
    </row>
    <row r="2449" spans="1:2" ht="15.5" x14ac:dyDescent="0.35">
      <c r="A2449" s="343"/>
      <c r="B2449" s="344"/>
    </row>
    <row r="2450" spans="1:2" ht="15.5" x14ac:dyDescent="0.35">
      <c r="A2450" s="343"/>
      <c r="B2450" s="344"/>
    </row>
    <row r="2451" spans="1:2" ht="15.5" x14ac:dyDescent="0.35">
      <c r="A2451" s="343"/>
      <c r="B2451" s="344"/>
    </row>
    <row r="2452" spans="1:2" ht="15.5" x14ac:dyDescent="0.35">
      <c r="A2452" s="343"/>
      <c r="B2452" s="344"/>
    </row>
    <row r="2453" spans="1:2" ht="15.5" x14ac:dyDescent="0.35">
      <c r="A2453" s="343"/>
      <c r="B2453" s="344"/>
    </row>
    <row r="2454" spans="1:2" ht="15.5" x14ac:dyDescent="0.35">
      <c r="A2454" s="343"/>
      <c r="B2454" s="344"/>
    </row>
    <row r="2455" spans="1:2" ht="15.5" x14ac:dyDescent="0.35">
      <c r="A2455" s="343"/>
      <c r="B2455" s="344"/>
    </row>
    <row r="2456" spans="1:2" ht="15.5" x14ac:dyDescent="0.35">
      <c r="A2456" s="343"/>
      <c r="B2456" s="344"/>
    </row>
    <row r="2457" spans="1:2" ht="15.5" x14ac:dyDescent="0.35">
      <c r="A2457" s="343"/>
      <c r="B2457" s="344"/>
    </row>
    <row r="2458" spans="1:2" ht="15.5" x14ac:dyDescent="0.35">
      <c r="A2458" s="343"/>
      <c r="B2458" s="344"/>
    </row>
    <row r="2459" spans="1:2" ht="15.5" x14ac:dyDescent="0.35">
      <c r="A2459" s="343"/>
      <c r="B2459" s="344"/>
    </row>
    <row r="2460" spans="1:2" ht="15.5" x14ac:dyDescent="0.35">
      <c r="A2460" s="343"/>
      <c r="B2460" s="344"/>
    </row>
    <row r="2461" spans="1:2" ht="15.5" x14ac:dyDescent="0.35">
      <c r="A2461" s="343"/>
      <c r="B2461" s="344"/>
    </row>
    <row r="2462" spans="1:2" ht="15.5" x14ac:dyDescent="0.35">
      <c r="A2462" s="343"/>
      <c r="B2462" s="344"/>
    </row>
    <row r="2463" spans="1:2" ht="15.5" x14ac:dyDescent="0.35">
      <c r="A2463" s="343"/>
      <c r="B2463" s="344"/>
    </row>
    <row r="2464" spans="1:2" ht="15.5" x14ac:dyDescent="0.35">
      <c r="A2464" s="343"/>
      <c r="B2464" s="344"/>
    </row>
    <row r="2465" spans="1:2" ht="15.5" x14ac:dyDescent="0.35">
      <c r="A2465" s="343"/>
      <c r="B2465" s="344"/>
    </row>
    <row r="2466" spans="1:2" ht="15.5" x14ac:dyDescent="0.35">
      <c r="A2466" s="343"/>
      <c r="B2466" s="344"/>
    </row>
    <row r="2467" spans="1:2" ht="15.5" x14ac:dyDescent="0.35">
      <c r="A2467" s="343"/>
      <c r="B2467" s="344"/>
    </row>
    <row r="2468" spans="1:2" ht="15.5" x14ac:dyDescent="0.35">
      <c r="A2468" s="343"/>
      <c r="B2468" s="344"/>
    </row>
    <row r="2469" spans="1:2" ht="15.5" x14ac:dyDescent="0.35">
      <c r="A2469" s="343"/>
      <c r="B2469" s="344"/>
    </row>
    <row r="2470" spans="1:2" ht="15.5" x14ac:dyDescent="0.35">
      <c r="A2470" s="343"/>
      <c r="B2470" s="344"/>
    </row>
    <row r="2471" spans="1:2" ht="15.5" x14ac:dyDescent="0.35">
      <c r="A2471" s="343"/>
      <c r="B2471" s="344"/>
    </row>
    <row r="2472" spans="1:2" ht="15.5" x14ac:dyDescent="0.35">
      <c r="A2472" s="343"/>
      <c r="B2472" s="344"/>
    </row>
    <row r="2473" spans="1:2" ht="15.5" x14ac:dyDescent="0.35">
      <c r="A2473" s="343"/>
      <c r="B2473" s="344"/>
    </row>
    <row r="2474" spans="1:2" ht="15.5" x14ac:dyDescent="0.35">
      <c r="A2474" s="343"/>
      <c r="B2474" s="344"/>
    </row>
    <row r="2475" spans="1:2" ht="15.5" x14ac:dyDescent="0.35">
      <c r="A2475" s="343"/>
      <c r="B2475" s="344"/>
    </row>
    <row r="2476" spans="1:2" ht="15.5" x14ac:dyDescent="0.35">
      <c r="A2476" s="343"/>
      <c r="B2476" s="344"/>
    </row>
    <row r="2477" spans="1:2" ht="15.5" x14ac:dyDescent="0.35">
      <c r="A2477" s="343"/>
      <c r="B2477" s="344"/>
    </row>
    <row r="2478" spans="1:2" ht="15.5" x14ac:dyDescent="0.35">
      <c r="A2478" s="343"/>
      <c r="B2478" s="344"/>
    </row>
    <row r="2479" spans="1:2" ht="15.5" x14ac:dyDescent="0.35">
      <c r="A2479" s="343"/>
      <c r="B2479" s="344"/>
    </row>
    <row r="2480" spans="1:2" ht="15.5" x14ac:dyDescent="0.35">
      <c r="A2480" s="343"/>
      <c r="B2480" s="344"/>
    </row>
    <row r="2481" spans="1:2" ht="15.5" x14ac:dyDescent="0.35">
      <c r="A2481" s="343"/>
      <c r="B2481" s="344"/>
    </row>
    <row r="2482" spans="1:2" ht="15.5" x14ac:dyDescent="0.35">
      <c r="A2482" s="343"/>
      <c r="B2482" s="344"/>
    </row>
    <row r="2483" spans="1:2" ht="15.5" x14ac:dyDescent="0.35">
      <c r="A2483" s="343"/>
      <c r="B2483" s="344"/>
    </row>
    <row r="2484" spans="1:2" ht="15.5" x14ac:dyDescent="0.35">
      <c r="A2484" s="343"/>
      <c r="B2484" s="344"/>
    </row>
    <row r="2485" spans="1:2" ht="15.5" x14ac:dyDescent="0.35">
      <c r="A2485" s="343"/>
      <c r="B2485" s="344"/>
    </row>
    <row r="2486" spans="1:2" ht="15.5" x14ac:dyDescent="0.35">
      <c r="A2486" s="343"/>
      <c r="B2486" s="344"/>
    </row>
    <row r="2487" spans="1:2" ht="15.5" x14ac:dyDescent="0.35">
      <c r="A2487" s="343"/>
      <c r="B2487" s="344"/>
    </row>
    <row r="2488" spans="1:2" ht="15.5" x14ac:dyDescent="0.35">
      <c r="A2488" s="343"/>
      <c r="B2488" s="344"/>
    </row>
    <row r="2489" spans="1:2" ht="15.5" x14ac:dyDescent="0.35">
      <c r="A2489" s="343"/>
      <c r="B2489" s="344"/>
    </row>
    <row r="2490" spans="1:2" ht="15.5" x14ac:dyDescent="0.35">
      <c r="A2490" s="343"/>
      <c r="B2490" s="344"/>
    </row>
    <row r="2491" spans="1:2" ht="15.5" x14ac:dyDescent="0.35">
      <c r="A2491" s="343"/>
      <c r="B2491" s="344"/>
    </row>
    <row r="2492" spans="1:2" ht="15.5" x14ac:dyDescent="0.35">
      <c r="A2492" s="343"/>
      <c r="B2492" s="344"/>
    </row>
    <row r="2493" spans="1:2" ht="15.5" x14ac:dyDescent="0.35">
      <c r="A2493" s="343"/>
      <c r="B2493" s="344"/>
    </row>
    <row r="2494" spans="1:2" ht="15.5" x14ac:dyDescent="0.35">
      <c r="A2494" s="343"/>
      <c r="B2494" s="344"/>
    </row>
    <row r="2495" spans="1:2" ht="15.5" x14ac:dyDescent="0.35">
      <c r="A2495" s="343"/>
      <c r="B2495" s="344"/>
    </row>
    <row r="2496" spans="1:2" ht="15.5" x14ac:dyDescent="0.35">
      <c r="A2496" s="343"/>
      <c r="B2496" s="344"/>
    </row>
    <row r="2497" spans="1:2" ht="15.5" x14ac:dyDescent="0.35">
      <c r="A2497" s="343"/>
      <c r="B2497" s="344"/>
    </row>
    <row r="2498" spans="1:2" ht="15.5" x14ac:dyDescent="0.35">
      <c r="A2498" s="343"/>
      <c r="B2498" s="344"/>
    </row>
    <row r="2499" spans="1:2" ht="15.5" x14ac:dyDescent="0.35">
      <c r="A2499" s="343"/>
      <c r="B2499" s="344"/>
    </row>
    <row r="2500" spans="1:2" ht="15.5" x14ac:dyDescent="0.35">
      <c r="A2500" s="343"/>
      <c r="B2500" s="344"/>
    </row>
    <row r="2501" spans="1:2" ht="15.5" x14ac:dyDescent="0.35">
      <c r="A2501" s="343"/>
      <c r="B2501" s="344"/>
    </row>
    <row r="2502" spans="1:2" ht="15.5" x14ac:dyDescent="0.35">
      <c r="A2502" s="343"/>
      <c r="B2502" s="344"/>
    </row>
    <row r="2503" spans="1:2" ht="15.5" x14ac:dyDescent="0.35">
      <c r="A2503" s="343"/>
      <c r="B2503" s="344"/>
    </row>
    <row r="2504" spans="1:2" ht="15.5" x14ac:dyDescent="0.35">
      <c r="A2504" s="343"/>
      <c r="B2504" s="344"/>
    </row>
    <row r="2505" spans="1:2" ht="15.5" x14ac:dyDescent="0.35">
      <c r="A2505" s="343"/>
      <c r="B2505" s="344"/>
    </row>
    <row r="2506" spans="1:2" ht="15.5" x14ac:dyDescent="0.35">
      <c r="A2506" s="343"/>
      <c r="B2506" s="344"/>
    </row>
    <row r="2507" spans="1:2" ht="15.5" x14ac:dyDescent="0.35">
      <c r="A2507" s="343"/>
      <c r="B2507" s="344"/>
    </row>
    <row r="2508" spans="1:2" ht="15.5" x14ac:dyDescent="0.35">
      <c r="A2508" s="343"/>
      <c r="B2508" s="344"/>
    </row>
    <row r="2509" spans="1:2" ht="15.5" x14ac:dyDescent="0.35">
      <c r="A2509" s="343"/>
      <c r="B2509" s="344"/>
    </row>
    <row r="2510" spans="1:2" ht="15.5" x14ac:dyDescent="0.35">
      <c r="A2510" s="343"/>
      <c r="B2510" s="344"/>
    </row>
    <row r="2511" spans="1:2" ht="15.5" x14ac:dyDescent="0.35">
      <c r="A2511" s="343"/>
      <c r="B2511" s="344"/>
    </row>
    <row r="2512" spans="1:2" ht="15.5" x14ac:dyDescent="0.35">
      <c r="A2512" s="343"/>
      <c r="B2512" s="344"/>
    </row>
    <row r="2513" spans="1:2" ht="15.5" x14ac:dyDescent="0.35">
      <c r="A2513" s="343"/>
      <c r="B2513" s="344"/>
    </row>
    <row r="2514" spans="1:2" ht="15.5" x14ac:dyDescent="0.35">
      <c r="A2514" s="343"/>
      <c r="B2514" s="344"/>
    </row>
    <row r="2515" spans="1:2" ht="15.5" x14ac:dyDescent="0.35">
      <c r="A2515" s="343"/>
      <c r="B2515" s="344"/>
    </row>
    <row r="2516" spans="1:2" ht="15.5" x14ac:dyDescent="0.35">
      <c r="A2516" s="343"/>
      <c r="B2516" s="344"/>
    </row>
    <row r="2517" spans="1:2" ht="15.5" x14ac:dyDescent="0.35">
      <c r="A2517" s="343"/>
      <c r="B2517" s="344"/>
    </row>
    <row r="2518" spans="1:2" ht="15.5" x14ac:dyDescent="0.35">
      <c r="A2518" s="343"/>
      <c r="B2518" s="344"/>
    </row>
    <row r="2519" spans="1:2" ht="15.5" x14ac:dyDescent="0.35">
      <c r="A2519" s="343"/>
      <c r="B2519" s="344"/>
    </row>
    <row r="2520" spans="1:2" ht="15.5" x14ac:dyDescent="0.35">
      <c r="A2520" s="343"/>
      <c r="B2520" s="344"/>
    </row>
    <row r="2521" spans="1:2" ht="15.5" x14ac:dyDescent="0.35">
      <c r="A2521" s="343"/>
      <c r="B2521" s="344"/>
    </row>
    <row r="2522" spans="1:2" ht="15.5" x14ac:dyDescent="0.35">
      <c r="A2522" s="343"/>
      <c r="B2522" s="344"/>
    </row>
    <row r="2523" spans="1:2" ht="15.5" x14ac:dyDescent="0.35">
      <c r="A2523" s="343"/>
      <c r="B2523" s="344"/>
    </row>
    <row r="2524" spans="1:2" ht="15.5" x14ac:dyDescent="0.35">
      <c r="A2524" s="343"/>
      <c r="B2524" s="344"/>
    </row>
    <row r="2525" spans="1:2" ht="15.5" x14ac:dyDescent="0.35">
      <c r="A2525" s="343"/>
      <c r="B2525" s="344"/>
    </row>
    <row r="2526" spans="1:2" ht="15.5" x14ac:dyDescent="0.35">
      <c r="A2526" s="343"/>
      <c r="B2526" s="344"/>
    </row>
    <row r="2527" spans="1:2" ht="15.5" x14ac:dyDescent="0.35">
      <c r="A2527" s="343"/>
      <c r="B2527" s="344"/>
    </row>
    <row r="2528" spans="1:2" ht="15.5" x14ac:dyDescent="0.35">
      <c r="A2528" s="343"/>
      <c r="B2528" s="344"/>
    </row>
    <row r="2529" spans="1:2" ht="15.5" x14ac:dyDescent="0.35">
      <c r="A2529" s="343"/>
      <c r="B2529" s="344"/>
    </row>
    <row r="2530" spans="1:2" ht="15.5" x14ac:dyDescent="0.35">
      <c r="A2530" s="343"/>
      <c r="B2530" s="344"/>
    </row>
    <row r="2531" spans="1:2" ht="15.5" x14ac:dyDescent="0.35">
      <c r="A2531" s="343"/>
      <c r="B2531" s="344"/>
    </row>
    <row r="2532" spans="1:2" ht="15.5" x14ac:dyDescent="0.35">
      <c r="A2532" s="343"/>
      <c r="B2532" s="344"/>
    </row>
    <row r="2533" spans="1:2" ht="15.5" x14ac:dyDescent="0.35">
      <c r="A2533" s="343"/>
      <c r="B2533" s="344"/>
    </row>
    <row r="2534" spans="1:2" ht="15.5" x14ac:dyDescent="0.35">
      <c r="A2534" s="343"/>
      <c r="B2534" s="344"/>
    </row>
    <row r="2535" spans="1:2" ht="15.5" x14ac:dyDescent="0.35">
      <c r="A2535" s="343"/>
      <c r="B2535" s="344"/>
    </row>
    <row r="2536" spans="1:2" ht="15.5" x14ac:dyDescent="0.35">
      <c r="A2536" s="343"/>
      <c r="B2536" s="344"/>
    </row>
    <row r="2537" spans="1:2" ht="15.5" x14ac:dyDescent="0.35">
      <c r="A2537" s="343"/>
      <c r="B2537" s="344"/>
    </row>
    <row r="2538" spans="1:2" ht="15.5" x14ac:dyDescent="0.35">
      <c r="A2538" s="343"/>
      <c r="B2538" s="344"/>
    </row>
    <row r="2539" spans="1:2" ht="15.5" x14ac:dyDescent="0.35">
      <c r="A2539" s="343"/>
      <c r="B2539" s="344"/>
    </row>
    <row r="2540" spans="1:2" ht="15.5" x14ac:dyDescent="0.35">
      <c r="A2540" s="343"/>
      <c r="B2540" s="344"/>
    </row>
    <row r="2541" spans="1:2" ht="15.5" x14ac:dyDescent="0.35">
      <c r="A2541" s="343"/>
      <c r="B2541" s="344"/>
    </row>
    <row r="2542" spans="1:2" ht="15.5" x14ac:dyDescent="0.35">
      <c r="A2542" s="343"/>
      <c r="B2542" s="344"/>
    </row>
    <row r="2543" spans="1:2" ht="15.5" x14ac:dyDescent="0.35">
      <c r="A2543" s="343"/>
      <c r="B2543" s="344"/>
    </row>
    <row r="2544" spans="1:2" ht="15.5" x14ac:dyDescent="0.35">
      <c r="A2544" s="343"/>
      <c r="B2544" s="344"/>
    </row>
    <row r="2545" spans="1:2" ht="15.5" x14ac:dyDescent="0.35">
      <c r="A2545" s="343"/>
      <c r="B2545" s="344"/>
    </row>
    <row r="2546" spans="1:2" ht="15.5" x14ac:dyDescent="0.35">
      <c r="A2546" s="343"/>
      <c r="B2546" s="344"/>
    </row>
    <row r="2547" spans="1:2" ht="15.5" x14ac:dyDescent="0.35">
      <c r="A2547" s="343"/>
      <c r="B2547" s="344"/>
    </row>
    <row r="2548" spans="1:2" ht="15.5" x14ac:dyDescent="0.35">
      <c r="A2548" s="343"/>
      <c r="B2548" s="344"/>
    </row>
    <row r="2549" spans="1:2" ht="15.5" x14ac:dyDescent="0.35">
      <c r="A2549" s="343"/>
      <c r="B2549" s="344"/>
    </row>
    <row r="2550" spans="1:2" ht="15.5" x14ac:dyDescent="0.35">
      <c r="A2550" s="343"/>
      <c r="B2550" s="344"/>
    </row>
    <row r="2551" spans="1:2" ht="15.5" x14ac:dyDescent="0.35">
      <c r="A2551" s="343"/>
      <c r="B2551" s="344"/>
    </row>
    <row r="2552" spans="1:2" ht="15.5" x14ac:dyDescent="0.35">
      <c r="A2552" s="343"/>
      <c r="B2552" s="344"/>
    </row>
    <row r="2553" spans="1:2" ht="15.5" x14ac:dyDescent="0.35">
      <c r="A2553" s="343"/>
      <c r="B2553" s="344"/>
    </row>
    <row r="2554" spans="1:2" ht="15.5" x14ac:dyDescent="0.35">
      <c r="A2554" s="343"/>
      <c r="B2554" s="344"/>
    </row>
    <row r="2555" spans="1:2" ht="15.5" x14ac:dyDescent="0.35">
      <c r="A2555" s="343"/>
      <c r="B2555" s="344"/>
    </row>
    <row r="2556" spans="1:2" ht="15.5" x14ac:dyDescent="0.35">
      <c r="A2556" s="343"/>
      <c r="B2556" s="344"/>
    </row>
    <row r="2557" spans="1:2" ht="15.5" x14ac:dyDescent="0.35">
      <c r="A2557" s="343"/>
      <c r="B2557" s="344"/>
    </row>
    <row r="2558" spans="1:2" ht="15.5" x14ac:dyDescent="0.35">
      <c r="A2558" s="343"/>
      <c r="B2558" s="344"/>
    </row>
    <row r="2559" spans="1:2" ht="15.5" x14ac:dyDescent="0.35">
      <c r="A2559" s="343"/>
      <c r="B2559" s="344"/>
    </row>
    <row r="2560" spans="1:2" ht="15.5" x14ac:dyDescent="0.35">
      <c r="A2560" s="343"/>
      <c r="B2560" s="344"/>
    </row>
    <row r="2561" spans="1:2" ht="15.5" x14ac:dyDescent="0.35">
      <c r="A2561" s="343"/>
      <c r="B2561" s="344"/>
    </row>
    <row r="2562" spans="1:2" ht="15.5" x14ac:dyDescent="0.35">
      <c r="A2562" s="343"/>
      <c r="B2562" s="344"/>
    </row>
    <row r="2563" spans="1:2" ht="15.5" x14ac:dyDescent="0.35">
      <c r="A2563" s="343"/>
      <c r="B2563" s="344"/>
    </row>
    <row r="2564" spans="1:2" ht="15.5" x14ac:dyDescent="0.35">
      <c r="A2564" s="343"/>
      <c r="B2564" s="344"/>
    </row>
    <row r="2565" spans="1:2" ht="15.5" x14ac:dyDescent="0.35">
      <c r="A2565" s="343"/>
      <c r="B2565" s="344"/>
    </row>
    <row r="2566" spans="1:2" ht="15.5" x14ac:dyDescent="0.35">
      <c r="A2566" s="343"/>
      <c r="B2566" s="344"/>
    </row>
    <row r="2567" spans="1:2" ht="15.5" x14ac:dyDescent="0.35">
      <c r="A2567" s="343"/>
      <c r="B2567" s="344"/>
    </row>
    <row r="2568" spans="1:2" ht="15.5" x14ac:dyDescent="0.35">
      <c r="A2568" s="343"/>
      <c r="B2568" s="344"/>
    </row>
    <row r="2569" spans="1:2" ht="15.5" x14ac:dyDescent="0.35">
      <c r="A2569" s="343"/>
      <c r="B2569" s="344"/>
    </row>
    <row r="2570" spans="1:2" ht="15.5" x14ac:dyDescent="0.35">
      <c r="A2570" s="343"/>
      <c r="B2570" s="344"/>
    </row>
    <row r="2571" spans="1:2" ht="15.5" x14ac:dyDescent="0.35">
      <c r="A2571" s="343"/>
      <c r="B2571" s="344"/>
    </row>
    <row r="2572" spans="1:2" ht="15.5" x14ac:dyDescent="0.35">
      <c r="A2572" s="343"/>
      <c r="B2572" s="344"/>
    </row>
    <row r="2573" spans="1:2" ht="15.5" x14ac:dyDescent="0.35">
      <c r="A2573" s="343"/>
      <c r="B2573" s="344"/>
    </row>
    <row r="2574" spans="1:2" ht="15.5" x14ac:dyDescent="0.35">
      <c r="A2574" s="343"/>
      <c r="B2574" s="344"/>
    </row>
    <row r="2575" spans="1:2" ht="15.5" x14ac:dyDescent="0.35">
      <c r="A2575" s="343"/>
      <c r="B2575" s="344"/>
    </row>
    <row r="2576" spans="1:2" ht="15.5" x14ac:dyDescent="0.35">
      <c r="A2576" s="343"/>
      <c r="B2576" s="344"/>
    </row>
    <row r="2577" spans="1:2" ht="15.5" x14ac:dyDescent="0.35">
      <c r="A2577" s="343"/>
      <c r="B2577" s="344"/>
    </row>
    <row r="2578" spans="1:2" ht="15.5" x14ac:dyDescent="0.35">
      <c r="A2578" s="343"/>
      <c r="B2578" s="344"/>
    </row>
    <row r="2579" spans="1:2" ht="15.5" x14ac:dyDescent="0.35">
      <c r="A2579" s="343"/>
      <c r="B2579" s="344"/>
    </row>
    <row r="2580" spans="1:2" ht="15.5" x14ac:dyDescent="0.35">
      <c r="A2580" s="343"/>
      <c r="B2580" s="344"/>
    </row>
    <row r="2581" spans="1:2" ht="15.5" x14ac:dyDescent="0.35">
      <c r="A2581" s="343"/>
      <c r="B2581" s="344"/>
    </row>
    <row r="2582" spans="1:2" ht="15.5" x14ac:dyDescent="0.35">
      <c r="A2582" s="343"/>
      <c r="B2582" s="344"/>
    </row>
    <row r="2583" spans="1:2" ht="15.5" x14ac:dyDescent="0.35">
      <c r="A2583" s="343"/>
      <c r="B2583" s="344"/>
    </row>
    <row r="2584" spans="1:2" ht="15.5" x14ac:dyDescent="0.35">
      <c r="A2584" s="343"/>
      <c r="B2584" s="344"/>
    </row>
    <row r="2585" spans="1:2" ht="15.5" x14ac:dyDescent="0.35">
      <c r="A2585" s="343"/>
      <c r="B2585" s="344"/>
    </row>
    <row r="2586" spans="1:2" ht="15.5" x14ac:dyDescent="0.35">
      <c r="A2586" s="343"/>
      <c r="B2586" s="344"/>
    </row>
    <row r="2587" spans="1:2" ht="15.5" x14ac:dyDescent="0.35">
      <c r="A2587" s="343"/>
      <c r="B2587" s="344"/>
    </row>
    <row r="2588" spans="1:2" ht="15.5" x14ac:dyDescent="0.35">
      <c r="A2588" s="343"/>
      <c r="B2588" s="344"/>
    </row>
    <row r="2589" spans="1:2" ht="15.5" x14ac:dyDescent="0.35">
      <c r="A2589" s="343"/>
      <c r="B2589" s="344"/>
    </row>
    <row r="2590" spans="1:2" ht="15.5" x14ac:dyDescent="0.35">
      <c r="A2590" s="343"/>
      <c r="B2590" s="344"/>
    </row>
    <row r="2591" spans="1:2" ht="15.5" x14ac:dyDescent="0.35">
      <c r="A2591" s="343"/>
      <c r="B2591" s="344"/>
    </row>
    <row r="2592" spans="1:2" ht="15.5" x14ac:dyDescent="0.35">
      <c r="A2592" s="343"/>
      <c r="B2592" s="344"/>
    </row>
    <row r="2593" spans="1:2" ht="15.5" x14ac:dyDescent="0.35">
      <c r="A2593" s="343"/>
      <c r="B2593" s="344"/>
    </row>
    <row r="2594" spans="1:2" ht="15.5" x14ac:dyDescent="0.35">
      <c r="A2594" s="343"/>
      <c r="B2594" s="344"/>
    </row>
    <row r="2595" spans="1:2" ht="15.5" x14ac:dyDescent="0.35">
      <c r="A2595" s="343"/>
      <c r="B2595" s="344"/>
    </row>
    <row r="2596" spans="1:2" ht="15.5" x14ac:dyDescent="0.35">
      <c r="A2596" s="343"/>
      <c r="B2596" s="344"/>
    </row>
    <row r="2597" spans="1:2" ht="15.5" x14ac:dyDescent="0.35">
      <c r="A2597" s="343"/>
      <c r="B2597" s="344"/>
    </row>
    <row r="2598" spans="1:2" ht="15.5" x14ac:dyDescent="0.35">
      <c r="A2598" s="343"/>
      <c r="B2598" s="344"/>
    </row>
    <row r="2599" spans="1:2" ht="15.5" x14ac:dyDescent="0.35">
      <c r="A2599" s="343"/>
      <c r="B2599" s="344"/>
    </row>
    <row r="2600" spans="1:2" ht="15.5" x14ac:dyDescent="0.35">
      <c r="A2600" s="343"/>
      <c r="B2600" s="344"/>
    </row>
    <row r="2601" spans="1:2" ht="15.5" x14ac:dyDescent="0.35">
      <c r="A2601" s="343"/>
      <c r="B2601" s="344"/>
    </row>
    <row r="2602" spans="1:2" ht="15.5" x14ac:dyDescent="0.35">
      <c r="A2602" s="343"/>
      <c r="B2602" s="344"/>
    </row>
    <row r="2603" spans="1:2" ht="15.5" x14ac:dyDescent="0.35">
      <c r="A2603" s="343"/>
      <c r="B2603" s="344"/>
    </row>
    <row r="2604" spans="1:2" ht="15.5" x14ac:dyDescent="0.35">
      <c r="A2604" s="343"/>
      <c r="B2604" s="344"/>
    </row>
    <row r="2605" spans="1:2" ht="15.5" x14ac:dyDescent="0.35">
      <c r="A2605" s="343"/>
      <c r="B2605" s="344"/>
    </row>
    <row r="2606" spans="1:2" ht="15.5" x14ac:dyDescent="0.35">
      <c r="A2606" s="343"/>
      <c r="B2606" s="344"/>
    </row>
    <row r="2607" spans="1:2" ht="15.5" x14ac:dyDescent="0.35">
      <c r="A2607" s="343"/>
      <c r="B2607" s="344"/>
    </row>
    <row r="2608" spans="1:2" ht="15.5" x14ac:dyDescent="0.35">
      <c r="A2608" s="343"/>
      <c r="B2608" s="344"/>
    </row>
    <row r="2609" spans="1:2" ht="15.5" x14ac:dyDescent="0.35">
      <c r="A2609" s="343"/>
      <c r="B2609" s="344"/>
    </row>
    <row r="2610" spans="1:2" ht="15.5" x14ac:dyDescent="0.35">
      <c r="A2610" s="343"/>
      <c r="B2610" s="344"/>
    </row>
    <row r="2611" spans="1:2" ht="15.5" x14ac:dyDescent="0.35">
      <c r="A2611" s="343"/>
      <c r="B2611" s="344"/>
    </row>
    <row r="2612" spans="1:2" ht="15.5" x14ac:dyDescent="0.35">
      <c r="A2612" s="343"/>
      <c r="B2612" s="344"/>
    </row>
    <row r="2613" spans="1:2" ht="15.5" x14ac:dyDescent="0.35">
      <c r="A2613" s="343"/>
      <c r="B2613" s="344"/>
    </row>
    <row r="2614" spans="1:2" ht="15.5" x14ac:dyDescent="0.35">
      <c r="A2614" s="343"/>
      <c r="B2614" s="344"/>
    </row>
    <row r="2615" spans="1:2" ht="15.5" x14ac:dyDescent="0.35">
      <c r="A2615" s="343"/>
      <c r="B2615" s="344"/>
    </row>
    <row r="2616" spans="1:2" ht="15.5" x14ac:dyDescent="0.35">
      <c r="A2616" s="343"/>
      <c r="B2616" s="344"/>
    </row>
    <row r="2617" spans="1:2" ht="15.5" x14ac:dyDescent="0.35">
      <c r="A2617" s="343"/>
      <c r="B2617" s="344"/>
    </row>
    <row r="2618" spans="1:2" ht="15.5" x14ac:dyDescent="0.35">
      <c r="A2618" s="343"/>
      <c r="B2618" s="344"/>
    </row>
    <row r="2619" spans="1:2" ht="15.5" x14ac:dyDescent="0.35">
      <c r="A2619" s="343"/>
      <c r="B2619" s="344"/>
    </row>
    <row r="2620" spans="1:2" ht="15.5" x14ac:dyDescent="0.35">
      <c r="A2620" s="343"/>
      <c r="B2620" s="344"/>
    </row>
    <row r="2621" spans="1:2" ht="15.5" x14ac:dyDescent="0.35">
      <c r="A2621" s="343"/>
      <c r="B2621" s="344"/>
    </row>
    <row r="2622" spans="1:2" ht="15.5" x14ac:dyDescent="0.35">
      <c r="A2622" s="343"/>
      <c r="B2622" s="344"/>
    </row>
    <row r="2623" spans="1:2" ht="15.5" x14ac:dyDescent="0.35">
      <c r="A2623" s="343"/>
      <c r="B2623" s="344"/>
    </row>
    <row r="2624" spans="1:2" ht="15.5" x14ac:dyDescent="0.35">
      <c r="A2624" s="343"/>
      <c r="B2624" s="344"/>
    </row>
    <row r="2625" spans="1:2" ht="15.5" x14ac:dyDescent="0.35">
      <c r="A2625" s="343"/>
      <c r="B2625" s="344"/>
    </row>
    <row r="2626" spans="1:2" ht="15.5" x14ac:dyDescent="0.35">
      <c r="A2626" s="343"/>
      <c r="B2626" s="344"/>
    </row>
    <row r="2627" spans="1:2" ht="15.5" x14ac:dyDescent="0.35">
      <c r="A2627" s="343"/>
      <c r="B2627" s="344"/>
    </row>
    <row r="2628" spans="1:2" ht="15.5" x14ac:dyDescent="0.35">
      <c r="A2628" s="343"/>
      <c r="B2628" s="344"/>
    </row>
    <row r="2629" spans="1:2" ht="15.5" x14ac:dyDescent="0.35">
      <c r="A2629" s="343"/>
      <c r="B2629" s="344"/>
    </row>
    <row r="2630" spans="1:2" ht="15.5" x14ac:dyDescent="0.35">
      <c r="A2630" s="343"/>
      <c r="B2630" s="344"/>
    </row>
    <row r="2631" spans="1:2" ht="15.5" x14ac:dyDescent="0.35">
      <c r="A2631" s="343"/>
      <c r="B2631" s="344"/>
    </row>
    <row r="2632" spans="1:2" ht="15.5" x14ac:dyDescent="0.35">
      <c r="A2632" s="343"/>
      <c r="B2632" s="344"/>
    </row>
    <row r="2633" spans="1:2" ht="15.5" x14ac:dyDescent="0.35">
      <c r="A2633" s="343"/>
      <c r="B2633" s="344"/>
    </row>
    <row r="2634" spans="1:2" ht="15.5" x14ac:dyDescent="0.35">
      <c r="A2634" s="343"/>
      <c r="B2634" s="344"/>
    </row>
    <row r="2635" spans="1:2" ht="15.5" x14ac:dyDescent="0.35">
      <c r="A2635" s="343"/>
      <c r="B2635" s="344"/>
    </row>
    <row r="2636" spans="1:2" ht="15.5" x14ac:dyDescent="0.35">
      <c r="A2636" s="343"/>
      <c r="B2636" s="344"/>
    </row>
    <row r="2637" spans="1:2" ht="15.5" x14ac:dyDescent="0.35">
      <c r="A2637" s="343"/>
      <c r="B2637" s="344"/>
    </row>
    <row r="2638" spans="1:2" ht="15.5" x14ac:dyDescent="0.35">
      <c r="A2638" s="343"/>
      <c r="B2638" s="344"/>
    </row>
    <row r="2639" spans="1:2" ht="15.5" x14ac:dyDescent="0.35">
      <c r="A2639" s="343"/>
      <c r="B2639" s="344"/>
    </row>
    <row r="2640" spans="1:2" ht="15.5" x14ac:dyDescent="0.35">
      <c r="A2640" s="343"/>
      <c r="B2640" s="344"/>
    </row>
    <row r="2641" spans="1:2" ht="15.5" x14ac:dyDescent="0.35">
      <c r="A2641" s="343"/>
      <c r="B2641" s="344"/>
    </row>
    <row r="2642" spans="1:2" ht="15.5" x14ac:dyDescent="0.35">
      <c r="A2642" s="343"/>
      <c r="B2642" s="344"/>
    </row>
    <row r="2643" spans="1:2" ht="15.5" x14ac:dyDescent="0.35">
      <c r="A2643" s="343"/>
      <c r="B2643" s="344"/>
    </row>
    <row r="2644" spans="1:2" ht="15.5" x14ac:dyDescent="0.35">
      <c r="A2644" s="343"/>
      <c r="B2644" s="344"/>
    </row>
    <row r="2645" spans="1:2" ht="15.5" x14ac:dyDescent="0.35">
      <c r="A2645" s="343"/>
      <c r="B2645" s="344"/>
    </row>
    <row r="2646" spans="1:2" ht="15.5" x14ac:dyDescent="0.35">
      <c r="A2646" s="343"/>
      <c r="B2646" s="344"/>
    </row>
    <row r="2647" spans="1:2" ht="15.5" x14ac:dyDescent="0.35">
      <c r="A2647" s="343"/>
      <c r="B2647" s="344"/>
    </row>
    <row r="2648" spans="1:2" ht="15.5" x14ac:dyDescent="0.35">
      <c r="A2648" s="343"/>
      <c r="B2648" s="344"/>
    </row>
    <row r="2649" spans="1:2" ht="15.5" x14ac:dyDescent="0.35">
      <c r="A2649" s="343"/>
      <c r="B2649" s="344"/>
    </row>
    <row r="2650" spans="1:2" ht="15.5" x14ac:dyDescent="0.35">
      <c r="A2650" s="343"/>
      <c r="B2650" s="344"/>
    </row>
    <row r="2651" spans="1:2" ht="15.5" x14ac:dyDescent="0.35">
      <c r="A2651" s="343"/>
      <c r="B2651" s="344"/>
    </row>
    <row r="2652" spans="1:2" ht="15.5" x14ac:dyDescent="0.35">
      <c r="A2652" s="343"/>
      <c r="B2652" s="344"/>
    </row>
    <row r="2653" spans="1:2" ht="15.5" x14ac:dyDescent="0.35">
      <c r="A2653" s="343"/>
      <c r="B2653" s="344"/>
    </row>
    <row r="2654" spans="1:2" ht="15.5" x14ac:dyDescent="0.35">
      <c r="A2654" s="343"/>
      <c r="B2654" s="344"/>
    </row>
    <row r="2655" spans="1:2" ht="15.5" x14ac:dyDescent="0.35">
      <c r="A2655" s="343"/>
      <c r="B2655" s="344"/>
    </row>
    <row r="2656" spans="1:2" ht="15.5" x14ac:dyDescent="0.35">
      <c r="A2656" s="343"/>
      <c r="B2656" s="344"/>
    </row>
    <row r="2657" spans="1:2" ht="15.5" x14ac:dyDescent="0.35">
      <c r="A2657" s="343"/>
      <c r="B2657" s="344"/>
    </row>
    <row r="2658" spans="1:2" ht="15.5" x14ac:dyDescent="0.35">
      <c r="A2658" s="345"/>
      <c r="B2658" s="346"/>
    </row>
    <row r="2659" spans="1:2" ht="15.5" x14ac:dyDescent="0.35">
      <c r="A2659" s="345"/>
      <c r="B2659" s="346"/>
    </row>
    <row r="2660" spans="1:2" ht="15.5" x14ac:dyDescent="0.35">
      <c r="A2660" s="345"/>
      <c r="B2660" s="346"/>
    </row>
    <row r="2661" spans="1:2" ht="15.5" x14ac:dyDescent="0.35">
      <c r="A2661" s="345"/>
      <c r="B2661" s="346"/>
    </row>
    <row r="2662" spans="1:2" ht="15.5" x14ac:dyDescent="0.35">
      <c r="A2662" s="345"/>
      <c r="B2662" s="346"/>
    </row>
    <row r="2663" spans="1:2" ht="15.5" x14ac:dyDescent="0.35">
      <c r="A2663" s="345"/>
      <c r="B2663" s="346"/>
    </row>
    <row r="2664" spans="1:2" ht="15.5" x14ac:dyDescent="0.35">
      <c r="A2664" s="345"/>
      <c r="B2664" s="346"/>
    </row>
    <row r="2665" spans="1:2" ht="15.5" x14ac:dyDescent="0.35">
      <c r="A2665" s="345"/>
      <c r="B2665" s="346"/>
    </row>
    <row r="2666" spans="1:2" ht="15.5" x14ac:dyDescent="0.35">
      <c r="A2666" s="345"/>
      <c r="B2666" s="346"/>
    </row>
    <row r="2667" spans="1:2" ht="15.5" x14ac:dyDescent="0.35">
      <c r="A2667" s="345"/>
      <c r="B2667" s="346"/>
    </row>
    <row r="2668" spans="1:2" ht="15.5" x14ac:dyDescent="0.35">
      <c r="A2668" s="345"/>
      <c r="B2668" s="346"/>
    </row>
    <row r="2669" spans="1:2" ht="15.5" x14ac:dyDescent="0.35">
      <c r="A2669" s="345"/>
      <c r="B2669" s="346"/>
    </row>
    <row r="2670" spans="1:2" ht="15.5" x14ac:dyDescent="0.35">
      <c r="A2670" s="345"/>
      <c r="B2670" s="346"/>
    </row>
    <row r="2671" spans="1:2" ht="15.5" x14ac:dyDescent="0.35">
      <c r="A2671" s="345"/>
      <c r="B2671" s="346"/>
    </row>
    <row r="2672" spans="1:2" ht="15.5" x14ac:dyDescent="0.35">
      <c r="A2672" s="345"/>
      <c r="B2672" s="346"/>
    </row>
    <row r="2673" spans="1:2" ht="15.5" x14ac:dyDescent="0.35">
      <c r="A2673" s="345"/>
      <c r="B2673" s="346"/>
    </row>
    <row r="2674" spans="1:2" ht="15.5" x14ac:dyDescent="0.35">
      <c r="A2674" s="345"/>
      <c r="B2674" s="346"/>
    </row>
    <row r="2675" spans="1:2" ht="15.5" x14ac:dyDescent="0.35">
      <c r="A2675" s="345"/>
      <c r="B2675" s="346"/>
    </row>
    <row r="2676" spans="1:2" ht="15.5" x14ac:dyDescent="0.35">
      <c r="A2676" s="345"/>
      <c r="B2676" s="346"/>
    </row>
    <row r="2677" spans="1:2" ht="15.5" x14ac:dyDescent="0.35">
      <c r="A2677" s="345"/>
      <c r="B2677" s="346"/>
    </row>
    <row r="2678" spans="1:2" ht="15.5" x14ac:dyDescent="0.35">
      <c r="A2678" s="345"/>
      <c r="B2678" s="346"/>
    </row>
    <row r="2679" spans="1:2" ht="15.5" x14ac:dyDescent="0.35">
      <c r="A2679" s="345"/>
      <c r="B2679" s="346"/>
    </row>
    <row r="2680" spans="1:2" ht="15.5" x14ac:dyDescent="0.35">
      <c r="A2680" s="345"/>
      <c r="B2680" s="346"/>
    </row>
    <row r="2681" spans="1:2" ht="15.5" x14ac:dyDescent="0.35">
      <c r="A2681" s="345"/>
      <c r="B2681" s="346"/>
    </row>
    <row r="2682" spans="1:2" ht="15.5" x14ac:dyDescent="0.35">
      <c r="A2682" s="345"/>
      <c r="B2682" s="346"/>
    </row>
    <row r="2683" spans="1:2" ht="15.5" x14ac:dyDescent="0.35">
      <c r="A2683" s="345"/>
      <c r="B2683" s="346"/>
    </row>
    <row r="2684" spans="1:2" ht="15.5" x14ac:dyDescent="0.35">
      <c r="A2684" s="345"/>
      <c r="B2684" s="346"/>
    </row>
    <row r="2685" spans="1:2" ht="15.5" x14ac:dyDescent="0.35">
      <c r="A2685" s="345"/>
      <c r="B2685" s="346"/>
    </row>
    <row r="2686" spans="1:2" ht="15.5" x14ac:dyDescent="0.35">
      <c r="A2686" s="345"/>
      <c r="B2686" s="346"/>
    </row>
    <row r="2687" spans="1:2" ht="15.5" x14ac:dyDescent="0.35">
      <c r="A2687" s="345"/>
      <c r="B2687" s="346"/>
    </row>
    <row r="2688" spans="1:2" ht="15.5" x14ac:dyDescent="0.35">
      <c r="A2688" s="345"/>
      <c r="B2688" s="346"/>
    </row>
    <row r="2689" spans="1:2" ht="15.5" x14ac:dyDescent="0.35">
      <c r="A2689" s="345"/>
      <c r="B2689" s="346"/>
    </row>
    <row r="2690" spans="1:2" ht="15.5" x14ac:dyDescent="0.35">
      <c r="A2690" s="345"/>
      <c r="B2690" s="346"/>
    </row>
    <row r="2691" spans="1:2" ht="15.5" x14ac:dyDescent="0.35">
      <c r="A2691" s="345"/>
      <c r="B2691" s="346"/>
    </row>
    <row r="2692" spans="1:2" ht="15.5" x14ac:dyDescent="0.35">
      <c r="A2692" s="345"/>
      <c r="B2692" s="346"/>
    </row>
    <row r="2693" spans="1:2" ht="15.5" x14ac:dyDescent="0.35">
      <c r="A2693" s="345"/>
      <c r="B2693" s="346"/>
    </row>
    <row r="2694" spans="1:2" ht="15.5" x14ac:dyDescent="0.35">
      <c r="A2694" s="345"/>
      <c r="B2694" s="346"/>
    </row>
    <row r="2695" spans="1:2" ht="15.5" x14ac:dyDescent="0.35">
      <c r="A2695" s="345"/>
      <c r="B2695" s="346"/>
    </row>
    <row r="2696" spans="1:2" ht="15.5" x14ac:dyDescent="0.35">
      <c r="A2696" s="345"/>
      <c r="B2696" s="346"/>
    </row>
    <row r="2697" spans="1:2" ht="15.5" x14ac:dyDescent="0.35">
      <c r="A2697" s="345"/>
      <c r="B2697" s="346"/>
    </row>
    <row r="2698" spans="1:2" ht="15.5" x14ac:dyDescent="0.35">
      <c r="A2698" s="345"/>
      <c r="B2698" s="346"/>
    </row>
    <row r="2699" spans="1:2" ht="15.5" x14ac:dyDescent="0.35">
      <c r="A2699" s="345"/>
      <c r="B2699" s="346"/>
    </row>
    <row r="2700" spans="1:2" ht="15.5" x14ac:dyDescent="0.35">
      <c r="A2700" s="345"/>
      <c r="B2700" s="346"/>
    </row>
    <row r="2701" spans="1:2" ht="15.5" x14ac:dyDescent="0.35">
      <c r="A2701" s="345"/>
      <c r="B2701" s="346"/>
    </row>
    <row r="2702" spans="1:2" ht="15.5" x14ac:dyDescent="0.35">
      <c r="A2702" s="345"/>
      <c r="B2702" s="346"/>
    </row>
    <row r="2703" spans="1:2" ht="15.5" x14ac:dyDescent="0.35">
      <c r="A2703" s="345"/>
      <c r="B2703" s="346"/>
    </row>
    <row r="2704" spans="1:2" ht="15.5" x14ac:dyDescent="0.35">
      <c r="A2704" s="345"/>
      <c r="B2704" s="346"/>
    </row>
    <row r="2705" spans="1:2" ht="15.5" x14ac:dyDescent="0.35">
      <c r="A2705" s="345"/>
      <c r="B2705" s="346"/>
    </row>
    <row r="2706" spans="1:2" ht="15.5" x14ac:dyDescent="0.35">
      <c r="A2706" s="345"/>
      <c r="B2706" s="346"/>
    </row>
    <row r="2707" spans="1:2" ht="15.5" x14ac:dyDescent="0.35">
      <c r="A2707" s="345"/>
      <c r="B2707" s="346"/>
    </row>
    <row r="2708" spans="1:2" ht="15.5" x14ac:dyDescent="0.35">
      <c r="A2708" s="345"/>
      <c r="B2708" s="346"/>
    </row>
    <row r="2709" spans="1:2" ht="15.5" x14ac:dyDescent="0.35">
      <c r="A2709" s="345"/>
      <c r="B2709" s="346"/>
    </row>
    <row r="2710" spans="1:2" ht="15.5" x14ac:dyDescent="0.35">
      <c r="A2710" s="345"/>
      <c r="B2710" s="346"/>
    </row>
    <row r="2711" spans="1:2" ht="15.5" x14ac:dyDescent="0.35">
      <c r="A2711" s="345"/>
      <c r="B2711" s="346"/>
    </row>
    <row r="2712" spans="1:2" ht="15.5" x14ac:dyDescent="0.35">
      <c r="A2712" s="345"/>
      <c r="B2712" s="346"/>
    </row>
    <row r="2713" spans="1:2" ht="15.5" x14ac:dyDescent="0.35">
      <c r="A2713" s="345"/>
      <c r="B2713" s="346"/>
    </row>
    <row r="2714" spans="1:2" ht="15.5" x14ac:dyDescent="0.35">
      <c r="A2714" s="345"/>
      <c r="B2714" s="346"/>
    </row>
    <row r="2715" spans="1:2" ht="15.5" x14ac:dyDescent="0.35">
      <c r="A2715" s="345"/>
      <c r="B2715" s="346"/>
    </row>
    <row r="2716" spans="1:2" ht="15.5" x14ac:dyDescent="0.35">
      <c r="A2716" s="345"/>
      <c r="B2716" s="346"/>
    </row>
    <row r="2717" spans="1:2" ht="15.5" x14ac:dyDescent="0.35">
      <c r="A2717" s="345"/>
      <c r="B2717" s="346"/>
    </row>
    <row r="2718" spans="1:2" ht="15.5" x14ac:dyDescent="0.35">
      <c r="A2718" s="345"/>
      <c r="B2718" s="346"/>
    </row>
    <row r="2719" spans="1:2" ht="15.5" x14ac:dyDescent="0.35">
      <c r="A2719" s="345"/>
      <c r="B2719" s="346"/>
    </row>
    <row r="2720" spans="1:2" ht="15.5" x14ac:dyDescent="0.35">
      <c r="A2720" s="345"/>
      <c r="B2720" s="346"/>
    </row>
    <row r="2721" spans="1:2" ht="15.5" x14ac:dyDescent="0.35">
      <c r="A2721" s="345"/>
      <c r="B2721" s="346"/>
    </row>
    <row r="2722" spans="1:2" ht="15.5" x14ac:dyDescent="0.35">
      <c r="A2722" s="345"/>
      <c r="B2722" s="346"/>
    </row>
    <row r="2723" spans="1:2" ht="15.5" x14ac:dyDescent="0.35">
      <c r="A2723" s="345"/>
      <c r="B2723" s="346"/>
    </row>
    <row r="2724" spans="1:2" ht="15.5" x14ac:dyDescent="0.35">
      <c r="A2724" s="345"/>
      <c r="B2724" s="346"/>
    </row>
    <row r="2725" spans="1:2" ht="15.5" x14ac:dyDescent="0.35">
      <c r="A2725" s="345"/>
      <c r="B2725" s="346"/>
    </row>
    <row r="2726" spans="1:2" ht="15.5" x14ac:dyDescent="0.35">
      <c r="A2726" s="345"/>
      <c r="B2726" s="346"/>
    </row>
    <row r="2727" spans="1:2" ht="15.5" x14ac:dyDescent="0.35">
      <c r="A2727" s="345"/>
      <c r="B2727" s="346"/>
    </row>
    <row r="2728" spans="1:2" ht="15.5" x14ac:dyDescent="0.35">
      <c r="A2728" s="345"/>
      <c r="B2728" s="346"/>
    </row>
    <row r="2729" spans="1:2" ht="15.5" x14ac:dyDescent="0.35">
      <c r="A2729" s="345"/>
      <c r="B2729" s="346"/>
    </row>
    <row r="2730" spans="1:2" ht="15.5" x14ac:dyDescent="0.35">
      <c r="A2730" s="345"/>
      <c r="B2730" s="346"/>
    </row>
    <row r="2731" spans="1:2" ht="15.5" x14ac:dyDescent="0.35">
      <c r="A2731" s="345"/>
      <c r="B2731" s="346"/>
    </row>
    <row r="2732" spans="1:2" ht="15.5" x14ac:dyDescent="0.35">
      <c r="A2732" s="345"/>
      <c r="B2732" s="346"/>
    </row>
    <row r="2733" spans="1:2" ht="15.5" x14ac:dyDescent="0.35">
      <c r="A2733" s="345"/>
      <c r="B2733" s="346"/>
    </row>
    <row r="2734" spans="1:2" ht="15.5" x14ac:dyDescent="0.35">
      <c r="A2734" s="345"/>
      <c r="B2734" s="346"/>
    </row>
    <row r="2735" spans="1:2" ht="15.5" x14ac:dyDescent="0.35">
      <c r="A2735" s="345"/>
      <c r="B2735" s="346"/>
    </row>
    <row r="2736" spans="1:2" ht="15.5" x14ac:dyDescent="0.35">
      <c r="A2736" s="345"/>
      <c r="B2736" s="346"/>
    </row>
    <row r="2737" spans="1:2" ht="15.5" x14ac:dyDescent="0.35">
      <c r="A2737" s="345"/>
      <c r="B2737" s="346"/>
    </row>
    <row r="2738" spans="1:2" ht="15.5" x14ac:dyDescent="0.35">
      <c r="A2738" s="345"/>
      <c r="B2738" s="346"/>
    </row>
    <row r="2739" spans="1:2" ht="15.5" x14ac:dyDescent="0.35">
      <c r="A2739" s="345"/>
      <c r="B2739" s="346"/>
    </row>
    <row r="2740" spans="1:2" ht="15.5" x14ac:dyDescent="0.35">
      <c r="A2740" s="345"/>
      <c r="B2740" s="346"/>
    </row>
    <row r="2741" spans="1:2" ht="15.5" x14ac:dyDescent="0.35">
      <c r="A2741" s="345"/>
      <c r="B2741" s="346"/>
    </row>
    <row r="2742" spans="1:2" ht="15.5" x14ac:dyDescent="0.35">
      <c r="A2742" s="345"/>
      <c r="B2742" s="346"/>
    </row>
    <row r="2743" spans="1:2" ht="15.5" x14ac:dyDescent="0.35">
      <c r="A2743" s="345"/>
      <c r="B2743" s="346"/>
    </row>
    <row r="2744" spans="1:2" ht="15.5" x14ac:dyDescent="0.35">
      <c r="A2744" s="345"/>
      <c r="B2744" s="346"/>
    </row>
    <row r="2745" spans="1:2" ht="15.5" x14ac:dyDescent="0.35">
      <c r="A2745" s="345"/>
      <c r="B2745" s="346"/>
    </row>
    <row r="2746" spans="1:2" ht="15.5" x14ac:dyDescent="0.35">
      <c r="A2746" s="345"/>
      <c r="B2746" s="346"/>
    </row>
    <row r="2747" spans="1:2" ht="15.5" x14ac:dyDescent="0.35">
      <c r="A2747" s="345"/>
      <c r="B2747" s="346"/>
    </row>
    <row r="2748" spans="1:2" ht="15.5" x14ac:dyDescent="0.35">
      <c r="A2748" s="345"/>
      <c r="B2748" s="346"/>
    </row>
    <row r="2749" spans="1:2" ht="15.5" x14ac:dyDescent="0.35">
      <c r="A2749" s="345"/>
      <c r="B2749" s="346"/>
    </row>
    <row r="2750" spans="1:2" ht="15.5" x14ac:dyDescent="0.35">
      <c r="A2750" s="345"/>
      <c r="B2750" s="346"/>
    </row>
    <row r="2751" spans="1:2" ht="15.5" x14ac:dyDescent="0.35">
      <c r="A2751" s="345"/>
      <c r="B2751" s="346"/>
    </row>
    <row r="2752" spans="1:2" ht="15.5" x14ac:dyDescent="0.35">
      <c r="A2752" s="345"/>
      <c r="B2752" s="346"/>
    </row>
    <row r="2753" spans="1:2" ht="15.5" x14ac:dyDescent="0.35">
      <c r="A2753" s="345"/>
      <c r="B2753" s="346"/>
    </row>
    <row r="2754" spans="1:2" ht="15.5" x14ac:dyDescent="0.35">
      <c r="A2754" s="345"/>
      <c r="B2754" s="346"/>
    </row>
    <row r="2755" spans="1:2" ht="15.5" x14ac:dyDescent="0.35">
      <c r="A2755" s="345"/>
      <c r="B2755" s="346"/>
    </row>
    <row r="2756" spans="1:2" ht="15.5" x14ac:dyDescent="0.35">
      <c r="A2756" s="345"/>
      <c r="B2756" s="346"/>
    </row>
    <row r="2757" spans="1:2" ht="15.5" x14ac:dyDescent="0.35">
      <c r="A2757" s="345"/>
      <c r="B2757" s="346"/>
    </row>
    <row r="2758" spans="1:2" ht="15.5" x14ac:dyDescent="0.35">
      <c r="A2758" s="345"/>
      <c r="B2758" s="346"/>
    </row>
    <row r="2759" spans="1:2" ht="15.5" x14ac:dyDescent="0.35">
      <c r="A2759" s="345"/>
      <c r="B2759" s="346"/>
    </row>
    <row r="2760" spans="1:2" ht="15.5" x14ac:dyDescent="0.35">
      <c r="A2760" s="345"/>
      <c r="B2760" s="346"/>
    </row>
    <row r="2761" spans="1:2" ht="15.5" x14ac:dyDescent="0.35">
      <c r="A2761" s="345"/>
      <c r="B2761" s="346"/>
    </row>
    <row r="2762" spans="1:2" ht="15.5" x14ac:dyDescent="0.35">
      <c r="A2762" s="345"/>
      <c r="B2762" s="346"/>
    </row>
    <row r="2763" spans="1:2" ht="15.5" x14ac:dyDescent="0.35">
      <c r="A2763" s="345"/>
      <c r="B2763" s="346"/>
    </row>
    <row r="2764" spans="1:2" ht="15.5" x14ac:dyDescent="0.35">
      <c r="A2764" s="345"/>
      <c r="B2764" s="346"/>
    </row>
    <row r="2765" spans="1:2" ht="15.5" x14ac:dyDescent="0.35">
      <c r="A2765" s="345"/>
      <c r="B2765" s="346"/>
    </row>
    <row r="2766" spans="1:2" ht="15.5" x14ac:dyDescent="0.35">
      <c r="A2766" s="345"/>
      <c r="B2766" s="346"/>
    </row>
    <row r="2767" spans="1:2" ht="15.5" x14ac:dyDescent="0.35">
      <c r="A2767" s="345"/>
      <c r="B2767" s="346"/>
    </row>
    <row r="2768" spans="1:2" ht="15.5" x14ac:dyDescent="0.35">
      <c r="A2768" s="345"/>
      <c r="B2768" s="346"/>
    </row>
    <row r="2769" spans="1:2" ht="15.5" x14ac:dyDescent="0.35">
      <c r="A2769" s="345"/>
      <c r="B2769" s="346"/>
    </row>
    <row r="2770" spans="1:2" ht="15.5" x14ac:dyDescent="0.35">
      <c r="A2770" s="345"/>
      <c r="B2770" s="346"/>
    </row>
    <row r="2771" spans="1:2" ht="15.5" x14ac:dyDescent="0.35">
      <c r="A2771" s="345"/>
      <c r="B2771" s="346"/>
    </row>
    <row r="2772" spans="1:2" ht="15.5" x14ac:dyDescent="0.35">
      <c r="A2772" s="345"/>
      <c r="B2772" s="346"/>
    </row>
    <row r="2773" spans="1:2" ht="15.5" x14ac:dyDescent="0.35">
      <c r="A2773" s="345"/>
      <c r="B2773" s="346"/>
    </row>
    <row r="2774" spans="1:2" ht="15.5" x14ac:dyDescent="0.35">
      <c r="A2774" s="345"/>
      <c r="B2774" s="346"/>
    </row>
    <row r="2775" spans="1:2" ht="15.5" x14ac:dyDescent="0.35">
      <c r="A2775" s="345"/>
      <c r="B2775" s="346"/>
    </row>
    <row r="2776" spans="1:2" ht="15.5" x14ac:dyDescent="0.35">
      <c r="A2776" s="345"/>
      <c r="B2776" s="346"/>
    </row>
    <row r="2777" spans="1:2" ht="15.5" x14ac:dyDescent="0.35">
      <c r="A2777" s="345"/>
      <c r="B2777" s="346"/>
    </row>
    <row r="2778" spans="1:2" ht="15.5" x14ac:dyDescent="0.35">
      <c r="A2778" s="345"/>
      <c r="B2778" s="346"/>
    </row>
    <row r="2779" spans="1:2" ht="15.5" x14ac:dyDescent="0.35">
      <c r="A2779" s="345"/>
      <c r="B2779" s="346"/>
    </row>
    <row r="2780" spans="1:2" ht="15.5" x14ac:dyDescent="0.35">
      <c r="A2780" s="345"/>
      <c r="B2780" s="346"/>
    </row>
    <row r="2781" spans="1:2" ht="15.5" x14ac:dyDescent="0.35">
      <c r="A2781" s="345"/>
      <c r="B2781" s="346"/>
    </row>
    <row r="2782" spans="1:2" ht="15.5" x14ac:dyDescent="0.35">
      <c r="A2782" s="345"/>
      <c r="B2782" s="346"/>
    </row>
    <row r="2783" spans="1:2" ht="15.5" x14ac:dyDescent="0.35">
      <c r="A2783" s="345"/>
      <c r="B2783" s="346"/>
    </row>
    <row r="2784" spans="1:2" ht="15.5" x14ac:dyDescent="0.35">
      <c r="A2784" s="345"/>
      <c r="B2784" s="346"/>
    </row>
    <row r="2785" spans="1:2" ht="15.5" x14ac:dyDescent="0.35">
      <c r="A2785" s="345"/>
      <c r="B2785" s="346"/>
    </row>
    <row r="2786" spans="1:2" ht="15.5" x14ac:dyDescent="0.35">
      <c r="A2786" s="345"/>
      <c r="B2786" s="346"/>
    </row>
    <row r="2787" spans="1:2" ht="15.5" x14ac:dyDescent="0.35">
      <c r="A2787" s="345"/>
      <c r="B2787" s="346"/>
    </row>
    <row r="2788" spans="1:2" ht="15.5" x14ac:dyDescent="0.35">
      <c r="A2788" s="345"/>
      <c r="B2788" s="346"/>
    </row>
    <row r="2789" spans="1:2" ht="15.5" x14ac:dyDescent="0.35">
      <c r="A2789" s="345"/>
      <c r="B2789" s="346"/>
    </row>
    <row r="2790" spans="1:2" ht="15.5" x14ac:dyDescent="0.35">
      <c r="A2790" s="345"/>
      <c r="B2790" s="346"/>
    </row>
    <row r="2791" spans="1:2" ht="15.5" x14ac:dyDescent="0.35">
      <c r="A2791" s="345"/>
      <c r="B2791" s="346"/>
    </row>
    <row r="2792" spans="1:2" ht="15.5" x14ac:dyDescent="0.35">
      <c r="A2792" s="345"/>
      <c r="B2792" s="346"/>
    </row>
    <row r="2793" spans="1:2" ht="15.5" x14ac:dyDescent="0.35">
      <c r="A2793" s="345"/>
      <c r="B2793" s="346"/>
    </row>
    <row r="2794" spans="1:2" ht="15.5" x14ac:dyDescent="0.35">
      <c r="A2794" s="345"/>
      <c r="B2794" s="346"/>
    </row>
    <row r="2795" spans="1:2" ht="15.5" x14ac:dyDescent="0.35">
      <c r="A2795" s="345"/>
      <c r="B2795" s="346"/>
    </row>
    <row r="2796" spans="1:2" ht="15.5" x14ac:dyDescent="0.35">
      <c r="A2796" s="345"/>
      <c r="B2796" s="346"/>
    </row>
    <row r="2797" spans="1:2" ht="15.5" x14ac:dyDescent="0.35">
      <c r="A2797" s="345"/>
      <c r="B2797" s="346"/>
    </row>
    <row r="2798" spans="1:2" ht="15.5" x14ac:dyDescent="0.35">
      <c r="A2798" s="345"/>
      <c r="B2798" s="346"/>
    </row>
    <row r="2799" spans="1:2" ht="15.5" x14ac:dyDescent="0.35">
      <c r="A2799" s="345"/>
      <c r="B2799" s="346"/>
    </row>
    <row r="2800" spans="1:2" ht="15.5" x14ac:dyDescent="0.35">
      <c r="A2800" s="345"/>
      <c r="B2800" s="346"/>
    </row>
    <row r="2801" spans="1:2" ht="15.5" x14ac:dyDescent="0.35">
      <c r="A2801" s="345"/>
      <c r="B2801" s="346"/>
    </row>
    <row r="2802" spans="1:2" ht="15.5" x14ac:dyDescent="0.35">
      <c r="A2802" s="345"/>
      <c r="B2802" s="346"/>
    </row>
    <row r="2803" spans="1:2" ht="15.5" x14ac:dyDescent="0.35">
      <c r="A2803" s="345"/>
      <c r="B2803" s="346"/>
    </row>
    <row r="2804" spans="1:2" ht="15.5" x14ac:dyDescent="0.35">
      <c r="A2804" s="345"/>
      <c r="B2804" s="346"/>
    </row>
    <row r="2805" spans="1:2" ht="15.5" x14ac:dyDescent="0.35">
      <c r="A2805" s="345"/>
      <c r="B2805" s="346"/>
    </row>
    <row r="2806" spans="1:2" ht="15.5" x14ac:dyDescent="0.35">
      <c r="A2806" s="345"/>
      <c r="B2806" s="346"/>
    </row>
    <row r="2807" spans="1:2" ht="15.5" x14ac:dyDescent="0.35">
      <c r="A2807" s="345"/>
      <c r="B2807" s="346"/>
    </row>
    <row r="2808" spans="1:2" ht="15.5" x14ac:dyDescent="0.35">
      <c r="A2808" s="345"/>
      <c r="B2808" s="346"/>
    </row>
    <row r="2809" spans="1:2" ht="15.5" x14ac:dyDescent="0.35">
      <c r="A2809" s="345"/>
      <c r="B2809" s="346"/>
    </row>
    <row r="2810" spans="1:2" ht="15.5" x14ac:dyDescent="0.35">
      <c r="A2810" s="345"/>
      <c r="B2810" s="346"/>
    </row>
    <row r="2811" spans="1:2" ht="15.5" x14ac:dyDescent="0.35">
      <c r="A2811" s="345"/>
      <c r="B2811" s="346"/>
    </row>
    <row r="2812" spans="1:2" ht="15.5" x14ac:dyDescent="0.35">
      <c r="A2812" s="345"/>
      <c r="B2812" s="346"/>
    </row>
    <row r="2813" spans="1:2" ht="15.5" x14ac:dyDescent="0.35">
      <c r="A2813" s="345"/>
      <c r="B2813" s="346"/>
    </row>
    <row r="2814" spans="1:2" ht="15.5" x14ac:dyDescent="0.35">
      <c r="A2814" s="345"/>
      <c r="B2814" s="346"/>
    </row>
    <row r="2815" spans="1:2" ht="15.5" x14ac:dyDescent="0.35">
      <c r="A2815" s="345"/>
      <c r="B2815" s="346"/>
    </row>
    <row r="2816" spans="1:2" ht="15.5" x14ac:dyDescent="0.35">
      <c r="A2816" s="345"/>
      <c r="B2816" s="346"/>
    </row>
    <row r="2817" spans="1:2" ht="15.5" x14ac:dyDescent="0.35">
      <c r="A2817" s="345"/>
      <c r="B2817" s="346"/>
    </row>
    <row r="2818" spans="1:2" ht="15.5" x14ac:dyDescent="0.35">
      <c r="A2818" s="345"/>
      <c r="B2818" s="346"/>
    </row>
    <row r="2819" spans="1:2" ht="15.5" x14ac:dyDescent="0.35">
      <c r="A2819" s="345"/>
      <c r="B2819" s="346"/>
    </row>
    <row r="2820" spans="1:2" ht="15.5" x14ac:dyDescent="0.35">
      <c r="A2820" s="345"/>
      <c r="B2820" s="346"/>
    </row>
    <row r="2821" spans="1:2" ht="15.5" x14ac:dyDescent="0.35">
      <c r="A2821" s="345"/>
      <c r="B2821" s="346"/>
    </row>
    <row r="2822" spans="1:2" ht="15.5" x14ac:dyDescent="0.35">
      <c r="A2822" s="345"/>
      <c r="B2822" s="346"/>
    </row>
    <row r="2823" spans="1:2" ht="15.5" x14ac:dyDescent="0.35">
      <c r="A2823" s="345"/>
      <c r="B2823" s="346"/>
    </row>
    <row r="2824" spans="1:2" ht="15.5" x14ac:dyDescent="0.35">
      <c r="A2824" s="345"/>
      <c r="B2824" s="346"/>
    </row>
    <row r="2825" spans="1:2" ht="15.5" x14ac:dyDescent="0.35">
      <c r="A2825" s="345"/>
      <c r="B2825" s="346"/>
    </row>
    <row r="2826" spans="1:2" ht="15.5" x14ac:dyDescent="0.35">
      <c r="A2826" s="345"/>
      <c r="B2826" s="346"/>
    </row>
    <row r="2827" spans="1:2" ht="15.5" x14ac:dyDescent="0.35">
      <c r="A2827" s="345"/>
      <c r="B2827" s="346"/>
    </row>
    <row r="2828" spans="1:2" ht="15.5" x14ac:dyDescent="0.35">
      <c r="A2828" s="345"/>
      <c r="B2828" s="346"/>
    </row>
    <row r="2829" spans="1:2" ht="15.5" x14ac:dyDescent="0.35">
      <c r="A2829" s="345"/>
      <c r="B2829" s="346"/>
    </row>
    <row r="2830" spans="1:2" ht="15.5" x14ac:dyDescent="0.35">
      <c r="A2830" s="345"/>
      <c r="B2830" s="346"/>
    </row>
    <row r="2831" spans="1:2" ht="15.5" x14ac:dyDescent="0.35">
      <c r="A2831" s="345"/>
      <c r="B2831" s="346"/>
    </row>
    <row r="2832" spans="1:2" ht="15.5" x14ac:dyDescent="0.35">
      <c r="A2832" s="345"/>
      <c r="B2832" s="346"/>
    </row>
    <row r="2833" spans="1:2" ht="15.5" x14ac:dyDescent="0.35">
      <c r="A2833" s="345"/>
      <c r="B2833" s="346"/>
    </row>
    <row r="2834" spans="1:2" ht="15.5" x14ac:dyDescent="0.35">
      <c r="A2834" s="345"/>
      <c r="B2834" s="346"/>
    </row>
    <row r="2835" spans="1:2" ht="15.5" x14ac:dyDescent="0.35">
      <c r="A2835" s="345"/>
      <c r="B2835" s="346"/>
    </row>
    <row r="2836" spans="1:2" ht="15.5" x14ac:dyDescent="0.35">
      <c r="A2836" s="345"/>
      <c r="B2836" s="346"/>
    </row>
    <row r="2837" spans="1:2" ht="15.5" x14ac:dyDescent="0.35">
      <c r="A2837" s="345"/>
      <c r="B2837" s="346"/>
    </row>
    <row r="2838" spans="1:2" ht="15.5" x14ac:dyDescent="0.35">
      <c r="A2838" s="345"/>
      <c r="B2838" s="346"/>
    </row>
    <row r="2839" spans="1:2" ht="15.5" x14ac:dyDescent="0.35">
      <c r="A2839" s="345"/>
      <c r="B2839" s="346"/>
    </row>
    <row r="2840" spans="1:2" ht="15.5" x14ac:dyDescent="0.35">
      <c r="A2840" s="345"/>
      <c r="B2840" s="346"/>
    </row>
    <row r="2841" spans="1:2" ht="15.5" x14ac:dyDescent="0.35">
      <c r="A2841" s="345"/>
      <c r="B2841" s="346"/>
    </row>
    <row r="2842" spans="1:2" ht="15.5" x14ac:dyDescent="0.35">
      <c r="A2842" s="345"/>
      <c r="B2842" s="346"/>
    </row>
    <row r="2843" spans="1:2" ht="15.5" x14ac:dyDescent="0.35">
      <c r="A2843" s="345"/>
      <c r="B2843" s="346"/>
    </row>
    <row r="2844" spans="1:2" ht="15.5" x14ac:dyDescent="0.35">
      <c r="A2844" s="345"/>
      <c r="B2844" s="346"/>
    </row>
    <row r="2845" spans="1:2" ht="15.5" x14ac:dyDescent="0.35">
      <c r="A2845" s="345"/>
      <c r="B2845" s="346"/>
    </row>
    <row r="2846" spans="1:2" ht="15.5" x14ac:dyDescent="0.35">
      <c r="A2846" s="345"/>
      <c r="B2846" s="346"/>
    </row>
    <row r="2847" spans="1:2" ht="15.5" x14ac:dyDescent="0.35">
      <c r="A2847" s="345"/>
      <c r="B2847" s="346"/>
    </row>
    <row r="2848" spans="1:2" ht="15.5" x14ac:dyDescent="0.35">
      <c r="A2848" s="345"/>
      <c r="B2848" s="346"/>
    </row>
    <row r="2849" spans="1:2" ht="15.5" x14ac:dyDescent="0.35">
      <c r="A2849" s="345"/>
      <c r="B2849" s="346"/>
    </row>
    <row r="2850" spans="1:2" ht="15.5" x14ac:dyDescent="0.35">
      <c r="A2850" s="345"/>
      <c r="B2850" s="346"/>
    </row>
    <row r="2851" spans="1:2" ht="15.5" x14ac:dyDescent="0.35">
      <c r="A2851" s="345"/>
      <c r="B2851" s="346"/>
    </row>
    <row r="2852" spans="1:2" ht="15.5" x14ac:dyDescent="0.35">
      <c r="A2852" s="345"/>
      <c r="B2852" s="346"/>
    </row>
    <row r="2853" spans="1:2" ht="15.5" x14ac:dyDescent="0.35">
      <c r="A2853" s="345"/>
      <c r="B2853" s="346"/>
    </row>
    <row r="2854" spans="1:2" ht="15.5" x14ac:dyDescent="0.35">
      <c r="A2854" s="345"/>
      <c r="B2854" s="346"/>
    </row>
    <row r="2855" spans="1:2" ht="15.5" x14ac:dyDescent="0.35">
      <c r="A2855" s="345"/>
      <c r="B2855" s="346"/>
    </row>
    <row r="2856" spans="1:2" ht="15.5" x14ac:dyDescent="0.35">
      <c r="A2856" s="345"/>
      <c r="B2856" s="346"/>
    </row>
    <row r="2857" spans="1:2" ht="15.5" x14ac:dyDescent="0.35">
      <c r="A2857" s="345"/>
      <c r="B2857" s="346"/>
    </row>
    <row r="2858" spans="1:2" ht="15.5" x14ac:dyDescent="0.35">
      <c r="A2858" s="345"/>
      <c r="B2858" s="346"/>
    </row>
    <row r="2859" spans="1:2" ht="15.5" x14ac:dyDescent="0.35">
      <c r="A2859" s="345"/>
      <c r="B2859" s="346"/>
    </row>
    <row r="2860" spans="1:2" ht="15.5" x14ac:dyDescent="0.35">
      <c r="A2860" s="345"/>
      <c r="B2860" s="346"/>
    </row>
    <row r="2861" spans="1:2" ht="15.5" x14ac:dyDescent="0.35">
      <c r="A2861" s="345"/>
      <c r="B2861" s="346"/>
    </row>
    <row r="2862" spans="1:2" ht="15.5" x14ac:dyDescent="0.35">
      <c r="A2862" s="345"/>
      <c r="B2862" s="346"/>
    </row>
    <row r="2863" spans="1:2" ht="15.5" x14ac:dyDescent="0.35">
      <c r="A2863" s="345"/>
      <c r="B2863" s="346"/>
    </row>
    <row r="2864" spans="1:2" ht="15.5" x14ac:dyDescent="0.35">
      <c r="A2864" s="345"/>
      <c r="B2864" s="346"/>
    </row>
    <row r="2865" spans="1:2" ht="15.5" x14ac:dyDescent="0.35">
      <c r="A2865" s="345"/>
      <c r="B2865" s="346"/>
    </row>
    <row r="2866" spans="1:2" ht="15.5" x14ac:dyDescent="0.35">
      <c r="A2866" s="345"/>
      <c r="B2866" s="346"/>
    </row>
    <row r="2867" spans="1:2" ht="15.5" x14ac:dyDescent="0.35">
      <c r="A2867" s="345"/>
      <c r="B2867" s="346"/>
    </row>
    <row r="2868" spans="1:2" ht="15.5" x14ac:dyDescent="0.35">
      <c r="A2868" s="345"/>
      <c r="B2868" s="346"/>
    </row>
    <row r="2869" spans="1:2" ht="15.5" x14ac:dyDescent="0.35">
      <c r="A2869" s="345"/>
      <c r="B2869" s="346"/>
    </row>
    <row r="2870" spans="1:2" ht="15.5" x14ac:dyDescent="0.35">
      <c r="A2870" s="345"/>
      <c r="B2870" s="346"/>
    </row>
    <row r="2871" spans="1:2" ht="15.5" x14ac:dyDescent="0.35">
      <c r="A2871" s="345"/>
      <c r="B2871" s="346"/>
    </row>
    <row r="2872" spans="1:2" ht="15.5" x14ac:dyDescent="0.35">
      <c r="A2872" s="345"/>
      <c r="B2872" s="346"/>
    </row>
    <row r="2873" spans="1:2" ht="15.5" x14ac:dyDescent="0.35">
      <c r="A2873" s="345"/>
      <c r="B2873" s="346"/>
    </row>
    <row r="2874" spans="1:2" ht="15.5" x14ac:dyDescent="0.35">
      <c r="A2874" s="345"/>
      <c r="B2874" s="346"/>
    </row>
    <row r="2875" spans="1:2" ht="15.5" x14ac:dyDescent="0.35">
      <c r="A2875" s="345"/>
      <c r="B2875" s="346"/>
    </row>
    <row r="2876" spans="1:2" ht="15.5" x14ac:dyDescent="0.35">
      <c r="A2876" s="345"/>
      <c r="B2876" s="346"/>
    </row>
    <row r="2877" spans="1:2" ht="15.5" x14ac:dyDescent="0.35">
      <c r="A2877" s="345"/>
      <c r="B2877" s="346"/>
    </row>
    <row r="2878" spans="1:2" ht="15.5" x14ac:dyDescent="0.35">
      <c r="A2878" s="345"/>
      <c r="B2878" s="346"/>
    </row>
    <row r="2879" spans="1:2" ht="15.5" x14ac:dyDescent="0.35">
      <c r="A2879" s="345"/>
      <c r="B2879" s="346"/>
    </row>
    <row r="2880" spans="1:2" ht="15.5" x14ac:dyDescent="0.35">
      <c r="A2880" s="345"/>
      <c r="B2880" s="346"/>
    </row>
    <row r="2881" spans="1:2" ht="15.5" x14ac:dyDescent="0.35">
      <c r="A2881" s="345"/>
      <c r="B2881" s="346"/>
    </row>
    <row r="2882" spans="1:2" ht="15.5" x14ac:dyDescent="0.35">
      <c r="A2882" s="345"/>
      <c r="B2882" s="346"/>
    </row>
    <row r="2883" spans="1:2" ht="15.5" x14ac:dyDescent="0.35">
      <c r="A2883" s="345"/>
      <c r="B2883" s="346"/>
    </row>
    <row r="2884" spans="1:2" ht="15.5" x14ac:dyDescent="0.35">
      <c r="A2884" s="345"/>
      <c r="B2884" s="346"/>
    </row>
    <row r="2885" spans="1:2" ht="15.5" x14ac:dyDescent="0.35">
      <c r="A2885" s="345"/>
      <c r="B2885" s="346"/>
    </row>
    <row r="2886" spans="1:2" ht="15.5" x14ac:dyDescent="0.35">
      <c r="A2886" s="345"/>
      <c r="B2886" s="346"/>
    </row>
    <row r="2887" spans="1:2" ht="15.5" x14ac:dyDescent="0.35">
      <c r="A2887" s="345"/>
      <c r="B2887" s="346"/>
    </row>
    <row r="2888" spans="1:2" ht="15.5" x14ac:dyDescent="0.35">
      <c r="A2888" s="345"/>
      <c r="B2888" s="346"/>
    </row>
    <row r="2889" spans="1:2" ht="15.5" x14ac:dyDescent="0.35">
      <c r="A2889" s="345"/>
      <c r="B2889" s="346"/>
    </row>
    <row r="2890" spans="1:2" ht="15.5" x14ac:dyDescent="0.35">
      <c r="A2890" s="345"/>
      <c r="B2890" s="346"/>
    </row>
    <row r="2891" spans="1:2" ht="15.5" x14ac:dyDescent="0.35">
      <c r="A2891" s="345"/>
      <c r="B2891" s="346"/>
    </row>
    <row r="2892" spans="1:2" ht="15.5" x14ac:dyDescent="0.35">
      <c r="A2892" s="345"/>
      <c r="B2892" s="346"/>
    </row>
    <row r="2893" spans="1:2" ht="15.5" x14ac:dyDescent="0.35">
      <c r="A2893" s="345"/>
      <c r="B2893" s="346"/>
    </row>
    <row r="2894" spans="1:2" ht="15.5" x14ac:dyDescent="0.35">
      <c r="A2894" s="345"/>
      <c r="B2894" s="346"/>
    </row>
    <row r="2895" spans="1:2" ht="15.5" x14ac:dyDescent="0.35">
      <c r="A2895" s="345"/>
      <c r="B2895" s="346"/>
    </row>
    <row r="2896" spans="1:2" ht="15.5" x14ac:dyDescent="0.35">
      <c r="A2896" s="345"/>
      <c r="B2896" s="346"/>
    </row>
    <row r="2897" spans="1:2" ht="15.5" x14ac:dyDescent="0.35">
      <c r="A2897" s="345"/>
      <c r="B2897" s="346"/>
    </row>
    <row r="2898" spans="1:2" ht="15.5" x14ac:dyDescent="0.35">
      <c r="A2898" s="345"/>
      <c r="B2898" s="346"/>
    </row>
    <row r="2899" spans="1:2" ht="15.5" x14ac:dyDescent="0.35">
      <c r="A2899" s="345"/>
      <c r="B2899" s="346"/>
    </row>
    <row r="2900" spans="1:2" ht="15.5" x14ac:dyDescent="0.35">
      <c r="A2900" s="345"/>
      <c r="B2900" s="346"/>
    </row>
    <row r="2901" spans="1:2" ht="15.5" x14ac:dyDescent="0.35">
      <c r="A2901" s="345"/>
      <c r="B2901" s="346"/>
    </row>
    <row r="2902" spans="1:2" ht="15.5" x14ac:dyDescent="0.35">
      <c r="A2902" s="345"/>
      <c r="B2902" s="346"/>
    </row>
    <row r="2903" spans="1:2" ht="15.5" x14ac:dyDescent="0.35">
      <c r="A2903" s="345"/>
      <c r="B2903" s="346"/>
    </row>
    <row r="2904" spans="1:2" ht="15.5" x14ac:dyDescent="0.35">
      <c r="A2904" s="345"/>
      <c r="B2904" s="346"/>
    </row>
    <row r="2905" spans="1:2" ht="15.5" x14ac:dyDescent="0.35">
      <c r="A2905" s="345"/>
      <c r="B2905" s="346"/>
    </row>
    <row r="2906" spans="1:2" ht="15.5" x14ac:dyDescent="0.35">
      <c r="A2906" s="345"/>
      <c r="B2906" s="346"/>
    </row>
    <row r="2907" spans="1:2" ht="15.5" x14ac:dyDescent="0.35">
      <c r="A2907" s="345"/>
      <c r="B2907" s="346"/>
    </row>
    <row r="2908" spans="1:2" ht="15.5" x14ac:dyDescent="0.35">
      <c r="A2908" s="345"/>
      <c r="B2908" s="346"/>
    </row>
    <row r="2909" spans="1:2" ht="15.5" x14ac:dyDescent="0.35">
      <c r="A2909" s="345"/>
      <c r="B2909" s="346"/>
    </row>
    <row r="2910" spans="1:2" ht="15.5" x14ac:dyDescent="0.35">
      <c r="A2910" s="345"/>
      <c r="B2910" s="346"/>
    </row>
    <row r="2911" spans="1:2" ht="15.5" x14ac:dyDescent="0.35">
      <c r="A2911" s="345"/>
      <c r="B2911" s="346"/>
    </row>
    <row r="2912" spans="1:2" ht="15.5" x14ac:dyDescent="0.35">
      <c r="A2912" s="345"/>
      <c r="B2912" s="346"/>
    </row>
    <row r="2913" spans="1:2" ht="15.5" x14ac:dyDescent="0.35">
      <c r="A2913" s="345"/>
      <c r="B2913" s="346"/>
    </row>
    <row r="2914" spans="1:2" ht="15.5" x14ac:dyDescent="0.35">
      <c r="A2914" s="345"/>
      <c r="B2914" s="346"/>
    </row>
    <row r="2915" spans="1:2" ht="15.5" x14ac:dyDescent="0.35">
      <c r="A2915" s="345"/>
      <c r="B2915" s="346"/>
    </row>
    <row r="2916" spans="1:2" ht="15.5" x14ac:dyDescent="0.35">
      <c r="A2916" s="345"/>
      <c r="B2916" s="346"/>
    </row>
    <row r="2917" spans="1:2" ht="15.5" x14ac:dyDescent="0.35">
      <c r="A2917" s="345"/>
      <c r="B2917" s="346"/>
    </row>
    <row r="2918" spans="1:2" ht="15.5" x14ac:dyDescent="0.35">
      <c r="A2918" s="345"/>
      <c r="B2918" s="346"/>
    </row>
    <row r="2919" spans="1:2" ht="15.5" x14ac:dyDescent="0.35">
      <c r="A2919" s="345"/>
      <c r="B2919" s="346"/>
    </row>
    <row r="2920" spans="1:2" ht="15.5" x14ac:dyDescent="0.35">
      <c r="A2920" s="345"/>
      <c r="B2920" s="346"/>
    </row>
    <row r="2921" spans="1:2" ht="15.5" x14ac:dyDescent="0.35">
      <c r="A2921" s="345"/>
      <c r="B2921" s="346"/>
    </row>
    <row r="2922" spans="1:2" ht="15.5" x14ac:dyDescent="0.35">
      <c r="A2922" s="345"/>
      <c r="B2922" s="346"/>
    </row>
    <row r="2923" spans="1:2" ht="15.5" x14ac:dyDescent="0.35">
      <c r="A2923" s="345"/>
      <c r="B2923" s="346"/>
    </row>
    <row r="2924" spans="1:2" ht="15.5" x14ac:dyDescent="0.35">
      <c r="A2924" s="345"/>
      <c r="B2924" s="346"/>
    </row>
    <row r="2925" spans="1:2" ht="15.5" x14ac:dyDescent="0.35">
      <c r="A2925" s="345"/>
      <c r="B2925" s="346"/>
    </row>
    <row r="2926" spans="1:2" ht="15.5" x14ac:dyDescent="0.35">
      <c r="A2926" s="345"/>
      <c r="B2926" s="346"/>
    </row>
    <row r="2927" spans="1:2" ht="15.5" x14ac:dyDescent="0.35">
      <c r="A2927" s="345"/>
      <c r="B2927" s="346"/>
    </row>
    <row r="2928" spans="1:2" ht="15.5" x14ac:dyDescent="0.35">
      <c r="A2928" s="345"/>
      <c r="B2928" s="346"/>
    </row>
    <row r="2929" spans="1:2" ht="15.5" x14ac:dyDescent="0.35">
      <c r="A2929" s="345"/>
      <c r="B2929" s="346"/>
    </row>
    <row r="2930" spans="1:2" ht="15.5" x14ac:dyDescent="0.35">
      <c r="A2930" s="345"/>
      <c r="B2930" s="346"/>
    </row>
    <row r="2931" spans="1:2" ht="15.5" x14ac:dyDescent="0.35">
      <c r="A2931" s="345"/>
      <c r="B2931" s="346"/>
    </row>
    <row r="2932" spans="1:2" ht="15.5" x14ac:dyDescent="0.35">
      <c r="A2932" s="345"/>
      <c r="B2932" s="346"/>
    </row>
    <row r="2933" spans="1:2" ht="15.5" x14ac:dyDescent="0.35">
      <c r="A2933" s="345"/>
      <c r="B2933" s="346"/>
    </row>
    <row r="2934" spans="1:2" ht="15.5" x14ac:dyDescent="0.35">
      <c r="A2934" s="345"/>
      <c r="B2934" s="346"/>
    </row>
    <row r="2935" spans="1:2" ht="15.5" x14ac:dyDescent="0.35">
      <c r="A2935" s="345"/>
      <c r="B2935" s="346"/>
    </row>
    <row r="2936" spans="1:2" ht="15.5" x14ac:dyDescent="0.35">
      <c r="A2936" s="345"/>
      <c r="B2936" s="346"/>
    </row>
    <row r="2937" spans="1:2" ht="15.5" x14ac:dyDescent="0.35">
      <c r="A2937" s="345"/>
      <c r="B2937" s="346"/>
    </row>
    <row r="2938" spans="1:2" ht="15.5" x14ac:dyDescent="0.35">
      <c r="A2938" s="345"/>
      <c r="B2938" s="346"/>
    </row>
    <row r="2939" spans="1:2" ht="15.5" x14ac:dyDescent="0.35">
      <c r="A2939" s="345"/>
      <c r="B2939" s="346"/>
    </row>
    <row r="2940" spans="1:2" ht="15.5" x14ac:dyDescent="0.35">
      <c r="A2940" s="345"/>
      <c r="B2940" s="346"/>
    </row>
    <row r="2941" spans="1:2" ht="15.5" x14ac:dyDescent="0.35">
      <c r="A2941" s="345"/>
      <c r="B2941" s="346"/>
    </row>
    <row r="2942" spans="1:2" ht="15.5" x14ac:dyDescent="0.35">
      <c r="A2942" s="345"/>
      <c r="B2942" s="346"/>
    </row>
    <row r="2943" spans="1:2" ht="15.5" x14ac:dyDescent="0.35">
      <c r="A2943" s="345"/>
      <c r="B2943" s="346"/>
    </row>
    <row r="2944" spans="1:2" ht="15.5" x14ac:dyDescent="0.35">
      <c r="A2944" s="345"/>
      <c r="B2944" s="346"/>
    </row>
    <row r="2945" spans="1:2" ht="15.5" x14ac:dyDescent="0.35">
      <c r="A2945" s="345"/>
      <c r="B2945" s="346"/>
    </row>
    <row r="2946" spans="1:2" ht="15.5" x14ac:dyDescent="0.35">
      <c r="A2946" s="345"/>
      <c r="B2946" s="346"/>
    </row>
    <row r="2947" spans="1:2" ht="15.5" x14ac:dyDescent="0.35">
      <c r="A2947" s="345"/>
      <c r="B2947" s="346"/>
    </row>
    <row r="2948" spans="1:2" ht="15.5" x14ac:dyDescent="0.35">
      <c r="A2948" s="345"/>
      <c r="B2948" s="346"/>
    </row>
    <row r="2949" spans="1:2" ht="15.5" x14ac:dyDescent="0.35">
      <c r="A2949" s="345"/>
      <c r="B2949" s="346"/>
    </row>
    <row r="2950" spans="1:2" ht="15.5" x14ac:dyDescent="0.35">
      <c r="A2950" s="345"/>
      <c r="B2950" s="346"/>
    </row>
    <row r="2951" spans="1:2" ht="15.5" x14ac:dyDescent="0.35">
      <c r="A2951" s="345"/>
      <c r="B2951" s="346"/>
    </row>
    <row r="2952" spans="1:2" ht="15.5" x14ac:dyDescent="0.35">
      <c r="A2952" s="345"/>
      <c r="B2952" s="346"/>
    </row>
    <row r="2953" spans="1:2" ht="15.5" x14ac:dyDescent="0.35">
      <c r="A2953" s="345"/>
      <c r="B2953" s="346"/>
    </row>
    <row r="2954" spans="1:2" ht="15.5" x14ac:dyDescent="0.35">
      <c r="A2954" s="345"/>
      <c r="B2954" s="346"/>
    </row>
    <row r="2955" spans="1:2" ht="15.5" x14ac:dyDescent="0.35">
      <c r="A2955" s="345"/>
      <c r="B2955" s="346"/>
    </row>
    <row r="2956" spans="1:2" ht="15.5" x14ac:dyDescent="0.35">
      <c r="A2956" s="345"/>
      <c r="B2956" s="346"/>
    </row>
    <row r="2957" spans="1:2" ht="15.5" x14ac:dyDescent="0.35">
      <c r="A2957" s="345"/>
      <c r="B2957" s="346"/>
    </row>
    <row r="2958" spans="1:2" ht="15.5" x14ac:dyDescent="0.35">
      <c r="A2958" s="345"/>
      <c r="B2958" s="346"/>
    </row>
    <row r="2959" spans="1:2" ht="15.5" x14ac:dyDescent="0.35">
      <c r="A2959" s="345"/>
      <c r="B2959" s="346"/>
    </row>
    <row r="2960" spans="1:2" ht="15.5" x14ac:dyDescent="0.35">
      <c r="A2960" s="345"/>
      <c r="B2960" s="346"/>
    </row>
    <row r="2961" spans="1:2" ht="15.5" x14ac:dyDescent="0.35">
      <c r="A2961" s="345"/>
      <c r="B2961" s="346"/>
    </row>
    <row r="2962" spans="1:2" ht="15.5" x14ac:dyDescent="0.35">
      <c r="A2962" s="345"/>
      <c r="B2962" s="346"/>
    </row>
    <row r="2963" spans="1:2" ht="15.5" x14ac:dyDescent="0.35">
      <c r="A2963" s="345"/>
      <c r="B2963" s="346"/>
    </row>
    <row r="2964" spans="1:2" ht="15.5" x14ac:dyDescent="0.35">
      <c r="A2964" s="345"/>
      <c r="B2964" s="346"/>
    </row>
    <row r="2965" spans="1:2" ht="15.5" x14ac:dyDescent="0.35">
      <c r="A2965" s="345"/>
      <c r="B2965" s="346"/>
    </row>
    <row r="2966" spans="1:2" ht="15.5" x14ac:dyDescent="0.35">
      <c r="A2966" s="345"/>
      <c r="B2966" s="346"/>
    </row>
    <row r="2967" spans="1:2" ht="15.5" x14ac:dyDescent="0.35">
      <c r="A2967" s="345"/>
      <c r="B2967" s="346"/>
    </row>
    <row r="2968" spans="1:2" ht="15.5" x14ac:dyDescent="0.35">
      <c r="A2968" s="345"/>
      <c r="B2968" s="346"/>
    </row>
    <row r="2969" spans="1:2" ht="15.5" x14ac:dyDescent="0.35">
      <c r="A2969" s="345"/>
      <c r="B2969" s="346"/>
    </row>
    <row r="2970" spans="1:2" ht="15.5" x14ac:dyDescent="0.35">
      <c r="A2970" s="345"/>
      <c r="B2970" s="346"/>
    </row>
    <row r="2971" spans="1:2" ht="15.5" x14ac:dyDescent="0.35">
      <c r="A2971" s="345"/>
      <c r="B2971" s="346"/>
    </row>
    <row r="2972" spans="1:2" ht="15.5" x14ac:dyDescent="0.35">
      <c r="A2972" s="345"/>
      <c r="B2972" s="346"/>
    </row>
    <row r="2973" spans="1:2" ht="15.5" x14ac:dyDescent="0.35">
      <c r="A2973" s="345"/>
      <c r="B2973" s="346"/>
    </row>
    <row r="2974" spans="1:2" ht="15.5" x14ac:dyDescent="0.35">
      <c r="A2974" s="345"/>
      <c r="B2974" s="346"/>
    </row>
    <row r="2975" spans="1:2" ht="15.5" x14ac:dyDescent="0.35">
      <c r="A2975" s="345"/>
      <c r="B2975" s="346"/>
    </row>
    <row r="2976" spans="1:2" ht="15.5" x14ac:dyDescent="0.35">
      <c r="A2976" s="345"/>
      <c r="B2976" s="346"/>
    </row>
    <row r="2977" spans="1:2" ht="15.5" x14ac:dyDescent="0.35">
      <c r="A2977" s="345"/>
      <c r="B2977" s="346"/>
    </row>
    <row r="2978" spans="1:2" ht="15.5" x14ac:dyDescent="0.35">
      <c r="A2978" s="345"/>
      <c r="B2978" s="346"/>
    </row>
    <row r="2979" spans="1:2" ht="15.5" x14ac:dyDescent="0.35">
      <c r="A2979" s="345"/>
      <c r="B2979" s="346"/>
    </row>
    <row r="2980" spans="1:2" ht="15.5" x14ac:dyDescent="0.35">
      <c r="A2980" s="345"/>
      <c r="B2980" s="346"/>
    </row>
    <row r="2981" spans="1:2" ht="15.5" x14ac:dyDescent="0.35">
      <c r="A2981" s="345"/>
      <c r="B2981" s="346"/>
    </row>
    <row r="2982" spans="1:2" ht="15.5" x14ac:dyDescent="0.35">
      <c r="A2982" s="345"/>
      <c r="B2982" s="346"/>
    </row>
    <row r="2983" spans="1:2" ht="15.5" x14ac:dyDescent="0.35">
      <c r="A2983" s="345"/>
      <c r="B2983" s="346"/>
    </row>
    <row r="2984" spans="1:2" ht="15.5" x14ac:dyDescent="0.35">
      <c r="A2984" s="345"/>
      <c r="B2984" s="346"/>
    </row>
    <row r="2985" spans="1:2" ht="15.5" x14ac:dyDescent="0.35">
      <c r="A2985" s="345"/>
      <c r="B2985" s="346"/>
    </row>
    <row r="2986" spans="1:2" ht="15.5" x14ac:dyDescent="0.35">
      <c r="A2986" s="345"/>
      <c r="B2986" s="346"/>
    </row>
    <row r="2987" spans="1:2" ht="15.5" x14ac:dyDescent="0.35">
      <c r="A2987" s="345"/>
      <c r="B2987" s="346"/>
    </row>
    <row r="2988" spans="1:2" ht="15.5" x14ac:dyDescent="0.35">
      <c r="A2988" s="345"/>
      <c r="B2988" s="346"/>
    </row>
    <row r="2989" spans="1:2" ht="15.5" x14ac:dyDescent="0.35">
      <c r="A2989" s="345"/>
      <c r="B2989" s="346"/>
    </row>
    <row r="2990" spans="1:2" ht="15.5" x14ac:dyDescent="0.35">
      <c r="A2990" s="345"/>
      <c r="B2990" s="346"/>
    </row>
    <row r="2991" spans="1:2" ht="15.5" x14ac:dyDescent="0.35">
      <c r="A2991" s="345"/>
      <c r="B2991" s="346"/>
    </row>
    <row r="2992" spans="1:2" ht="15.5" x14ac:dyDescent="0.35">
      <c r="A2992" s="345"/>
      <c r="B2992" s="346"/>
    </row>
    <row r="2993" spans="1:2" ht="15.5" x14ac:dyDescent="0.35">
      <c r="A2993" s="345"/>
      <c r="B2993" s="346"/>
    </row>
    <row r="2994" spans="1:2" ht="15.5" x14ac:dyDescent="0.35">
      <c r="A2994" s="345"/>
      <c r="B2994" s="346"/>
    </row>
    <row r="2995" spans="1:2" ht="15.5" x14ac:dyDescent="0.35">
      <c r="A2995" s="345"/>
      <c r="B2995" s="346"/>
    </row>
    <row r="2996" spans="1:2" ht="15.5" x14ac:dyDescent="0.35">
      <c r="A2996" s="345"/>
      <c r="B2996" s="346"/>
    </row>
    <row r="2997" spans="1:2" ht="15.5" x14ac:dyDescent="0.35">
      <c r="A2997" s="345"/>
      <c r="B2997" s="346"/>
    </row>
    <row r="2998" spans="1:2" ht="15.5" x14ac:dyDescent="0.35">
      <c r="A2998" s="345"/>
      <c r="B2998" s="346"/>
    </row>
    <row r="2999" spans="1:2" ht="15.5" x14ac:dyDescent="0.35">
      <c r="A2999" s="345"/>
      <c r="B2999" s="346"/>
    </row>
    <row r="3000" spans="1:2" ht="15.5" x14ac:dyDescent="0.35">
      <c r="A3000" s="345"/>
      <c r="B3000" s="346"/>
    </row>
    <row r="3001" spans="1:2" ht="15.5" x14ac:dyDescent="0.35">
      <c r="A3001" s="345"/>
      <c r="B3001" s="346"/>
    </row>
    <row r="3002" spans="1:2" ht="15.5" x14ac:dyDescent="0.35">
      <c r="A3002" s="345"/>
      <c r="B3002" s="346"/>
    </row>
    <row r="3003" spans="1:2" ht="15.5" x14ac:dyDescent="0.35">
      <c r="A3003" s="345"/>
      <c r="B3003" s="346"/>
    </row>
    <row r="3004" spans="1:2" ht="15.5" x14ac:dyDescent="0.35">
      <c r="A3004" s="345"/>
      <c r="B3004" s="346"/>
    </row>
    <row r="3005" spans="1:2" ht="15.5" x14ac:dyDescent="0.35">
      <c r="A3005" s="345"/>
      <c r="B3005" s="346"/>
    </row>
    <row r="3006" spans="1:2" ht="15.5" x14ac:dyDescent="0.35">
      <c r="A3006" s="345"/>
      <c r="B3006" s="346"/>
    </row>
    <row r="3007" spans="1:2" ht="15.5" x14ac:dyDescent="0.35">
      <c r="A3007" s="345"/>
      <c r="B3007" s="346"/>
    </row>
    <row r="3008" spans="1:2" ht="15.5" x14ac:dyDescent="0.35">
      <c r="A3008" s="345"/>
      <c r="B3008" s="346"/>
    </row>
    <row r="3009" spans="1:2" ht="15.5" x14ac:dyDescent="0.35">
      <c r="A3009" s="345"/>
      <c r="B3009" s="346"/>
    </row>
    <row r="3010" spans="1:2" ht="15.5" x14ac:dyDescent="0.35">
      <c r="A3010" s="345"/>
      <c r="B3010" s="346"/>
    </row>
    <row r="3011" spans="1:2" ht="15.5" x14ac:dyDescent="0.35">
      <c r="A3011" s="345"/>
      <c r="B3011" s="346"/>
    </row>
    <row r="3012" spans="1:2" ht="15.5" x14ac:dyDescent="0.35">
      <c r="A3012" s="345"/>
      <c r="B3012" s="346"/>
    </row>
    <row r="3013" spans="1:2" ht="15.5" x14ac:dyDescent="0.35">
      <c r="A3013" s="345"/>
      <c r="B3013" s="346"/>
    </row>
    <row r="3014" spans="1:2" ht="15.5" x14ac:dyDescent="0.35">
      <c r="A3014" s="345"/>
      <c r="B3014" s="346"/>
    </row>
    <row r="3015" spans="1:2" ht="15.5" x14ac:dyDescent="0.35">
      <c r="A3015" s="345"/>
      <c r="B3015" s="346"/>
    </row>
    <row r="3016" spans="1:2" ht="15.5" x14ac:dyDescent="0.35">
      <c r="A3016" s="345"/>
      <c r="B3016" s="346"/>
    </row>
    <row r="3017" spans="1:2" ht="15.5" x14ac:dyDescent="0.35">
      <c r="A3017" s="345"/>
      <c r="B3017" s="346"/>
    </row>
    <row r="3018" spans="1:2" ht="15.5" x14ac:dyDescent="0.35">
      <c r="A3018" s="345"/>
      <c r="B3018" s="346"/>
    </row>
    <row r="3019" spans="1:2" ht="15.5" x14ac:dyDescent="0.35">
      <c r="A3019" s="345"/>
      <c r="B3019" s="346"/>
    </row>
    <row r="3020" spans="1:2" ht="15.5" x14ac:dyDescent="0.35">
      <c r="A3020" s="345"/>
      <c r="B3020" s="346"/>
    </row>
    <row r="3021" spans="1:2" ht="15.5" x14ac:dyDescent="0.35">
      <c r="A3021" s="345"/>
      <c r="B3021" s="346"/>
    </row>
    <row r="3022" spans="1:2" ht="15.5" x14ac:dyDescent="0.35">
      <c r="A3022" s="345"/>
      <c r="B3022" s="346"/>
    </row>
    <row r="3023" spans="1:2" ht="15.5" x14ac:dyDescent="0.35">
      <c r="A3023" s="345"/>
      <c r="B3023" s="346"/>
    </row>
    <row r="3024" spans="1:2" ht="15.5" x14ac:dyDescent="0.35">
      <c r="A3024" s="345"/>
      <c r="B3024" s="346"/>
    </row>
    <row r="3025" spans="1:2" ht="15.5" x14ac:dyDescent="0.35">
      <c r="A3025" s="345"/>
      <c r="B3025" s="346"/>
    </row>
    <row r="3026" spans="1:2" ht="15.5" x14ac:dyDescent="0.35">
      <c r="A3026" s="345"/>
      <c r="B3026" s="346"/>
    </row>
    <row r="3027" spans="1:2" ht="15.5" x14ac:dyDescent="0.35">
      <c r="A3027" s="345"/>
      <c r="B3027" s="346"/>
    </row>
    <row r="3028" spans="1:2" ht="15.5" x14ac:dyDescent="0.35">
      <c r="A3028" s="345"/>
      <c r="B3028" s="346"/>
    </row>
    <row r="3029" spans="1:2" ht="15.5" x14ac:dyDescent="0.35">
      <c r="A3029" s="345"/>
      <c r="B3029" s="346"/>
    </row>
    <row r="3030" spans="1:2" ht="15.5" x14ac:dyDescent="0.35">
      <c r="A3030" s="345"/>
      <c r="B3030" s="346"/>
    </row>
    <row r="3031" spans="1:2" ht="15.5" x14ac:dyDescent="0.35">
      <c r="A3031" s="345"/>
      <c r="B3031" s="346"/>
    </row>
    <row r="3032" spans="1:2" ht="15.5" x14ac:dyDescent="0.35">
      <c r="A3032" s="345"/>
      <c r="B3032" s="346"/>
    </row>
    <row r="3033" spans="1:2" ht="15.5" x14ac:dyDescent="0.35">
      <c r="A3033" s="345"/>
      <c r="B3033" s="346"/>
    </row>
    <row r="3034" spans="1:2" ht="15.5" x14ac:dyDescent="0.35">
      <c r="A3034" s="345"/>
      <c r="B3034" s="346"/>
    </row>
    <row r="3035" spans="1:2" ht="15.5" x14ac:dyDescent="0.35">
      <c r="A3035" s="345"/>
      <c r="B3035" s="346"/>
    </row>
    <row r="3036" spans="1:2" ht="15.5" x14ac:dyDescent="0.35">
      <c r="A3036" s="345"/>
      <c r="B3036" s="346"/>
    </row>
    <row r="3037" spans="1:2" ht="15.5" x14ac:dyDescent="0.35">
      <c r="A3037" s="345"/>
      <c r="B3037" s="346"/>
    </row>
    <row r="3038" spans="1:2" ht="15.5" x14ac:dyDescent="0.35">
      <c r="A3038" s="345"/>
      <c r="B3038" s="346"/>
    </row>
    <row r="3039" spans="1:2" ht="15.5" x14ac:dyDescent="0.35">
      <c r="A3039" s="345"/>
      <c r="B3039" s="346"/>
    </row>
    <row r="3040" spans="1:2" ht="15.5" x14ac:dyDescent="0.35">
      <c r="A3040" s="345"/>
      <c r="B3040" s="346"/>
    </row>
    <row r="3041" spans="1:2" ht="15.5" x14ac:dyDescent="0.35">
      <c r="A3041" s="345"/>
      <c r="B3041" s="346"/>
    </row>
    <row r="3042" spans="1:2" ht="15.5" x14ac:dyDescent="0.35">
      <c r="A3042" s="345"/>
      <c r="B3042" s="346"/>
    </row>
    <row r="3043" spans="1:2" ht="15.5" x14ac:dyDescent="0.35">
      <c r="A3043" s="345"/>
      <c r="B3043" s="346"/>
    </row>
    <row r="3044" spans="1:2" ht="15.5" x14ac:dyDescent="0.35">
      <c r="A3044" s="345"/>
      <c r="B3044" s="346"/>
    </row>
    <row r="3045" spans="1:2" ht="15.5" x14ac:dyDescent="0.35">
      <c r="A3045" s="345"/>
      <c r="B3045" s="346"/>
    </row>
    <row r="3046" spans="1:2" ht="15.5" x14ac:dyDescent="0.35">
      <c r="A3046" s="345"/>
      <c r="B3046" s="346"/>
    </row>
    <row r="3047" spans="1:2" ht="15.5" x14ac:dyDescent="0.35">
      <c r="A3047" s="345"/>
      <c r="B3047" s="346"/>
    </row>
    <row r="3048" spans="1:2" ht="15.5" x14ac:dyDescent="0.35">
      <c r="A3048" s="345"/>
      <c r="B3048" s="346"/>
    </row>
    <row r="3049" spans="1:2" ht="15.5" x14ac:dyDescent="0.35">
      <c r="A3049" s="345"/>
      <c r="B3049" s="346"/>
    </row>
    <row r="3050" spans="1:2" ht="15.5" x14ac:dyDescent="0.35">
      <c r="A3050" s="345"/>
      <c r="B3050" s="346"/>
    </row>
    <row r="3051" spans="1:2" ht="15.5" x14ac:dyDescent="0.35">
      <c r="A3051" s="345"/>
      <c r="B3051" s="346"/>
    </row>
    <row r="3052" spans="1:2" ht="15.5" x14ac:dyDescent="0.35">
      <c r="A3052" s="345"/>
      <c r="B3052" s="346"/>
    </row>
    <row r="3053" spans="1:2" ht="15.5" x14ac:dyDescent="0.35">
      <c r="A3053" s="345"/>
      <c r="B3053" s="346"/>
    </row>
    <row r="3054" spans="1:2" ht="15.5" x14ac:dyDescent="0.35">
      <c r="A3054" s="345"/>
      <c r="B3054" s="346"/>
    </row>
    <row r="3055" spans="1:2" ht="15.5" x14ac:dyDescent="0.35">
      <c r="A3055" s="345"/>
      <c r="B3055" s="346"/>
    </row>
    <row r="3056" spans="1:2" ht="15.5" x14ac:dyDescent="0.35">
      <c r="A3056" s="345"/>
      <c r="B3056" s="346"/>
    </row>
    <row r="3057" spans="1:2" ht="15.5" x14ac:dyDescent="0.35">
      <c r="A3057" s="345"/>
      <c r="B3057" s="346"/>
    </row>
    <row r="3058" spans="1:2" ht="15.5" x14ac:dyDescent="0.35">
      <c r="A3058" s="345"/>
      <c r="B3058" s="346"/>
    </row>
    <row r="3059" spans="1:2" ht="15.5" x14ac:dyDescent="0.35">
      <c r="A3059" s="345"/>
      <c r="B3059" s="346"/>
    </row>
    <row r="3060" spans="1:2" ht="15.5" x14ac:dyDescent="0.35">
      <c r="A3060" s="345"/>
      <c r="B3060" s="346"/>
    </row>
    <row r="3061" spans="1:2" ht="15.5" x14ac:dyDescent="0.35">
      <c r="A3061" s="345"/>
      <c r="B3061" s="346"/>
    </row>
    <row r="3062" spans="1:2" ht="15.5" x14ac:dyDescent="0.35">
      <c r="A3062" s="345"/>
      <c r="B3062" s="346"/>
    </row>
    <row r="3063" spans="1:2" ht="15.5" x14ac:dyDescent="0.35">
      <c r="A3063" s="345"/>
      <c r="B3063" s="346"/>
    </row>
    <row r="3064" spans="1:2" ht="15.5" x14ac:dyDescent="0.35">
      <c r="A3064" s="345"/>
      <c r="B3064" s="346"/>
    </row>
    <row r="3065" spans="1:2" ht="15.5" x14ac:dyDescent="0.35">
      <c r="A3065" s="345"/>
      <c r="B3065" s="346"/>
    </row>
    <row r="3066" spans="1:2" ht="15.5" x14ac:dyDescent="0.35">
      <c r="A3066" s="345"/>
      <c r="B3066" s="346"/>
    </row>
    <row r="3067" spans="1:2" ht="15.5" x14ac:dyDescent="0.35">
      <c r="A3067" s="345"/>
      <c r="B3067" s="346"/>
    </row>
    <row r="3068" spans="1:2" ht="15.5" x14ac:dyDescent="0.35">
      <c r="A3068" s="345"/>
      <c r="B3068" s="346"/>
    </row>
    <row r="3069" spans="1:2" ht="15.5" x14ac:dyDescent="0.35">
      <c r="A3069" s="345"/>
      <c r="B3069" s="346"/>
    </row>
    <row r="3070" spans="1:2" ht="15.5" x14ac:dyDescent="0.35">
      <c r="A3070" s="345"/>
      <c r="B3070" s="346"/>
    </row>
    <row r="3071" spans="1:2" ht="15.5" x14ac:dyDescent="0.35">
      <c r="A3071" s="345"/>
      <c r="B3071" s="346"/>
    </row>
    <row r="3072" spans="1:2" ht="15.5" x14ac:dyDescent="0.35">
      <c r="A3072" s="345"/>
      <c r="B3072" s="346"/>
    </row>
    <row r="3073" spans="1:2" ht="15.5" x14ac:dyDescent="0.35">
      <c r="A3073" s="345"/>
      <c r="B3073" s="346"/>
    </row>
    <row r="3074" spans="1:2" ht="15.5" x14ac:dyDescent="0.35">
      <c r="A3074" s="345"/>
      <c r="B3074" s="346"/>
    </row>
    <row r="3075" spans="1:2" ht="15.5" x14ac:dyDescent="0.35">
      <c r="A3075" s="345"/>
      <c r="B3075" s="346"/>
    </row>
    <row r="3076" spans="1:2" ht="15.5" x14ac:dyDescent="0.35">
      <c r="A3076" s="345"/>
      <c r="B3076" s="346"/>
    </row>
    <row r="3077" spans="1:2" ht="15.5" x14ac:dyDescent="0.35">
      <c r="A3077" s="345"/>
      <c r="B3077" s="346"/>
    </row>
    <row r="3078" spans="1:2" ht="15.5" x14ac:dyDescent="0.35">
      <c r="A3078" s="345"/>
      <c r="B3078" s="346"/>
    </row>
    <row r="3079" spans="1:2" ht="15.5" x14ac:dyDescent="0.35">
      <c r="A3079" s="345"/>
      <c r="B3079" s="346"/>
    </row>
    <row r="3080" spans="1:2" ht="15.5" x14ac:dyDescent="0.35">
      <c r="A3080" s="345"/>
      <c r="B3080" s="346"/>
    </row>
    <row r="3081" spans="1:2" ht="15.5" x14ac:dyDescent="0.35">
      <c r="A3081" s="345"/>
      <c r="B3081" s="346"/>
    </row>
    <row r="3082" spans="1:2" ht="15.5" x14ac:dyDescent="0.35">
      <c r="A3082" s="345"/>
      <c r="B3082" s="346"/>
    </row>
    <row r="3083" spans="1:2" ht="15.5" x14ac:dyDescent="0.35">
      <c r="A3083" s="345"/>
      <c r="B3083" s="346"/>
    </row>
    <row r="3084" spans="1:2" ht="15.5" x14ac:dyDescent="0.35">
      <c r="A3084" s="345"/>
      <c r="B3084" s="346"/>
    </row>
    <row r="3085" spans="1:2" ht="15.5" x14ac:dyDescent="0.35">
      <c r="A3085" s="345"/>
      <c r="B3085" s="346"/>
    </row>
    <row r="3086" spans="1:2" ht="15.5" x14ac:dyDescent="0.35">
      <c r="A3086" s="345"/>
      <c r="B3086" s="346"/>
    </row>
    <row r="3087" spans="1:2" ht="15.5" x14ac:dyDescent="0.35">
      <c r="A3087" s="345"/>
      <c r="B3087" s="346"/>
    </row>
    <row r="3088" spans="1:2" ht="15.5" x14ac:dyDescent="0.35">
      <c r="A3088" s="345"/>
      <c r="B3088" s="346"/>
    </row>
    <row r="3089" spans="1:2" ht="15.5" x14ac:dyDescent="0.35">
      <c r="A3089" s="345"/>
      <c r="B3089" s="346"/>
    </row>
    <row r="3090" spans="1:2" ht="15.5" x14ac:dyDescent="0.35">
      <c r="A3090" s="345"/>
      <c r="B3090" s="346"/>
    </row>
    <row r="3091" spans="1:2" ht="15.5" x14ac:dyDescent="0.35">
      <c r="A3091" s="345"/>
      <c r="B3091" s="346"/>
    </row>
    <row r="3092" spans="1:2" ht="15.5" x14ac:dyDescent="0.35">
      <c r="A3092" s="345"/>
      <c r="B3092" s="346"/>
    </row>
    <row r="3093" spans="1:2" ht="15.5" x14ac:dyDescent="0.35">
      <c r="A3093" s="345"/>
      <c r="B3093" s="346"/>
    </row>
    <row r="3094" spans="1:2" ht="15.5" x14ac:dyDescent="0.35">
      <c r="A3094" s="345"/>
      <c r="B3094" s="346"/>
    </row>
    <row r="3095" spans="1:2" ht="15.5" x14ac:dyDescent="0.35">
      <c r="A3095" s="345"/>
      <c r="B3095" s="346"/>
    </row>
    <row r="3096" spans="1:2" ht="15.5" x14ac:dyDescent="0.35">
      <c r="A3096" s="345"/>
      <c r="B3096" s="346"/>
    </row>
    <row r="3097" spans="1:2" ht="15.5" x14ac:dyDescent="0.35">
      <c r="A3097" s="345"/>
      <c r="B3097" s="346"/>
    </row>
    <row r="3098" spans="1:2" ht="15.5" x14ac:dyDescent="0.35">
      <c r="A3098" s="345"/>
      <c r="B3098" s="346"/>
    </row>
    <row r="3099" spans="1:2" ht="15.5" x14ac:dyDescent="0.35">
      <c r="A3099" s="345"/>
      <c r="B3099" s="346"/>
    </row>
    <row r="3100" spans="1:2" ht="15.5" x14ac:dyDescent="0.35">
      <c r="A3100" s="345"/>
      <c r="B3100" s="346"/>
    </row>
    <row r="3101" spans="1:2" ht="15.5" x14ac:dyDescent="0.35">
      <c r="A3101" s="345"/>
      <c r="B3101" s="346"/>
    </row>
    <row r="3102" spans="1:2" ht="15.5" x14ac:dyDescent="0.35">
      <c r="A3102" s="345"/>
      <c r="B3102" s="346"/>
    </row>
    <row r="3103" spans="1:2" ht="15.5" x14ac:dyDescent="0.35">
      <c r="A3103" s="345"/>
      <c r="B3103" s="346"/>
    </row>
    <row r="3104" spans="1:2" ht="15.5" x14ac:dyDescent="0.35">
      <c r="A3104" s="345"/>
      <c r="B3104" s="346"/>
    </row>
    <row r="3105" spans="1:2" ht="15.5" x14ac:dyDescent="0.35">
      <c r="A3105" s="345"/>
      <c r="B3105" s="346"/>
    </row>
    <row r="3106" spans="1:2" ht="15.5" x14ac:dyDescent="0.35">
      <c r="A3106" s="345"/>
      <c r="B3106" s="346"/>
    </row>
    <row r="3107" spans="1:2" ht="15.5" x14ac:dyDescent="0.35">
      <c r="A3107" s="345"/>
      <c r="B3107" s="346"/>
    </row>
    <row r="3108" spans="1:2" ht="15.5" x14ac:dyDescent="0.35">
      <c r="A3108" s="345"/>
      <c r="B3108" s="346"/>
    </row>
    <row r="3109" spans="1:2" ht="15.5" x14ac:dyDescent="0.35">
      <c r="A3109" s="345"/>
      <c r="B3109" s="346"/>
    </row>
    <row r="3110" spans="1:2" ht="15.5" x14ac:dyDescent="0.35">
      <c r="A3110" s="345"/>
      <c r="B3110" s="346"/>
    </row>
    <row r="3111" spans="1:2" ht="15.5" x14ac:dyDescent="0.35">
      <c r="A3111" s="345"/>
      <c r="B3111" s="346"/>
    </row>
    <row r="3112" spans="1:2" ht="15.5" x14ac:dyDescent="0.35">
      <c r="A3112" s="345"/>
      <c r="B3112" s="346"/>
    </row>
    <row r="3113" spans="1:2" ht="15.5" x14ac:dyDescent="0.35">
      <c r="A3113" s="345"/>
      <c r="B3113" s="346"/>
    </row>
    <row r="3114" spans="1:2" ht="15.5" x14ac:dyDescent="0.35">
      <c r="A3114" s="345"/>
      <c r="B3114" s="346"/>
    </row>
    <row r="3115" spans="1:2" ht="15.5" x14ac:dyDescent="0.35">
      <c r="A3115" s="345"/>
      <c r="B3115" s="346"/>
    </row>
    <row r="3116" spans="1:2" ht="15.5" x14ac:dyDescent="0.35">
      <c r="A3116" s="345"/>
      <c r="B3116" s="346"/>
    </row>
    <row r="3117" spans="1:2" ht="15.5" x14ac:dyDescent="0.35">
      <c r="A3117" s="345"/>
      <c r="B3117" s="346"/>
    </row>
    <row r="3118" spans="1:2" ht="15.5" x14ac:dyDescent="0.35">
      <c r="A3118" s="345"/>
      <c r="B3118" s="346"/>
    </row>
    <row r="3119" spans="1:2" ht="15.5" x14ac:dyDescent="0.35">
      <c r="A3119" s="345"/>
      <c r="B3119" s="346"/>
    </row>
    <row r="3120" spans="1:2" ht="15.5" x14ac:dyDescent="0.35">
      <c r="A3120" s="345"/>
      <c r="B3120" s="346"/>
    </row>
    <row r="3121" spans="1:2" ht="15.5" x14ac:dyDescent="0.35">
      <c r="A3121" s="345"/>
      <c r="B3121" s="346"/>
    </row>
    <row r="3122" spans="1:2" ht="15.5" x14ac:dyDescent="0.35">
      <c r="A3122" s="345"/>
      <c r="B3122" s="346"/>
    </row>
    <row r="3123" spans="1:2" ht="15.5" x14ac:dyDescent="0.35">
      <c r="A3123" s="345"/>
      <c r="B3123" s="346"/>
    </row>
    <row r="3124" spans="1:2" ht="15.5" x14ac:dyDescent="0.35">
      <c r="A3124" s="345"/>
      <c r="B3124" s="346"/>
    </row>
    <row r="3125" spans="1:2" ht="15.5" x14ac:dyDescent="0.35">
      <c r="A3125" s="345"/>
      <c r="B3125" s="346"/>
    </row>
    <row r="3126" spans="1:2" ht="15.5" x14ac:dyDescent="0.35">
      <c r="A3126" s="345"/>
      <c r="B3126" s="346"/>
    </row>
    <row r="3127" spans="1:2" ht="15.5" x14ac:dyDescent="0.35">
      <c r="A3127" s="345"/>
      <c r="B3127" s="346"/>
    </row>
    <row r="3128" spans="1:2" ht="15.5" x14ac:dyDescent="0.35">
      <c r="A3128" s="345"/>
      <c r="B3128" s="346"/>
    </row>
    <row r="3129" spans="1:2" ht="15.5" x14ac:dyDescent="0.35">
      <c r="A3129" s="345"/>
      <c r="B3129" s="346"/>
    </row>
    <row r="3130" spans="1:2" ht="15.5" x14ac:dyDescent="0.35">
      <c r="A3130" s="345"/>
      <c r="B3130" s="346"/>
    </row>
    <row r="3131" spans="1:2" ht="15.5" x14ac:dyDescent="0.35">
      <c r="A3131" s="345"/>
      <c r="B3131" s="346"/>
    </row>
    <row r="3132" spans="1:2" ht="15.5" x14ac:dyDescent="0.35">
      <c r="A3132" s="345"/>
      <c r="B3132" s="346"/>
    </row>
    <row r="3133" spans="1:2" ht="15.5" x14ac:dyDescent="0.35">
      <c r="A3133" s="345"/>
      <c r="B3133" s="346"/>
    </row>
    <row r="3134" spans="1:2" ht="15.5" x14ac:dyDescent="0.35">
      <c r="A3134" s="345"/>
      <c r="B3134" s="346"/>
    </row>
    <row r="3135" spans="1:2" ht="15.5" x14ac:dyDescent="0.35">
      <c r="A3135" s="345"/>
      <c r="B3135" s="346"/>
    </row>
    <row r="3136" spans="1:2" ht="15.5" x14ac:dyDescent="0.35">
      <c r="A3136" s="345"/>
      <c r="B3136" s="346"/>
    </row>
    <row r="3137" spans="1:2" ht="15.5" x14ac:dyDescent="0.35">
      <c r="A3137" s="345"/>
      <c r="B3137" s="346"/>
    </row>
    <row r="3138" spans="1:2" ht="15.5" x14ac:dyDescent="0.35">
      <c r="A3138" s="345"/>
      <c r="B3138" s="346"/>
    </row>
    <row r="3139" spans="1:2" ht="15.5" x14ac:dyDescent="0.35">
      <c r="A3139" s="345"/>
      <c r="B3139" s="346"/>
    </row>
    <row r="3140" spans="1:2" ht="15.5" x14ac:dyDescent="0.35">
      <c r="A3140" s="345"/>
      <c r="B3140" s="346"/>
    </row>
    <row r="3141" spans="1:2" ht="15.5" x14ac:dyDescent="0.35">
      <c r="A3141" s="345"/>
      <c r="B3141" s="346"/>
    </row>
    <row r="3142" spans="1:2" ht="15.5" x14ac:dyDescent="0.35">
      <c r="A3142" s="345"/>
      <c r="B3142" s="346"/>
    </row>
    <row r="3143" spans="1:2" ht="15.5" x14ac:dyDescent="0.35">
      <c r="A3143" s="345"/>
      <c r="B3143" s="346"/>
    </row>
    <row r="3144" spans="1:2" ht="15.5" x14ac:dyDescent="0.35">
      <c r="A3144" s="345"/>
      <c r="B3144" s="346"/>
    </row>
    <row r="3145" spans="1:2" ht="15.5" x14ac:dyDescent="0.35">
      <c r="A3145" s="345"/>
      <c r="B3145" s="346"/>
    </row>
    <row r="3146" spans="1:2" ht="15.5" x14ac:dyDescent="0.35">
      <c r="A3146" s="345"/>
      <c r="B3146" s="346"/>
    </row>
    <row r="3147" spans="1:2" ht="15.5" x14ac:dyDescent="0.35">
      <c r="A3147" s="345"/>
      <c r="B3147" s="346"/>
    </row>
    <row r="3148" spans="1:2" ht="15.5" x14ac:dyDescent="0.35">
      <c r="A3148" s="345"/>
      <c r="B3148" s="346"/>
    </row>
    <row r="3149" spans="1:2" ht="15.5" x14ac:dyDescent="0.35">
      <c r="A3149" s="345"/>
      <c r="B3149" s="346"/>
    </row>
    <row r="3150" spans="1:2" ht="15.5" x14ac:dyDescent="0.35">
      <c r="A3150" s="345"/>
      <c r="B3150" s="346"/>
    </row>
    <row r="3151" spans="1:2" ht="15.5" x14ac:dyDescent="0.35">
      <c r="A3151" s="345"/>
      <c r="B3151" s="346"/>
    </row>
    <row r="3152" spans="1:2" ht="15.5" x14ac:dyDescent="0.35">
      <c r="A3152" s="345"/>
      <c r="B3152" s="346"/>
    </row>
    <row r="3153" spans="1:2" ht="15.5" x14ac:dyDescent="0.35">
      <c r="A3153" s="345"/>
      <c r="B3153" s="346"/>
    </row>
    <row r="3154" spans="1:2" ht="15.5" x14ac:dyDescent="0.35">
      <c r="A3154" s="345"/>
      <c r="B3154" s="346"/>
    </row>
    <row r="3155" spans="1:2" ht="15.5" x14ac:dyDescent="0.35">
      <c r="A3155" s="345"/>
      <c r="B3155" s="346"/>
    </row>
    <row r="3156" spans="1:2" ht="15.5" x14ac:dyDescent="0.35">
      <c r="A3156" s="345"/>
      <c r="B3156" s="346"/>
    </row>
    <row r="3157" spans="1:2" ht="15.5" x14ac:dyDescent="0.35">
      <c r="A3157" s="345"/>
      <c r="B3157" s="346"/>
    </row>
    <row r="3158" spans="1:2" ht="15.5" x14ac:dyDescent="0.35">
      <c r="A3158" s="345"/>
      <c r="B3158" s="346"/>
    </row>
    <row r="3159" spans="1:2" ht="15.5" x14ac:dyDescent="0.35">
      <c r="A3159" s="345"/>
      <c r="B3159" s="346"/>
    </row>
    <row r="3160" spans="1:2" ht="15.5" x14ac:dyDescent="0.35">
      <c r="A3160" s="345"/>
      <c r="B3160" s="346"/>
    </row>
    <row r="3161" spans="1:2" ht="15.5" x14ac:dyDescent="0.35">
      <c r="A3161" s="345"/>
      <c r="B3161" s="346"/>
    </row>
    <row r="3162" spans="1:2" ht="15.5" x14ac:dyDescent="0.35">
      <c r="A3162" s="345"/>
      <c r="B3162" s="346"/>
    </row>
    <row r="3163" spans="1:2" ht="15.5" x14ac:dyDescent="0.35">
      <c r="A3163" s="345"/>
      <c r="B3163" s="346"/>
    </row>
    <row r="3164" spans="1:2" ht="15.5" x14ac:dyDescent="0.35">
      <c r="A3164" s="345"/>
      <c r="B3164" s="346"/>
    </row>
    <row r="3165" spans="1:2" ht="15.5" x14ac:dyDescent="0.35">
      <c r="A3165" s="345"/>
      <c r="B3165" s="346"/>
    </row>
    <row r="3166" spans="1:2" ht="15.5" x14ac:dyDescent="0.35">
      <c r="A3166" s="345"/>
      <c r="B3166" s="346"/>
    </row>
    <row r="3167" spans="1:2" ht="15.5" x14ac:dyDescent="0.35">
      <c r="A3167" s="345"/>
      <c r="B3167" s="346"/>
    </row>
    <row r="3168" spans="1:2" ht="15.5" x14ac:dyDescent="0.35">
      <c r="A3168" s="345"/>
      <c r="B3168" s="346"/>
    </row>
    <row r="3169" spans="1:2" ht="15.5" x14ac:dyDescent="0.35">
      <c r="A3169" s="345"/>
      <c r="B3169" s="346"/>
    </row>
    <row r="3170" spans="1:2" ht="15.5" x14ac:dyDescent="0.35">
      <c r="A3170" s="345"/>
      <c r="B3170" s="346"/>
    </row>
    <row r="3171" spans="1:2" ht="15.5" x14ac:dyDescent="0.35">
      <c r="A3171" s="345"/>
      <c r="B3171" s="346"/>
    </row>
    <row r="3172" spans="1:2" ht="15.5" x14ac:dyDescent="0.35">
      <c r="A3172" s="345"/>
      <c r="B3172" s="346"/>
    </row>
    <row r="3173" spans="1:2" ht="15.5" x14ac:dyDescent="0.35">
      <c r="A3173" s="345"/>
      <c r="B3173" s="346"/>
    </row>
    <row r="3174" spans="1:2" ht="15.5" x14ac:dyDescent="0.35">
      <c r="A3174" s="345"/>
      <c r="B3174" s="346"/>
    </row>
    <row r="3175" spans="1:2" ht="15.5" x14ac:dyDescent="0.35">
      <c r="A3175" s="345"/>
      <c r="B3175" s="346"/>
    </row>
    <row r="3176" spans="1:2" ht="15.5" x14ac:dyDescent="0.35">
      <c r="A3176" s="345"/>
      <c r="B3176" s="346"/>
    </row>
    <row r="3177" spans="1:2" ht="15.5" x14ac:dyDescent="0.35">
      <c r="A3177" s="345"/>
      <c r="B3177" s="346"/>
    </row>
    <row r="3178" spans="1:2" ht="15.5" x14ac:dyDescent="0.35">
      <c r="A3178" s="345"/>
      <c r="B3178" s="346"/>
    </row>
    <row r="3179" spans="1:2" ht="15.5" x14ac:dyDescent="0.35">
      <c r="A3179" s="345"/>
      <c r="B3179" s="346"/>
    </row>
    <row r="3180" spans="1:2" ht="15.5" x14ac:dyDescent="0.35">
      <c r="A3180" s="345"/>
      <c r="B3180" s="346"/>
    </row>
    <row r="3181" spans="1:2" ht="15.5" x14ac:dyDescent="0.35">
      <c r="A3181" s="345"/>
      <c r="B3181" s="346"/>
    </row>
    <row r="3182" spans="1:2" ht="15.5" x14ac:dyDescent="0.35">
      <c r="A3182" s="345"/>
      <c r="B3182" s="346"/>
    </row>
    <row r="3183" spans="1:2" ht="15.5" x14ac:dyDescent="0.35">
      <c r="A3183" s="345"/>
      <c r="B3183" s="346"/>
    </row>
    <row r="3184" spans="1:2" ht="15.5" x14ac:dyDescent="0.35">
      <c r="A3184" s="345"/>
      <c r="B3184" s="346"/>
    </row>
    <row r="3185" spans="1:2" ht="15.5" x14ac:dyDescent="0.35">
      <c r="A3185" s="345"/>
      <c r="B3185" s="346"/>
    </row>
    <row r="3186" spans="1:2" ht="15.5" x14ac:dyDescent="0.35">
      <c r="A3186" s="345"/>
      <c r="B3186" s="346"/>
    </row>
    <row r="3187" spans="1:2" ht="15.5" x14ac:dyDescent="0.35">
      <c r="A3187" s="345"/>
      <c r="B3187" s="346"/>
    </row>
    <row r="3188" spans="1:2" ht="15.5" x14ac:dyDescent="0.35">
      <c r="A3188" s="345"/>
      <c r="B3188" s="346"/>
    </row>
    <row r="3189" spans="1:2" ht="15.5" x14ac:dyDescent="0.35">
      <c r="A3189" s="345"/>
      <c r="B3189" s="346"/>
    </row>
    <row r="3190" spans="1:2" ht="15.5" x14ac:dyDescent="0.35">
      <c r="A3190" s="345"/>
      <c r="B3190" s="346"/>
    </row>
    <row r="3191" spans="1:2" ht="15.5" x14ac:dyDescent="0.35">
      <c r="A3191" s="345"/>
      <c r="B3191" s="346"/>
    </row>
    <row r="3192" spans="1:2" ht="15.5" x14ac:dyDescent="0.35">
      <c r="A3192" s="345"/>
      <c r="B3192" s="346"/>
    </row>
    <row r="3193" spans="1:2" ht="15.5" x14ac:dyDescent="0.35">
      <c r="A3193" s="345"/>
      <c r="B3193" s="346"/>
    </row>
    <row r="3194" spans="1:2" ht="15.5" x14ac:dyDescent="0.35">
      <c r="A3194" s="345"/>
      <c r="B3194" s="346"/>
    </row>
    <row r="3195" spans="1:2" ht="15.5" x14ac:dyDescent="0.35">
      <c r="A3195" s="345"/>
      <c r="B3195" s="346"/>
    </row>
    <row r="3196" spans="1:2" ht="15.5" x14ac:dyDescent="0.35">
      <c r="A3196" s="345"/>
      <c r="B3196" s="346"/>
    </row>
    <row r="3197" spans="1:2" ht="15.5" x14ac:dyDescent="0.35">
      <c r="A3197" s="345"/>
      <c r="B3197" s="346"/>
    </row>
    <row r="3198" spans="1:2" ht="15.5" x14ac:dyDescent="0.35">
      <c r="A3198" s="345"/>
      <c r="B3198" s="346"/>
    </row>
    <row r="3199" spans="1:2" ht="15.5" x14ac:dyDescent="0.35">
      <c r="A3199" s="345"/>
      <c r="B3199" s="346"/>
    </row>
    <row r="3200" spans="1:2" ht="15.5" x14ac:dyDescent="0.35">
      <c r="A3200" s="345"/>
      <c r="B3200" s="346"/>
    </row>
    <row r="3201" spans="1:2" ht="15.5" x14ac:dyDescent="0.35">
      <c r="A3201" s="345"/>
      <c r="B3201" s="346"/>
    </row>
    <row r="3202" spans="1:2" ht="15.5" x14ac:dyDescent="0.35">
      <c r="A3202" s="345"/>
      <c r="B3202" s="346"/>
    </row>
    <row r="3203" spans="1:2" ht="15.5" x14ac:dyDescent="0.35">
      <c r="A3203" s="345"/>
      <c r="B3203" s="346"/>
    </row>
    <row r="3204" spans="1:2" ht="15.5" x14ac:dyDescent="0.35">
      <c r="A3204" s="345"/>
      <c r="B3204" s="346"/>
    </row>
    <row r="3205" spans="1:2" ht="15.5" x14ac:dyDescent="0.35">
      <c r="A3205" s="345"/>
      <c r="B3205" s="346"/>
    </row>
    <row r="3206" spans="1:2" ht="15.5" x14ac:dyDescent="0.35">
      <c r="A3206" s="345"/>
      <c r="B3206" s="346"/>
    </row>
    <row r="3207" spans="1:2" ht="15.5" x14ac:dyDescent="0.35">
      <c r="A3207" s="345"/>
      <c r="B3207" s="346"/>
    </row>
    <row r="3208" spans="1:2" ht="15.5" x14ac:dyDescent="0.35">
      <c r="A3208" s="345"/>
      <c r="B3208" s="346"/>
    </row>
    <row r="3209" spans="1:2" ht="15.5" x14ac:dyDescent="0.35">
      <c r="A3209" s="345"/>
      <c r="B3209" s="346"/>
    </row>
    <row r="3210" spans="1:2" ht="15.5" x14ac:dyDescent="0.35">
      <c r="A3210" s="345"/>
      <c r="B3210" s="346"/>
    </row>
    <row r="3211" spans="1:2" ht="15.5" x14ac:dyDescent="0.35">
      <c r="A3211" s="345"/>
      <c r="B3211" s="346"/>
    </row>
    <row r="3212" spans="1:2" ht="15.5" x14ac:dyDescent="0.35">
      <c r="A3212" s="345"/>
      <c r="B3212" s="346"/>
    </row>
    <row r="3213" spans="1:2" ht="15.5" x14ac:dyDescent="0.35">
      <c r="A3213" s="345"/>
      <c r="B3213" s="346"/>
    </row>
    <row r="3214" spans="1:2" ht="15.5" x14ac:dyDescent="0.35">
      <c r="A3214" s="345"/>
      <c r="B3214" s="346"/>
    </row>
    <row r="3215" spans="1:2" ht="15.5" x14ac:dyDescent="0.35">
      <c r="A3215" s="345"/>
      <c r="B3215" s="346"/>
    </row>
    <row r="3216" spans="1:2" ht="15.5" x14ac:dyDescent="0.35">
      <c r="A3216" s="345"/>
      <c r="B3216" s="346"/>
    </row>
    <row r="3217" spans="1:2" ht="15.5" x14ac:dyDescent="0.35">
      <c r="A3217" s="345"/>
      <c r="B3217" s="346"/>
    </row>
    <row r="3218" spans="1:2" ht="15.5" x14ac:dyDescent="0.35">
      <c r="A3218" s="345"/>
      <c r="B3218" s="346"/>
    </row>
    <row r="3219" spans="1:2" ht="15.5" x14ac:dyDescent="0.35">
      <c r="A3219" s="345"/>
      <c r="B3219" s="346"/>
    </row>
    <row r="3220" spans="1:2" ht="15.5" x14ac:dyDescent="0.35">
      <c r="A3220" s="345"/>
      <c r="B3220" s="346"/>
    </row>
    <row r="3221" spans="1:2" ht="15.5" x14ac:dyDescent="0.35">
      <c r="A3221" s="345"/>
      <c r="B3221" s="346"/>
    </row>
    <row r="3222" spans="1:2" ht="15.5" x14ac:dyDescent="0.35">
      <c r="A3222" s="345"/>
      <c r="B3222" s="346"/>
    </row>
    <row r="3223" spans="1:2" ht="15.5" x14ac:dyDescent="0.35">
      <c r="A3223" s="345"/>
      <c r="B3223" s="346"/>
    </row>
    <row r="3224" spans="1:2" ht="15.5" x14ac:dyDescent="0.35">
      <c r="A3224" s="345"/>
      <c r="B3224" s="346"/>
    </row>
    <row r="3225" spans="1:2" ht="15.5" x14ac:dyDescent="0.35">
      <c r="A3225" s="345"/>
      <c r="B3225" s="346"/>
    </row>
    <row r="3226" spans="1:2" ht="15.5" x14ac:dyDescent="0.35">
      <c r="A3226" s="345"/>
      <c r="B3226" s="346"/>
    </row>
    <row r="3227" spans="1:2" ht="15.5" x14ac:dyDescent="0.35">
      <c r="A3227" s="345"/>
      <c r="B3227" s="346"/>
    </row>
    <row r="3228" spans="1:2" ht="15.5" x14ac:dyDescent="0.35">
      <c r="A3228" s="345"/>
      <c r="B3228" s="346"/>
    </row>
    <row r="3229" spans="1:2" ht="15.5" x14ac:dyDescent="0.35">
      <c r="A3229" s="345"/>
      <c r="B3229" s="346"/>
    </row>
    <row r="3230" spans="1:2" ht="15.5" x14ac:dyDescent="0.35">
      <c r="A3230" s="345"/>
      <c r="B3230" s="346"/>
    </row>
    <row r="3231" spans="1:2" ht="15.5" x14ac:dyDescent="0.35">
      <c r="A3231" s="345"/>
      <c r="B3231" s="346"/>
    </row>
    <row r="3232" spans="1:2" ht="15.5" x14ac:dyDescent="0.35">
      <c r="A3232" s="345"/>
      <c r="B3232" s="346"/>
    </row>
    <row r="3233" spans="1:2" ht="15.5" x14ac:dyDescent="0.35">
      <c r="A3233" s="345"/>
      <c r="B3233" s="346"/>
    </row>
    <row r="3234" spans="1:2" ht="15.5" x14ac:dyDescent="0.35">
      <c r="A3234" s="345"/>
      <c r="B3234" s="346"/>
    </row>
    <row r="3235" spans="1:2" ht="15.5" x14ac:dyDescent="0.35">
      <c r="A3235" s="345"/>
      <c r="B3235" s="346"/>
    </row>
    <row r="3236" spans="1:2" ht="15.5" x14ac:dyDescent="0.35">
      <c r="A3236" s="345"/>
      <c r="B3236" s="346"/>
    </row>
    <row r="3237" spans="1:2" ht="15.5" x14ac:dyDescent="0.35">
      <c r="A3237" s="345"/>
      <c r="B3237" s="346"/>
    </row>
    <row r="3238" spans="1:2" ht="15.5" x14ac:dyDescent="0.35">
      <c r="A3238" s="345"/>
      <c r="B3238" s="346"/>
    </row>
    <row r="3239" spans="1:2" ht="15.5" x14ac:dyDescent="0.35">
      <c r="A3239" s="345"/>
      <c r="B3239" s="346"/>
    </row>
    <row r="3240" spans="1:2" ht="15.5" x14ac:dyDescent="0.35">
      <c r="A3240" s="345"/>
      <c r="B3240" s="346"/>
    </row>
    <row r="3241" spans="1:2" ht="15.5" x14ac:dyDescent="0.35">
      <c r="A3241" s="345"/>
      <c r="B3241" s="346"/>
    </row>
    <row r="3242" spans="1:2" ht="15.5" x14ac:dyDescent="0.35">
      <c r="A3242" s="345"/>
      <c r="B3242" s="346"/>
    </row>
    <row r="3243" spans="1:2" ht="15.5" x14ac:dyDescent="0.35">
      <c r="A3243" s="345"/>
      <c r="B3243" s="346"/>
    </row>
    <row r="3244" spans="1:2" ht="15.5" x14ac:dyDescent="0.35">
      <c r="A3244" s="345"/>
      <c r="B3244" s="346"/>
    </row>
    <row r="3245" spans="1:2" ht="15.5" x14ac:dyDescent="0.35">
      <c r="A3245" s="345"/>
      <c r="B3245" s="346"/>
    </row>
    <row r="3246" spans="1:2" ht="15.5" x14ac:dyDescent="0.35">
      <c r="A3246" s="345"/>
      <c r="B3246" s="346"/>
    </row>
    <row r="3247" spans="1:2" ht="15.5" x14ac:dyDescent="0.35">
      <c r="A3247" s="345"/>
      <c r="B3247" s="346"/>
    </row>
    <row r="3248" spans="1:2" ht="15.5" x14ac:dyDescent="0.35">
      <c r="A3248" s="345"/>
      <c r="B3248" s="346"/>
    </row>
    <row r="3249" spans="1:2" ht="15.5" x14ac:dyDescent="0.35">
      <c r="A3249" s="345"/>
      <c r="B3249" s="346"/>
    </row>
    <row r="3250" spans="1:2" ht="15.5" x14ac:dyDescent="0.35">
      <c r="A3250" s="345"/>
      <c r="B3250" s="346"/>
    </row>
    <row r="3251" spans="1:2" ht="15.5" x14ac:dyDescent="0.35">
      <c r="A3251" s="345"/>
      <c r="B3251" s="346"/>
    </row>
    <row r="3252" spans="1:2" ht="15.5" x14ac:dyDescent="0.35">
      <c r="A3252" s="345"/>
      <c r="B3252" s="346"/>
    </row>
    <row r="3253" spans="1:2" ht="15.5" x14ac:dyDescent="0.35">
      <c r="A3253" s="345"/>
      <c r="B3253" s="346"/>
    </row>
    <row r="3254" spans="1:2" ht="15.5" x14ac:dyDescent="0.35">
      <c r="A3254" s="345"/>
      <c r="B3254" s="346"/>
    </row>
    <row r="3255" spans="1:2" ht="15.5" x14ac:dyDescent="0.35">
      <c r="A3255" s="345"/>
      <c r="B3255" s="346"/>
    </row>
    <row r="3256" spans="1:2" ht="15.5" x14ac:dyDescent="0.35">
      <c r="A3256" s="345"/>
      <c r="B3256" s="346"/>
    </row>
    <row r="3257" spans="1:2" ht="15.5" x14ac:dyDescent="0.35">
      <c r="A3257" s="345"/>
      <c r="B3257" s="346"/>
    </row>
    <row r="3258" spans="1:2" ht="15.5" x14ac:dyDescent="0.35">
      <c r="A3258" s="345"/>
      <c r="B3258" s="346"/>
    </row>
    <row r="3259" spans="1:2" ht="15.5" x14ac:dyDescent="0.35">
      <c r="A3259" s="345"/>
      <c r="B3259" s="346"/>
    </row>
    <row r="3260" spans="1:2" ht="15.5" x14ac:dyDescent="0.35">
      <c r="A3260" s="345"/>
      <c r="B3260" s="346"/>
    </row>
    <row r="3261" spans="1:2" ht="15.5" x14ac:dyDescent="0.35">
      <c r="A3261" s="345"/>
      <c r="B3261" s="346"/>
    </row>
    <row r="3262" spans="1:2" ht="15.5" x14ac:dyDescent="0.35">
      <c r="A3262" s="345"/>
      <c r="B3262" s="346"/>
    </row>
    <row r="3263" spans="1:2" ht="15.5" x14ac:dyDescent="0.35">
      <c r="A3263" s="345"/>
      <c r="B3263" s="346"/>
    </row>
    <row r="3264" spans="1:2" ht="15.5" x14ac:dyDescent="0.35">
      <c r="A3264" s="345"/>
      <c r="B3264" s="346"/>
    </row>
    <row r="3265" spans="1:2" ht="15.5" x14ac:dyDescent="0.35">
      <c r="A3265" s="345"/>
      <c r="B3265" s="346"/>
    </row>
    <row r="3266" spans="1:2" ht="15.5" x14ac:dyDescent="0.35">
      <c r="A3266" s="345"/>
      <c r="B3266" s="346"/>
    </row>
    <row r="3267" spans="1:2" ht="15.5" x14ac:dyDescent="0.35">
      <c r="A3267" s="345"/>
      <c r="B3267" s="346"/>
    </row>
    <row r="3268" spans="1:2" ht="15.5" x14ac:dyDescent="0.35">
      <c r="A3268" s="345"/>
      <c r="B3268" s="346"/>
    </row>
    <row r="3269" spans="1:2" ht="15.5" x14ac:dyDescent="0.35">
      <c r="A3269" s="345"/>
      <c r="B3269" s="346"/>
    </row>
    <row r="3270" spans="1:2" ht="15.5" x14ac:dyDescent="0.35">
      <c r="A3270" s="345"/>
      <c r="B3270" s="346"/>
    </row>
    <row r="3271" spans="1:2" ht="15.5" x14ac:dyDescent="0.35">
      <c r="A3271" s="345"/>
      <c r="B3271" s="346"/>
    </row>
    <row r="3272" spans="1:2" ht="15.5" x14ac:dyDescent="0.35">
      <c r="A3272" s="345"/>
      <c r="B3272" s="346"/>
    </row>
    <row r="3273" spans="1:2" ht="15.5" x14ac:dyDescent="0.35">
      <c r="A3273" s="345"/>
      <c r="B3273" s="346"/>
    </row>
    <row r="3274" spans="1:2" ht="15.5" x14ac:dyDescent="0.35">
      <c r="A3274" s="345"/>
      <c r="B3274" s="346"/>
    </row>
    <row r="3275" spans="1:2" ht="15.5" x14ac:dyDescent="0.35">
      <c r="A3275" s="345"/>
      <c r="B3275" s="346"/>
    </row>
    <row r="3276" spans="1:2" ht="15.5" x14ac:dyDescent="0.35">
      <c r="A3276" s="345"/>
      <c r="B3276" s="346"/>
    </row>
    <row r="3277" spans="1:2" ht="15.5" x14ac:dyDescent="0.35">
      <c r="A3277" s="345"/>
      <c r="B3277" s="346"/>
    </row>
    <row r="3278" spans="1:2" ht="15.5" x14ac:dyDescent="0.35">
      <c r="A3278" s="345"/>
      <c r="B3278" s="346"/>
    </row>
    <row r="3279" spans="1:2" ht="15.5" x14ac:dyDescent="0.35">
      <c r="A3279" s="345"/>
      <c r="B3279" s="346"/>
    </row>
    <row r="3280" spans="1:2" ht="15.5" x14ac:dyDescent="0.35">
      <c r="A3280" s="345"/>
      <c r="B3280" s="346"/>
    </row>
    <row r="3281" spans="1:2" ht="15.5" x14ac:dyDescent="0.35">
      <c r="A3281" s="345"/>
      <c r="B3281" s="346"/>
    </row>
    <row r="3282" spans="1:2" ht="15.5" x14ac:dyDescent="0.35">
      <c r="A3282" s="345"/>
      <c r="B3282" s="346"/>
    </row>
    <row r="3283" spans="1:2" ht="15.5" x14ac:dyDescent="0.35">
      <c r="A3283" s="345"/>
      <c r="B3283" s="346"/>
    </row>
    <row r="3284" spans="1:2" ht="15.5" x14ac:dyDescent="0.35">
      <c r="A3284" s="345"/>
      <c r="B3284" s="346"/>
    </row>
    <row r="3285" spans="1:2" ht="15.5" x14ac:dyDescent="0.35">
      <c r="A3285" s="345"/>
      <c r="B3285" s="346"/>
    </row>
    <row r="3286" spans="1:2" ht="15.5" x14ac:dyDescent="0.35">
      <c r="A3286" s="345"/>
      <c r="B3286" s="346"/>
    </row>
    <row r="3287" spans="1:2" ht="15.5" x14ac:dyDescent="0.35">
      <c r="A3287" s="345"/>
      <c r="B3287" s="346"/>
    </row>
    <row r="3288" spans="1:2" ht="15.5" x14ac:dyDescent="0.35">
      <c r="A3288" s="345"/>
      <c r="B3288" s="346"/>
    </row>
    <row r="3289" spans="1:2" ht="15.5" x14ac:dyDescent="0.35">
      <c r="A3289" s="345"/>
      <c r="B3289" s="346"/>
    </row>
    <row r="3290" spans="1:2" ht="15.5" x14ac:dyDescent="0.35">
      <c r="A3290" s="345"/>
      <c r="B3290" s="346"/>
    </row>
    <row r="3291" spans="1:2" ht="15.5" x14ac:dyDescent="0.35">
      <c r="A3291" s="345"/>
      <c r="B3291" s="346"/>
    </row>
    <row r="3292" spans="1:2" ht="15.5" x14ac:dyDescent="0.35">
      <c r="A3292" s="345"/>
      <c r="B3292" s="346"/>
    </row>
    <row r="3293" spans="1:2" ht="15.5" x14ac:dyDescent="0.35">
      <c r="A3293" s="345"/>
      <c r="B3293" s="346"/>
    </row>
    <row r="3294" spans="1:2" ht="15.5" x14ac:dyDescent="0.35">
      <c r="A3294" s="345"/>
      <c r="B3294" s="346"/>
    </row>
    <row r="3295" spans="1:2" ht="15.5" x14ac:dyDescent="0.35">
      <c r="A3295" s="345"/>
      <c r="B3295" s="346"/>
    </row>
    <row r="3296" spans="1:2" ht="15.5" x14ac:dyDescent="0.35">
      <c r="A3296" s="345"/>
      <c r="B3296" s="346"/>
    </row>
    <row r="3297" spans="1:2" ht="15.5" x14ac:dyDescent="0.35">
      <c r="A3297" s="345"/>
      <c r="B3297" s="346"/>
    </row>
    <row r="3298" spans="1:2" ht="15.5" x14ac:dyDescent="0.35">
      <c r="A3298" s="345"/>
      <c r="B3298" s="346"/>
    </row>
    <row r="3299" spans="1:2" ht="15.5" x14ac:dyDescent="0.35">
      <c r="A3299" s="345"/>
      <c r="B3299" s="346"/>
    </row>
    <row r="3300" spans="1:2" ht="15.5" x14ac:dyDescent="0.35">
      <c r="A3300" s="345"/>
      <c r="B3300" s="346"/>
    </row>
    <row r="3301" spans="1:2" ht="15.5" x14ac:dyDescent="0.35">
      <c r="A3301" s="345"/>
      <c r="B3301" s="346"/>
    </row>
    <row r="3302" spans="1:2" ht="15.5" x14ac:dyDescent="0.35">
      <c r="A3302" s="345"/>
      <c r="B3302" s="346"/>
    </row>
    <row r="3303" spans="1:2" ht="15.5" x14ac:dyDescent="0.35">
      <c r="A3303" s="345"/>
      <c r="B3303" s="346"/>
    </row>
    <row r="3304" spans="1:2" ht="15.5" x14ac:dyDescent="0.35">
      <c r="A3304" s="345"/>
      <c r="B3304" s="346"/>
    </row>
    <row r="3305" spans="1:2" ht="15.5" x14ac:dyDescent="0.35">
      <c r="A3305" s="345"/>
      <c r="B3305" s="346"/>
    </row>
    <row r="3306" spans="1:2" ht="15.5" x14ac:dyDescent="0.35">
      <c r="A3306" s="345"/>
      <c r="B3306" s="346"/>
    </row>
    <row r="3307" spans="1:2" ht="15.5" x14ac:dyDescent="0.35">
      <c r="A3307" s="345"/>
      <c r="B3307" s="346"/>
    </row>
    <row r="3308" spans="1:2" ht="15.5" x14ac:dyDescent="0.35">
      <c r="A3308" s="345"/>
      <c r="B3308" s="346"/>
    </row>
    <row r="3309" spans="1:2" ht="15.5" x14ac:dyDescent="0.35">
      <c r="A3309" s="345"/>
      <c r="B3309" s="346"/>
    </row>
    <row r="3310" spans="1:2" ht="15.5" x14ac:dyDescent="0.35">
      <c r="A3310" s="345"/>
      <c r="B3310" s="346"/>
    </row>
    <row r="3311" spans="1:2" ht="15.5" x14ac:dyDescent="0.35">
      <c r="A3311" s="345"/>
      <c r="B3311" s="346"/>
    </row>
    <row r="3312" spans="1:2" ht="15.5" x14ac:dyDescent="0.35">
      <c r="A3312" s="345"/>
      <c r="B3312" s="346"/>
    </row>
    <row r="3313" spans="1:2" ht="15.5" x14ac:dyDescent="0.35">
      <c r="A3313" s="345"/>
      <c r="B3313" s="346"/>
    </row>
    <row r="3314" spans="1:2" ht="15.5" x14ac:dyDescent="0.35">
      <c r="A3314" s="345"/>
      <c r="B3314" s="346"/>
    </row>
    <row r="3315" spans="1:2" ht="15.5" x14ac:dyDescent="0.35">
      <c r="A3315" s="345"/>
      <c r="B3315" s="346"/>
    </row>
    <row r="3316" spans="1:2" ht="15.5" x14ac:dyDescent="0.35">
      <c r="A3316" s="345"/>
      <c r="B3316" s="346"/>
    </row>
    <row r="3317" spans="1:2" ht="15.5" x14ac:dyDescent="0.35">
      <c r="A3317" s="345"/>
      <c r="B3317" s="346"/>
    </row>
    <row r="3318" spans="1:2" ht="15.5" x14ac:dyDescent="0.35">
      <c r="A3318" s="345"/>
      <c r="B3318" s="346"/>
    </row>
    <row r="3319" spans="1:2" ht="15.5" x14ac:dyDescent="0.35">
      <c r="A3319" s="345"/>
      <c r="B3319" s="346"/>
    </row>
    <row r="3320" spans="1:2" ht="15.5" x14ac:dyDescent="0.35">
      <c r="A3320" s="345"/>
      <c r="B3320" s="346"/>
    </row>
    <row r="3321" spans="1:2" ht="15.5" x14ac:dyDescent="0.35">
      <c r="A3321" s="345"/>
      <c r="B3321" s="346"/>
    </row>
    <row r="3322" spans="1:2" ht="15.5" x14ac:dyDescent="0.35">
      <c r="A3322" s="345"/>
      <c r="B3322" s="346"/>
    </row>
    <row r="3323" spans="1:2" ht="15.5" x14ac:dyDescent="0.35">
      <c r="A3323" s="345"/>
      <c r="B3323" s="346"/>
    </row>
    <row r="3324" spans="1:2" ht="15.5" x14ac:dyDescent="0.35">
      <c r="A3324" s="345"/>
      <c r="B3324" s="346"/>
    </row>
    <row r="3325" spans="1:2" ht="15.5" x14ac:dyDescent="0.35">
      <c r="A3325" s="345"/>
      <c r="B3325" s="346"/>
    </row>
    <row r="3326" spans="1:2" ht="15.5" x14ac:dyDescent="0.35">
      <c r="A3326" s="345"/>
      <c r="B3326" s="346"/>
    </row>
    <row r="3327" spans="1:2" ht="15.5" x14ac:dyDescent="0.35">
      <c r="A3327" s="345"/>
      <c r="B3327" s="346"/>
    </row>
    <row r="3328" spans="1:2" ht="15.5" x14ac:dyDescent="0.35">
      <c r="A3328" s="345"/>
      <c r="B3328" s="346"/>
    </row>
    <row r="3329" spans="1:2" ht="15.5" x14ac:dyDescent="0.35">
      <c r="A3329" s="345"/>
      <c r="B3329" s="346"/>
    </row>
    <row r="3330" spans="1:2" ht="15.5" x14ac:dyDescent="0.35">
      <c r="A3330" s="345"/>
      <c r="B3330" s="346"/>
    </row>
    <row r="3331" spans="1:2" ht="15.5" x14ac:dyDescent="0.35">
      <c r="A3331" s="345"/>
      <c r="B3331" s="346"/>
    </row>
    <row r="3332" spans="1:2" ht="15.5" x14ac:dyDescent="0.35">
      <c r="A3332" s="345"/>
      <c r="B3332" s="346"/>
    </row>
    <row r="3333" spans="1:2" ht="15.5" x14ac:dyDescent="0.35">
      <c r="A3333" s="345"/>
      <c r="B3333" s="346"/>
    </row>
    <row r="3334" spans="1:2" ht="15.5" x14ac:dyDescent="0.35">
      <c r="A3334" s="345"/>
      <c r="B3334" s="346"/>
    </row>
    <row r="3335" spans="1:2" ht="15.5" x14ac:dyDescent="0.35">
      <c r="A3335" s="345"/>
      <c r="B3335" s="346"/>
    </row>
    <row r="3336" spans="1:2" ht="15.5" x14ac:dyDescent="0.35">
      <c r="A3336" s="345"/>
      <c r="B3336" s="346"/>
    </row>
    <row r="3337" spans="1:2" ht="15.5" x14ac:dyDescent="0.35">
      <c r="A3337" s="345"/>
      <c r="B3337" s="346"/>
    </row>
    <row r="3338" spans="1:2" ht="15.5" x14ac:dyDescent="0.35">
      <c r="A3338" s="345"/>
      <c r="B3338" s="346"/>
    </row>
    <row r="3339" spans="1:2" ht="15.5" x14ac:dyDescent="0.35">
      <c r="A3339" s="345"/>
      <c r="B3339" s="346"/>
    </row>
    <row r="3340" spans="1:2" ht="15.5" x14ac:dyDescent="0.35">
      <c r="A3340" s="345"/>
      <c r="B3340" s="346"/>
    </row>
    <row r="3341" spans="1:2" ht="15.5" x14ac:dyDescent="0.35">
      <c r="A3341" s="345"/>
      <c r="B3341" s="346"/>
    </row>
    <row r="3342" spans="1:2" ht="15.5" x14ac:dyDescent="0.35">
      <c r="A3342" s="345"/>
      <c r="B3342" s="346"/>
    </row>
    <row r="3343" spans="1:2" ht="15.5" x14ac:dyDescent="0.35">
      <c r="A3343" s="345"/>
      <c r="B3343" s="346"/>
    </row>
    <row r="3344" spans="1:2" ht="15.5" x14ac:dyDescent="0.35">
      <c r="A3344" s="345"/>
      <c r="B3344" s="346"/>
    </row>
    <row r="3345" spans="1:2" ht="15.5" x14ac:dyDescent="0.35">
      <c r="A3345" s="345"/>
      <c r="B3345" s="346"/>
    </row>
    <row r="3346" spans="1:2" ht="15.5" x14ac:dyDescent="0.35">
      <c r="A3346" s="345"/>
      <c r="B3346" s="346"/>
    </row>
    <row r="3347" spans="1:2" ht="15.5" x14ac:dyDescent="0.35">
      <c r="A3347" s="345"/>
      <c r="B3347" s="346"/>
    </row>
    <row r="3348" spans="1:2" ht="15.5" x14ac:dyDescent="0.35">
      <c r="A3348" s="345"/>
      <c r="B3348" s="346"/>
    </row>
    <row r="3349" spans="1:2" ht="15.5" x14ac:dyDescent="0.35">
      <c r="A3349" s="345"/>
      <c r="B3349" s="346"/>
    </row>
    <row r="3350" spans="1:2" ht="15.5" x14ac:dyDescent="0.35">
      <c r="A3350" s="345"/>
      <c r="B3350" s="346"/>
    </row>
    <row r="3351" spans="1:2" ht="15.5" x14ac:dyDescent="0.35">
      <c r="A3351" s="345"/>
      <c r="B3351" s="346"/>
    </row>
    <row r="3352" spans="1:2" ht="15.5" x14ac:dyDescent="0.35">
      <c r="A3352" s="345"/>
      <c r="B3352" s="346"/>
    </row>
    <row r="3353" spans="1:2" ht="15.5" x14ac:dyDescent="0.35">
      <c r="A3353" s="345"/>
      <c r="B3353" s="346"/>
    </row>
    <row r="3354" spans="1:2" ht="15.5" x14ac:dyDescent="0.35">
      <c r="A3354" s="345"/>
      <c r="B3354" s="346"/>
    </row>
    <row r="3355" spans="1:2" ht="15.5" x14ac:dyDescent="0.35">
      <c r="A3355" s="345"/>
      <c r="B3355" s="346"/>
    </row>
    <row r="3356" spans="1:2" ht="15.5" x14ac:dyDescent="0.35">
      <c r="A3356" s="345"/>
      <c r="B3356" s="346"/>
    </row>
    <row r="3357" spans="1:2" ht="15.5" x14ac:dyDescent="0.35">
      <c r="A3357" s="345"/>
      <c r="B3357" s="346"/>
    </row>
    <row r="3358" spans="1:2" ht="15.5" x14ac:dyDescent="0.35">
      <c r="A3358" s="345"/>
      <c r="B3358" s="346"/>
    </row>
    <row r="3359" spans="1:2" ht="15.5" x14ac:dyDescent="0.35">
      <c r="A3359" s="345"/>
      <c r="B3359" s="346"/>
    </row>
    <row r="3360" spans="1:2" ht="15.5" x14ac:dyDescent="0.35">
      <c r="A3360" s="345"/>
      <c r="B3360" s="346"/>
    </row>
    <row r="3361" spans="1:2" ht="15.5" x14ac:dyDescent="0.35">
      <c r="A3361" s="345"/>
      <c r="B3361" s="346"/>
    </row>
    <row r="3362" spans="1:2" ht="15.5" x14ac:dyDescent="0.35">
      <c r="A3362" s="345"/>
      <c r="B3362" s="346"/>
    </row>
    <row r="3363" spans="1:2" ht="15.5" x14ac:dyDescent="0.35">
      <c r="A3363" s="345"/>
      <c r="B3363" s="346"/>
    </row>
    <row r="3364" spans="1:2" ht="15.5" x14ac:dyDescent="0.35">
      <c r="A3364" s="345"/>
      <c r="B3364" s="346"/>
    </row>
    <row r="3365" spans="1:2" ht="15.5" x14ac:dyDescent="0.35">
      <c r="A3365" s="345"/>
      <c r="B3365" s="346"/>
    </row>
    <row r="3366" spans="1:2" ht="15.5" x14ac:dyDescent="0.35">
      <c r="A3366" s="345"/>
      <c r="B3366" s="346"/>
    </row>
    <row r="3367" spans="1:2" ht="15.5" x14ac:dyDescent="0.35">
      <c r="A3367" s="345"/>
      <c r="B3367" s="346"/>
    </row>
    <row r="3368" spans="1:2" ht="15.5" x14ac:dyDescent="0.35">
      <c r="A3368" s="345"/>
      <c r="B3368" s="346"/>
    </row>
    <row r="3369" spans="1:2" ht="15.5" x14ac:dyDescent="0.35">
      <c r="A3369" s="345"/>
      <c r="B3369" s="346"/>
    </row>
    <row r="3370" spans="1:2" ht="15.5" x14ac:dyDescent="0.35">
      <c r="A3370" s="345"/>
      <c r="B3370" s="346"/>
    </row>
    <row r="3371" spans="1:2" ht="15.5" x14ac:dyDescent="0.35">
      <c r="A3371" s="345"/>
      <c r="B3371" s="346"/>
    </row>
    <row r="3372" spans="1:2" ht="15.5" x14ac:dyDescent="0.35">
      <c r="A3372" s="345"/>
      <c r="B3372" s="346"/>
    </row>
    <row r="3373" spans="1:2" ht="15.5" x14ac:dyDescent="0.35">
      <c r="A3373" s="345"/>
      <c r="B3373" s="346"/>
    </row>
    <row r="3374" spans="1:2" ht="15.5" x14ac:dyDescent="0.35">
      <c r="A3374" s="345"/>
      <c r="B3374" s="346"/>
    </row>
    <row r="3375" spans="1:2" ht="15.5" x14ac:dyDescent="0.35">
      <c r="A3375" s="345"/>
      <c r="B3375" s="346"/>
    </row>
    <row r="3376" spans="1:2" ht="15.5" x14ac:dyDescent="0.35">
      <c r="A3376" s="345"/>
      <c r="B3376" s="346"/>
    </row>
    <row r="3377" spans="1:2" ht="15.5" x14ac:dyDescent="0.35">
      <c r="A3377" s="345"/>
      <c r="B3377" s="346"/>
    </row>
    <row r="3378" spans="1:2" ht="15.5" x14ac:dyDescent="0.35">
      <c r="A3378" s="345"/>
      <c r="B3378" s="346"/>
    </row>
    <row r="3379" spans="1:2" ht="15.5" x14ac:dyDescent="0.35">
      <c r="A3379" s="345"/>
      <c r="B3379" s="346"/>
    </row>
    <row r="3380" spans="1:2" ht="15.5" x14ac:dyDescent="0.35">
      <c r="A3380" s="345"/>
      <c r="B3380" s="346"/>
    </row>
    <row r="3381" spans="1:2" ht="15.5" x14ac:dyDescent="0.35">
      <c r="A3381" s="345"/>
      <c r="B3381" s="346"/>
    </row>
    <row r="3382" spans="1:2" ht="15.5" x14ac:dyDescent="0.35">
      <c r="A3382" s="345"/>
      <c r="B3382" s="346"/>
    </row>
    <row r="3383" spans="1:2" ht="15.5" x14ac:dyDescent="0.35">
      <c r="A3383" s="345"/>
      <c r="B3383" s="346"/>
    </row>
    <row r="3384" spans="1:2" ht="15.5" x14ac:dyDescent="0.35">
      <c r="A3384" s="345"/>
      <c r="B3384" s="346"/>
    </row>
    <row r="3385" spans="1:2" ht="15.5" x14ac:dyDescent="0.35">
      <c r="A3385" s="345"/>
      <c r="B3385" s="346"/>
    </row>
    <row r="3386" spans="1:2" ht="15.5" x14ac:dyDescent="0.35">
      <c r="A3386" s="345"/>
      <c r="B3386" s="346"/>
    </row>
    <row r="3387" spans="1:2" ht="15.5" x14ac:dyDescent="0.35">
      <c r="A3387" s="345"/>
      <c r="B3387" s="346"/>
    </row>
    <row r="3388" spans="1:2" ht="15.5" x14ac:dyDescent="0.35">
      <c r="A3388" s="345"/>
      <c r="B3388" s="346"/>
    </row>
    <row r="3389" spans="1:2" ht="15.5" x14ac:dyDescent="0.35">
      <c r="A3389" s="345"/>
      <c r="B3389" s="346"/>
    </row>
    <row r="3390" spans="1:2" ht="15.5" x14ac:dyDescent="0.35">
      <c r="A3390" s="345"/>
      <c r="B3390" s="346"/>
    </row>
    <row r="3391" spans="1:2" ht="15.5" x14ac:dyDescent="0.35">
      <c r="A3391" s="345"/>
      <c r="B3391" s="346"/>
    </row>
    <row r="3392" spans="1:2" ht="15.5" x14ac:dyDescent="0.35">
      <c r="A3392" s="345"/>
      <c r="B3392" s="346"/>
    </row>
    <row r="3393" spans="1:2" ht="15.5" x14ac:dyDescent="0.35">
      <c r="A3393" s="345"/>
      <c r="B3393" s="346"/>
    </row>
    <row r="3394" spans="1:2" ht="15.5" x14ac:dyDescent="0.35">
      <c r="A3394" s="345"/>
      <c r="B3394" s="346"/>
    </row>
    <row r="3395" spans="1:2" ht="15.5" x14ac:dyDescent="0.35">
      <c r="A3395" s="345"/>
      <c r="B3395" s="346"/>
    </row>
    <row r="3396" spans="1:2" ht="15.5" x14ac:dyDescent="0.35">
      <c r="A3396" s="345"/>
      <c r="B3396" s="346"/>
    </row>
    <row r="3397" spans="1:2" ht="15.5" x14ac:dyDescent="0.35">
      <c r="A3397" s="345"/>
      <c r="B3397" s="346"/>
    </row>
    <row r="3398" spans="1:2" ht="15.5" x14ac:dyDescent="0.35">
      <c r="A3398" s="345"/>
      <c r="B3398" s="346"/>
    </row>
    <row r="3399" spans="1:2" ht="15.5" x14ac:dyDescent="0.35">
      <c r="A3399" s="343"/>
      <c r="B3399" s="344"/>
    </row>
    <row r="3400" spans="1:2" ht="15.5" x14ac:dyDescent="0.35">
      <c r="A3400" s="343"/>
      <c r="B3400" s="344"/>
    </row>
    <row r="3401" spans="1:2" ht="15.5" x14ac:dyDescent="0.35">
      <c r="A3401" s="343"/>
      <c r="B3401" s="344"/>
    </row>
    <row r="3402" spans="1:2" ht="15.5" x14ac:dyDescent="0.35">
      <c r="A3402" s="343"/>
      <c r="B3402" s="344"/>
    </row>
    <row r="3403" spans="1:2" ht="15.5" x14ac:dyDescent="0.35">
      <c r="A3403" s="343"/>
      <c r="B3403" s="344"/>
    </row>
    <row r="3404" spans="1:2" ht="15.5" x14ac:dyDescent="0.35">
      <c r="A3404" s="343"/>
      <c r="B3404" s="344"/>
    </row>
    <row r="3405" spans="1:2" ht="15.5" x14ac:dyDescent="0.35">
      <c r="A3405" s="343"/>
      <c r="B3405" s="344"/>
    </row>
    <row r="3406" spans="1:2" ht="15.5" x14ac:dyDescent="0.35">
      <c r="A3406" s="343"/>
      <c r="B3406" s="344"/>
    </row>
    <row r="3407" spans="1:2" ht="15.5" x14ac:dyDescent="0.35">
      <c r="A3407" s="343"/>
      <c r="B3407" s="344"/>
    </row>
    <row r="3408" spans="1:2" ht="15.5" x14ac:dyDescent="0.35">
      <c r="A3408" s="343"/>
      <c r="B3408" s="344"/>
    </row>
    <row r="3409" spans="1:2" ht="15.5" x14ac:dyDescent="0.35">
      <c r="A3409" s="343"/>
      <c r="B3409" s="344"/>
    </row>
    <row r="3410" spans="1:2" ht="15.5" x14ac:dyDescent="0.35">
      <c r="A3410" s="343"/>
      <c r="B3410" s="344"/>
    </row>
    <row r="3411" spans="1:2" ht="15.5" x14ac:dyDescent="0.35">
      <c r="A3411" s="343"/>
      <c r="B3411" s="344"/>
    </row>
    <row r="3412" spans="1:2" ht="15.5" x14ac:dyDescent="0.35">
      <c r="A3412" s="343"/>
      <c r="B3412" s="344"/>
    </row>
    <row r="3413" spans="1:2" ht="15.5" x14ac:dyDescent="0.35">
      <c r="A3413" s="343"/>
      <c r="B3413" s="344"/>
    </row>
    <row r="3414" spans="1:2" ht="15.5" x14ac:dyDescent="0.35">
      <c r="A3414" s="343"/>
      <c r="B3414" s="344"/>
    </row>
    <row r="3415" spans="1:2" ht="15.5" x14ac:dyDescent="0.35">
      <c r="A3415" s="343"/>
      <c r="B3415" s="344"/>
    </row>
    <row r="3416" spans="1:2" ht="15.5" x14ac:dyDescent="0.35">
      <c r="A3416" s="343"/>
      <c r="B3416" s="344"/>
    </row>
    <row r="3417" spans="1:2" ht="15.5" x14ac:dyDescent="0.35">
      <c r="A3417" s="343"/>
      <c r="B3417" s="344"/>
    </row>
    <row r="3418" spans="1:2" ht="15.5" x14ac:dyDescent="0.35">
      <c r="A3418" s="343"/>
      <c r="B3418" s="344"/>
    </row>
    <row r="3419" spans="1:2" ht="15.5" x14ac:dyDescent="0.35">
      <c r="A3419" s="343"/>
      <c r="B3419" s="344"/>
    </row>
    <row r="3420" spans="1:2" ht="15.5" x14ac:dyDescent="0.35">
      <c r="A3420" s="343"/>
      <c r="B3420" s="344"/>
    </row>
    <row r="3421" spans="1:2" ht="15.5" x14ac:dyDescent="0.35">
      <c r="A3421" s="343"/>
      <c r="B3421" s="344"/>
    </row>
    <row r="3422" spans="1:2" ht="15.5" x14ac:dyDescent="0.35">
      <c r="A3422" s="343"/>
      <c r="B3422" s="344"/>
    </row>
    <row r="3423" spans="1:2" ht="15.5" x14ac:dyDescent="0.35">
      <c r="A3423" s="343"/>
      <c r="B3423" s="344"/>
    </row>
    <row r="3424" spans="1:2" ht="15.5" x14ac:dyDescent="0.35">
      <c r="A3424" s="343"/>
      <c r="B3424" s="344"/>
    </row>
    <row r="3425" spans="1:2" ht="15.5" x14ac:dyDescent="0.35">
      <c r="A3425" s="343"/>
      <c r="B3425" s="344"/>
    </row>
    <row r="3426" spans="1:2" ht="15.5" x14ac:dyDescent="0.35">
      <c r="A3426" s="343"/>
      <c r="B3426" s="344"/>
    </row>
    <row r="3427" spans="1:2" ht="15.5" x14ac:dyDescent="0.35">
      <c r="A3427" s="343"/>
      <c r="B3427" s="344"/>
    </row>
    <row r="3428" spans="1:2" ht="15.5" x14ac:dyDescent="0.35">
      <c r="A3428" s="343"/>
      <c r="B3428" s="344"/>
    </row>
    <row r="3429" spans="1:2" ht="15.5" x14ac:dyDescent="0.35">
      <c r="A3429" s="343"/>
      <c r="B3429" s="344"/>
    </row>
    <row r="3430" spans="1:2" ht="15.5" x14ac:dyDescent="0.35">
      <c r="A3430" s="343"/>
      <c r="B3430" s="344"/>
    </row>
    <row r="3431" spans="1:2" ht="15.5" x14ac:dyDescent="0.35">
      <c r="A3431" s="343"/>
      <c r="B3431" s="344"/>
    </row>
    <row r="3432" spans="1:2" ht="15.5" x14ac:dyDescent="0.35">
      <c r="A3432" s="343"/>
      <c r="B3432" s="344"/>
    </row>
    <row r="3433" spans="1:2" ht="15.5" x14ac:dyDescent="0.35">
      <c r="A3433" s="343"/>
      <c r="B3433" s="344"/>
    </row>
    <row r="3434" spans="1:2" ht="15.5" x14ac:dyDescent="0.35">
      <c r="A3434" s="343"/>
      <c r="B3434" s="344"/>
    </row>
    <row r="3435" spans="1:2" ht="15.5" x14ac:dyDescent="0.35">
      <c r="A3435" s="343"/>
      <c r="B3435" s="344"/>
    </row>
    <row r="3436" spans="1:2" ht="15.5" x14ac:dyDescent="0.35">
      <c r="A3436" s="343"/>
      <c r="B3436" s="344"/>
    </row>
    <row r="3437" spans="1:2" ht="15.5" x14ac:dyDescent="0.35">
      <c r="A3437" s="343"/>
      <c r="B3437" s="344"/>
    </row>
    <row r="3438" spans="1:2" ht="15.5" x14ac:dyDescent="0.35">
      <c r="A3438" s="343"/>
      <c r="B3438" s="344"/>
    </row>
    <row r="3439" spans="1:2" ht="15.5" x14ac:dyDescent="0.35">
      <c r="A3439" s="343"/>
      <c r="B3439" s="344"/>
    </row>
    <row r="3440" spans="1:2" ht="15.5" x14ac:dyDescent="0.35">
      <c r="A3440" s="343"/>
      <c r="B3440" s="344"/>
    </row>
    <row r="3441" spans="1:2" ht="15.5" x14ac:dyDescent="0.35">
      <c r="A3441" s="343"/>
      <c r="B3441" s="344"/>
    </row>
    <row r="3442" spans="1:2" ht="15.5" x14ac:dyDescent="0.35">
      <c r="A3442" s="343"/>
      <c r="B3442" s="344"/>
    </row>
    <row r="3443" spans="1:2" ht="15.5" x14ac:dyDescent="0.35">
      <c r="A3443" s="343"/>
      <c r="B3443" s="344"/>
    </row>
    <row r="3444" spans="1:2" ht="15.5" x14ac:dyDescent="0.35">
      <c r="A3444" s="343"/>
      <c r="B3444" s="344"/>
    </row>
    <row r="3445" spans="1:2" ht="15.5" x14ac:dyDescent="0.35">
      <c r="A3445" s="343"/>
      <c r="B3445" s="344"/>
    </row>
    <row r="3446" spans="1:2" ht="15.5" x14ac:dyDescent="0.35">
      <c r="A3446" s="343"/>
      <c r="B3446" s="344"/>
    </row>
    <row r="3447" spans="1:2" ht="15.5" x14ac:dyDescent="0.35">
      <c r="A3447" s="343"/>
      <c r="B3447" s="344"/>
    </row>
    <row r="3448" spans="1:2" ht="15.5" x14ac:dyDescent="0.35">
      <c r="A3448" s="343"/>
      <c r="B3448" s="344"/>
    </row>
    <row r="3449" spans="1:2" ht="15.5" x14ac:dyDescent="0.35">
      <c r="A3449" s="343"/>
      <c r="B3449" s="344"/>
    </row>
    <row r="3450" spans="1:2" ht="15.5" x14ac:dyDescent="0.35">
      <c r="A3450" s="343"/>
      <c r="B3450" s="344"/>
    </row>
    <row r="3451" spans="1:2" ht="15.5" x14ac:dyDescent="0.35">
      <c r="A3451" s="343"/>
      <c r="B3451" s="344"/>
    </row>
    <row r="3452" spans="1:2" ht="15.5" x14ac:dyDescent="0.35">
      <c r="A3452" s="343"/>
      <c r="B3452" s="344"/>
    </row>
    <row r="3453" spans="1:2" ht="15.5" x14ac:dyDescent="0.35">
      <c r="A3453" s="343"/>
      <c r="B3453" s="344"/>
    </row>
    <row r="3454" spans="1:2" ht="15.5" x14ac:dyDescent="0.35">
      <c r="A3454" s="343"/>
      <c r="B3454" s="344"/>
    </row>
    <row r="3455" spans="1:2" ht="15.5" x14ac:dyDescent="0.35">
      <c r="A3455" s="343"/>
      <c r="B3455" s="344"/>
    </row>
    <row r="3456" spans="1:2" ht="15.5" x14ac:dyDescent="0.35">
      <c r="A3456" s="343"/>
      <c r="B3456" s="344"/>
    </row>
    <row r="3457" spans="1:2" ht="15.5" x14ac:dyDescent="0.35">
      <c r="A3457" s="343"/>
      <c r="B3457" s="344"/>
    </row>
    <row r="3458" spans="1:2" ht="15.5" x14ac:dyDescent="0.35">
      <c r="A3458" s="343"/>
      <c r="B3458" s="344"/>
    </row>
    <row r="3459" spans="1:2" ht="15.5" x14ac:dyDescent="0.35">
      <c r="A3459" s="343"/>
      <c r="B3459" s="344"/>
    </row>
    <row r="3460" spans="1:2" ht="15.5" x14ac:dyDescent="0.35">
      <c r="A3460" s="343"/>
      <c r="B3460" s="344"/>
    </row>
    <row r="3461" spans="1:2" ht="15.5" x14ac:dyDescent="0.35">
      <c r="A3461" s="343"/>
      <c r="B3461" s="344"/>
    </row>
    <row r="3462" spans="1:2" ht="15.5" x14ac:dyDescent="0.35">
      <c r="A3462" s="343"/>
      <c r="B3462" s="344"/>
    </row>
    <row r="3463" spans="1:2" ht="15.5" x14ac:dyDescent="0.35">
      <c r="A3463" s="343"/>
      <c r="B3463" s="344"/>
    </row>
    <row r="3464" spans="1:2" ht="15.5" x14ac:dyDescent="0.35">
      <c r="A3464" s="343"/>
      <c r="B3464" s="344"/>
    </row>
    <row r="3465" spans="1:2" ht="15.5" x14ac:dyDescent="0.35">
      <c r="A3465" s="343"/>
      <c r="B3465" s="344"/>
    </row>
    <row r="3466" spans="1:2" ht="15.5" x14ac:dyDescent="0.35">
      <c r="A3466" s="343"/>
      <c r="B3466" s="344"/>
    </row>
    <row r="3467" spans="1:2" ht="15.5" x14ac:dyDescent="0.35">
      <c r="A3467" s="343"/>
      <c r="B3467" s="344"/>
    </row>
    <row r="3468" spans="1:2" ht="15.5" x14ac:dyDescent="0.35">
      <c r="A3468" s="343"/>
      <c r="B3468" s="344"/>
    </row>
    <row r="3469" spans="1:2" ht="15.5" x14ac:dyDescent="0.35">
      <c r="A3469" s="343"/>
      <c r="B3469" s="344"/>
    </row>
    <row r="3470" spans="1:2" ht="15.5" x14ac:dyDescent="0.35">
      <c r="A3470" s="343"/>
      <c r="B3470" s="344"/>
    </row>
    <row r="3471" spans="1:2" ht="15.5" x14ac:dyDescent="0.35">
      <c r="A3471" s="343"/>
      <c r="B3471" s="344"/>
    </row>
    <row r="3472" spans="1:2" ht="15.5" x14ac:dyDescent="0.35">
      <c r="A3472" s="343"/>
      <c r="B3472" s="344"/>
    </row>
    <row r="3473" spans="1:2" ht="15.5" x14ac:dyDescent="0.35">
      <c r="A3473" s="343"/>
      <c r="B3473" s="344"/>
    </row>
    <row r="3474" spans="1:2" ht="15.5" x14ac:dyDescent="0.35">
      <c r="A3474" s="343"/>
      <c r="B3474" s="344"/>
    </row>
    <row r="3475" spans="1:2" ht="15.5" x14ac:dyDescent="0.35">
      <c r="A3475" s="343"/>
      <c r="B3475" s="344"/>
    </row>
    <row r="3476" spans="1:2" ht="15.5" x14ac:dyDescent="0.35">
      <c r="A3476" s="343"/>
      <c r="B3476" s="344"/>
    </row>
    <row r="3477" spans="1:2" ht="15.5" x14ac:dyDescent="0.35">
      <c r="A3477" s="343"/>
      <c r="B3477" s="344"/>
    </row>
    <row r="3478" spans="1:2" ht="15.5" x14ac:dyDescent="0.35">
      <c r="A3478" s="343"/>
      <c r="B3478" s="344"/>
    </row>
    <row r="3479" spans="1:2" ht="15.5" x14ac:dyDescent="0.35">
      <c r="A3479" s="343"/>
      <c r="B3479" s="344"/>
    </row>
    <row r="3480" spans="1:2" ht="15.5" x14ac:dyDescent="0.35">
      <c r="A3480" s="343"/>
      <c r="B3480" s="344"/>
    </row>
    <row r="3481" spans="1:2" ht="15.5" x14ac:dyDescent="0.35">
      <c r="A3481" s="343"/>
      <c r="B3481" s="344"/>
    </row>
    <row r="3482" spans="1:2" ht="15.5" x14ac:dyDescent="0.35">
      <c r="A3482" s="343"/>
      <c r="B3482" s="344"/>
    </row>
    <row r="3483" spans="1:2" ht="15.5" x14ac:dyDescent="0.35">
      <c r="A3483" s="343"/>
      <c r="B3483" s="344"/>
    </row>
    <row r="3484" spans="1:2" ht="15.5" x14ac:dyDescent="0.35">
      <c r="A3484" s="343"/>
      <c r="B3484" s="344"/>
    </row>
    <row r="3485" spans="1:2" ht="15.5" x14ac:dyDescent="0.35">
      <c r="A3485" s="343"/>
      <c r="B3485" s="344"/>
    </row>
    <row r="3486" spans="1:2" ht="15.5" x14ac:dyDescent="0.35">
      <c r="A3486" s="343"/>
      <c r="B3486" s="344"/>
    </row>
    <row r="3487" spans="1:2" ht="15.5" x14ac:dyDescent="0.35">
      <c r="A3487" s="343"/>
      <c r="B3487" s="344"/>
    </row>
    <row r="3488" spans="1:2" ht="15.5" x14ac:dyDescent="0.35">
      <c r="A3488" s="343"/>
      <c r="B3488" s="344"/>
    </row>
    <row r="3489" spans="1:2" ht="15.5" x14ac:dyDescent="0.35">
      <c r="A3489" s="343"/>
      <c r="B3489" s="344"/>
    </row>
    <row r="3490" spans="1:2" ht="15.5" x14ac:dyDescent="0.35">
      <c r="A3490" s="343"/>
      <c r="B3490" s="344"/>
    </row>
    <row r="3491" spans="1:2" ht="15.5" x14ac:dyDescent="0.35">
      <c r="A3491" s="343"/>
      <c r="B3491" s="344"/>
    </row>
    <row r="3492" spans="1:2" ht="15.5" x14ac:dyDescent="0.35">
      <c r="A3492" s="343"/>
      <c r="B3492" s="344"/>
    </row>
    <row r="3493" spans="1:2" ht="15.5" x14ac:dyDescent="0.35">
      <c r="A3493" s="343"/>
      <c r="B3493" s="344"/>
    </row>
    <row r="3494" spans="1:2" ht="15.5" x14ac:dyDescent="0.35">
      <c r="A3494" s="343"/>
      <c r="B3494" s="344"/>
    </row>
    <row r="3495" spans="1:2" ht="15.5" x14ac:dyDescent="0.35">
      <c r="A3495" s="343"/>
      <c r="B3495" s="344"/>
    </row>
    <row r="3496" spans="1:2" ht="15.5" x14ac:dyDescent="0.35">
      <c r="A3496" s="343"/>
      <c r="B3496" s="344"/>
    </row>
    <row r="3497" spans="1:2" ht="15.5" x14ac:dyDescent="0.35">
      <c r="A3497" s="343"/>
      <c r="B3497" s="344"/>
    </row>
    <row r="3498" spans="1:2" ht="15.5" x14ac:dyDescent="0.35">
      <c r="A3498" s="343"/>
      <c r="B3498" s="344"/>
    </row>
    <row r="3499" spans="1:2" ht="15.5" x14ac:dyDescent="0.35">
      <c r="A3499" s="343"/>
      <c r="B3499" s="344"/>
    </row>
    <row r="3500" spans="1:2" ht="15.5" x14ac:dyDescent="0.35">
      <c r="A3500" s="343"/>
      <c r="B3500" s="344"/>
    </row>
    <row r="3501" spans="1:2" ht="15.5" x14ac:dyDescent="0.35">
      <c r="A3501" s="343"/>
      <c r="B3501" s="344"/>
    </row>
    <row r="3502" spans="1:2" ht="15.5" x14ac:dyDescent="0.35">
      <c r="A3502" s="343"/>
      <c r="B3502" s="344"/>
    </row>
    <row r="3503" spans="1:2" ht="15.5" x14ac:dyDescent="0.35">
      <c r="A3503" s="343"/>
      <c r="B3503" s="344"/>
    </row>
    <row r="3504" spans="1:2" ht="15.5" x14ac:dyDescent="0.35">
      <c r="A3504" s="343"/>
      <c r="B3504" s="344"/>
    </row>
    <row r="3505" spans="1:2" ht="15.5" x14ac:dyDescent="0.35">
      <c r="A3505" s="343"/>
      <c r="B3505" s="344"/>
    </row>
    <row r="3506" spans="1:2" ht="15.5" x14ac:dyDescent="0.35">
      <c r="A3506" s="343"/>
      <c r="B3506" s="344"/>
    </row>
    <row r="3507" spans="1:2" ht="15.5" x14ac:dyDescent="0.35">
      <c r="A3507" s="343"/>
      <c r="B3507" s="344"/>
    </row>
    <row r="3508" spans="1:2" ht="15.5" x14ac:dyDescent="0.35">
      <c r="A3508" s="343"/>
      <c r="B3508" s="344"/>
    </row>
    <row r="3509" spans="1:2" ht="15.5" x14ac:dyDescent="0.35">
      <c r="A3509" s="343"/>
      <c r="B3509" s="344"/>
    </row>
    <row r="3510" spans="1:2" ht="15.5" x14ac:dyDescent="0.35">
      <c r="A3510" s="343"/>
      <c r="B3510" s="344"/>
    </row>
    <row r="3511" spans="1:2" ht="15.5" x14ac:dyDescent="0.35">
      <c r="A3511" s="343"/>
      <c r="B3511" s="344"/>
    </row>
    <row r="3512" spans="1:2" ht="15.5" x14ac:dyDescent="0.35">
      <c r="A3512" s="343"/>
      <c r="B3512" s="344"/>
    </row>
    <row r="3513" spans="1:2" ht="15.5" x14ac:dyDescent="0.35">
      <c r="A3513" s="343"/>
      <c r="B3513" s="344"/>
    </row>
    <row r="3514" spans="1:2" ht="15.5" x14ac:dyDescent="0.35">
      <c r="A3514" s="343"/>
      <c r="B3514" s="344"/>
    </row>
    <row r="3515" spans="1:2" ht="15.5" x14ac:dyDescent="0.35">
      <c r="A3515" s="343"/>
      <c r="B3515" s="344"/>
    </row>
    <row r="3516" spans="1:2" ht="15.5" x14ac:dyDescent="0.35">
      <c r="A3516" s="343"/>
      <c r="B3516" s="344"/>
    </row>
    <row r="3517" spans="1:2" ht="15.5" x14ac:dyDescent="0.35">
      <c r="A3517" s="343"/>
      <c r="B3517" s="344"/>
    </row>
    <row r="3518" spans="1:2" ht="15.5" x14ac:dyDescent="0.35">
      <c r="A3518" s="343"/>
      <c r="B3518" s="344"/>
    </row>
    <row r="3519" spans="1:2" ht="15.5" x14ac:dyDescent="0.35">
      <c r="A3519" s="343"/>
      <c r="B3519" s="344"/>
    </row>
    <row r="3520" spans="1:2" ht="15.5" x14ac:dyDescent="0.35">
      <c r="A3520" s="343"/>
      <c r="B3520" s="344"/>
    </row>
    <row r="3521" spans="1:2" ht="15.5" x14ac:dyDescent="0.35">
      <c r="A3521" s="343"/>
      <c r="B3521" s="344"/>
    </row>
    <row r="3522" spans="1:2" ht="15.5" x14ac:dyDescent="0.35">
      <c r="A3522" s="343"/>
      <c r="B3522" s="344"/>
    </row>
    <row r="3523" spans="1:2" ht="15.5" x14ac:dyDescent="0.35">
      <c r="A3523" s="343"/>
      <c r="B3523" s="344"/>
    </row>
    <row r="3524" spans="1:2" ht="15.5" x14ac:dyDescent="0.35">
      <c r="A3524" s="343"/>
      <c r="B3524" s="344"/>
    </row>
    <row r="3525" spans="1:2" ht="15.5" x14ac:dyDescent="0.35">
      <c r="A3525" s="343"/>
      <c r="B3525" s="344"/>
    </row>
    <row r="3526" spans="1:2" ht="15.5" x14ac:dyDescent="0.35">
      <c r="A3526" s="343"/>
      <c r="B3526" s="344"/>
    </row>
    <row r="3527" spans="1:2" ht="15.5" x14ac:dyDescent="0.35">
      <c r="A3527" s="343"/>
      <c r="B3527" s="344"/>
    </row>
    <row r="3528" spans="1:2" ht="15.5" x14ac:dyDescent="0.35">
      <c r="A3528" s="343"/>
      <c r="B3528" s="344"/>
    </row>
    <row r="3529" spans="1:2" ht="15.5" x14ac:dyDescent="0.35">
      <c r="A3529" s="343"/>
      <c r="B3529" s="344"/>
    </row>
    <row r="3530" spans="1:2" ht="15.5" x14ac:dyDescent="0.35">
      <c r="A3530" s="343"/>
      <c r="B3530" s="344"/>
    </row>
    <row r="3531" spans="1:2" ht="15.5" x14ac:dyDescent="0.35">
      <c r="A3531" s="343"/>
      <c r="B3531" s="344"/>
    </row>
    <row r="3532" spans="1:2" ht="15.5" x14ac:dyDescent="0.35">
      <c r="A3532" s="343"/>
      <c r="B3532" s="344"/>
    </row>
    <row r="3533" spans="1:2" ht="15.5" x14ac:dyDescent="0.35">
      <c r="A3533" s="343"/>
      <c r="B3533" s="344"/>
    </row>
    <row r="3534" spans="1:2" ht="15.5" x14ac:dyDescent="0.35">
      <c r="A3534" s="343"/>
      <c r="B3534" s="344"/>
    </row>
    <row r="3535" spans="1:2" ht="15.5" x14ac:dyDescent="0.35">
      <c r="A3535" s="343"/>
      <c r="B3535" s="344"/>
    </row>
    <row r="3536" spans="1:2" ht="15.5" x14ac:dyDescent="0.35">
      <c r="A3536" s="343"/>
      <c r="B3536" s="344"/>
    </row>
    <row r="3537" spans="1:2" ht="15.5" x14ac:dyDescent="0.35">
      <c r="A3537" s="343"/>
      <c r="B3537" s="344"/>
    </row>
    <row r="3538" spans="1:2" ht="15.5" x14ac:dyDescent="0.35">
      <c r="A3538" s="343"/>
      <c r="B3538" s="344"/>
    </row>
    <row r="3539" spans="1:2" ht="15.5" x14ac:dyDescent="0.35">
      <c r="A3539" s="343"/>
      <c r="B3539" s="344"/>
    </row>
    <row r="3540" spans="1:2" ht="15.5" x14ac:dyDescent="0.35">
      <c r="A3540" s="343"/>
      <c r="B3540" s="344"/>
    </row>
    <row r="3541" spans="1:2" ht="15.5" x14ac:dyDescent="0.35">
      <c r="A3541" s="343"/>
      <c r="B3541" s="344"/>
    </row>
    <row r="3542" spans="1:2" ht="15.5" x14ac:dyDescent="0.35">
      <c r="A3542" s="343"/>
      <c r="B3542" s="344"/>
    </row>
    <row r="3543" spans="1:2" ht="15.5" x14ac:dyDescent="0.35">
      <c r="A3543" s="343"/>
      <c r="B3543" s="344"/>
    </row>
    <row r="3544" spans="1:2" ht="15.5" x14ac:dyDescent="0.35">
      <c r="A3544" s="343"/>
      <c r="B3544" s="344"/>
    </row>
    <row r="3545" spans="1:2" ht="15.5" x14ac:dyDescent="0.35">
      <c r="A3545" s="343"/>
      <c r="B3545" s="344"/>
    </row>
    <row r="3546" spans="1:2" ht="15.5" x14ac:dyDescent="0.35">
      <c r="A3546" s="343"/>
      <c r="B3546" s="344"/>
    </row>
    <row r="3547" spans="1:2" ht="15.5" x14ac:dyDescent="0.35">
      <c r="A3547" s="343"/>
      <c r="B3547" s="344"/>
    </row>
    <row r="3548" spans="1:2" ht="15.5" x14ac:dyDescent="0.35">
      <c r="A3548" s="343"/>
      <c r="B3548" s="344"/>
    </row>
    <row r="3549" spans="1:2" ht="15.5" x14ac:dyDescent="0.35">
      <c r="A3549" s="343"/>
      <c r="B3549" s="344"/>
    </row>
    <row r="3550" spans="1:2" ht="15.5" x14ac:dyDescent="0.35">
      <c r="A3550" s="343"/>
      <c r="B3550" s="344"/>
    </row>
    <row r="3551" spans="1:2" ht="15.5" x14ac:dyDescent="0.35">
      <c r="A3551" s="343"/>
      <c r="B3551" s="344"/>
    </row>
    <row r="3552" spans="1:2" ht="15.5" x14ac:dyDescent="0.35">
      <c r="A3552" s="343"/>
      <c r="B3552" s="344"/>
    </row>
    <row r="3553" spans="1:2" ht="15.5" x14ac:dyDescent="0.35">
      <c r="A3553" s="343"/>
      <c r="B3553" s="344"/>
    </row>
    <row r="3554" spans="1:2" ht="15.5" x14ac:dyDescent="0.35">
      <c r="A3554" s="343"/>
      <c r="B3554" s="344"/>
    </row>
    <row r="3555" spans="1:2" ht="15.5" x14ac:dyDescent="0.35">
      <c r="A3555" s="343"/>
      <c r="B3555" s="344"/>
    </row>
    <row r="3556" spans="1:2" ht="15.5" x14ac:dyDescent="0.35">
      <c r="A3556" s="343"/>
      <c r="B3556" s="344"/>
    </row>
    <row r="3557" spans="1:2" ht="15.5" x14ac:dyDescent="0.35">
      <c r="A3557" s="343"/>
      <c r="B3557" s="344"/>
    </row>
    <row r="3558" spans="1:2" ht="15.5" x14ac:dyDescent="0.35">
      <c r="A3558" s="343"/>
      <c r="B3558" s="344"/>
    </row>
    <row r="3559" spans="1:2" ht="15.5" x14ac:dyDescent="0.35">
      <c r="A3559" s="343"/>
      <c r="B3559" s="344"/>
    </row>
    <row r="3560" spans="1:2" ht="15.5" x14ac:dyDescent="0.35">
      <c r="A3560" s="343"/>
      <c r="B3560" s="344"/>
    </row>
    <row r="3561" spans="1:2" ht="15.5" x14ac:dyDescent="0.35">
      <c r="A3561" s="343"/>
      <c r="B3561" s="344"/>
    </row>
    <row r="3562" spans="1:2" ht="15.5" x14ac:dyDescent="0.35">
      <c r="A3562" s="343"/>
      <c r="B3562" s="344"/>
    </row>
    <row r="3563" spans="1:2" ht="15.5" x14ac:dyDescent="0.35">
      <c r="A3563" s="343"/>
      <c r="B3563" s="344"/>
    </row>
    <row r="3564" spans="1:2" ht="15.5" x14ac:dyDescent="0.35">
      <c r="A3564" s="343"/>
      <c r="B3564" s="344"/>
    </row>
    <row r="3565" spans="1:2" ht="15.5" x14ac:dyDescent="0.35">
      <c r="A3565" s="343"/>
      <c r="B3565" s="344"/>
    </row>
    <row r="3566" spans="1:2" ht="15.5" x14ac:dyDescent="0.35">
      <c r="A3566" s="343"/>
      <c r="B3566" s="344"/>
    </row>
    <row r="3567" spans="1:2" ht="15.5" x14ac:dyDescent="0.35">
      <c r="A3567" s="343"/>
      <c r="B3567" s="344"/>
    </row>
    <row r="3568" spans="1:2" ht="15.5" x14ac:dyDescent="0.35">
      <c r="A3568" s="343"/>
      <c r="B3568" s="344"/>
    </row>
    <row r="3569" spans="1:2" ht="15.5" x14ac:dyDescent="0.35">
      <c r="A3569" s="343"/>
      <c r="B3569" s="344"/>
    </row>
    <row r="3570" spans="1:2" ht="15.5" x14ac:dyDescent="0.35">
      <c r="A3570" s="343"/>
      <c r="B3570" s="344"/>
    </row>
    <row r="3571" spans="1:2" ht="15.5" x14ac:dyDescent="0.35">
      <c r="A3571" s="343"/>
      <c r="B3571" s="344"/>
    </row>
    <row r="3572" spans="1:2" ht="15.5" x14ac:dyDescent="0.35">
      <c r="A3572" s="343"/>
      <c r="B3572" s="344"/>
    </row>
    <row r="3573" spans="1:2" ht="15.5" x14ac:dyDescent="0.35">
      <c r="A3573" s="343"/>
      <c r="B3573" s="344"/>
    </row>
    <row r="3574" spans="1:2" ht="15.5" x14ac:dyDescent="0.35">
      <c r="A3574" s="343"/>
      <c r="B3574" s="344"/>
    </row>
    <row r="3575" spans="1:2" ht="15.5" x14ac:dyDescent="0.35">
      <c r="A3575" s="343"/>
      <c r="B3575" s="344"/>
    </row>
    <row r="3576" spans="1:2" ht="15.5" x14ac:dyDescent="0.35">
      <c r="A3576" s="343"/>
      <c r="B3576" s="344"/>
    </row>
    <row r="3577" spans="1:2" ht="15.5" x14ac:dyDescent="0.35">
      <c r="A3577" s="343"/>
      <c r="B3577" s="344"/>
    </row>
    <row r="3578" spans="1:2" ht="15.5" x14ac:dyDescent="0.35">
      <c r="A3578" s="343"/>
      <c r="B3578" s="344"/>
    </row>
    <row r="3579" spans="1:2" ht="15.5" x14ac:dyDescent="0.35">
      <c r="A3579" s="343"/>
      <c r="B3579" s="344"/>
    </row>
    <row r="3580" spans="1:2" ht="15.5" x14ac:dyDescent="0.35">
      <c r="A3580" s="343"/>
      <c r="B3580" s="344"/>
    </row>
    <row r="3581" spans="1:2" ht="15.5" x14ac:dyDescent="0.35">
      <c r="A3581" s="343"/>
      <c r="B3581" s="344"/>
    </row>
    <row r="3582" spans="1:2" ht="15.5" x14ac:dyDescent="0.35">
      <c r="A3582" s="343"/>
      <c r="B3582" s="344"/>
    </row>
    <row r="3583" spans="1:2" ht="15.5" x14ac:dyDescent="0.35">
      <c r="A3583" s="343"/>
      <c r="B3583" s="344"/>
    </row>
    <row r="3584" spans="1:2" ht="15.5" x14ac:dyDescent="0.35">
      <c r="A3584" s="343"/>
      <c r="B3584" s="344"/>
    </row>
    <row r="3585" spans="1:2" ht="15.5" x14ac:dyDescent="0.35">
      <c r="A3585" s="343"/>
      <c r="B3585" s="344"/>
    </row>
    <row r="3586" spans="1:2" ht="15.5" x14ac:dyDescent="0.35">
      <c r="A3586" s="343"/>
      <c r="B3586" s="344"/>
    </row>
    <row r="3587" spans="1:2" ht="15.5" x14ac:dyDescent="0.35">
      <c r="A3587" s="343"/>
      <c r="B3587" s="344"/>
    </row>
    <row r="3588" spans="1:2" ht="15.5" x14ac:dyDescent="0.35">
      <c r="A3588" s="343"/>
      <c r="B3588" s="344"/>
    </row>
    <row r="3589" spans="1:2" ht="15.5" x14ac:dyDescent="0.35">
      <c r="A3589" s="343"/>
      <c r="B3589" s="344"/>
    </row>
    <row r="3590" spans="1:2" ht="15.5" x14ac:dyDescent="0.35">
      <c r="A3590" s="343"/>
      <c r="B3590" s="344"/>
    </row>
    <row r="3591" spans="1:2" ht="15.5" x14ac:dyDescent="0.35">
      <c r="A3591" s="343"/>
      <c r="B3591" s="344"/>
    </row>
    <row r="3592" spans="1:2" ht="15.5" x14ac:dyDescent="0.35">
      <c r="A3592" s="343"/>
      <c r="B3592" s="344"/>
    </row>
    <row r="3593" spans="1:2" ht="15.5" x14ac:dyDescent="0.35">
      <c r="A3593" s="343"/>
      <c r="B3593" s="344"/>
    </row>
    <row r="3594" spans="1:2" ht="15.5" x14ac:dyDescent="0.35">
      <c r="A3594" s="343"/>
      <c r="B3594" s="344"/>
    </row>
    <row r="3595" spans="1:2" ht="15.5" x14ac:dyDescent="0.35">
      <c r="A3595" s="343"/>
      <c r="B3595" s="344"/>
    </row>
    <row r="3596" spans="1:2" ht="15.5" x14ac:dyDescent="0.35">
      <c r="A3596" s="343"/>
      <c r="B3596" s="344"/>
    </row>
    <row r="3597" spans="1:2" ht="15.5" x14ac:dyDescent="0.35">
      <c r="A3597" s="343"/>
      <c r="B3597" s="344"/>
    </row>
    <row r="3598" spans="1:2" ht="15.5" x14ac:dyDescent="0.35">
      <c r="A3598" s="343"/>
      <c r="B3598" s="344"/>
    </row>
    <row r="3599" spans="1:2" ht="15.5" x14ac:dyDescent="0.35">
      <c r="A3599" s="343"/>
      <c r="B3599" s="344"/>
    </row>
    <row r="3600" spans="1:2" ht="15.5" x14ac:dyDescent="0.35">
      <c r="A3600" s="343"/>
      <c r="B3600" s="344"/>
    </row>
    <row r="3601" spans="1:2" ht="15.5" x14ac:dyDescent="0.35">
      <c r="A3601" s="343"/>
      <c r="B3601" s="344"/>
    </row>
    <row r="3602" spans="1:2" ht="15.5" x14ac:dyDescent="0.35">
      <c r="A3602" s="343"/>
      <c r="B3602" s="344"/>
    </row>
    <row r="3603" spans="1:2" ht="15.5" x14ac:dyDescent="0.35">
      <c r="A3603" s="343"/>
      <c r="B3603" s="344"/>
    </row>
    <row r="3604" spans="1:2" ht="15.5" x14ac:dyDescent="0.35">
      <c r="A3604" s="343"/>
      <c r="B3604" s="344"/>
    </row>
    <row r="3605" spans="1:2" ht="15.5" x14ac:dyDescent="0.35">
      <c r="A3605" s="343"/>
      <c r="B3605" s="344"/>
    </row>
    <row r="3606" spans="1:2" ht="15.5" x14ac:dyDescent="0.35">
      <c r="A3606" s="343"/>
      <c r="B3606" s="344"/>
    </row>
    <row r="3607" spans="1:2" ht="15.5" x14ac:dyDescent="0.35">
      <c r="A3607" s="343"/>
      <c r="B3607" s="344"/>
    </row>
    <row r="3608" spans="1:2" ht="15.5" x14ac:dyDescent="0.35">
      <c r="A3608" s="343"/>
      <c r="B3608" s="344"/>
    </row>
    <row r="3609" spans="1:2" ht="15.5" x14ac:dyDescent="0.35">
      <c r="A3609" s="343"/>
      <c r="B3609" s="344"/>
    </row>
    <row r="3610" spans="1:2" ht="15.5" x14ac:dyDescent="0.35">
      <c r="A3610" s="343"/>
      <c r="B3610" s="344"/>
    </row>
    <row r="3611" spans="1:2" ht="15.5" x14ac:dyDescent="0.35">
      <c r="A3611" s="343"/>
      <c r="B3611" s="344"/>
    </row>
    <row r="3612" spans="1:2" ht="15.5" x14ac:dyDescent="0.35">
      <c r="A3612" s="343"/>
      <c r="B3612" s="344"/>
    </row>
    <row r="3613" spans="1:2" ht="15.5" x14ac:dyDescent="0.35">
      <c r="A3613" s="343"/>
      <c r="B3613" s="344"/>
    </row>
    <row r="3614" spans="1:2" ht="15.5" x14ac:dyDescent="0.35">
      <c r="A3614" s="343"/>
      <c r="B3614" s="344"/>
    </row>
    <row r="3615" spans="1:2" ht="15.5" x14ac:dyDescent="0.35">
      <c r="A3615" s="343"/>
      <c r="B3615" s="344"/>
    </row>
    <row r="3616" spans="1:2" ht="15.5" x14ac:dyDescent="0.35">
      <c r="A3616" s="343"/>
      <c r="B3616" s="344"/>
    </row>
    <row r="3617" spans="1:2" ht="15.5" x14ac:dyDescent="0.35">
      <c r="A3617" s="343"/>
      <c r="B3617" s="344"/>
    </row>
    <row r="3618" spans="1:2" ht="15.5" x14ac:dyDescent="0.35">
      <c r="A3618" s="343"/>
      <c r="B3618" s="344"/>
    </row>
    <row r="3619" spans="1:2" ht="15.5" x14ac:dyDescent="0.35">
      <c r="A3619" s="343"/>
      <c r="B3619" s="344"/>
    </row>
    <row r="3620" spans="1:2" ht="15.5" x14ac:dyDescent="0.35">
      <c r="A3620" s="343"/>
      <c r="B3620" s="344"/>
    </row>
    <row r="3621" spans="1:2" ht="15.5" x14ac:dyDescent="0.35">
      <c r="A3621" s="343"/>
      <c r="B3621" s="344"/>
    </row>
    <row r="3622" spans="1:2" ht="15.5" x14ac:dyDescent="0.35">
      <c r="A3622" s="343"/>
      <c r="B3622" s="344"/>
    </row>
    <row r="3623" spans="1:2" ht="15.5" x14ac:dyDescent="0.35">
      <c r="A3623" s="343"/>
      <c r="B3623" s="344"/>
    </row>
    <row r="3624" spans="1:2" ht="15.5" x14ac:dyDescent="0.35">
      <c r="A3624" s="343"/>
      <c r="B3624" s="344"/>
    </row>
    <row r="3625" spans="1:2" ht="15.5" x14ac:dyDescent="0.35">
      <c r="A3625" s="343"/>
      <c r="B3625" s="344"/>
    </row>
    <row r="3626" spans="1:2" ht="15.5" x14ac:dyDescent="0.35">
      <c r="A3626" s="343"/>
      <c r="B3626" s="344"/>
    </row>
    <row r="3627" spans="1:2" ht="15.5" x14ac:dyDescent="0.35">
      <c r="A3627" s="343"/>
      <c r="B3627" s="344"/>
    </row>
    <row r="3628" spans="1:2" ht="15.5" x14ac:dyDescent="0.35">
      <c r="A3628" s="343"/>
      <c r="B3628" s="344"/>
    </row>
    <row r="3629" spans="1:2" ht="15.5" x14ac:dyDescent="0.35">
      <c r="A3629" s="343"/>
      <c r="B3629" s="344"/>
    </row>
    <row r="3630" spans="1:2" ht="15.5" x14ac:dyDescent="0.35">
      <c r="A3630" s="343"/>
      <c r="B3630" s="344"/>
    </row>
    <row r="3631" spans="1:2" ht="15.5" x14ac:dyDescent="0.35">
      <c r="A3631" s="343"/>
      <c r="B3631" s="344"/>
    </row>
    <row r="3632" spans="1:2" ht="15.5" x14ac:dyDescent="0.35">
      <c r="A3632" s="343"/>
      <c r="B3632" s="344"/>
    </row>
    <row r="3633" spans="1:2" ht="15.5" x14ac:dyDescent="0.35">
      <c r="A3633" s="343"/>
      <c r="B3633" s="344"/>
    </row>
    <row r="3634" spans="1:2" ht="15.5" x14ac:dyDescent="0.35">
      <c r="A3634" s="343"/>
      <c r="B3634" s="344"/>
    </row>
    <row r="3635" spans="1:2" ht="15.5" x14ac:dyDescent="0.35">
      <c r="A3635" s="343"/>
      <c r="B3635" s="344"/>
    </row>
    <row r="3636" spans="1:2" ht="15.5" x14ac:dyDescent="0.35">
      <c r="A3636" s="343"/>
      <c r="B3636" s="344"/>
    </row>
    <row r="3637" spans="1:2" ht="15.5" x14ac:dyDescent="0.35">
      <c r="A3637" s="343"/>
      <c r="B3637" s="344"/>
    </row>
    <row r="3638" spans="1:2" ht="15.5" x14ac:dyDescent="0.35">
      <c r="A3638" s="343"/>
      <c r="B3638" s="344"/>
    </row>
    <row r="3639" spans="1:2" ht="15.5" x14ac:dyDescent="0.35">
      <c r="A3639" s="343"/>
      <c r="B3639" s="344"/>
    </row>
    <row r="3640" spans="1:2" ht="15.5" x14ac:dyDescent="0.35">
      <c r="A3640" s="343"/>
      <c r="B3640" s="344"/>
    </row>
    <row r="3641" spans="1:2" ht="15.5" x14ac:dyDescent="0.35">
      <c r="A3641" s="343"/>
      <c r="B3641" s="344"/>
    </row>
    <row r="3642" spans="1:2" ht="15.5" x14ac:dyDescent="0.35">
      <c r="A3642" s="343"/>
      <c r="B3642" s="344"/>
    </row>
    <row r="3643" spans="1:2" ht="15.5" x14ac:dyDescent="0.35">
      <c r="A3643" s="343"/>
      <c r="B3643" s="344"/>
    </row>
    <row r="3644" spans="1:2" ht="15.5" x14ac:dyDescent="0.35">
      <c r="A3644" s="343"/>
      <c r="B3644" s="344"/>
    </row>
    <row r="3645" spans="1:2" ht="15.5" x14ac:dyDescent="0.35">
      <c r="A3645" s="343"/>
      <c r="B3645" s="344"/>
    </row>
    <row r="3646" spans="1:2" ht="15.5" x14ac:dyDescent="0.35">
      <c r="A3646" s="343"/>
      <c r="B3646" s="344"/>
    </row>
    <row r="3647" spans="1:2" ht="15.5" x14ac:dyDescent="0.35">
      <c r="A3647" s="343"/>
      <c r="B3647" s="344"/>
    </row>
    <row r="3648" spans="1:2" ht="15.5" x14ac:dyDescent="0.35">
      <c r="A3648" s="343"/>
      <c r="B3648" s="344"/>
    </row>
    <row r="3649" spans="1:2" ht="15.5" x14ac:dyDescent="0.35">
      <c r="A3649" s="343"/>
      <c r="B3649" s="344"/>
    </row>
    <row r="3650" spans="1:2" ht="15.5" x14ac:dyDescent="0.35">
      <c r="A3650" s="343"/>
      <c r="B3650" s="344"/>
    </row>
    <row r="3651" spans="1:2" ht="15.5" x14ac:dyDescent="0.35">
      <c r="A3651" s="343"/>
      <c r="B3651" s="344"/>
    </row>
    <row r="3652" spans="1:2" ht="15.5" x14ac:dyDescent="0.35">
      <c r="A3652" s="343"/>
      <c r="B3652" s="344"/>
    </row>
    <row r="3653" spans="1:2" ht="15.5" x14ac:dyDescent="0.35">
      <c r="A3653" s="343"/>
      <c r="B3653" s="344"/>
    </row>
    <row r="3654" spans="1:2" ht="15.5" x14ac:dyDescent="0.35">
      <c r="A3654" s="343"/>
      <c r="B3654" s="344"/>
    </row>
    <row r="3655" spans="1:2" ht="15.5" x14ac:dyDescent="0.35">
      <c r="A3655" s="343"/>
      <c r="B3655" s="344"/>
    </row>
    <row r="3656" spans="1:2" ht="15.5" x14ac:dyDescent="0.35">
      <c r="A3656" s="343"/>
      <c r="B3656" s="344"/>
    </row>
    <row r="3657" spans="1:2" ht="15.5" x14ac:dyDescent="0.35">
      <c r="A3657" s="343"/>
      <c r="B3657" s="344"/>
    </row>
    <row r="3658" spans="1:2" ht="15.5" x14ac:dyDescent="0.35">
      <c r="A3658" s="343"/>
      <c r="B3658" s="344"/>
    </row>
    <row r="3659" spans="1:2" ht="15.5" x14ac:dyDescent="0.35">
      <c r="A3659" s="343"/>
      <c r="B3659" s="344"/>
    </row>
    <row r="3660" spans="1:2" ht="15.5" x14ac:dyDescent="0.35">
      <c r="A3660" s="343"/>
      <c r="B3660" s="344"/>
    </row>
    <row r="3661" spans="1:2" ht="15.5" x14ac:dyDescent="0.35">
      <c r="A3661" s="343"/>
      <c r="B3661" s="344"/>
    </row>
    <row r="3662" spans="1:2" ht="15.5" x14ac:dyDescent="0.35">
      <c r="A3662" s="343"/>
      <c r="B3662" s="344"/>
    </row>
    <row r="3663" spans="1:2" ht="15.5" x14ac:dyDescent="0.35">
      <c r="A3663" s="343"/>
      <c r="B3663" s="344"/>
    </row>
    <row r="3664" spans="1:2" ht="15.5" x14ac:dyDescent="0.35">
      <c r="A3664" s="343"/>
      <c r="B3664" s="344"/>
    </row>
    <row r="3665" spans="1:2" ht="15.5" x14ac:dyDescent="0.35">
      <c r="A3665" s="343"/>
      <c r="B3665" s="344"/>
    </row>
    <row r="3666" spans="1:2" ht="15.5" x14ac:dyDescent="0.35">
      <c r="A3666" s="343"/>
      <c r="B3666" s="344"/>
    </row>
    <row r="3667" spans="1:2" ht="15.5" x14ac:dyDescent="0.35">
      <c r="A3667" s="343"/>
      <c r="B3667" s="344"/>
    </row>
    <row r="3668" spans="1:2" ht="15.5" x14ac:dyDescent="0.35">
      <c r="A3668" s="343"/>
      <c r="B3668" s="344"/>
    </row>
    <row r="3669" spans="1:2" ht="15.5" x14ac:dyDescent="0.35">
      <c r="A3669" s="343"/>
      <c r="B3669" s="344"/>
    </row>
    <row r="3670" spans="1:2" ht="15.5" x14ac:dyDescent="0.35">
      <c r="A3670" s="343"/>
      <c r="B3670" s="344"/>
    </row>
    <row r="3671" spans="1:2" ht="15.5" x14ac:dyDescent="0.35">
      <c r="A3671" s="343"/>
      <c r="B3671" s="344"/>
    </row>
    <row r="3672" spans="1:2" ht="15.5" x14ac:dyDescent="0.35">
      <c r="A3672" s="343"/>
      <c r="B3672" s="344"/>
    </row>
    <row r="3673" spans="1:2" ht="15.5" x14ac:dyDescent="0.35">
      <c r="A3673" s="343"/>
      <c r="B3673" s="344"/>
    </row>
    <row r="3674" spans="1:2" ht="15.5" x14ac:dyDescent="0.35">
      <c r="A3674" s="343"/>
      <c r="B3674" s="344"/>
    </row>
    <row r="3675" spans="1:2" ht="15.5" x14ac:dyDescent="0.35">
      <c r="A3675" s="343"/>
      <c r="B3675" s="344"/>
    </row>
    <row r="3676" spans="1:2" ht="15.5" x14ac:dyDescent="0.35">
      <c r="A3676" s="343"/>
      <c r="B3676" s="344"/>
    </row>
    <row r="3677" spans="1:2" ht="15.5" x14ac:dyDescent="0.35">
      <c r="A3677" s="343"/>
      <c r="B3677" s="344"/>
    </row>
    <row r="3678" spans="1:2" ht="15.5" x14ac:dyDescent="0.35">
      <c r="A3678" s="343"/>
      <c r="B3678" s="344"/>
    </row>
    <row r="3679" spans="1:2" ht="15.5" x14ac:dyDescent="0.35">
      <c r="A3679" s="343"/>
      <c r="B3679" s="344"/>
    </row>
    <row r="3680" spans="1:2" ht="15.5" x14ac:dyDescent="0.35">
      <c r="A3680" s="343"/>
      <c r="B3680" s="344"/>
    </row>
    <row r="3681" spans="1:2" ht="15.5" x14ac:dyDescent="0.35">
      <c r="A3681" s="343"/>
      <c r="B3681" s="344"/>
    </row>
    <row r="3682" spans="1:2" ht="15.5" x14ac:dyDescent="0.35">
      <c r="A3682" s="343"/>
      <c r="B3682" s="344"/>
    </row>
    <row r="3683" spans="1:2" ht="15.5" x14ac:dyDescent="0.35">
      <c r="A3683" s="343"/>
      <c r="B3683" s="344"/>
    </row>
    <row r="3684" spans="1:2" ht="15.5" x14ac:dyDescent="0.35">
      <c r="A3684" s="343"/>
      <c r="B3684" s="344"/>
    </row>
    <row r="3685" spans="1:2" ht="15.5" x14ac:dyDescent="0.35">
      <c r="A3685" s="343"/>
      <c r="B3685" s="344"/>
    </row>
    <row r="3686" spans="1:2" ht="15.5" x14ac:dyDescent="0.35">
      <c r="A3686" s="343"/>
      <c r="B3686" s="344"/>
    </row>
    <row r="3687" spans="1:2" ht="15.5" x14ac:dyDescent="0.35">
      <c r="A3687" s="343"/>
      <c r="B3687" s="344"/>
    </row>
    <row r="3688" spans="1:2" ht="15.5" x14ac:dyDescent="0.35">
      <c r="A3688" s="343"/>
      <c r="B3688" s="344"/>
    </row>
    <row r="3689" spans="1:2" ht="15.5" x14ac:dyDescent="0.35">
      <c r="A3689" s="343"/>
      <c r="B3689" s="344"/>
    </row>
    <row r="3690" spans="1:2" ht="15.5" x14ac:dyDescent="0.35">
      <c r="A3690" s="343"/>
      <c r="B3690" s="344"/>
    </row>
    <row r="3691" spans="1:2" ht="15.5" x14ac:dyDescent="0.35">
      <c r="A3691" s="343"/>
      <c r="B3691" s="344"/>
    </row>
    <row r="3692" spans="1:2" ht="15.5" x14ac:dyDescent="0.35">
      <c r="A3692" s="343"/>
      <c r="B3692" s="344"/>
    </row>
    <row r="3693" spans="1:2" ht="15.5" x14ac:dyDescent="0.35">
      <c r="A3693" s="343"/>
      <c r="B3693" s="344"/>
    </row>
    <row r="3694" spans="1:2" ht="15.5" x14ac:dyDescent="0.35">
      <c r="A3694" s="343"/>
      <c r="B3694" s="344"/>
    </row>
    <row r="3695" spans="1:2" ht="15.5" x14ac:dyDescent="0.35">
      <c r="A3695" s="343"/>
      <c r="B3695" s="344"/>
    </row>
    <row r="3696" spans="1:2" ht="15.5" x14ac:dyDescent="0.35">
      <c r="A3696" s="343"/>
      <c r="B3696" s="344"/>
    </row>
    <row r="3697" spans="1:2" ht="15.5" x14ac:dyDescent="0.35">
      <c r="A3697" s="343"/>
      <c r="B3697" s="344"/>
    </row>
    <row r="3698" spans="1:2" ht="15.5" x14ac:dyDescent="0.35">
      <c r="A3698" s="343"/>
      <c r="B3698" s="344"/>
    </row>
    <row r="3699" spans="1:2" ht="15.5" x14ac:dyDescent="0.35">
      <c r="A3699" s="343"/>
      <c r="B3699" s="344"/>
    </row>
    <row r="3700" spans="1:2" ht="15.5" x14ac:dyDescent="0.35">
      <c r="A3700" s="343"/>
      <c r="B3700" s="344"/>
    </row>
    <row r="3701" spans="1:2" ht="15.5" x14ac:dyDescent="0.35">
      <c r="A3701" s="343"/>
      <c r="B3701" s="344"/>
    </row>
    <row r="3702" spans="1:2" ht="15.5" x14ac:dyDescent="0.35">
      <c r="A3702" s="343"/>
      <c r="B3702" s="344"/>
    </row>
    <row r="3703" spans="1:2" ht="15.5" x14ac:dyDescent="0.35">
      <c r="A3703" s="343"/>
      <c r="B3703" s="344"/>
    </row>
    <row r="3704" spans="1:2" ht="15.5" x14ac:dyDescent="0.35">
      <c r="A3704" s="343"/>
      <c r="B3704" s="344"/>
    </row>
    <row r="3705" spans="1:2" ht="15.5" x14ac:dyDescent="0.35">
      <c r="A3705" s="343"/>
      <c r="B3705" s="344"/>
    </row>
    <row r="3706" spans="1:2" ht="15.5" x14ac:dyDescent="0.35">
      <c r="A3706" s="343"/>
      <c r="B3706" s="344"/>
    </row>
    <row r="3707" spans="1:2" ht="15.5" x14ac:dyDescent="0.35">
      <c r="A3707" s="343"/>
      <c r="B3707" s="344"/>
    </row>
    <row r="3708" spans="1:2" ht="15.5" x14ac:dyDescent="0.35">
      <c r="A3708" s="343"/>
      <c r="B3708" s="344"/>
    </row>
    <row r="3709" spans="1:2" ht="15.5" x14ac:dyDescent="0.35">
      <c r="A3709" s="343"/>
      <c r="B3709" s="344"/>
    </row>
    <row r="3710" spans="1:2" ht="15.5" x14ac:dyDescent="0.35">
      <c r="A3710" s="343"/>
      <c r="B3710" s="344"/>
    </row>
    <row r="3711" spans="1:2" ht="15.5" x14ac:dyDescent="0.35">
      <c r="A3711" s="343"/>
      <c r="B3711" s="344"/>
    </row>
    <row r="3712" spans="1:2" ht="15.5" x14ac:dyDescent="0.35">
      <c r="A3712" s="343"/>
      <c r="B3712" s="344"/>
    </row>
    <row r="3713" spans="1:2" ht="15.5" x14ac:dyDescent="0.35">
      <c r="A3713" s="343"/>
      <c r="B3713" s="344"/>
    </row>
    <row r="3714" spans="1:2" ht="15.5" x14ac:dyDescent="0.35">
      <c r="A3714" s="343"/>
      <c r="B3714" s="344"/>
    </row>
    <row r="3715" spans="1:2" ht="15.5" x14ac:dyDescent="0.35">
      <c r="A3715" s="343"/>
      <c r="B3715" s="344"/>
    </row>
    <row r="3716" spans="1:2" ht="15.5" x14ac:dyDescent="0.35">
      <c r="A3716" s="343"/>
      <c r="B3716" s="344"/>
    </row>
    <row r="3717" spans="1:2" ht="15.5" x14ac:dyDescent="0.35">
      <c r="A3717" s="343"/>
      <c r="B3717" s="344"/>
    </row>
    <row r="3718" spans="1:2" ht="15.5" x14ac:dyDescent="0.35">
      <c r="A3718" s="343"/>
      <c r="B3718" s="344"/>
    </row>
    <row r="3719" spans="1:2" ht="15.5" x14ac:dyDescent="0.35">
      <c r="A3719" s="343"/>
      <c r="B3719" s="344"/>
    </row>
    <row r="3720" spans="1:2" ht="15.5" x14ac:dyDescent="0.35">
      <c r="A3720" s="343"/>
      <c r="B3720" s="344"/>
    </row>
    <row r="3721" spans="1:2" ht="15.5" x14ac:dyDescent="0.35">
      <c r="A3721" s="343"/>
      <c r="B3721" s="344"/>
    </row>
    <row r="3722" spans="1:2" ht="15.5" x14ac:dyDescent="0.35">
      <c r="A3722" s="343"/>
      <c r="B3722" s="344"/>
    </row>
    <row r="3723" spans="1:2" ht="15.5" x14ac:dyDescent="0.35">
      <c r="A3723" s="343"/>
      <c r="B3723" s="344"/>
    </row>
    <row r="3724" spans="1:2" ht="15.5" x14ac:dyDescent="0.35">
      <c r="A3724" s="343"/>
      <c r="B3724" s="344"/>
    </row>
    <row r="3725" spans="1:2" ht="15.5" x14ac:dyDescent="0.35">
      <c r="A3725" s="343"/>
      <c r="B3725" s="344"/>
    </row>
    <row r="3726" spans="1:2" ht="15.5" x14ac:dyDescent="0.35">
      <c r="A3726" s="343"/>
      <c r="B3726" s="344"/>
    </row>
    <row r="3727" spans="1:2" ht="15.5" x14ac:dyDescent="0.35">
      <c r="A3727" s="343"/>
      <c r="B3727" s="344"/>
    </row>
    <row r="3728" spans="1:2" ht="15.5" x14ac:dyDescent="0.35">
      <c r="A3728" s="343"/>
      <c r="B3728" s="344"/>
    </row>
    <row r="3729" spans="1:2" ht="15.5" x14ac:dyDescent="0.35">
      <c r="A3729" s="343"/>
      <c r="B3729" s="344"/>
    </row>
    <row r="3730" spans="1:2" ht="15.5" x14ac:dyDescent="0.35">
      <c r="A3730" s="343"/>
      <c r="B3730" s="344"/>
    </row>
    <row r="3731" spans="1:2" ht="15.5" x14ac:dyDescent="0.35">
      <c r="A3731" s="343"/>
      <c r="B3731" s="344"/>
    </row>
    <row r="3732" spans="1:2" ht="15.5" x14ac:dyDescent="0.35">
      <c r="A3732" s="343"/>
      <c r="B3732" s="344"/>
    </row>
    <row r="3733" spans="1:2" ht="15.5" x14ac:dyDescent="0.35">
      <c r="A3733" s="343"/>
      <c r="B3733" s="344"/>
    </row>
    <row r="3734" spans="1:2" ht="15.5" x14ac:dyDescent="0.35">
      <c r="A3734" s="343"/>
      <c r="B3734" s="344"/>
    </row>
    <row r="3735" spans="1:2" ht="15.5" x14ac:dyDescent="0.35">
      <c r="A3735" s="343"/>
      <c r="B3735" s="344"/>
    </row>
    <row r="3736" spans="1:2" ht="15.5" x14ac:dyDescent="0.35">
      <c r="A3736" s="343"/>
      <c r="B3736" s="344"/>
    </row>
    <row r="3737" spans="1:2" ht="15.5" x14ac:dyDescent="0.35">
      <c r="A3737" s="343"/>
      <c r="B3737" s="344"/>
    </row>
    <row r="3738" spans="1:2" ht="15.5" x14ac:dyDescent="0.35">
      <c r="A3738" s="343"/>
      <c r="B3738" s="344"/>
    </row>
    <row r="3739" spans="1:2" ht="15.5" x14ac:dyDescent="0.35">
      <c r="A3739" s="343"/>
      <c r="B3739" s="344"/>
    </row>
    <row r="3740" spans="1:2" ht="15.5" x14ac:dyDescent="0.35">
      <c r="A3740" s="343"/>
      <c r="B3740" s="344"/>
    </row>
    <row r="3741" spans="1:2" ht="15.5" x14ac:dyDescent="0.35">
      <c r="A3741" s="343"/>
      <c r="B3741" s="344"/>
    </row>
    <row r="3742" spans="1:2" ht="15.5" x14ac:dyDescent="0.35">
      <c r="A3742" s="343"/>
      <c r="B3742" s="344"/>
    </row>
    <row r="3743" spans="1:2" ht="15.5" x14ac:dyDescent="0.35">
      <c r="A3743" s="343"/>
      <c r="B3743" s="344"/>
    </row>
    <row r="3744" spans="1:2" ht="15.5" x14ac:dyDescent="0.35">
      <c r="A3744" s="343"/>
      <c r="B3744" s="344"/>
    </row>
    <row r="3745" spans="1:2" ht="15.5" x14ac:dyDescent="0.35">
      <c r="A3745" s="343"/>
      <c r="B3745" s="344"/>
    </row>
    <row r="3746" spans="1:2" ht="15.5" x14ac:dyDescent="0.35">
      <c r="A3746" s="343"/>
      <c r="B3746" s="344"/>
    </row>
    <row r="3747" spans="1:2" ht="15.5" x14ac:dyDescent="0.35">
      <c r="A3747" s="343"/>
      <c r="B3747" s="344"/>
    </row>
    <row r="3748" spans="1:2" ht="15.5" x14ac:dyDescent="0.35">
      <c r="A3748" s="343"/>
      <c r="B3748" s="344"/>
    </row>
    <row r="3749" spans="1:2" ht="15.5" x14ac:dyDescent="0.35">
      <c r="A3749" s="343"/>
      <c r="B3749" s="344"/>
    </row>
    <row r="3750" spans="1:2" ht="15.5" x14ac:dyDescent="0.35">
      <c r="A3750" s="343"/>
      <c r="B3750" s="344"/>
    </row>
    <row r="3751" spans="1:2" ht="15.5" x14ac:dyDescent="0.35">
      <c r="A3751" s="343"/>
      <c r="B3751" s="344"/>
    </row>
    <row r="3752" spans="1:2" ht="15.5" x14ac:dyDescent="0.35">
      <c r="A3752" s="343"/>
      <c r="B3752" s="344"/>
    </row>
    <row r="3753" spans="1:2" ht="15.5" x14ac:dyDescent="0.35">
      <c r="A3753" s="343"/>
      <c r="B3753" s="344"/>
    </row>
    <row r="3754" spans="1:2" ht="15.5" x14ac:dyDescent="0.35">
      <c r="A3754" s="343"/>
      <c r="B3754" s="344"/>
    </row>
    <row r="3755" spans="1:2" ht="15.5" x14ac:dyDescent="0.35">
      <c r="A3755" s="343"/>
      <c r="B3755" s="344"/>
    </row>
    <row r="3756" spans="1:2" ht="15.5" x14ac:dyDescent="0.35">
      <c r="A3756" s="343"/>
      <c r="B3756" s="344"/>
    </row>
    <row r="3757" spans="1:2" ht="15.5" x14ac:dyDescent="0.35">
      <c r="A3757" s="343"/>
      <c r="B3757" s="344"/>
    </row>
    <row r="3758" spans="1:2" ht="15.5" x14ac:dyDescent="0.35">
      <c r="A3758" s="343"/>
      <c r="B3758" s="344"/>
    </row>
    <row r="3759" spans="1:2" ht="15.5" x14ac:dyDescent="0.35">
      <c r="A3759" s="343"/>
      <c r="B3759" s="344"/>
    </row>
    <row r="3760" spans="1:2" ht="15.5" x14ac:dyDescent="0.35">
      <c r="A3760" s="343"/>
      <c r="B3760" s="344"/>
    </row>
    <row r="3761" spans="1:2" ht="15.5" x14ac:dyDescent="0.35">
      <c r="A3761" s="343"/>
      <c r="B3761" s="344"/>
    </row>
    <row r="3762" spans="1:2" ht="15.5" x14ac:dyDescent="0.35">
      <c r="A3762" s="343"/>
      <c r="B3762" s="344"/>
    </row>
    <row r="3763" spans="1:2" ht="15.5" x14ac:dyDescent="0.35">
      <c r="A3763" s="343"/>
      <c r="B3763" s="344"/>
    </row>
    <row r="3764" spans="1:2" ht="15.5" x14ac:dyDescent="0.35">
      <c r="A3764" s="343"/>
      <c r="B3764" s="344"/>
    </row>
    <row r="3765" spans="1:2" ht="15.5" x14ac:dyDescent="0.35">
      <c r="A3765" s="343"/>
      <c r="B3765" s="344"/>
    </row>
    <row r="3766" spans="1:2" ht="15.5" x14ac:dyDescent="0.35">
      <c r="A3766" s="343"/>
      <c r="B3766" s="344"/>
    </row>
    <row r="3767" spans="1:2" ht="15.5" x14ac:dyDescent="0.35">
      <c r="A3767" s="343"/>
      <c r="B3767" s="344"/>
    </row>
    <row r="3768" spans="1:2" ht="15.5" x14ac:dyDescent="0.35">
      <c r="A3768" s="343"/>
      <c r="B3768" s="344"/>
    </row>
    <row r="3769" spans="1:2" ht="15.5" x14ac:dyDescent="0.35">
      <c r="A3769" s="343"/>
      <c r="B3769" s="344"/>
    </row>
    <row r="3770" spans="1:2" ht="15.5" x14ac:dyDescent="0.35">
      <c r="A3770" s="343"/>
      <c r="B3770" s="344"/>
    </row>
    <row r="3771" spans="1:2" ht="15.5" x14ac:dyDescent="0.35">
      <c r="A3771" s="343"/>
      <c r="B3771" s="344"/>
    </row>
    <row r="3772" spans="1:2" ht="15.5" x14ac:dyDescent="0.35">
      <c r="A3772" s="343"/>
      <c r="B3772" s="344"/>
    </row>
    <row r="3773" spans="1:2" ht="15.5" x14ac:dyDescent="0.35">
      <c r="A3773" s="343"/>
      <c r="B3773" s="344"/>
    </row>
    <row r="3774" spans="1:2" ht="15.5" x14ac:dyDescent="0.35">
      <c r="A3774" s="343"/>
      <c r="B3774" s="344"/>
    </row>
    <row r="3775" spans="1:2" ht="15.5" x14ac:dyDescent="0.35">
      <c r="A3775" s="343"/>
      <c r="B3775" s="344"/>
    </row>
    <row r="3776" spans="1:2" ht="15.5" x14ac:dyDescent="0.35">
      <c r="A3776" s="343"/>
      <c r="B3776" s="344"/>
    </row>
    <row r="3777" spans="1:2" ht="15.5" x14ac:dyDescent="0.35">
      <c r="A3777" s="343"/>
      <c r="B3777" s="344"/>
    </row>
    <row r="3778" spans="1:2" ht="15.5" x14ac:dyDescent="0.35">
      <c r="A3778" s="343"/>
      <c r="B3778" s="344"/>
    </row>
    <row r="3779" spans="1:2" ht="15.5" x14ac:dyDescent="0.35">
      <c r="A3779" s="343"/>
      <c r="B3779" s="344"/>
    </row>
    <row r="3780" spans="1:2" ht="15.5" x14ac:dyDescent="0.35">
      <c r="A3780" s="343"/>
      <c r="B3780" s="344"/>
    </row>
    <row r="3781" spans="1:2" ht="15.5" x14ac:dyDescent="0.35">
      <c r="A3781" s="343"/>
      <c r="B3781" s="344"/>
    </row>
    <row r="3782" spans="1:2" ht="15.5" x14ac:dyDescent="0.35">
      <c r="A3782" s="343"/>
      <c r="B3782" s="344"/>
    </row>
    <row r="3783" spans="1:2" ht="15.5" x14ac:dyDescent="0.35">
      <c r="A3783" s="343"/>
      <c r="B3783" s="344"/>
    </row>
    <row r="3784" spans="1:2" ht="15.5" x14ac:dyDescent="0.35">
      <c r="A3784" s="343"/>
      <c r="B3784" s="344"/>
    </row>
    <row r="3785" spans="1:2" ht="15.5" x14ac:dyDescent="0.35">
      <c r="A3785" s="343"/>
      <c r="B3785" s="344"/>
    </row>
    <row r="3786" spans="1:2" ht="15.5" x14ac:dyDescent="0.35">
      <c r="A3786" s="343"/>
      <c r="B3786" s="344"/>
    </row>
    <row r="3787" spans="1:2" ht="15.5" x14ac:dyDescent="0.35">
      <c r="A3787" s="343"/>
      <c r="B3787" s="344"/>
    </row>
    <row r="3788" spans="1:2" ht="15.5" x14ac:dyDescent="0.35">
      <c r="A3788" s="343"/>
      <c r="B3788" s="344"/>
    </row>
    <row r="3789" spans="1:2" ht="15.5" x14ac:dyDescent="0.35">
      <c r="A3789" s="343"/>
      <c r="B3789" s="344"/>
    </row>
    <row r="3790" spans="1:2" ht="15.5" x14ac:dyDescent="0.35">
      <c r="A3790" s="343"/>
      <c r="B3790" s="344"/>
    </row>
    <row r="3791" spans="1:2" ht="15.5" x14ac:dyDescent="0.35">
      <c r="A3791" s="343"/>
      <c r="B3791" s="344"/>
    </row>
    <row r="3792" spans="1:2" ht="15.5" x14ac:dyDescent="0.35">
      <c r="A3792" s="343"/>
      <c r="B3792" s="344"/>
    </row>
    <row r="3793" spans="1:2" ht="15.5" x14ac:dyDescent="0.35">
      <c r="A3793" s="343"/>
      <c r="B3793" s="344"/>
    </row>
    <row r="3794" spans="1:2" ht="15.5" x14ac:dyDescent="0.35">
      <c r="A3794" s="343"/>
      <c r="B3794" s="344"/>
    </row>
    <row r="3795" spans="1:2" ht="15.5" x14ac:dyDescent="0.35">
      <c r="A3795" s="343"/>
      <c r="B3795" s="344"/>
    </row>
    <row r="3796" spans="1:2" ht="15.5" x14ac:dyDescent="0.35">
      <c r="A3796" s="343"/>
      <c r="B3796" s="344"/>
    </row>
    <row r="3797" spans="1:2" ht="15.5" x14ac:dyDescent="0.35">
      <c r="A3797" s="343"/>
      <c r="B3797" s="344"/>
    </row>
    <row r="3798" spans="1:2" ht="15.5" x14ac:dyDescent="0.35">
      <c r="A3798" s="343"/>
      <c r="B3798" s="344"/>
    </row>
    <row r="3799" spans="1:2" ht="15.5" x14ac:dyDescent="0.35">
      <c r="A3799" s="343"/>
      <c r="B3799" s="344"/>
    </row>
    <row r="3800" spans="1:2" ht="15.5" x14ac:dyDescent="0.35">
      <c r="A3800" s="343"/>
      <c r="B3800" s="344"/>
    </row>
    <row r="3801" spans="1:2" ht="15.5" x14ac:dyDescent="0.35">
      <c r="A3801" s="343"/>
      <c r="B3801" s="344"/>
    </row>
    <row r="3802" spans="1:2" ht="15.5" x14ac:dyDescent="0.35">
      <c r="A3802" s="343"/>
      <c r="B3802" s="344"/>
    </row>
    <row r="3803" spans="1:2" ht="15.5" x14ac:dyDescent="0.35">
      <c r="A3803" s="343"/>
      <c r="B3803" s="344"/>
    </row>
    <row r="3804" spans="1:2" ht="15.5" x14ac:dyDescent="0.35">
      <c r="A3804" s="343"/>
      <c r="B3804" s="344"/>
    </row>
    <row r="3805" spans="1:2" ht="15.5" x14ac:dyDescent="0.35">
      <c r="A3805" s="343"/>
      <c r="B3805" s="344"/>
    </row>
    <row r="3806" spans="1:2" ht="15.5" x14ac:dyDescent="0.35">
      <c r="A3806" s="343"/>
      <c r="B3806" s="344"/>
    </row>
    <row r="3807" spans="1:2" ht="15.5" x14ac:dyDescent="0.35">
      <c r="A3807" s="343"/>
      <c r="B3807" s="344"/>
    </row>
    <row r="3808" spans="1:2" ht="15.5" x14ac:dyDescent="0.35">
      <c r="A3808" s="343"/>
      <c r="B3808" s="344"/>
    </row>
    <row r="3809" spans="1:2" ht="15.5" x14ac:dyDescent="0.35">
      <c r="A3809" s="343"/>
      <c r="B3809" s="344"/>
    </row>
    <row r="3810" spans="1:2" ht="15.5" x14ac:dyDescent="0.35">
      <c r="A3810" s="343"/>
      <c r="B3810" s="344"/>
    </row>
    <row r="3811" spans="1:2" ht="15.5" x14ac:dyDescent="0.35">
      <c r="A3811" s="343"/>
      <c r="B3811" s="344"/>
    </row>
    <row r="3812" spans="1:2" ht="15.5" x14ac:dyDescent="0.35">
      <c r="A3812" s="343"/>
      <c r="B3812" s="344"/>
    </row>
    <row r="3813" spans="1:2" ht="15.5" x14ac:dyDescent="0.35">
      <c r="A3813" s="343"/>
      <c r="B3813" s="344"/>
    </row>
    <row r="3814" spans="1:2" ht="15.5" x14ac:dyDescent="0.35">
      <c r="A3814" s="343"/>
      <c r="B3814" s="344"/>
    </row>
    <row r="3815" spans="1:2" ht="15.5" x14ac:dyDescent="0.35">
      <c r="A3815" s="343"/>
      <c r="B3815" s="344"/>
    </row>
    <row r="3816" spans="1:2" ht="15.5" x14ac:dyDescent="0.35">
      <c r="A3816" s="343"/>
      <c r="B3816" s="344"/>
    </row>
    <row r="3817" spans="1:2" ht="15.5" x14ac:dyDescent="0.35">
      <c r="A3817" s="343"/>
      <c r="B3817" s="344"/>
    </row>
    <row r="3818" spans="1:2" ht="15.5" x14ac:dyDescent="0.35">
      <c r="A3818" s="343"/>
      <c r="B3818" s="344"/>
    </row>
    <row r="3819" spans="1:2" ht="15.5" x14ac:dyDescent="0.35">
      <c r="A3819" s="343"/>
      <c r="B3819" s="344"/>
    </row>
    <row r="3820" spans="1:2" ht="15.5" x14ac:dyDescent="0.35">
      <c r="A3820" s="343"/>
      <c r="B3820" s="344"/>
    </row>
    <row r="3821" spans="1:2" ht="15.5" x14ac:dyDescent="0.35">
      <c r="A3821" s="343"/>
      <c r="B3821" s="344"/>
    </row>
    <row r="3822" spans="1:2" ht="15.5" x14ac:dyDescent="0.35">
      <c r="A3822" s="343"/>
      <c r="B3822" s="344"/>
    </row>
    <row r="3823" spans="1:2" ht="15.5" x14ac:dyDescent="0.35">
      <c r="A3823" s="343"/>
      <c r="B3823" s="344"/>
    </row>
    <row r="3824" spans="1:2" ht="15.5" x14ac:dyDescent="0.35">
      <c r="A3824" s="343"/>
      <c r="B3824" s="344"/>
    </row>
    <row r="3825" spans="1:2" ht="15.5" x14ac:dyDescent="0.35">
      <c r="A3825" s="343"/>
      <c r="B3825" s="344"/>
    </row>
    <row r="3826" spans="1:2" ht="15.5" x14ac:dyDescent="0.35">
      <c r="A3826" s="343"/>
      <c r="B3826" s="344"/>
    </row>
    <row r="3827" spans="1:2" ht="15.5" x14ac:dyDescent="0.35">
      <c r="A3827" s="343"/>
      <c r="B3827" s="344"/>
    </row>
    <row r="3828" spans="1:2" ht="15.5" x14ac:dyDescent="0.35">
      <c r="A3828" s="343"/>
      <c r="B3828" s="344"/>
    </row>
    <row r="3829" spans="1:2" ht="15.5" x14ac:dyDescent="0.35">
      <c r="A3829" s="343"/>
      <c r="B3829" s="344"/>
    </row>
    <row r="3830" spans="1:2" ht="15.5" x14ac:dyDescent="0.35">
      <c r="A3830" s="343"/>
      <c r="B3830" s="344"/>
    </row>
    <row r="3831" spans="1:2" ht="15.5" x14ac:dyDescent="0.35">
      <c r="A3831" s="343"/>
      <c r="B3831" s="344"/>
    </row>
    <row r="3832" spans="1:2" ht="15.5" x14ac:dyDescent="0.35">
      <c r="A3832" s="343"/>
      <c r="B3832" s="344"/>
    </row>
    <row r="3833" spans="1:2" ht="15.5" x14ac:dyDescent="0.35">
      <c r="A3833" s="343"/>
      <c r="B3833" s="344"/>
    </row>
    <row r="3834" spans="1:2" ht="15.5" x14ac:dyDescent="0.35">
      <c r="A3834" s="343"/>
      <c r="B3834" s="344"/>
    </row>
    <row r="3835" spans="1:2" ht="15.5" x14ac:dyDescent="0.35">
      <c r="A3835" s="343"/>
      <c r="B3835" s="344"/>
    </row>
    <row r="3836" spans="1:2" ht="15.5" x14ac:dyDescent="0.35">
      <c r="A3836" s="343"/>
      <c r="B3836" s="344"/>
    </row>
    <row r="3837" spans="1:2" ht="15.5" x14ac:dyDescent="0.35">
      <c r="A3837" s="343"/>
      <c r="B3837" s="344"/>
    </row>
    <row r="3838" spans="1:2" ht="15.5" x14ac:dyDescent="0.35">
      <c r="A3838" s="343"/>
      <c r="B3838" s="344"/>
    </row>
    <row r="3839" spans="1:2" ht="15.5" x14ac:dyDescent="0.35">
      <c r="A3839" s="343"/>
      <c r="B3839" s="344"/>
    </row>
    <row r="3840" spans="1:2" ht="15.5" x14ac:dyDescent="0.35">
      <c r="A3840" s="343"/>
      <c r="B3840" s="344"/>
    </row>
    <row r="3841" spans="1:2" ht="15.5" x14ac:dyDescent="0.35">
      <c r="A3841" s="343"/>
      <c r="B3841" s="344"/>
    </row>
    <row r="3842" spans="1:2" ht="15.5" x14ac:dyDescent="0.35">
      <c r="A3842" s="343"/>
      <c r="B3842" s="344"/>
    </row>
    <row r="3843" spans="1:2" ht="15.5" x14ac:dyDescent="0.35">
      <c r="A3843" s="343"/>
      <c r="B3843" s="344"/>
    </row>
    <row r="3844" spans="1:2" ht="15.5" x14ac:dyDescent="0.35">
      <c r="A3844" s="343"/>
      <c r="B3844" s="344"/>
    </row>
    <row r="3845" spans="1:2" ht="15.5" x14ac:dyDescent="0.35">
      <c r="A3845" s="343"/>
      <c r="B3845" s="344"/>
    </row>
    <row r="3846" spans="1:2" ht="15.5" x14ac:dyDescent="0.35">
      <c r="A3846" s="343"/>
      <c r="B3846" s="344"/>
    </row>
    <row r="3847" spans="1:2" ht="15.5" x14ac:dyDescent="0.35">
      <c r="A3847" s="343"/>
      <c r="B3847" s="344"/>
    </row>
    <row r="3848" spans="1:2" ht="15.5" x14ac:dyDescent="0.35">
      <c r="A3848" s="343"/>
      <c r="B3848" s="344"/>
    </row>
    <row r="3849" spans="1:2" ht="15.5" x14ac:dyDescent="0.35">
      <c r="A3849" s="343"/>
      <c r="B3849" s="344"/>
    </row>
    <row r="3850" spans="1:2" ht="15.5" x14ac:dyDescent="0.35">
      <c r="A3850" s="343"/>
      <c r="B3850" s="344"/>
    </row>
    <row r="3851" spans="1:2" ht="15.5" x14ac:dyDescent="0.35">
      <c r="A3851" s="343"/>
      <c r="B3851" s="344"/>
    </row>
    <row r="3852" spans="1:2" ht="15.5" x14ac:dyDescent="0.35">
      <c r="A3852" s="343"/>
      <c r="B3852" s="344"/>
    </row>
    <row r="3853" spans="1:2" ht="15.5" x14ac:dyDescent="0.35">
      <c r="A3853" s="343"/>
      <c r="B3853" s="344"/>
    </row>
    <row r="3854" spans="1:2" ht="15.5" x14ac:dyDescent="0.35">
      <c r="A3854" s="343"/>
      <c r="B3854" s="344"/>
    </row>
    <row r="3855" spans="1:2" ht="15.5" x14ac:dyDescent="0.35">
      <c r="A3855" s="343"/>
      <c r="B3855" s="344"/>
    </row>
    <row r="3856" spans="1:2" ht="15.5" x14ac:dyDescent="0.35">
      <c r="A3856" s="343"/>
      <c r="B3856" s="344"/>
    </row>
    <row r="3857" spans="1:2" ht="15.5" x14ac:dyDescent="0.35">
      <c r="A3857" s="343"/>
      <c r="B3857" s="344"/>
    </row>
    <row r="3858" spans="1:2" ht="15.5" x14ac:dyDescent="0.35">
      <c r="A3858" s="343"/>
      <c r="B3858" s="344"/>
    </row>
    <row r="3859" spans="1:2" ht="15.5" x14ac:dyDescent="0.35">
      <c r="A3859" s="343"/>
      <c r="B3859" s="344"/>
    </row>
    <row r="3860" spans="1:2" ht="15.5" x14ac:dyDescent="0.35">
      <c r="A3860" s="343"/>
      <c r="B3860" s="344"/>
    </row>
    <row r="3861" spans="1:2" ht="15.5" x14ac:dyDescent="0.35">
      <c r="A3861" s="343"/>
      <c r="B3861" s="344"/>
    </row>
    <row r="3862" spans="1:2" ht="15.5" x14ac:dyDescent="0.35">
      <c r="A3862" s="343"/>
      <c r="B3862" s="344"/>
    </row>
    <row r="3863" spans="1:2" ht="15.5" x14ac:dyDescent="0.35">
      <c r="A3863" s="343"/>
      <c r="B3863" s="344"/>
    </row>
    <row r="3864" spans="1:2" ht="15.5" x14ac:dyDescent="0.35">
      <c r="A3864" s="343"/>
      <c r="B3864" s="344"/>
    </row>
    <row r="3865" spans="1:2" ht="15.5" x14ac:dyDescent="0.35">
      <c r="A3865" s="343"/>
      <c r="B3865" s="344"/>
    </row>
    <row r="3866" spans="1:2" ht="15.5" x14ac:dyDescent="0.35">
      <c r="A3866" s="343"/>
      <c r="B3866" s="344"/>
    </row>
    <row r="3867" spans="1:2" ht="15.5" x14ac:dyDescent="0.35">
      <c r="A3867" s="343"/>
      <c r="B3867" s="344"/>
    </row>
    <row r="3868" spans="1:2" ht="15.5" x14ac:dyDescent="0.35">
      <c r="A3868" s="343"/>
      <c r="B3868" s="344"/>
    </row>
    <row r="3869" spans="1:2" ht="15.5" x14ac:dyDescent="0.35">
      <c r="A3869" s="343"/>
      <c r="B3869" s="344"/>
    </row>
    <row r="3870" spans="1:2" ht="15.5" x14ac:dyDescent="0.35">
      <c r="A3870" s="343"/>
      <c r="B3870" s="344"/>
    </row>
    <row r="3871" spans="1:2" ht="15.5" x14ac:dyDescent="0.35">
      <c r="A3871" s="343"/>
      <c r="B3871" s="344"/>
    </row>
    <row r="3872" spans="1:2" ht="15.5" x14ac:dyDescent="0.35">
      <c r="A3872" s="343"/>
      <c r="B3872" s="344"/>
    </row>
    <row r="3873" spans="1:2" ht="15.5" x14ac:dyDescent="0.35">
      <c r="A3873" s="343"/>
      <c r="B3873" s="344"/>
    </row>
    <row r="3874" spans="1:2" ht="15.5" x14ac:dyDescent="0.35">
      <c r="A3874" s="343"/>
      <c r="B3874" s="344"/>
    </row>
    <row r="3875" spans="1:2" ht="15.5" x14ac:dyDescent="0.35">
      <c r="A3875" s="343"/>
      <c r="B3875" s="344"/>
    </row>
    <row r="3876" spans="1:2" ht="15.5" x14ac:dyDescent="0.35">
      <c r="A3876" s="343"/>
      <c r="B3876" s="344"/>
    </row>
    <row r="3877" spans="1:2" ht="15.5" x14ac:dyDescent="0.35">
      <c r="A3877" s="343"/>
      <c r="B3877" s="344"/>
    </row>
    <row r="3878" spans="1:2" ht="15.5" x14ac:dyDescent="0.35">
      <c r="A3878" s="343"/>
      <c r="B3878" s="344"/>
    </row>
    <row r="3879" spans="1:2" ht="15.5" x14ac:dyDescent="0.35">
      <c r="A3879" s="343"/>
      <c r="B3879" s="344"/>
    </row>
    <row r="3880" spans="1:2" ht="15.5" x14ac:dyDescent="0.35">
      <c r="A3880" s="343"/>
      <c r="B3880" s="344"/>
    </row>
    <row r="3881" spans="1:2" ht="15.5" x14ac:dyDescent="0.35">
      <c r="A3881" s="343"/>
      <c r="B3881" s="344"/>
    </row>
    <row r="3882" spans="1:2" ht="15.5" x14ac:dyDescent="0.35">
      <c r="A3882" s="343"/>
      <c r="B3882" s="344"/>
    </row>
    <row r="3883" spans="1:2" ht="15.5" x14ac:dyDescent="0.35">
      <c r="A3883" s="343"/>
      <c r="B3883" s="344"/>
    </row>
    <row r="3884" spans="1:2" ht="15.5" x14ac:dyDescent="0.35">
      <c r="A3884" s="343"/>
      <c r="B3884" s="344"/>
    </row>
    <row r="3885" spans="1:2" ht="15.5" x14ac:dyDescent="0.35">
      <c r="A3885" s="343"/>
      <c r="B3885" s="344"/>
    </row>
    <row r="3886" spans="1:2" ht="15.5" x14ac:dyDescent="0.35">
      <c r="A3886" s="343"/>
      <c r="B3886" s="344"/>
    </row>
    <row r="3887" spans="1:2" ht="15.5" x14ac:dyDescent="0.35">
      <c r="A3887" s="343"/>
      <c r="B3887" s="344"/>
    </row>
    <row r="3888" spans="1:2" ht="15.5" x14ac:dyDescent="0.35">
      <c r="A3888" s="343"/>
      <c r="B3888" s="344"/>
    </row>
    <row r="3889" spans="1:2" ht="15.5" x14ac:dyDescent="0.35">
      <c r="A3889" s="343"/>
      <c r="B3889" s="344"/>
    </row>
    <row r="3890" spans="1:2" ht="15.5" x14ac:dyDescent="0.35">
      <c r="A3890" s="343"/>
      <c r="B3890" s="344"/>
    </row>
    <row r="3891" spans="1:2" ht="15.5" x14ac:dyDescent="0.35">
      <c r="A3891" s="343"/>
      <c r="B3891" s="344"/>
    </row>
    <row r="3892" spans="1:2" ht="15.5" x14ac:dyDescent="0.35">
      <c r="A3892" s="343"/>
      <c r="B3892" s="344"/>
    </row>
    <row r="3893" spans="1:2" ht="15.5" x14ac:dyDescent="0.35">
      <c r="A3893" s="343"/>
      <c r="B3893" s="344"/>
    </row>
    <row r="3894" spans="1:2" ht="15.5" x14ac:dyDescent="0.35">
      <c r="A3894" s="343"/>
      <c r="B3894" s="344"/>
    </row>
    <row r="3895" spans="1:2" ht="15.5" x14ac:dyDescent="0.35">
      <c r="A3895" s="343"/>
      <c r="B3895" s="344"/>
    </row>
    <row r="3896" spans="1:2" ht="15.5" x14ac:dyDescent="0.35">
      <c r="A3896" s="343"/>
      <c r="B3896" s="344"/>
    </row>
    <row r="3897" spans="1:2" ht="15.5" x14ac:dyDescent="0.35">
      <c r="A3897" s="343"/>
      <c r="B3897" s="344"/>
    </row>
    <row r="3898" spans="1:2" ht="15.5" x14ac:dyDescent="0.35">
      <c r="A3898" s="343"/>
      <c r="B3898" s="344"/>
    </row>
    <row r="3899" spans="1:2" ht="15.5" x14ac:dyDescent="0.35">
      <c r="A3899" s="343"/>
      <c r="B3899" s="344"/>
    </row>
    <row r="3900" spans="1:2" ht="15.5" x14ac:dyDescent="0.35">
      <c r="A3900" s="343"/>
      <c r="B3900" s="344"/>
    </row>
    <row r="3901" spans="1:2" ht="15.5" x14ac:dyDescent="0.35">
      <c r="A3901" s="343"/>
      <c r="B3901" s="344"/>
    </row>
    <row r="3902" spans="1:2" ht="15.5" x14ac:dyDescent="0.35">
      <c r="A3902" s="343"/>
      <c r="B3902" s="344"/>
    </row>
    <row r="3903" spans="1:2" ht="15.5" x14ac:dyDescent="0.35">
      <c r="A3903" s="343"/>
      <c r="B3903" s="344"/>
    </row>
    <row r="3904" spans="1:2" ht="15.5" x14ac:dyDescent="0.35">
      <c r="A3904" s="343"/>
      <c r="B3904" s="344"/>
    </row>
    <row r="3905" spans="1:2" ht="15.5" x14ac:dyDescent="0.35">
      <c r="A3905" s="343"/>
      <c r="B3905" s="344"/>
    </row>
    <row r="3906" spans="1:2" ht="15.5" x14ac:dyDescent="0.35">
      <c r="A3906" s="343"/>
      <c r="B3906" s="344"/>
    </row>
    <row r="3907" spans="1:2" ht="15.5" x14ac:dyDescent="0.35">
      <c r="A3907" s="343"/>
      <c r="B3907" s="344"/>
    </row>
    <row r="3908" spans="1:2" ht="15.5" x14ac:dyDescent="0.35">
      <c r="A3908" s="343"/>
      <c r="B3908" s="344"/>
    </row>
    <row r="3909" spans="1:2" ht="15.5" x14ac:dyDescent="0.35">
      <c r="A3909" s="343"/>
      <c r="B3909" s="344"/>
    </row>
    <row r="3910" spans="1:2" ht="15.5" x14ac:dyDescent="0.35">
      <c r="A3910" s="343"/>
      <c r="B3910" s="344"/>
    </row>
    <row r="3911" spans="1:2" ht="15.5" x14ac:dyDescent="0.35">
      <c r="A3911" s="343"/>
      <c r="B3911" s="344"/>
    </row>
    <row r="3912" spans="1:2" ht="15.5" x14ac:dyDescent="0.35">
      <c r="A3912" s="343"/>
      <c r="B3912" s="344"/>
    </row>
    <row r="3913" spans="1:2" ht="15.5" x14ac:dyDescent="0.35">
      <c r="A3913" s="343"/>
      <c r="B3913" s="344"/>
    </row>
    <row r="3914" spans="1:2" ht="15.5" x14ac:dyDescent="0.35">
      <c r="A3914" s="343"/>
      <c r="B3914" s="344"/>
    </row>
    <row r="3915" spans="1:2" ht="15.5" x14ac:dyDescent="0.35">
      <c r="A3915" s="343"/>
      <c r="B3915" s="344"/>
    </row>
    <row r="3916" spans="1:2" ht="15.5" x14ac:dyDescent="0.35">
      <c r="A3916" s="343"/>
      <c r="B3916" s="344"/>
    </row>
    <row r="3917" spans="1:2" ht="15.5" x14ac:dyDescent="0.35">
      <c r="A3917" s="343"/>
      <c r="B3917" s="344"/>
    </row>
    <row r="3918" spans="1:2" ht="15.5" x14ac:dyDescent="0.35">
      <c r="A3918" s="343"/>
      <c r="B3918" s="344"/>
    </row>
    <row r="3919" spans="1:2" ht="15.5" x14ac:dyDescent="0.35">
      <c r="A3919" s="343"/>
      <c r="B3919" s="344"/>
    </row>
    <row r="3920" spans="1:2" ht="15.5" x14ac:dyDescent="0.35">
      <c r="A3920" s="343"/>
      <c r="B3920" s="344"/>
    </row>
    <row r="3921" spans="1:2" ht="15.5" x14ac:dyDescent="0.35">
      <c r="A3921" s="343"/>
      <c r="B3921" s="344"/>
    </row>
    <row r="3922" spans="1:2" ht="15.5" x14ac:dyDescent="0.35">
      <c r="A3922" s="343"/>
      <c r="B3922" s="344"/>
    </row>
    <row r="3923" spans="1:2" ht="15.5" x14ac:dyDescent="0.35">
      <c r="A3923" s="343"/>
      <c r="B3923" s="344"/>
    </row>
    <row r="3924" spans="1:2" ht="15.5" x14ac:dyDescent="0.35">
      <c r="A3924" s="343"/>
      <c r="B3924" s="344"/>
    </row>
    <row r="3925" spans="1:2" ht="15.5" x14ac:dyDescent="0.35">
      <c r="A3925" s="343"/>
      <c r="B3925" s="344"/>
    </row>
    <row r="3926" spans="1:2" ht="15.5" x14ac:dyDescent="0.35">
      <c r="A3926" s="343"/>
      <c r="B3926" s="344"/>
    </row>
    <row r="3927" spans="1:2" ht="15.5" x14ac:dyDescent="0.35">
      <c r="A3927" s="343"/>
      <c r="B3927" s="344"/>
    </row>
    <row r="3928" spans="1:2" ht="15.5" x14ac:dyDescent="0.35">
      <c r="A3928" s="343"/>
      <c r="B3928" s="344"/>
    </row>
    <row r="3929" spans="1:2" ht="15.5" x14ac:dyDescent="0.35">
      <c r="A3929" s="343"/>
      <c r="B3929" s="344"/>
    </row>
    <row r="3930" spans="1:2" ht="15.5" x14ac:dyDescent="0.35">
      <c r="A3930" s="343"/>
      <c r="B3930" s="344"/>
    </row>
    <row r="3931" spans="1:2" ht="15.5" x14ac:dyDescent="0.35">
      <c r="A3931" s="343"/>
      <c r="B3931" s="344"/>
    </row>
    <row r="3932" spans="1:2" ht="15.5" x14ac:dyDescent="0.35">
      <c r="A3932" s="343"/>
      <c r="B3932" s="344"/>
    </row>
    <row r="3933" spans="1:2" ht="15.5" x14ac:dyDescent="0.35">
      <c r="A3933" s="343"/>
      <c r="B3933" s="344"/>
    </row>
    <row r="3934" spans="1:2" ht="15.5" x14ac:dyDescent="0.35">
      <c r="A3934" s="343"/>
      <c r="B3934" s="344"/>
    </row>
    <row r="3935" spans="1:2" ht="15.5" x14ac:dyDescent="0.35">
      <c r="A3935" s="343"/>
      <c r="B3935" s="344"/>
    </row>
    <row r="3936" spans="1:2" ht="15.5" x14ac:dyDescent="0.35">
      <c r="A3936" s="343"/>
      <c r="B3936" s="344"/>
    </row>
    <row r="3937" spans="1:2" ht="15.5" x14ac:dyDescent="0.35">
      <c r="A3937" s="343"/>
      <c r="B3937" s="344"/>
    </row>
    <row r="3938" spans="1:2" ht="15.5" x14ac:dyDescent="0.35">
      <c r="A3938" s="343"/>
      <c r="B3938" s="344"/>
    </row>
    <row r="3939" spans="1:2" ht="15.5" x14ac:dyDescent="0.35">
      <c r="A3939" s="343"/>
      <c r="B3939" s="344"/>
    </row>
    <row r="3940" spans="1:2" ht="15.5" x14ac:dyDescent="0.35">
      <c r="A3940" s="343"/>
      <c r="B3940" s="344"/>
    </row>
    <row r="3941" spans="1:2" ht="15.5" x14ac:dyDescent="0.35">
      <c r="A3941" s="343"/>
      <c r="B3941" s="344"/>
    </row>
    <row r="3942" spans="1:2" ht="15.5" x14ac:dyDescent="0.35">
      <c r="A3942" s="343"/>
      <c r="B3942" s="344"/>
    </row>
    <row r="3943" spans="1:2" ht="15.5" x14ac:dyDescent="0.35">
      <c r="A3943" s="343"/>
      <c r="B3943" s="344"/>
    </row>
    <row r="3944" spans="1:2" ht="15.5" x14ac:dyDescent="0.35">
      <c r="A3944" s="343"/>
      <c r="B3944" s="344"/>
    </row>
    <row r="3945" spans="1:2" ht="15.5" x14ac:dyDescent="0.35">
      <c r="A3945" s="343"/>
      <c r="B3945" s="344"/>
    </row>
    <row r="3946" spans="1:2" ht="15.5" x14ac:dyDescent="0.35">
      <c r="A3946" s="343"/>
      <c r="B3946" s="344"/>
    </row>
    <row r="3947" spans="1:2" ht="15.5" x14ac:dyDescent="0.35">
      <c r="A3947" s="343"/>
      <c r="B3947" s="344"/>
    </row>
    <row r="3948" spans="1:2" ht="15.5" x14ac:dyDescent="0.35">
      <c r="A3948" s="343"/>
      <c r="B3948" s="344"/>
    </row>
    <row r="3949" spans="1:2" ht="15.5" x14ac:dyDescent="0.35">
      <c r="A3949" s="343"/>
      <c r="B3949" s="344"/>
    </row>
    <row r="3950" spans="1:2" ht="15.5" x14ac:dyDescent="0.35">
      <c r="A3950" s="343"/>
      <c r="B3950" s="344"/>
    </row>
    <row r="3951" spans="1:2" ht="15.5" x14ac:dyDescent="0.35">
      <c r="A3951" s="343"/>
      <c r="B3951" s="344"/>
    </row>
    <row r="3952" spans="1:2" ht="15.5" x14ac:dyDescent="0.35">
      <c r="A3952" s="343"/>
      <c r="B3952" s="344"/>
    </row>
    <row r="3953" spans="1:2" ht="15.5" x14ac:dyDescent="0.35">
      <c r="A3953" s="343"/>
      <c r="B3953" s="344"/>
    </row>
    <row r="3954" spans="1:2" ht="15.5" x14ac:dyDescent="0.35">
      <c r="A3954" s="343"/>
      <c r="B3954" s="344"/>
    </row>
    <row r="3955" spans="1:2" ht="15.5" x14ac:dyDescent="0.35">
      <c r="A3955" s="343"/>
      <c r="B3955" s="344"/>
    </row>
    <row r="3956" spans="1:2" ht="15.5" x14ac:dyDescent="0.35">
      <c r="A3956" s="343"/>
      <c r="B3956" s="344"/>
    </row>
    <row r="3957" spans="1:2" ht="15.5" x14ac:dyDescent="0.35">
      <c r="A3957" s="343"/>
      <c r="B3957" s="344"/>
    </row>
    <row r="3958" spans="1:2" ht="15.5" x14ac:dyDescent="0.35">
      <c r="A3958" s="343"/>
      <c r="B3958" s="344"/>
    </row>
    <row r="3959" spans="1:2" ht="15.5" x14ac:dyDescent="0.35">
      <c r="A3959" s="343"/>
      <c r="B3959" s="344"/>
    </row>
    <row r="3960" spans="1:2" ht="15.5" x14ac:dyDescent="0.35">
      <c r="A3960" s="343"/>
      <c r="B3960" s="344"/>
    </row>
    <row r="3961" spans="1:2" ht="15.5" x14ac:dyDescent="0.35">
      <c r="A3961" s="343"/>
      <c r="B3961" s="344"/>
    </row>
    <row r="3962" spans="1:2" ht="15.5" x14ac:dyDescent="0.35">
      <c r="A3962" s="343"/>
      <c r="B3962" s="344"/>
    </row>
    <row r="3963" spans="1:2" ht="15.5" x14ac:dyDescent="0.35">
      <c r="A3963" s="343"/>
      <c r="B3963" s="344"/>
    </row>
    <row r="3964" spans="1:2" ht="15.5" x14ac:dyDescent="0.35">
      <c r="A3964" s="343"/>
      <c r="B3964" s="344"/>
    </row>
    <row r="3965" spans="1:2" ht="15.5" x14ac:dyDescent="0.35">
      <c r="A3965" s="343"/>
      <c r="B3965" s="344"/>
    </row>
    <row r="3966" spans="1:2" ht="15.5" x14ac:dyDescent="0.35">
      <c r="A3966" s="343"/>
      <c r="B3966" s="344"/>
    </row>
    <row r="3967" spans="1:2" ht="15.5" x14ac:dyDescent="0.35">
      <c r="A3967" s="343"/>
      <c r="B3967" s="344"/>
    </row>
    <row r="3968" spans="1:2" ht="15.5" x14ac:dyDescent="0.35">
      <c r="A3968" s="343"/>
      <c r="B3968" s="344"/>
    </row>
    <row r="3969" spans="1:2" ht="15.5" x14ac:dyDescent="0.35">
      <c r="A3969" s="343"/>
      <c r="B3969" s="344"/>
    </row>
    <row r="3970" spans="1:2" ht="15.5" x14ac:dyDescent="0.35">
      <c r="A3970" s="343"/>
      <c r="B3970" s="344"/>
    </row>
    <row r="3971" spans="1:2" ht="15.5" x14ac:dyDescent="0.35">
      <c r="A3971" s="343"/>
      <c r="B3971" s="344"/>
    </row>
    <row r="3972" spans="1:2" ht="15.5" x14ac:dyDescent="0.35">
      <c r="A3972" s="343"/>
      <c r="B3972" s="344"/>
    </row>
    <row r="3973" spans="1:2" ht="15.5" x14ac:dyDescent="0.35">
      <c r="A3973" s="343"/>
      <c r="B3973" s="344"/>
    </row>
    <row r="3974" spans="1:2" ht="15.5" x14ac:dyDescent="0.35">
      <c r="A3974" s="343"/>
      <c r="B3974" s="344"/>
    </row>
    <row r="3975" spans="1:2" ht="15.5" x14ac:dyDescent="0.35">
      <c r="A3975" s="343"/>
      <c r="B3975" s="344"/>
    </row>
    <row r="3976" spans="1:2" ht="15.5" x14ac:dyDescent="0.35">
      <c r="A3976" s="343"/>
      <c r="B3976" s="344"/>
    </row>
    <row r="3977" spans="1:2" ht="15.5" x14ac:dyDescent="0.35">
      <c r="A3977" s="343"/>
      <c r="B3977" s="344"/>
    </row>
    <row r="3978" spans="1:2" ht="15.5" x14ac:dyDescent="0.35">
      <c r="A3978" s="343"/>
      <c r="B3978" s="344"/>
    </row>
    <row r="3979" spans="1:2" ht="15.5" x14ac:dyDescent="0.35">
      <c r="A3979" s="343"/>
      <c r="B3979" s="344"/>
    </row>
    <row r="3980" spans="1:2" ht="15.5" x14ac:dyDescent="0.35">
      <c r="A3980" s="343"/>
      <c r="B3980" s="344"/>
    </row>
    <row r="3981" spans="1:2" ht="15.5" x14ac:dyDescent="0.35">
      <c r="A3981" s="343"/>
      <c r="B3981" s="344"/>
    </row>
    <row r="3982" spans="1:2" ht="15.5" x14ac:dyDescent="0.35">
      <c r="A3982" s="343"/>
      <c r="B3982" s="344"/>
    </row>
    <row r="3983" spans="1:2" ht="15.5" x14ac:dyDescent="0.35">
      <c r="A3983" s="343"/>
      <c r="B3983" s="344"/>
    </row>
    <row r="3984" spans="1:2" ht="15.5" x14ac:dyDescent="0.35">
      <c r="A3984" s="343"/>
      <c r="B3984" s="344"/>
    </row>
    <row r="3985" spans="1:2" ht="15.5" x14ac:dyDescent="0.35">
      <c r="A3985" s="343"/>
      <c r="B3985" s="344"/>
    </row>
    <row r="3986" spans="1:2" ht="15.5" x14ac:dyDescent="0.35">
      <c r="A3986" s="343"/>
      <c r="B3986" s="344"/>
    </row>
    <row r="3987" spans="1:2" ht="15.5" x14ac:dyDescent="0.35">
      <c r="A3987" s="343"/>
      <c r="B3987" s="344"/>
    </row>
    <row r="3988" spans="1:2" ht="15.5" x14ac:dyDescent="0.35">
      <c r="A3988" s="343"/>
      <c r="B3988" s="344"/>
    </row>
    <row r="3989" spans="1:2" ht="15.5" x14ac:dyDescent="0.35">
      <c r="A3989" s="343"/>
      <c r="B3989" s="344"/>
    </row>
    <row r="3990" spans="1:2" ht="15.5" x14ac:dyDescent="0.35">
      <c r="A3990" s="343"/>
      <c r="B3990" s="344"/>
    </row>
    <row r="3991" spans="1:2" ht="15.5" x14ac:dyDescent="0.35">
      <c r="A3991" s="343"/>
      <c r="B3991" s="344"/>
    </row>
    <row r="3992" spans="1:2" ht="15.5" x14ac:dyDescent="0.35">
      <c r="A3992" s="343"/>
      <c r="B3992" s="344"/>
    </row>
    <row r="3993" spans="1:2" ht="15.5" x14ac:dyDescent="0.35">
      <c r="A3993" s="343"/>
      <c r="B3993" s="344"/>
    </row>
    <row r="3994" spans="1:2" ht="15.5" x14ac:dyDescent="0.35">
      <c r="A3994" s="343"/>
      <c r="B3994" s="344"/>
    </row>
    <row r="3995" spans="1:2" ht="15.5" x14ac:dyDescent="0.35">
      <c r="A3995" s="343"/>
      <c r="B3995" s="344"/>
    </row>
    <row r="3996" spans="1:2" ht="15.5" x14ac:dyDescent="0.35">
      <c r="A3996" s="343"/>
      <c r="B3996" s="344"/>
    </row>
    <row r="3997" spans="1:2" ht="15.5" x14ac:dyDescent="0.35">
      <c r="A3997" s="343"/>
      <c r="B3997" s="344"/>
    </row>
    <row r="3998" spans="1:2" ht="15.5" x14ac:dyDescent="0.35">
      <c r="A3998" s="343"/>
      <c r="B3998" s="344"/>
    </row>
    <row r="3999" spans="1:2" ht="15.5" x14ac:dyDescent="0.35">
      <c r="A3999" s="343"/>
      <c r="B3999" s="344"/>
    </row>
    <row r="4000" spans="1:2" ht="15.5" x14ac:dyDescent="0.35">
      <c r="A4000" s="343"/>
      <c r="B4000" s="344"/>
    </row>
    <row r="4001" spans="1:2" ht="15.5" x14ac:dyDescent="0.35">
      <c r="A4001" s="343"/>
      <c r="B4001" s="344"/>
    </row>
    <row r="4002" spans="1:2" ht="15.5" x14ac:dyDescent="0.35">
      <c r="A4002" s="343"/>
      <c r="B4002" s="344"/>
    </row>
    <row r="4003" spans="1:2" ht="15.5" x14ac:dyDescent="0.35">
      <c r="A4003" s="343"/>
      <c r="B4003" s="344"/>
    </row>
    <row r="4004" spans="1:2" ht="15.5" x14ac:dyDescent="0.35">
      <c r="A4004" s="343"/>
      <c r="B4004" s="344"/>
    </row>
    <row r="4005" spans="1:2" ht="15.5" x14ac:dyDescent="0.35">
      <c r="A4005" s="343"/>
      <c r="B4005" s="344"/>
    </row>
    <row r="4006" spans="1:2" ht="15.5" x14ac:dyDescent="0.35">
      <c r="A4006" s="343"/>
      <c r="B4006" s="344"/>
    </row>
    <row r="4007" spans="1:2" ht="15.5" x14ac:dyDescent="0.35">
      <c r="A4007" s="343"/>
      <c r="B4007" s="344"/>
    </row>
    <row r="4008" spans="1:2" ht="15.5" x14ac:dyDescent="0.35">
      <c r="A4008" s="343"/>
      <c r="B4008" s="344"/>
    </row>
    <row r="4009" spans="1:2" ht="15.5" x14ac:dyDescent="0.35">
      <c r="A4009" s="343"/>
      <c r="B4009" s="344"/>
    </row>
    <row r="4010" spans="1:2" ht="15.5" x14ac:dyDescent="0.35">
      <c r="A4010" s="343"/>
      <c r="B4010" s="344"/>
    </row>
    <row r="4011" spans="1:2" ht="15.5" x14ac:dyDescent="0.35">
      <c r="A4011" s="343"/>
      <c r="B4011" s="344"/>
    </row>
    <row r="4012" spans="1:2" ht="15.5" x14ac:dyDescent="0.35">
      <c r="A4012" s="343"/>
      <c r="B4012" s="344"/>
    </row>
    <row r="4013" spans="1:2" ht="15.5" x14ac:dyDescent="0.35">
      <c r="A4013" s="343"/>
      <c r="B4013" s="344"/>
    </row>
    <row r="4014" spans="1:2" ht="15.5" x14ac:dyDescent="0.35">
      <c r="A4014" s="343"/>
      <c r="B4014" s="344"/>
    </row>
    <row r="4015" spans="1:2" ht="15.5" x14ac:dyDescent="0.35">
      <c r="A4015" s="343"/>
      <c r="B4015" s="344"/>
    </row>
    <row r="4016" spans="1:2" ht="15.5" x14ac:dyDescent="0.35">
      <c r="A4016" s="343"/>
      <c r="B4016" s="344"/>
    </row>
    <row r="4017" spans="1:2" ht="15.5" x14ac:dyDescent="0.35">
      <c r="A4017" s="343"/>
      <c r="B4017" s="344"/>
    </row>
    <row r="4018" spans="1:2" ht="15.5" x14ac:dyDescent="0.35">
      <c r="A4018" s="343"/>
      <c r="B4018" s="344"/>
    </row>
    <row r="4019" spans="1:2" ht="15.5" x14ac:dyDescent="0.35">
      <c r="A4019" s="343"/>
      <c r="B4019" s="344"/>
    </row>
    <row r="4020" spans="1:2" ht="15.5" x14ac:dyDescent="0.35">
      <c r="A4020" s="343"/>
      <c r="B4020" s="344"/>
    </row>
    <row r="4021" spans="1:2" ht="15.5" x14ac:dyDescent="0.35">
      <c r="A4021" s="343"/>
      <c r="B4021" s="344"/>
    </row>
    <row r="4022" spans="1:2" ht="15.5" x14ac:dyDescent="0.35">
      <c r="A4022" s="343"/>
      <c r="B4022" s="344"/>
    </row>
    <row r="4023" spans="1:2" ht="15.5" x14ac:dyDescent="0.35">
      <c r="A4023" s="343"/>
      <c r="B4023" s="344"/>
    </row>
    <row r="4024" spans="1:2" ht="15.5" x14ac:dyDescent="0.35">
      <c r="A4024" s="343"/>
      <c r="B4024" s="344"/>
    </row>
    <row r="4025" spans="1:2" ht="15.5" x14ac:dyDescent="0.35">
      <c r="A4025" s="343"/>
      <c r="B4025" s="344"/>
    </row>
    <row r="4026" spans="1:2" ht="15.5" x14ac:dyDescent="0.35">
      <c r="A4026" s="343"/>
      <c r="B4026" s="344"/>
    </row>
    <row r="4027" spans="1:2" ht="15.5" x14ac:dyDescent="0.35">
      <c r="A4027" s="343"/>
      <c r="B4027" s="344"/>
    </row>
    <row r="4028" spans="1:2" ht="15.5" x14ac:dyDescent="0.35">
      <c r="A4028" s="343"/>
      <c r="B4028" s="344"/>
    </row>
    <row r="4029" spans="1:2" ht="15.5" x14ac:dyDescent="0.35">
      <c r="A4029" s="343"/>
      <c r="B4029" s="344"/>
    </row>
    <row r="4030" spans="1:2" ht="15.5" x14ac:dyDescent="0.35">
      <c r="A4030" s="343"/>
      <c r="B4030" s="344"/>
    </row>
    <row r="4031" spans="1:2" ht="15.5" x14ac:dyDescent="0.35">
      <c r="A4031" s="343"/>
      <c r="B4031" s="344"/>
    </row>
    <row r="4032" spans="1:2" ht="15.5" x14ac:dyDescent="0.35">
      <c r="A4032" s="343"/>
      <c r="B4032" s="344"/>
    </row>
    <row r="4033" spans="1:2" ht="15.5" x14ac:dyDescent="0.35">
      <c r="A4033" s="343"/>
      <c r="B4033" s="344"/>
    </row>
    <row r="4034" spans="1:2" ht="15.5" x14ac:dyDescent="0.35">
      <c r="A4034" s="343"/>
      <c r="B4034" s="344"/>
    </row>
    <row r="4035" spans="1:2" ht="15.5" x14ac:dyDescent="0.35">
      <c r="A4035" s="343"/>
      <c r="B4035" s="344"/>
    </row>
    <row r="4036" spans="1:2" ht="15.5" x14ac:dyDescent="0.35">
      <c r="A4036" s="343"/>
      <c r="B4036" s="344"/>
    </row>
    <row r="4037" spans="1:2" ht="15.5" x14ac:dyDescent="0.35">
      <c r="A4037" s="343"/>
      <c r="B4037" s="344"/>
    </row>
    <row r="4038" spans="1:2" ht="15.5" x14ac:dyDescent="0.35">
      <c r="A4038" s="343"/>
      <c r="B4038" s="344"/>
    </row>
    <row r="4039" spans="1:2" ht="15.5" x14ac:dyDescent="0.35">
      <c r="A4039" s="343"/>
      <c r="B4039" s="344"/>
    </row>
    <row r="4040" spans="1:2" ht="15.5" x14ac:dyDescent="0.35">
      <c r="A4040" s="343"/>
      <c r="B4040" s="344"/>
    </row>
    <row r="4041" spans="1:2" ht="15.5" x14ac:dyDescent="0.35">
      <c r="A4041" s="343"/>
      <c r="B4041" s="344"/>
    </row>
    <row r="4042" spans="1:2" ht="15.5" x14ac:dyDescent="0.35">
      <c r="A4042" s="343"/>
      <c r="B4042" s="344"/>
    </row>
    <row r="4043" spans="1:2" ht="15.5" x14ac:dyDescent="0.35">
      <c r="A4043" s="343"/>
      <c r="B4043" s="344"/>
    </row>
    <row r="4044" spans="1:2" ht="15.5" x14ac:dyDescent="0.35">
      <c r="A4044" s="343"/>
      <c r="B4044" s="344"/>
    </row>
    <row r="4045" spans="1:2" ht="15.5" x14ac:dyDescent="0.35">
      <c r="A4045" s="343"/>
      <c r="B4045" s="344"/>
    </row>
    <row r="4046" spans="1:2" ht="15.5" x14ac:dyDescent="0.35">
      <c r="A4046" s="343"/>
      <c r="B4046" s="344"/>
    </row>
    <row r="4047" spans="1:2" ht="15.5" x14ac:dyDescent="0.35">
      <c r="A4047" s="343"/>
      <c r="B4047" s="344"/>
    </row>
    <row r="4048" spans="1:2" ht="15.5" x14ac:dyDescent="0.35">
      <c r="A4048" s="343"/>
      <c r="B4048" s="344"/>
    </row>
    <row r="4049" spans="1:2" ht="15.5" x14ac:dyDescent="0.35">
      <c r="A4049" s="343"/>
      <c r="B4049" s="344"/>
    </row>
    <row r="4050" spans="1:2" ht="15.5" x14ac:dyDescent="0.35">
      <c r="A4050" s="343"/>
      <c r="B4050" s="344"/>
    </row>
    <row r="4051" spans="1:2" ht="15.5" x14ac:dyDescent="0.35">
      <c r="A4051" s="343"/>
      <c r="B4051" s="344"/>
    </row>
    <row r="4052" spans="1:2" ht="15.5" x14ac:dyDescent="0.35">
      <c r="A4052" s="343"/>
      <c r="B4052" s="344"/>
    </row>
    <row r="4053" spans="1:2" ht="15.5" x14ac:dyDescent="0.35">
      <c r="A4053" s="343"/>
      <c r="B4053" s="344"/>
    </row>
    <row r="4054" spans="1:2" ht="15.5" x14ac:dyDescent="0.35">
      <c r="A4054" s="343"/>
      <c r="B4054" s="344"/>
    </row>
    <row r="4055" spans="1:2" ht="15.5" x14ac:dyDescent="0.35">
      <c r="A4055" s="343"/>
      <c r="B4055" s="344"/>
    </row>
    <row r="4056" spans="1:2" ht="15.5" x14ac:dyDescent="0.35">
      <c r="A4056" s="343"/>
      <c r="B4056" s="344"/>
    </row>
    <row r="4057" spans="1:2" ht="15.5" x14ac:dyDescent="0.35">
      <c r="A4057" s="343"/>
      <c r="B4057" s="344"/>
    </row>
    <row r="4058" spans="1:2" ht="15.5" x14ac:dyDescent="0.35">
      <c r="A4058" s="343"/>
      <c r="B4058" s="344"/>
    </row>
    <row r="4059" spans="1:2" ht="15.5" x14ac:dyDescent="0.35">
      <c r="A4059" s="343"/>
      <c r="B4059" s="344"/>
    </row>
    <row r="4060" spans="1:2" ht="15.5" x14ac:dyDescent="0.35">
      <c r="A4060" s="343"/>
      <c r="B4060" s="344"/>
    </row>
    <row r="4061" spans="1:2" ht="15.5" x14ac:dyDescent="0.35">
      <c r="A4061" s="343"/>
      <c r="B4061" s="344"/>
    </row>
    <row r="4062" spans="1:2" ht="15.5" x14ac:dyDescent="0.35">
      <c r="A4062" s="343"/>
      <c r="B4062" s="344"/>
    </row>
    <row r="4063" spans="1:2" ht="15.5" x14ac:dyDescent="0.35">
      <c r="A4063" s="343"/>
      <c r="B4063" s="344"/>
    </row>
    <row r="4064" spans="1:2" ht="15.5" x14ac:dyDescent="0.35">
      <c r="A4064" s="343"/>
      <c r="B4064" s="344"/>
    </row>
    <row r="4065" spans="1:2" ht="15.5" x14ac:dyDescent="0.35">
      <c r="A4065" s="343"/>
      <c r="B4065" s="344"/>
    </row>
    <row r="4066" spans="1:2" ht="15.5" x14ac:dyDescent="0.35">
      <c r="A4066" s="343"/>
      <c r="B4066" s="344"/>
    </row>
    <row r="4067" spans="1:2" ht="15.5" x14ac:dyDescent="0.35">
      <c r="A4067" s="343"/>
      <c r="B4067" s="344"/>
    </row>
    <row r="4068" spans="1:2" ht="15.5" x14ac:dyDescent="0.35">
      <c r="A4068" s="343"/>
      <c r="B4068" s="344"/>
    </row>
    <row r="4069" spans="1:2" ht="15.5" x14ac:dyDescent="0.35">
      <c r="A4069" s="343"/>
      <c r="B4069" s="344"/>
    </row>
    <row r="4070" spans="1:2" ht="15.5" x14ac:dyDescent="0.35">
      <c r="A4070" s="343"/>
      <c r="B4070" s="344"/>
    </row>
    <row r="4071" spans="1:2" ht="15.5" x14ac:dyDescent="0.35">
      <c r="A4071" s="343"/>
      <c r="B4071" s="344"/>
    </row>
    <row r="4072" spans="1:2" ht="15.5" x14ac:dyDescent="0.35">
      <c r="A4072" s="343"/>
      <c r="B4072" s="344"/>
    </row>
    <row r="4073" spans="1:2" ht="15.5" x14ac:dyDescent="0.35">
      <c r="A4073" s="343"/>
      <c r="B4073" s="344"/>
    </row>
    <row r="4074" spans="1:2" ht="15.5" x14ac:dyDescent="0.35">
      <c r="A4074" s="343"/>
      <c r="B4074" s="344"/>
    </row>
    <row r="4075" spans="1:2" ht="15.5" x14ac:dyDescent="0.35">
      <c r="A4075" s="343"/>
      <c r="B4075" s="344"/>
    </row>
    <row r="4076" spans="1:2" ht="15.5" x14ac:dyDescent="0.35">
      <c r="A4076" s="343"/>
      <c r="B4076" s="344"/>
    </row>
    <row r="4077" spans="1:2" ht="15.5" x14ac:dyDescent="0.35">
      <c r="A4077" s="343"/>
      <c r="B4077" s="344"/>
    </row>
    <row r="4078" spans="1:2" ht="15.5" x14ac:dyDescent="0.35">
      <c r="A4078" s="343"/>
      <c r="B4078" s="344"/>
    </row>
    <row r="4079" spans="1:2" ht="15.5" x14ac:dyDescent="0.35">
      <c r="A4079" s="343"/>
      <c r="B4079" s="344"/>
    </row>
    <row r="4080" spans="1:2" ht="15.5" x14ac:dyDescent="0.35">
      <c r="A4080" s="343"/>
      <c r="B4080" s="344"/>
    </row>
    <row r="4081" spans="1:2" ht="15.5" x14ac:dyDescent="0.35">
      <c r="A4081" s="343"/>
      <c r="B4081" s="344"/>
    </row>
    <row r="4082" spans="1:2" ht="15.5" x14ac:dyDescent="0.35">
      <c r="A4082" s="343"/>
      <c r="B4082" s="344"/>
    </row>
    <row r="4083" spans="1:2" ht="15.5" x14ac:dyDescent="0.35">
      <c r="A4083" s="343"/>
      <c r="B4083" s="344"/>
    </row>
    <row r="4084" spans="1:2" ht="15.5" x14ac:dyDescent="0.35">
      <c r="A4084" s="343"/>
      <c r="B4084" s="344"/>
    </row>
    <row r="4085" spans="1:2" ht="15.5" x14ac:dyDescent="0.35">
      <c r="A4085" s="343"/>
      <c r="B4085" s="344"/>
    </row>
    <row r="4086" spans="1:2" ht="15.5" x14ac:dyDescent="0.35">
      <c r="A4086" s="343"/>
      <c r="B4086" s="344"/>
    </row>
    <row r="4087" spans="1:2" ht="15.5" x14ac:dyDescent="0.35">
      <c r="A4087" s="343"/>
      <c r="B4087" s="344"/>
    </row>
    <row r="4088" spans="1:2" ht="15.5" x14ac:dyDescent="0.35">
      <c r="A4088" s="343"/>
      <c r="B4088" s="344"/>
    </row>
    <row r="4089" spans="1:2" ht="15.5" x14ac:dyDescent="0.35">
      <c r="A4089" s="343"/>
      <c r="B4089" s="344"/>
    </row>
    <row r="4090" spans="1:2" ht="15.5" x14ac:dyDescent="0.35">
      <c r="A4090" s="343"/>
      <c r="B4090" s="344"/>
    </row>
    <row r="4091" spans="1:2" ht="15.5" x14ac:dyDescent="0.35">
      <c r="A4091" s="343"/>
      <c r="B4091" s="344"/>
    </row>
    <row r="4092" spans="1:2" ht="15.5" x14ac:dyDescent="0.35">
      <c r="A4092" s="343"/>
      <c r="B4092" s="344"/>
    </row>
    <row r="4093" spans="1:2" ht="15.5" x14ac:dyDescent="0.35">
      <c r="A4093" s="343"/>
      <c r="B4093" s="344"/>
    </row>
    <row r="4094" spans="1:2" ht="15.5" x14ac:dyDescent="0.35">
      <c r="A4094" s="343"/>
      <c r="B4094" s="344"/>
    </row>
    <row r="4095" spans="1:2" ht="15.5" x14ac:dyDescent="0.35">
      <c r="A4095" s="343"/>
      <c r="B4095" s="344"/>
    </row>
    <row r="4096" spans="1:2" ht="15.5" x14ac:dyDescent="0.35">
      <c r="A4096" s="343"/>
      <c r="B4096" s="344"/>
    </row>
    <row r="4097" spans="1:2" ht="15.5" x14ac:dyDescent="0.35">
      <c r="A4097" s="343"/>
      <c r="B4097" s="344"/>
    </row>
    <row r="4098" spans="1:2" ht="15.5" x14ac:dyDescent="0.35">
      <c r="A4098" s="343"/>
      <c r="B4098" s="344"/>
    </row>
    <row r="4099" spans="1:2" ht="15.5" x14ac:dyDescent="0.35">
      <c r="A4099" s="343"/>
      <c r="B4099" s="344"/>
    </row>
    <row r="4100" spans="1:2" ht="15.5" x14ac:dyDescent="0.35">
      <c r="A4100" s="343"/>
      <c r="B4100" s="344"/>
    </row>
    <row r="4101" spans="1:2" ht="15.5" x14ac:dyDescent="0.35">
      <c r="A4101" s="343"/>
      <c r="B4101" s="344"/>
    </row>
    <row r="4102" spans="1:2" ht="15.5" x14ac:dyDescent="0.35">
      <c r="A4102" s="343"/>
      <c r="B4102" s="344"/>
    </row>
    <row r="4103" spans="1:2" ht="15.5" x14ac:dyDescent="0.35">
      <c r="A4103" s="343"/>
      <c r="B4103" s="344"/>
    </row>
    <row r="4104" spans="1:2" ht="15.5" x14ac:dyDescent="0.35">
      <c r="A4104" s="343"/>
      <c r="B4104" s="344"/>
    </row>
    <row r="4105" spans="1:2" ht="15.5" x14ac:dyDescent="0.35">
      <c r="A4105" s="343"/>
      <c r="B4105" s="344"/>
    </row>
    <row r="4106" spans="1:2" ht="15.5" x14ac:dyDescent="0.35">
      <c r="A4106" s="343"/>
      <c r="B4106" s="344"/>
    </row>
    <row r="4107" spans="1:2" ht="15.5" x14ac:dyDescent="0.35">
      <c r="A4107" s="343"/>
      <c r="B4107" s="344"/>
    </row>
    <row r="4108" spans="1:2" ht="15.5" x14ac:dyDescent="0.35">
      <c r="A4108" s="343"/>
      <c r="B4108" s="344"/>
    </row>
    <row r="4109" spans="1:2" ht="15.5" x14ac:dyDescent="0.35">
      <c r="A4109" s="343"/>
      <c r="B4109" s="344"/>
    </row>
    <row r="4110" spans="1:2" ht="15.5" x14ac:dyDescent="0.35">
      <c r="A4110" s="343"/>
      <c r="B4110" s="344"/>
    </row>
    <row r="4111" spans="1:2" ht="15.5" x14ac:dyDescent="0.35">
      <c r="A4111" s="343"/>
      <c r="B4111" s="344"/>
    </row>
    <row r="4112" spans="1:2" ht="15.5" x14ac:dyDescent="0.35">
      <c r="A4112" s="343"/>
      <c r="B4112" s="344"/>
    </row>
    <row r="4113" spans="1:2" ht="15.5" x14ac:dyDescent="0.35">
      <c r="A4113" s="343"/>
      <c r="B4113" s="344"/>
    </row>
    <row r="4114" spans="1:2" ht="15.5" x14ac:dyDescent="0.35">
      <c r="A4114" s="343"/>
      <c r="B4114" s="344"/>
    </row>
    <row r="4115" spans="1:2" ht="15.5" x14ac:dyDescent="0.35">
      <c r="A4115" s="343"/>
      <c r="B4115" s="344"/>
    </row>
    <row r="4116" spans="1:2" ht="15.5" x14ac:dyDescent="0.35">
      <c r="A4116" s="343"/>
      <c r="B4116" s="344"/>
    </row>
    <row r="4117" spans="1:2" ht="15.5" x14ac:dyDescent="0.35">
      <c r="A4117" s="343"/>
      <c r="B4117" s="344"/>
    </row>
    <row r="4118" spans="1:2" ht="15.5" x14ac:dyDescent="0.35">
      <c r="A4118" s="343"/>
      <c r="B4118" s="344"/>
    </row>
    <row r="4119" spans="1:2" ht="15.5" x14ac:dyDescent="0.35">
      <c r="A4119" s="343"/>
      <c r="B4119" s="344"/>
    </row>
    <row r="4120" spans="1:2" ht="15.5" x14ac:dyDescent="0.35">
      <c r="A4120" s="343"/>
      <c r="B4120" s="344"/>
    </row>
    <row r="4121" spans="1:2" ht="15.5" x14ac:dyDescent="0.35">
      <c r="A4121" s="343"/>
      <c r="B4121" s="344"/>
    </row>
    <row r="4122" spans="1:2" ht="15.5" x14ac:dyDescent="0.35">
      <c r="A4122" s="343"/>
      <c r="B4122" s="344"/>
    </row>
    <row r="4123" spans="1:2" ht="15.5" x14ac:dyDescent="0.35">
      <c r="A4123" s="343"/>
      <c r="B4123" s="344"/>
    </row>
    <row r="4124" spans="1:2" ht="15.5" x14ac:dyDescent="0.35">
      <c r="A4124" s="343"/>
      <c r="B4124" s="344"/>
    </row>
    <row r="4125" spans="1:2" ht="15.5" x14ac:dyDescent="0.35">
      <c r="A4125" s="343"/>
      <c r="B4125" s="344"/>
    </row>
    <row r="4126" spans="1:2" ht="15.5" x14ac:dyDescent="0.35">
      <c r="A4126" s="343"/>
      <c r="B4126" s="344"/>
    </row>
    <row r="4127" spans="1:2" ht="15.5" x14ac:dyDescent="0.35">
      <c r="A4127" s="343"/>
      <c r="B4127" s="344"/>
    </row>
    <row r="4128" spans="1:2" ht="15.5" x14ac:dyDescent="0.35">
      <c r="A4128" s="343"/>
      <c r="B4128" s="344"/>
    </row>
    <row r="4129" spans="1:2" ht="15.5" x14ac:dyDescent="0.35">
      <c r="A4129" s="343"/>
      <c r="B4129" s="344"/>
    </row>
    <row r="4130" spans="1:2" ht="15.5" x14ac:dyDescent="0.35">
      <c r="A4130" s="343"/>
      <c r="B4130" s="344"/>
    </row>
    <row r="4131" spans="1:2" ht="15.5" x14ac:dyDescent="0.35">
      <c r="A4131" s="343"/>
      <c r="B4131" s="344"/>
    </row>
    <row r="4132" spans="1:2" ht="15.5" x14ac:dyDescent="0.35">
      <c r="A4132" s="343"/>
      <c r="B4132" s="344"/>
    </row>
    <row r="4133" spans="1:2" ht="15.5" x14ac:dyDescent="0.35">
      <c r="A4133" s="343"/>
      <c r="B4133" s="344"/>
    </row>
    <row r="4134" spans="1:2" ht="15.5" x14ac:dyDescent="0.35">
      <c r="A4134" s="343"/>
      <c r="B4134" s="344"/>
    </row>
    <row r="4135" spans="1:2" ht="15.5" x14ac:dyDescent="0.35">
      <c r="A4135" s="343"/>
      <c r="B4135" s="344"/>
    </row>
    <row r="4136" spans="1:2" ht="15.5" x14ac:dyDescent="0.35">
      <c r="A4136" s="343"/>
      <c r="B4136" s="344"/>
    </row>
    <row r="4137" spans="1:2" ht="15.5" x14ac:dyDescent="0.35">
      <c r="A4137" s="343"/>
      <c r="B4137" s="344"/>
    </row>
    <row r="4138" spans="1:2" ht="15.5" x14ac:dyDescent="0.35">
      <c r="A4138" s="343"/>
      <c r="B4138" s="344"/>
    </row>
    <row r="4139" spans="1:2" ht="15.5" x14ac:dyDescent="0.35">
      <c r="A4139" s="343"/>
      <c r="B4139" s="344"/>
    </row>
    <row r="4140" spans="1:2" ht="15.5" x14ac:dyDescent="0.35">
      <c r="A4140" s="343"/>
      <c r="B4140" s="344"/>
    </row>
    <row r="4141" spans="1:2" ht="15.5" x14ac:dyDescent="0.35">
      <c r="A4141" s="343"/>
      <c r="B4141" s="344"/>
    </row>
    <row r="4142" spans="1:2" ht="15.5" x14ac:dyDescent="0.35">
      <c r="A4142" s="343"/>
      <c r="B4142" s="344"/>
    </row>
    <row r="4143" spans="1:2" ht="15.5" x14ac:dyDescent="0.35">
      <c r="A4143" s="343"/>
      <c r="B4143" s="344"/>
    </row>
    <row r="4144" spans="1:2" ht="15.5" x14ac:dyDescent="0.35">
      <c r="A4144" s="343"/>
      <c r="B4144" s="344"/>
    </row>
    <row r="4145" spans="1:2" ht="15.5" x14ac:dyDescent="0.35">
      <c r="A4145" s="343"/>
      <c r="B4145" s="344"/>
    </row>
    <row r="4146" spans="1:2" ht="15.5" x14ac:dyDescent="0.35">
      <c r="A4146" s="343"/>
      <c r="B4146" s="344"/>
    </row>
    <row r="4147" spans="1:2" ht="15.5" x14ac:dyDescent="0.35">
      <c r="A4147" s="343"/>
      <c r="B4147" s="344"/>
    </row>
    <row r="4148" spans="1:2" ht="15.5" x14ac:dyDescent="0.35">
      <c r="A4148" s="343"/>
      <c r="B4148" s="344"/>
    </row>
    <row r="4149" spans="1:2" ht="15.5" x14ac:dyDescent="0.35">
      <c r="A4149" s="343"/>
      <c r="B4149" s="344"/>
    </row>
    <row r="4150" spans="1:2" ht="15.5" x14ac:dyDescent="0.35">
      <c r="A4150" s="343"/>
      <c r="B4150" s="344"/>
    </row>
    <row r="4151" spans="1:2" ht="15.5" x14ac:dyDescent="0.35">
      <c r="A4151" s="343"/>
      <c r="B4151" s="344"/>
    </row>
    <row r="4152" spans="1:2" ht="15.5" x14ac:dyDescent="0.35">
      <c r="A4152" s="343"/>
      <c r="B4152" s="344"/>
    </row>
    <row r="4153" spans="1:2" ht="15.5" x14ac:dyDescent="0.35">
      <c r="A4153" s="343"/>
      <c r="B4153" s="344"/>
    </row>
    <row r="4154" spans="1:2" ht="15.5" x14ac:dyDescent="0.35">
      <c r="A4154" s="343"/>
      <c r="B4154" s="344"/>
    </row>
    <row r="4155" spans="1:2" ht="15.5" x14ac:dyDescent="0.35">
      <c r="A4155" s="343"/>
      <c r="B4155" s="344"/>
    </row>
    <row r="4156" spans="1:2" ht="15.5" x14ac:dyDescent="0.35">
      <c r="A4156" s="343"/>
      <c r="B4156" s="344"/>
    </row>
    <row r="4157" spans="1:2" ht="15.5" x14ac:dyDescent="0.35">
      <c r="A4157" s="343"/>
      <c r="B4157" s="344"/>
    </row>
    <row r="4158" spans="1:2" ht="15.5" x14ac:dyDescent="0.35">
      <c r="A4158" s="343"/>
      <c r="B4158" s="344"/>
    </row>
    <row r="4159" spans="1:2" ht="15.5" x14ac:dyDescent="0.35">
      <c r="A4159" s="343"/>
      <c r="B4159" s="344"/>
    </row>
    <row r="4160" spans="1:2" ht="15.5" x14ac:dyDescent="0.35">
      <c r="A4160" s="343"/>
      <c r="B4160" s="344"/>
    </row>
    <row r="4161" spans="1:2" ht="15.5" x14ac:dyDescent="0.35">
      <c r="A4161" s="343"/>
      <c r="B4161" s="344"/>
    </row>
    <row r="4162" spans="1:2" ht="15.5" x14ac:dyDescent="0.35">
      <c r="A4162" s="343"/>
      <c r="B4162" s="344"/>
    </row>
    <row r="4163" spans="1:2" ht="15.5" x14ac:dyDescent="0.35">
      <c r="A4163" s="343"/>
      <c r="B4163" s="344"/>
    </row>
    <row r="4164" spans="1:2" ht="15.5" x14ac:dyDescent="0.35">
      <c r="A4164" s="343"/>
      <c r="B4164" s="344"/>
    </row>
    <row r="4165" spans="1:2" ht="15.5" x14ac:dyDescent="0.35">
      <c r="A4165" s="343"/>
      <c r="B4165" s="344"/>
    </row>
    <row r="4166" spans="1:2" ht="15.5" x14ac:dyDescent="0.35">
      <c r="A4166" s="343"/>
      <c r="B4166" s="344"/>
    </row>
    <row r="4167" spans="1:2" ht="15.5" x14ac:dyDescent="0.35">
      <c r="A4167" s="343"/>
      <c r="B4167" s="344"/>
    </row>
    <row r="4168" spans="1:2" ht="15.5" x14ac:dyDescent="0.35">
      <c r="A4168" s="343"/>
      <c r="B4168" s="344"/>
    </row>
    <row r="4169" spans="1:2" ht="15.5" x14ac:dyDescent="0.35">
      <c r="A4169" s="343"/>
      <c r="B4169" s="344"/>
    </row>
    <row r="4170" spans="1:2" ht="15.5" x14ac:dyDescent="0.35">
      <c r="A4170" s="343"/>
      <c r="B4170" s="344"/>
    </row>
    <row r="4171" spans="1:2" ht="15.5" x14ac:dyDescent="0.35">
      <c r="A4171" s="343"/>
      <c r="B4171" s="344"/>
    </row>
    <row r="4172" spans="1:2" ht="15.5" x14ac:dyDescent="0.35">
      <c r="A4172" s="343"/>
      <c r="B4172" s="344"/>
    </row>
    <row r="4173" spans="1:2" ht="15.5" x14ac:dyDescent="0.35">
      <c r="A4173" s="343"/>
      <c r="B4173" s="344"/>
    </row>
    <row r="4174" spans="1:2" ht="15.5" x14ac:dyDescent="0.35">
      <c r="A4174" s="343"/>
      <c r="B4174" s="344"/>
    </row>
    <row r="4175" spans="1:2" ht="15.5" x14ac:dyDescent="0.35">
      <c r="A4175" s="343"/>
      <c r="B4175" s="344"/>
    </row>
    <row r="4176" spans="1:2" ht="15.5" x14ac:dyDescent="0.35">
      <c r="A4176" s="343"/>
      <c r="B4176" s="344"/>
    </row>
    <row r="4177" spans="1:2" ht="15.5" x14ac:dyDescent="0.35">
      <c r="A4177" s="343"/>
      <c r="B4177" s="344"/>
    </row>
    <row r="4178" spans="1:2" ht="15.5" x14ac:dyDescent="0.35">
      <c r="A4178" s="343"/>
      <c r="B4178" s="344"/>
    </row>
    <row r="4179" spans="1:2" ht="15.5" x14ac:dyDescent="0.35">
      <c r="A4179" s="343"/>
      <c r="B4179" s="344"/>
    </row>
    <row r="4180" spans="1:2" ht="15.5" x14ac:dyDescent="0.35">
      <c r="A4180" s="343"/>
      <c r="B4180" s="344"/>
    </row>
    <row r="4181" spans="1:2" ht="15.5" x14ac:dyDescent="0.35">
      <c r="A4181" s="343"/>
      <c r="B4181" s="344"/>
    </row>
    <row r="4182" spans="1:2" ht="15.5" x14ac:dyDescent="0.35">
      <c r="A4182" s="343"/>
      <c r="B4182" s="344"/>
    </row>
    <row r="4183" spans="1:2" ht="15.5" x14ac:dyDescent="0.35">
      <c r="A4183" s="343"/>
      <c r="B4183" s="344"/>
    </row>
    <row r="4184" spans="1:2" ht="15.5" x14ac:dyDescent="0.35">
      <c r="A4184" s="343"/>
      <c r="B4184" s="344"/>
    </row>
    <row r="4185" spans="1:2" ht="15.5" x14ac:dyDescent="0.35">
      <c r="A4185" s="343"/>
      <c r="B4185" s="344"/>
    </row>
    <row r="4186" spans="1:2" ht="15.5" x14ac:dyDescent="0.35">
      <c r="A4186" s="343"/>
      <c r="B4186" s="344"/>
    </row>
    <row r="4187" spans="1:2" ht="15.5" x14ac:dyDescent="0.35">
      <c r="A4187" s="343"/>
      <c r="B4187" s="344"/>
    </row>
    <row r="4188" spans="1:2" ht="15.5" x14ac:dyDescent="0.35">
      <c r="A4188" s="343"/>
      <c r="B4188" s="344"/>
    </row>
    <row r="4189" spans="1:2" ht="15.5" x14ac:dyDescent="0.35">
      <c r="A4189" s="343"/>
      <c r="B4189" s="344"/>
    </row>
    <row r="4190" spans="1:2" ht="15.5" x14ac:dyDescent="0.35">
      <c r="A4190" s="343"/>
      <c r="B4190" s="344"/>
    </row>
    <row r="4191" spans="1:2" ht="15.5" x14ac:dyDescent="0.35">
      <c r="A4191" s="343"/>
      <c r="B4191" s="344"/>
    </row>
    <row r="4192" spans="1:2" ht="15.5" x14ac:dyDescent="0.35">
      <c r="A4192" s="343"/>
      <c r="B4192" s="344"/>
    </row>
    <row r="4193" spans="1:2" ht="15.5" x14ac:dyDescent="0.35">
      <c r="A4193" s="343"/>
      <c r="B4193" s="344"/>
    </row>
    <row r="4194" spans="1:2" ht="15.5" x14ac:dyDescent="0.35">
      <c r="A4194" s="343"/>
      <c r="B4194" s="344"/>
    </row>
    <row r="4195" spans="1:2" ht="15.5" x14ac:dyDescent="0.35">
      <c r="A4195" s="343"/>
      <c r="B4195" s="344"/>
    </row>
    <row r="4196" spans="1:2" ht="15.5" x14ac:dyDescent="0.35">
      <c r="A4196" s="343"/>
      <c r="B4196" s="344"/>
    </row>
    <row r="4197" spans="1:2" ht="15.5" x14ac:dyDescent="0.35">
      <c r="A4197" s="343"/>
      <c r="B4197" s="344"/>
    </row>
    <row r="4198" spans="1:2" ht="15.5" x14ac:dyDescent="0.35">
      <c r="A4198" s="343"/>
      <c r="B4198" s="344"/>
    </row>
    <row r="4199" spans="1:2" ht="15.5" x14ac:dyDescent="0.35">
      <c r="A4199" s="343"/>
      <c r="B4199" s="344"/>
    </row>
    <row r="4200" spans="1:2" ht="15.5" x14ac:dyDescent="0.35">
      <c r="A4200" s="343"/>
      <c r="B4200" s="344"/>
    </row>
    <row r="4201" spans="1:2" ht="15.5" x14ac:dyDescent="0.35">
      <c r="A4201" s="343"/>
      <c r="B4201" s="344"/>
    </row>
    <row r="4202" spans="1:2" ht="15.5" x14ac:dyDescent="0.35">
      <c r="A4202" s="343"/>
      <c r="B4202" s="344"/>
    </row>
    <row r="4203" spans="1:2" ht="15.5" x14ac:dyDescent="0.35">
      <c r="A4203" s="343"/>
      <c r="B4203" s="344"/>
    </row>
    <row r="4204" spans="1:2" ht="15.5" x14ac:dyDescent="0.35">
      <c r="A4204" s="343"/>
      <c r="B4204" s="344"/>
    </row>
    <row r="4205" spans="1:2" ht="15.5" x14ac:dyDescent="0.35">
      <c r="A4205" s="343"/>
      <c r="B4205" s="344"/>
    </row>
    <row r="4206" spans="1:2" ht="15.5" x14ac:dyDescent="0.35">
      <c r="A4206" s="343"/>
      <c r="B4206" s="344"/>
    </row>
    <row r="4207" spans="1:2" ht="15.5" x14ac:dyDescent="0.35">
      <c r="A4207" s="343"/>
      <c r="B4207" s="344"/>
    </row>
    <row r="4208" spans="1:2" ht="15.5" x14ac:dyDescent="0.35">
      <c r="A4208" s="343"/>
      <c r="B4208" s="344"/>
    </row>
    <row r="4209" spans="1:2" ht="15.5" x14ac:dyDescent="0.35">
      <c r="A4209" s="343"/>
      <c r="B4209" s="344"/>
    </row>
    <row r="4210" spans="1:2" ht="15.5" x14ac:dyDescent="0.35">
      <c r="A4210" s="343"/>
      <c r="B4210" s="344"/>
    </row>
    <row r="4211" spans="1:2" ht="15.5" x14ac:dyDescent="0.35">
      <c r="A4211" s="343"/>
      <c r="B4211" s="344"/>
    </row>
    <row r="4212" spans="1:2" ht="15.5" x14ac:dyDescent="0.35">
      <c r="A4212" s="343"/>
      <c r="B4212" s="344"/>
    </row>
    <row r="4213" spans="1:2" ht="15.5" x14ac:dyDescent="0.35">
      <c r="A4213" s="343"/>
      <c r="B4213" s="344"/>
    </row>
    <row r="4214" spans="1:2" ht="15.5" x14ac:dyDescent="0.35">
      <c r="A4214" s="343"/>
      <c r="B4214" s="344"/>
    </row>
    <row r="4215" spans="1:2" ht="15.5" x14ac:dyDescent="0.35">
      <c r="A4215" s="343"/>
      <c r="B4215" s="344"/>
    </row>
    <row r="4216" spans="1:2" ht="15.5" x14ac:dyDescent="0.35">
      <c r="A4216" s="343"/>
      <c r="B4216" s="344"/>
    </row>
    <row r="4217" spans="1:2" ht="15.5" x14ac:dyDescent="0.35">
      <c r="A4217" s="343"/>
      <c r="B4217" s="344"/>
    </row>
    <row r="4218" spans="1:2" ht="15.5" x14ac:dyDescent="0.35">
      <c r="A4218" s="343"/>
      <c r="B4218" s="344"/>
    </row>
    <row r="4219" spans="1:2" ht="15.5" x14ac:dyDescent="0.35">
      <c r="A4219" s="343"/>
      <c r="B4219" s="344"/>
    </row>
    <row r="4220" spans="1:2" ht="15.5" x14ac:dyDescent="0.35">
      <c r="A4220" s="343"/>
      <c r="B4220" s="344"/>
    </row>
    <row r="4221" spans="1:2" ht="15.5" x14ac:dyDescent="0.35">
      <c r="A4221" s="343"/>
      <c r="B4221" s="344"/>
    </row>
    <row r="4222" spans="1:2" ht="15.5" x14ac:dyDescent="0.35">
      <c r="A4222" s="343"/>
      <c r="B4222" s="344"/>
    </row>
    <row r="4223" spans="1:2" ht="15.5" x14ac:dyDescent="0.35">
      <c r="A4223" s="343"/>
      <c r="B4223" s="344"/>
    </row>
    <row r="4224" spans="1:2" ht="15.5" x14ac:dyDescent="0.35">
      <c r="A4224" s="343"/>
      <c r="B4224" s="344"/>
    </row>
    <row r="4225" spans="1:2" ht="15.5" x14ac:dyDescent="0.35">
      <c r="A4225" s="343"/>
      <c r="B4225" s="344"/>
    </row>
    <row r="4226" spans="1:2" ht="15.5" x14ac:dyDescent="0.35">
      <c r="A4226" s="343"/>
      <c r="B4226" s="344"/>
    </row>
    <row r="4227" spans="1:2" ht="15.5" x14ac:dyDescent="0.35">
      <c r="A4227" s="343"/>
      <c r="B4227" s="344"/>
    </row>
    <row r="4228" spans="1:2" ht="15.5" x14ac:dyDescent="0.35">
      <c r="A4228" s="343"/>
      <c r="B4228" s="344"/>
    </row>
    <row r="4229" spans="1:2" ht="15.5" x14ac:dyDescent="0.35">
      <c r="A4229" s="343"/>
      <c r="B4229" s="344"/>
    </row>
    <row r="4230" spans="1:2" ht="15.5" x14ac:dyDescent="0.35">
      <c r="A4230" s="343"/>
      <c r="B4230" s="344"/>
    </row>
    <row r="4231" spans="1:2" ht="15.5" x14ac:dyDescent="0.35">
      <c r="A4231" s="343"/>
      <c r="B4231" s="344"/>
    </row>
    <row r="4232" spans="1:2" ht="15.5" x14ac:dyDescent="0.35">
      <c r="A4232" s="343"/>
      <c r="B4232" s="344"/>
    </row>
    <row r="4233" spans="1:2" ht="15.5" x14ac:dyDescent="0.35">
      <c r="A4233" s="343"/>
      <c r="B4233" s="344"/>
    </row>
    <row r="4234" spans="1:2" ht="15.5" x14ac:dyDescent="0.35">
      <c r="A4234" s="343"/>
      <c r="B4234" s="344"/>
    </row>
    <row r="4235" spans="1:2" ht="15.5" x14ac:dyDescent="0.35">
      <c r="A4235" s="343"/>
      <c r="B4235" s="344"/>
    </row>
    <row r="4236" spans="1:2" ht="15.5" x14ac:dyDescent="0.35">
      <c r="A4236" s="343"/>
      <c r="B4236" s="344"/>
    </row>
    <row r="4237" spans="1:2" ht="15.5" x14ac:dyDescent="0.35">
      <c r="A4237" s="343"/>
      <c r="B4237" s="344"/>
    </row>
    <row r="4238" spans="1:2" ht="15.5" x14ac:dyDescent="0.35">
      <c r="A4238" s="343"/>
      <c r="B4238" s="344"/>
    </row>
    <row r="4239" spans="1:2" ht="15.5" x14ac:dyDescent="0.35">
      <c r="A4239" s="343"/>
      <c r="B4239" s="344"/>
    </row>
    <row r="4240" spans="1:2" ht="15.5" x14ac:dyDescent="0.35">
      <c r="A4240" s="343"/>
      <c r="B4240" s="344"/>
    </row>
    <row r="4241" spans="1:2" ht="15.5" x14ac:dyDescent="0.35">
      <c r="A4241" s="343"/>
      <c r="B4241" s="344"/>
    </row>
    <row r="4242" spans="1:2" ht="15.5" x14ac:dyDescent="0.35">
      <c r="A4242" s="343"/>
      <c r="B4242" s="344"/>
    </row>
    <row r="4243" spans="1:2" ht="15.5" x14ac:dyDescent="0.35">
      <c r="A4243" s="343"/>
      <c r="B4243" s="344"/>
    </row>
    <row r="4244" spans="1:2" ht="15.5" x14ac:dyDescent="0.35">
      <c r="A4244" s="343"/>
      <c r="B4244" s="344"/>
    </row>
    <row r="4245" spans="1:2" ht="15.5" x14ac:dyDescent="0.35">
      <c r="A4245" s="343"/>
      <c r="B4245" s="344"/>
    </row>
    <row r="4246" spans="1:2" ht="15.5" x14ac:dyDescent="0.35">
      <c r="A4246" s="343"/>
      <c r="B4246" s="344"/>
    </row>
    <row r="4247" spans="1:2" ht="15.5" x14ac:dyDescent="0.35">
      <c r="A4247" s="343"/>
      <c r="B4247" s="344"/>
    </row>
    <row r="4248" spans="1:2" ht="15.5" x14ac:dyDescent="0.35">
      <c r="A4248" s="343"/>
      <c r="B4248" s="344"/>
    </row>
    <row r="4249" spans="1:2" ht="15.5" x14ac:dyDescent="0.35">
      <c r="A4249" s="343"/>
      <c r="B4249" s="344"/>
    </row>
    <row r="4250" spans="1:2" ht="15.5" x14ac:dyDescent="0.35">
      <c r="A4250" s="343"/>
      <c r="B4250" s="344"/>
    </row>
    <row r="4251" spans="1:2" ht="15.5" x14ac:dyDescent="0.35">
      <c r="A4251" s="343"/>
      <c r="B4251" s="344"/>
    </row>
    <row r="4252" spans="1:2" ht="15.5" x14ac:dyDescent="0.35">
      <c r="A4252" s="343"/>
      <c r="B4252" s="344"/>
    </row>
    <row r="4253" spans="1:2" ht="15.5" x14ac:dyDescent="0.35">
      <c r="A4253" s="343"/>
      <c r="B4253" s="344"/>
    </row>
    <row r="4254" spans="1:2" ht="15.5" x14ac:dyDescent="0.35">
      <c r="A4254" s="343"/>
      <c r="B4254" s="344"/>
    </row>
    <row r="4255" spans="1:2" ht="15.5" x14ac:dyDescent="0.35">
      <c r="A4255" s="343"/>
      <c r="B4255" s="344"/>
    </row>
    <row r="4256" spans="1:2" ht="15.5" x14ac:dyDescent="0.35">
      <c r="A4256" s="343"/>
      <c r="B4256" s="344"/>
    </row>
    <row r="4257" spans="1:2" ht="15.5" x14ac:dyDescent="0.35">
      <c r="A4257" s="343"/>
      <c r="B4257" s="344"/>
    </row>
    <row r="4258" spans="1:2" ht="15.5" x14ac:dyDescent="0.35">
      <c r="A4258" s="343"/>
      <c r="B4258" s="344"/>
    </row>
    <row r="4259" spans="1:2" ht="15.5" x14ac:dyDescent="0.35">
      <c r="A4259" s="343"/>
      <c r="B4259" s="344"/>
    </row>
    <row r="4260" spans="1:2" ht="15.5" x14ac:dyDescent="0.35">
      <c r="A4260" s="343"/>
      <c r="B4260" s="344"/>
    </row>
    <row r="4261" spans="1:2" ht="15.5" x14ac:dyDescent="0.35">
      <c r="A4261" s="343"/>
      <c r="B4261" s="344"/>
    </row>
    <row r="4262" spans="1:2" ht="15.5" x14ac:dyDescent="0.35">
      <c r="A4262" s="343"/>
      <c r="B4262" s="344"/>
    </row>
    <row r="4263" spans="1:2" ht="15.5" x14ac:dyDescent="0.35">
      <c r="A4263" s="343"/>
      <c r="B4263" s="344"/>
    </row>
    <row r="4264" spans="1:2" ht="15.5" x14ac:dyDescent="0.35">
      <c r="A4264" s="343"/>
      <c r="B4264" s="344"/>
    </row>
    <row r="4265" spans="1:2" ht="15.5" x14ac:dyDescent="0.35">
      <c r="A4265" s="343"/>
      <c r="B4265" s="344"/>
    </row>
    <row r="4266" spans="1:2" ht="15.5" x14ac:dyDescent="0.35">
      <c r="A4266" s="343"/>
      <c r="B4266" s="344"/>
    </row>
    <row r="4267" spans="1:2" ht="15.5" x14ac:dyDescent="0.35">
      <c r="A4267" s="343"/>
      <c r="B4267" s="344"/>
    </row>
    <row r="4268" spans="1:2" ht="15.5" x14ac:dyDescent="0.35">
      <c r="A4268" s="343"/>
      <c r="B4268" s="344"/>
    </row>
    <row r="4269" spans="1:2" ht="15.5" x14ac:dyDescent="0.35">
      <c r="A4269" s="343"/>
      <c r="B4269" s="344"/>
    </row>
    <row r="4270" spans="1:2" ht="15.5" x14ac:dyDescent="0.35">
      <c r="A4270" s="343"/>
      <c r="B4270" s="344"/>
    </row>
    <row r="4271" spans="1:2" ht="15.5" x14ac:dyDescent="0.35">
      <c r="A4271" s="343"/>
      <c r="B4271" s="344"/>
    </row>
    <row r="4272" spans="1:2" ht="15.5" x14ac:dyDescent="0.35">
      <c r="A4272" s="343"/>
      <c r="B4272" s="344"/>
    </row>
    <row r="4273" spans="1:2" ht="15.5" x14ac:dyDescent="0.35">
      <c r="A4273" s="343"/>
      <c r="B4273" s="344"/>
    </row>
    <row r="4274" spans="1:2" ht="15.5" x14ac:dyDescent="0.35">
      <c r="A4274" s="343"/>
      <c r="B4274" s="344"/>
    </row>
    <row r="4275" spans="1:2" ht="15.5" x14ac:dyDescent="0.35">
      <c r="A4275" s="343"/>
      <c r="B4275" s="344"/>
    </row>
    <row r="4276" spans="1:2" ht="15.5" x14ac:dyDescent="0.35">
      <c r="A4276" s="343"/>
      <c r="B4276" s="344"/>
    </row>
    <row r="4277" spans="1:2" ht="15.5" x14ac:dyDescent="0.35">
      <c r="A4277" s="343"/>
      <c r="B4277" s="344"/>
    </row>
    <row r="4278" spans="1:2" ht="15.5" x14ac:dyDescent="0.35">
      <c r="A4278" s="343"/>
      <c r="B4278" s="344"/>
    </row>
    <row r="4279" spans="1:2" ht="15.5" x14ac:dyDescent="0.35">
      <c r="A4279" s="343"/>
      <c r="B4279" s="344"/>
    </row>
    <row r="4280" spans="1:2" ht="15.5" x14ac:dyDescent="0.35">
      <c r="A4280" s="343"/>
      <c r="B4280" s="344"/>
    </row>
    <row r="4281" spans="1:2" ht="15.5" x14ac:dyDescent="0.35">
      <c r="A4281" s="343"/>
      <c r="B4281" s="344"/>
    </row>
    <row r="4282" spans="1:2" ht="15.5" x14ac:dyDescent="0.35">
      <c r="A4282" s="343"/>
      <c r="B4282" s="344"/>
    </row>
    <row r="4283" spans="1:2" ht="15.5" x14ac:dyDescent="0.35">
      <c r="A4283" s="343"/>
      <c r="B4283" s="344"/>
    </row>
    <row r="4284" spans="1:2" ht="15.5" x14ac:dyDescent="0.35">
      <c r="A4284" s="343"/>
      <c r="B4284" s="344"/>
    </row>
    <row r="4285" spans="1:2" ht="15.5" x14ac:dyDescent="0.35">
      <c r="A4285" s="343"/>
      <c r="B4285" s="344"/>
    </row>
    <row r="4286" spans="1:2" ht="15.5" x14ac:dyDescent="0.35">
      <c r="A4286" s="343"/>
      <c r="B4286" s="344"/>
    </row>
    <row r="4287" spans="1:2" ht="15.5" x14ac:dyDescent="0.35">
      <c r="A4287" s="343"/>
      <c r="B4287" s="344"/>
    </row>
    <row r="4288" spans="1:2" ht="15.5" x14ac:dyDescent="0.35">
      <c r="A4288" s="343"/>
      <c r="B4288" s="344"/>
    </row>
    <row r="4289" spans="1:2" ht="15.5" x14ac:dyDescent="0.35">
      <c r="A4289" s="343"/>
      <c r="B4289" s="344"/>
    </row>
    <row r="4290" spans="1:2" ht="15.5" x14ac:dyDescent="0.35">
      <c r="A4290" s="343"/>
      <c r="B4290" s="344"/>
    </row>
    <row r="4291" spans="1:2" ht="15.5" x14ac:dyDescent="0.35">
      <c r="A4291" s="343"/>
      <c r="B4291" s="344"/>
    </row>
    <row r="4292" spans="1:2" ht="15.5" x14ac:dyDescent="0.35">
      <c r="A4292" s="343"/>
      <c r="B4292" s="344"/>
    </row>
    <row r="4293" spans="1:2" ht="15.5" x14ac:dyDescent="0.35">
      <c r="A4293" s="343"/>
      <c r="B4293" s="344"/>
    </row>
    <row r="4294" spans="1:2" ht="15.5" x14ac:dyDescent="0.35">
      <c r="A4294" s="343"/>
      <c r="B4294" s="344"/>
    </row>
    <row r="4295" spans="1:2" ht="15.5" x14ac:dyDescent="0.35">
      <c r="A4295" s="343"/>
      <c r="B4295" s="344"/>
    </row>
    <row r="4296" spans="1:2" ht="15.5" x14ac:dyDescent="0.35">
      <c r="A4296" s="343"/>
      <c r="B4296" s="344"/>
    </row>
    <row r="4297" spans="1:2" ht="15.5" x14ac:dyDescent="0.35">
      <c r="A4297" s="343"/>
      <c r="B4297" s="344"/>
    </row>
    <row r="4298" spans="1:2" ht="15.5" x14ac:dyDescent="0.35">
      <c r="A4298" s="343"/>
      <c r="B4298" s="344"/>
    </row>
    <row r="4299" spans="1:2" ht="15.5" x14ac:dyDescent="0.35">
      <c r="A4299" s="343"/>
      <c r="B4299" s="344"/>
    </row>
    <row r="4300" spans="1:2" ht="15.5" x14ac:dyDescent="0.35">
      <c r="A4300" s="343"/>
      <c r="B4300" s="344"/>
    </row>
    <row r="4301" spans="1:2" ht="15.5" x14ac:dyDescent="0.35">
      <c r="A4301" s="343"/>
      <c r="B4301" s="344"/>
    </row>
    <row r="4302" spans="1:2" ht="15.5" x14ac:dyDescent="0.35">
      <c r="A4302" s="343"/>
      <c r="B4302" s="344"/>
    </row>
    <row r="4303" spans="1:2" ht="15.5" x14ac:dyDescent="0.35">
      <c r="A4303" s="343"/>
      <c r="B4303" s="344"/>
    </row>
    <row r="4304" spans="1:2" ht="15.5" x14ac:dyDescent="0.35">
      <c r="A4304" s="343"/>
      <c r="B4304" s="344"/>
    </row>
    <row r="4305" spans="1:2" ht="15.5" x14ac:dyDescent="0.35">
      <c r="A4305" s="343"/>
      <c r="B4305" s="344"/>
    </row>
    <row r="4306" spans="1:2" ht="15.5" x14ac:dyDescent="0.35">
      <c r="A4306" s="343"/>
      <c r="B4306" s="344"/>
    </row>
    <row r="4307" spans="1:2" ht="15.5" x14ac:dyDescent="0.35">
      <c r="A4307" s="343"/>
      <c r="B4307" s="344"/>
    </row>
    <row r="4308" spans="1:2" ht="15.5" x14ac:dyDescent="0.35">
      <c r="A4308" s="343"/>
      <c r="B4308" s="344"/>
    </row>
    <row r="4309" spans="1:2" ht="15.5" x14ac:dyDescent="0.35">
      <c r="A4309" s="343"/>
      <c r="B4309" s="344"/>
    </row>
    <row r="4310" spans="1:2" ht="15.5" x14ac:dyDescent="0.35">
      <c r="A4310" s="343"/>
      <c r="B4310" s="344"/>
    </row>
    <row r="4311" spans="1:2" ht="15.5" x14ac:dyDescent="0.35">
      <c r="A4311" s="343"/>
      <c r="B4311" s="344"/>
    </row>
    <row r="4312" spans="1:2" ht="15.5" x14ac:dyDescent="0.35">
      <c r="A4312" s="343"/>
      <c r="B4312" s="344"/>
    </row>
    <row r="4313" spans="1:2" ht="15.5" x14ac:dyDescent="0.35">
      <c r="A4313" s="343"/>
      <c r="B4313" s="344"/>
    </row>
    <row r="4314" spans="1:2" ht="15.5" x14ac:dyDescent="0.35">
      <c r="A4314" s="343"/>
      <c r="B4314" s="344"/>
    </row>
    <row r="4315" spans="1:2" ht="15.5" x14ac:dyDescent="0.35">
      <c r="A4315" s="343"/>
      <c r="B4315" s="344"/>
    </row>
    <row r="4316" spans="1:2" ht="15.5" x14ac:dyDescent="0.35">
      <c r="A4316" s="343"/>
      <c r="B4316" s="344"/>
    </row>
    <row r="4317" spans="1:2" ht="15.5" x14ac:dyDescent="0.35">
      <c r="A4317" s="343"/>
      <c r="B4317" s="344"/>
    </row>
    <row r="4318" spans="1:2" ht="15.5" x14ac:dyDescent="0.35">
      <c r="A4318" s="343"/>
      <c r="B4318" s="344"/>
    </row>
    <row r="4319" spans="1:2" ht="15.5" x14ac:dyDescent="0.35">
      <c r="A4319" s="343"/>
      <c r="B4319" s="344"/>
    </row>
    <row r="4320" spans="1:2" ht="15.5" x14ac:dyDescent="0.35">
      <c r="A4320" s="343"/>
      <c r="B4320" s="344"/>
    </row>
    <row r="4321" spans="1:2" ht="15.5" x14ac:dyDescent="0.35">
      <c r="A4321" s="343"/>
      <c r="B4321" s="344"/>
    </row>
    <row r="4322" spans="1:2" ht="15.5" x14ac:dyDescent="0.35">
      <c r="A4322" s="343"/>
      <c r="B4322" s="344"/>
    </row>
    <row r="4323" spans="1:2" ht="15.5" x14ac:dyDescent="0.35">
      <c r="A4323" s="343"/>
      <c r="B4323" s="344"/>
    </row>
    <row r="4324" spans="1:2" ht="15.5" x14ac:dyDescent="0.35">
      <c r="A4324" s="343"/>
      <c r="B4324" s="344"/>
    </row>
    <row r="4325" spans="1:2" ht="15.5" x14ac:dyDescent="0.35">
      <c r="A4325" s="343"/>
      <c r="B4325" s="344"/>
    </row>
    <row r="4326" spans="1:2" ht="15.5" x14ac:dyDescent="0.35">
      <c r="A4326" s="343"/>
      <c r="B4326" s="344"/>
    </row>
    <row r="4327" spans="1:2" ht="15.5" x14ac:dyDescent="0.35">
      <c r="A4327" s="343"/>
      <c r="B4327" s="344"/>
    </row>
    <row r="4328" spans="1:2" ht="15.5" x14ac:dyDescent="0.35">
      <c r="A4328" s="343"/>
      <c r="B4328" s="344"/>
    </row>
    <row r="4329" spans="1:2" ht="15.5" x14ac:dyDescent="0.35">
      <c r="A4329" s="343"/>
      <c r="B4329" s="344"/>
    </row>
    <row r="4330" spans="1:2" ht="15.5" x14ac:dyDescent="0.35">
      <c r="A4330" s="343"/>
      <c r="B4330" s="344"/>
    </row>
    <row r="4331" spans="1:2" ht="15.5" x14ac:dyDescent="0.35">
      <c r="A4331" s="343"/>
      <c r="B4331" s="344"/>
    </row>
    <row r="4332" spans="1:2" ht="15.5" x14ac:dyDescent="0.35">
      <c r="A4332" s="343"/>
      <c r="B4332" s="344"/>
    </row>
    <row r="4333" spans="1:2" ht="15.5" x14ac:dyDescent="0.35">
      <c r="A4333" s="343"/>
      <c r="B4333" s="344"/>
    </row>
    <row r="4334" spans="1:2" ht="15.5" x14ac:dyDescent="0.35">
      <c r="A4334" s="343"/>
      <c r="B4334" s="344"/>
    </row>
    <row r="4335" spans="1:2" ht="15.5" x14ac:dyDescent="0.35">
      <c r="A4335" s="343"/>
      <c r="B4335" s="344"/>
    </row>
    <row r="4336" spans="1:2" ht="15.5" x14ac:dyDescent="0.35">
      <c r="A4336" s="343"/>
      <c r="B4336" s="344"/>
    </row>
    <row r="4337" spans="1:2" ht="15.5" x14ac:dyDescent="0.35">
      <c r="A4337" s="343"/>
      <c r="B4337" s="344"/>
    </row>
    <row r="4338" spans="1:2" ht="15.5" x14ac:dyDescent="0.35">
      <c r="A4338" s="343"/>
      <c r="B4338" s="344"/>
    </row>
    <row r="4339" spans="1:2" ht="15.5" x14ac:dyDescent="0.35">
      <c r="A4339" s="343"/>
      <c r="B4339" s="344"/>
    </row>
    <row r="4340" spans="1:2" ht="15.5" x14ac:dyDescent="0.35">
      <c r="A4340" s="343"/>
      <c r="B4340" s="344"/>
    </row>
    <row r="4341" spans="1:2" ht="15.5" x14ac:dyDescent="0.35">
      <c r="A4341" s="343"/>
      <c r="B4341" s="344"/>
    </row>
    <row r="4342" spans="1:2" ht="15.5" x14ac:dyDescent="0.35">
      <c r="A4342" s="343"/>
      <c r="B4342" s="344"/>
    </row>
    <row r="4343" spans="1:2" ht="15.5" x14ac:dyDescent="0.35">
      <c r="A4343" s="343"/>
      <c r="B4343" s="344"/>
    </row>
    <row r="4344" spans="1:2" ht="15.5" x14ac:dyDescent="0.35">
      <c r="A4344" s="343"/>
      <c r="B4344" s="344"/>
    </row>
    <row r="4345" spans="1:2" ht="15.5" x14ac:dyDescent="0.35">
      <c r="A4345" s="343"/>
      <c r="B4345" s="344"/>
    </row>
    <row r="4346" spans="1:2" ht="15.5" x14ac:dyDescent="0.35">
      <c r="A4346" s="343"/>
      <c r="B4346" s="344"/>
    </row>
    <row r="4347" spans="1:2" ht="15.5" x14ac:dyDescent="0.35">
      <c r="A4347" s="343"/>
      <c r="B4347" s="344"/>
    </row>
    <row r="4348" spans="1:2" ht="15.5" x14ac:dyDescent="0.35">
      <c r="A4348" s="343"/>
      <c r="B4348" s="344"/>
    </row>
    <row r="4349" spans="1:2" ht="15.5" x14ac:dyDescent="0.35">
      <c r="A4349" s="343"/>
      <c r="B4349" s="344"/>
    </row>
    <row r="4350" spans="1:2" ht="15.5" x14ac:dyDescent="0.35">
      <c r="A4350" s="343"/>
      <c r="B4350" s="344"/>
    </row>
    <row r="4351" spans="1:2" ht="15.5" x14ac:dyDescent="0.35">
      <c r="A4351" s="343"/>
      <c r="B4351" s="344"/>
    </row>
    <row r="4352" spans="1:2" ht="15.5" x14ac:dyDescent="0.35">
      <c r="A4352" s="343"/>
      <c r="B4352" s="344"/>
    </row>
    <row r="4353" spans="1:2" ht="15.5" x14ac:dyDescent="0.35">
      <c r="A4353" s="343"/>
      <c r="B4353" s="344"/>
    </row>
    <row r="4354" spans="1:2" ht="15.5" x14ac:dyDescent="0.35">
      <c r="A4354" s="343"/>
      <c r="B4354" s="344"/>
    </row>
    <row r="4355" spans="1:2" ht="15.5" x14ac:dyDescent="0.35">
      <c r="A4355" s="343"/>
      <c r="B4355" s="344"/>
    </row>
    <row r="4356" spans="1:2" ht="15.5" x14ac:dyDescent="0.35">
      <c r="A4356" s="343"/>
      <c r="B4356" s="344"/>
    </row>
    <row r="4357" spans="1:2" ht="15.5" x14ac:dyDescent="0.35">
      <c r="A4357" s="343"/>
      <c r="B4357" s="344"/>
    </row>
    <row r="4358" spans="1:2" ht="15.5" x14ac:dyDescent="0.35">
      <c r="A4358" s="343"/>
      <c r="B4358" s="344"/>
    </row>
    <row r="4359" spans="1:2" ht="15.5" x14ac:dyDescent="0.35">
      <c r="A4359" s="343"/>
      <c r="B4359" s="344"/>
    </row>
    <row r="4360" spans="1:2" ht="15.5" x14ac:dyDescent="0.35">
      <c r="A4360" s="343"/>
      <c r="B4360" s="344"/>
    </row>
    <row r="4361" spans="1:2" ht="15.5" x14ac:dyDescent="0.35">
      <c r="A4361" s="343"/>
      <c r="B4361" s="344"/>
    </row>
    <row r="4362" spans="1:2" ht="15.5" x14ac:dyDescent="0.35">
      <c r="A4362" s="343"/>
      <c r="B4362" s="344"/>
    </row>
    <row r="4363" spans="1:2" ht="15.5" x14ac:dyDescent="0.35">
      <c r="A4363" s="343"/>
      <c r="B4363" s="344"/>
    </row>
    <row r="4364" spans="1:2" ht="15.5" x14ac:dyDescent="0.35">
      <c r="A4364" s="343"/>
      <c r="B4364" s="344"/>
    </row>
    <row r="4365" spans="1:2" ht="15.5" x14ac:dyDescent="0.35">
      <c r="A4365" s="343"/>
      <c r="B4365" s="344"/>
    </row>
    <row r="4366" spans="1:2" ht="15.5" x14ac:dyDescent="0.35">
      <c r="A4366" s="343"/>
      <c r="B4366" s="344"/>
    </row>
    <row r="4367" spans="1:2" ht="15.5" x14ac:dyDescent="0.35">
      <c r="A4367" s="343"/>
      <c r="B4367" s="344"/>
    </row>
    <row r="4368" spans="1:2" ht="15.5" x14ac:dyDescent="0.35">
      <c r="A4368" s="343"/>
      <c r="B4368" s="344"/>
    </row>
    <row r="4369" spans="1:2" ht="15.5" x14ac:dyDescent="0.35">
      <c r="A4369" s="343"/>
      <c r="B4369" s="344"/>
    </row>
    <row r="4370" spans="1:2" ht="15.5" x14ac:dyDescent="0.35">
      <c r="A4370" s="343"/>
      <c r="B4370" s="344"/>
    </row>
    <row r="4371" spans="1:2" ht="15.5" x14ac:dyDescent="0.35">
      <c r="A4371" s="343"/>
      <c r="B4371" s="344"/>
    </row>
    <row r="4372" spans="1:2" ht="15.5" x14ac:dyDescent="0.35">
      <c r="A4372" s="343"/>
      <c r="B4372" s="344"/>
    </row>
    <row r="4373" spans="1:2" ht="15.5" x14ac:dyDescent="0.35">
      <c r="A4373" s="343"/>
      <c r="B4373" s="344"/>
    </row>
    <row r="4374" spans="1:2" ht="15.5" x14ac:dyDescent="0.35">
      <c r="A4374" s="343"/>
      <c r="B4374" s="344"/>
    </row>
    <row r="4375" spans="1:2" ht="15.5" x14ac:dyDescent="0.35">
      <c r="A4375" s="343"/>
      <c r="B4375" s="344"/>
    </row>
    <row r="4376" spans="1:2" ht="15.5" x14ac:dyDescent="0.35">
      <c r="A4376" s="343"/>
      <c r="B4376" s="344"/>
    </row>
    <row r="4377" spans="1:2" ht="15.5" x14ac:dyDescent="0.35">
      <c r="A4377" s="343"/>
      <c r="B4377" s="344"/>
    </row>
    <row r="4378" spans="1:2" ht="15.5" x14ac:dyDescent="0.35">
      <c r="A4378" s="343"/>
      <c r="B4378" s="344"/>
    </row>
    <row r="4379" spans="1:2" ht="15.5" x14ac:dyDescent="0.35">
      <c r="A4379" s="343"/>
      <c r="B4379" s="344"/>
    </row>
    <row r="4380" spans="1:2" ht="15.5" x14ac:dyDescent="0.35">
      <c r="A4380" s="343"/>
      <c r="B4380" s="344"/>
    </row>
    <row r="4381" spans="1:2" ht="15.5" x14ac:dyDescent="0.35">
      <c r="A4381" s="343"/>
      <c r="B4381" s="344"/>
    </row>
    <row r="4382" spans="1:2" ht="15.5" x14ac:dyDescent="0.35">
      <c r="A4382" s="343"/>
      <c r="B4382" s="344"/>
    </row>
    <row r="4383" spans="1:2" ht="15.5" x14ac:dyDescent="0.35">
      <c r="A4383" s="343"/>
      <c r="B4383" s="344"/>
    </row>
    <row r="4384" spans="1:2" ht="15.5" x14ac:dyDescent="0.35">
      <c r="A4384" s="343"/>
      <c r="B4384" s="344"/>
    </row>
    <row r="4385" spans="1:2" ht="15.5" x14ac:dyDescent="0.35">
      <c r="A4385" s="343"/>
      <c r="B4385" s="344"/>
    </row>
    <row r="4386" spans="1:2" ht="15.5" x14ac:dyDescent="0.35">
      <c r="A4386" s="343"/>
      <c r="B4386" s="344"/>
    </row>
    <row r="4387" spans="1:2" ht="15.5" x14ac:dyDescent="0.35">
      <c r="A4387" s="343"/>
      <c r="B4387" s="344"/>
    </row>
    <row r="4388" spans="1:2" ht="15.5" x14ac:dyDescent="0.35">
      <c r="A4388" s="343"/>
      <c r="B4388" s="344"/>
    </row>
    <row r="4389" spans="1:2" ht="15.5" x14ac:dyDescent="0.35">
      <c r="A4389" s="343"/>
      <c r="B4389" s="344"/>
    </row>
    <row r="4390" spans="1:2" ht="15.5" x14ac:dyDescent="0.35">
      <c r="A4390" s="343"/>
      <c r="B4390" s="344"/>
    </row>
    <row r="4391" spans="1:2" ht="15.5" x14ac:dyDescent="0.35">
      <c r="A4391" s="343"/>
      <c r="B4391" s="344"/>
    </row>
    <row r="4392" spans="1:2" ht="15.5" x14ac:dyDescent="0.35">
      <c r="A4392" s="343"/>
      <c r="B4392" s="344"/>
    </row>
    <row r="4393" spans="1:2" ht="15.5" x14ac:dyDescent="0.35">
      <c r="A4393" s="343"/>
      <c r="B4393" s="344"/>
    </row>
    <row r="4394" spans="1:2" ht="15.5" x14ac:dyDescent="0.35">
      <c r="A4394" s="343"/>
      <c r="B4394" s="344"/>
    </row>
    <row r="4395" spans="1:2" ht="15.5" x14ac:dyDescent="0.35">
      <c r="A4395" s="343"/>
      <c r="B4395" s="344"/>
    </row>
    <row r="4396" spans="1:2" ht="15.5" x14ac:dyDescent="0.35">
      <c r="A4396" s="343"/>
      <c r="B4396" s="344"/>
    </row>
    <row r="4397" spans="1:2" ht="15.5" x14ac:dyDescent="0.35">
      <c r="A4397" s="343"/>
      <c r="B4397" s="344"/>
    </row>
    <row r="4398" spans="1:2" ht="15.5" x14ac:dyDescent="0.35">
      <c r="A4398" s="343"/>
      <c r="B4398" s="344"/>
    </row>
    <row r="4399" spans="1:2" ht="15.5" x14ac:dyDescent="0.35">
      <c r="A4399" s="343"/>
      <c r="B4399" s="344"/>
    </row>
    <row r="4400" spans="1:2" ht="15.5" x14ac:dyDescent="0.35">
      <c r="A4400" s="343"/>
      <c r="B4400" s="344"/>
    </row>
    <row r="4401" spans="1:2" ht="15.5" x14ac:dyDescent="0.35">
      <c r="A4401" s="343"/>
      <c r="B4401" s="344"/>
    </row>
    <row r="4402" spans="1:2" ht="15.5" x14ac:dyDescent="0.35">
      <c r="A4402" s="343"/>
      <c r="B4402" s="344"/>
    </row>
    <row r="4403" spans="1:2" ht="15.5" x14ac:dyDescent="0.35">
      <c r="A4403" s="343"/>
      <c r="B4403" s="344"/>
    </row>
    <row r="4404" spans="1:2" ht="15.5" x14ac:dyDescent="0.35">
      <c r="A4404" s="343"/>
      <c r="B4404" s="344"/>
    </row>
    <row r="4405" spans="1:2" ht="15.5" x14ac:dyDescent="0.35">
      <c r="A4405" s="343"/>
      <c r="B4405" s="344"/>
    </row>
    <row r="4406" spans="1:2" ht="15.5" x14ac:dyDescent="0.35">
      <c r="A4406" s="343"/>
      <c r="B4406" s="344"/>
    </row>
    <row r="4407" spans="1:2" ht="15.5" x14ac:dyDescent="0.35">
      <c r="A4407" s="343"/>
      <c r="B4407" s="344"/>
    </row>
    <row r="4408" spans="1:2" ht="15.5" x14ac:dyDescent="0.35">
      <c r="A4408" s="343"/>
      <c r="B4408" s="344"/>
    </row>
    <row r="4409" spans="1:2" ht="15.5" x14ac:dyDescent="0.35">
      <c r="A4409" s="343"/>
      <c r="B4409" s="344"/>
    </row>
    <row r="4410" spans="1:2" ht="15.5" x14ac:dyDescent="0.35">
      <c r="A4410" s="343"/>
      <c r="B4410" s="344"/>
    </row>
    <row r="4411" spans="1:2" ht="15.5" x14ac:dyDescent="0.35">
      <c r="A4411" s="343"/>
      <c r="B4411" s="344"/>
    </row>
    <row r="4412" spans="1:2" ht="15.5" x14ac:dyDescent="0.35">
      <c r="A4412" s="343"/>
      <c r="B4412" s="344"/>
    </row>
    <row r="4413" spans="1:2" ht="15.5" x14ac:dyDescent="0.35">
      <c r="A4413" s="343"/>
      <c r="B4413" s="344"/>
    </row>
    <row r="4414" spans="1:2" ht="15.5" x14ac:dyDescent="0.35">
      <c r="A4414" s="343"/>
      <c r="B4414" s="344"/>
    </row>
    <row r="4415" spans="1:2" ht="15.5" x14ac:dyDescent="0.35">
      <c r="A4415" s="343"/>
      <c r="B4415" s="344"/>
    </row>
    <row r="4416" spans="1:2" ht="15.5" x14ac:dyDescent="0.35">
      <c r="A4416" s="343"/>
      <c r="B4416" s="344"/>
    </row>
    <row r="4417" spans="1:2" ht="15.5" x14ac:dyDescent="0.35">
      <c r="A4417" s="343"/>
      <c r="B4417" s="344"/>
    </row>
    <row r="4418" spans="1:2" ht="15.5" x14ac:dyDescent="0.35">
      <c r="A4418" s="343"/>
      <c r="B4418" s="344"/>
    </row>
    <row r="4419" spans="1:2" ht="15.5" x14ac:dyDescent="0.35">
      <c r="A4419" s="343"/>
      <c r="B4419" s="344"/>
    </row>
    <row r="4420" spans="1:2" ht="15.5" x14ac:dyDescent="0.35">
      <c r="A4420" s="343"/>
      <c r="B4420" s="344"/>
    </row>
    <row r="4421" spans="1:2" ht="15.5" x14ac:dyDescent="0.35">
      <c r="A4421" s="343"/>
      <c r="B4421" s="344"/>
    </row>
    <row r="4422" spans="1:2" ht="15.5" x14ac:dyDescent="0.35">
      <c r="A4422" s="343"/>
      <c r="B4422" s="344"/>
    </row>
    <row r="4423" spans="1:2" ht="15.5" x14ac:dyDescent="0.35">
      <c r="A4423" s="343"/>
      <c r="B4423" s="344"/>
    </row>
    <row r="4424" spans="1:2" ht="15.5" x14ac:dyDescent="0.35">
      <c r="A4424" s="343"/>
      <c r="B4424" s="344"/>
    </row>
    <row r="4425" spans="1:2" ht="15.5" x14ac:dyDescent="0.35">
      <c r="A4425" s="343"/>
      <c r="B4425" s="344"/>
    </row>
    <row r="4426" spans="1:2" ht="15.5" x14ac:dyDescent="0.35">
      <c r="A4426" s="343"/>
      <c r="B4426" s="344"/>
    </row>
    <row r="4427" spans="1:2" ht="15.5" x14ac:dyDescent="0.35">
      <c r="A4427" s="343"/>
      <c r="B4427" s="344"/>
    </row>
    <row r="4428" spans="1:2" ht="15.5" x14ac:dyDescent="0.35">
      <c r="A4428" s="343"/>
      <c r="B4428" s="344"/>
    </row>
    <row r="4429" spans="1:2" ht="15.5" x14ac:dyDescent="0.35">
      <c r="A4429" s="343"/>
      <c r="B4429" s="344"/>
    </row>
    <row r="4430" spans="1:2" ht="15.5" x14ac:dyDescent="0.35">
      <c r="A4430" s="343"/>
      <c r="B4430" s="344"/>
    </row>
    <row r="4431" spans="1:2" ht="15.5" x14ac:dyDescent="0.35">
      <c r="A4431" s="343"/>
      <c r="B4431" s="344"/>
    </row>
    <row r="4432" spans="1:2" ht="15.5" x14ac:dyDescent="0.35">
      <c r="A4432" s="343"/>
      <c r="B4432" s="344"/>
    </row>
    <row r="4433" spans="1:2" ht="15.5" x14ac:dyDescent="0.35">
      <c r="A4433" s="343"/>
      <c r="B4433" s="344"/>
    </row>
    <row r="4434" spans="1:2" ht="15.5" x14ac:dyDescent="0.35">
      <c r="A4434" s="343"/>
      <c r="B4434" s="344"/>
    </row>
    <row r="4435" spans="1:2" ht="15.5" x14ac:dyDescent="0.35">
      <c r="A4435" s="343"/>
      <c r="B4435" s="344"/>
    </row>
    <row r="4436" spans="1:2" ht="15.5" x14ac:dyDescent="0.35">
      <c r="A4436" s="343"/>
      <c r="B4436" s="344"/>
    </row>
    <row r="4437" spans="1:2" ht="15.5" x14ac:dyDescent="0.35">
      <c r="A4437" s="343"/>
      <c r="B4437" s="344"/>
    </row>
    <row r="4438" spans="1:2" ht="15.5" x14ac:dyDescent="0.35">
      <c r="A4438" s="343"/>
      <c r="B4438" s="344"/>
    </row>
    <row r="4439" spans="1:2" ht="15.5" x14ac:dyDescent="0.35">
      <c r="A4439" s="343"/>
      <c r="B4439" s="344"/>
    </row>
    <row r="4440" spans="1:2" ht="15.5" x14ac:dyDescent="0.35">
      <c r="A4440" s="343"/>
      <c r="B4440" s="344"/>
    </row>
    <row r="4441" spans="1:2" ht="15.5" x14ac:dyDescent="0.35">
      <c r="A4441" s="343"/>
      <c r="B4441" s="344"/>
    </row>
    <row r="4442" spans="1:2" ht="15.5" x14ac:dyDescent="0.35">
      <c r="A4442" s="343"/>
      <c r="B4442" s="344"/>
    </row>
    <row r="4443" spans="1:2" ht="15.5" x14ac:dyDescent="0.35">
      <c r="A4443" s="343"/>
      <c r="B4443" s="344"/>
    </row>
    <row r="4444" spans="1:2" ht="15.5" x14ac:dyDescent="0.35">
      <c r="A4444" s="343"/>
      <c r="B4444" s="344"/>
    </row>
    <row r="4445" spans="1:2" ht="15.5" x14ac:dyDescent="0.35">
      <c r="A4445" s="343"/>
      <c r="B4445" s="344"/>
    </row>
    <row r="4446" spans="1:2" ht="15.5" x14ac:dyDescent="0.35">
      <c r="A4446" s="343"/>
      <c r="B4446" s="344"/>
    </row>
    <row r="4447" spans="1:2" ht="15.5" x14ac:dyDescent="0.35">
      <c r="A4447" s="343"/>
      <c r="B4447" s="344"/>
    </row>
    <row r="4448" spans="1:2" ht="15.5" x14ac:dyDescent="0.35">
      <c r="A4448" s="343"/>
      <c r="B4448" s="344"/>
    </row>
    <row r="4449" spans="1:2" ht="15.5" x14ac:dyDescent="0.35">
      <c r="A4449" s="343"/>
      <c r="B4449" s="344"/>
    </row>
    <row r="4450" spans="1:2" ht="15.5" x14ac:dyDescent="0.35">
      <c r="A4450" s="343"/>
      <c r="B4450" s="344"/>
    </row>
    <row r="4451" spans="1:2" ht="15.5" x14ac:dyDescent="0.35">
      <c r="A4451" s="343"/>
      <c r="B4451" s="344"/>
    </row>
    <row r="4452" spans="1:2" ht="15.5" x14ac:dyDescent="0.35">
      <c r="A4452" s="343"/>
      <c r="B4452" s="344"/>
    </row>
    <row r="4453" spans="1:2" ht="15.5" x14ac:dyDescent="0.35">
      <c r="A4453" s="343"/>
      <c r="B4453" s="344"/>
    </row>
    <row r="4454" spans="1:2" ht="15.5" x14ac:dyDescent="0.35">
      <c r="A4454" s="343"/>
      <c r="B4454" s="344"/>
    </row>
    <row r="4455" spans="1:2" ht="15.5" x14ac:dyDescent="0.35">
      <c r="A4455" s="343"/>
      <c r="B4455" s="344"/>
    </row>
    <row r="4456" spans="1:2" ht="15.5" x14ac:dyDescent="0.35">
      <c r="A4456" s="343"/>
      <c r="B4456" s="344"/>
    </row>
    <row r="4457" spans="1:2" ht="15.5" x14ac:dyDescent="0.35">
      <c r="A4457" s="343"/>
      <c r="B4457" s="344"/>
    </row>
    <row r="4458" spans="1:2" ht="15.5" x14ac:dyDescent="0.35">
      <c r="A4458" s="343"/>
      <c r="B4458" s="344"/>
    </row>
    <row r="4459" spans="1:2" ht="15.5" x14ac:dyDescent="0.35">
      <c r="A4459" s="343"/>
      <c r="B4459" s="344"/>
    </row>
    <row r="4460" spans="1:2" ht="15.5" x14ac:dyDescent="0.35">
      <c r="A4460" s="343"/>
      <c r="B4460" s="344"/>
    </row>
    <row r="4461" spans="1:2" ht="15.5" x14ac:dyDescent="0.35">
      <c r="A4461" s="343"/>
      <c r="B4461" s="344"/>
    </row>
    <row r="4462" spans="1:2" ht="15.5" x14ac:dyDescent="0.35">
      <c r="A4462" s="343"/>
      <c r="B4462" s="344"/>
    </row>
    <row r="4463" spans="1:2" ht="15.5" x14ac:dyDescent="0.35">
      <c r="A4463" s="343"/>
      <c r="B4463" s="344"/>
    </row>
    <row r="4464" spans="1:2" ht="15.5" x14ac:dyDescent="0.35">
      <c r="A4464" s="343"/>
      <c r="B4464" s="344"/>
    </row>
    <row r="4465" spans="1:2" ht="15.5" x14ac:dyDescent="0.35">
      <c r="A4465" s="343"/>
      <c r="B4465" s="344"/>
    </row>
    <row r="4466" spans="1:2" ht="15.5" x14ac:dyDescent="0.35">
      <c r="A4466" s="343"/>
      <c r="B4466" s="344"/>
    </row>
    <row r="4467" spans="1:2" ht="15.5" x14ac:dyDescent="0.35">
      <c r="A4467" s="343"/>
      <c r="B4467" s="344"/>
    </row>
    <row r="4468" spans="1:2" ht="15.5" x14ac:dyDescent="0.35">
      <c r="A4468" s="343"/>
      <c r="B4468" s="344"/>
    </row>
    <row r="4469" spans="1:2" ht="15.5" x14ac:dyDescent="0.35">
      <c r="A4469" s="343"/>
      <c r="B4469" s="344"/>
    </row>
    <row r="4470" spans="1:2" ht="15.5" x14ac:dyDescent="0.35">
      <c r="A4470" s="343"/>
      <c r="B4470" s="344"/>
    </row>
    <row r="4471" spans="1:2" ht="15.5" x14ac:dyDescent="0.35">
      <c r="A4471" s="343"/>
      <c r="B4471" s="344"/>
    </row>
    <row r="4472" spans="1:2" ht="15.5" x14ac:dyDescent="0.35">
      <c r="A4472" s="343"/>
      <c r="B4472" s="344"/>
    </row>
    <row r="4473" spans="1:2" ht="15.5" x14ac:dyDescent="0.35">
      <c r="A4473" s="343"/>
      <c r="B4473" s="344"/>
    </row>
    <row r="4474" spans="1:2" ht="15.5" x14ac:dyDescent="0.35">
      <c r="A4474" s="343"/>
      <c r="B4474" s="344"/>
    </row>
    <row r="4475" spans="1:2" ht="15.5" x14ac:dyDescent="0.35">
      <c r="A4475" s="343"/>
      <c r="B4475" s="344"/>
    </row>
    <row r="4476" spans="1:2" ht="15.5" x14ac:dyDescent="0.35">
      <c r="A4476" s="343"/>
      <c r="B4476" s="344"/>
    </row>
    <row r="4477" spans="1:2" ht="15.5" x14ac:dyDescent="0.35">
      <c r="A4477" s="343"/>
      <c r="B4477" s="344"/>
    </row>
    <row r="4478" spans="1:2" ht="15.5" x14ac:dyDescent="0.35">
      <c r="A4478" s="343"/>
      <c r="B4478" s="344"/>
    </row>
    <row r="4479" spans="1:2" ht="15.5" x14ac:dyDescent="0.35">
      <c r="A4479" s="343"/>
      <c r="B4479" s="344"/>
    </row>
    <row r="4480" spans="1:2" ht="15.5" x14ac:dyDescent="0.35">
      <c r="A4480" s="343"/>
      <c r="B4480" s="344"/>
    </row>
    <row r="4481" spans="1:2" ht="15.5" x14ac:dyDescent="0.35">
      <c r="A4481" s="343"/>
      <c r="B4481" s="344"/>
    </row>
    <row r="4482" spans="1:2" ht="15.5" x14ac:dyDescent="0.35">
      <c r="A4482" s="343"/>
      <c r="B4482" s="344"/>
    </row>
    <row r="4483" spans="1:2" ht="15.5" x14ac:dyDescent="0.35">
      <c r="A4483" s="343"/>
      <c r="B4483" s="344"/>
    </row>
    <row r="4484" spans="1:2" ht="15.5" x14ac:dyDescent="0.35">
      <c r="A4484" s="343"/>
      <c r="B4484" s="344"/>
    </row>
    <row r="4485" spans="1:2" ht="15.5" x14ac:dyDescent="0.35">
      <c r="A4485" s="343"/>
      <c r="B4485" s="344"/>
    </row>
    <row r="4486" spans="1:2" ht="15.5" x14ac:dyDescent="0.35">
      <c r="A4486" s="343"/>
      <c r="B4486" s="344"/>
    </row>
    <row r="4487" spans="1:2" ht="15.5" x14ac:dyDescent="0.35">
      <c r="A4487" s="343"/>
      <c r="B4487" s="344"/>
    </row>
    <row r="4488" spans="1:2" ht="15.5" x14ac:dyDescent="0.35">
      <c r="A4488" s="343"/>
      <c r="B4488" s="344"/>
    </row>
    <row r="4489" spans="1:2" ht="15.5" x14ac:dyDescent="0.35">
      <c r="A4489" s="343"/>
      <c r="B4489" s="344"/>
    </row>
    <row r="4490" spans="1:2" ht="15.5" x14ac:dyDescent="0.35">
      <c r="A4490" s="343"/>
      <c r="B4490" s="344"/>
    </row>
    <row r="4491" spans="1:2" ht="15.5" x14ac:dyDescent="0.35">
      <c r="A4491" s="343"/>
      <c r="B4491" s="344"/>
    </row>
    <row r="4492" spans="1:2" ht="15.5" x14ac:dyDescent="0.35">
      <c r="A4492" s="343"/>
      <c r="B4492" s="344"/>
    </row>
    <row r="4493" spans="1:2" ht="15.5" x14ac:dyDescent="0.35">
      <c r="A4493" s="343"/>
      <c r="B4493" s="344"/>
    </row>
    <row r="4494" spans="1:2" ht="15.5" x14ac:dyDescent="0.35">
      <c r="A4494" s="343"/>
      <c r="B4494" s="344"/>
    </row>
    <row r="4495" spans="1:2" ht="15.5" x14ac:dyDescent="0.35">
      <c r="A4495" s="343"/>
      <c r="B4495" s="344"/>
    </row>
    <row r="4496" spans="1:2" ht="15.5" x14ac:dyDescent="0.35">
      <c r="A4496" s="343"/>
      <c r="B4496" s="344"/>
    </row>
    <row r="4497" spans="1:2" ht="15.5" x14ac:dyDescent="0.35">
      <c r="A4497" s="343"/>
      <c r="B4497" s="344"/>
    </row>
    <row r="4498" spans="1:2" ht="15.5" x14ac:dyDescent="0.35">
      <c r="A4498" s="343"/>
      <c r="B4498" s="344"/>
    </row>
    <row r="4499" spans="1:2" ht="15.5" x14ac:dyDescent="0.35">
      <c r="A4499" s="343"/>
      <c r="B4499" s="344"/>
    </row>
    <row r="4500" spans="1:2" ht="15.5" x14ac:dyDescent="0.35">
      <c r="A4500" s="343"/>
      <c r="B4500" s="344"/>
    </row>
    <row r="4501" spans="1:2" ht="15.5" x14ac:dyDescent="0.35">
      <c r="A4501" s="343"/>
      <c r="B4501" s="344"/>
    </row>
    <row r="4502" spans="1:2" ht="15.5" x14ac:dyDescent="0.35">
      <c r="A4502" s="343"/>
      <c r="B4502" s="344"/>
    </row>
    <row r="4503" spans="1:2" ht="15.5" x14ac:dyDescent="0.35">
      <c r="A4503" s="343"/>
      <c r="B4503" s="344"/>
    </row>
    <row r="4504" spans="1:2" ht="15.5" x14ac:dyDescent="0.35">
      <c r="A4504" s="343"/>
      <c r="B4504" s="344"/>
    </row>
    <row r="4505" spans="1:2" ht="15.5" x14ac:dyDescent="0.35">
      <c r="A4505" s="343"/>
      <c r="B4505" s="344"/>
    </row>
    <row r="4506" spans="1:2" ht="15.5" x14ac:dyDescent="0.35">
      <c r="A4506" s="343"/>
      <c r="B4506" s="344"/>
    </row>
    <row r="4507" spans="1:2" ht="15.5" x14ac:dyDescent="0.35">
      <c r="A4507" s="343"/>
      <c r="B4507" s="344"/>
    </row>
    <row r="4508" spans="1:2" ht="15.5" x14ac:dyDescent="0.35">
      <c r="A4508" s="343"/>
      <c r="B4508" s="344"/>
    </row>
    <row r="4509" spans="1:2" ht="15.5" x14ac:dyDescent="0.35">
      <c r="A4509" s="343"/>
      <c r="B4509" s="344"/>
    </row>
    <row r="4510" spans="1:2" ht="15.5" x14ac:dyDescent="0.35">
      <c r="A4510" s="343"/>
      <c r="B4510" s="344"/>
    </row>
    <row r="4511" spans="1:2" ht="15.5" x14ac:dyDescent="0.35">
      <c r="A4511" s="343"/>
      <c r="B4511" s="344"/>
    </row>
    <row r="4512" spans="1:2" ht="15.5" x14ac:dyDescent="0.35">
      <c r="A4512" s="343"/>
      <c r="B4512" s="344"/>
    </row>
    <row r="4513" spans="1:2" ht="15.5" x14ac:dyDescent="0.35">
      <c r="A4513" s="343"/>
      <c r="B4513" s="344"/>
    </row>
    <row r="4514" spans="1:2" ht="15.5" x14ac:dyDescent="0.35">
      <c r="A4514" s="343"/>
      <c r="B4514" s="344"/>
    </row>
    <row r="4515" spans="1:2" ht="15.5" x14ac:dyDescent="0.35">
      <c r="A4515" s="343"/>
      <c r="B4515" s="344"/>
    </row>
    <row r="4516" spans="1:2" ht="15.5" x14ac:dyDescent="0.35">
      <c r="A4516" s="343"/>
      <c r="B4516" s="344"/>
    </row>
    <row r="4517" spans="1:2" ht="15.5" x14ac:dyDescent="0.35">
      <c r="A4517" s="343"/>
      <c r="B4517" s="344"/>
    </row>
    <row r="4518" spans="1:2" ht="15.5" x14ac:dyDescent="0.35">
      <c r="A4518" s="343"/>
      <c r="B4518" s="344"/>
    </row>
    <row r="4519" spans="1:2" ht="15.5" x14ac:dyDescent="0.35">
      <c r="A4519" s="343"/>
      <c r="B4519" s="344"/>
    </row>
    <row r="4520" spans="1:2" ht="15.5" x14ac:dyDescent="0.35">
      <c r="A4520" s="343"/>
      <c r="B4520" s="344"/>
    </row>
    <row r="4521" spans="1:2" ht="15.5" x14ac:dyDescent="0.35">
      <c r="A4521" s="343"/>
      <c r="B4521" s="344"/>
    </row>
    <row r="4522" spans="1:2" ht="15.5" x14ac:dyDescent="0.35">
      <c r="A4522" s="343"/>
      <c r="B4522" s="344"/>
    </row>
    <row r="4523" spans="1:2" ht="15.5" x14ac:dyDescent="0.35">
      <c r="A4523" s="343"/>
      <c r="B4523" s="344"/>
    </row>
    <row r="4524" spans="1:2" ht="15.5" x14ac:dyDescent="0.35">
      <c r="A4524" s="343"/>
      <c r="B4524" s="344"/>
    </row>
    <row r="4525" spans="1:2" ht="15.5" x14ac:dyDescent="0.35">
      <c r="A4525" s="343"/>
      <c r="B4525" s="344"/>
    </row>
    <row r="4526" spans="1:2" ht="15.5" x14ac:dyDescent="0.35">
      <c r="A4526" s="343"/>
      <c r="B4526" s="344"/>
    </row>
    <row r="4527" spans="1:2" ht="15.5" x14ac:dyDescent="0.35">
      <c r="A4527" s="343"/>
      <c r="B4527" s="344"/>
    </row>
    <row r="4528" spans="1:2" ht="15.5" x14ac:dyDescent="0.35">
      <c r="A4528" s="343"/>
      <c r="B4528" s="344"/>
    </row>
    <row r="4529" spans="1:2" ht="15.5" x14ac:dyDescent="0.35">
      <c r="A4529" s="343"/>
      <c r="B4529" s="344"/>
    </row>
    <row r="4530" spans="1:2" ht="15.5" x14ac:dyDescent="0.35">
      <c r="A4530" s="343"/>
      <c r="B4530" s="344"/>
    </row>
    <row r="4531" spans="1:2" ht="15.5" x14ac:dyDescent="0.35">
      <c r="A4531" s="343"/>
      <c r="B4531" s="344"/>
    </row>
    <row r="4532" spans="1:2" ht="15.5" x14ac:dyDescent="0.35">
      <c r="A4532" s="343"/>
      <c r="B4532" s="344"/>
    </row>
    <row r="4533" spans="1:2" ht="15.5" x14ac:dyDescent="0.35">
      <c r="A4533" s="343"/>
      <c r="B4533" s="344"/>
    </row>
    <row r="4534" spans="1:2" ht="15.5" x14ac:dyDescent="0.35">
      <c r="A4534" s="343"/>
      <c r="B4534" s="344"/>
    </row>
    <row r="4535" spans="1:2" ht="15.5" x14ac:dyDescent="0.35">
      <c r="A4535" s="343"/>
      <c r="B4535" s="344"/>
    </row>
    <row r="4536" spans="1:2" ht="15.5" x14ac:dyDescent="0.35">
      <c r="A4536" s="343"/>
      <c r="B4536" s="344"/>
    </row>
    <row r="4537" spans="1:2" ht="15.5" x14ac:dyDescent="0.35">
      <c r="A4537" s="343"/>
      <c r="B4537" s="344"/>
    </row>
    <row r="4538" spans="1:2" ht="15.5" x14ac:dyDescent="0.35">
      <c r="A4538" s="343"/>
      <c r="B4538" s="344"/>
    </row>
    <row r="4539" spans="1:2" ht="15.5" x14ac:dyDescent="0.35">
      <c r="A4539" s="343"/>
      <c r="B4539" s="344"/>
    </row>
    <row r="4540" spans="1:2" ht="15.5" x14ac:dyDescent="0.35">
      <c r="A4540" s="343"/>
      <c r="B4540" s="344"/>
    </row>
    <row r="4541" spans="1:2" ht="15.5" x14ac:dyDescent="0.35">
      <c r="A4541" s="343"/>
      <c r="B4541" s="344"/>
    </row>
    <row r="4542" spans="1:2" ht="15.5" x14ac:dyDescent="0.35">
      <c r="A4542" s="343"/>
      <c r="B4542" s="344"/>
    </row>
    <row r="4543" spans="1:2" ht="15.5" x14ac:dyDescent="0.35">
      <c r="A4543" s="343"/>
      <c r="B4543" s="344"/>
    </row>
    <row r="4544" spans="1:2" ht="15.5" x14ac:dyDescent="0.35">
      <c r="A4544" s="343"/>
      <c r="B4544" s="344"/>
    </row>
    <row r="4545" spans="1:2" ht="15.5" x14ac:dyDescent="0.35">
      <c r="A4545" s="343"/>
      <c r="B4545" s="344"/>
    </row>
    <row r="4546" spans="1:2" ht="15.5" x14ac:dyDescent="0.35">
      <c r="A4546" s="343"/>
      <c r="B4546" s="344"/>
    </row>
    <row r="4547" spans="1:2" ht="15.5" x14ac:dyDescent="0.35">
      <c r="A4547" s="343"/>
      <c r="B4547" s="344"/>
    </row>
    <row r="4548" spans="1:2" ht="15.5" x14ac:dyDescent="0.35">
      <c r="A4548" s="343"/>
      <c r="B4548" s="344"/>
    </row>
    <row r="4549" spans="1:2" ht="15.5" x14ac:dyDescent="0.35">
      <c r="A4549" s="343"/>
      <c r="B4549" s="344"/>
    </row>
    <row r="4550" spans="1:2" ht="15.5" x14ac:dyDescent="0.35">
      <c r="A4550" s="343"/>
      <c r="B4550" s="344"/>
    </row>
    <row r="4551" spans="1:2" ht="15.5" x14ac:dyDescent="0.35">
      <c r="A4551" s="343"/>
      <c r="B4551" s="344"/>
    </row>
    <row r="4552" spans="1:2" ht="15.5" x14ac:dyDescent="0.35">
      <c r="A4552" s="343"/>
      <c r="B4552" s="344"/>
    </row>
    <row r="4553" spans="1:2" ht="15.5" x14ac:dyDescent="0.35">
      <c r="A4553" s="343"/>
      <c r="B4553" s="344"/>
    </row>
    <row r="4554" spans="1:2" ht="15.5" x14ac:dyDescent="0.35">
      <c r="A4554" s="343"/>
      <c r="B4554" s="344"/>
    </row>
    <row r="4555" spans="1:2" ht="15.5" x14ac:dyDescent="0.35">
      <c r="A4555" s="343"/>
      <c r="B4555" s="344"/>
    </row>
    <row r="4556" spans="1:2" ht="15.5" x14ac:dyDescent="0.35">
      <c r="A4556" s="343"/>
      <c r="B4556" s="344"/>
    </row>
    <row r="4557" spans="1:2" ht="15.5" x14ac:dyDescent="0.35">
      <c r="A4557" s="343"/>
      <c r="B4557" s="344"/>
    </row>
    <row r="4558" spans="1:2" ht="15.5" x14ac:dyDescent="0.35">
      <c r="A4558" s="343"/>
      <c r="B4558" s="344"/>
    </row>
    <row r="4559" spans="1:2" ht="15.5" x14ac:dyDescent="0.35">
      <c r="A4559" s="343"/>
      <c r="B4559" s="344"/>
    </row>
    <row r="4560" spans="1:2" ht="15.5" x14ac:dyDescent="0.35">
      <c r="A4560" s="343"/>
      <c r="B4560" s="344"/>
    </row>
    <row r="4561" spans="1:2" ht="15.5" x14ac:dyDescent="0.35">
      <c r="A4561" s="343"/>
      <c r="B4561" s="344"/>
    </row>
    <row r="4562" spans="1:2" ht="15.5" x14ac:dyDescent="0.35">
      <c r="A4562" s="343"/>
      <c r="B4562" s="344"/>
    </row>
    <row r="4563" spans="1:2" ht="15.5" x14ac:dyDescent="0.35">
      <c r="A4563" s="343"/>
      <c r="B4563" s="344"/>
    </row>
    <row r="4564" spans="1:2" ht="15.5" x14ac:dyDescent="0.35">
      <c r="A4564" s="343"/>
      <c r="B4564" s="344"/>
    </row>
    <row r="4565" spans="1:2" ht="15.5" x14ac:dyDescent="0.35">
      <c r="A4565" s="343"/>
      <c r="B4565" s="344"/>
    </row>
    <row r="4566" spans="1:2" ht="15.5" x14ac:dyDescent="0.35">
      <c r="A4566" s="343"/>
      <c r="B4566" s="344"/>
    </row>
    <row r="4567" spans="1:2" ht="15.5" x14ac:dyDescent="0.35">
      <c r="A4567" s="343"/>
      <c r="B4567" s="344"/>
    </row>
    <row r="4568" spans="1:2" ht="15.5" x14ac:dyDescent="0.35">
      <c r="A4568" s="343"/>
      <c r="B4568" s="344"/>
    </row>
    <row r="4569" spans="1:2" ht="15.5" x14ac:dyDescent="0.35">
      <c r="A4569" s="343"/>
      <c r="B4569" s="344"/>
    </row>
    <row r="4570" spans="1:2" ht="15.5" x14ac:dyDescent="0.35">
      <c r="A4570" s="343"/>
      <c r="B4570" s="344"/>
    </row>
    <row r="4571" spans="1:2" ht="15.5" x14ac:dyDescent="0.35">
      <c r="A4571" s="343"/>
      <c r="B4571" s="344"/>
    </row>
    <row r="4572" spans="1:2" ht="15.5" x14ac:dyDescent="0.35">
      <c r="A4572" s="343"/>
      <c r="B4572" s="344"/>
    </row>
    <row r="4573" spans="1:2" ht="15.5" x14ac:dyDescent="0.35">
      <c r="A4573" s="343"/>
      <c r="B4573" s="344"/>
    </row>
    <row r="4574" spans="1:2" ht="15.5" x14ac:dyDescent="0.35">
      <c r="A4574" s="343"/>
      <c r="B4574" s="344"/>
    </row>
    <row r="4575" spans="1:2" ht="15.5" x14ac:dyDescent="0.35">
      <c r="A4575" s="343"/>
      <c r="B4575" s="344"/>
    </row>
    <row r="4576" spans="1:2" ht="15.5" x14ac:dyDescent="0.35">
      <c r="A4576" s="343"/>
      <c r="B4576" s="344"/>
    </row>
    <row r="4577" spans="1:2" ht="15.5" x14ac:dyDescent="0.35">
      <c r="A4577" s="343"/>
      <c r="B4577" s="344"/>
    </row>
    <row r="4578" spans="1:2" ht="15.5" x14ac:dyDescent="0.35">
      <c r="A4578" s="343"/>
      <c r="B4578" s="344"/>
    </row>
    <row r="4579" spans="1:2" ht="15.5" x14ac:dyDescent="0.35">
      <c r="A4579" s="343"/>
      <c r="B4579" s="344"/>
    </row>
    <row r="4580" spans="1:2" ht="15.5" x14ac:dyDescent="0.35">
      <c r="A4580" s="343"/>
      <c r="B4580" s="344"/>
    </row>
    <row r="4581" spans="1:2" ht="15.5" x14ac:dyDescent="0.35">
      <c r="A4581" s="343"/>
      <c r="B4581" s="344"/>
    </row>
    <row r="4582" spans="1:2" ht="15.5" x14ac:dyDescent="0.35">
      <c r="A4582" s="343"/>
      <c r="B4582" s="344"/>
    </row>
    <row r="4583" spans="1:2" ht="15.5" x14ac:dyDescent="0.35">
      <c r="A4583" s="343"/>
      <c r="B4583" s="344"/>
    </row>
    <row r="4584" spans="1:2" ht="15.5" x14ac:dyDescent="0.35">
      <c r="A4584" s="343"/>
      <c r="B4584" s="344"/>
    </row>
    <row r="4585" spans="1:2" ht="15.5" x14ac:dyDescent="0.35">
      <c r="A4585" s="343"/>
      <c r="B4585" s="344"/>
    </row>
    <row r="4586" spans="1:2" ht="15.5" x14ac:dyDescent="0.35">
      <c r="A4586" s="343"/>
      <c r="B4586" s="344"/>
    </row>
    <row r="4587" spans="1:2" ht="15.5" x14ac:dyDescent="0.35">
      <c r="A4587" s="343"/>
      <c r="B4587" s="344"/>
    </row>
    <row r="4588" spans="1:2" ht="15.5" x14ac:dyDescent="0.35">
      <c r="A4588" s="343"/>
      <c r="B4588" s="344"/>
    </row>
    <row r="4589" spans="1:2" ht="15.5" x14ac:dyDescent="0.35">
      <c r="A4589" s="343"/>
      <c r="B4589" s="344"/>
    </row>
    <row r="4590" spans="1:2" ht="15.5" x14ac:dyDescent="0.35">
      <c r="A4590" s="343"/>
      <c r="B4590" s="344"/>
    </row>
    <row r="4591" spans="1:2" ht="15.5" x14ac:dyDescent="0.35">
      <c r="A4591" s="343"/>
      <c r="B4591" s="344"/>
    </row>
    <row r="4592" spans="1:2" ht="15.5" x14ac:dyDescent="0.35">
      <c r="A4592" s="343"/>
      <c r="B4592" s="344"/>
    </row>
    <row r="4593" spans="1:2" ht="15.5" x14ac:dyDescent="0.35">
      <c r="A4593" s="343"/>
      <c r="B4593" s="344"/>
    </row>
    <row r="4594" spans="1:2" ht="15.5" x14ac:dyDescent="0.35">
      <c r="A4594" s="343"/>
      <c r="B4594" s="344"/>
    </row>
    <row r="4595" spans="1:2" ht="15.5" x14ac:dyDescent="0.35">
      <c r="A4595" s="343"/>
      <c r="B4595" s="344"/>
    </row>
    <row r="4596" spans="1:2" ht="15.5" x14ac:dyDescent="0.35">
      <c r="A4596" s="343"/>
      <c r="B4596" s="344"/>
    </row>
    <row r="4597" spans="1:2" ht="15.5" x14ac:dyDescent="0.35">
      <c r="A4597" s="343"/>
      <c r="B4597" s="344"/>
    </row>
    <row r="4598" spans="1:2" ht="15.5" x14ac:dyDescent="0.35">
      <c r="A4598" s="343"/>
      <c r="B4598" s="344"/>
    </row>
    <row r="4599" spans="1:2" ht="15.5" x14ac:dyDescent="0.35">
      <c r="A4599" s="343"/>
      <c r="B4599" s="344"/>
    </row>
    <row r="4600" spans="1:2" ht="15.5" x14ac:dyDescent="0.35">
      <c r="A4600" s="343"/>
      <c r="B4600" s="344"/>
    </row>
    <row r="4601" spans="1:2" ht="15.5" x14ac:dyDescent="0.35">
      <c r="A4601" s="343"/>
      <c r="B4601" s="344"/>
    </row>
    <row r="4602" spans="1:2" ht="15.5" x14ac:dyDescent="0.35">
      <c r="A4602" s="343"/>
      <c r="B4602" s="344"/>
    </row>
    <row r="4603" spans="1:2" ht="15.5" x14ac:dyDescent="0.35">
      <c r="A4603" s="343"/>
      <c r="B4603" s="344"/>
    </row>
    <row r="4604" spans="1:2" ht="15.5" x14ac:dyDescent="0.35">
      <c r="A4604" s="343"/>
      <c r="B4604" s="344"/>
    </row>
    <row r="4605" spans="1:2" ht="15.5" x14ac:dyDescent="0.35">
      <c r="A4605" s="343"/>
      <c r="B4605" s="344"/>
    </row>
    <row r="4606" spans="1:2" ht="15.5" x14ac:dyDescent="0.35">
      <c r="A4606" s="343"/>
      <c r="B4606" s="344"/>
    </row>
    <row r="4607" spans="1:2" ht="15.5" x14ac:dyDescent="0.35">
      <c r="A4607" s="343"/>
      <c r="B4607" s="344"/>
    </row>
    <row r="4608" spans="1:2" ht="15.5" x14ac:dyDescent="0.35">
      <c r="A4608" s="343"/>
      <c r="B4608" s="344"/>
    </row>
    <row r="4609" spans="1:2" ht="15.5" x14ac:dyDescent="0.35">
      <c r="A4609" s="343"/>
      <c r="B4609" s="344"/>
    </row>
    <row r="4610" spans="1:2" ht="15.5" x14ac:dyDescent="0.35">
      <c r="A4610" s="343"/>
      <c r="B4610" s="344"/>
    </row>
    <row r="4611" spans="1:2" ht="15.5" x14ac:dyDescent="0.35">
      <c r="A4611" s="343"/>
      <c r="B4611" s="344"/>
    </row>
    <row r="4612" spans="1:2" ht="15.5" x14ac:dyDescent="0.35">
      <c r="A4612" s="343"/>
      <c r="B4612" s="344"/>
    </row>
    <row r="4613" spans="1:2" ht="15.5" x14ac:dyDescent="0.35">
      <c r="A4613" s="343"/>
      <c r="B4613" s="344"/>
    </row>
    <row r="4614" spans="1:2" ht="15.5" x14ac:dyDescent="0.35">
      <c r="A4614" s="343"/>
      <c r="B4614" s="344"/>
    </row>
    <row r="4615" spans="1:2" ht="15.5" x14ac:dyDescent="0.35">
      <c r="A4615" s="343"/>
      <c r="B4615" s="344"/>
    </row>
    <row r="4616" spans="1:2" ht="15.5" x14ac:dyDescent="0.35">
      <c r="A4616" s="343"/>
      <c r="B4616" s="344"/>
    </row>
    <row r="4617" spans="1:2" ht="15.5" x14ac:dyDescent="0.35">
      <c r="A4617" s="343"/>
      <c r="B4617" s="344"/>
    </row>
    <row r="4618" spans="1:2" ht="15.5" x14ac:dyDescent="0.35">
      <c r="A4618" s="343"/>
      <c r="B4618" s="344"/>
    </row>
    <row r="4619" spans="1:2" ht="15.5" x14ac:dyDescent="0.35">
      <c r="A4619" s="343"/>
      <c r="B4619" s="344"/>
    </row>
    <row r="4620" spans="1:2" ht="15.5" x14ac:dyDescent="0.35">
      <c r="A4620" s="343"/>
      <c r="B4620" s="344"/>
    </row>
    <row r="4621" spans="1:2" ht="15.5" x14ac:dyDescent="0.35">
      <c r="A4621" s="343"/>
      <c r="B4621" s="344"/>
    </row>
    <row r="4622" spans="1:2" ht="15.5" x14ac:dyDescent="0.35">
      <c r="A4622" s="343"/>
      <c r="B4622" s="344"/>
    </row>
    <row r="4623" spans="1:2" ht="15.5" x14ac:dyDescent="0.35">
      <c r="A4623" s="343"/>
      <c r="B4623" s="344"/>
    </row>
    <row r="4624" spans="1:2" ht="15.5" x14ac:dyDescent="0.35">
      <c r="A4624" s="343"/>
      <c r="B4624" s="344"/>
    </row>
    <row r="4625" spans="1:2" ht="15.5" x14ac:dyDescent="0.35">
      <c r="A4625" s="343"/>
      <c r="B4625" s="344"/>
    </row>
    <row r="4626" spans="1:2" ht="15.5" x14ac:dyDescent="0.35">
      <c r="A4626" s="343"/>
      <c r="B4626" s="344"/>
    </row>
    <row r="4627" spans="1:2" ht="15.5" x14ac:dyDescent="0.35">
      <c r="A4627" s="343"/>
      <c r="B4627" s="344"/>
    </row>
    <row r="4628" spans="1:2" ht="15.5" x14ac:dyDescent="0.35">
      <c r="A4628" s="343"/>
      <c r="B4628" s="344"/>
    </row>
    <row r="4629" spans="1:2" ht="15.5" x14ac:dyDescent="0.35">
      <c r="A4629" s="343"/>
      <c r="B4629" s="344"/>
    </row>
    <row r="4630" spans="1:2" ht="15.5" x14ac:dyDescent="0.35">
      <c r="A4630" s="343"/>
      <c r="B4630" s="344"/>
    </row>
    <row r="4631" spans="1:2" ht="15.5" x14ac:dyDescent="0.35">
      <c r="A4631" s="343"/>
      <c r="B4631" s="344"/>
    </row>
    <row r="4632" spans="1:2" ht="15.5" x14ac:dyDescent="0.35">
      <c r="A4632" s="343"/>
      <c r="B4632" s="344"/>
    </row>
    <row r="4633" spans="1:2" ht="15.5" x14ac:dyDescent="0.35">
      <c r="A4633" s="343"/>
      <c r="B4633" s="344"/>
    </row>
    <row r="4634" spans="1:2" ht="15.5" x14ac:dyDescent="0.35">
      <c r="A4634" s="343"/>
      <c r="B4634" s="344"/>
    </row>
    <row r="4635" spans="1:2" ht="15.5" x14ac:dyDescent="0.35">
      <c r="A4635" s="343"/>
      <c r="B4635" s="344"/>
    </row>
    <row r="4636" spans="1:2" ht="15.5" x14ac:dyDescent="0.35">
      <c r="A4636" s="343"/>
      <c r="B4636" s="344"/>
    </row>
    <row r="4637" spans="1:2" ht="15.5" x14ac:dyDescent="0.35">
      <c r="A4637" s="343"/>
      <c r="B4637" s="344"/>
    </row>
    <row r="4638" spans="1:2" ht="15.5" x14ac:dyDescent="0.35">
      <c r="A4638" s="343"/>
      <c r="B4638" s="344"/>
    </row>
    <row r="4639" spans="1:2" ht="15.5" x14ac:dyDescent="0.35">
      <c r="A4639" s="343"/>
      <c r="B4639" s="344"/>
    </row>
    <row r="4640" spans="1:2" ht="15.5" x14ac:dyDescent="0.35">
      <c r="A4640" s="343"/>
      <c r="B4640" s="344"/>
    </row>
    <row r="4641" spans="1:2" ht="15.5" x14ac:dyDescent="0.35">
      <c r="A4641" s="343"/>
      <c r="B4641" s="344"/>
    </row>
    <row r="4642" spans="1:2" ht="15.5" x14ac:dyDescent="0.35">
      <c r="A4642" s="343"/>
      <c r="B4642" s="344"/>
    </row>
    <row r="4643" spans="1:2" ht="15.5" x14ac:dyDescent="0.35">
      <c r="A4643" s="343"/>
      <c r="B4643" s="344"/>
    </row>
    <row r="4644" spans="1:2" ht="15.5" x14ac:dyDescent="0.35">
      <c r="A4644" s="343"/>
      <c r="B4644" s="344"/>
    </row>
    <row r="4645" spans="1:2" ht="15.5" x14ac:dyDescent="0.35">
      <c r="A4645" s="343"/>
      <c r="B4645" s="344"/>
    </row>
    <row r="4646" spans="1:2" ht="15.5" x14ac:dyDescent="0.35">
      <c r="A4646" s="343"/>
      <c r="B4646" s="344"/>
    </row>
    <row r="4647" spans="1:2" ht="15.5" x14ac:dyDescent="0.35">
      <c r="A4647" s="343"/>
      <c r="B4647" s="344"/>
    </row>
    <row r="4648" spans="1:2" ht="15.5" x14ac:dyDescent="0.35">
      <c r="A4648" s="343"/>
      <c r="B4648" s="344"/>
    </row>
    <row r="4649" spans="1:2" ht="15.5" x14ac:dyDescent="0.35">
      <c r="A4649" s="343"/>
      <c r="B4649" s="344"/>
    </row>
    <row r="4650" spans="1:2" ht="15.5" x14ac:dyDescent="0.35">
      <c r="A4650" s="343"/>
      <c r="B4650" s="344"/>
    </row>
    <row r="4651" spans="1:2" ht="15.5" x14ac:dyDescent="0.35">
      <c r="A4651" s="343"/>
      <c r="B4651" s="344"/>
    </row>
    <row r="4652" spans="1:2" ht="15.5" x14ac:dyDescent="0.35">
      <c r="A4652" s="343"/>
      <c r="B4652" s="344"/>
    </row>
    <row r="4653" spans="1:2" ht="15.5" x14ac:dyDescent="0.35">
      <c r="A4653" s="343"/>
      <c r="B4653" s="344"/>
    </row>
    <row r="4654" spans="1:2" ht="15.5" x14ac:dyDescent="0.35">
      <c r="A4654" s="343"/>
      <c r="B4654" s="344"/>
    </row>
    <row r="4655" spans="1:2" ht="15.5" x14ac:dyDescent="0.35">
      <c r="A4655" s="343"/>
      <c r="B4655" s="344"/>
    </row>
    <row r="4656" spans="1:2" ht="15.5" x14ac:dyDescent="0.35">
      <c r="A4656" s="343"/>
      <c r="B4656" s="344"/>
    </row>
    <row r="4657" spans="1:2" ht="15.5" x14ac:dyDescent="0.35">
      <c r="A4657" s="343"/>
      <c r="B4657" s="344"/>
    </row>
    <row r="4658" spans="1:2" ht="15.5" x14ac:dyDescent="0.35">
      <c r="A4658" s="343"/>
      <c r="B4658" s="344"/>
    </row>
    <row r="4659" spans="1:2" ht="15.5" x14ac:dyDescent="0.35">
      <c r="A4659" s="343"/>
      <c r="B4659" s="344"/>
    </row>
    <row r="4660" spans="1:2" ht="15.5" x14ac:dyDescent="0.35">
      <c r="A4660" s="343"/>
      <c r="B4660" s="344"/>
    </row>
    <row r="4661" spans="1:2" ht="15.5" x14ac:dyDescent="0.35">
      <c r="A4661" s="343"/>
      <c r="B4661" s="344"/>
    </row>
    <row r="4662" spans="1:2" ht="15.5" x14ac:dyDescent="0.35">
      <c r="A4662" s="343"/>
      <c r="B4662" s="344"/>
    </row>
    <row r="4663" spans="1:2" ht="15.5" x14ac:dyDescent="0.35">
      <c r="A4663" s="343"/>
      <c r="B4663" s="344"/>
    </row>
    <row r="4664" spans="1:2" ht="15.5" x14ac:dyDescent="0.35">
      <c r="A4664" s="343"/>
      <c r="B4664" s="344"/>
    </row>
    <row r="4665" spans="1:2" ht="15.5" x14ac:dyDescent="0.35">
      <c r="A4665" s="343"/>
      <c r="B4665" s="344"/>
    </row>
    <row r="4666" spans="1:2" ht="15.5" x14ac:dyDescent="0.35">
      <c r="A4666" s="343"/>
      <c r="B4666" s="344"/>
    </row>
    <row r="4667" spans="1:2" ht="15.5" x14ac:dyDescent="0.35">
      <c r="A4667" s="343"/>
      <c r="B4667" s="344"/>
    </row>
    <row r="4668" spans="1:2" ht="15.5" x14ac:dyDescent="0.35">
      <c r="A4668" s="343"/>
      <c r="B4668" s="344"/>
    </row>
    <row r="4669" spans="1:2" ht="15.5" x14ac:dyDescent="0.35">
      <c r="A4669" s="343"/>
      <c r="B4669" s="344"/>
    </row>
    <row r="4670" spans="1:2" ht="15.5" x14ac:dyDescent="0.35">
      <c r="A4670" s="343"/>
      <c r="B4670" s="344"/>
    </row>
    <row r="4671" spans="1:2" ht="15.5" x14ac:dyDescent="0.35">
      <c r="A4671" s="343"/>
      <c r="B4671" s="344"/>
    </row>
    <row r="4672" spans="1:2" ht="15.5" x14ac:dyDescent="0.35">
      <c r="A4672" s="343"/>
      <c r="B4672" s="344"/>
    </row>
    <row r="4673" spans="1:2" ht="15.5" x14ac:dyDescent="0.35">
      <c r="A4673" s="343"/>
      <c r="B4673" s="344"/>
    </row>
    <row r="4674" spans="1:2" ht="15.5" x14ac:dyDescent="0.35">
      <c r="A4674" s="343"/>
      <c r="B4674" s="344"/>
    </row>
    <row r="4675" spans="1:2" ht="15.5" x14ac:dyDescent="0.35">
      <c r="A4675" s="343"/>
      <c r="B4675" s="344"/>
    </row>
    <row r="4676" spans="1:2" ht="15.5" x14ac:dyDescent="0.35">
      <c r="A4676" s="343"/>
      <c r="B4676" s="344"/>
    </row>
    <row r="4677" spans="1:2" ht="15.5" x14ac:dyDescent="0.35">
      <c r="A4677" s="343"/>
      <c r="B4677" s="344"/>
    </row>
    <row r="4678" spans="1:2" ht="15.5" x14ac:dyDescent="0.35">
      <c r="A4678" s="343"/>
      <c r="B4678" s="344"/>
    </row>
    <row r="4679" spans="1:2" ht="15.5" x14ac:dyDescent="0.35">
      <c r="A4679" s="343"/>
      <c r="B4679" s="344"/>
    </row>
    <row r="4680" spans="1:2" ht="15.5" x14ac:dyDescent="0.35">
      <c r="A4680" s="343"/>
      <c r="B4680" s="344"/>
    </row>
    <row r="4681" spans="1:2" ht="15.5" x14ac:dyDescent="0.35">
      <c r="A4681" s="343"/>
      <c r="B4681" s="344"/>
    </row>
    <row r="4682" spans="1:2" ht="15.5" x14ac:dyDescent="0.35">
      <c r="A4682" s="343"/>
      <c r="B4682" s="344"/>
    </row>
    <row r="4683" spans="1:2" ht="15.5" x14ac:dyDescent="0.35">
      <c r="A4683" s="343"/>
      <c r="B4683" s="344"/>
    </row>
    <row r="4684" spans="1:2" ht="15.5" x14ac:dyDescent="0.35">
      <c r="A4684" s="343"/>
      <c r="B4684" s="344"/>
    </row>
    <row r="4685" spans="1:2" ht="15.5" x14ac:dyDescent="0.35">
      <c r="A4685" s="343"/>
      <c r="B4685" s="344"/>
    </row>
    <row r="4686" spans="1:2" ht="15.5" x14ac:dyDescent="0.35">
      <c r="A4686" s="343"/>
      <c r="B4686" s="344"/>
    </row>
    <row r="4687" spans="1:2" ht="15.5" x14ac:dyDescent="0.35">
      <c r="A4687" s="343"/>
      <c r="B4687" s="344"/>
    </row>
    <row r="4688" spans="1:2" ht="15.5" x14ac:dyDescent="0.35">
      <c r="A4688" s="343"/>
      <c r="B4688" s="344"/>
    </row>
    <row r="4689" spans="1:2" ht="15.5" x14ac:dyDescent="0.35">
      <c r="A4689" s="343"/>
      <c r="B4689" s="344"/>
    </row>
    <row r="4690" spans="1:2" ht="15.5" x14ac:dyDescent="0.35">
      <c r="A4690" s="343"/>
      <c r="B4690" s="344"/>
    </row>
    <row r="4691" spans="1:2" ht="15.5" x14ac:dyDescent="0.35">
      <c r="A4691" s="343"/>
      <c r="B4691" s="344"/>
    </row>
    <row r="4692" spans="1:2" ht="15.5" x14ac:dyDescent="0.35">
      <c r="A4692" s="343"/>
      <c r="B4692" s="344"/>
    </row>
    <row r="4693" spans="1:2" ht="15.5" x14ac:dyDescent="0.35">
      <c r="A4693" s="343"/>
      <c r="B4693" s="344"/>
    </row>
    <row r="4694" spans="1:2" ht="15.5" x14ac:dyDescent="0.35">
      <c r="A4694" s="343"/>
      <c r="B4694" s="344"/>
    </row>
    <row r="4695" spans="1:2" ht="15.5" x14ac:dyDescent="0.35">
      <c r="A4695" s="343"/>
      <c r="B4695" s="344"/>
    </row>
    <row r="4696" spans="1:2" ht="15.5" x14ac:dyDescent="0.35">
      <c r="A4696" s="343"/>
      <c r="B4696" s="344"/>
    </row>
    <row r="4697" spans="1:2" ht="15.5" x14ac:dyDescent="0.35">
      <c r="A4697" s="343"/>
      <c r="B4697" s="344"/>
    </row>
    <row r="4698" spans="1:2" ht="15.5" x14ac:dyDescent="0.35">
      <c r="A4698" s="343"/>
      <c r="B4698" s="344"/>
    </row>
    <row r="4699" spans="1:2" ht="15.5" x14ac:dyDescent="0.35">
      <c r="A4699" s="343"/>
      <c r="B4699" s="344"/>
    </row>
    <row r="4700" spans="1:2" ht="15.5" x14ac:dyDescent="0.35">
      <c r="A4700" s="343"/>
      <c r="B4700" s="344"/>
    </row>
    <row r="4701" spans="1:2" ht="15.5" x14ac:dyDescent="0.35">
      <c r="A4701" s="343"/>
      <c r="B4701" s="344"/>
    </row>
    <row r="4702" spans="1:2" ht="15.5" x14ac:dyDescent="0.35">
      <c r="A4702" s="343"/>
      <c r="B4702" s="344"/>
    </row>
    <row r="4703" spans="1:2" ht="15.5" x14ac:dyDescent="0.35">
      <c r="A4703" s="343"/>
      <c r="B4703" s="344"/>
    </row>
    <row r="4704" spans="1:2" ht="15.5" x14ac:dyDescent="0.35">
      <c r="A4704" s="343"/>
      <c r="B4704" s="344"/>
    </row>
    <row r="4705" spans="1:2" ht="15.5" x14ac:dyDescent="0.35">
      <c r="A4705" s="343"/>
      <c r="B4705" s="344"/>
    </row>
    <row r="4706" spans="1:2" ht="15.5" x14ac:dyDescent="0.35">
      <c r="A4706" s="343"/>
      <c r="B4706" s="344"/>
    </row>
    <row r="4707" spans="1:2" ht="15.5" x14ac:dyDescent="0.35">
      <c r="A4707" s="343"/>
      <c r="B4707" s="344"/>
    </row>
    <row r="4708" spans="1:2" ht="15.5" x14ac:dyDescent="0.35">
      <c r="A4708" s="343"/>
      <c r="B4708" s="344"/>
    </row>
    <row r="4709" spans="1:2" ht="15.5" x14ac:dyDescent="0.35">
      <c r="A4709" s="343"/>
      <c r="B4709" s="344"/>
    </row>
    <row r="4710" spans="1:2" ht="15.5" x14ac:dyDescent="0.35">
      <c r="A4710" s="343"/>
      <c r="B4710" s="344"/>
    </row>
    <row r="4711" spans="1:2" ht="15.5" x14ac:dyDescent="0.35">
      <c r="A4711" s="343"/>
      <c r="B4711" s="344"/>
    </row>
    <row r="4712" spans="1:2" ht="15.5" x14ac:dyDescent="0.35">
      <c r="A4712" s="343"/>
      <c r="B4712" s="344"/>
    </row>
    <row r="4713" spans="1:2" ht="15.5" x14ac:dyDescent="0.35">
      <c r="A4713" s="343"/>
      <c r="B4713" s="344"/>
    </row>
    <row r="4714" spans="1:2" ht="15.5" x14ac:dyDescent="0.35">
      <c r="A4714" s="343"/>
      <c r="B4714" s="344"/>
    </row>
    <row r="4715" spans="1:2" ht="15.5" x14ac:dyDescent="0.35">
      <c r="A4715" s="343"/>
      <c r="B4715" s="344"/>
    </row>
    <row r="4716" spans="1:2" ht="15.5" x14ac:dyDescent="0.35">
      <c r="A4716" s="343"/>
      <c r="B4716" s="344"/>
    </row>
    <row r="4717" spans="1:2" ht="15.5" x14ac:dyDescent="0.35">
      <c r="A4717" s="343"/>
      <c r="B4717" s="344"/>
    </row>
    <row r="4718" spans="1:2" ht="15.5" x14ac:dyDescent="0.35">
      <c r="A4718" s="343"/>
      <c r="B4718" s="344"/>
    </row>
    <row r="4719" spans="1:2" ht="15.5" x14ac:dyDescent="0.35">
      <c r="A4719" s="343"/>
      <c r="B4719" s="344"/>
    </row>
    <row r="4720" spans="1:2" ht="15.5" x14ac:dyDescent="0.35">
      <c r="A4720" s="343"/>
      <c r="B4720" s="344"/>
    </row>
    <row r="4721" spans="1:2" ht="15.5" x14ac:dyDescent="0.35">
      <c r="A4721" s="343"/>
      <c r="B4721" s="344"/>
    </row>
    <row r="4722" spans="1:2" ht="15.5" x14ac:dyDescent="0.35">
      <c r="A4722" s="343"/>
      <c r="B4722" s="344"/>
    </row>
    <row r="4723" spans="1:2" ht="15.5" x14ac:dyDescent="0.35">
      <c r="A4723" s="343"/>
      <c r="B4723" s="344"/>
    </row>
    <row r="4724" spans="1:2" ht="15.5" x14ac:dyDescent="0.35">
      <c r="A4724" s="343"/>
      <c r="B4724" s="344"/>
    </row>
    <row r="4725" spans="1:2" ht="15.5" x14ac:dyDescent="0.35">
      <c r="A4725" s="343"/>
      <c r="B4725" s="344"/>
    </row>
    <row r="4726" spans="1:2" ht="15.5" x14ac:dyDescent="0.35">
      <c r="A4726" s="343"/>
      <c r="B4726" s="344"/>
    </row>
    <row r="4727" spans="1:2" ht="15.5" x14ac:dyDescent="0.35">
      <c r="A4727" s="343"/>
      <c r="B4727" s="344"/>
    </row>
    <row r="4728" spans="1:2" ht="15.5" x14ac:dyDescent="0.35">
      <c r="A4728" s="343"/>
      <c r="B4728" s="344"/>
    </row>
    <row r="4729" spans="1:2" ht="15.5" x14ac:dyDescent="0.35">
      <c r="A4729" s="343"/>
      <c r="B4729" s="344"/>
    </row>
    <row r="4730" spans="1:2" ht="15.5" x14ac:dyDescent="0.35">
      <c r="A4730" s="343"/>
      <c r="B4730" s="344"/>
    </row>
    <row r="4731" spans="1:2" ht="15.5" x14ac:dyDescent="0.35">
      <c r="A4731" s="343"/>
      <c r="B4731" s="344"/>
    </row>
    <row r="4732" spans="1:2" ht="15.5" x14ac:dyDescent="0.35">
      <c r="A4732" s="343"/>
      <c r="B4732" s="344"/>
    </row>
    <row r="4733" spans="1:2" ht="15.5" x14ac:dyDescent="0.35">
      <c r="A4733" s="343"/>
      <c r="B4733" s="344"/>
    </row>
    <row r="4734" spans="1:2" ht="15.5" x14ac:dyDescent="0.35">
      <c r="A4734" s="343"/>
      <c r="B4734" s="344"/>
    </row>
    <row r="4735" spans="1:2" ht="15.5" x14ac:dyDescent="0.35">
      <c r="A4735" s="343"/>
      <c r="B4735" s="344"/>
    </row>
    <row r="4736" spans="1:2" ht="15.5" x14ac:dyDescent="0.35">
      <c r="A4736" s="343"/>
      <c r="B4736" s="344"/>
    </row>
    <row r="4737" spans="1:2" ht="15.5" x14ac:dyDescent="0.35">
      <c r="A4737" s="343"/>
      <c r="B4737" s="344"/>
    </row>
    <row r="4738" spans="1:2" ht="15.5" x14ac:dyDescent="0.35">
      <c r="A4738" s="343"/>
      <c r="B4738" s="344"/>
    </row>
    <row r="4739" spans="1:2" ht="15.5" x14ac:dyDescent="0.35">
      <c r="A4739" s="343"/>
      <c r="B4739" s="344"/>
    </row>
    <row r="4740" spans="1:2" ht="15.5" x14ac:dyDescent="0.35">
      <c r="A4740" s="343"/>
      <c r="B4740" s="344"/>
    </row>
    <row r="4741" spans="1:2" ht="15.5" x14ac:dyDescent="0.35">
      <c r="A4741" s="343"/>
      <c r="B4741" s="344"/>
    </row>
    <row r="4742" spans="1:2" ht="15.5" x14ac:dyDescent="0.35">
      <c r="A4742" s="343"/>
      <c r="B4742" s="344"/>
    </row>
    <row r="4743" spans="1:2" ht="15.5" x14ac:dyDescent="0.35">
      <c r="A4743" s="343"/>
      <c r="B4743" s="344"/>
    </row>
    <row r="4744" spans="1:2" ht="15.5" x14ac:dyDescent="0.35">
      <c r="A4744" s="343"/>
      <c r="B4744" s="344"/>
    </row>
    <row r="4745" spans="1:2" ht="15.5" x14ac:dyDescent="0.35">
      <c r="A4745" s="343"/>
      <c r="B4745" s="344"/>
    </row>
    <row r="4746" spans="1:2" ht="15.5" x14ac:dyDescent="0.35">
      <c r="A4746" s="343"/>
      <c r="B4746" s="344"/>
    </row>
    <row r="4747" spans="1:2" ht="15.5" x14ac:dyDescent="0.35">
      <c r="A4747" s="343"/>
      <c r="B4747" s="344"/>
    </row>
    <row r="4748" spans="1:2" ht="15.5" x14ac:dyDescent="0.35">
      <c r="A4748" s="343"/>
      <c r="B4748" s="344"/>
    </row>
    <row r="4749" spans="1:2" ht="15.5" x14ac:dyDescent="0.35">
      <c r="A4749" s="343"/>
      <c r="B4749" s="344"/>
    </row>
    <row r="4750" spans="1:2" ht="15.5" x14ac:dyDescent="0.35">
      <c r="A4750" s="343"/>
      <c r="B4750" s="344"/>
    </row>
    <row r="4751" spans="1:2" ht="15.5" x14ac:dyDescent="0.35">
      <c r="A4751" s="343"/>
      <c r="B4751" s="344"/>
    </row>
    <row r="4752" spans="1:2" ht="15.5" x14ac:dyDescent="0.35">
      <c r="A4752" s="343"/>
      <c r="B4752" s="344"/>
    </row>
    <row r="4753" spans="1:2" ht="15.5" x14ac:dyDescent="0.35">
      <c r="A4753" s="343"/>
      <c r="B4753" s="344"/>
    </row>
    <row r="4754" spans="1:2" ht="15.5" x14ac:dyDescent="0.35">
      <c r="A4754" s="343"/>
      <c r="B4754" s="344"/>
    </row>
    <row r="4755" spans="1:2" ht="15.5" x14ac:dyDescent="0.35">
      <c r="A4755" s="343"/>
      <c r="B4755" s="344"/>
    </row>
    <row r="4756" spans="1:2" ht="15.5" x14ac:dyDescent="0.35">
      <c r="A4756" s="343"/>
      <c r="B4756" s="344"/>
    </row>
    <row r="4757" spans="1:2" ht="15.5" x14ac:dyDescent="0.35">
      <c r="A4757" s="343"/>
      <c r="B4757" s="344"/>
    </row>
    <row r="4758" spans="1:2" ht="15.5" x14ac:dyDescent="0.35">
      <c r="A4758" s="343"/>
      <c r="B4758" s="344"/>
    </row>
    <row r="4759" spans="1:2" ht="15.5" x14ac:dyDescent="0.35">
      <c r="A4759" s="343"/>
      <c r="B4759" s="344"/>
    </row>
    <row r="4760" spans="1:2" ht="15.5" x14ac:dyDescent="0.35">
      <c r="A4760" s="343"/>
      <c r="B4760" s="344"/>
    </row>
    <row r="4761" spans="1:2" ht="15.5" x14ac:dyDescent="0.35">
      <c r="A4761" s="343"/>
      <c r="B4761" s="344"/>
    </row>
    <row r="4762" spans="1:2" ht="15.5" x14ac:dyDescent="0.35">
      <c r="A4762" s="343"/>
      <c r="B4762" s="344"/>
    </row>
    <row r="4763" spans="1:2" ht="15.5" x14ac:dyDescent="0.35">
      <c r="A4763" s="343"/>
      <c r="B4763" s="344"/>
    </row>
    <row r="4764" spans="1:2" ht="15.5" x14ac:dyDescent="0.35">
      <c r="A4764" s="343"/>
      <c r="B4764" s="344"/>
    </row>
    <row r="4765" spans="1:2" ht="15.5" x14ac:dyDescent="0.35">
      <c r="A4765" s="343"/>
      <c r="B4765" s="344"/>
    </row>
    <row r="4766" spans="1:2" ht="15.5" x14ac:dyDescent="0.35">
      <c r="A4766" s="343"/>
      <c r="B4766" s="344"/>
    </row>
    <row r="4767" spans="1:2" ht="15.5" x14ac:dyDescent="0.35">
      <c r="A4767" s="343"/>
      <c r="B4767" s="344"/>
    </row>
    <row r="4768" spans="1:2" ht="15.5" x14ac:dyDescent="0.35">
      <c r="A4768" s="343"/>
      <c r="B4768" s="344"/>
    </row>
    <row r="4769" spans="1:2" ht="15.5" x14ac:dyDescent="0.35">
      <c r="A4769" s="343"/>
      <c r="B4769" s="344"/>
    </row>
    <row r="4770" spans="1:2" ht="15.5" x14ac:dyDescent="0.35">
      <c r="A4770" s="343"/>
      <c r="B4770" s="344"/>
    </row>
    <row r="4771" spans="1:2" ht="15.5" x14ac:dyDescent="0.35">
      <c r="A4771" s="343"/>
      <c r="B4771" s="344"/>
    </row>
    <row r="4772" spans="1:2" ht="15.5" x14ac:dyDescent="0.35">
      <c r="A4772" s="343"/>
      <c r="B4772" s="344"/>
    </row>
    <row r="4773" spans="1:2" ht="15.5" x14ac:dyDescent="0.35">
      <c r="A4773" s="343"/>
      <c r="B4773" s="344"/>
    </row>
    <row r="4774" spans="1:2" ht="15.5" x14ac:dyDescent="0.35">
      <c r="A4774" s="343"/>
      <c r="B4774" s="344"/>
    </row>
    <row r="4775" spans="1:2" ht="15.5" x14ac:dyDescent="0.35">
      <c r="A4775" s="343"/>
      <c r="B4775" s="344"/>
    </row>
    <row r="4776" spans="1:2" ht="15.5" x14ac:dyDescent="0.35">
      <c r="A4776" s="343"/>
      <c r="B4776" s="344"/>
    </row>
    <row r="4777" spans="1:2" ht="15.5" x14ac:dyDescent="0.35">
      <c r="A4777" s="343"/>
      <c r="B4777" s="344"/>
    </row>
    <row r="4778" spans="1:2" ht="15.5" x14ac:dyDescent="0.35">
      <c r="A4778" s="343"/>
      <c r="B4778" s="344"/>
    </row>
    <row r="4779" spans="1:2" ht="15.5" x14ac:dyDescent="0.35">
      <c r="A4779" s="343"/>
      <c r="B4779" s="344"/>
    </row>
    <row r="4780" spans="1:2" ht="15.5" x14ac:dyDescent="0.35">
      <c r="A4780" s="343"/>
      <c r="B4780" s="344"/>
    </row>
    <row r="4781" spans="1:2" ht="15.5" x14ac:dyDescent="0.35">
      <c r="A4781" s="343"/>
      <c r="B4781" s="344"/>
    </row>
    <row r="4782" spans="1:2" ht="15.5" x14ac:dyDescent="0.35">
      <c r="A4782" s="343"/>
      <c r="B4782" s="344"/>
    </row>
    <row r="4783" spans="1:2" ht="15.5" x14ac:dyDescent="0.35">
      <c r="A4783" s="343"/>
      <c r="B4783" s="344"/>
    </row>
    <row r="4784" spans="1:2" ht="15.5" x14ac:dyDescent="0.35">
      <c r="A4784" s="343"/>
      <c r="B4784" s="344"/>
    </row>
    <row r="4785" spans="1:2" ht="15.5" x14ac:dyDescent="0.35">
      <c r="A4785" s="343"/>
      <c r="B4785" s="344"/>
    </row>
    <row r="4786" spans="1:2" ht="15.5" x14ac:dyDescent="0.35">
      <c r="A4786" s="343"/>
      <c r="B4786" s="344"/>
    </row>
    <row r="4787" spans="1:2" ht="15.5" x14ac:dyDescent="0.35">
      <c r="A4787" s="343"/>
      <c r="B4787" s="344"/>
    </row>
    <row r="4788" spans="1:2" ht="15.5" x14ac:dyDescent="0.35">
      <c r="A4788" s="343"/>
      <c r="B4788" s="344"/>
    </row>
    <row r="4789" spans="1:2" ht="15.5" x14ac:dyDescent="0.35">
      <c r="A4789" s="343"/>
      <c r="B4789" s="344"/>
    </row>
    <row r="4790" spans="1:2" ht="15.5" x14ac:dyDescent="0.35">
      <c r="A4790" s="343"/>
      <c r="B4790" s="344"/>
    </row>
    <row r="4791" spans="1:2" ht="15.5" x14ac:dyDescent="0.35">
      <c r="A4791" s="343"/>
      <c r="B4791" s="344"/>
    </row>
    <row r="4792" spans="1:2" ht="15.5" x14ac:dyDescent="0.35">
      <c r="A4792" s="343"/>
      <c r="B4792" s="344"/>
    </row>
    <row r="4793" spans="1:2" ht="15.5" x14ac:dyDescent="0.35">
      <c r="A4793" s="343"/>
      <c r="B4793" s="344"/>
    </row>
    <row r="4794" spans="1:2" ht="15.5" x14ac:dyDescent="0.35">
      <c r="A4794" s="343"/>
      <c r="B4794" s="344"/>
    </row>
    <row r="4795" spans="1:2" ht="15.5" x14ac:dyDescent="0.35">
      <c r="A4795" s="343"/>
      <c r="B4795" s="344"/>
    </row>
    <row r="4796" spans="1:2" ht="15.5" x14ac:dyDescent="0.35">
      <c r="A4796" s="343"/>
      <c r="B4796" s="344"/>
    </row>
    <row r="4797" spans="1:2" ht="15.5" x14ac:dyDescent="0.35">
      <c r="A4797" s="343"/>
      <c r="B4797" s="344"/>
    </row>
    <row r="4798" spans="1:2" ht="15.5" x14ac:dyDescent="0.35">
      <c r="A4798" s="343"/>
      <c r="B4798" s="344"/>
    </row>
    <row r="4799" spans="1:2" ht="15.5" x14ac:dyDescent="0.35">
      <c r="A4799" s="343"/>
      <c r="B4799" s="344"/>
    </row>
    <row r="4800" spans="1:2" ht="15.5" x14ac:dyDescent="0.35">
      <c r="A4800" s="343"/>
      <c r="B4800" s="344"/>
    </row>
    <row r="4801" spans="1:2" ht="15.5" x14ac:dyDescent="0.35">
      <c r="A4801" s="343"/>
      <c r="B4801" s="344"/>
    </row>
    <row r="4802" spans="1:2" ht="15.5" x14ac:dyDescent="0.35">
      <c r="A4802" s="343"/>
      <c r="B4802" s="344"/>
    </row>
    <row r="4803" spans="1:2" ht="15.5" x14ac:dyDescent="0.35">
      <c r="A4803" s="343"/>
      <c r="B4803" s="344"/>
    </row>
    <row r="4804" spans="1:2" ht="15.5" x14ac:dyDescent="0.35">
      <c r="A4804" s="343"/>
      <c r="B4804" s="344"/>
    </row>
    <row r="4805" spans="1:2" ht="15.5" x14ac:dyDescent="0.35">
      <c r="A4805" s="343"/>
      <c r="B4805" s="344"/>
    </row>
    <row r="4806" spans="1:2" ht="15.5" x14ac:dyDescent="0.35">
      <c r="A4806" s="343"/>
      <c r="B4806" s="344"/>
    </row>
    <row r="4807" spans="1:2" ht="15.5" x14ac:dyDescent="0.35">
      <c r="A4807" s="343"/>
      <c r="B4807" s="344"/>
    </row>
    <row r="4808" spans="1:2" ht="15.5" x14ac:dyDescent="0.35">
      <c r="A4808" s="343"/>
      <c r="B4808" s="344"/>
    </row>
    <row r="4809" spans="1:2" ht="15.5" x14ac:dyDescent="0.35">
      <c r="A4809" s="343"/>
      <c r="B4809" s="344"/>
    </row>
    <row r="4810" spans="1:2" ht="15.5" x14ac:dyDescent="0.35">
      <c r="A4810" s="343"/>
      <c r="B4810" s="344"/>
    </row>
    <row r="4811" spans="1:2" ht="15.5" x14ac:dyDescent="0.35">
      <c r="A4811" s="343"/>
      <c r="B4811" s="344"/>
    </row>
    <row r="4812" spans="1:2" ht="15.5" x14ac:dyDescent="0.35">
      <c r="A4812" s="343"/>
      <c r="B4812" s="344"/>
    </row>
    <row r="4813" spans="1:2" ht="15.5" x14ac:dyDescent="0.35">
      <c r="A4813" s="343"/>
      <c r="B4813" s="344"/>
    </row>
    <row r="4814" spans="1:2" ht="15.5" x14ac:dyDescent="0.35">
      <c r="A4814" s="343"/>
      <c r="B4814" s="344"/>
    </row>
    <row r="4815" spans="1:2" ht="15.5" x14ac:dyDescent="0.35">
      <c r="A4815" s="343"/>
      <c r="B4815" s="344"/>
    </row>
    <row r="4816" spans="1:2" ht="15.5" x14ac:dyDescent="0.35">
      <c r="A4816" s="343"/>
      <c r="B4816" s="344"/>
    </row>
    <row r="4817" spans="1:2" ht="15.5" x14ac:dyDescent="0.35">
      <c r="A4817" s="343"/>
      <c r="B4817" s="344"/>
    </row>
    <row r="4818" spans="1:2" ht="15.5" x14ac:dyDescent="0.35">
      <c r="A4818" s="343"/>
      <c r="B4818" s="344"/>
    </row>
    <row r="4819" spans="1:2" ht="15.5" x14ac:dyDescent="0.35">
      <c r="A4819" s="343"/>
      <c r="B4819" s="344"/>
    </row>
    <row r="4820" spans="1:2" ht="15.5" x14ac:dyDescent="0.35">
      <c r="A4820" s="343"/>
      <c r="B4820" s="344"/>
    </row>
    <row r="4821" spans="1:2" ht="15.5" x14ac:dyDescent="0.35">
      <c r="A4821" s="343"/>
      <c r="B4821" s="344"/>
    </row>
    <row r="4822" spans="1:2" ht="15.5" x14ac:dyDescent="0.35">
      <c r="A4822" s="343"/>
      <c r="B4822" s="344"/>
    </row>
    <row r="4823" spans="1:2" ht="15.5" x14ac:dyDescent="0.35">
      <c r="A4823" s="343"/>
      <c r="B4823" s="344"/>
    </row>
    <row r="4824" spans="1:2" ht="15.5" x14ac:dyDescent="0.35">
      <c r="A4824" s="343"/>
      <c r="B4824" s="344"/>
    </row>
    <row r="4825" spans="1:2" ht="15.5" x14ac:dyDescent="0.35">
      <c r="A4825" s="343"/>
      <c r="B4825" s="344"/>
    </row>
    <row r="4826" spans="1:2" ht="15.5" x14ac:dyDescent="0.35">
      <c r="A4826" s="343"/>
      <c r="B4826" s="344"/>
    </row>
    <row r="4827" spans="1:2" ht="15.5" x14ac:dyDescent="0.35">
      <c r="A4827" s="343"/>
      <c r="B4827" s="344"/>
    </row>
    <row r="4828" spans="1:2" ht="15.5" x14ac:dyDescent="0.35">
      <c r="A4828" s="343"/>
      <c r="B4828" s="344"/>
    </row>
    <row r="4829" spans="1:2" ht="15.5" x14ac:dyDescent="0.35">
      <c r="A4829" s="343"/>
      <c r="B4829" s="344"/>
    </row>
    <row r="4830" spans="1:2" ht="15.5" x14ac:dyDescent="0.35">
      <c r="A4830" s="343"/>
      <c r="B4830" s="344"/>
    </row>
    <row r="4831" spans="1:2" ht="15.5" x14ac:dyDescent="0.35">
      <c r="A4831" s="343"/>
      <c r="B4831" s="344"/>
    </row>
    <row r="4832" spans="1:2" ht="15.5" x14ac:dyDescent="0.35">
      <c r="A4832" s="343"/>
      <c r="B4832" s="344"/>
    </row>
    <row r="4833" spans="1:2" ht="15.5" x14ac:dyDescent="0.35">
      <c r="A4833" s="343"/>
      <c r="B4833" s="344"/>
    </row>
    <row r="4834" spans="1:2" ht="15.5" x14ac:dyDescent="0.35">
      <c r="A4834" s="343"/>
      <c r="B4834" s="344"/>
    </row>
    <row r="4835" spans="1:2" ht="15.5" x14ac:dyDescent="0.35">
      <c r="A4835" s="343"/>
      <c r="B4835" s="344"/>
    </row>
    <row r="4836" spans="1:2" ht="15.5" x14ac:dyDescent="0.35">
      <c r="A4836" s="343"/>
      <c r="B4836" s="344"/>
    </row>
    <row r="4837" spans="1:2" ht="15.5" x14ac:dyDescent="0.35">
      <c r="A4837" s="343"/>
      <c r="B4837" s="344"/>
    </row>
    <row r="4838" spans="1:2" ht="15.5" x14ac:dyDescent="0.35">
      <c r="A4838" s="343"/>
      <c r="B4838" s="344"/>
    </row>
    <row r="4839" spans="1:2" ht="15.5" x14ac:dyDescent="0.35">
      <c r="A4839" s="343"/>
      <c r="B4839" s="344"/>
    </row>
    <row r="4840" spans="1:2" ht="15.5" x14ac:dyDescent="0.35">
      <c r="A4840" s="343"/>
      <c r="B4840" s="344"/>
    </row>
    <row r="4841" spans="1:2" ht="15.5" x14ac:dyDescent="0.35">
      <c r="A4841" s="343"/>
      <c r="B4841" s="344"/>
    </row>
    <row r="4842" spans="1:2" ht="15.5" x14ac:dyDescent="0.35">
      <c r="A4842" s="343"/>
      <c r="B4842" s="344"/>
    </row>
    <row r="4843" spans="1:2" ht="15.5" x14ac:dyDescent="0.35">
      <c r="A4843" s="343"/>
      <c r="B4843" s="344"/>
    </row>
    <row r="4844" spans="1:2" ht="15.5" x14ac:dyDescent="0.35">
      <c r="A4844" s="343"/>
      <c r="B4844" s="344"/>
    </row>
    <row r="4845" spans="1:2" ht="15.5" x14ac:dyDescent="0.35">
      <c r="A4845" s="343"/>
      <c r="B4845" s="344"/>
    </row>
    <row r="4846" spans="1:2" ht="15.5" x14ac:dyDescent="0.35">
      <c r="A4846" s="343"/>
      <c r="B4846" s="344"/>
    </row>
    <row r="4847" spans="1:2" ht="15.5" x14ac:dyDescent="0.35">
      <c r="A4847" s="343"/>
      <c r="B4847" s="344"/>
    </row>
    <row r="4848" spans="1:2" ht="15.5" x14ac:dyDescent="0.35">
      <c r="A4848" s="343"/>
      <c r="B4848" s="344"/>
    </row>
    <row r="4849" spans="1:2" ht="15.5" x14ac:dyDescent="0.35">
      <c r="A4849" s="343"/>
      <c r="B4849" s="344"/>
    </row>
    <row r="4850" spans="1:2" ht="15.5" x14ac:dyDescent="0.35">
      <c r="A4850" s="343"/>
      <c r="B4850" s="344"/>
    </row>
    <row r="4851" spans="1:2" ht="15.5" x14ac:dyDescent="0.35">
      <c r="A4851" s="343"/>
      <c r="B4851" s="344"/>
    </row>
    <row r="4852" spans="1:2" ht="15.5" x14ac:dyDescent="0.35">
      <c r="A4852" s="343"/>
      <c r="B4852" s="344"/>
    </row>
    <row r="4853" spans="1:2" ht="15.5" x14ac:dyDescent="0.35">
      <c r="A4853" s="343"/>
      <c r="B4853" s="344"/>
    </row>
    <row r="4854" spans="1:2" ht="15.5" x14ac:dyDescent="0.35">
      <c r="A4854" s="343"/>
      <c r="B4854" s="344"/>
    </row>
    <row r="4855" spans="1:2" ht="15.5" x14ac:dyDescent="0.35">
      <c r="A4855" s="343"/>
      <c r="B4855" s="344"/>
    </row>
    <row r="4856" spans="1:2" ht="15.5" x14ac:dyDescent="0.35">
      <c r="A4856" s="343"/>
      <c r="B4856" s="344"/>
    </row>
    <row r="4857" spans="1:2" ht="15.5" x14ac:dyDescent="0.35">
      <c r="A4857" s="343"/>
      <c r="B4857" s="344"/>
    </row>
    <row r="4858" spans="1:2" ht="15.5" x14ac:dyDescent="0.35">
      <c r="A4858" s="343"/>
      <c r="B4858" s="344"/>
    </row>
    <row r="4859" spans="1:2" ht="15.5" x14ac:dyDescent="0.35">
      <c r="A4859" s="343"/>
      <c r="B4859" s="344"/>
    </row>
    <row r="4860" spans="1:2" ht="15.5" x14ac:dyDescent="0.35">
      <c r="A4860" s="343"/>
      <c r="B4860" s="344"/>
    </row>
    <row r="4861" spans="1:2" ht="15.5" x14ac:dyDescent="0.35">
      <c r="A4861" s="343"/>
      <c r="B4861" s="344"/>
    </row>
    <row r="4862" spans="1:2" ht="15.5" x14ac:dyDescent="0.35">
      <c r="A4862" s="343"/>
      <c r="B4862" s="344"/>
    </row>
    <row r="4863" spans="1:2" ht="15.5" x14ac:dyDescent="0.35">
      <c r="A4863" s="343"/>
      <c r="B4863" s="344"/>
    </row>
    <row r="4864" spans="1:2" ht="15.5" x14ac:dyDescent="0.35">
      <c r="A4864" s="343"/>
      <c r="B4864" s="344"/>
    </row>
    <row r="4865" spans="1:2" ht="15.5" x14ac:dyDescent="0.35">
      <c r="A4865" s="343"/>
      <c r="B4865" s="344"/>
    </row>
    <row r="4866" spans="1:2" ht="15.5" x14ac:dyDescent="0.35">
      <c r="A4866" s="343"/>
      <c r="B4866" s="344"/>
    </row>
    <row r="4867" spans="1:2" ht="15.5" x14ac:dyDescent="0.35">
      <c r="A4867" s="343"/>
      <c r="B4867" s="344"/>
    </row>
    <row r="4868" spans="1:2" ht="15.5" x14ac:dyDescent="0.35">
      <c r="A4868" s="343"/>
      <c r="B4868" s="344"/>
    </row>
    <row r="4869" spans="1:2" ht="15.5" x14ac:dyDescent="0.35">
      <c r="A4869" s="343"/>
      <c r="B4869" s="344"/>
    </row>
    <row r="4870" spans="1:2" ht="15.5" x14ac:dyDescent="0.35">
      <c r="A4870" s="343"/>
      <c r="B4870" s="344"/>
    </row>
    <row r="4871" spans="1:2" ht="15.5" x14ac:dyDescent="0.35">
      <c r="A4871" s="343"/>
      <c r="B4871" s="344"/>
    </row>
    <row r="4872" spans="1:2" ht="15.5" x14ac:dyDescent="0.35">
      <c r="A4872" s="343"/>
      <c r="B4872" s="344"/>
    </row>
    <row r="4873" spans="1:2" ht="15.5" x14ac:dyDescent="0.35">
      <c r="A4873" s="343"/>
      <c r="B4873" s="344"/>
    </row>
    <row r="4874" spans="1:2" ht="15.5" x14ac:dyDescent="0.35">
      <c r="A4874" s="343"/>
      <c r="B4874" s="344"/>
    </row>
    <row r="4875" spans="1:2" ht="15.5" x14ac:dyDescent="0.35">
      <c r="A4875" s="343"/>
      <c r="B4875" s="344"/>
    </row>
    <row r="4876" spans="1:2" ht="15.5" x14ac:dyDescent="0.35">
      <c r="A4876" s="343"/>
      <c r="B4876" s="344"/>
    </row>
    <row r="4877" spans="1:2" ht="15.5" x14ac:dyDescent="0.35">
      <c r="A4877" s="343"/>
      <c r="B4877" s="344"/>
    </row>
    <row r="4878" spans="1:2" ht="15.5" x14ac:dyDescent="0.35">
      <c r="A4878" s="343"/>
      <c r="B4878" s="344"/>
    </row>
    <row r="4879" spans="1:2" ht="15.5" x14ac:dyDescent="0.35">
      <c r="A4879" s="343"/>
      <c r="B4879" s="344"/>
    </row>
    <row r="4880" spans="1:2" ht="15.5" x14ac:dyDescent="0.35">
      <c r="A4880" s="343"/>
      <c r="B4880" s="344"/>
    </row>
    <row r="4881" spans="1:2" ht="15.5" x14ac:dyDescent="0.35">
      <c r="A4881" s="343"/>
      <c r="B4881" s="344"/>
    </row>
    <row r="4882" spans="1:2" ht="15.5" x14ac:dyDescent="0.35">
      <c r="A4882" s="343"/>
      <c r="B4882" s="344"/>
    </row>
    <row r="4883" spans="1:2" ht="15.5" x14ac:dyDescent="0.35">
      <c r="A4883" s="343"/>
      <c r="B4883" s="344"/>
    </row>
    <row r="4884" spans="1:2" ht="15.5" x14ac:dyDescent="0.35">
      <c r="A4884" s="343"/>
      <c r="B4884" s="344"/>
    </row>
    <row r="4885" spans="1:2" ht="15.5" x14ac:dyDescent="0.35">
      <c r="A4885" s="343"/>
      <c r="B4885" s="344"/>
    </row>
    <row r="4886" spans="1:2" ht="15.5" x14ac:dyDescent="0.35">
      <c r="A4886" s="343"/>
      <c r="B4886" s="344"/>
    </row>
    <row r="4887" spans="1:2" ht="15.5" x14ac:dyDescent="0.35">
      <c r="A4887" s="343"/>
      <c r="B4887" s="344"/>
    </row>
    <row r="4888" spans="1:2" ht="15.5" x14ac:dyDescent="0.35">
      <c r="A4888" s="343"/>
      <c r="B4888" s="344"/>
    </row>
    <row r="4889" spans="1:2" ht="15.5" x14ac:dyDescent="0.35">
      <c r="A4889" s="343"/>
      <c r="B4889" s="344"/>
    </row>
    <row r="4890" spans="1:2" ht="15.5" x14ac:dyDescent="0.35">
      <c r="A4890" s="343"/>
      <c r="B4890" s="344"/>
    </row>
    <row r="4891" spans="1:2" ht="15.5" x14ac:dyDescent="0.35">
      <c r="A4891" s="343"/>
      <c r="B4891" s="344"/>
    </row>
    <row r="4892" spans="1:2" ht="15.5" x14ac:dyDescent="0.35">
      <c r="A4892" s="343"/>
      <c r="B4892" s="344"/>
    </row>
    <row r="4893" spans="1:2" ht="15.5" x14ac:dyDescent="0.35">
      <c r="A4893" s="343"/>
      <c r="B4893" s="344"/>
    </row>
    <row r="4894" spans="1:2" ht="15.5" x14ac:dyDescent="0.35">
      <c r="A4894" s="343"/>
      <c r="B4894" s="344"/>
    </row>
    <row r="4895" spans="1:2" ht="15.5" x14ac:dyDescent="0.35">
      <c r="A4895" s="343"/>
      <c r="B4895" s="344"/>
    </row>
    <row r="4896" spans="1:2" ht="15.5" x14ac:dyDescent="0.35">
      <c r="A4896" s="343"/>
      <c r="B4896" s="344"/>
    </row>
    <row r="4897" spans="1:2" ht="15.5" x14ac:dyDescent="0.35">
      <c r="A4897" s="343"/>
      <c r="B4897" s="344"/>
    </row>
    <row r="4898" spans="1:2" ht="15.5" x14ac:dyDescent="0.35">
      <c r="A4898" s="343"/>
      <c r="B4898" s="344"/>
    </row>
    <row r="4899" spans="1:2" ht="15.5" x14ac:dyDescent="0.35">
      <c r="A4899" s="343"/>
      <c r="B4899" s="344"/>
    </row>
    <row r="4900" spans="1:2" ht="15.5" x14ac:dyDescent="0.35">
      <c r="A4900" s="343"/>
      <c r="B4900" s="344"/>
    </row>
    <row r="4901" spans="1:2" ht="15.5" x14ac:dyDescent="0.35">
      <c r="A4901" s="343"/>
      <c r="B4901" s="344"/>
    </row>
    <row r="4902" spans="1:2" ht="15.5" x14ac:dyDescent="0.35">
      <c r="A4902" s="343"/>
      <c r="B4902" s="344"/>
    </row>
    <row r="4903" spans="1:2" ht="15.5" x14ac:dyDescent="0.35">
      <c r="A4903" s="343"/>
      <c r="B4903" s="344"/>
    </row>
    <row r="4904" spans="1:2" ht="15.5" x14ac:dyDescent="0.35">
      <c r="A4904" s="343"/>
      <c r="B4904" s="344"/>
    </row>
    <row r="4905" spans="1:2" ht="15.5" x14ac:dyDescent="0.35">
      <c r="A4905" s="343"/>
      <c r="B4905" s="344"/>
    </row>
    <row r="4906" spans="1:2" ht="15.5" x14ac:dyDescent="0.35">
      <c r="A4906" s="343"/>
      <c r="B4906" s="344"/>
    </row>
    <row r="4907" spans="1:2" ht="15.5" x14ac:dyDescent="0.35">
      <c r="A4907" s="343"/>
      <c r="B4907" s="344"/>
    </row>
    <row r="4908" spans="1:2" ht="15.5" x14ac:dyDescent="0.35">
      <c r="A4908" s="343"/>
      <c r="B4908" s="344"/>
    </row>
    <row r="4909" spans="1:2" ht="15.5" x14ac:dyDescent="0.35">
      <c r="A4909" s="343"/>
      <c r="B4909" s="344"/>
    </row>
    <row r="4910" spans="1:2" ht="15.5" x14ac:dyDescent="0.35">
      <c r="A4910" s="343"/>
      <c r="B4910" s="344"/>
    </row>
    <row r="4911" spans="1:2" ht="15.5" x14ac:dyDescent="0.35">
      <c r="A4911" s="343"/>
      <c r="B4911" s="344"/>
    </row>
    <row r="4912" spans="1:2" ht="15.5" x14ac:dyDescent="0.35">
      <c r="A4912" s="343"/>
      <c r="B4912" s="344"/>
    </row>
    <row r="4913" spans="1:2" ht="15.5" x14ac:dyDescent="0.35">
      <c r="A4913" s="343"/>
      <c r="B4913" s="344"/>
    </row>
    <row r="4914" spans="1:2" ht="15.5" x14ac:dyDescent="0.35">
      <c r="A4914" s="343"/>
      <c r="B4914" s="344"/>
    </row>
    <row r="4915" spans="1:2" ht="15.5" x14ac:dyDescent="0.35">
      <c r="A4915" s="343"/>
      <c r="B4915" s="344"/>
    </row>
    <row r="4916" spans="1:2" ht="15.5" x14ac:dyDescent="0.35">
      <c r="A4916" s="343"/>
      <c r="B4916" s="344"/>
    </row>
    <row r="4917" spans="1:2" ht="15.5" x14ac:dyDescent="0.35">
      <c r="A4917" s="343"/>
      <c r="B4917" s="344"/>
    </row>
    <row r="4918" spans="1:2" ht="15.5" x14ac:dyDescent="0.35">
      <c r="A4918" s="343"/>
      <c r="B4918" s="344"/>
    </row>
    <row r="4919" spans="1:2" ht="15.5" x14ac:dyDescent="0.35">
      <c r="A4919" s="343"/>
      <c r="B4919" s="344"/>
    </row>
    <row r="4920" spans="1:2" ht="15.5" x14ac:dyDescent="0.35">
      <c r="A4920" s="343"/>
      <c r="B4920" s="344"/>
    </row>
    <row r="4921" spans="1:2" ht="15.5" x14ac:dyDescent="0.35">
      <c r="A4921" s="343"/>
      <c r="B4921" s="344"/>
    </row>
    <row r="4922" spans="1:2" ht="15.5" x14ac:dyDescent="0.35">
      <c r="A4922" s="343"/>
      <c r="B4922" s="344"/>
    </row>
    <row r="4923" spans="1:2" ht="15.5" x14ac:dyDescent="0.35">
      <c r="A4923" s="343"/>
      <c r="B4923" s="344"/>
    </row>
    <row r="4924" spans="1:2" ht="15.5" x14ac:dyDescent="0.35">
      <c r="A4924" s="343"/>
      <c r="B4924" s="344"/>
    </row>
    <row r="4925" spans="1:2" ht="15.5" x14ac:dyDescent="0.35">
      <c r="A4925" s="343"/>
      <c r="B4925" s="344"/>
    </row>
    <row r="4926" spans="1:2" ht="15.5" x14ac:dyDescent="0.35">
      <c r="A4926" s="343"/>
      <c r="B4926" s="344"/>
    </row>
    <row r="4927" spans="1:2" ht="15.5" x14ac:dyDescent="0.35">
      <c r="A4927" s="343"/>
      <c r="B4927" s="344"/>
    </row>
    <row r="4928" spans="1:2" ht="15.5" x14ac:dyDescent="0.35">
      <c r="A4928" s="343"/>
      <c r="B4928" s="344"/>
    </row>
    <row r="4929" spans="1:2" ht="15.5" x14ac:dyDescent="0.35">
      <c r="A4929" s="343"/>
      <c r="B4929" s="344"/>
    </row>
    <row r="4930" spans="1:2" ht="15.5" x14ac:dyDescent="0.35">
      <c r="A4930" s="343"/>
      <c r="B4930" s="344"/>
    </row>
    <row r="4931" spans="1:2" ht="15.5" x14ac:dyDescent="0.35">
      <c r="A4931" s="343"/>
      <c r="B4931" s="344"/>
    </row>
    <row r="4932" spans="1:2" ht="15.5" x14ac:dyDescent="0.35">
      <c r="A4932" s="343"/>
      <c r="B4932" s="344"/>
    </row>
    <row r="4933" spans="1:2" ht="15.5" x14ac:dyDescent="0.35">
      <c r="A4933" s="343"/>
      <c r="B4933" s="344"/>
    </row>
    <row r="4934" spans="1:2" ht="15.5" x14ac:dyDescent="0.35">
      <c r="A4934" s="343"/>
      <c r="B4934" s="344"/>
    </row>
    <row r="4935" spans="1:2" ht="15.5" x14ac:dyDescent="0.35">
      <c r="A4935" s="343"/>
      <c r="B4935" s="344"/>
    </row>
    <row r="4936" spans="1:2" ht="15.5" x14ac:dyDescent="0.35">
      <c r="A4936" s="343"/>
      <c r="B4936" s="344"/>
    </row>
    <row r="4937" spans="1:2" ht="15.5" x14ac:dyDescent="0.35">
      <c r="A4937" s="343"/>
      <c r="B4937" s="344"/>
    </row>
    <row r="4938" spans="1:2" ht="15.5" x14ac:dyDescent="0.35">
      <c r="A4938" s="343"/>
      <c r="B4938" s="344"/>
    </row>
    <row r="4939" spans="1:2" ht="15.5" x14ac:dyDescent="0.35">
      <c r="A4939" s="343"/>
      <c r="B4939" s="344"/>
    </row>
    <row r="4940" spans="1:2" ht="15.5" x14ac:dyDescent="0.35">
      <c r="A4940" s="343"/>
      <c r="B4940" s="344"/>
    </row>
    <row r="4941" spans="1:2" ht="15.5" x14ac:dyDescent="0.35">
      <c r="A4941" s="343"/>
      <c r="B4941" s="344"/>
    </row>
    <row r="4942" spans="1:2" ht="15.5" x14ac:dyDescent="0.35">
      <c r="A4942" s="343"/>
      <c r="B4942" s="344"/>
    </row>
    <row r="4943" spans="1:2" ht="15.5" x14ac:dyDescent="0.35">
      <c r="A4943" s="343"/>
      <c r="B4943" s="344"/>
    </row>
    <row r="4944" spans="1:2" ht="15.5" x14ac:dyDescent="0.35">
      <c r="A4944" s="343"/>
      <c r="B4944" s="344"/>
    </row>
    <row r="4945" spans="1:2" ht="15.5" x14ac:dyDescent="0.35">
      <c r="A4945" s="343"/>
      <c r="B4945" s="344"/>
    </row>
    <row r="4946" spans="1:2" ht="15.5" x14ac:dyDescent="0.35">
      <c r="A4946" s="343"/>
      <c r="B4946" s="344"/>
    </row>
    <row r="4947" spans="1:2" ht="15.5" x14ac:dyDescent="0.35">
      <c r="A4947" s="343"/>
      <c r="B4947" s="344"/>
    </row>
    <row r="4948" spans="1:2" ht="15.5" x14ac:dyDescent="0.35">
      <c r="A4948" s="343"/>
      <c r="B4948" s="344"/>
    </row>
    <row r="4949" spans="1:2" ht="15.5" x14ac:dyDescent="0.35">
      <c r="A4949" s="343"/>
      <c r="B4949" s="344"/>
    </row>
    <row r="4950" spans="1:2" ht="15.5" x14ac:dyDescent="0.35">
      <c r="A4950" s="343"/>
      <c r="B4950" s="344"/>
    </row>
    <row r="4951" spans="1:2" ht="15.5" x14ac:dyDescent="0.35">
      <c r="A4951" s="343"/>
      <c r="B4951" s="344"/>
    </row>
    <row r="4952" spans="1:2" ht="15.5" x14ac:dyDescent="0.35">
      <c r="A4952" s="343"/>
      <c r="B4952" s="344"/>
    </row>
    <row r="4953" spans="1:2" ht="15.5" x14ac:dyDescent="0.35">
      <c r="A4953" s="343"/>
      <c r="B4953" s="344"/>
    </row>
    <row r="4954" spans="1:2" ht="15.5" x14ac:dyDescent="0.35">
      <c r="A4954" s="343"/>
      <c r="B4954" s="344"/>
    </row>
    <row r="4955" spans="1:2" ht="15.5" x14ac:dyDescent="0.35">
      <c r="A4955" s="343"/>
      <c r="B4955" s="344"/>
    </row>
    <row r="4956" spans="1:2" ht="15.5" x14ac:dyDescent="0.35">
      <c r="A4956" s="343"/>
      <c r="B4956" s="344"/>
    </row>
    <row r="4957" spans="1:2" ht="15.5" x14ac:dyDescent="0.35">
      <c r="A4957" s="343"/>
      <c r="B4957" s="344"/>
    </row>
    <row r="4958" spans="1:2" ht="15.5" x14ac:dyDescent="0.35">
      <c r="A4958" s="343"/>
      <c r="B4958" s="344"/>
    </row>
    <row r="4959" spans="1:2" ht="15.5" x14ac:dyDescent="0.35">
      <c r="A4959" s="343"/>
      <c r="B4959" s="344"/>
    </row>
    <row r="4960" spans="1:2" ht="15.5" x14ac:dyDescent="0.35">
      <c r="A4960" s="343"/>
      <c r="B4960" s="344"/>
    </row>
    <row r="4961" spans="1:2" ht="15.5" x14ac:dyDescent="0.35">
      <c r="A4961" s="343"/>
      <c r="B4961" s="344"/>
    </row>
    <row r="4962" spans="1:2" ht="15.5" x14ac:dyDescent="0.35">
      <c r="A4962" s="343"/>
      <c r="B4962" s="344"/>
    </row>
    <row r="4963" spans="1:2" ht="15.5" x14ac:dyDescent="0.35">
      <c r="A4963" s="343"/>
      <c r="B4963" s="344"/>
    </row>
    <row r="4964" spans="1:2" ht="15.5" x14ac:dyDescent="0.35">
      <c r="A4964" s="343"/>
      <c r="B4964" s="344"/>
    </row>
    <row r="4965" spans="1:2" ht="15.5" x14ac:dyDescent="0.35">
      <c r="A4965" s="343"/>
      <c r="B4965" s="344"/>
    </row>
    <row r="4966" spans="1:2" ht="15.5" x14ac:dyDescent="0.35">
      <c r="A4966" s="343"/>
      <c r="B4966" s="344"/>
    </row>
    <row r="4967" spans="1:2" ht="15.5" x14ac:dyDescent="0.35">
      <c r="A4967" s="343"/>
      <c r="B4967" s="344"/>
    </row>
    <row r="4968" spans="1:2" ht="15.5" x14ac:dyDescent="0.35">
      <c r="A4968" s="343"/>
      <c r="B4968" s="344"/>
    </row>
    <row r="4969" spans="1:2" ht="15.5" x14ac:dyDescent="0.35">
      <c r="A4969" s="343"/>
      <c r="B4969" s="344"/>
    </row>
    <row r="4970" spans="1:2" ht="15.5" x14ac:dyDescent="0.35">
      <c r="A4970" s="343"/>
      <c r="B4970" s="344"/>
    </row>
    <row r="4971" spans="1:2" ht="15.5" x14ac:dyDescent="0.35">
      <c r="A4971" s="343"/>
      <c r="B4971" s="344"/>
    </row>
    <row r="4972" spans="1:2" ht="15.5" x14ac:dyDescent="0.35">
      <c r="A4972" s="343"/>
      <c r="B4972" s="344"/>
    </row>
    <row r="4973" spans="1:2" ht="15.5" x14ac:dyDescent="0.35">
      <c r="A4973" s="343"/>
      <c r="B4973" s="344"/>
    </row>
    <row r="4974" spans="1:2" ht="15.5" x14ac:dyDescent="0.35">
      <c r="A4974" s="343"/>
      <c r="B4974" s="344"/>
    </row>
    <row r="4975" spans="1:2" ht="15.5" x14ac:dyDescent="0.35">
      <c r="A4975" s="343"/>
      <c r="B4975" s="344"/>
    </row>
    <row r="4976" spans="1:2" ht="15.5" x14ac:dyDescent="0.35">
      <c r="A4976" s="343"/>
      <c r="B4976" s="344"/>
    </row>
    <row r="4977" spans="1:2" ht="15.5" x14ac:dyDescent="0.35">
      <c r="A4977" s="343"/>
      <c r="B4977" s="344"/>
    </row>
    <row r="4978" spans="1:2" ht="15.5" x14ac:dyDescent="0.35">
      <c r="A4978" s="343"/>
      <c r="B4978" s="344"/>
    </row>
    <row r="4979" spans="1:2" ht="15.5" x14ac:dyDescent="0.35">
      <c r="A4979" s="343"/>
      <c r="B4979" s="344"/>
    </row>
    <row r="4980" spans="1:2" ht="15.5" x14ac:dyDescent="0.35">
      <c r="A4980" s="343"/>
      <c r="B4980" s="344"/>
    </row>
    <row r="4981" spans="1:2" ht="15.5" x14ac:dyDescent="0.35">
      <c r="A4981" s="343"/>
      <c r="B4981" s="344"/>
    </row>
    <row r="4982" spans="1:2" ht="15.5" x14ac:dyDescent="0.35">
      <c r="A4982" s="343"/>
      <c r="B4982" s="344"/>
    </row>
    <row r="4983" spans="1:2" ht="15.5" x14ac:dyDescent="0.35">
      <c r="A4983" s="343"/>
      <c r="B4983" s="344"/>
    </row>
    <row r="4984" spans="1:2" ht="15.5" x14ac:dyDescent="0.35">
      <c r="A4984" s="343"/>
      <c r="B4984" s="344"/>
    </row>
    <row r="4985" spans="1:2" ht="15.5" x14ac:dyDescent="0.35">
      <c r="A4985" s="343"/>
      <c r="B4985" s="344"/>
    </row>
    <row r="4986" spans="1:2" ht="15.5" x14ac:dyDescent="0.35">
      <c r="A4986" s="343"/>
      <c r="B4986" s="344"/>
    </row>
    <row r="4987" spans="1:2" ht="15.5" x14ac:dyDescent="0.35">
      <c r="A4987" s="343"/>
      <c r="B4987" s="344"/>
    </row>
    <row r="4988" spans="1:2" ht="15.5" x14ac:dyDescent="0.35">
      <c r="A4988" s="343"/>
      <c r="B4988" s="344"/>
    </row>
    <row r="4989" spans="1:2" ht="15.5" x14ac:dyDescent="0.35">
      <c r="A4989" s="343"/>
      <c r="B4989" s="344"/>
    </row>
    <row r="4990" spans="1:2" ht="15.5" x14ac:dyDescent="0.35">
      <c r="A4990" s="343"/>
      <c r="B4990" s="344"/>
    </row>
    <row r="4991" spans="1:2" ht="15.5" x14ac:dyDescent="0.35">
      <c r="A4991" s="343"/>
      <c r="B4991" s="344"/>
    </row>
    <row r="4992" spans="1:2" ht="15.5" x14ac:dyDescent="0.35">
      <c r="A4992" s="343"/>
      <c r="B4992" s="344"/>
    </row>
    <row r="4993" spans="1:2" ht="15.5" x14ac:dyDescent="0.35">
      <c r="A4993" s="343"/>
      <c r="B4993" s="344"/>
    </row>
    <row r="4994" spans="1:2" ht="15.5" x14ac:dyDescent="0.35">
      <c r="A4994" s="343"/>
      <c r="B4994" s="344"/>
    </row>
    <row r="4995" spans="1:2" ht="15.5" x14ac:dyDescent="0.35">
      <c r="A4995" s="343"/>
      <c r="B4995" s="344"/>
    </row>
    <row r="4996" spans="1:2" ht="15.5" x14ac:dyDescent="0.35">
      <c r="A4996" s="343"/>
      <c r="B4996" s="344"/>
    </row>
    <row r="4997" spans="1:2" ht="15.5" x14ac:dyDescent="0.35">
      <c r="A4997" s="343"/>
      <c r="B4997" s="344"/>
    </row>
    <row r="4998" spans="1:2" ht="15.5" x14ac:dyDescent="0.35">
      <c r="A4998" s="343"/>
      <c r="B4998" s="344"/>
    </row>
    <row r="4999" spans="1:2" ht="15.5" x14ac:dyDescent="0.35">
      <c r="A4999" s="343"/>
      <c r="B4999" s="344"/>
    </row>
    <row r="5000" spans="1:2" ht="15.5" x14ac:dyDescent="0.35">
      <c r="A5000" s="343"/>
      <c r="B5000" s="344"/>
    </row>
    <row r="5001" spans="1:2" ht="15.5" x14ac:dyDescent="0.35">
      <c r="A5001" s="343"/>
      <c r="B5001" s="344"/>
    </row>
    <row r="5002" spans="1:2" ht="15.5" x14ac:dyDescent="0.35">
      <c r="A5002" s="343"/>
      <c r="B5002" s="344"/>
    </row>
    <row r="5003" spans="1:2" ht="15.5" x14ac:dyDescent="0.35">
      <c r="A5003" s="343"/>
      <c r="B5003" s="344"/>
    </row>
    <row r="5004" spans="1:2" ht="15.5" x14ac:dyDescent="0.35">
      <c r="A5004" s="343"/>
      <c r="B5004" s="344"/>
    </row>
    <row r="5005" spans="1:2" ht="15.5" x14ac:dyDescent="0.35">
      <c r="A5005" s="343"/>
      <c r="B5005" s="344"/>
    </row>
    <row r="5006" spans="1:2" ht="15.5" x14ac:dyDescent="0.35">
      <c r="A5006" s="343"/>
      <c r="B5006" s="344"/>
    </row>
    <row r="5007" spans="1:2" ht="15.5" x14ac:dyDescent="0.35">
      <c r="A5007" s="343"/>
      <c r="B5007" s="344"/>
    </row>
    <row r="5008" spans="1:2" ht="15.5" x14ac:dyDescent="0.35">
      <c r="A5008" s="343"/>
      <c r="B5008" s="344"/>
    </row>
    <row r="5009" spans="1:2" ht="15.5" x14ac:dyDescent="0.35">
      <c r="A5009" s="343"/>
      <c r="B5009" s="344"/>
    </row>
    <row r="5010" spans="1:2" ht="15.5" x14ac:dyDescent="0.35">
      <c r="A5010" s="343"/>
      <c r="B5010" s="344"/>
    </row>
    <row r="5011" spans="1:2" ht="15.5" x14ac:dyDescent="0.35">
      <c r="A5011" s="343"/>
      <c r="B5011" s="344"/>
    </row>
    <row r="5012" spans="1:2" ht="15.5" x14ac:dyDescent="0.35">
      <c r="A5012" s="343"/>
      <c r="B5012" s="344"/>
    </row>
    <row r="5013" spans="1:2" ht="15.5" x14ac:dyDescent="0.35">
      <c r="A5013" s="343"/>
      <c r="B5013" s="344"/>
    </row>
    <row r="5014" spans="1:2" ht="15.5" x14ac:dyDescent="0.35">
      <c r="A5014" s="343"/>
      <c r="B5014" s="344"/>
    </row>
    <row r="5015" spans="1:2" ht="15.5" x14ac:dyDescent="0.35">
      <c r="A5015" s="343"/>
      <c r="B5015" s="344"/>
    </row>
    <row r="5016" spans="1:2" ht="15.5" x14ac:dyDescent="0.35">
      <c r="A5016" s="343"/>
      <c r="B5016" s="344"/>
    </row>
    <row r="5017" spans="1:2" ht="15.5" x14ac:dyDescent="0.35">
      <c r="A5017" s="343"/>
      <c r="B5017" s="344"/>
    </row>
    <row r="5018" spans="1:2" ht="15.5" x14ac:dyDescent="0.35">
      <c r="A5018" s="343"/>
      <c r="B5018" s="344"/>
    </row>
    <row r="5019" spans="1:2" ht="15.5" x14ac:dyDescent="0.35">
      <c r="A5019" s="343"/>
      <c r="B5019" s="344"/>
    </row>
    <row r="5020" spans="1:2" ht="15.5" x14ac:dyDescent="0.35">
      <c r="A5020" s="343"/>
      <c r="B5020" s="344"/>
    </row>
    <row r="5021" spans="1:2" ht="15.5" x14ac:dyDescent="0.35">
      <c r="A5021" s="343"/>
      <c r="B5021" s="344"/>
    </row>
    <row r="5022" spans="1:2" ht="15.5" x14ac:dyDescent="0.35">
      <c r="A5022" s="343"/>
      <c r="B5022" s="344"/>
    </row>
    <row r="5023" spans="1:2" ht="15.5" x14ac:dyDescent="0.35">
      <c r="A5023" s="343"/>
      <c r="B5023" s="344"/>
    </row>
    <row r="5024" spans="1:2" ht="15.5" x14ac:dyDescent="0.35">
      <c r="A5024" s="343"/>
      <c r="B5024" s="344"/>
    </row>
    <row r="5025" spans="1:2" ht="15.5" x14ac:dyDescent="0.35">
      <c r="A5025" s="343"/>
      <c r="B5025" s="344"/>
    </row>
    <row r="5026" spans="1:2" ht="15.5" x14ac:dyDescent="0.35">
      <c r="A5026" s="343"/>
      <c r="B5026" s="344"/>
    </row>
    <row r="5027" spans="1:2" ht="15.5" x14ac:dyDescent="0.35">
      <c r="A5027" s="343"/>
      <c r="B5027" s="344"/>
    </row>
    <row r="5028" spans="1:2" ht="15.5" x14ac:dyDescent="0.35">
      <c r="A5028" s="343"/>
      <c r="B5028" s="344"/>
    </row>
    <row r="5029" spans="1:2" ht="15.5" x14ac:dyDescent="0.35">
      <c r="A5029" s="343"/>
      <c r="B5029" s="344"/>
    </row>
    <row r="5030" spans="1:2" ht="15.5" x14ac:dyDescent="0.35">
      <c r="A5030" s="343"/>
      <c r="B5030" s="344"/>
    </row>
    <row r="5031" spans="1:2" ht="15.5" x14ac:dyDescent="0.35">
      <c r="A5031" s="343"/>
      <c r="B5031" s="344"/>
    </row>
    <row r="5032" spans="1:2" ht="15.5" x14ac:dyDescent="0.35">
      <c r="A5032" s="343"/>
      <c r="B5032" s="344"/>
    </row>
    <row r="5033" spans="1:2" ht="15.5" x14ac:dyDescent="0.35">
      <c r="A5033" s="343"/>
      <c r="B5033" s="344"/>
    </row>
    <row r="5034" spans="1:2" ht="15.5" x14ac:dyDescent="0.35">
      <c r="A5034" s="343"/>
      <c r="B5034" s="344"/>
    </row>
    <row r="5035" spans="1:2" ht="15.5" x14ac:dyDescent="0.35">
      <c r="A5035" s="343"/>
      <c r="B5035" s="344"/>
    </row>
    <row r="5036" spans="1:2" ht="15.5" x14ac:dyDescent="0.35">
      <c r="A5036" s="343"/>
      <c r="B5036" s="344"/>
    </row>
    <row r="5037" spans="1:2" ht="15.5" x14ac:dyDescent="0.35">
      <c r="A5037" s="343"/>
      <c r="B5037" s="344"/>
    </row>
    <row r="5038" spans="1:2" ht="15.5" x14ac:dyDescent="0.35">
      <c r="A5038" s="343"/>
      <c r="B5038" s="344"/>
    </row>
    <row r="5039" spans="1:2" ht="15.5" x14ac:dyDescent="0.35">
      <c r="A5039" s="343"/>
      <c r="B5039" s="344"/>
    </row>
    <row r="5040" spans="1:2" ht="15.5" x14ac:dyDescent="0.35">
      <c r="A5040" s="343"/>
      <c r="B5040" s="344"/>
    </row>
    <row r="5041" spans="1:2" ht="15.5" x14ac:dyDescent="0.35">
      <c r="A5041" s="343"/>
      <c r="B5041" s="344"/>
    </row>
    <row r="5042" spans="1:2" ht="15.5" x14ac:dyDescent="0.35">
      <c r="A5042" s="343"/>
      <c r="B5042" s="344"/>
    </row>
    <row r="5043" spans="1:2" ht="15.5" x14ac:dyDescent="0.35">
      <c r="A5043" s="343"/>
      <c r="B5043" s="344"/>
    </row>
    <row r="5044" spans="1:2" ht="15.5" x14ac:dyDescent="0.35">
      <c r="A5044" s="343"/>
      <c r="B5044" s="344"/>
    </row>
    <row r="5045" spans="1:2" ht="15.5" x14ac:dyDescent="0.35">
      <c r="A5045" s="343"/>
      <c r="B5045" s="344"/>
    </row>
    <row r="5046" spans="1:2" ht="15.5" x14ac:dyDescent="0.35">
      <c r="A5046" s="343"/>
      <c r="B5046" s="344"/>
    </row>
    <row r="5047" spans="1:2" ht="15.5" x14ac:dyDescent="0.35">
      <c r="A5047" s="343"/>
      <c r="B5047" s="344"/>
    </row>
    <row r="5048" spans="1:2" ht="15.5" x14ac:dyDescent="0.35">
      <c r="A5048" s="343"/>
      <c r="B5048" s="344"/>
    </row>
    <row r="5049" spans="1:2" ht="15.5" x14ac:dyDescent="0.35">
      <c r="A5049" s="343"/>
      <c r="B5049" s="344"/>
    </row>
    <row r="5050" spans="1:2" ht="15.5" x14ac:dyDescent="0.35">
      <c r="A5050" s="343"/>
      <c r="B5050" s="344"/>
    </row>
    <row r="5051" spans="1:2" ht="15.5" x14ac:dyDescent="0.35">
      <c r="A5051" s="343"/>
      <c r="B5051" s="344"/>
    </row>
    <row r="5052" spans="1:2" ht="15.5" x14ac:dyDescent="0.35">
      <c r="A5052" s="343"/>
      <c r="B5052" s="344"/>
    </row>
    <row r="5053" spans="1:2" ht="15.5" x14ac:dyDescent="0.35">
      <c r="A5053" s="343"/>
      <c r="B5053" s="344"/>
    </row>
    <row r="5054" spans="1:2" ht="15.5" x14ac:dyDescent="0.35">
      <c r="A5054" s="343"/>
      <c r="B5054" s="344"/>
    </row>
    <row r="5055" spans="1:2" ht="15.5" x14ac:dyDescent="0.35">
      <c r="A5055" s="343"/>
      <c r="B5055" s="344"/>
    </row>
    <row r="5056" spans="1:2" ht="15.5" x14ac:dyDescent="0.35">
      <c r="A5056" s="343"/>
      <c r="B5056" s="344"/>
    </row>
    <row r="5057" spans="1:2" ht="15.5" x14ac:dyDescent="0.35">
      <c r="A5057" s="343"/>
      <c r="B5057" s="344"/>
    </row>
    <row r="5058" spans="1:2" ht="15.5" x14ac:dyDescent="0.35">
      <c r="A5058" s="343"/>
      <c r="B5058" s="344"/>
    </row>
    <row r="5059" spans="1:2" ht="15.5" x14ac:dyDescent="0.35">
      <c r="A5059" s="343"/>
      <c r="B5059" s="344"/>
    </row>
    <row r="5060" spans="1:2" ht="15.5" x14ac:dyDescent="0.35">
      <c r="A5060" s="343"/>
      <c r="B5060" s="344"/>
    </row>
    <row r="5061" spans="1:2" ht="15.5" x14ac:dyDescent="0.35">
      <c r="A5061" s="343"/>
      <c r="B5061" s="344"/>
    </row>
    <row r="5062" spans="1:2" ht="15.5" x14ac:dyDescent="0.35">
      <c r="A5062" s="343"/>
      <c r="B5062" s="344"/>
    </row>
    <row r="5063" spans="1:2" ht="15.5" x14ac:dyDescent="0.35">
      <c r="A5063" s="343"/>
      <c r="B5063" s="344"/>
    </row>
    <row r="5064" spans="1:2" ht="15.5" x14ac:dyDescent="0.35">
      <c r="A5064" s="343"/>
      <c r="B5064" s="344"/>
    </row>
    <row r="5065" spans="1:2" ht="15.5" x14ac:dyDescent="0.35">
      <c r="A5065" s="343"/>
      <c r="B5065" s="344"/>
    </row>
    <row r="5066" spans="1:2" ht="15.5" x14ac:dyDescent="0.35">
      <c r="A5066" s="343"/>
      <c r="B5066" s="344"/>
    </row>
    <row r="5067" spans="1:2" ht="15.5" x14ac:dyDescent="0.35">
      <c r="A5067" s="343"/>
      <c r="B5067" s="344"/>
    </row>
    <row r="5068" spans="1:2" ht="15.5" x14ac:dyDescent="0.35">
      <c r="A5068" s="343"/>
      <c r="B5068" s="344"/>
    </row>
    <row r="5069" spans="1:2" ht="15.5" x14ac:dyDescent="0.35">
      <c r="A5069" s="343"/>
      <c r="B5069" s="344"/>
    </row>
    <row r="5070" spans="1:2" ht="15.5" x14ac:dyDescent="0.35">
      <c r="A5070" s="343"/>
      <c r="B5070" s="344"/>
    </row>
    <row r="5071" spans="1:2" ht="15.5" x14ac:dyDescent="0.35">
      <c r="A5071" s="343"/>
      <c r="B5071" s="344"/>
    </row>
    <row r="5072" spans="1:2" ht="15.5" x14ac:dyDescent="0.35">
      <c r="A5072" s="343"/>
      <c r="B5072" s="344"/>
    </row>
    <row r="5073" spans="1:2" ht="15.5" x14ac:dyDescent="0.35">
      <c r="A5073" s="343"/>
      <c r="B5073" s="344"/>
    </row>
    <row r="5074" spans="1:2" ht="15.5" x14ac:dyDescent="0.35">
      <c r="A5074" s="343"/>
      <c r="B5074" s="344"/>
    </row>
    <row r="5075" spans="1:2" ht="15.5" x14ac:dyDescent="0.35">
      <c r="A5075" s="343"/>
      <c r="B5075" s="344"/>
    </row>
    <row r="5076" spans="1:2" ht="15.5" x14ac:dyDescent="0.35">
      <c r="A5076" s="343"/>
      <c r="B5076" s="344"/>
    </row>
    <row r="5077" spans="1:2" ht="15.5" x14ac:dyDescent="0.35">
      <c r="A5077" s="343"/>
      <c r="B5077" s="344"/>
    </row>
    <row r="5078" spans="1:2" ht="15.5" x14ac:dyDescent="0.35">
      <c r="A5078" s="343"/>
      <c r="B5078" s="344"/>
    </row>
    <row r="5079" spans="1:2" ht="15.5" x14ac:dyDescent="0.35">
      <c r="A5079" s="343"/>
      <c r="B5079" s="344"/>
    </row>
    <row r="5080" spans="1:2" ht="15.5" x14ac:dyDescent="0.35">
      <c r="A5080" s="343"/>
      <c r="B5080" s="344"/>
    </row>
    <row r="5081" spans="1:2" ht="15.5" x14ac:dyDescent="0.35">
      <c r="A5081" s="343"/>
      <c r="B5081" s="344"/>
    </row>
    <row r="5082" spans="1:2" ht="15.5" x14ac:dyDescent="0.35">
      <c r="A5082" s="343"/>
      <c r="B5082" s="344"/>
    </row>
    <row r="5083" spans="1:2" ht="15.5" x14ac:dyDescent="0.35">
      <c r="A5083" s="343"/>
      <c r="B5083" s="344"/>
    </row>
    <row r="5084" spans="1:2" ht="15.5" x14ac:dyDescent="0.35">
      <c r="A5084" s="343"/>
      <c r="B5084" s="344"/>
    </row>
    <row r="5085" spans="1:2" ht="15.5" x14ac:dyDescent="0.35">
      <c r="A5085" s="343"/>
      <c r="B5085" s="344"/>
    </row>
    <row r="5086" spans="1:2" ht="15.5" x14ac:dyDescent="0.35">
      <c r="A5086" s="343"/>
      <c r="B5086" s="344"/>
    </row>
    <row r="5087" spans="1:2" ht="15.5" x14ac:dyDescent="0.35">
      <c r="A5087" s="343"/>
      <c r="B5087" s="344"/>
    </row>
    <row r="5088" spans="1:2" ht="15.5" x14ac:dyDescent="0.35">
      <c r="A5088" s="343"/>
      <c r="B5088" s="344"/>
    </row>
    <row r="5089" spans="1:2" ht="15.5" x14ac:dyDescent="0.35">
      <c r="A5089" s="343"/>
      <c r="B5089" s="344"/>
    </row>
    <row r="5090" spans="1:2" ht="15.5" x14ac:dyDescent="0.35">
      <c r="A5090" s="343"/>
      <c r="B5090" s="344"/>
    </row>
    <row r="5091" spans="1:2" ht="15.5" x14ac:dyDescent="0.35">
      <c r="A5091" s="343"/>
      <c r="B5091" s="344"/>
    </row>
    <row r="5092" spans="1:2" ht="15.5" x14ac:dyDescent="0.35">
      <c r="A5092" s="343"/>
      <c r="B5092" s="344"/>
    </row>
    <row r="5093" spans="1:2" ht="15.5" x14ac:dyDescent="0.35">
      <c r="A5093" s="343"/>
      <c r="B5093" s="344"/>
    </row>
    <row r="5094" spans="1:2" ht="15.5" x14ac:dyDescent="0.35">
      <c r="A5094" s="343"/>
      <c r="B5094" s="344"/>
    </row>
    <row r="5095" spans="1:2" ht="15.5" x14ac:dyDescent="0.35">
      <c r="A5095" s="343"/>
      <c r="B5095" s="344"/>
    </row>
    <row r="5096" spans="1:2" ht="15.5" x14ac:dyDescent="0.35">
      <c r="A5096" s="343"/>
      <c r="B5096" s="344"/>
    </row>
    <row r="5097" spans="1:2" ht="15.5" x14ac:dyDescent="0.35">
      <c r="A5097" s="343"/>
      <c r="B5097" s="344"/>
    </row>
    <row r="5098" spans="1:2" ht="15.5" x14ac:dyDescent="0.35">
      <c r="A5098" s="343"/>
      <c r="B5098" s="344"/>
    </row>
    <row r="5099" spans="1:2" ht="15.5" x14ac:dyDescent="0.35">
      <c r="A5099" s="343"/>
      <c r="B5099" s="344"/>
    </row>
    <row r="5100" spans="1:2" ht="15.5" x14ac:dyDescent="0.35">
      <c r="A5100" s="343"/>
      <c r="B5100" s="344"/>
    </row>
    <row r="5101" spans="1:2" ht="15.5" x14ac:dyDescent="0.35">
      <c r="A5101" s="343"/>
      <c r="B5101" s="344"/>
    </row>
    <row r="5102" spans="1:2" ht="15.5" x14ac:dyDescent="0.35">
      <c r="A5102" s="343"/>
      <c r="B5102" s="344"/>
    </row>
    <row r="5103" spans="1:2" ht="15.5" x14ac:dyDescent="0.35">
      <c r="A5103" s="343"/>
      <c r="B5103" s="344"/>
    </row>
    <row r="5104" spans="1:2" ht="15.5" x14ac:dyDescent="0.35">
      <c r="A5104" s="343"/>
      <c r="B5104" s="344"/>
    </row>
    <row r="5105" spans="1:2" ht="15.5" x14ac:dyDescent="0.35">
      <c r="A5105" s="343"/>
      <c r="B5105" s="344"/>
    </row>
    <row r="5106" spans="1:2" ht="15.5" x14ac:dyDescent="0.35">
      <c r="A5106" s="343"/>
      <c r="B5106" s="344"/>
    </row>
    <row r="5107" spans="1:2" ht="15.5" x14ac:dyDescent="0.35">
      <c r="A5107" s="343"/>
      <c r="B5107" s="344"/>
    </row>
    <row r="5108" spans="1:2" ht="15.5" x14ac:dyDescent="0.35">
      <c r="A5108" s="343"/>
      <c r="B5108" s="344"/>
    </row>
    <row r="5109" spans="1:2" ht="15.5" x14ac:dyDescent="0.35">
      <c r="A5109" s="343"/>
      <c r="B5109" s="344"/>
    </row>
    <row r="5110" spans="1:2" ht="15.5" x14ac:dyDescent="0.35">
      <c r="A5110" s="343"/>
      <c r="B5110" s="344"/>
    </row>
    <row r="5111" spans="1:2" ht="15.5" x14ac:dyDescent="0.35">
      <c r="A5111" s="343"/>
      <c r="B5111" s="344"/>
    </row>
    <row r="5112" spans="1:2" ht="15.5" x14ac:dyDescent="0.35">
      <c r="A5112" s="343"/>
      <c r="B5112" s="344"/>
    </row>
    <row r="5113" spans="1:2" ht="15.5" x14ac:dyDescent="0.35">
      <c r="A5113" s="343"/>
      <c r="B5113" s="344"/>
    </row>
    <row r="5114" spans="1:2" ht="15.5" x14ac:dyDescent="0.35">
      <c r="A5114" s="343"/>
      <c r="B5114" s="344"/>
    </row>
    <row r="5115" spans="1:2" ht="15.5" x14ac:dyDescent="0.35">
      <c r="A5115" s="343"/>
      <c r="B5115" s="344"/>
    </row>
    <row r="5116" spans="1:2" ht="15.5" x14ac:dyDescent="0.35">
      <c r="A5116" s="343"/>
      <c r="B5116" s="344"/>
    </row>
    <row r="5117" spans="1:2" ht="15.5" x14ac:dyDescent="0.35">
      <c r="A5117" s="343"/>
      <c r="B5117" s="344"/>
    </row>
    <row r="5118" spans="1:2" ht="15.5" x14ac:dyDescent="0.35">
      <c r="A5118" s="343"/>
      <c r="B5118" s="344"/>
    </row>
    <row r="5119" spans="1:2" ht="15.5" x14ac:dyDescent="0.35">
      <c r="A5119" s="343"/>
      <c r="B5119" s="344"/>
    </row>
    <row r="5120" spans="1:2" ht="15.5" x14ac:dyDescent="0.35">
      <c r="A5120" s="343"/>
      <c r="B5120" s="344"/>
    </row>
    <row r="5121" spans="1:2" ht="15.5" x14ac:dyDescent="0.35">
      <c r="A5121" s="343"/>
      <c r="B5121" s="344"/>
    </row>
    <row r="5122" spans="1:2" ht="15.5" x14ac:dyDescent="0.35">
      <c r="A5122" s="343"/>
      <c r="B5122" s="344"/>
    </row>
    <row r="5123" spans="1:2" ht="15.5" x14ac:dyDescent="0.35">
      <c r="A5123" s="343"/>
      <c r="B5123" s="344"/>
    </row>
    <row r="5124" spans="1:2" ht="15.5" x14ac:dyDescent="0.35">
      <c r="A5124" s="343"/>
      <c r="B5124" s="344"/>
    </row>
    <row r="5125" spans="1:2" ht="15.5" x14ac:dyDescent="0.35">
      <c r="A5125" s="343"/>
      <c r="B5125" s="344"/>
    </row>
    <row r="5126" spans="1:2" ht="15.5" x14ac:dyDescent="0.35">
      <c r="A5126" s="343"/>
      <c r="B5126" s="344"/>
    </row>
    <row r="5127" spans="1:2" ht="15.5" x14ac:dyDescent="0.35">
      <c r="A5127" s="343"/>
      <c r="B5127" s="344"/>
    </row>
    <row r="5128" spans="1:2" ht="15.5" x14ac:dyDescent="0.35">
      <c r="A5128" s="343"/>
      <c r="B5128" s="344"/>
    </row>
    <row r="5129" spans="1:2" ht="15.5" x14ac:dyDescent="0.35">
      <c r="A5129" s="343"/>
      <c r="B5129" s="344"/>
    </row>
    <row r="5130" spans="1:2" ht="15.5" x14ac:dyDescent="0.35">
      <c r="A5130" s="343"/>
      <c r="B5130" s="344"/>
    </row>
    <row r="5131" spans="1:2" ht="15.5" x14ac:dyDescent="0.35">
      <c r="A5131" s="343"/>
      <c r="B5131" s="344"/>
    </row>
    <row r="5132" spans="1:2" ht="15.5" x14ac:dyDescent="0.35">
      <c r="A5132" s="343"/>
      <c r="B5132" s="344"/>
    </row>
    <row r="5133" spans="1:2" ht="15.5" x14ac:dyDescent="0.35">
      <c r="A5133" s="343"/>
      <c r="B5133" s="344"/>
    </row>
    <row r="5134" spans="1:2" ht="15.5" x14ac:dyDescent="0.35">
      <c r="A5134" s="343"/>
      <c r="B5134" s="344"/>
    </row>
    <row r="5135" spans="1:2" ht="15.5" x14ac:dyDescent="0.35">
      <c r="A5135" s="343"/>
      <c r="B5135" s="344"/>
    </row>
    <row r="5136" spans="1:2" ht="15.5" x14ac:dyDescent="0.35">
      <c r="A5136" s="343"/>
      <c r="B5136" s="344"/>
    </row>
    <row r="5137" spans="1:2" ht="15.5" x14ac:dyDescent="0.35">
      <c r="A5137" s="343"/>
      <c r="B5137" s="344"/>
    </row>
    <row r="5138" spans="1:2" ht="15.5" x14ac:dyDescent="0.35">
      <c r="A5138" s="343"/>
      <c r="B5138" s="344"/>
    </row>
    <row r="5139" spans="1:2" ht="15.5" x14ac:dyDescent="0.35">
      <c r="A5139" s="343"/>
      <c r="B5139" s="344"/>
    </row>
    <row r="5140" spans="1:2" ht="15.5" x14ac:dyDescent="0.35">
      <c r="A5140" s="343"/>
      <c r="B5140" s="344"/>
    </row>
    <row r="5141" spans="1:2" ht="15.5" x14ac:dyDescent="0.35">
      <c r="A5141" s="343"/>
      <c r="B5141" s="344"/>
    </row>
    <row r="5142" spans="1:2" ht="15.5" x14ac:dyDescent="0.35">
      <c r="A5142" s="343"/>
      <c r="B5142" s="344"/>
    </row>
    <row r="5143" spans="1:2" ht="15.5" x14ac:dyDescent="0.35">
      <c r="A5143" s="343"/>
      <c r="B5143" s="344"/>
    </row>
    <row r="5144" spans="1:2" ht="15.5" x14ac:dyDescent="0.35">
      <c r="A5144" s="343"/>
      <c r="B5144" s="344"/>
    </row>
    <row r="5145" spans="1:2" ht="15.5" x14ac:dyDescent="0.35">
      <c r="A5145" s="343"/>
      <c r="B5145" s="344"/>
    </row>
    <row r="5146" spans="1:2" ht="15.5" x14ac:dyDescent="0.35">
      <c r="A5146" s="343"/>
      <c r="B5146" s="344"/>
    </row>
    <row r="5147" spans="1:2" ht="15.5" x14ac:dyDescent="0.35">
      <c r="A5147" s="343"/>
      <c r="B5147" s="344"/>
    </row>
    <row r="5148" spans="1:2" ht="15.5" x14ac:dyDescent="0.35">
      <c r="A5148" s="343"/>
      <c r="B5148" s="344"/>
    </row>
    <row r="5149" spans="1:2" ht="15.5" x14ac:dyDescent="0.35">
      <c r="A5149" s="343"/>
      <c r="B5149" s="344"/>
    </row>
    <row r="5150" spans="1:2" ht="15.5" x14ac:dyDescent="0.35">
      <c r="A5150" s="343"/>
      <c r="B5150" s="344"/>
    </row>
    <row r="5151" spans="1:2" ht="15.5" x14ac:dyDescent="0.35">
      <c r="A5151" s="343"/>
      <c r="B5151" s="344"/>
    </row>
    <row r="5152" spans="1:2" ht="15.5" x14ac:dyDescent="0.35">
      <c r="A5152" s="343"/>
      <c r="B5152" s="344"/>
    </row>
    <row r="5153" spans="1:2" ht="15.5" x14ac:dyDescent="0.35">
      <c r="A5153" s="343"/>
      <c r="B5153" s="344"/>
    </row>
    <row r="5154" spans="1:2" ht="15.5" x14ac:dyDescent="0.35">
      <c r="A5154" s="343"/>
      <c r="B5154" s="344"/>
    </row>
    <row r="5155" spans="1:2" ht="15.5" x14ac:dyDescent="0.35">
      <c r="A5155" s="343"/>
      <c r="B5155" s="344"/>
    </row>
    <row r="5156" spans="1:2" ht="15.5" x14ac:dyDescent="0.35">
      <c r="A5156" s="343"/>
      <c r="B5156" s="344"/>
    </row>
    <row r="5157" spans="1:2" ht="15.5" x14ac:dyDescent="0.35">
      <c r="A5157" s="343"/>
      <c r="B5157" s="344"/>
    </row>
    <row r="5158" spans="1:2" ht="15.5" x14ac:dyDescent="0.35">
      <c r="A5158" s="343"/>
      <c r="B5158" s="344"/>
    </row>
    <row r="5159" spans="1:2" ht="15.5" x14ac:dyDescent="0.35">
      <c r="A5159" s="343"/>
      <c r="B5159" s="344"/>
    </row>
    <row r="5160" spans="1:2" ht="15.5" x14ac:dyDescent="0.35">
      <c r="A5160" s="343"/>
      <c r="B5160" s="344"/>
    </row>
    <row r="5161" spans="1:2" ht="15.5" x14ac:dyDescent="0.35">
      <c r="A5161" s="343"/>
      <c r="B5161" s="344"/>
    </row>
    <row r="5162" spans="1:2" ht="15.5" x14ac:dyDescent="0.35">
      <c r="A5162" s="343"/>
      <c r="B5162" s="344"/>
    </row>
    <row r="5163" spans="1:2" ht="15.5" x14ac:dyDescent="0.35">
      <c r="A5163" s="343"/>
      <c r="B5163" s="344"/>
    </row>
    <row r="5164" spans="1:2" ht="15.5" x14ac:dyDescent="0.35">
      <c r="A5164" s="343"/>
      <c r="B5164" s="344"/>
    </row>
    <row r="5165" spans="1:2" ht="15.5" x14ac:dyDescent="0.35">
      <c r="A5165" s="343"/>
      <c r="B5165" s="344"/>
    </row>
    <row r="5166" spans="1:2" ht="15.5" x14ac:dyDescent="0.35">
      <c r="A5166" s="343"/>
      <c r="B5166" s="344"/>
    </row>
    <row r="5167" spans="1:2" ht="15.5" x14ac:dyDescent="0.35">
      <c r="A5167" s="343"/>
      <c r="B5167" s="344"/>
    </row>
    <row r="5168" spans="1:2" ht="15.5" x14ac:dyDescent="0.35">
      <c r="A5168" s="343"/>
      <c r="B5168" s="344"/>
    </row>
    <row r="5169" spans="1:2" ht="15.5" x14ac:dyDescent="0.35">
      <c r="A5169" s="343"/>
      <c r="B5169" s="344"/>
    </row>
    <row r="5170" spans="1:2" ht="15.5" x14ac:dyDescent="0.35">
      <c r="A5170" s="343"/>
      <c r="B5170" s="344"/>
    </row>
    <row r="5171" spans="1:2" ht="15.5" x14ac:dyDescent="0.35">
      <c r="A5171" s="343"/>
      <c r="B5171" s="344"/>
    </row>
    <row r="5172" spans="1:2" ht="15.5" x14ac:dyDescent="0.35">
      <c r="A5172" s="343"/>
      <c r="B5172" s="344"/>
    </row>
    <row r="5173" spans="1:2" ht="15.5" x14ac:dyDescent="0.35">
      <c r="A5173" s="343"/>
      <c r="B5173" s="344"/>
    </row>
    <row r="5174" spans="1:2" ht="15.5" x14ac:dyDescent="0.35">
      <c r="A5174" s="343"/>
      <c r="B5174" s="344"/>
    </row>
    <row r="5175" spans="1:2" ht="15.5" x14ac:dyDescent="0.35">
      <c r="A5175" s="343"/>
      <c r="B5175" s="344"/>
    </row>
    <row r="5176" spans="1:2" ht="15.5" x14ac:dyDescent="0.35">
      <c r="A5176" s="343"/>
      <c r="B5176" s="344"/>
    </row>
    <row r="5177" spans="1:2" ht="15.5" x14ac:dyDescent="0.35">
      <c r="A5177" s="343"/>
      <c r="B5177" s="344"/>
    </row>
    <row r="5178" spans="1:2" ht="15.5" x14ac:dyDescent="0.35">
      <c r="A5178" s="343"/>
      <c r="B5178" s="344"/>
    </row>
    <row r="5179" spans="1:2" ht="15.5" x14ac:dyDescent="0.35">
      <c r="A5179" s="343"/>
      <c r="B5179" s="344"/>
    </row>
    <row r="5180" spans="1:2" ht="15.5" x14ac:dyDescent="0.35">
      <c r="A5180" s="343"/>
      <c r="B5180" s="344"/>
    </row>
    <row r="5181" spans="1:2" ht="15.5" x14ac:dyDescent="0.35">
      <c r="A5181" s="343"/>
      <c r="B5181" s="344"/>
    </row>
    <row r="5182" spans="1:2" ht="15.5" x14ac:dyDescent="0.35">
      <c r="A5182" s="343"/>
      <c r="B5182" s="344"/>
    </row>
    <row r="5183" spans="1:2" ht="15.5" x14ac:dyDescent="0.35">
      <c r="A5183" s="343"/>
      <c r="B5183" s="344"/>
    </row>
    <row r="5184" spans="1:2" ht="15.5" x14ac:dyDescent="0.35">
      <c r="A5184" s="343"/>
      <c r="B5184" s="344"/>
    </row>
    <row r="5185" spans="1:2" ht="15.5" x14ac:dyDescent="0.35">
      <c r="A5185" s="343"/>
      <c r="B5185" s="344"/>
    </row>
    <row r="5186" spans="1:2" ht="15.5" x14ac:dyDescent="0.35">
      <c r="A5186" s="343"/>
      <c r="B5186" s="344"/>
    </row>
    <row r="5187" spans="1:2" ht="15.5" x14ac:dyDescent="0.35">
      <c r="A5187" s="343"/>
      <c r="B5187" s="344"/>
    </row>
    <row r="5188" spans="1:2" ht="15.5" x14ac:dyDescent="0.35">
      <c r="A5188" s="343"/>
      <c r="B5188" s="344"/>
    </row>
    <row r="5189" spans="1:2" ht="15.5" x14ac:dyDescent="0.35">
      <c r="A5189" s="343"/>
      <c r="B5189" s="344"/>
    </row>
    <row r="5190" spans="1:2" ht="15.5" x14ac:dyDescent="0.35">
      <c r="A5190" s="343"/>
      <c r="B5190" s="344"/>
    </row>
    <row r="5191" spans="1:2" ht="15.5" x14ac:dyDescent="0.35">
      <c r="A5191" s="343"/>
      <c r="B5191" s="344"/>
    </row>
    <row r="5192" spans="1:2" ht="15.5" x14ac:dyDescent="0.35">
      <c r="A5192" s="343"/>
      <c r="B5192" s="344"/>
    </row>
    <row r="5193" spans="1:2" ht="15.5" x14ac:dyDescent="0.35">
      <c r="A5193" s="343"/>
      <c r="B5193" s="344"/>
    </row>
    <row r="5194" spans="1:2" ht="15.5" x14ac:dyDescent="0.35">
      <c r="A5194" s="343"/>
      <c r="B5194" s="344"/>
    </row>
    <row r="5195" spans="1:2" ht="15.5" x14ac:dyDescent="0.35">
      <c r="A5195" s="343"/>
      <c r="B5195" s="344"/>
    </row>
    <row r="5196" spans="1:2" ht="15.5" x14ac:dyDescent="0.35">
      <c r="A5196" s="343"/>
      <c r="B5196" s="344"/>
    </row>
    <row r="5197" spans="1:2" ht="15.5" x14ac:dyDescent="0.35">
      <c r="A5197" s="343"/>
      <c r="B5197" s="344"/>
    </row>
    <row r="5198" spans="1:2" ht="15.5" x14ac:dyDescent="0.35">
      <c r="A5198" s="343"/>
      <c r="B5198" s="344"/>
    </row>
    <row r="5199" spans="1:2" ht="15.5" x14ac:dyDescent="0.35">
      <c r="A5199" s="343"/>
      <c r="B5199" s="344"/>
    </row>
    <row r="5200" spans="1:2" ht="15.5" x14ac:dyDescent="0.35">
      <c r="A5200" s="343"/>
      <c r="B5200" s="344"/>
    </row>
    <row r="5201" spans="1:2" ht="15.5" x14ac:dyDescent="0.35">
      <c r="A5201" s="343"/>
      <c r="B5201" s="344"/>
    </row>
    <row r="5202" spans="1:2" ht="15.5" x14ac:dyDescent="0.35">
      <c r="A5202" s="343"/>
      <c r="B5202" s="344"/>
    </row>
    <row r="5203" spans="1:2" ht="15.5" x14ac:dyDescent="0.35">
      <c r="A5203" s="343"/>
      <c r="B5203" s="344"/>
    </row>
    <row r="5204" spans="1:2" ht="15.5" x14ac:dyDescent="0.35">
      <c r="A5204" s="343"/>
      <c r="B5204" s="344"/>
    </row>
    <row r="5205" spans="1:2" ht="15.5" x14ac:dyDescent="0.35">
      <c r="A5205" s="343"/>
      <c r="B5205" s="344"/>
    </row>
    <row r="5206" spans="1:2" ht="15.5" x14ac:dyDescent="0.35">
      <c r="A5206" s="343"/>
      <c r="B5206" s="344"/>
    </row>
    <row r="5207" spans="1:2" ht="15.5" x14ac:dyDescent="0.35">
      <c r="A5207" s="343"/>
      <c r="B5207" s="344"/>
    </row>
    <row r="5208" spans="1:2" ht="15.5" x14ac:dyDescent="0.35">
      <c r="A5208" s="343"/>
      <c r="B5208" s="344"/>
    </row>
    <row r="5209" spans="1:2" ht="15.5" x14ac:dyDescent="0.35">
      <c r="A5209" s="343"/>
      <c r="B5209" s="344"/>
    </row>
    <row r="5210" spans="1:2" ht="15.5" x14ac:dyDescent="0.35">
      <c r="A5210" s="343"/>
      <c r="B5210" s="344"/>
    </row>
    <row r="5211" spans="1:2" ht="15.5" x14ac:dyDescent="0.35">
      <c r="A5211" s="343"/>
      <c r="B5211" s="344"/>
    </row>
    <row r="5212" spans="1:2" ht="15.5" x14ac:dyDescent="0.35">
      <c r="A5212" s="343"/>
      <c r="B5212" s="344"/>
    </row>
    <row r="5213" spans="1:2" ht="15.5" x14ac:dyDescent="0.35">
      <c r="A5213" s="343"/>
      <c r="B5213" s="344"/>
    </row>
    <row r="5214" spans="1:2" ht="15.5" x14ac:dyDescent="0.35">
      <c r="A5214" s="343"/>
      <c r="B5214" s="344"/>
    </row>
    <row r="5215" spans="1:2" ht="15.5" x14ac:dyDescent="0.35">
      <c r="A5215" s="343"/>
      <c r="B5215" s="344"/>
    </row>
    <row r="5216" spans="1:2" ht="15.5" x14ac:dyDescent="0.35">
      <c r="A5216" s="343"/>
      <c r="B5216" s="344"/>
    </row>
    <row r="5217" spans="1:2" ht="15.5" x14ac:dyDescent="0.35">
      <c r="A5217" s="343"/>
      <c r="B5217" s="344"/>
    </row>
    <row r="5218" spans="1:2" ht="15.5" x14ac:dyDescent="0.35">
      <c r="A5218" s="343"/>
      <c r="B5218" s="344"/>
    </row>
    <row r="5219" spans="1:2" ht="15.5" x14ac:dyDescent="0.35">
      <c r="A5219" s="343"/>
      <c r="B5219" s="344"/>
    </row>
    <row r="5220" spans="1:2" ht="15.5" x14ac:dyDescent="0.35">
      <c r="A5220" s="343"/>
      <c r="B5220" s="344"/>
    </row>
    <row r="5221" spans="1:2" ht="15.5" x14ac:dyDescent="0.35">
      <c r="A5221" s="343"/>
      <c r="B5221" s="344"/>
    </row>
    <row r="5222" spans="1:2" ht="15.5" x14ac:dyDescent="0.35">
      <c r="A5222" s="343"/>
      <c r="B5222" s="344"/>
    </row>
    <row r="5223" spans="1:2" ht="15.5" x14ac:dyDescent="0.35">
      <c r="A5223" s="343"/>
      <c r="B5223" s="344"/>
    </row>
    <row r="5224" spans="1:2" ht="15.5" x14ac:dyDescent="0.35">
      <c r="A5224" s="343"/>
      <c r="B5224" s="344"/>
    </row>
    <row r="5225" spans="1:2" ht="15.5" x14ac:dyDescent="0.35">
      <c r="A5225" s="343"/>
      <c r="B5225" s="344"/>
    </row>
    <row r="5226" spans="1:2" ht="15.5" x14ac:dyDescent="0.35">
      <c r="A5226" s="343"/>
      <c r="B5226" s="344"/>
    </row>
    <row r="5227" spans="1:2" ht="15.5" x14ac:dyDescent="0.35">
      <c r="A5227" s="343"/>
      <c r="B5227" s="344"/>
    </row>
    <row r="5228" spans="1:2" ht="15.5" x14ac:dyDescent="0.35">
      <c r="A5228" s="343"/>
      <c r="B5228" s="344"/>
    </row>
    <row r="5229" spans="1:2" ht="15.5" x14ac:dyDescent="0.35">
      <c r="A5229" s="343"/>
      <c r="B5229" s="344"/>
    </row>
    <row r="5230" spans="1:2" ht="15.5" x14ac:dyDescent="0.35">
      <c r="A5230" s="343"/>
      <c r="B5230" s="344"/>
    </row>
    <row r="5231" spans="1:2" ht="15.5" x14ac:dyDescent="0.35">
      <c r="A5231" s="343"/>
      <c r="B5231" s="344"/>
    </row>
    <row r="5232" spans="1:2" ht="15.5" x14ac:dyDescent="0.35">
      <c r="A5232" s="343"/>
      <c r="B5232" s="344"/>
    </row>
    <row r="5233" spans="1:2" ht="15.5" x14ac:dyDescent="0.35">
      <c r="A5233" s="343"/>
      <c r="B5233" s="344"/>
    </row>
    <row r="5234" spans="1:2" ht="15.5" x14ac:dyDescent="0.35">
      <c r="A5234" s="343"/>
      <c r="B5234" s="344"/>
    </row>
    <row r="5235" spans="1:2" ht="15.5" x14ac:dyDescent="0.35">
      <c r="A5235" s="343"/>
      <c r="B5235" s="344"/>
    </row>
    <row r="5236" spans="1:2" ht="15.5" x14ac:dyDescent="0.35">
      <c r="A5236" s="343"/>
      <c r="B5236" s="344"/>
    </row>
    <row r="5237" spans="1:2" ht="15.5" x14ac:dyDescent="0.35">
      <c r="A5237" s="343"/>
      <c r="B5237" s="344"/>
    </row>
    <row r="5238" spans="1:2" ht="15.5" x14ac:dyDescent="0.35">
      <c r="A5238" s="343"/>
      <c r="B5238" s="344"/>
    </row>
    <row r="5239" spans="1:2" ht="15.5" x14ac:dyDescent="0.35">
      <c r="A5239" s="343"/>
      <c r="B5239" s="344"/>
    </row>
    <row r="5240" spans="1:2" ht="15.5" x14ac:dyDescent="0.35">
      <c r="A5240" s="343"/>
      <c r="B5240" s="344"/>
    </row>
    <row r="5241" spans="1:2" ht="15.5" x14ac:dyDescent="0.35">
      <c r="A5241" s="343"/>
      <c r="B5241" s="344"/>
    </row>
    <row r="5242" spans="1:2" ht="15.5" x14ac:dyDescent="0.35">
      <c r="A5242" s="343"/>
      <c r="B5242" s="344"/>
    </row>
    <row r="5243" spans="1:2" ht="15.5" x14ac:dyDescent="0.35">
      <c r="A5243" s="343"/>
      <c r="B5243" s="344"/>
    </row>
    <row r="5244" spans="1:2" ht="15.5" x14ac:dyDescent="0.35">
      <c r="A5244" s="343"/>
      <c r="B5244" s="344"/>
    </row>
    <row r="5245" spans="1:2" ht="15.5" x14ac:dyDescent="0.35">
      <c r="A5245" s="343"/>
      <c r="B5245" s="344"/>
    </row>
    <row r="5246" spans="1:2" ht="15.5" x14ac:dyDescent="0.35">
      <c r="A5246" s="343"/>
      <c r="B5246" s="344"/>
    </row>
    <row r="5247" spans="1:2" ht="15.5" x14ac:dyDescent="0.35">
      <c r="A5247" s="343"/>
      <c r="B5247" s="344"/>
    </row>
    <row r="5248" spans="1:2" ht="15.5" x14ac:dyDescent="0.35">
      <c r="A5248" s="343"/>
      <c r="B5248" s="344"/>
    </row>
    <row r="5249" spans="1:2" ht="15.5" x14ac:dyDescent="0.35">
      <c r="A5249" s="343"/>
      <c r="B5249" s="344"/>
    </row>
    <row r="5250" spans="1:2" ht="15.5" x14ac:dyDescent="0.35">
      <c r="A5250" s="343"/>
      <c r="B5250" s="344"/>
    </row>
    <row r="5251" spans="1:2" ht="15.5" x14ac:dyDescent="0.35">
      <c r="A5251" s="343"/>
      <c r="B5251" s="344"/>
    </row>
    <row r="5252" spans="1:2" ht="15.5" x14ac:dyDescent="0.35">
      <c r="A5252" s="343"/>
      <c r="B5252" s="344"/>
    </row>
    <row r="5253" spans="1:2" ht="15.5" x14ac:dyDescent="0.35">
      <c r="A5253" s="343"/>
      <c r="B5253" s="344"/>
    </row>
    <row r="5254" spans="1:2" ht="15.5" x14ac:dyDescent="0.35">
      <c r="A5254" s="343"/>
      <c r="B5254" s="344"/>
    </row>
    <row r="5255" spans="1:2" ht="15.5" x14ac:dyDescent="0.35">
      <c r="A5255" s="343"/>
      <c r="B5255" s="344"/>
    </row>
    <row r="5256" spans="1:2" ht="15.5" x14ac:dyDescent="0.35">
      <c r="A5256" s="343"/>
      <c r="B5256" s="344"/>
    </row>
    <row r="5257" spans="1:2" ht="15.5" x14ac:dyDescent="0.35">
      <c r="A5257" s="343"/>
      <c r="B5257" s="344"/>
    </row>
    <row r="5258" spans="1:2" ht="15.5" x14ac:dyDescent="0.35">
      <c r="A5258" s="343"/>
      <c r="B5258" s="344"/>
    </row>
    <row r="5259" spans="1:2" ht="15.5" x14ac:dyDescent="0.35">
      <c r="A5259" s="343"/>
      <c r="B5259" s="344"/>
    </row>
    <row r="5260" spans="1:2" ht="15.5" x14ac:dyDescent="0.35">
      <c r="A5260" s="343"/>
      <c r="B5260" s="344"/>
    </row>
    <row r="5261" spans="1:2" ht="15.5" x14ac:dyDescent="0.35">
      <c r="A5261" s="343"/>
      <c r="B5261" s="344"/>
    </row>
    <row r="5262" spans="1:2" ht="15.5" x14ac:dyDescent="0.35">
      <c r="A5262" s="343"/>
      <c r="B5262" s="344"/>
    </row>
    <row r="5263" spans="1:2" ht="15.5" x14ac:dyDescent="0.35">
      <c r="A5263" s="343"/>
      <c r="B5263" s="344"/>
    </row>
    <row r="5264" spans="1:2" ht="15.5" x14ac:dyDescent="0.35">
      <c r="A5264" s="343"/>
      <c r="B5264" s="344"/>
    </row>
    <row r="5265" spans="1:2" ht="15.5" x14ac:dyDescent="0.35">
      <c r="A5265" s="343"/>
      <c r="B5265" s="344"/>
    </row>
    <row r="5266" spans="1:2" ht="15.5" x14ac:dyDescent="0.35">
      <c r="A5266" s="343"/>
      <c r="B5266" s="344"/>
    </row>
    <row r="5267" spans="1:2" ht="15.5" x14ac:dyDescent="0.35">
      <c r="A5267" s="343"/>
      <c r="B5267" s="344"/>
    </row>
    <row r="5268" spans="1:2" ht="15.5" x14ac:dyDescent="0.35">
      <c r="A5268" s="343"/>
      <c r="B5268" s="344"/>
    </row>
    <row r="5269" spans="1:2" ht="15.5" x14ac:dyDescent="0.35">
      <c r="A5269" s="343"/>
      <c r="B5269" s="344"/>
    </row>
    <row r="5270" spans="1:2" ht="15.5" x14ac:dyDescent="0.35">
      <c r="A5270" s="343"/>
      <c r="B5270" s="344"/>
    </row>
    <row r="5271" spans="1:2" ht="15.5" x14ac:dyDescent="0.35">
      <c r="A5271" s="343"/>
      <c r="B5271" s="344"/>
    </row>
    <row r="5272" spans="1:2" ht="15.5" x14ac:dyDescent="0.35">
      <c r="A5272" s="343"/>
      <c r="B5272" s="344"/>
    </row>
    <row r="5273" spans="1:2" ht="15.5" x14ac:dyDescent="0.35">
      <c r="A5273" s="343"/>
      <c r="B5273" s="344"/>
    </row>
    <row r="5274" spans="1:2" ht="15.5" x14ac:dyDescent="0.35">
      <c r="A5274" s="343"/>
      <c r="B5274" s="344"/>
    </row>
    <row r="5275" spans="1:2" ht="15.5" x14ac:dyDescent="0.35">
      <c r="A5275" s="343"/>
      <c r="B5275" s="344"/>
    </row>
    <row r="5276" spans="1:2" ht="15.5" x14ac:dyDescent="0.35">
      <c r="A5276" s="343"/>
      <c r="B5276" s="344"/>
    </row>
    <row r="5277" spans="1:2" ht="15.5" x14ac:dyDescent="0.35">
      <c r="A5277" s="343"/>
      <c r="B5277" s="344"/>
    </row>
    <row r="5278" spans="1:2" ht="15.5" x14ac:dyDescent="0.35">
      <c r="A5278" s="343"/>
      <c r="B5278" s="344"/>
    </row>
    <row r="5279" spans="1:2" ht="15.5" x14ac:dyDescent="0.35">
      <c r="A5279" s="343"/>
      <c r="B5279" s="344"/>
    </row>
    <row r="5280" spans="1:2" ht="15.5" x14ac:dyDescent="0.35">
      <c r="A5280" s="343"/>
      <c r="B5280" s="344"/>
    </row>
    <row r="5281" spans="1:2" ht="15.5" x14ac:dyDescent="0.35">
      <c r="A5281" s="343"/>
      <c r="B5281" s="344"/>
    </row>
    <row r="5282" spans="1:2" ht="15.5" x14ac:dyDescent="0.35">
      <c r="A5282" s="343"/>
      <c r="B5282" s="344"/>
    </row>
    <row r="5283" spans="1:2" ht="15.5" x14ac:dyDescent="0.35">
      <c r="A5283" s="343"/>
      <c r="B5283" s="344"/>
    </row>
    <row r="5284" spans="1:2" ht="15.5" x14ac:dyDescent="0.35">
      <c r="A5284" s="343"/>
      <c r="B5284" s="344"/>
    </row>
    <row r="5285" spans="1:2" ht="15.5" x14ac:dyDescent="0.35">
      <c r="A5285" s="343"/>
      <c r="B5285" s="344"/>
    </row>
    <row r="5286" spans="1:2" ht="15.5" x14ac:dyDescent="0.35">
      <c r="A5286" s="343"/>
      <c r="B5286" s="344"/>
    </row>
    <row r="5287" spans="1:2" ht="15.5" x14ac:dyDescent="0.35">
      <c r="A5287" s="343"/>
      <c r="B5287" s="344"/>
    </row>
    <row r="5288" spans="1:2" ht="15.5" x14ac:dyDescent="0.35">
      <c r="A5288" s="343"/>
      <c r="B5288" s="344"/>
    </row>
    <row r="5289" spans="1:2" ht="15.5" x14ac:dyDescent="0.35">
      <c r="A5289" s="343"/>
      <c r="B5289" s="344"/>
    </row>
    <row r="5290" spans="1:2" ht="15.5" x14ac:dyDescent="0.35">
      <c r="A5290" s="343"/>
      <c r="B5290" s="344"/>
    </row>
    <row r="5291" spans="1:2" ht="15.5" x14ac:dyDescent="0.35">
      <c r="A5291" s="343"/>
      <c r="B5291" s="344"/>
    </row>
    <row r="5292" spans="1:2" ht="15.5" x14ac:dyDescent="0.35">
      <c r="A5292" s="343"/>
      <c r="B5292" s="344"/>
    </row>
    <row r="5293" spans="1:2" ht="15.5" x14ac:dyDescent="0.35">
      <c r="A5293" s="343"/>
      <c r="B5293" s="344"/>
    </row>
    <row r="5294" spans="1:2" ht="15.5" x14ac:dyDescent="0.35">
      <c r="A5294" s="343"/>
      <c r="B5294" s="344"/>
    </row>
    <row r="5295" spans="1:2" ht="15.5" x14ac:dyDescent="0.35">
      <c r="A5295" s="343"/>
      <c r="B5295" s="344"/>
    </row>
    <row r="5296" spans="1:2" ht="15.5" x14ac:dyDescent="0.35">
      <c r="A5296" s="343"/>
      <c r="B5296" s="344"/>
    </row>
    <row r="5297" spans="1:2" ht="15.5" x14ac:dyDescent="0.35">
      <c r="A5297" s="343"/>
      <c r="B5297" s="344"/>
    </row>
    <row r="5298" spans="1:2" ht="15.5" x14ac:dyDescent="0.35">
      <c r="A5298" s="343"/>
      <c r="B5298" s="344"/>
    </row>
    <row r="5299" spans="1:2" ht="15.5" x14ac:dyDescent="0.35">
      <c r="A5299" s="343"/>
      <c r="B5299" s="344"/>
    </row>
    <row r="5300" spans="1:2" ht="15.5" x14ac:dyDescent="0.35">
      <c r="A5300" s="343"/>
      <c r="B5300" s="344"/>
    </row>
    <row r="5301" spans="1:2" ht="15.5" x14ac:dyDescent="0.35">
      <c r="A5301" s="343"/>
      <c r="B5301" s="344"/>
    </row>
    <row r="5302" spans="1:2" ht="15.5" x14ac:dyDescent="0.35">
      <c r="A5302" s="343"/>
      <c r="B5302" s="344"/>
    </row>
    <row r="5303" spans="1:2" ht="15.5" x14ac:dyDescent="0.35">
      <c r="A5303" s="343"/>
      <c r="B5303" s="344"/>
    </row>
    <row r="5304" spans="1:2" ht="15.5" x14ac:dyDescent="0.35">
      <c r="A5304" s="343"/>
      <c r="B5304" s="344"/>
    </row>
    <row r="5305" spans="1:2" ht="15.5" x14ac:dyDescent="0.35">
      <c r="A5305" s="343"/>
      <c r="B5305" s="344"/>
    </row>
    <row r="5306" spans="1:2" ht="15.5" x14ac:dyDescent="0.35">
      <c r="A5306" s="343"/>
      <c r="B5306" s="344"/>
    </row>
    <row r="5307" spans="1:2" ht="15.5" x14ac:dyDescent="0.35">
      <c r="A5307" s="343"/>
      <c r="B5307" s="344"/>
    </row>
    <row r="5308" spans="1:2" ht="15.5" x14ac:dyDescent="0.35">
      <c r="A5308" s="343"/>
      <c r="B5308" s="344"/>
    </row>
    <row r="5309" spans="1:2" ht="15.5" x14ac:dyDescent="0.35">
      <c r="A5309" s="343"/>
      <c r="B5309" s="344"/>
    </row>
    <row r="5310" spans="1:2" ht="15.5" x14ac:dyDescent="0.35">
      <c r="A5310" s="343"/>
      <c r="B5310" s="344"/>
    </row>
    <row r="5311" spans="1:2" ht="15.5" x14ac:dyDescent="0.35">
      <c r="A5311" s="343"/>
      <c r="B5311" s="344"/>
    </row>
    <row r="5312" spans="1:2" ht="15.5" x14ac:dyDescent="0.35">
      <c r="A5312" s="343"/>
      <c r="B5312" s="344"/>
    </row>
    <row r="5313" spans="1:2" ht="15.5" x14ac:dyDescent="0.35">
      <c r="A5313" s="343"/>
      <c r="B5313" s="344"/>
    </row>
    <row r="5314" spans="1:2" ht="15.5" x14ac:dyDescent="0.35">
      <c r="A5314" s="343"/>
      <c r="B5314" s="344"/>
    </row>
    <row r="5315" spans="1:2" ht="15.5" x14ac:dyDescent="0.35">
      <c r="A5315" s="343"/>
      <c r="B5315" s="344"/>
    </row>
    <row r="5316" spans="1:2" ht="15.5" x14ac:dyDescent="0.35">
      <c r="A5316" s="343"/>
      <c r="B5316" s="344"/>
    </row>
    <row r="5317" spans="1:2" ht="15.5" x14ac:dyDescent="0.35">
      <c r="A5317" s="343"/>
      <c r="B5317" s="344"/>
    </row>
    <row r="5318" spans="1:2" ht="15.5" x14ac:dyDescent="0.35">
      <c r="A5318" s="343"/>
      <c r="B5318" s="344"/>
    </row>
    <row r="5319" spans="1:2" ht="15.5" x14ac:dyDescent="0.35">
      <c r="A5319" s="343"/>
      <c r="B5319" s="344"/>
    </row>
    <row r="5320" spans="1:2" ht="15.5" x14ac:dyDescent="0.35">
      <c r="A5320" s="343"/>
      <c r="B5320" s="344"/>
    </row>
    <row r="5321" spans="1:2" ht="15.5" x14ac:dyDescent="0.35">
      <c r="A5321" s="343"/>
      <c r="B5321" s="344"/>
    </row>
    <row r="5322" spans="1:2" ht="15.5" x14ac:dyDescent="0.35">
      <c r="A5322" s="343"/>
      <c r="B5322" s="344"/>
    </row>
    <row r="5323" spans="1:2" ht="15.5" x14ac:dyDescent="0.35">
      <c r="A5323" s="343"/>
      <c r="B5323" s="344"/>
    </row>
    <row r="5324" spans="1:2" ht="15.5" x14ac:dyDescent="0.35">
      <c r="A5324" s="343"/>
      <c r="B5324" s="344"/>
    </row>
    <row r="5325" spans="1:2" ht="15.5" x14ac:dyDescent="0.35">
      <c r="A5325" s="343"/>
      <c r="B5325" s="344"/>
    </row>
    <row r="5326" spans="1:2" ht="15.5" x14ac:dyDescent="0.35">
      <c r="A5326" s="343"/>
      <c r="B5326" s="344"/>
    </row>
    <row r="5327" spans="1:2" ht="15.5" x14ac:dyDescent="0.35">
      <c r="A5327" s="343"/>
      <c r="B5327" s="344"/>
    </row>
    <row r="5328" spans="1:2" ht="15.5" x14ac:dyDescent="0.35">
      <c r="A5328" s="343"/>
      <c r="B5328" s="344"/>
    </row>
    <row r="5329" spans="1:2" ht="15.5" x14ac:dyDescent="0.35">
      <c r="A5329" s="343"/>
      <c r="B5329" s="344"/>
    </row>
    <row r="5330" spans="1:2" ht="15.5" x14ac:dyDescent="0.35">
      <c r="A5330" s="343"/>
      <c r="B5330" s="344"/>
    </row>
    <row r="5331" spans="1:2" ht="15.5" x14ac:dyDescent="0.35">
      <c r="A5331" s="343"/>
      <c r="B5331" s="344"/>
    </row>
    <row r="5332" spans="1:2" ht="15.5" x14ac:dyDescent="0.35">
      <c r="A5332" s="343"/>
      <c r="B5332" s="344"/>
    </row>
    <row r="5333" spans="1:2" ht="15.5" x14ac:dyDescent="0.35">
      <c r="A5333" s="343"/>
      <c r="B5333" s="344"/>
    </row>
    <row r="5334" spans="1:2" ht="15.5" x14ac:dyDescent="0.35">
      <c r="A5334" s="343"/>
      <c r="B5334" s="344"/>
    </row>
    <row r="5335" spans="1:2" ht="15.5" x14ac:dyDescent="0.35">
      <c r="A5335" s="343"/>
      <c r="B5335" s="344"/>
    </row>
    <row r="5336" spans="1:2" ht="15.5" x14ac:dyDescent="0.35">
      <c r="A5336" s="343"/>
      <c r="B5336" s="344"/>
    </row>
    <row r="5337" spans="1:2" ht="15.5" x14ac:dyDescent="0.35">
      <c r="A5337" s="343"/>
      <c r="B5337" s="344"/>
    </row>
    <row r="5338" spans="1:2" ht="15.5" x14ac:dyDescent="0.35">
      <c r="A5338" s="343"/>
      <c r="B5338" s="344"/>
    </row>
    <row r="5339" spans="1:2" ht="15.5" x14ac:dyDescent="0.35">
      <c r="A5339" s="343"/>
      <c r="B5339" s="344"/>
    </row>
    <row r="5340" spans="1:2" ht="15.5" x14ac:dyDescent="0.35">
      <c r="A5340" s="343"/>
      <c r="B5340" s="344"/>
    </row>
    <row r="5341" spans="1:2" ht="15.5" x14ac:dyDescent="0.35">
      <c r="A5341" s="343"/>
      <c r="B5341" s="344"/>
    </row>
    <row r="5342" spans="1:2" ht="15.5" x14ac:dyDescent="0.35">
      <c r="A5342" s="343"/>
      <c r="B5342" s="344"/>
    </row>
    <row r="5343" spans="1:2" ht="15.5" x14ac:dyDescent="0.35">
      <c r="A5343" s="343"/>
      <c r="B5343" s="344"/>
    </row>
    <row r="5344" spans="1:2" ht="15.5" x14ac:dyDescent="0.35">
      <c r="A5344" s="343"/>
      <c r="B5344" s="344"/>
    </row>
    <row r="5345" spans="1:2" ht="15.5" x14ac:dyDescent="0.35">
      <c r="A5345" s="343"/>
      <c r="B5345" s="344"/>
    </row>
    <row r="5346" spans="1:2" ht="15.5" x14ac:dyDescent="0.35">
      <c r="A5346" s="343"/>
      <c r="B5346" s="344"/>
    </row>
    <row r="5347" spans="1:2" ht="15.5" x14ac:dyDescent="0.35">
      <c r="A5347" s="343"/>
      <c r="B5347" s="344"/>
    </row>
    <row r="5348" spans="1:2" ht="15.5" x14ac:dyDescent="0.35">
      <c r="A5348" s="343"/>
      <c r="B5348" s="344"/>
    </row>
    <row r="5349" spans="1:2" ht="15.5" x14ac:dyDescent="0.35">
      <c r="A5349" s="343"/>
      <c r="B5349" s="344"/>
    </row>
    <row r="5350" spans="1:2" ht="15.5" x14ac:dyDescent="0.35">
      <c r="A5350" s="343"/>
      <c r="B5350" s="344"/>
    </row>
    <row r="5351" spans="1:2" ht="15.5" x14ac:dyDescent="0.35">
      <c r="A5351" s="343"/>
      <c r="B5351" s="344"/>
    </row>
    <row r="5352" spans="1:2" ht="15.5" x14ac:dyDescent="0.35">
      <c r="A5352" s="343"/>
      <c r="B5352" s="344"/>
    </row>
    <row r="5353" spans="1:2" ht="15.5" x14ac:dyDescent="0.35">
      <c r="A5353" s="343"/>
      <c r="B5353" s="344"/>
    </row>
    <row r="5354" spans="1:2" ht="15.5" x14ac:dyDescent="0.35">
      <c r="A5354" s="343"/>
      <c r="B5354" s="344"/>
    </row>
    <row r="5355" spans="1:2" ht="15.5" x14ac:dyDescent="0.35">
      <c r="A5355" s="343"/>
      <c r="B5355" s="344"/>
    </row>
    <row r="5356" spans="1:2" ht="15.5" x14ac:dyDescent="0.35">
      <c r="A5356" s="343"/>
      <c r="B5356" s="344"/>
    </row>
    <row r="5357" spans="1:2" ht="15.5" x14ac:dyDescent="0.35">
      <c r="A5357" s="343"/>
      <c r="B5357" s="344"/>
    </row>
    <row r="5358" spans="1:2" ht="15.5" x14ac:dyDescent="0.35">
      <c r="A5358" s="343"/>
      <c r="B5358" s="344"/>
    </row>
    <row r="5359" spans="1:2" ht="15.5" x14ac:dyDescent="0.35">
      <c r="A5359" s="343"/>
      <c r="B5359" s="344"/>
    </row>
    <row r="5360" spans="1:2" ht="15.5" x14ac:dyDescent="0.35">
      <c r="A5360" s="343"/>
      <c r="B5360" s="344"/>
    </row>
    <row r="5361" spans="1:2" ht="15.5" x14ac:dyDescent="0.35">
      <c r="A5361" s="343"/>
      <c r="B5361" s="344"/>
    </row>
    <row r="5362" spans="1:2" ht="15.5" x14ac:dyDescent="0.35">
      <c r="A5362" s="343"/>
      <c r="B5362" s="344"/>
    </row>
    <row r="5363" spans="1:2" ht="15.5" x14ac:dyDescent="0.35">
      <c r="A5363" s="343"/>
      <c r="B5363" s="344"/>
    </row>
    <row r="5364" spans="1:2" ht="15.5" x14ac:dyDescent="0.35">
      <c r="A5364" s="343"/>
      <c r="B5364" s="344"/>
    </row>
    <row r="5365" spans="1:2" ht="15.5" x14ac:dyDescent="0.35">
      <c r="A5365" s="343"/>
      <c r="B5365" s="344"/>
    </row>
    <row r="5366" spans="1:2" ht="15.5" x14ac:dyDescent="0.35">
      <c r="A5366" s="343"/>
      <c r="B5366" s="344"/>
    </row>
    <row r="5367" spans="1:2" ht="15.5" x14ac:dyDescent="0.35">
      <c r="A5367" s="343"/>
      <c r="B5367" s="344"/>
    </row>
    <row r="5368" spans="1:2" ht="15.5" x14ac:dyDescent="0.35">
      <c r="A5368" s="343"/>
      <c r="B5368" s="344"/>
    </row>
    <row r="5369" spans="1:2" ht="15.5" x14ac:dyDescent="0.35">
      <c r="A5369" s="343"/>
      <c r="B5369" s="344"/>
    </row>
    <row r="5370" spans="1:2" ht="15.5" x14ac:dyDescent="0.35">
      <c r="A5370" s="343"/>
      <c r="B5370" s="344"/>
    </row>
    <row r="5371" spans="1:2" ht="15.5" x14ac:dyDescent="0.35">
      <c r="A5371" s="343"/>
      <c r="B5371" s="344"/>
    </row>
    <row r="5372" spans="1:2" ht="15.5" x14ac:dyDescent="0.35">
      <c r="A5372" s="343"/>
      <c r="B5372" s="344"/>
    </row>
    <row r="5373" spans="1:2" ht="15.5" x14ac:dyDescent="0.35">
      <c r="A5373" s="343"/>
      <c r="B5373" s="344"/>
    </row>
    <row r="5374" spans="1:2" ht="15.5" x14ac:dyDescent="0.35">
      <c r="A5374" s="343"/>
      <c r="B5374" s="344"/>
    </row>
    <row r="5375" spans="1:2" ht="15.5" x14ac:dyDescent="0.35">
      <c r="A5375" s="343"/>
      <c r="B5375" s="344"/>
    </row>
    <row r="5376" spans="1:2" ht="15.5" x14ac:dyDescent="0.35">
      <c r="A5376" s="343"/>
      <c r="B5376" s="344"/>
    </row>
    <row r="5377" spans="1:2" ht="15.5" x14ac:dyDescent="0.35">
      <c r="A5377" s="343"/>
      <c r="B5377" s="344"/>
    </row>
    <row r="5378" spans="1:2" ht="15.5" x14ac:dyDescent="0.35">
      <c r="A5378" s="343"/>
      <c r="B5378" s="344"/>
    </row>
    <row r="5379" spans="1:2" ht="15.5" x14ac:dyDescent="0.35">
      <c r="A5379" s="343"/>
      <c r="B5379" s="344"/>
    </row>
    <row r="5380" spans="1:2" ht="15.5" x14ac:dyDescent="0.35">
      <c r="A5380" s="343"/>
      <c r="B5380" s="344"/>
    </row>
    <row r="5381" spans="1:2" ht="15.5" x14ac:dyDescent="0.35">
      <c r="A5381" s="343"/>
      <c r="B5381" s="344"/>
    </row>
    <row r="5382" spans="1:2" ht="15.5" x14ac:dyDescent="0.35">
      <c r="A5382" s="343"/>
      <c r="B5382" s="344"/>
    </row>
    <row r="5383" spans="1:2" ht="15.5" x14ac:dyDescent="0.35">
      <c r="A5383" s="343"/>
      <c r="B5383" s="344"/>
    </row>
    <row r="5384" spans="1:2" ht="15.5" x14ac:dyDescent="0.35">
      <c r="A5384" s="343"/>
      <c r="B5384" s="344"/>
    </row>
    <row r="5385" spans="1:2" ht="15.5" x14ac:dyDescent="0.35">
      <c r="A5385" s="343"/>
      <c r="B5385" s="344"/>
    </row>
    <row r="5386" spans="1:2" ht="15.5" x14ac:dyDescent="0.35">
      <c r="A5386" s="343"/>
      <c r="B5386" s="344"/>
    </row>
    <row r="5387" spans="1:2" ht="15.5" x14ac:dyDescent="0.35">
      <c r="A5387" s="343"/>
      <c r="B5387" s="344"/>
    </row>
    <row r="5388" spans="1:2" ht="15.5" x14ac:dyDescent="0.35">
      <c r="A5388" s="343"/>
      <c r="B5388" s="344"/>
    </row>
    <row r="5389" spans="1:2" ht="15.5" x14ac:dyDescent="0.35">
      <c r="A5389" s="343"/>
      <c r="B5389" s="344"/>
    </row>
    <row r="5390" spans="1:2" ht="15.5" x14ac:dyDescent="0.35">
      <c r="A5390" s="343"/>
      <c r="B5390" s="344"/>
    </row>
    <row r="5391" spans="1:2" ht="15.5" x14ac:dyDescent="0.35">
      <c r="A5391" s="343"/>
      <c r="B5391" s="344"/>
    </row>
    <row r="5392" spans="1:2" ht="15.5" x14ac:dyDescent="0.35">
      <c r="A5392" s="343"/>
      <c r="B5392" s="344"/>
    </row>
    <row r="5393" spans="1:2" ht="15.5" x14ac:dyDescent="0.35">
      <c r="A5393" s="343"/>
      <c r="B5393" s="344"/>
    </row>
    <row r="5394" spans="1:2" ht="15.5" x14ac:dyDescent="0.35">
      <c r="A5394" s="343"/>
      <c r="B5394" s="344"/>
    </row>
    <row r="5395" spans="1:2" ht="15.5" x14ac:dyDescent="0.35">
      <c r="A5395" s="343"/>
      <c r="B5395" s="344"/>
    </row>
    <row r="5396" spans="1:2" ht="15.5" x14ac:dyDescent="0.35">
      <c r="A5396" s="343"/>
      <c r="B5396" s="344"/>
    </row>
    <row r="5397" spans="1:2" ht="15.5" x14ac:dyDescent="0.35">
      <c r="A5397" s="343"/>
      <c r="B5397" s="344"/>
    </row>
    <row r="5398" spans="1:2" ht="15.5" x14ac:dyDescent="0.35">
      <c r="A5398" s="343"/>
      <c r="B5398" s="344"/>
    </row>
    <row r="5399" spans="1:2" ht="15.5" x14ac:dyDescent="0.35">
      <c r="A5399" s="343"/>
      <c r="B5399" s="344"/>
    </row>
    <row r="5400" spans="1:2" ht="15.5" x14ac:dyDescent="0.35">
      <c r="A5400" s="343"/>
      <c r="B5400" s="344"/>
    </row>
    <row r="5401" spans="1:2" ht="15.5" x14ac:dyDescent="0.35">
      <c r="A5401" s="343"/>
      <c r="B5401" s="344"/>
    </row>
    <row r="5402" spans="1:2" ht="15.5" x14ac:dyDescent="0.35">
      <c r="A5402" s="343"/>
      <c r="B5402" s="344"/>
    </row>
    <row r="5403" spans="1:2" ht="15.5" x14ac:dyDescent="0.35">
      <c r="A5403" s="343"/>
      <c r="B5403" s="344"/>
    </row>
    <row r="5404" spans="1:2" ht="15.5" x14ac:dyDescent="0.35">
      <c r="A5404" s="343"/>
      <c r="B5404" s="344"/>
    </row>
    <row r="5405" spans="1:2" ht="15.5" x14ac:dyDescent="0.35">
      <c r="A5405" s="343"/>
      <c r="B5405" s="344"/>
    </row>
    <row r="5406" spans="1:2" ht="15.5" x14ac:dyDescent="0.35">
      <c r="A5406" s="343"/>
      <c r="B5406" s="344"/>
    </row>
    <row r="5407" spans="1:2" ht="15.5" x14ac:dyDescent="0.35">
      <c r="A5407" s="343"/>
      <c r="B5407" s="344"/>
    </row>
    <row r="5408" spans="1:2" ht="15.5" x14ac:dyDescent="0.35">
      <c r="A5408" s="343"/>
      <c r="B5408" s="344"/>
    </row>
    <row r="5409" spans="1:2" ht="15.5" x14ac:dyDescent="0.35">
      <c r="A5409" s="343"/>
      <c r="B5409" s="344"/>
    </row>
    <row r="5410" spans="1:2" ht="15.5" x14ac:dyDescent="0.35">
      <c r="A5410" s="343"/>
      <c r="B5410" s="344"/>
    </row>
    <row r="5411" spans="1:2" ht="15.5" x14ac:dyDescent="0.35">
      <c r="A5411" s="343"/>
      <c r="B5411" s="344"/>
    </row>
    <row r="5412" spans="1:2" ht="15.5" x14ac:dyDescent="0.35">
      <c r="A5412" s="343"/>
      <c r="B5412" s="344"/>
    </row>
    <row r="5413" spans="1:2" ht="15.5" x14ac:dyDescent="0.35">
      <c r="A5413" s="343"/>
      <c r="B5413" s="344"/>
    </row>
    <row r="5414" spans="1:2" ht="15.5" x14ac:dyDescent="0.35">
      <c r="A5414" s="343"/>
      <c r="B5414" s="344"/>
    </row>
    <row r="5415" spans="1:2" ht="15.5" x14ac:dyDescent="0.35">
      <c r="A5415" s="343"/>
      <c r="B5415" s="344"/>
    </row>
    <row r="5416" spans="1:2" ht="15.5" x14ac:dyDescent="0.35">
      <c r="A5416" s="343"/>
      <c r="B5416" s="344"/>
    </row>
    <row r="5417" spans="1:2" ht="15.5" x14ac:dyDescent="0.35">
      <c r="A5417" s="343"/>
      <c r="B5417" s="344"/>
    </row>
    <row r="5418" spans="1:2" ht="15.5" x14ac:dyDescent="0.35">
      <c r="A5418" s="343"/>
      <c r="B5418" s="344"/>
    </row>
    <row r="5419" spans="1:2" ht="15.5" x14ac:dyDescent="0.35">
      <c r="A5419" s="343"/>
      <c r="B5419" s="344"/>
    </row>
    <row r="5420" spans="1:2" ht="15.5" x14ac:dyDescent="0.35">
      <c r="A5420" s="343"/>
      <c r="B5420" s="344"/>
    </row>
    <row r="5421" spans="1:2" ht="15.5" x14ac:dyDescent="0.35">
      <c r="A5421" s="343"/>
      <c r="B5421" s="344"/>
    </row>
    <row r="5422" spans="1:2" ht="15.5" x14ac:dyDescent="0.35">
      <c r="A5422" s="343"/>
      <c r="B5422" s="344"/>
    </row>
    <row r="5423" spans="1:2" ht="15.5" x14ac:dyDescent="0.35">
      <c r="A5423" s="343"/>
      <c r="B5423" s="344"/>
    </row>
    <row r="5424" spans="1:2" ht="15.5" x14ac:dyDescent="0.35">
      <c r="A5424" s="343"/>
      <c r="B5424" s="344"/>
    </row>
    <row r="5425" spans="1:2" ht="15.5" x14ac:dyDescent="0.35">
      <c r="A5425" s="343"/>
      <c r="B5425" s="344"/>
    </row>
    <row r="5426" spans="1:2" ht="15.5" x14ac:dyDescent="0.35">
      <c r="A5426" s="343"/>
      <c r="B5426" s="344"/>
    </row>
    <row r="5427" spans="1:2" ht="15.5" x14ac:dyDescent="0.35">
      <c r="A5427" s="343"/>
      <c r="B5427" s="344"/>
    </row>
    <row r="5428" spans="1:2" ht="15.5" x14ac:dyDescent="0.35">
      <c r="A5428" s="343"/>
      <c r="B5428" s="344"/>
    </row>
    <row r="5429" spans="1:2" ht="15.5" x14ac:dyDescent="0.35">
      <c r="A5429" s="343"/>
      <c r="B5429" s="344"/>
    </row>
    <row r="5430" spans="1:2" ht="15.5" x14ac:dyDescent="0.35">
      <c r="A5430" s="343"/>
      <c r="B5430" s="344"/>
    </row>
    <row r="5431" spans="1:2" ht="15.5" x14ac:dyDescent="0.35">
      <c r="A5431" s="343"/>
      <c r="B5431" s="344"/>
    </row>
    <row r="5432" spans="1:2" ht="15.5" x14ac:dyDescent="0.35">
      <c r="A5432" s="343"/>
      <c r="B5432" s="344"/>
    </row>
    <row r="5433" spans="1:2" ht="15.5" x14ac:dyDescent="0.35">
      <c r="A5433" s="343"/>
      <c r="B5433" s="344"/>
    </row>
    <row r="5434" spans="1:2" ht="15.5" x14ac:dyDescent="0.35">
      <c r="A5434" s="343"/>
      <c r="B5434" s="344"/>
    </row>
    <row r="5435" spans="1:2" ht="15.5" x14ac:dyDescent="0.35">
      <c r="A5435" s="343"/>
      <c r="B5435" s="344"/>
    </row>
    <row r="5436" spans="1:2" ht="15.5" x14ac:dyDescent="0.35">
      <c r="A5436" s="343"/>
      <c r="B5436" s="344"/>
    </row>
    <row r="5437" spans="1:2" ht="15.5" x14ac:dyDescent="0.35">
      <c r="A5437" s="343"/>
      <c r="B5437" s="344"/>
    </row>
    <row r="5438" spans="1:2" ht="15.5" x14ac:dyDescent="0.35">
      <c r="A5438" s="343"/>
      <c r="B5438" s="344"/>
    </row>
    <row r="5439" spans="1:2" ht="15.5" x14ac:dyDescent="0.35">
      <c r="A5439" s="343"/>
      <c r="B5439" s="344"/>
    </row>
    <row r="5440" spans="1:2" ht="15.5" x14ac:dyDescent="0.35">
      <c r="A5440" s="343"/>
      <c r="B5440" s="344"/>
    </row>
    <row r="5441" spans="1:2" ht="15.5" x14ac:dyDescent="0.35">
      <c r="A5441" s="343"/>
      <c r="B5441" s="344"/>
    </row>
    <row r="5442" spans="1:2" ht="15.5" x14ac:dyDescent="0.35">
      <c r="A5442" s="343"/>
      <c r="B5442" s="344"/>
    </row>
    <row r="5443" spans="1:2" ht="15.5" x14ac:dyDescent="0.35">
      <c r="A5443" s="343"/>
      <c r="B5443" s="344"/>
    </row>
    <row r="5444" spans="1:2" ht="15.5" x14ac:dyDescent="0.35">
      <c r="A5444" s="343"/>
      <c r="B5444" s="344"/>
    </row>
    <row r="5445" spans="1:2" ht="15.5" x14ac:dyDescent="0.35">
      <c r="A5445" s="343"/>
      <c r="B5445" s="344"/>
    </row>
    <row r="5446" spans="1:2" ht="15.5" x14ac:dyDescent="0.35">
      <c r="A5446" s="343"/>
      <c r="B5446" s="344"/>
    </row>
    <row r="5447" spans="1:2" ht="15.5" x14ac:dyDescent="0.35">
      <c r="A5447" s="343"/>
      <c r="B5447" s="344"/>
    </row>
    <row r="5448" spans="1:2" ht="15.5" x14ac:dyDescent="0.35">
      <c r="A5448" s="343"/>
      <c r="B5448" s="344"/>
    </row>
    <row r="5449" spans="1:2" ht="15.5" x14ac:dyDescent="0.35">
      <c r="A5449" s="343"/>
      <c r="B5449" s="344"/>
    </row>
    <row r="5450" spans="1:2" ht="15.5" x14ac:dyDescent="0.35">
      <c r="A5450" s="343"/>
      <c r="B5450" s="344"/>
    </row>
    <row r="5451" spans="1:2" ht="15.5" x14ac:dyDescent="0.35">
      <c r="A5451" s="343"/>
      <c r="B5451" s="344"/>
    </row>
    <row r="5452" spans="1:2" ht="15.5" x14ac:dyDescent="0.35">
      <c r="A5452" s="343"/>
      <c r="B5452" s="344"/>
    </row>
    <row r="5453" spans="1:2" ht="15.5" x14ac:dyDescent="0.35">
      <c r="A5453" s="343"/>
      <c r="B5453" s="344"/>
    </row>
    <row r="5454" spans="1:2" ht="15.5" x14ac:dyDescent="0.35">
      <c r="A5454" s="343"/>
      <c r="B5454" s="344"/>
    </row>
    <row r="5455" spans="1:2" ht="15.5" x14ac:dyDescent="0.35">
      <c r="A5455" s="343"/>
      <c r="B5455" s="344"/>
    </row>
    <row r="5456" spans="1:2" ht="15.5" x14ac:dyDescent="0.35">
      <c r="A5456" s="343"/>
      <c r="B5456" s="344"/>
    </row>
    <row r="5457" spans="1:2" ht="15.5" x14ac:dyDescent="0.35">
      <c r="A5457" s="343"/>
      <c r="B5457" s="344"/>
    </row>
    <row r="5458" spans="1:2" ht="15.5" x14ac:dyDescent="0.35">
      <c r="A5458" s="343"/>
      <c r="B5458" s="344"/>
    </row>
    <row r="5459" spans="1:2" ht="15.5" x14ac:dyDescent="0.35">
      <c r="A5459" s="343"/>
      <c r="B5459" s="344"/>
    </row>
    <row r="5460" spans="1:2" ht="15.5" x14ac:dyDescent="0.35">
      <c r="A5460" s="343"/>
      <c r="B5460" s="344"/>
    </row>
    <row r="5461" spans="1:2" ht="15.5" x14ac:dyDescent="0.35">
      <c r="A5461" s="343"/>
      <c r="B5461" s="344"/>
    </row>
    <row r="5462" spans="1:2" ht="15.5" x14ac:dyDescent="0.35">
      <c r="A5462" s="343"/>
      <c r="B5462" s="344"/>
    </row>
    <row r="5463" spans="1:2" ht="15.5" x14ac:dyDescent="0.35">
      <c r="A5463" s="343"/>
      <c r="B5463" s="344"/>
    </row>
    <row r="5464" spans="1:2" ht="15.5" x14ac:dyDescent="0.35">
      <c r="A5464" s="343"/>
      <c r="B5464" s="344"/>
    </row>
    <row r="5465" spans="1:2" ht="15.5" x14ac:dyDescent="0.35">
      <c r="A5465" s="343"/>
      <c r="B5465" s="344"/>
    </row>
    <row r="5466" spans="1:2" ht="15.5" x14ac:dyDescent="0.35">
      <c r="A5466" s="343"/>
      <c r="B5466" s="344"/>
    </row>
    <row r="5467" spans="1:2" ht="15.5" x14ac:dyDescent="0.35">
      <c r="A5467" s="343"/>
      <c r="B5467" s="344"/>
    </row>
    <row r="5468" spans="1:2" ht="15.5" x14ac:dyDescent="0.35">
      <c r="A5468" s="343"/>
      <c r="B5468" s="344"/>
    </row>
    <row r="5469" spans="1:2" ht="15.5" x14ac:dyDescent="0.35">
      <c r="A5469" s="343"/>
      <c r="B5469" s="344"/>
    </row>
    <row r="5470" spans="1:2" ht="15.5" x14ac:dyDescent="0.35">
      <c r="A5470" s="343"/>
      <c r="B5470" s="344"/>
    </row>
    <row r="5471" spans="1:2" ht="15.5" x14ac:dyDescent="0.35">
      <c r="A5471" s="343"/>
      <c r="B5471" s="344"/>
    </row>
    <row r="5472" spans="1:2" ht="15.5" x14ac:dyDescent="0.35">
      <c r="A5472" s="343"/>
      <c r="B5472" s="344"/>
    </row>
    <row r="5473" spans="1:2" ht="15.5" x14ac:dyDescent="0.35">
      <c r="A5473" s="343"/>
      <c r="B5473" s="344"/>
    </row>
    <row r="5474" spans="1:2" ht="15.5" x14ac:dyDescent="0.35">
      <c r="A5474" s="343"/>
      <c r="B5474" s="344"/>
    </row>
    <row r="5475" spans="1:2" ht="15.5" x14ac:dyDescent="0.35">
      <c r="A5475" s="343"/>
      <c r="B5475" s="344"/>
    </row>
    <row r="5476" spans="1:2" ht="15.5" x14ac:dyDescent="0.35">
      <c r="A5476" s="343"/>
      <c r="B5476" s="344"/>
    </row>
    <row r="5477" spans="1:2" ht="15.5" x14ac:dyDescent="0.35">
      <c r="A5477" s="343"/>
      <c r="B5477" s="344"/>
    </row>
    <row r="5478" spans="1:2" ht="15.5" x14ac:dyDescent="0.35">
      <c r="A5478" s="343"/>
      <c r="B5478" s="344"/>
    </row>
    <row r="5479" spans="1:2" ht="15.5" x14ac:dyDescent="0.35">
      <c r="A5479" s="343"/>
      <c r="B5479" s="344"/>
    </row>
    <row r="5480" spans="1:2" ht="15.5" x14ac:dyDescent="0.35">
      <c r="A5480" s="343"/>
      <c r="B5480" s="344"/>
    </row>
    <row r="5481" spans="1:2" ht="15.5" x14ac:dyDescent="0.35">
      <c r="A5481" s="343"/>
      <c r="B5481" s="344"/>
    </row>
    <row r="5482" spans="1:2" ht="15.5" x14ac:dyDescent="0.35">
      <c r="A5482" s="343"/>
      <c r="B5482" s="344"/>
    </row>
    <row r="5483" spans="1:2" ht="15.5" x14ac:dyDescent="0.35">
      <c r="A5483" s="343"/>
      <c r="B5483" s="344"/>
    </row>
    <row r="5484" spans="1:2" ht="15.5" x14ac:dyDescent="0.35">
      <c r="A5484" s="343"/>
      <c r="B5484" s="344"/>
    </row>
    <row r="5485" spans="1:2" ht="15.5" x14ac:dyDescent="0.35">
      <c r="A5485" s="343"/>
      <c r="B5485" s="344"/>
    </row>
    <row r="5486" spans="1:2" ht="15.5" x14ac:dyDescent="0.35">
      <c r="A5486" s="343"/>
      <c r="B5486" s="344"/>
    </row>
    <row r="5487" spans="1:2" ht="15.5" x14ac:dyDescent="0.35">
      <c r="A5487" s="343"/>
      <c r="B5487" s="344"/>
    </row>
    <row r="5488" spans="1:2" ht="15.5" x14ac:dyDescent="0.35">
      <c r="A5488" s="343"/>
      <c r="B5488" s="344"/>
    </row>
    <row r="5489" spans="1:2" ht="15.5" x14ac:dyDescent="0.35">
      <c r="A5489" s="343"/>
      <c r="B5489" s="344"/>
    </row>
    <row r="5490" spans="1:2" ht="15.5" x14ac:dyDescent="0.35">
      <c r="A5490" s="343"/>
      <c r="B5490" s="344"/>
    </row>
    <row r="5491" spans="1:2" ht="15.5" x14ac:dyDescent="0.35">
      <c r="A5491" s="343"/>
      <c r="B5491" s="344"/>
    </row>
    <row r="5492" spans="1:2" ht="15.5" x14ac:dyDescent="0.35">
      <c r="A5492" s="343"/>
      <c r="B5492" s="344"/>
    </row>
    <row r="5493" spans="1:2" ht="15.5" x14ac:dyDescent="0.35">
      <c r="A5493" s="343"/>
      <c r="B5493" s="344"/>
    </row>
    <row r="5494" spans="1:2" ht="15.5" x14ac:dyDescent="0.35">
      <c r="A5494" s="343"/>
      <c r="B5494" s="344"/>
    </row>
    <row r="5495" spans="1:2" ht="15.5" x14ac:dyDescent="0.35">
      <c r="A5495" s="343"/>
      <c r="B5495" s="344"/>
    </row>
    <row r="5496" spans="1:2" ht="15.5" x14ac:dyDescent="0.35">
      <c r="A5496" s="343"/>
      <c r="B5496" s="344"/>
    </row>
    <row r="5497" spans="1:2" ht="15.5" x14ac:dyDescent="0.35">
      <c r="A5497" s="343"/>
      <c r="B5497" s="344"/>
    </row>
    <row r="5498" spans="1:2" ht="15.5" x14ac:dyDescent="0.35">
      <c r="A5498" s="343"/>
      <c r="B5498" s="344"/>
    </row>
    <row r="5499" spans="1:2" ht="15.5" x14ac:dyDescent="0.35">
      <c r="A5499" s="343"/>
      <c r="B5499" s="344"/>
    </row>
    <row r="5500" spans="1:2" ht="15.5" x14ac:dyDescent="0.35">
      <c r="A5500" s="343"/>
      <c r="B5500" s="344"/>
    </row>
    <row r="5501" spans="1:2" ht="15.5" x14ac:dyDescent="0.35">
      <c r="A5501" s="343"/>
      <c r="B5501" s="344"/>
    </row>
    <row r="5502" spans="1:2" ht="15.5" x14ac:dyDescent="0.35">
      <c r="A5502" s="343"/>
      <c r="B5502" s="344"/>
    </row>
    <row r="5503" spans="1:2" ht="15.5" x14ac:dyDescent="0.35">
      <c r="A5503" s="343"/>
      <c r="B5503" s="344"/>
    </row>
    <row r="5504" spans="1:2" ht="15.5" x14ac:dyDescent="0.35">
      <c r="A5504" s="343"/>
      <c r="B5504" s="344"/>
    </row>
    <row r="5505" spans="1:2" ht="15.5" x14ac:dyDescent="0.35">
      <c r="A5505" s="343"/>
      <c r="B5505" s="344"/>
    </row>
    <row r="5506" spans="1:2" ht="15.5" x14ac:dyDescent="0.35">
      <c r="A5506" s="343"/>
      <c r="B5506" s="344"/>
    </row>
    <row r="5507" spans="1:2" ht="15.5" x14ac:dyDescent="0.35">
      <c r="A5507" s="343"/>
      <c r="B5507" s="344"/>
    </row>
    <row r="5508" spans="1:2" ht="15.5" x14ac:dyDescent="0.35">
      <c r="A5508" s="343"/>
      <c r="B5508" s="344"/>
    </row>
    <row r="5509" spans="1:2" ht="15.5" x14ac:dyDescent="0.35">
      <c r="A5509" s="343"/>
      <c r="B5509" s="344"/>
    </row>
    <row r="5510" spans="1:2" ht="15.5" x14ac:dyDescent="0.35">
      <c r="A5510" s="343"/>
      <c r="B5510" s="344"/>
    </row>
    <row r="5511" spans="1:2" ht="15.5" x14ac:dyDescent="0.35">
      <c r="A5511" s="343"/>
      <c r="B5511" s="344"/>
    </row>
    <row r="5512" spans="1:2" ht="15.5" x14ac:dyDescent="0.35">
      <c r="A5512" s="343"/>
      <c r="B5512" s="344"/>
    </row>
    <row r="5513" spans="1:2" ht="15.5" x14ac:dyDescent="0.35">
      <c r="A5513" s="343"/>
      <c r="B5513" s="344"/>
    </row>
    <row r="5514" spans="1:2" ht="15.5" x14ac:dyDescent="0.35">
      <c r="A5514" s="343"/>
      <c r="B5514" s="344"/>
    </row>
    <row r="5515" spans="1:2" ht="15.5" x14ac:dyDescent="0.35">
      <c r="A5515" s="343"/>
      <c r="B5515" s="344"/>
    </row>
    <row r="5516" spans="1:2" ht="15.5" x14ac:dyDescent="0.35">
      <c r="A5516" s="343"/>
      <c r="B5516" s="344"/>
    </row>
    <row r="5517" spans="1:2" ht="15.5" x14ac:dyDescent="0.35">
      <c r="A5517" s="343"/>
      <c r="B5517" s="344"/>
    </row>
    <row r="5518" spans="1:2" ht="15.5" x14ac:dyDescent="0.35">
      <c r="A5518" s="343"/>
      <c r="B5518" s="344"/>
    </row>
    <row r="5519" spans="1:2" ht="15.5" x14ac:dyDescent="0.35">
      <c r="A5519" s="343"/>
      <c r="B5519" s="344"/>
    </row>
    <row r="5520" spans="1:2" ht="15.5" x14ac:dyDescent="0.35">
      <c r="A5520" s="343"/>
      <c r="B5520" s="344"/>
    </row>
    <row r="5521" spans="1:2" ht="15.5" x14ac:dyDescent="0.35">
      <c r="A5521" s="343"/>
      <c r="B5521" s="344"/>
    </row>
    <row r="5522" spans="1:2" ht="15.5" x14ac:dyDescent="0.35">
      <c r="A5522" s="343"/>
      <c r="B5522" s="344"/>
    </row>
    <row r="5523" spans="1:2" ht="15.5" x14ac:dyDescent="0.35">
      <c r="A5523" s="343"/>
      <c r="B5523" s="344"/>
    </row>
    <row r="5524" spans="1:2" ht="15.5" x14ac:dyDescent="0.35">
      <c r="A5524" s="343"/>
      <c r="B5524" s="344"/>
    </row>
    <row r="5525" spans="1:2" ht="15.5" x14ac:dyDescent="0.35">
      <c r="A5525" s="343"/>
      <c r="B5525" s="344"/>
    </row>
    <row r="5526" spans="1:2" ht="15.5" x14ac:dyDescent="0.35">
      <c r="A5526" s="343"/>
      <c r="B5526" s="344"/>
    </row>
    <row r="5527" spans="1:2" ht="15.5" x14ac:dyDescent="0.35">
      <c r="A5527" s="343"/>
      <c r="B5527" s="344"/>
    </row>
    <row r="5528" spans="1:2" ht="15.5" x14ac:dyDescent="0.35">
      <c r="A5528" s="343"/>
      <c r="B5528" s="344"/>
    </row>
    <row r="5529" spans="1:2" ht="15.5" x14ac:dyDescent="0.35">
      <c r="A5529" s="343"/>
      <c r="B5529" s="344"/>
    </row>
    <row r="5530" spans="1:2" ht="15.5" x14ac:dyDescent="0.35">
      <c r="A5530" s="343"/>
      <c r="B5530" s="344"/>
    </row>
    <row r="5531" spans="1:2" ht="15.5" x14ac:dyDescent="0.35">
      <c r="A5531" s="343"/>
      <c r="B5531" s="344"/>
    </row>
    <row r="5532" spans="1:2" ht="15.5" x14ac:dyDescent="0.35">
      <c r="A5532" s="343"/>
      <c r="B5532" s="344"/>
    </row>
    <row r="5533" spans="1:2" ht="15.5" x14ac:dyDescent="0.35">
      <c r="A5533" s="343"/>
      <c r="B5533" s="344"/>
    </row>
    <row r="5534" spans="1:2" ht="15.5" x14ac:dyDescent="0.35">
      <c r="A5534" s="343"/>
      <c r="B5534" s="344"/>
    </row>
    <row r="5535" spans="1:2" ht="15.5" x14ac:dyDescent="0.35">
      <c r="A5535" s="343"/>
      <c r="B5535" s="344"/>
    </row>
    <row r="5536" spans="1:2" ht="15.5" x14ac:dyDescent="0.35">
      <c r="A5536" s="343"/>
      <c r="B5536" s="344"/>
    </row>
    <row r="5537" spans="1:2" ht="15.5" x14ac:dyDescent="0.35">
      <c r="A5537" s="343"/>
      <c r="B5537" s="344"/>
    </row>
    <row r="5538" spans="1:2" ht="15.5" x14ac:dyDescent="0.35">
      <c r="A5538" s="343"/>
      <c r="B5538" s="344"/>
    </row>
    <row r="5539" spans="1:2" ht="15.5" x14ac:dyDescent="0.35">
      <c r="A5539" s="343"/>
      <c r="B5539" s="344"/>
    </row>
    <row r="5540" spans="1:2" ht="15.5" x14ac:dyDescent="0.35">
      <c r="A5540" s="343"/>
      <c r="B5540" s="344"/>
    </row>
    <row r="5541" spans="1:2" ht="15.5" x14ac:dyDescent="0.35">
      <c r="A5541" s="343"/>
      <c r="B5541" s="344"/>
    </row>
    <row r="5542" spans="1:2" ht="15.5" x14ac:dyDescent="0.35">
      <c r="A5542" s="343"/>
      <c r="B5542" s="344"/>
    </row>
    <row r="5543" spans="1:2" ht="15.5" x14ac:dyDescent="0.35">
      <c r="A5543" s="343"/>
      <c r="B5543" s="344"/>
    </row>
    <row r="5544" spans="1:2" ht="15.5" x14ac:dyDescent="0.35">
      <c r="A5544" s="343"/>
      <c r="B5544" s="344"/>
    </row>
    <row r="5545" spans="1:2" ht="15.5" x14ac:dyDescent="0.35">
      <c r="A5545" s="343"/>
      <c r="B5545" s="344"/>
    </row>
    <row r="5546" spans="1:2" ht="15.5" x14ac:dyDescent="0.35">
      <c r="A5546" s="343"/>
      <c r="B5546" s="344"/>
    </row>
    <row r="5547" spans="1:2" ht="15.5" x14ac:dyDescent="0.35">
      <c r="A5547" s="343"/>
      <c r="B5547" s="344"/>
    </row>
    <row r="5548" spans="1:2" ht="15.5" x14ac:dyDescent="0.35">
      <c r="A5548" s="343"/>
      <c r="B5548" s="344"/>
    </row>
    <row r="5549" spans="1:2" ht="15.5" x14ac:dyDescent="0.35">
      <c r="A5549" s="343"/>
      <c r="B5549" s="344"/>
    </row>
    <row r="5550" spans="1:2" ht="15.5" x14ac:dyDescent="0.35">
      <c r="A5550" s="343"/>
      <c r="B5550" s="344"/>
    </row>
    <row r="5551" spans="1:2" ht="15.5" x14ac:dyDescent="0.35">
      <c r="A5551" s="343"/>
      <c r="B5551" s="344"/>
    </row>
    <row r="5552" spans="1:2" ht="15.5" x14ac:dyDescent="0.35">
      <c r="A5552" s="343"/>
      <c r="B5552" s="344"/>
    </row>
    <row r="5553" spans="1:2" ht="15.5" x14ac:dyDescent="0.35">
      <c r="A5553" s="343"/>
      <c r="B5553" s="344"/>
    </row>
    <row r="5554" spans="1:2" ht="15.5" x14ac:dyDescent="0.35">
      <c r="A5554" s="343"/>
      <c r="B5554" s="344"/>
    </row>
    <row r="5555" spans="1:2" ht="15.5" x14ac:dyDescent="0.35">
      <c r="A5555" s="343"/>
      <c r="B5555" s="344"/>
    </row>
    <row r="5556" spans="1:2" ht="15.5" x14ac:dyDescent="0.35">
      <c r="A5556" s="343"/>
      <c r="B5556" s="344"/>
    </row>
    <row r="5557" spans="1:2" ht="15.5" x14ac:dyDescent="0.35">
      <c r="A5557" s="343"/>
      <c r="B5557" s="344"/>
    </row>
    <row r="5558" spans="1:2" ht="15.5" x14ac:dyDescent="0.35">
      <c r="A5558" s="343"/>
      <c r="B5558" s="344"/>
    </row>
    <row r="5559" spans="1:2" ht="15.5" x14ac:dyDescent="0.35">
      <c r="A5559" s="343"/>
      <c r="B5559" s="344"/>
    </row>
    <row r="5560" spans="1:2" ht="15.5" x14ac:dyDescent="0.35">
      <c r="A5560" s="343"/>
      <c r="B5560" s="344"/>
    </row>
    <row r="5561" spans="1:2" ht="15.5" x14ac:dyDescent="0.35">
      <c r="A5561" s="343"/>
      <c r="B5561" s="344"/>
    </row>
    <row r="5562" spans="1:2" ht="15.5" x14ac:dyDescent="0.35">
      <c r="A5562" s="343"/>
      <c r="B5562" s="344"/>
    </row>
    <row r="5563" spans="1:2" ht="15.5" x14ac:dyDescent="0.35">
      <c r="A5563" s="343"/>
      <c r="B5563" s="344"/>
    </row>
    <row r="5564" spans="1:2" ht="15.5" x14ac:dyDescent="0.35">
      <c r="A5564" s="343"/>
      <c r="B5564" s="344"/>
    </row>
    <row r="5565" spans="1:2" ht="15.5" x14ac:dyDescent="0.35">
      <c r="A5565" s="343"/>
      <c r="B5565" s="344"/>
    </row>
    <row r="5566" spans="1:2" ht="15.5" x14ac:dyDescent="0.35">
      <c r="A5566" s="343"/>
      <c r="B5566" s="344"/>
    </row>
    <row r="5567" spans="1:2" ht="15.5" x14ac:dyDescent="0.35">
      <c r="A5567" s="343"/>
      <c r="B5567" s="344"/>
    </row>
    <row r="5568" spans="1:2" ht="15.5" x14ac:dyDescent="0.35">
      <c r="A5568" s="343"/>
      <c r="B5568" s="344"/>
    </row>
    <row r="5569" spans="1:2" ht="15.5" x14ac:dyDescent="0.35">
      <c r="A5569" s="343"/>
      <c r="B5569" s="344"/>
    </row>
    <row r="5570" spans="1:2" ht="15.5" x14ac:dyDescent="0.35">
      <c r="A5570" s="343"/>
      <c r="B5570" s="344"/>
    </row>
    <row r="5571" spans="1:2" ht="15.5" x14ac:dyDescent="0.35">
      <c r="A5571" s="343"/>
      <c r="B5571" s="344"/>
    </row>
    <row r="5572" spans="1:2" ht="15.5" x14ac:dyDescent="0.35">
      <c r="A5572" s="343"/>
      <c r="B5572" s="344"/>
    </row>
    <row r="5573" spans="1:2" ht="15.5" x14ac:dyDescent="0.35">
      <c r="A5573" s="343"/>
      <c r="B5573" s="344"/>
    </row>
    <row r="5574" spans="1:2" ht="15.5" x14ac:dyDescent="0.35">
      <c r="A5574" s="343"/>
      <c r="B5574" s="344"/>
    </row>
    <row r="5575" spans="1:2" ht="15.5" x14ac:dyDescent="0.35">
      <c r="A5575" s="343"/>
      <c r="B5575" s="344"/>
    </row>
    <row r="5576" spans="1:2" ht="15.5" x14ac:dyDescent="0.35">
      <c r="A5576" s="343"/>
      <c r="B5576" s="344"/>
    </row>
    <row r="5577" spans="1:2" ht="15.5" x14ac:dyDescent="0.35">
      <c r="A5577" s="343"/>
      <c r="B5577" s="344"/>
    </row>
    <row r="5578" spans="1:2" ht="15.5" x14ac:dyDescent="0.35">
      <c r="A5578" s="343"/>
      <c r="B5578" s="344"/>
    </row>
    <row r="5579" spans="1:2" ht="15.5" x14ac:dyDescent="0.35">
      <c r="A5579" s="343"/>
      <c r="B5579" s="344"/>
    </row>
    <row r="5580" spans="1:2" ht="15.5" x14ac:dyDescent="0.35">
      <c r="A5580" s="343"/>
      <c r="B5580" s="344"/>
    </row>
    <row r="5581" spans="1:2" ht="15.5" x14ac:dyDescent="0.35">
      <c r="A5581" s="343"/>
      <c r="B5581" s="344"/>
    </row>
    <row r="5582" spans="1:2" ht="15.5" x14ac:dyDescent="0.35">
      <c r="A5582" s="343"/>
      <c r="B5582" s="344"/>
    </row>
    <row r="5583" spans="1:2" ht="15.5" x14ac:dyDescent="0.35">
      <c r="A5583" s="343"/>
      <c r="B5583" s="344"/>
    </row>
    <row r="5584" spans="1:2" ht="15.5" x14ac:dyDescent="0.35">
      <c r="A5584" s="343"/>
      <c r="B5584" s="344"/>
    </row>
    <row r="5585" spans="1:2" ht="15.5" x14ac:dyDescent="0.35">
      <c r="A5585" s="343"/>
      <c r="B5585" s="344"/>
    </row>
    <row r="5586" spans="1:2" ht="15.5" x14ac:dyDescent="0.35">
      <c r="A5586" s="343"/>
      <c r="B5586" s="344"/>
    </row>
    <row r="5587" spans="1:2" ht="15.5" x14ac:dyDescent="0.35">
      <c r="A5587" s="343"/>
      <c r="B5587" s="344"/>
    </row>
    <row r="5588" spans="1:2" ht="15.5" x14ac:dyDescent="0.35">
      <c r="A5588" s="343"/>
      <c r="B5588" s="344"/>
    </row>
    <row r="5589" spans="1:2" ht="15.5" x14ac:dyDescent="0.35">
      <c r="A5589" s="343"/>
      <c r="B5589" s="344"/>
    </row>
    <row r="5590" spans="1:2" ht="15.5" x14ac:dyDescent="0.35">
      <c r="A5590" s="343"/>
      <c r="B5590" s="344"/>
    </row>
    <row r="5591" spans="1:2" ht="15.5" x14ac:dyDescent="0.35">
      <c r="A5591" s="343"/>
      <c r="B5591" s="344"/>
    </row>
    <row r="5592" spans="1:2" ht="15.5" x14ac:dyDescent="0.35">
      <c r="A5592" s="343"/>
      <c r="B5592" s="344"/>
    </row>
    <row r="5593" spans="1:2" ht="15.5" x14ac:dyDescent="0.35">
      <c r="A5593" s="343"/>
      <c r="B5593" s="344"/>
    </row>
    <row r="5594" spans="1:2" ht="15.5" x14ac:dyDescent="0.35">
      <c r="A5594" s="343"/>
      <c r="B5594" s="344"/>
    </row>
    <row r="5595" spans="1:2" ht="15.5" x14ac:dyDescent="0.35">
      <c r="A5595" s="343"/>
      <c r="B5595" s="344"/>
    </row>
    <row r="5596" spans="1:2" ht="15.5" x14ac:dyDescent="0.35">
      <c r="A5596" s="343"/>
      <c r="B5596" s="344"/>
    </row>
    <row r="5597" spans="1:2" ht="15.5" x14ac:dyDescent="0.35">
      <c r="A5597" s="343"/>
      <c r="B5597" s="344"/>
    </row>
    <row r="5598" spans="1:2" ht="15.5" x14ac:dyDescent="0.35">
      <c r="A5598" s="343"/>
      <c r="B5598" s="344"/>
    </row>
    <row r="5599" spans="1:2" ht="15.5" x14ac:dyDescent="0.35">
      <c r="A5599" s="343"/>
      <c r="B5599" s="344"/>
    </row>
    <row r="5600" spans="1:2" ht="15.5" x14ac:dyDescent="0.35">
      <c r="A5600" s="343"/>
      <c r="B5600" s="344"/>
    </row>
    <row r="5601" spans="1:2" ht="15.5" x14ac:dyDescent="0.35">
      <c r="A5601" s="343"/>
      <c r="B5601" s="344"/>
    </row>
    <row r="5602" spans="1:2" ht="15.5" x14ac:dyDescent="0.35">
      <c r="A5602" s="343"/>
      <c r="B5602" s="344"/>
    </row>
    <row r="5603" spans="1:2" ht="15.5" x14ac:dyDescent="0.35">
      <c r="A5603" s="343"/>
      <c r="B5603" s="344"/>
    </row>
    <row r="5604" spans="1:2" ht="15.5" x14ac:dyDescent="0.35">
      <c r="A5604" s="343"/>
      <c r="B5604" s="344"/>
    </row>
    <row r="5605" spans="1:2" ht="15.5" x14ac:dyDescent="0.35">
      <c r="A5605" s="343"/>
      <c r="B5605" s="344"/>
    </row>
    <row r="5606" spans="1:2" ht="15.5" x14ac:dyDescent="0.35">
      <c r="A5606" s="343"/>
      <c r="B5606" s="344"/>
    </row>
    <row r="5607" spans="1:2" ht="15.5" x14ac:dyDescent="0.35">
      <c r="A5607" s="343"/>
      <c r="B5607" s="344"/>
    </row>
    <row r="5608" spans="1:2" ht="15.5" x14ac:dyDescent="0.35">
      <c r="A5608" s="343"/>
      <c r="B5608" s="344"/>
    </row>
    <row r="5609" spans="1:2" ht="15.5" x14ac:dyDescent="0.35">
      <c r="A5609" s="343"/>
      <c r="B5609" s="344"/>
    </row>
    <row r="5610" spans="1:2" ht="15.5" x14ac:dyDescent="0.35">
      <c r="A5610" s="343"/>
      <c r="B5610" s="344"/>
    </row>
    <row r="5611" spans="1:2" ht="15.5" x14ac:dyDescent="0.35">
      <c r="A5611" s="343"/>
      <c r="B5611" s="344"/>
    </row>
    <row r="5612" spans="1:2" ht="15.5" x14ac:dyDescent="0.35">
      <c r="A5612" s="343"/>
      <c r="B5612" s="344"/>
    </row>
    <row r="5613" spans="1:2" ht="15.5" x14ac:dyDescent="0.35">
      <c r="A5613" s="343"/>
      <c r="B5613" s="344"/>
    </row>
    <row r="5614" spans="1:2" ht="15.5" x14ac:dyDescent="0.35">
      <c r="A5614" s="343"/>
      <c r="B5614" s="344"/>
    </row>
    <row r="5615" spans="1:2" ht="15.5" x14ac:dyDescent="0.35">
      <c r="A5615" s="343"/>
      <c r="B5615" s="344"/>
    </row>
    <row r="5616" spans="1:2" ht="15.5" x14ac:dyDescent="0.35">
      <c r="A5616" s="343"/>
      <c r="B5616" s="344"/>
    </row>
    <row r="5617" spans="1:2" ht="15.5" x14ac:dyDescent="0.35">
      <c r="A5617" s="343"/>
      <c r="B5617" s="344"/>
    </row>
    <row r="5618" spans="1:2" ht="15.5" x14ac:dyDescent="0.35">
      <c r="A5618" s="343"/>
      <c r="B5618" s="344"/>
    </row>
    <row r="5619" spans="1:2" ht="15.5" x14ac:dyDescent="0.35">
      <c r="A5619" s="343"/>
      <c r="B5619" s="344"/>
    </row>
    <row r="5620" spans="1:2" ht="15.5" x14ac:dyDescent="0.35">
      <c r="A5620" s="343"/>
      <c r="B5620" s="344"/>
    </row>
    <row r="5621" spans="1:2" ht="15.5" x14ac:dyDescent="0.35">
      <c r="A5621" s="343"/>
      <c r="B5621" s="344"/>
    </row>
    <row r="5622" spans="1:2" ht="15.5" x14ac:dyDescent="0.35">
      <c r="A5622" s="343"/>
      <c r="B5622" s="344"/>
    </row>
    <row r="5623" spans="1:2" ht="15.5" x14ac:dyDescent="0.35">
      <c r="A5623" s="343"/>
      <c r="B5623" s="344"/>
    </row>
    <row r="5624" spans="1:2" ht="15.5" x14ac:dyDescent="0.35">
      <c r="A5624" s="343"/>
      <c r="B5624" s="344"/>
    </row>
    <row r="5625" spans="1:2" ht="15.5" x14ac:dyDescent="0.35">
      <c r="A5625" s="343"/>
      <c r="B5625" s="344"/>
    </row>
    <row r="5626" spans="1:2" ht="15.5" x14ac:dyDescent="0.35">
      <c r="A5626" s="343"/>
      <c r="B5626" s="344"/>
    </row>
    <row r="5627" spans="1:2" ht="15.5" x14ac:dyDescent="0.35">
      <c r="A5627" s="343"/>
      <c r="B5627" s="344"/>
    </row>
    <row r="5628" spans="1:2" ht="15.5" x14ac:dyDescent="0.35">
      <c r="A5628" s="343"/>
      <c r="B5628" s="344"/>
    </row>
    <row r="5629" spans="1:2" ht="15.5" x14ac:dyDescent="0.35">
      <c r="A5629" s="343"/>
      <c r="B5629" s="344"/>
    </row>
    <row r="5630" spans="1:2" ht="15.5" x14ac:dyDescent="0.35">
      <c r="A5630" s="343"/>
      <c r="B5630" s="344"/>
    </row>
    <row r="5631" spans="1:2" ht="15.5" x14ac:dyDescent="0.35">
      <c r="A5631" s="343"/>
      <c r="B5631" s="344"/>
    </row>
    <row r="5632" spans="1:2" ht="15.5" x14ac:dyDescent="0.35">
      <c r="A5632" s="343"/>
      <c r="B5632" s="344"/>
    </row>
    <row r="5633" spans="1:2" ht="15.5" x14ac:dyDescent="0.35">
      <c r="A5633" s="343"/>
      <c r="B5633" s="344"/>
    </row>
    <row r="5634" spans="1:2" ht="15.5" x14ac:dyDescent="0.35">
      <c r="A5634" s="343"/>
      <c r="B5634" s="344"/>
    </row>
    <row r="5635" spans="1:2" ht="15.5" x14ac:dyDescent="0.35">
      <c r="A5635" s="343"/>
      <c r="B5635" s="344"/>
    </row>
    <row r="5636" spans="1:2" ht="15.5" x14ac:dyDescent="0.35">
      <c r="A5636" s="343"/>
      <c r="B5636" s="344"/>
    </row>
    <row r="5637" spans="1:2" ht="15.5" x14ac:dyDescent="0.35">
      <c r="A5637" s="343"/>
      <c r="B5637" s="344"/>
    </row>
    <row r="5638" spans="1:2" ht="15.5" x14ac:dyDescent="0.35">
      <c r="A5638" s="343"/>
      <c r="B5638" s="344"/>
    </row>
    <row r="5639" spans="1:2" ht="15.5" x14ac:dyDescent="0.35">
      <c r="A5639" s="343"/>
      <c r="B5639" s="344"/>
    </row>
    <row r="5640" spans="1:2" ht="15.5" x14ac:dyDescent="0.35">
      <c r="A5640" s="343"/>
      <c r="B5640" s="344"/>
    </row>
    <row r="5641" spans="1:2" ht="15.5" x14ac:dyDescent="0.35">
      <c r="A5641" s="343"/>
      <c r="B5641" s="344"/>
    </row>
    <row r="5642" spans="1:2" ht="15.5" x14ac:dyDescent="0.35">
      <c r="A5642" s="343"/>
      <c r="B5642" s="344"/>
    </row>
    <row r="5643" spans="1:2" ht="15.5" x14ac:dyDescent="0.35">
      <c r="A5643" s="343"/>
      <c r="B5643" s="344"/>
    </row>
    <row r="5644" spans="1:2" ht="15.5" x14ac:dyDescent="0.35">
      <c r="A5644" s="343"/>
      <c r="B5644" s="344"/>
    </row>
    <row r="5645" spans="1:2" ht="15.5" x14ac:dyDescent="0.35">
      <c r="A5645" s="343"/>
      <c r="B5645" s="344"/>
    </row>
    <row r="5646" spans="1:2" ht="15.5" x14ac:dyDescent="0.35">
      <c r="A5646" s="343"/>
      <c r="B5646" s="344"/>
    </row>
    <row r="5647" spans="1:2" ht="15.5" x14ac:dyDescent="0.35">
      <c r="A5647" s="343"/>
      <c r="B5647" s="344"/>
    </row>
    <row r="5648" spans="1:2" ht="15.5" x14ac:dyDescent="0.35">
      <c r="A5648" s="343"/>
      <c r="B5648" s="344"/>
    </row>
    <row r="5649" spans="1:2" ht="15.5" x14ac:dyDescent="0.35">
      <c r="A5649" s="343"/>
      <c r="B5649" s="344"/>
    </row>
    <row r="5650" spans="1:2" ht="15.5" x14ac:dyDescent="0.35">
      <c r="A5650" s="343"/>
      <c r="B5650" s="344"/>
    </row>
    <row r="5651" spans="1:2" ht="15.5" x14ac:dyDescent="0.35">
      <c r="A5651" s="343"/>
      <c r="B5651" s="344"/>
    </row>
    <row r="5652" spans="1:2" ht="15.5" x14ac:dyDescent="0.35">
      <c r="A5652" s="343"/>
      <c r="B5652" s="344"/>
    </row>
    <row r="5653" spans="1:2" ht="15.5" x14ac:dyDescent="0.35">
      <c r="A5653" s="343"/>
      <c r="B5653" s="344"/>
    </row>
    <row r="5654" spans="1:2" ht="15.5" x14ac:dyDescent="0.35">
      <c r="A5654" s="343"/>
      <c r="B5654" s="344"/>
    </row>
    <row r="5655" spans="1:2" ht="15.5" x14ac:dyDescent="0.35">
      <c r="A5655" s="343"/>
      <c r="B5655" s="344"/>
    </row>
    <row r="5656" spans="1:2" ht="15.5" x14ac:dyDescent="0.35">
      <c r="A5656" s="343"/>
      <c r="B5656" s="344"/>
    </row>
    <row r="5657" spans="1:2" ht="15.5" x14ac:dyDescent="0.35">
      <c r="A5657" s="343"/>
      <c r="B5657" s="344"/>
    </row>
    <row r="5658" spans="1:2" ht="15.5" x14ac:dyDescent="0.35">
      <c r="A5658" s="343"/>
      <c r="B5658" s="344"/>
    </row>
    <row r="5659" spans="1:2" ht="15.5" x14ac:dyDescent="0.35">
      <c r="A5659" s="343"/>
      <c r="B5659" s="344"/>
    </row>
    <row r="5660" spans="1:2" ht="15.5" x14ac:dyDescent="0.35">
      <c r="A5660" s="343"/>
      <c r="B5660" s="344"/>
    </row>
    <row r="5661" spans="1:2" ht="15.5" x14ac:dyDescent="0.35">
      <c r="A5661" s="343"/>
      <c r="B5661" s="344"/>
    </row>
    <row r="5662" spans="1:2" ht="15.5" x14ac:dyDescent="0.35">
      <c r="A5662" s="343"/>
      <c r="B5662" s="344"/>
    </row>
    <row r="5663" spans="1:2" ht="15.5" x14ac:dyDescent="0.35">
      <c r="A5663" s="343"/>
      <c r="B5663" s="344"/>
    </row>
    <row r="5664" spans="1:2" ht="15.5" x14ac:dyDescent="0.35">
      <c r="A5664" s="343"/>
      <c r="B5664" s="344"/>
    </row>
    <row r="5665" spans="1:2" ht="15.5" x14ac:dyDescent="0.35">
      <c r="A5665" s="343"/>
      <c r="B5665" s="344"/>
    </row>
    <row r="5666" spans="1:2" ht="15.5" x14ac:dyDescent="0.35">
      <c r="A5666" s="343"/>
      <c r="B5666" s="344"/>
    </row>
    <row r="5667" spans="1:2" ht="15.5" x14ac:dyDescent="0.35">
      <c r="A5667" s="343"/>
      <c r="B5667" s="344"/>
    </row>
    <row r="5668" spans="1:2" ht="15.5" x14ac:dyDescent="0.35">
      <c r="A5668" s="343"/>
      <c r="B5668" s="344"/>
    </row>
    <row r="5669" spans="1:2" ht="15.5" x14ac:dyDescent="0.35">
      <c r="A5669" s="343"/>
      <c r="B5669" s="344"/>
    </row>
    <row r="5670" spans="1:2" ht="15.5" x14ac:dyDescent="0.35">
      <c r="A5670" s="343"/>
      <c r="B5670" s="344"/>
    </row>
    <row r="5671" spans="1:2" ht="15.5" x14ac:dyDescent="0.35">
      <c r="A5671" s="343"/>
      <c r="B5671" s="344"/>
    </row>
    <row r="5672" spans="1:2" ht="15.5" x14ac:dyDescent="0.35">
      <c r="A5672" s="343"/>
      <c r="B5672" s="344"/>
    </row>
    <row r="5673" spans="1:2" ht="15.5" x14ac:dyDescent="0.35">
      <c r="A5673" s="343"/>
      <c r="B5673" s="344"/>
    </row>
    <row r="5674" spans="1:2" ht="15.5" x14ac:dyDescent="0.35">
      <c r="A5674" s="343"/>
      <c r="B5674" s="344"/>
    </row>
    <row r="5675" spans="1:2" ht="15.5" x14ac:dyDescent="0.35">
      <c r="A5675" s="343"/>
      <c r="B5675" s="344"/>
    </row>
    <row r="5676" spans="1:2" ht="15.5" x14ac:dyDescent="0.35">
      <c r="A5676" s="343"/>
      <c r="B5676" s="344"/>
    </row>
    <row r="5677" spans="1:2" ht="15.5" x14ac:dyDescent="0.35">
      <c r="A5677" s="343"/>
      <c r="B5677" s="344"/>
    </row>
    <row r="5678" spans="1:2" ht="15.5" x14ac:dyDescent="0.35">
      <c r="A5678" s="343"/>
      <c r="B5678" s="344"/>
    </row>
    <row r="5679" spans="1:2" ht="15.5" x14ac:dyDescent="0.35">
      <c r="A5679" s="343"/>
      <c r="B5679" s="344"/>
    </row>
    <row r="5680" spans="1:2" ht="15.5" x14ac:dyDescent="0.35">
      <c r="A5680" s="343"/>
      <c r="B5680" s="344"/>
    </row>
    <row r="5681" spans="1:2" ht="15.5" x14ac:dyDescent="0.35">
      <c r="A5681" s="343"/>
      <c r="B5681" s="344"/>
    </row>
    <row r="5682" spans="1:2" ht="15.5" x14ac:dyDescent="0.35">
      <c r="A5682" s="343"/>
      <c r="B5682" s="344"/>
    </row>
    <row r="5683" spans="1:2" ht="15.5" x14ac:dyDescent="0.35">
      <c r="A5683" s="343"/>
      <c r="B5683" s="344"/>
    </row>
    <row r="5684" spans="1:2" ht="15.5" x14ac:dyDescent="0.35">
      <c r="A5684" s="343"/>
      <c r="B5684" s="344"/>
    </row>
    <row r="5685" spans="1:2" ht="15.5" x14ac:dyDescent="0.35">
      <c r="A5685" s="343"/>
      <c r="B5685" s="344"/>
    </row>
    <row r="5686" spans="1:2" ht="15.5" x14ac:dyDescent="0.35">
      <c r="A5686" s="343"/>
      <c r="B5686" s="344"/>
    </row>
    <row r="5687" spans="1:2" ht="15.5" x14ac:dyDescent="0.35">
      <c r="A5687" s="343"/>
      <c r="B5687" s="344"/>
    </row>
    <row r="5688" spans="1:2" ht="15.5" x14ac:dyDescent="0.35">
      <c r="A5688" s="343"/>
      <c r="B5688" s="344"/>
    </row>
    <row r="5689" spans="1:2" ht="15.5" x14ac:dyDescent="0.35">
      <c r="A5689" s="343"/>
      <c r="B5689" s="344"/>
    </row>
    <row r="5690" spans="1:2" ht="15.5" x14ac:dyDescent="0.35">
      <c r="A5690" s="343"/>
      <c r="B5690" s="344"/>
    </row>
    <row r="5691" spans="1:2" ht="15.5" x14ac:dyDescent="0.35">
      <c r="A5691" s="343"/>
      <c r="B5691" s="344"/>
    </row>
    <row r="5692" spans="1:2" ht="15.5" x14ac:dyDescent="0.35">
      <c r="A5692" s="343"/>
      <c r="B5692" s="344"/>
    </row>
    <row r="5693" spans="1:2" ht="15.5" x14ac:dyDescent="0.35">
      <c r="A5693" s="343"/>
      <c r="B5693" s="344"/>
    </row>
    <row r="5694" spans="1:2" ht="15.5" x14ac:dyDescent="0.35">
      <c r="A5694" s="343"/>
      <c r="B5694" s="344"/>
    </row>
    <row r="5695" spans="1:2" ht="15.5" x14ac:dyDescent="0.35">
      <c r="A5695" s="343"/>
      <c r="B5695" s="344"/>
    </row>
    <row r="5696" spans="1:2" ht="15.5" x14ac:dyDescent="0.35">
      <c r="A5696" s="343"/>
      <c r="B5696" s="344"/>
    </row>
    <row r="5697" spans="1:2" ht="15.5" x14ac:dyDescent="0.35">
      <c r="A5697" s="343"/>
      <c r="B5697" s="344"/>
    </row>
    <row r="5698" spans="1:2" ht="15.5" x14ac:dyDescent="0.35">
      <c r="A5698" s="343"/>
      <c r="B5698" s="344"/>
    </row>
    <row r="5699" spans="1:2" ht="15.5" x14ac:dyDescent="0.35">
      <c r="A5699" s="343"/>
      <c r="B5699" s="344"/>
    </row>
    <row r="5700" spans="1:2" ht="15.5" x14ac:dyDescent="0.35">
      <c r="A5700" s="343"/>
      <c r="B5700" s="344"/>
    </row>
    <row r="5701" spans="1:2" ht="15.5" x14ac:dyDescent="0.35">
      <c r="A5701" s="343"/>
      <c r="B5701" s="344"/>
    </row>
    <row r="5702" spans="1:2" ht="15.5" x14ac:dyDescent="0.35">
      <c r="A5702" s="343"/>
      <c r="B5702" s="344"/>
    </row>
    <row r="5703" spans="1:2" ht="15.5" x14ac:dyDescent="0.35">
      <c r="A5703" s="343"/>
      <c r="B5703" s="344"/>
    </row>
    <row r="5704" spans="1:2" ht="15.5" x14ac:dyDescent="0.35">
      <c r="A5704" s="343"/>
      <c r="B5704" s="344"/>
    </row>
    <row r="5705" spans="1:2" ht="15.5" x14ac:dyDescent="0.35">
      <c r="A5705" s="343"/>
      <c r="B5705" s="344"/>
    </row>
    <row r="5706" spans="1:2" ht="15.5" x14ac:dyDescent="0.35">
      <c r="A5706" s="343"/>
      <c r="B5706" s="344"/>
    </row>
    <row r="5707" spans="1:2" ht="15.5" x14ac:dyDescent="0.35">
      <c r="A5707" s="343"/>
      <c r="B5707" s="344"/>
    </row>
    <row r="5708" spans="1:2" ht="15.5" x14ac:dyDescent="0.35">
      <c r="A5708" s="343"/>
      <c r="B5708" s="344"/>
    </row>
    <row r="5709" spans="1:2" ht="15.5" x14ac:dyDescent="0.35">
      <c r="A5709" s="343"/>
      <c r="B5709" s="344"/>
    </row>
    <row r="5710" spans="1:2" ht="15.5" x14ac:dyDescent="0.35">
      <c r="A5710" s="343"/>
      <c r="B5710" s="344"/>
    </row>
    <row r="5711" spans="1:2" ht="15.5" x14ac:dyDescent="0.35">
      <c r="A5711" s="343"/>
      <c r="B5711" s="344"/>
    </row>
    <row r="5712" spans="1:2" ht="15.5" x14ac:dyDescent="0.35">
      <c r="A5712" s="343"/>
      <c r="B5712" s="344"/>
    </row>
    <row r="5713" spans="1:2" ht="15.5" x14ac:dyDescent="0.35">
      <c r="A5713" s="343"/>
      <c r="B5713" s="344"/>
    </row>
    <row r="5714" spans="1:2" ht="15.5" x14ac:dyDescent="0.35">
      <c r="A5714" s="343"/>
      <c r="B5714" s="344"/>
    </row>
    <row r="5715" spans="1:2" ht="15.5" x14ac:dyDescent="0.35">
      <c r="A5715" s="343"/>
      <c r="B5715" s="344"/>
    </row>
    <row r="5716" spans="1:2" ht="15.5" x14ac:dyDescent="0.35">
      <c r="A5716" s="343"/>
      <c r="B5716" s="344"/>
    </row>
    <row r="5717" spans="1:2" ht="15.5" x14ac:dyDescent="0.35">
      <c r="A5717" s="343"/>
      <c r="B5717" s="344"/>
    </row>
    <row r="5718" spans="1:2" ht="15.5" x14ac:dyDescent="0.35">
      <c r="A5718" s="343"/>
      <c r="B5718" s="344"/>
    </row>
    <row r="5719" spans="1:2" ht="15.5" x14ac:dyDescent="0.35">
      <c r="A5719" s="343"/>
      <c r="B5719" s="344"/>
    </row>
    <row r="5720" spans="1:2" ht="15.5" x14ac:dyDescent="0.35">
      <c r="A5720" s="343"/>
      <c r="B5720" s="344"/>
    </row>
    <row r="5721" spans="1:2" ht="15.5" x14ac:dyDescent="0.35">
      <c r="A5721" s="343"/>
      <c r="B5721" s="344"/>
    </row>
    <row r="5722" spans="1:2" ht="15.5" x14ac:dyDescent="0.35">
      <c r="A5722" s="343"/>
      <c r="B5722" s="344"/>
    </row>
    <row r="5723" spans="1:2" ht="15.5" x14ac:dyDescent="0.35">
      <c r="A5723" s="343"/>
      <c r="B5723" s="344"/>
    </row>
    <row r="5724" spans="1:2" ht="15.5" x14ac:dyDescent="0.35">
      <c r="A5724" s="343"/>
      <c r="B5724" s="344"/>
    </row>
    <row r="5725" spans="1:2" ht="15.5" x14ac:dyDescent="0.35">
      <c r="A5725" s="343"/>
      <c r="B5725" s="344"/>
    </row>
    <row r="5726" spans="1:2" ht="15.5" x14ac:dyDescent="0.35">
      <c r="A5726" s="343"/>
      <c r="B5726" s="344"/>
    </row>
    <row r="5727" spans="1:2" ht="15.5" x14ac:dyDescent="0.35">
      <c r="A5727" s="343"/>
      <c r="B5727" s="344"/>
    </row>
    <row r="5728" spans="1:2" ht="15.5" x14ac:dyDescent="0.35">
      <c r="A5728" s="343"/>
      <c r="B5728" s="344"/>
    </row>
    <row r="5729" spans="1:2" ht="15.5" x14ac:dyDescent="0.35">
      <c r="A5729" s="343"/>
      <c r="B5729" s="344"/>
    </row>
    <row r="5730" spans="1:2" ht="15.5" x14ac:dyDescent="0.35">
      <c r="A5730" s="343"/>
      <c r="B5730" s="344"/>
    </row>
    <row r="5731" spans="1:2" ht="15.5" x14ac:dyDescent="0.35">
      <c r="A5731" s="343"/>
      <c r="B5731" s="344"/>
    </row>
    <row r="5732" spans="1:2" ht="15.5" x14ac:dyDescent="0.35">
      <c r="A5732" s="343"/>
      <c r="B5732" s="344"/>
    </row>
    <row r="5733" spans="1:2" ht="15.5" x14ac:dyDescent="0.35">
      <c r="A5733" s="343"/>
      <c r="B5733" s="344"/>
    </row>
    <row r="5734" spans="1:2" ht="15.5" x14ac:dyDescent="0.35">
      <c r="A5734" s="343"/>
      <c r="B5734" s="344"/>
    </row>
    <row r="5735" spans="1:2" ht="15.5" x14ac:dyDescent="0.35">
      <c r="A5735" s="343"/>
      <c r="B5735" s="344"/>
    </row>
    <row r="5736" spans="1:2" ht="15.5" x14ac:dyDescent="0.35">
      <c r="A5736" s="343"/>
      <c r="B5736" s="344"/>
    </row>
    <row r="5737" spans="1:2" ht="15.5" x14ac:dyDescent="0.35">
      <c r="A5737" s="343"/>
      <c r="B5737" s="344"/>
    </row>
    <row r="5738" spans="1:2" ht="15.5" x14ac:dyDescent="0.35">
      <c r="A5738" s="343"/>
      <c r="B5738" s="344"/>
    </row>
    <row r="5739" spans="1:2" ht="15.5" x14ac:dyDescent="0.35">
      <c r="A5739" s="343"/>
      <c r="B5739" s="344"/>
    </row>
    <row r="5740" spans="1:2" ht="15.5" x14ac:dyDescent="0.35">
      <c r="A5740" s="343"/>
      <c r="B5740" s="344"/>
    </row>
    <row r="5741" spans="1:2" ht="15.5" x14ac:dyDescent="0.35">
      <c r="A5741" s="343"/>
      <c r="B5741" s="344"/>
    </row>
    <row r="5742" spans="1:2" ht="15.5" x14ac:dyDescent="0.35">
      <c r="A5742" s="343"/>
      <c r="B5742" s="344"/>
    </row>
    <row r="5743" spans="1:2" ht="15.5" x14ac:dyDescent="0.35">
      <c r="A5743" s="343"/>
      <c r="B5743" s="344"/>
    </row>
    <row r="5744" spans="1:2" ht="15.5" x14ac:dyDescent="0.35">
      <c r="A5744" s="343"/>
      <c r="B5744" s="344"/>
    </row>
    <row r="5745" spans="1:2" ht="15.5" x14ac:dyDescent="0.35">
      <c r="A5745" s="343"/>
      <c r="B5745" s="344"/>
    </row>
    <row r="5746" spans="1:2" ht="15.5" x14ac:dyDescent="0.35">
      <c r="A5746" s="343"/>
      <c r="B5746" s="344"/>
    </row>
    <row r="5747" spans="1:2" ht="15.5" x14ac:dyDescent="0.35">
      <c r="A5747" s="343"/>
      <c r="B5747" s="344"/>
    </row>
    <row r="5748" spans="1:2" ht="15.5" x14ac:dyDescent="0.35">
      <c r="A5748" s="343"/>
      <c r="B5748" s="344"/>
    </row>
    <row r="5749" spans="1:2" ht="15.5" x14ac:dyDescent="0.35">
      <c r="A5749" s="343"/>
      <c r="B5749" s="344"/>
    </row>
    <row r="5750" spans="1:2" ht="15.5" x14ac:dyDescent="0.35">
      <c r="A5750" s="343"/>
      <c r="B5750" s="344"/>
    </row>
    <row r="5751" spans="1:2" ht="15.5" x14ac:dyDescent="0.35">
      <c r="A5751" s="343"/>
      <c r="B5751" s="344"/>
    </row>
    <row r="5752" spans="1:2" ht="15.5" x14ac:dyDescent="0.35">
      <c r="A5752" s="343"/>
      <c r="B5752" s="344"/>
    </row>
    <row r="5753" spans="1:2" ht="15.5" x14ac:dyDescent="0.35">
      <c r="A5753" s="343"/>
      <c r="B5753" s="344"/>
    </row>
    <row r="5754" spans="1:2" ht="15.5" x14ac:dyDescent="0.35">
      <c r="A5754" s="343"/>
      <c r="B5754" s="344"/>
    </row>
    <row r="5755" spans="1:2" ht="15.5" x14ac:dyDescent="0.35">
      <c r="A5755" s="343"/>
      <c r="B5755" s="344"/>
    </row>
    <row r="5756" spans="1:2" ht="15.5" x14ac:dyDescent="0.35">
      <c r="A5756" s="343"/>
      <c r="B5756" s="344"/>
    </row>
    <row r="5757" spans="1:2" ht="15.5" x14ac:dyDescent="0.35">
      <c r="A5757" s="343"/>
      <c r="B5757" s="344"/>
    </row>
    <row r="5758" spans="1:2" ht="15.5" x14ac:dyDescent="0.35">
      <c r="A5758" s="343"/>
      <c r="B5758" s="344"/>
    </row>
    <row r="5759" spans="1:2" ht="15.5" x14ac:dyDescent="0.35">
      <c r="A5759" s="343"/>
      <c r="B5759" s="344"/>
    </row>
    <row r="5760" spans="1:2" ht="15.5" x14ac:dyDescent="0.35">
      <c r="A5760" s="343"/>
      <c r="B5760" s="344"/>
    </row>
    <row r="5761" spans="1:2" ht="15.5" x14ac:dyDescent="0.35">
      <c r="A5761" s="343"/>
      <c r="B5761" s="344"/>
    </row>
    <row r="5762" spans="1:2" ht="15.5" x14ac:dyDescent="0.35">
      <c r="A5762" s="343"/>
      <c r="B5762" s="344"/>
    </row>
    <row r="5763" spans="1:2" ht="15.5" x14ac:dyDescent="0.35">
      <c r="A5763" s="343"/>
      <c r="B5763" s="344"/>
    </row>
    <row r="5764" spans="1:2" ht="15.5" x14ac:dyDescent="0.35">
      <c r="A5764" s="343"/>
      <c r="B5764" s="344"/>
    </row>
    <row r="5765" spans="1:2" ht="15.5" x14ac:dyDescent="0.35">
      <c r="A5765" s="343"/>
      <c r="B5765" s="344"/>
    </row>
    <row r="5766" spans="1:2" ht="15.5" x14ac:dyDescent="0.35">
      <c r="A5766" s="343"/>
      <c r="B5766" s="344"/>
    </row>
    <row r="5767" spans="1:2" ht="15.5" x14ac:dyDescent="0.35">
      <c r="A5767" s="343"/>
      <c r="B5767" s="344"/>
    </row>
    <row r="5768" spans="1:2" ht="15.5" x14ac:dyDescent="0.35">
      <c r="A5768" s="343"/>
      <c r="B5768" s="344"/>
    </row>
    <row r="5769" spans="1:2" ht="15.5" x14ac:dyDescent="0.35">
      <c r="A5769" s="343"/>
      <c r="B5769" s="344"/>
    </row>
    <row r="5770" spans="1:2" ht="15.5" x14ac:dyDescent="0.35">
      <c r="A5770" s="343"/>
      <c r="B5770" s="344"/>
    </row>
    <row r="5771" spans="1:2" ht="15.5" x14ac:dyDescent="0.35">
      <c r="A5771" s="343"/>
      <c r="B5771" s="344"/>
    </row>
    <row r="5772" spans="1:2" ht="15.5" x14ac:dyDescent="0.35">
      <c r="A5772" s="343"/>
      <c r="B5772" s="344"/>
    </row>
    <row r="5773" spans="1:2" ht="15.5" x14ac:dyDescent="0.35">
      <c r="A5773" s="343"/>
      <c r="B5773" s="344"/>
    </row>
    <row r="5774" spans="1:2" ht="15.5" x14ac:dyDescent="0.35">
      <c r="A5774" s="343"/>
      <c r="B5774" s="344"/>
    </row>
    <row r="5775" spans="1:2" ht="15.5" x14ac:dyDescent="0.35">
      <c r="A5775" s="343"/>
      <c r="B5775" s="344"/>
    </row>
    <row r="5776" spans="1:2" ht="15.5" x14ac:dyDescent="0.35">
      <c r="A5776" s="343"/>
      <c r="B5776" s="344"/>
    </row>
    <row r="5777" spans="1:2" ht="15.5" x14ac:dyDescent="0.35">
      <c r="A5777" s="343"/>
      <c r="B5777" s="344"/>
    </row>
    <row r="5778" spans="1:2" ht="15.5" x14ac:dyDescent="0.35">
      <c r="A5778" s="343"/>
      <c r="B5778" s="344"/>
    </row>
    <row r="5779" spans="1:2" ht="15.5" x14ac:dyDescent="0.35">
      <c r="A5779" s="343"/>
      <c r="B5779" s="344"/>
    </row>
    <row r="5780" spans="1:2" ht="15.5" x14ac:dyDescent="0.35">
      <c r="A5780" s="343"/>
      <c r="B5780" s="344"/>
    </row>
    <row r="5781" spans="1:2" ht="15.5" x14ac:dyDescent="0.35">
      <c r="A5781" s="343"/>
      <c r="B5781" s="344"/>
    </row>
    <row r="5782" spans="1:2" ht="15.5" x14ac:dyDescent="0.35">
      <c r="A5782" s="343"/>
      <c r="B5782" s="344"/>
    </row>
    <row r="5783" spans="1:2" ht="15.5" x14ac:dyDescent="0.35">
      <c r="A5783" s="343"/>
      <c r="B5783" s="344"/>
    </row>
    <row r="5784" spans="1:2" ht="15.5" x14ac:dyDescent="0.35">
      <c r="A5784" s="343"/>
      <c r="B5784" s="344"/>
    </row>
    <row r="5785" spans="1:2" ht="15.5" x14ac:dyDescent="0.35">
      <c r="A5785" s="343"/>
      <c r="B5785" s="344"/>
    </row>
    <row r="5786" spans="1:2" ht="15.5" x14ac:dyDescent="0.35">
      <c r="A5786" s="343"/>
      <c r="B5786" s="344"/>
    </row>
    <row r="5787" spans="1:2" ht="15.5" x14ac:dyDescent="0.35">
      <c r="A5787" s="343"/>
      <c r="B5787" s="344"/>
    </row>
    <row r="5788" spans="1:2" ht="15.5" x14ac:dyDescent="0.35">
      <c r="A5788" s="343"/>
      <c r="B5788" s="344"/>
    </row>
    <row r="5789" spans="1:2" ht="15.5" x14ac:dyDescent="0.35">
      <c r="A5789" s="343"/>
      <c r="B5789" s="344"/>
    </row>
    <row r="5790" spans="1:2" ht="15.5" x14ac:dyDescent="0.35">
      <c r="A5790" s="343"/>
      <c r="B5790" s="344"/>
    </row>
    <row r="5791" spans="1:2" ht="15.5" x14ac:dyDescent="0.35">
      <c r="A5791" s="343"/>
      <c r="B5791" s="344"/>
    </row>
    <row r="5792" spans="1:2" ht="15.5" x14ac:dyDescent="0.35">
      <c r="A5792" s="343"/>
      <c r="B5792" s="344"/>
    </row>
    <row r="5793" spans="1:2" ht="15.5" x14ac:dyDescent="0.35">
      <c r="A5793" s="343"/>
      <c r="B5793" s="344"/>
    </row>
    <row r="5794" spans="1:2" ht="15.5" x14ac:dyDescent="0.35">
      <c r="A5794" s="343"/>
      <c r="B5794" s="344"/>
    </row>
    <row r="5795" spans="1:2" ht="15.5" x14ac:dyDescent="0.35">
      <c r="A5795" s="343"/>
      <c r="B5795" s="344"/>
    </row>
    <row r="5796" spans="1:2" ht="15.5" x14ac:dyDescent="0.35">
      <c r="A5796" s="343"/>
      <c r="B5796" s="344"/>
    </row>
    <row r="5797" spans="1:2" ht="15.5" x14ac:dyDescent="0.35">
      <c r="A5797" s="343"/>
      <c r="B5797" s="344"/>
    </row>
    <row r="5798" spans="1:2" ht="15.5" x14ac:dyDescent="0.35">
      <c r="A5798" s="343"/>
      <c r="B5798" s="344"/>
    </row>
    <row r="5799" spans="1:2" ht="15.5" x14ac:dyDescent="0.35">
      <c r="A5799" s="343"/>
      <c r="B5799" s="344"/>
    </row>
    <row r="5800" spans="1:2" ht="15.5" x14ac:dyDescent="0.35">
      <c r="A5800" s="343"/>
      <c r="B5800" s="344"/>
    </row>
    <row r="5801" spans="1:2" ht="15.5" x14ac:dyDescent="0.35">
      <c r="A5801" s="343"/>
      <c r="B5801" s="344"/>
    </row>
    <row r="5802" spans="1:2" ht="15.5" x14ac:dyDescent="0.35">
      <c r="A5802" s="343"/>
      <c r="B5802" s="344"/>
    </row>
    <row r="5803" spans="1:2" ht="15.5" x14ac:dyDescent="0.35">
      <c r="A5803" s="343"/>
      <c r="B5803" s="344"/>
    </row>
    <row r="5804" spans="1:2" ht="15.5" x14ac:dyDescent="0.35">
      <c r="A5804" s="343"/>
      <c r="B5804" s="344"/>
    </row>
    <row r="5805" spans="1:2" ht="15.5" x14ac:dyDescent="0.35">
      <c r="A5805" s="343"/>
      <c r="B5805" s="344"/>
    </row>
    <row r="5806" spans="1:2" ht="15.5" x14ac:dyDescent="0.35">
      <c r="A5806" s="343"/>
      <c r="B5806" s="344"/>
    </row>
    <row r="5807" spans="1:2" ht="15.5" x14ac:dyDescent="0.35">
      <c r="A5807" s="343"/>
      <c r="B5807" s="344"/>
    </row>
    <row r="5808" spans="1:2" ht="15.5" x14ac:dyDescent="0.35">
      <c r="A5808" s="343"/>
      <c r="B5808" s="344"/>
    </row>
    <row r="5809" spans="1:2" ht="15.5" x14ac:dyDescent="0.35">
      <c r="A5809" s="343"/>
      <c r="B5809" s="344"/>
    </row>
    <row r="5810" spans="1:2" ht="15.5" x14ac:dyDescent="0.35">
      <c r="A5810" s="343"/>
      <c r="B5810" s="344"/>
    </row>
    <row r="5811" spans="1:2" ht="15.5" x14ac:dyDescent="0.35">
      <c r="A5811" s="343"/>
      <c r="B5811" s="344"/>
    </row>
    <row r="5812" spans="1:2" ht="15.5" x14ac:dyDescent="0.35">
      <c r="A5812" s="343"/>
      <c r="B5812" s="344"/>
    </row>
    <row r="5813" spans="1:2" ht="15.5" x14ac:dyDescent="0.35">
      <c r="A5813" s="343"/>
      <c r="B5813" s="344"/>
    </row>
    <row r="5814" spans="1:2" ht="15.5" x14ac:dyDescent="0.35">
      <c r="A5814" s="343"/>
      <c r="B5814" s="344"/>
    </row>
    <row r="5815" spans="1:2" ht="15.5" x14ac:dyDescent="0.35">
      <c r="A5815" s="343"/>
      <c r="B5815" s="344"/>
    </row>
    <row r="5816" spans="1:2" ht="15.5" x14ac:dyDescent="0.35">
      <c r="A5816" s="343"/>
      <c r="B5816" s="344"/>
    </row>
    <row r="5817" spans="1:2" ht="15.5" x14ac:dyDescent="0.35">
      <c r="A5817" s="343"/>
      <c r="B5817" s="344"/>
    </row>
    <row r="5818" spans="1:2" ht="15.5" x14ac:dyDescent="0.35">
      <c r="A5818" s="343"/>
      <c r="B5818" s="344"/>
    </row>
    <row r="5819" spans="1:2" ht="15.5" x14ac:dyDescent="0.35">
      <c r="A5819" s="343"/>
      <c r="B5819" s="344"/>
    </row>
    <row r="5820" spans="1:2" ht="15.5" x14ac:dyDescent="0.35">
      <c r="A5820" s="343"/>
      <c r="B5820" s="344"/>
    </row>
    <row r="5821" spans="1:2" ht="15.5" x14ac:dyDescent="0.35">
      <c r="A5821" s="343"/>
      <c r="B5821" s="344"/>
    </row>
    <row r="5822" spans="1:2" ht="15.5" x14ac:dyDescent="0.35">
      <c r="A5822" s="343"/>
      <c r="B5822" s="344"/>
    </row>
    <row r="5823" spans="1:2" ht="15.5" x14ac:dyDescent="0.35">
      <c r="A5823" s="343"/>
      <c r="B5823" s="344"/>
    </row>
    <row r="5824" spans="1:2" ht="15.5" x14ac:dyDescent="0.35">
      <c r="A5824" s="343"/>
      <c r="B5824" s="344"/>
    </row>
    <row r="5825" spans="1:2" ht="15.5" x14ac:dyDescent="0.35">
      <c r="A5825" s="343"/>
      <c r="B5825" s="344"/>
    </row>
    <row r="5826" spans="1:2" ht="15.5" x14ac:dyDescent="0.35">
      <c r="A5826" s="343"/>
      <c r="B5826" s="344"/>
    </row>
    <row r="5827" spans="1:2" ht="15.5" x14ac:dyDescent="0.35">
      <c r="A5827" s="343"/>
      <c r="B5827" s="344"/>
    </row>
    <row r="5828" spans="1:2" ht="15.5" x14ac:dyDescent="0.35">
      <c r="A5828" s="343"/>
      <c r="B5828" s="344"/>
    </row>
    <row r="5829" spans="1:2" ht="15.5" x14ac:dyDescent="0.35">
      <c r="A5829" s="343"/>
      <c r="B5829" s="344"/>
    </row>
    <row r="5830" spans="1:2" ht="15.5" x14ac:dyDescent="0.35">
      <c r="A5830" s="343"/>
      <c r="B5830" s="344"/>
    </row>
    <row r="5831" spans="1:2" ht="15.5" x14ac:dyDescent="0.35">
      <c r="A5831" s="343"/>
      <c r="B5831" s="344"/>
    </row>
    <row r="5832" spans="1:2" ht="15.5" x14ac:dyDescent="0.35">
      <c r="A5832" s="343"/>
      <c r="B5832" s="344"/>
    </row>
    <row r="5833" spans="1:2" ht="15.5" x14ac:dyDescent="0.35">
      <c r="A5833" s="343"/>
      <c r="B5833" s="344"/>
    </row>
    <row r="5834" spans="1:2" ht="15.5" x14ac:dyDescent="0.35">
      <c r="A5834" s="343"/>
      <c r="B5834" s="344"/>
    </row>
    <row r="5835" spans="1:2" ht="15.5" x14ac:dyDescent="0.35">
      <c r="A5835" s="343"/>
      <c r="B5835" s="344"/>
    </row>
    <row r="5836" spans="1:2" ht="15.5" x14ac:dyDescent="0.35">
      <c r="A5836" s="343"/>
      <c r="B5836" s="344"/>
    </row>
    <row r="5837" spans="1:2" ht="15.5" x14ac:dyDescent="0.35">
      <c r="A5837" s="343"/>
      <c r="B5837" s="344"/>
    </row>
    <row r="5838" spans="1:2" ht="15.5" x14ac:dyDescent="0.35">
      <c r="A5838" s="343"/>
      <c r="B5838" s="344"/>
    </row>
    <row r="5839" spans="1:2" ht="15.5" x14ac:dyDescent="0.35">
      <c r="A5839" s="343"/>
      <c r="B5839" s="344"/>
    </row>
    <row r="5840" spans="1:2" ht="15.5" x14ac:dyDescent="0.35">
      <c r="A5840" s="343"/>
      <c r="B5840" s="344"/>
    </row>
    <row r="5841" spans="1:2" ht="15.5" x14ac:dyDescent="0.35">
      <c r="A5841" s="343"/>
      <c r="B5841" s="344"/>
    </row>
    <row r="5842" spans="1:2" ht="15.5" x14ac:dyDescent="0.35">
      <c r="A5842" s="343"/>
      <c r="B5842" s="344"/>
    </row>
    <row r="5843" spans="1:2" ht="15.5" x14ac:dyDescent="0.35">
      <c r="A5843" s="343"/>
      <c r="B5843" s="344"/>
    </row>
    <row r="5844" spans="1:2" ht="15.5" x14ac:dyDescent="0.35">
      <c r="A5844" s="343"/>
      <c r="B5844" s="344"/>
    </row>
    <row r="5845" spans="1:2" ht="15.5" x14ac:dyDescent="0.35">
      <c r="A5845" s="343"/>
      <c r="B5845" s="344"/>
    </row>
    <row r="5846" spans="1:2" ht="15.5" x14ac:dyDescent="0.35">
      <c r="A5846" s="343"/>
      <c r="B5846" s="344"/>
    </row>
    <row r="5847" spans="1:2" ht="15.5" x14ac:dyDescent="0.35">
      <c r="A5847" s="343"/>
      <c r="B5847" s="344"/>
    </row>
    <row r="5848" spans="1:2" ht="15.5" x14ac:dyDescent="0.35">
      <c r="A5848" s="343"/>
      <c r="B5848" s="344"/>
    </row>
    <row r="5849" spans="1:2" ht="15.5" x14ac:dyDescent="0.35">
      <c r="A5849" s="343"/>
      <c r="B5849" s="344"/>
    </row>
    <row r="5850" spans="1:2" ht="15.5" x14ac:dyDescent="0.35">
      <c r="A5850" s="343"/>
      <c r="B5850" s="344"/>
    </row>
    <row r="5851" spans="1:2" ht="15.5" x14ac:dyDescent="0.35">
      <c r="A5851" s="343"/>
      <c r="B5851" s="344"/>
    </row>
    <row r="5852" spans="1:2" ht="15.5" x14ac:dyDescent="0.35">
      <c r="A5852" s="343"/>
      <c r="B5852" s="344"/>
    </row>
    <row r="5853" spans="1:2" ht="15.5" x14ac:dyDescent="0.35">
      <c r="A5853" s="343"/>
      <c r="B5853" s="344"/>
    </row>
    <row r="5854" spans="1:2" ht="15.5" x14ac:dyDescent="0.35">
      <c r="A5854" s="343"/>
      <c r="B5854" s="344"/>
    </row>
    <row r="5855" spans="1:2" ht="15.5" x14ac:dyDescent="0.35">
      <c r="A5855" s="343"/>
      <c r="B5855" s="344"/>
    </row>
    <row r="5856" spans="1:2" ht="15.5" x14ac:dyDescent="0.35">
      <c r="A5856" s="343"/>
      <c r="B5856" s="344"/>
    </row>
    <row r="5857" spans="1:2" ht="15.5" x14ac:dyDescent="0.35">
      <c r="A5857" s="343"/>
      <c r="B5857" s="344"/>
    </row>
    <row r="5858" spans="1:2" ht="15.5" x14ac:dyDescent="0.35">
      <c r="A5858" s="343"/>
      <c r="B5858" s="344"/>
    </row>
    <row r="5859" spans="1:2" ht="15.5" x14ac:dyDescent="0.35">
      <c r="A5859" s="343"/>
      <c r="B5859" s="344"/>
    </row>
    <row r="5860" spans="1:2" ht="15.5" x14ac:dyDescent="0.35">
      <c r="A5860" s="343"/>
      <c r="B5860" s="344"/>
    </row>
    <row r="5861" spans="1:2" ht="15.5" x14ac:dyDescent="0.35">
      <c r="A5861" s="343"/>
      <c r="B5861" s="344"/>
    </row>
    <row r="5862" spans="1:2" ht="15.5" x14ac:dyDescent="0.35">
      <c r="A5862" s="343"/>
      <c r="B5862" s="344"/>
    </row>
    <row r="5863" spans="1:2" ht="15.5" x14ac:dyDescent="0.35">
      <c r="A5863" s="343"/>
      <c r="B5863" s="344"/>
    </row>
    <row r="5864" spans="1:2" ht="15.5" x14ac:dyDescent="0.35">
      <c r="A5864" s="343"/>
      <c r="B5864" s="344"/>
    </row>
    <row r="5865" spans="1:2" ht="15.5" x14ac:dyDescent="0.35">
      <c r="A5865" s="343"/>
      <c r="B5865" s="344"/>
    </row>
    <row r="5866" spans="1:2" ht="15.5" x14ac:dyDescent="0.35">
      <c r="A5866" s="343"/>
      <c r="B5866" s="344"/>
    </row>
    <row r="5867" spans="1:2" ht="15.5" x14ac:dyDescent="0.35">
      <c r="A5867" s="343"/>
      <c r="B5867" s="344"/>
    </row>
    <row r="5868" spans="1:2" ht="15.5" x14ac:dyDescent="0.35">
      <c r="A5868" s="343"/>
      <c r="B5868" s="344"/>
    </row>
    <row r="5869" spans="1:2" ht="15.5" x14ac:dyDescent="0.35">
      <c r="A5869" s="343"/>
      <c r="B5869" s="344"/>
    </row>
    <row r="5870" spans="1:2" ht="15.5" x14ac:dyDescent="0.35">
      <c r="A5870" s="343"/>
      <c r="B5870" s="344"/>
    </row>
    <row r="5871" spans="1:2" ht="15.5" x14ac:dyDescent="0.35">
      <c r="A5871" s="343"/>
      <c r="B5871" s="344"/>
    </row>
    <row r="5872" spans="1:2" ht="15.5" x14ac:dyDescent="0.35">
      <c r="A5872" s="343"/>
      <c r="B5872" s="344"/>
    </row>
    <row r="5873" spans="1:2" ht="15.5" x14ac:dyDescent="0.35">
      <c r="A5873" s="343"/>
      <c r="B5873" s="344"/>
    </row>
    <row r="5874" spans="1:2" ht="15.5" x14ac:dyDescent="0.35">
      <c r="A5874" s="343"/>
      <c r="B5874" s="344"/>
    </row>
    <row r="5875" spans="1:2" ht="15.5" x14ac:dyDescent="0.35">
      <c r="A5875" s="343"/>
      <c r="B5875" s="344"/>
    </row>
    <row r="5876" spans="1:2" ht="15.5" x14ac:dyDescent="0.35">
      <c r="A5876" s="343"/>
      <c r="B5876" s="344"/>
    </row>
    <row r="5877" spans="1:2" ht="15.5" x14ac:dyDescent="0.35">
      <c r="A5877" s="343"/>
      <c r="B5877" s="344"/>
    </row>
    <row r="5878" spans="1:2" ht="15.5" x14ac:dyDescent="0.35">
      <c r="A5878" s="343"/>
      <c r="B5878" s="344"/>
    </row>
    <row r="5879" spans="1:2" ht="15.5" x14ac:dyDescent="0.35">
      <c r="A5879" s="343"/>
      <c r="B5879" s="344"/>
    </row>
    <row r="5880" spans="1:2" ht="15.5" x14ac:dyDescent="0.35">
      <c r="A5880" s="343"/>
      <c r="B5880" s="344"/>
    </row>
    <row r="5881" spans="1:2" ht="15.5" x14ac:dyDescent="0.35">
      <c r="A5881" s="343"/>
      <c r="B5881" s="344"/>
    </row>
    <row r="5882" spans="1:2" ht="15.5" x14ac:dyDescent="0.35">
      <c r="A5882" s="343"/>
      <c r="B5882" s="344"/>
    </row>
    <row r="5883" spans="1:2" ht="15.5" x14ac:dyDescent="0.35">
      <c r="A5883" s="343"/>
      <c r="B5883" s="344"/>
    </row>
    <row r="5884" spans="1:2" ht="15.5" x14ac:dyDescent="0.35">
      <c r="A5884" s="343"/>
      <c r="B5884" s="344"/>
    </row>
    <row r="5885" spans="1:2" ht="15.5" x14ac:dyDescent="0.35">
      <c r="A5885" s="343"/>
      <c r="B5885" s="344"/>
    </row>
    <row r="5886" spans="1:2" ht="15.5" x14ac:dyDescent="0.35">
      <c r="A5886" s="343"/>
      <c r="B5886" s="344"/>
    </row>
    <row r="5887" spans="1:2" ht="15.5" x14ac:dyDescent="0.35">
      <c r="A5887" s="343"/>
      <c r="B5887" s="344"/>
    </row>
    <row r="5888" spans="1:2" ht="15.5" x14ac:dyDescent="0.35">
      <c r="A5888" s="343"/>
      <c r="B5888" s="344"/>
    </row>
    <row r="5889" spans="1:2" ht="15.5" x14ac:dyDescent="0.35">
      <c r="A5889" s="343"/>
      <c r="B5889" s="344"/>
    </row>
    <row r="5890" spans="1:2" ht="15.5" x14ac:dyDescent="0.35">
      <c r="A5890" s="343"/>
      <c r="B5890" s="344"/>
    </row>
    <row r="5891" spans="1:2" ht="15.5" x14ac:dyDescent="0.35">
      <c r="A5891" s="343"/>
      <c r="B5891" s="344"/>
    </row>
    <row r="5892" spans="1:2" ht="15.5" x14ac:dyDescent="0.35">
      <c r="A5892" s="343"/>
      <c r="B5892" s="344"/>
    </row>
    <row r="5893" spans="1:2" ht="15.5" x14ac:dyDescent="0.35">
      <c r="A5893" s="343"/>
      <c r="B5893" s="344"/>
    </row>
    <row r="5894" spans="1:2" ht="15.5" x14ac:dyDescent="0.35">
      <c r="A5894" s="343"/>
      <c r="B5894" s="344"/>
    </row>
    <row r="5895" spans="1:2" ht="15.5" x14ac:dyDescent="0.35">
      <c r="A5895" s="343"/>
      <c r="B5895" s="344"/>
    </row>
    <row r="5896" spans="1:2" ht="15.5" x14ac:dyDescent="0.35">
      <c r="A5896" s="343"/>
      <c r="B5896" s="344"/>
    </row>
    <row r="5897" spans="1:2" ht="15.5" x14ac:dyDescent="0.35">
      <c r="A5897" s="343"/>
      <c r="B5897" s="344"/>
    </row>
    <row r="5898" spans="1:2" ht="15.5" x14ac:dyDescent="0.35">
      <c r="A5898" s="343"/>
      <c r="B5898" s="344"/>
    </row>
    <row r="5899" spans="1:2" ht="15.5" x14ac:dyDescent="0.35">
      <c r="A5899" s="343"/>
      <c r="B5899" s="344"/>
    </row>
    <row r="5900" spans="1:2" ht="15.5" x14ac:dyDescent="0.35">
      <c r="A5900" s="343"/>
      <c r="B5900" s="344"/>
    </row>
    <row r="5901" spans="1:2" ht="15.5" x14ac:dyDescent="0.35">
      <c r="A5901" s="343"/>
      <c r="B5901" s="344"/>
    </row>
    <row r="5902" spans="1:2" ht="15.5" x14ac:dyDescent="0.35">
      <c r="A5902" s="343"/>
      <c r="B5902" s="344"/>
    </row>
    <row r="5903" spans="1:2" ht="15.5" x14ac:dyDescent="0.35">
      <c r="A5903" s="343"/>
      <c r="B5903" s="344"/>
    </row>
    <row r="5904" spans="1:2" ht="15.5" x14ac:dyDescent="0.35">
      <c r="A5904" s="343"/>
      <c r="B5904" s="344"/>
    </row>
    <row r="5905" spans="1:2" ht="15.5" x14ac:dyDescent="0.35">
      <c r="A5905" s="343"/>
      <c r="B5905" s="344"/>
    </row>
    <row r="5906" spans="1:2" ht="15.5" x14ac:dyDescent="0.35">
      <c r="A5906" s="343"/>
      <c r="B5906" s="344"/>
    </row>
    <row r="5907" spans="1:2" ht="15.5" x14ac:dyDescent="0.35">
      <c r="A5907" s="343"/>
      <c r="B5907" s="344"/>
    </row>
    <row r="5908" spans="1:2" ht="15.5" x14ac:dyDescent="0.35">
      <c r="A5908" s="343"/>
      <c r="B5908" s="344"/>
    </row>
    <row r="5909" spans="1:2" ht="15.5" x14ac:dyDescent="0.35">
      <c r="A5909" s="343"/>
      <c r="B5909" s="344"/>
    </row>
    <row r="5910" spans="1:2" ht="15.5" x14ac:dyDescent="0.35">
      <c r="A5910" s="343"/>
      <c r="B5910" s="344"/>
    </row>
    <row r="5911" spans="1:2" ht="15.5" x14ac:dyDescent="0.35">
      <c r="A5911" s="343"/>
      <c r="B5911" s="344"/>
    </row>
    <row r="5912" spans="1:2" ht="15.5" x14ac:dyDescent="0.35">
      <c r="A5912" s="343"/>
      <c r="B5912" s="344"/>
    </row>
    <row r="5913" spans="1:2" ht="15.5" x14ac:dyDescent="0.35">
      <c r="A5913" s="343"/>
      <c r="B5913" s="344"/>
    </row>
    <row r="5914" spans="1:2" ht="15.5" x14ac:dyDescent="0.35">
      <c r="A5914" s="343"/>
      <c r="B5914" s="344"/>
    </row>
    <row r="5915" spans="1:2" ht="15.5" x14ac:dyDescent="0.35">
      <c r="A5915" s="343"/>
      <c r="B5915" s="344"/>
    </row>
    <row r="5916" spans="1:2" ht="15.5" x14ac:dyDescent="0.35">
      <c r="A5916" s="343"/>
      <c r="B5916" s="344"/>
    </row>
    <row r="5917" spans="1:2" ht="15.5" x14ac:dyDescent="0.35">
      <c r="A5917" s="343"/>
      <c r="B5917" s="344"/>
    </row>
    <row r="5918" spans="1:2" ht="15.5" x14ac:dyDescent="0.35">
      <c r="A5918" s="343"/>
      <c r="B5918" s="344"/>
    </row>
    <row r="5919" spans="1:2" ht="15.5" x14ac:dyDescent="0.35">
      <c r="A5919" s="343"/>
      <c r="B5919" s="344"/>
    </row>
    <row r="5920" spans="1:2" ht="15.5" x14ac:dyDescent="0.35">
      <c r="A5920" s="343"/>
      <c r="B5920" s="344"/>
    </row>
    <row r="5921" spans="1:2" ht="15.5" x14ac:dyDescent="0.35">
      <c r="A5921" s="343"/>
      <c r="B5921" s="344"/>
    </row>
    <row r="5922" spans="1:2" ht="15.5" x14ac:dyDescent="0.35">
      <c r="A5922" s="343"/>
      <c r="B5922" s="344"/>
    </row>
    <row r="5923" spans="1:2" ht="15.5" x14ac:dyDescent="0.35">
      <c r="A5923" s="343"/>
      <c r="B5923" s="344"/>
    </row>
    <row r="5924" spans="1:2" ht="15.5" x14ac:dyDescent="0.35">
      <c r="A5924" s="343"/>
      <c r="B5924" s="344"/>
    </row>
    <row r="5925" spans="1:2" ht="15.5" x14ac:dyDescent="0.35">
      <c r="A5925" s="343"/>
      <c r="B5925" s="344"/>
    </row>
    <row r="5926" spans="1:2" ht="15.5" x14ac:dyDescent="0.35">
      <c r="A5926" s="343"/>
      <c r="B5926" s="344"/>
    </row>
    <row r="5927" spans="1:2" ht="15.5" x14ac:dyDescent="0.35">
      <c r="A5927" s="343"/>
      <c r="B5927" s="344"/>
    </row>
    <row r="5928" spans="1:2" ht="15.5" x14ac:dyDescent="0.35">
      <c r="A5928" s="343"/>
      <c r="B5928" s="344"/>
    </row>
    <row r="5929" spans="1:2" ht="15.5" x14ac:dyDescent="0.35">
      <c r="A5929" s="343"/>
      <c r="B5929" s="344"/>
    </row>
    <row r="5930" spans="1:2" ht="15.5" x14ac:dyDescent="0.35">
      <c r="A5930" s="343"/>
      <c r="B5930" s="344"/>
    </row>
    <row r="5931" spans="1:2" ht="15.5" x14ac:dyDescent="0.35">
      <c r="A5931" s="343"/>
      <c r="B5931" s="344"/>
    </row>
    <row r="5932" spans="1:2" ht="15.5" x14ac:dyDescent="0.35">
      <c r="A5932" s="343"/>
      <c r="B5932" s="344"/>
    </row>
    <row r="5933" spans="1:2" ht="15.5" x14ac:dyDescent="0.35">
      <c r="A5933" s="343"/>
      <c r="B5933" s="344"/>
    </row>
    <row r="5934" spans="1:2" ht="15.5" x14ac:dyDescent="0.35">
      <c r="A5934" s="343"/>
      <c r="B5934" s="344"/>
    </row>
    <row r="5935" spans="1:2" ht="15.5" x14ac:dyDescent="0.35">
      <c r="A5935" s="343"/>
      <c r="B5935" s="344"/>
    </row>
    <row r="5936" spans="1:2" ht="15.5" x14ac:dyDescent="0.35">
      <c r="A5936" s="343"/>
      <c r="B5936" s="344"/>
    </row>
    <row r="5937" spans="1:2" ht="15.5" x14ac:dyDescent="0.35">
      <c r="A5937" s="343"/>
      <c r="B5937" s="344"/>
    </row>
    <row r="5938" spans="1:2" ht="15.5" x14ac:dyDescent="0.35">
      <c r="A5938" s="343"/>
      <c r="B5938" s="344"/>
    </row>
    <row r="5939" spans="1:2" ht="15.5" x14ac:dyDescent="0.35">
      <c r="A5939" s="343"/>
      <c r="B5939" s="344"/>
    </row>
    <row r="5940" spans="1:2" ht="15.5" x14ac:dyDescent="0.35">
      <c r="A5940" s="343"/>
      <c r="B5940" s="344"/>
    </row>
    <row r="5941" spans="1:2" ht="15.5" x14ac:dyDescent="0.35">
      <c r="A5941" s="343"/>
      <c r="B5941" s="344"/>
    </row>
    <row r="5942" spans="1:2" ht="15.5" x14ac:dyDescent="0.35">
      <c r="A5942" s="343"/>
      <c r="B5942" s="344"/>
    </row>
    <row r="5943" spans="1:2" ht="15.5" x14ac:dyDescent="0.35">
      <c r="A5943" s="343"/>
      <c r="B5943" s="344"/>
    </row>
    <row r="5944" spans="1:2" ht="15.5" x14ac:dyDescent="0.35">
      <c r="A5944" s="343"/>
      <c r="B5944" s="344"/>
    </row>
    <row r="5945" spans="1:2" ht="15.5" x14ac:dyDescent="0.35">
      <c r="A5945" s="343"/>
      <c r="B5945" s="344"/>
    </row>
    <row r="5946" spans="1:2" ht="15.5" x14ac:dyDescent="0.35">
      <c r="A5946" s="343"/>
      <c r="B5946" s="344"/>
    </row>
    <row r="5947" spans="1:2" ht="15.5" x14ac:dyDescent="0.35">
      <c r="A5947" s="343"/>
      <c r="B5947" s="344"/>
    </row>
    <row r="5948" spans="1:2" ht="15.5" x14ac:dyDescent="0.35">
      <c r="A5948" s="343"/>
      <c r="B5948" s="344"/>
    </row>
    <row r="5949" spans="1:2" ht="15.5" x14ac:dyDescent="0.35">
      <c r="A5949" s="343"/>
      <c r="B5949" s="344"/>
    </row>
    <row r="5950" spans="1:2" ht="15.5" x14ac:dyDescent="0.35">
      <c r="A5950" s="343"/>
      <c r="B5950" s="344"/>
    </row>
    <row r="5951" spans="1:2" ht="15.5" x14ac:dyDescent="0.35">
      <c r="A5951" s="343"/>
      <c r="B5951" s="344"/>
    </row>
    <row r="5952" spans="1:2" ht="15.5" x14ac:dyDescent="0.35">
      <c r="A5952" s="343"/>
      <c r="B5952" s="344"/>
    </row>
    <row r="5953" spans="1:2" ht="15.5" x14ac:dyDescent="0.35">
      <c r="A5953" s="343"/>
      <c r="B5953" s="344"/>
    </row>
    <row r="5954" spans="1:2" ht="15.5" x14ac:dyDescent="0.35">
      <c r="A5954" s="343"/>
      <c r="B5954" s="344"/>
    </row>
    <row r="5955" spans="1:2" ht="15.5" x14ac:dyDescent="0.35">
      <c r="A5955" s="343"/>
      <c r="B5955" s="344"/>
    </row>
    <row r="5956" spans="1:2" ht="15.5" x14ac:dyDescent="0.35">
      <c r="A5956" s="343"/>
      <c r="B5956" s="344"/>
    </row>
    <row r="5957" spans="1:2" ht="15.5" x14ac:dyDescent="0.35">
      <c r="A5957" s="343"/>
      <c r="B5957" s="344"/>
    </row>
    <row r="5958" spans="1:2" ht="15.5" x14ac:dyDescent="0.35">
      <c r="A5958" s="343"/>
      <c r="B5958" s="344"/>
    </row>
    <row r="5959" spans="1:2" ht="15.5" x14ac:dyDescent="0.35">
      <c r="A5959" s="343"/>
      <c r="B5959" s="344"/>
    </row>
    <row r="5960" spans="1:2" ht="15.5" x14ac:dyDescent="0.35">
      <c r="A5960" s="343"/>
      <c r="B5960" s="344"/>
    </row>
    <row r="5961" spans="1:2" ht="15.5" x14ac:dyDescent="0.35">
      <c r="A5961" s="343"/>
      <c r="B5961" s="344"/>
    </row>
    <row r="5962" spans="1:2" ht="15.5" x14ac:dyDescent="0.35">
      <c r="A5962" s="343"/>
      <c r="B5962" s="344"/>
    </row>
    <row r="5963" spans="1:2" ht="15.5" x14ac:dyDescent="0.35">
      <c r="A5963" s="343"/>
      <c r="B5963" s="344"/>
    </row>
    <row r="5964" spans="1:2" ht="15.5" x14ac:dyDescent="0.35">
      <c r="A5964" s="343"/>
      <c r="B5964" s="344"/>
    </row>
    <row r="5965" spans="1:2" ht="15.5" x14ac:dyDescent="0.35">
      <c r="A5965" s="343"/>
      <c r="B5965" s="344"/>
    </row>
    <row r="5966" spans="1:2" ht="15.5" x14ac:dyDescent="0.35">
      <c r="A5966" s="343"/>
      <c r="B5966" s="344"/>
    </row>
    <row r="5967" spans="1:2" ht="15.5" x14ac:dyDescent="0.35">
      <c r="A5967" s="343"/>
      <c r="B5967" s="344"/>
    </row>
    <row r="5968" spans="1:2" ht="15.5" x14ac:dyDescent="0.35">
      <c r="A5968" s="343"/>
      <c r="B5968" s="344"/>
    </row>
    <row r="5969" spans="1:2" ht="15.5" x14ac:dyDescent="0.35">
      <c r="A5969" s="343"/>
      <c r="B5969" s="344"/>
    </row>
    <row r="5970" spans="1:2" ht="15.5" x14ac:dyDescent="0.35">
      <c r="A5970" s="343"/>
      <c r="B5970" s="344"/>
    </row>
    <row r="5971" spans="1:2" ht="15.5" x14ac:dyDescent="0.35">
      <c r="A5971" s="343"/>
      <c r="B5971" s="344"/>
    </row>
    <row r="5972" spans="1:2" ht="15.5" x14ac:dyDescent="0.35">
      <c r="A5972" s="343"/>
      <c r="B5972" s="344"/>
    </row>
    <row r="5973" spans="1:2" ht="15.5" x14ac:dyDescent="0.35">
      <c r="A5973" s="343"/>
      <c r="B5973" s="344"/>
    </row>
    <row r="5974" spans="1:2" ht="15.5" x14ac:dyDescent="0.35">
      <c r="A5974" s="343"/>
      <c r="B5974" s="344"/>
    </row>
    <row r="5975" spans="1:2" ht="15.5" x14ac:dyDescent="0.35">
      <c r="A5975" s="343"/>
      <c r="B5975" s="344"/>
    </row>
    <row r="5976" spans="1:2" ht="15.5" x14ac:dyDescent="0.35">
      <c r="A5976" s="343"/>
      <c r="B5976" s="344"/>
    </row>
    <row r="5977" spans="1:2" ht="15.5" x14ac:dyDescent="0.35">
      <c r="A5977" s="343"/>
      <c r="B5977" s="344"/>
    </row>
    <row r="5978" spans="1:2" ht="15.5" x14ac:dyDescent="0.35">
      <c r="A5978" s="343"/>
      <c r="B5978" s="344"/>
    </row>
    <row r="5979" spans="1:2" ht="15.5" x14ac:dyDescent="0.35">
      <c r="A5979" s="343"/>
      <c r="B5979" s="344"/>
    </row>
    <row r="5980" spans="1:2" ht="15.5" x14ac:dyDescent="0.35">
      <c r="A5980" s="343"/>
      <c r="B5980" s="344"/>
    </row>
    <row r="5981" spans="1:2" ht="15.5" x14ac:dyDescent="0.35">
      <c r="A5981" s="343"/>
      <c r="B5981" s="344"/>
    </row>
    <row r="5982" spans="1:2" ht="15.5" x14ac:dyDescent="0.35">
      <c r="A5982" s="343"/>
      <c r="B5982" s="344"/>
    </row>
    <row r="5983" spans="1:2" ht="15.5" x14ac:dyDescent="0.35">
      <c r="A5983" s="343"/>
      <c r="B5983" s="344"/>
    </row>
    <row r="5984" spans="1:2" ht="15.5" x14ac:dyDescent="0.35">
      <c r="A5984" s="343"/>
      <c r="B5984" s="344"/>
    </row>
    <row r="5985" spans="1:2" ht="15.5" x14ac:dyDescent="0.35">
      <c r="A5985" s="343"/>
      <c r="B5985" s="344"/>
    </row>
    <row r="5986" spans="1:2" ht="15.5" x14ac:dyDescent="0.35">
      <c r="A5986" s="343"/>
      <c r="B5986" s="344"/>
    </row>
    <row r="5987" spans="1:2" ht="15.5" x14ac:dyDescent="0.35">
      <c r="A5987" s="343"/>
      <c r="B5987" s="344"/>
    </row>
    <row r="5988" spans="1:2" ht="15.5" x14ac:dyDescent="0.35">
      <c r="A5988" s="343"/>
      <c r="B5988" s="344"/>
    </row>
    <row r="5989" spans="1:2" ht="15.5" x14ac:dyDescent="0.35">
      <c r="A5989" s="343"/>
      <c r="B5989" s="344"/>
    </row>
    <row r="5990" spans="1:2" ht="15.5" x14ac:dyDescent="0.35">
      <c r="A5990" s="343"/>
      <c r="B5990" s="344"/>
    </row>
    <row r="5991" spans="1:2" ht="15.5" x14ac:dyDescent="0.35">
      <c r="A5991" s="343"/>
      <c r="B5991" s="344"/>
    </row>
    <row r="5992" spans="1:2" ht="15.5" x14ac:dyDescent="0.35">
      <c r="A5992" s="343"/>
      <c r="B5992" s="344"/>
    </row>
    <row r="5993" spans="1:2" ht="15.5" x14ac:dyDescent="0.35">
      <c r="A5993" s="343"/>
      <c r="B5993" s="344"/>
    </row>
    <row r="5994" spans="1:2" ht="15.5" x14ac:dyDescent="0.35">
      <c r="A5994" s="343"/>
      <c r="B5994" s="344"/>
    </row>
    <row r="5995" spans="1:2" ht="15.5" x14ac:dyDescent="0.35">
      <c r="A5995" s="343"/>
      <c r="B5995" s="344"/>
    </row>
    <row r="5996" spans="1:2" ht="15.5" x14ac:dyDescent="0.35">
      <c r="A5996" s="343"/>
      <c r="B5996" s="344"/>
    </row>
    <row r="5997" spans="1:2" ht="15.5" x14ac:dyDescent="0.35">
      <c r="A5997" s="343"/>
      <c r="B5997" s="344"/>
    </row>
    <row r="5998" spans="1:2" ht="15.5" x14ac:dyDescent="0.35">
      <c r="A5998" s="343"/>
      <c r="B5998" s="344"/>
    </row>
    <row r="5999" spans="1:2" ht="15.5" x14ac:dyDescent="0.35">
      <c r="A5999" s="343"/>
      <c r="B5999" s="344"/>
    </row>
    <row r="6000" spans="1:2" ht="15.5" x14ac:dyDescent="0.35">
      <c r="A6000" s="343"/>
      <c r="B6000" s="344"/>
    </row>
    <row r="6001" spans="1:2" ht="15.5" x14ac:dyDescent="0.35">
      <c r="A6001" s="343"/>
      <c r="B6001" s="344"/>
    </row>
    <row r="6002" spans="1:2" ht="15.5" x14ac:dyDescent="0.35">
      <c r="A6002" s="343"/>
      <c r="B6002" s="344"/>
    </row>
    <row r="6003" spans="1:2" ht="15.5" x14ac:dyDescent="0.35">
      <c r="A6003" s="343"/>
      <c r="B6003" s="344"/>
    </row>
    <row r="6004" spans="1:2" ht="15.5" x14ac:dyDescent="0.35">
      <c r="A6004" s="343"/>
      <c r="B6004" s="344"/>
    </row>
    <row r="6005" spans="1:2" ht="15.5" x14ac:dyDescent="0.35">
      <c r="A6005" s="343"/>
      <c r="B6005" s="344"/>
    </row>
    <row r="6006" spans="1:2" ht="15.5" x14ac:dyDescent="0.35">
      <c r="A6006" s="343"/>
      <c r="B6006" s="344"/>
    </row>
    <row r="6007" spans="1:2" ht="15.5" x14ac:dyDescent="0.35">
      <c r="A6007" s="343"/>
      <c r="B6007" s="344"/>
    </row>
    <row r="6008" spans="1:2" ht="15.5" x14ac:dyDescent="0.35">
      <c r="A6008" s="343"/>
      <c r="B6008" s="344"/>
    </row>
    <row r="6009" spans="1:2" ht="15.5" x14ac:dyDescent="0.35">
      <c r="A6009" s="343"/>
      <c r="B6009" s="344"/>
    </row>
    <row r="6010" spans="1:2" ht="15.5" x14ac:dyDescent="0.35">
      <c r="A6010" s="343"/>
      <c r="B6010" s="344"/>
    </row>
    <row r="6011" spans="1:2" ht="15.5" x14ac:dyDescent="0.35">
      <c r="A6011" s="343"/>
      <c r="B6011" s="344"/>
    </row>
    <row r="6012" spans="1:2" ht="15.5" x14ac:dyDescent="0.35">
      <c r="A6012" s="343"/>
      <c r="B6012" s="344"/>
    </row>
    <row r="6013" spans="1:2" ht="15.5" x14ac:dyDescent="0.35">
      <c r="A6013" s="343"/>
      <c r="B6013" s="344"/>
    </row>
    <row r="6014" spans="1:2" ht="15.5" x14ac:dyDescent="0.35">
      <c r="A6014" s="343"/>
      <c r="B6014" s="344"/>
    </row>
    <row r="6015" spans="1:2" ht="15.5" x14ac:dyDescent="0.35">
      <c r="A6015" s="343"/>
      <c r="B6015" s="344"/>
    </row>
    <row r="6016" spans="1:2" ht="15.5" x14ac:dyDescent="0.35">
      <c r="A6016" s="343"/>
      <c r="B6016" s="344"/>
    </row>
    <row r="6017" spans="1:2" ht="15.5" x14ac:dyDescent="0.35">
      <c r="A6017" s="343"/>
      <c r="B6017" s="344"/>
    </row>
    <row r="6018" spans="1:2" ht="15.5" x14ac:dyDescent="0.35">
      <c r="A6018" s="343"/>
      <c r="B6018" s="344"/>
    </row>
    <row r="6019" spans="1:2" ht="15.5" x14ac:dyDescent="0.35">
      <c r="A6019" s="343"/>
      <c r="B6019" s="344"/>
    </row>
    <row r="6020" spans="1:2" ht="15.5" x14ac:dyDescent="0.35">
      <c r="A6020" s="343"/>
      <c r="B6020" s="344"/>
    </row>
    <row r="6021" spans="1:2" ht="15.5" x14ac:dyDescent="0.35">
      <c r="A6021" s="343"/>
      <c r="B6021" s="344"/>
    </row>
    <row r="6022" spans="1:2" ht="15.5" x14ac:dyDescent="0.35">
      <c r="A6022" s="343"/>
      <c r="B6022" s="344"/>
    </row>
    <row r="6023" spans="1:2" ht="15.5" x14ac:dyDescent="0.35">
      <c r="A6023" s="343"/>
      <c r="B6023" s="344"/>
    </row>
    <row r="6024" spans="1:2" ht="15.5" x14ac:dyDescent="0.35">
      <c r="A6024" s="343"/>
      <c r="B6024" s="344"/>
    </row>
    <row r="6025" spans="1:2" ht="15.5" x14ac:dyDescent="0.35">
      <c r="A6025" s="343"/>
      <c r="B6025" s="344"/>
    </row>
    <row r="6026" spans="1:2" ht="15.5" x14ac:dyDescent="0.35">
      <c r="A6026" s="343"/>
      <c r="B6026" s="344"/>
    </row>
    <row r="6027" spans="1:2" ht="15.5" x14ac:dyDescent="0.35">
      <c r="A6027" s="343"/>
      <c r="B6027" s="344"/>
    </row>
    <row r="6028" spans="1:2" ht="15.5" x14ac:dyDescent="0.35">
      <c r="A6028" s="343"/>
      <c r="B6028" s="344"/>
    </row>
    <row r="6029" spans="1:2" ht="15.5" x14ac:dyDescent="0.35">
      <c r="A6029" s="343"/>
      <c r="B6029" s="344"/>
    </row>
    <row r="6030" spans="1:2" ht="15.5" x14ac:dyDescent="0.35">
      <c r="A6030" s="343"/>
      <c r="B6030" s="344"/>
    </row>
    <row r="6031" spans="1:2" ht="15.5" x14ac:dyDescent="0.35">
      <c r="A6031" s="343"/>
      <c r="B6031" s="344"/>
    </row>
    <row r="6032" spans="1:2" ht="15.5" x14ac:dyDescent="0.35">
      <c r="A6032" s="343"/>
      <c r="B6032" s="344"/>
    </row>
    <row r="6033" spans="1:2" ht="15.5" x14ac:dyDescent="0.35">
      <c r="A6033" s="343"/>
      <c r="B6033" s="344"/>
    </row>
    <row r="6034" spans="1:2" ht="15.5" x14ac:dyDescent="0.35">
      <c r="A6034" s="343"/>
      <c r="B6034" s="344"/>
    </row>
    <row r="6035" spans="1:2" ht="15.5" x14ac:dyDescent="0.35">
      <c r="A6035" s="343"/>
      <c r="B6035" s="344"/>
    </row>
    <row r="6036" spans="1:2" ht="15.5" x14ac:dyDescent="0.35">
      <c r="A6036" s="343"/>
      <c r="B6036" s="344"/>
    </row>
    <row r="6037" spans="1:2" ht="15.5" x14ac:dyDescent="0.35">
      <c r="A6037" s="343"/>
      <c r="B6037" s="344"/>
    </row>
    <row r="6038" spans="1:2" ht="15.5" x14ac:dyDescent="0.35">
      <c r="A6038" s="343"/>
      <c r="B6038" s="344"/>
    </row>
    <row r="6039" spans="1:2" ht="15.5" x14ac:dyDescent="0.35">
      <c r="A6039" s="343"/>
      <c r="B6039" s="344"/>
    </row>
    <row r="6040" spans="1:2" ht="15.5" x14ac:dyDescent="0.35">
      <c r="A6040" s="343"/>
      <c r="B6040" s="344"/>
    </row>
    <row r="6041" spans="1:2" ht="15.5" x14ac:dyDescent="0.35">
      <c r="A6041" s="343"/>
      <c r="B6041" s="344"/>
    </row>
    <row r="6042" spans="1:2" ht="15.5" x14ac:dyDescent="0.35">
      <c r="A6042" s="343"/>
      <c r="B6042" s="344"/>
    </row>
    <row r="6043" spans="1:2" ht="15.5" x14ac:dyDescent="0.35">
      <c r="A6043" s="343"/>
      <c r="B6043" s="344"/>
    </row>
    <row r="6044" spans="1:2" ht="15.5" x14ac:dyDescent="0.35">
      <c r="A6044" s="343"/>
      <c r="B6044" s="344"/>
    </row>
    <row r="6045" spans="1:2" ht="15.5" x14ac:dyDescent="0.35">
      <c r="A6045" s="343"/>
      <c r="B6045" s="344"/>
    </row>
    <row r="6046" spans="1:2" ht="15.5" x14ac:dyDescent="0.35">
      <c r="A6046" s="343"/>
      <c r="B6046" s="344"/>
    </row>
    <row r="6047" spans="1:2" ht="15.5" x14ac:dyDescent="0.35">
      <c r="A6047" s="343"/>
      <c r="B6047" s="344"/>
    </row>
    <row r="6048" spans="1:2" ht="15.5" x14ac:dyDescent="0.35">
      <c r="A6048" s="343"/>
      <c r="B6048" s="344"/>
    </row>
    <row r="6049" spans="1:2" ht="15.5" x14ac:dyDescent="0.35">
      <c r="A6049" s="343"/>
      <c r="B6049" s="344"/>
    </row>
    <row r="6050" spans="1:2" ht="15.5" x14ac:dyDescent="0.35">
      <c r="A6050" s="343"/>
      <c r="B6050" s="344"/>
    </row>
    <row r="6051" spans="1:2" ht="15.5" x14ac:dyDescent="0.35">
      <c r="A6051" s="343"/>
      <c r="B6051" s="344"/>
    </row>
    <row r="6052" spans="1:2" ht="15.5" x14ac:dyDescent="0.35">
      <c r="A6052" s="343"/>
      <c r="B6052" s="344"/>
    </row>
    <row r="6053" spans="1:2" ht="15.5" x14ac:dyDescent="0.35">
      <c r="A6053" s="343"/>
      <c r="B6053" s="344"/>
    </row>
    <row r="6054" spans="1:2" ht="15.5" x14ac:dyDescent="0.35">
      <c r="A6054" s="343"/>
      <c r="B6054" s="344"/>
    </row>
    <row r="6055" spans="1:2" ht="15.5" x14ac:dyDescent="0.35">
      <c r="A6055" s="343"/>
      <c r="B6055" s="344"/>
    </row>
    <row r="6056" spans="1:2" ht="15.5" x14ac:dyDescent="0.35">
      <c r="A6056" s="343"/>
      <c r="B6056" s="344"/>
    </row>
    <row r="6057" spans="1:2" ht="15.5" x14ac:dyDescent="0.35">
      <c r="A6057" s="343"/>
      <c r="B6057" s="344"/>
    </row>
    <row r="6058" spans="1:2" ht="15.5" x14ac:dyDescent="0.35">
      <c r="A6058" s="343"/>
      <c r="B6058" s="344"/>
    </row>
    <row r="6059" spans="1:2" ht="15.5" x14ac:dyDescent="0.35">
      <c r="A6059" s="343"/>
      <c r="B6059" s="344"/>
    </row>
    <row r="6060" spans="1:2" ht="15.5" x14ac:dyDescent="0.35">
      <c r="A6060" s="343"/>
      <c r="B6060" s="344"/>
    </row>
    <row r="6061" spans="1:2" ht="15.5" x14ac:dyDescent="0.35">
      <c r="A6061" s="343"/>
      <c r="B6061" s="344"/>
    </row>
    <row r="6062" spans="1:2" ht="15.5" x14ac:dyDescent="0.35">
      <c r="A6062" s="343"/>
      <c r="B6062" s="344"/>
    </row>
    <row r="6063" spans="1:2" ht="15.5" x14ac:dyDescent="0.35">
      <c r="A6063" s="343"/>
      <c r="B6063" s="344"/>
    </row>
    <row r="6064" spans="1:2" ht="15.5" x14ac:dyDescent="0.35">
      <c r="A6064" s="343"/>
      <c r="B6064" s="344"/>
    </row>
    <row r="6065" spans="1:2" ht="15.5" x14ac:dyDescent="0.35">
      <c r="A6065" s="343"/>
      <c r="B6065" s="344"/>
    </row>
    <row r="6066" spans="1:2" ht="15.5" x14ac:dyDescent="0.35">
      <c r="A6066" s="343"/>
      <c r="B6066" s="344"/>
    </row>
    <row r="6067" spans="1:2" ht="15.5" x14ac:dyDescent="0.35">
      <c r="A6067" s="343"/>
      <c r="B6067" s="344"/>
    </row>
    <row r="6068" spans="1:2" ht="15.5" x14ac:dyDescent="0.35">
      <c r="A6068" s="343"/>
      <c r="B6068" s="344"/>
    </row>
    <row r="6069" spans="1:2" ht="15.5" x14ac:dyDescent="0.35">
      <c r="A6069" s="343"/>
      <c r="B6069" s="344"/>
    </row>
    <row r="6070" spans="1:2" ht="15.5" x14ac:dyDescent="0.35">
      <c r="A6070" s="343"/>
      <c r="B6070" s="344"/>
    </row>
    <row r="6071" spans="1:2" ht="15.5" x14ac:dyDescent="0.35">
      <c r="A6071" s="343"/>
      <c r="B6071" s="344"/>
    </row>
    <row r="6072" spans="1:2" ht="15.5" x14ac:dyDescent="0.35">
      <c r="A6072" s="343"/>
      <c r="B6072" s="344"/>
    </row>
    <row r="6073" spans="1:2" ht="15.5" x14ac:dyDescent="0.35">
      <c r="A6073" s="343"/>
      <c r="B6073" s="344"/>
    </row>
    <row r="6074" spans="1:2" ht="15.5" x14ac:dyDescent="0.35">
      <c r="A6074" s="343"/>
      <c r="B6074" s="344"/>
    </row>
    <row r="6075" spans="1:2" ht="15.5" x14ac:dyDescent="0.35">
      <c r="A6075" s="343"/>
      <c r="B6075" s="344"/>
    </row>
    <row r="6076" spans="1:2" ht="15.5" x14ac:dyDescent="0.35">
      <c r="A6076" s="343"/>
      <c r="B6076" s="344"/>
    </row>
    <row r="6077" spans="1:2" ht="15.5" x14ac:dyDescent="0.35">
      <c r="A6077" s="343"/>
      <c r="B6077" s="344"/>
    </row>
    <row r="6078" spans="1:2" ht="15.5" x14ac:dyDescent="0.35">
      <c r="A6078" s="343"/>
      <c r="B6078" s="344"/>
    </row>
    <row r="6079" spans="1:2" ht="15.5" x14ac:dyDescent="0.35">
      <c r="A6079" s="343"/>
      <c r="B6079" s="344"/>
    </row>
    <row r="6080" spans="1:2" ht="15.5" x14ac:dyDescent="0.35">
      <c r="A6080" s="343"/>
      <c r="B6080" s="344"/>
    </row>
    <row r="6081" spans="1:2" ht="15.5" x14ac:dyDescent="0.35">
      <c r="A6081" s="343"/>
      <c r="B6081" s="344"/>
    </row>
    <row r="6082" spans="1:2" ht="15.5" x14ac:dyDescent="0.35">
      <c r="A6082" s="343"/>
      <c r="B6082" s="344"/>
    </row>
    <row r="6083" spans="1:2" ht="15.5" x14ac:dyDescent="0.35">
      <c r="A6083" s="343"/>
      <c r="B6083" s="344"/>
    </row>
    <row r="6084" spans="1:2" ht="15.5" x14ac:dyDescent="0.35">
      <c r="A6084" s="343"/>
      <c r="B6084" s="344"/>
    </row>
    <row r="6085" spans="1:2" ht="15.5" x14ac:dyDescent="0.35">
      <c r="A6085" s="343"/>
      <c r="B6085" s="344"/>
    </row>
    <row r="6086" spans="1:2" ht="15.5" x14ac:dyDescent="0.35">
      <c r="A6086" s="343"/>
      <c r="B6086" s="344"/>
    </row>
    <row r="6087" spans="1:2" ht="15.5" x14ac:dyDescent="0.35">
      <c r="A6087" s="343"/>
      <c r="B6087" s="344"/>
    </row>
    <row r="6088" spans="1:2" ht="15.5" x14ac:dyDescent="0.35">
      <c r="A6088" s="343"/>
      <c r="B6088" s="344"/>
    </row>
    <row r="6089" spans="1:2" ht="15.5" x14ac:dyDescent="0.35">
      <c r="A6089" s="343"/>
      <c r="B6089" s="344"/>
    </row>
    <row r="6090" spans="1:2" ht="15.5" x14ac:dyDescent="0.35">
      <c r="A6090" s="343"/>
      <c r="B6090" s="344"/>
    </row>
    <row r="6091" spans="1:2" ht="15.5" x14ac:dyDescent="0.35">
      <c r="A6091" s="343"/>
      <c r="B6091" s="344"/>
    </row>
    <row r="6092" spans="1:2" ht="15.5" x14ac:dyDescent="0.35">
      <c r="A6092" s="343"/>
      <c r="B6092" s="344"/>
    </row>
    <row r="6093" spans="1:2" ht="15.5" x14ac:dyDescent="0.35">
      <c r="A6093" s="343"/>
      <c r="B6093" s="344"/>
    </row>
    <row r="6094" spans="1:2" ht="15.5" x14ac:dyDescent="0.35">
      <c r="A6094" s="343"/>
      <c r="B6094" s="344"/>
    </row>
    <row r="6095" spans="1:2" ht="15.5" x14ac:dyDescent="0.35">
      <c r="A6095" s="343"/>
      <c r="B6095" s="344"/>
    </row>
    <row r="6096" spans="1:2" ht="15.5" x14ac:dyDescent="0.35">
      <c r="A6096" s="343"/>
      <c r="B6096" s="344"/>
    </row>
    <row r="6097" spans="1:2" ht="15.5" x14ac:dyDescent="0.35">
      <c r="A6097" s="343"/>
      <c r="B6097" s="344"/>
    </row>
    <row r="6098" spans="1:2" ht="15.5" x14ac:dyDescent="0.35">
      <c r="A6098" s="343"/>
      <c r="B6098" s="344"/>
    </row>
    <row r="6099" spans="1:2" ht="15.5" x14ac:dyDescent="0.35">
      <c r="A6099" s="343"/>
      <c r="B6099" s="344"/>
    </row>
    <row r="6100" spans="1:2" ht="15.5" x14ac:dyDescent="0.35">
      <c r="A6100" s="343"/>
      <c r="B6100" s="344"/>
    </row>
    <row r="6101" spans="1:2" ht="15.5" x14ac:dyDescent="0.35">
      <c r="A6101" s="343"/>
      <c r="B6101" s="344"/>
    </row>
    <row r="6102" spans="1:2" ht="15.5" x14ac:dyDescent="0.35">
      <c r="A6102" s="343"/>
      <c r="B6102" s="344"/>
    </row>
    <row r="6103" spans="1:2" ht="15.5" x14ac:dyDescent="0.35">
      <c r="A6103" s="343"/>
      <c r="B6103" s="344"/>
    </row>
    <row r="6104" spans="1:2" ht="15.5" x14ac:dyDescent="0.35">
      <c r="A6104" s="343"/>
      <c r="B6104" s="344"/>
    </row>
    <row r="6105" spans="1:2" ht="15.5" x14ac:dyDescent="0.35">
      <c r="A6105" s="343"/>
      <c r="B6105" s="344"/>
    </row>
    <row r="6106" spans="1:2" ht="15.5" x14ac:dyDescent="0.35">
      <c r="A6106" s="343"/>
      <c r="B6106" s="344"/>
    </row>
    <row r="6107" spans="1:2" ht="15.5" x14ac:dyDescent="0.35">
      <c r="A6107" s="343"/>
      <c r="B6107" s="344"/>
    </row>
    <row r="6108" spans="1:2" ht="15.5" x14ac:dyDescent="0.35">
      <c r="A6108" s="343"/>
      <c r="B6108" s="344"/>
    </row>
    <row r="6109" spans="1:2" ht="15.5" x14ac:dyDescent="0.35">
      <c r="A6109" s="343"/>
      <c r="B6109" s="344"/>
    </row>
    <row r="6110" spans="1:2" ht="15.5" x14ac:dyDescent="0.35">
      <c r="A6110" s="343"/>
      <c r="B6110" s="344"/>
    </row>
    <row r="6111" spans="1:2" ht="15.5" x14ac:dyDescent="0.35">
      <c r="A6111" s="343"/>
      <c r="B6111" s="344"/>
    </row>
    <row r="6112" spans="1:2" ht="15.5" x14ac:dyDescent="0.35">
      <c r="A6112" s="343"/>
      <c r="B6112" s="344"/>
    </row>
    <row r="6113" spans="1:2" ht="15.5" x14ac:dyDescent="0.35">
      <c r="A6113" s="343"/>
      <c r="B6113" s="344"/>
    </row>
    <row r="6114" spans="1:2" ht="15.5" x14ac:dyDescent="0.35">
      <c r="A6114" s="343"/>
      <c r="B6114" s="344"/>
    </row>
    <row r="6115" spans="1:2" ht="15.5" x14ac:dyDescent="0.35">
      <c r="A6115" s="343"/>
      <c r="B6115" s="344"/>
    </row>
    <row r="6116" spans="1:2" ht="15.5" x14ac:dyDescent="0.35">
      <c r="A6116" s="343"/>
      <c r="B6116" s="344"/>
    </row>
    <row r="6117" spans="1:2" ht="15.5" x14ac:dyDescent="0.35">
      <c r="A6117" s="343"/>
      <c r="B6117" s="344"/>
    </row>
    <row r="6118" spans="1:2" ht="15.5" x14ac:dyDescent="0.35">
      <c r="A6118" s="343"/>
      <c r="B6118" s="346"/>
    </row>
    <row r="6119" spans="1:2" ht="15.5" x14ac:dyDescent="0.35">
      <c r="A6119" s="343"/>
      <c r="B6119" s="346"/>
    </row>
    <row r="6120" spans="1:2" ht="15.5" x14ac:dyDescent="0.35">
      <c r="A6120" s="343"/>
      <c r="B6120" s="346"/>
    </row>
    <row r="6121" spans="1:2" ht="15.5" x14ac:dyDescent="0.35">
      <c r="A6121" s="343"/>
      <c r="B6121" s="346"/>
    </row>
    <row r="6122" spans="1:2" ht="15.5" x14ac:dyDescent="0.35">
      <c r="A6122" s="343"/>
      <c r="B6122" s="346"/>
    </row>
    <row r="6123" spans="1:2" ht="15.5" x14ac:dyDescent="0.35">
      <c r="A6123" s="343"/>
      <c r="B6123" s="346"/>
    </row>
    <row r="6124" spans="1:2" ht="15.5" x14ac:dyDescent="0.35">
      <c r="A6124" s="343"/>
      <c r="B6124" s="346"/>
    </row>
    <row r="6125" spans="1:2" ht="15.5" x14ac:dyDescent="0.35">
      <c r="A6125" s="343"/>
      <c r="B6125" s="346"/>
    </row>
    <row r="6126" spans="1:2" ht="15.5" x14ac:dyDescent="0.35">
      <c r="A6126" s="343"/>
      <c r="B6126" s="346"/>
    </row>
    <row r="6127" spans="1:2" ht="15.5" x14ac:dyDescent="0.35">
      <c r="A6127" s="343"/>
      <c r="B6127" s="346"/>
    </row>
    <row r="6128" spans="1:2" ht="15.5" x14ac:dyDescent="0.35">
      <c r="A6128" s="343"/>
      <c r="B6128" s="346"/>
    </row>
    <row r="6129" spans="1:2" ht="15.5" x14ac:dyDescent="0.35">
      <c r="A6129" s="343"/>
      <c r="B6129" s="346"/>
    </row>
    <row r="6130" spans="1:2" ht="15.5" x14ac:dyDescent="0.35">
      <c r="A6130" s="343"/>
      <c r="B6130" s="346"/>
    </row>
    <row r="6131" spans="1:2" ht="15.5" x14ac:dyDescent="0.35">
      <c r="A6131" s="343"/>
      <c r="B6131" s="346"/>
    </row>
    <row r="6132" spans="1:2" ht="15.5" x14ac:dyDescent="0.35">
      <c r="A6132" s="343"/>
      <c r="B6132" s="346"/>
    </row>
    <row r="6133" spans="1:2" ht="15.5" x14ac:dyDescent="0.35">
      <c r="A6133" s="343"/>
      <c r="B6133" s="346"/>
    </row>
    <row r="6134" spans="1:2" ht="15.5" x14ac:dyDescent="0.35">
      <c r="A6134" s="343"/>
      <c r="B6134" s="346"/>
    </row>
    <row r="6135" spans="1:2" ht="15.5" x14ac:dyDescent="0.35">
      <c r="A6135" s="343"/>
      <c r="B6135" s="346"/>
    </row>
    <row r="6136" spans="1:2" ht="15.5" x14ac:dyDescent="0.35">
      <c r="A6136" s="343"/>
      <c r="B6136" s="346"/>
    </row>
    <row r="6137" spans="1:2" ht="15.5" x14ac:dyDescent="0.35">
      <c r="A6137" s="343"/>
      <c r="B6137" s="346"/>
    </row>
    <row r="6138" spans="1:2" ht="15.5" x14ac:dyDescent="0.35">
      <c r="A6138" s="343"/>
      <c r="B6138" s="346"/>
    </row>
    <row r="6139" spans="1:2" ht="15.5" x14ac:dyDescent="0.35">
      <c r="A6139" s="343"/>
      <c r="B6139" s="346"/>
    </row>
    <row r="6140" spans="1:2" ht="15.5" x14ac:dyDescent="0.35">
      <c r="A6140" s="343"/>
      <c r="B6140" s="346"/>
    </row>
    <row r="6141" spans="1:2" ht="15.5" x14ac:dyDescent="0.35">
      <c r="A6141" s="343"/>
      <c r="B6141" s="346"/>
    </row>
    <row r="6142" spans="1:2" ht="15.5" x14ac:dyDescent="0.35">
      <c r="A6142" s="343"/>
      <c r="B6142" s="346"/>
    </row>
    <row r="6143" spans="1:2" ht="15.5" x14ac:dyDescent="0.35">
      <c r="A6143" s="343"/>
      <c r="B6143" s="346"/>
    </row>
    <row r="6144" spans="1:2" ht="15.5" x14ac:dyDescent="0.35">
      <c r="A6144" s="343"/>
      <c r="B6144" s="346"/>
    </row>
    <row r="6145" spans="1:2" ht="15.5" x14ac:dyDescent="0.35">
      <c r="A6145" s="343"/>
      <c r="B6145" s="346"/>
    </row>
    <row r="6146" spans="1:2" ht="15.5" x14ac:dyDescent="0.35">
      <c r="A6146" s="343"/>
      <c r="B6146" s="346"/>
    </row>
    <row r="6147" spans="1:2" ht="15.5" x14ac:dyDescent="0.35">
      <c r="A6147" s="343"/>
      <c r="B6147" s="346"/>
    </row>
    <row r="6148" spans="1:2" ht="15.5" x14ac:dyDescent="0.35">
      <c r="A6148" s="343"/>
      <c r="B6148" s="346"/>
    </row>
    <row r="6149" spans="1:2" ht="15.5" x14ac:dyDescent="0.35">
      <c r="A6149" s="343"/>
      <c r="B6149" s="346"/>
    </row>
    <row r="6150" spans="1:2" ht="15.5" x14ac:dyDescent="0.35">
      <c r="A6150" s="343"/>
      <c r="B6150" s="346"/>
    </row>
    <row r="6151" spans="1:2" ht="15.5" x14ac:dyDescent="0.35">
      <c r="A6151" s="343"/>
      <c r="B6151" s="346"/>
    </row>
    <row r="6152" spans="1:2" ht="15.5" x14ac:dyDescent="0.35">
      <c r="A6152" s="343"/>
      <c r="B6152" s="346"/>
    </row>
    <row r="6153" spans="1:2" ht="15.5" x14ac:dyDescent="0.35">
      <c r="A6153" s="343"/>
      <c r="B6153" s="346"/>
    </row>
    <row r="6154" spans="1:2" ht="15.5" x14ac:dyDescent="0.35">
      <c r="A6154" s="343"/>
      <c r="B6154" s="346"/>
    </row>
    <row r="6155" spans="1:2" ht="15.5" x14ac:dyDescent="0.35">
      <c r="A6155" s="343"/>
      <c r="B6155" s="346"/>
    </row>
    <row r="6156" spans="1:2" ht="15.5" x14ac:dyDescent="0.35">
      <c r="A6156" s="343"/>
      <c r="B6156" s="346"/>
    </row>
    <row r="6157" spans="1:2" ht="15.5" x14ac:dyDescent="0.35">
      <c r="A6157" s="343"/>
      <c r="B6157" s="346"/>
    </row>
    <row r="6158" spans="1:2" ht="15.5" x14ac:dyDescent="0.35">
      <c r="A6158" s="343"/>
      <c r="B6158" s="346"/>
    </row>
    <row r="6159" spans="1:2" ht="15.5" x14ac:dyDescent="0.35">
      <c r="A6159" s="343"/>
      <c r="B6159" s="346"/>
    </row>
    <row r="6160" spans="1:2" ht="15.5" x14ac:dyDescent="0.35">
      <c r="A6160" s="343"/>
      <c r="B6160" s="346"/>
    </row>
    <row r="6161" spans="1:2" ht="15.5" x14ac:dyDescent="0.35">
      <c r="A6161" s="343"/>
      <c r="B6161" s="346"/>
    </row>
    <row r="6162" spans="1:2" ht="15.5" x14ac:dyDescent="0.35">
      <c r="A6162" s="343"/>
      <c r="B6162" s="346"/>
    </row>
    <row r="6163" spans="1:2" ht="15.5" x14ac:dyDescent="0.35">
      <c r="A6163" s="343"/>
      <c r="B6163" s="346"/>
    </row>
    <row r="6164" spans="1:2" ht="15.5" x14ac:dyDescent="0.35">
      <c r="A6164" s="343"/>
      <c r="B6164" s="346"/>
    </row>
    <row r="6165" spans="1:2" ht="15.5" x14ac:dyDescent="0.35">
      <c r="A6165" s="343"/>
      <c r="B6165" s="346"/>
    </row>
    <row r="6166" spans="1:2" ht="15.5" x14ac:dyDescent="0.35">
      <c r="A6166" s="343"/>
      <c r="B6166" s="346"/>
    </row>
    <row r="6167" spans="1:2" ht="15.5" x14ac:dyDescent="0.35">
      <c r="A6167" s="343"/>
      <c r="B6167" s="346"/>
    </row>
    <row r="6168" spans="1:2" ht="15.5" x14ac:dyDescent="0.35">
      <c r="A6168" s="343"/>
      <c r="B6168" s="346"/>
    </row>
    <row r="6169" spans="1:2" ht="15.5" x14ac:dyDescent="0.35">
      <c r="A6169" s="343"/>
      <c r="B6169" s="346"/>
    </row>
    <row r="6170" spans="1:2" ht="15.5" x14ac:dyDescent="0.35">
      <c r="A6170" s="343"/>
      <c r="B6170" s="346"/>
    </row>
    <row r="6171" spans="1:2" ht="15.5" x14ac:dyDescent="0.35">
      <c r="A6171" s="343"/>
      <c r="B6171" s="346"/>
    </row>
    <row r="6172" spans="1:2" ht="15.5" x14ac:dyDescent="0.35">
      <c r="A6172" s="343"/>
      <c r="B6172" s="346"/>
    </row>
    <row r="6173" spans="1:2" ht="15.5" x14ac:dyDescent="0.35">
      <c r="A6173" s="343"/>
      <c r="B6173" s="346"/>
    </row>
    <row r="6174" spans="1:2" ht="15.5" x14ac:dyDescent="0.35">
      <c r="A6174" s="343"/>
      <c r="B6174" s="346"/>
    </row>
    <row r="6175" spans="1:2" ht="15.5" x14ac:dyDescent="0.35">
      <c r="A6175" s="343"/>
      <c r="B6175" s="346"/>
    </row>
    <row r="6176" spans="1:2" ht="15.5" x14ac:dyDescent="0.35">
      <c r="A6176" s="343"/>
      <c r="B6176" s="346"/>
    </row>
    <row r="6177" spans="1:2" ht="15.5" x14ac:dyDescent="0.35">
      <c r="A6177" s="343"/>
      <c r="B6177" s="346"/>
    </row>
    <row r="6178" spans="1:2" ht="15.5" x14ac:dyDescent="0.35">
      <c r="A6178" s="343"/>
      <c r="B6178" s="346"/>
    </row>
    <row r="6179" spans="1:2" ht="15.5" x14ac:dyDescent="0.35">
      <c r="A6179" s="343"/>
      <c r="B6179" s="346"/>
    </row>
    <row r="6180" spans="1:2" ht="15.5" x14ac:dyDescent="0.35">
      <c r="A6180" s="343"/>
      <c r="B6180" s="346"/>
    </row>
    <row r="6181" spans="1:2" ht="15.5" x14ac:dyDescent="0.35">
      <c r="A6181" s="343"/>
      <c r="B6181" s="346"/>
    </row>
    <row r="6182" spans="1:2" ht="15.5" x14ac:dyDescent="0.35">
      <c r="A6182" s="343"/>
      <c r="B6182" s="346"/>
    </row>
    <row r="6183" spans="1:2" ht="15.5" x14ac:dyDescent="0.35">
      <c r="A6183" s="343"/>
      <c r="B6183" s="346"/>
    </row>
    <row r="6184" spans="1:2" ht="15.5" x14ac:dyDescent="0.35">
      <c r="A6184" s="343"/>
      <c r="B6184" s="346"/>
    </row>
    <row r="6185" spans="1:2" ht="15.5" x14ac:dyDescent="0.35">
      <c r="A6185" s="343"/>
      <c r="B6185" s="346"/>
    </row>
    <row r="6186" spans="1:2" ht="15.5" x14ac:dyDescent="0.35">
      <c r="A6186" s="343"/>
      <c r="B6186" s="346"/>
    </row>
    <row r="6187" spans="1:2" ht="15.5" x14ac:dyDescent="0.35">
      <c r="A6187" s="343"/>
      <c r="B6187" s="346"/>
    </row>
    <row r="6188" spans="1:2" ht="15.5" x14ac:dyDescent="0.35">
      <c r="A6188" s="343"/>
      <c r="B6188" s="346"/>
    </row>
    <row r="6189" spans="1:2" ht="15.5" x14ac:dyDescent="0.35">
      <c r="A6189" s="343"/>
      <c r="B6189" s="346"/>
    </row>
    <row r="6190" spans="1:2" ht="15.5" x14ac:dyDescent="0.35">
      <c r="A6190" s="343"/>
      <c r="B6190" s="346"/>
    </row>
    <row r="6191" spans="1:2" ht="15.5" x14ac:dyDescent="0.35">
      <c r="A6191" s="343"/>
      <c r="B6191" s="346"/>
    </row>
    <row r="6192" spans="1:2" ht="15.5" x14ac:dyDescent="0.35">
      <c r="A6192" s="343"/>
      <c r="B6192" s="346"/>
    </row>
    <row r="6193" spans="1:2" ht="15.5" x14ac:dyDescent="0.35">
      <c r="A6193" s="343"/>
      <c r="B6193" s="346"/>
    </row>
    <row r="6194" spans="1:2" ht="15.5" x14ac:dyDescent="0.35">
      <c r="A6194" s="343"/>
      <c r="B6194" s="346"/>
    </row>
    <row r="6195" spans="1:2" ht="15.5" x14ac:dyDescent="0.35">
      <c r="A6195" s="343"/>
      <c r="B6195" s="346"/>
    </row>
    <row r="6196" spans="1:2" ht="15.5" x14ac:dyDescent="0.35">
      <c r="A6196" s="343"/>
      <c r="B6196" s="346"/>
    </row>
    <row r="6197" spans="1:2" ht="15.5" x14ac:dyDescent="0.35">
      <c r="A6197" s="343"/>
      <c r="B6197" s="346"/>
    </row>
    <row r="6198" spans="1:2" ht="15.5" x14ac:dyDescent="0.35">
      <c r="A6198" s="343"/>
      <c r="B6198" s="346"/>
    </row>
    <row r="6199" spans="1:2" ht="15.5" x14ac:dyDescent="0.35">
      <c r="A6199" s="343"/>
      <c r="B6199" s="346"/>
    </row>
    <row r="6200" spans="1:2" ht="15.5" x14ac:dyDescent="0.35">
      <c r="A6200" s="343"/>
      <c r="B6200" s="346"/>
    </row>
    <row r="6201" spans="1:2" ht="15.5" x14ac:dyDescent="0.35">
      <c r="A6201" s="343"/>
      <c r="B6201" s="346"/>
    </row>
    <row r="6202" spans="1:2" ht="15.5" x14ac:dyDescent="0.35">
      <c r="A6202" s="343"/>
      <c r="B6202" s="346"/>
    </row>
    <row r="6203" spans="1:2" ht="15.5" x14ac:dyDescent="0.35">
      <c r="A6203" s="343"/>
      <c r="B6203" s="346"/>
    </row>
    <row r="6204" spans="1:2" ht="15.5" x14ac:dyDescent="0.35">
      <c r="A6204" s="343"/>
      <c r="B6204" s="346"/>
    </row>
    <row r="6205" spans="1:2" ht="15.5" x14ac:dyDescent="0.35">
      <c r="A6205" s="343"/>
      <c r="B6205" s="346"/>
    </row>
    <row r="6206" spans="1:2" ht="15.5" x14ac:dyDescent="0.35">
      <c r="A6206" s="343"/>
      <c r="B6206" s="346"/>
    </row>
    <row r="6207" spans="1:2" ht="15.5" x14ac:dyDescent="0.35">
      <c r="A6207" s="343"/>
      <c r="B6207" s="346"/>
    </row>
    <row r="6208" spans="1:2" ht="15.5" x14ac:dyDescent="0.35">
      <c r="A6208" s="343"/>
      <c r="B6208" s="346"/>
    </row>
    <row r="6209" spans="1:2" ht="15.5" x14ac:dyDescent="0.35">
      <c r="A6209" s="343"/>
      <c r="B6209" s="346"/>
    </row>
    <row r="6210" spans="1:2" ht="15.5" x14ac:dyDescent="0.35">
      <c r="A6210" s="343"/>
      <c r="B6210" s="346"/>
    </row>
    <row r="6211" spans="1:2" ht="15.5" x14ac:dyDescent="0.35">
      <c r="A6211" s="343"/>
      <c r="B6211" s="346"/>
    </row>
    <row r="6212" spans="1:2" ht="15.5" x14ac:dyDescent="0.35">
      <c r="A6212" s="343"/>
      <c r="B6212" s="346"/>
    </row>
    <row r="6213" spans="1:2" ht="15.5" x14ac:dyDescent="0.35">
      <c r="A6213" s="343"/>
      <c r="B6213" s="346"/>
    </row>
    <row r="6214" spans="1:2" ht="15.5" x14ac:dyDescent="0.35">
      <c r="A6214" s="343"/>
      <c r="B6214" s="346"/>
    </row>
    <row r="6215" spans="1:2" ht="15.5" x14ac:dyDescent="0.35">
      <c r="A6215" s="343"/>
      <c r="B6215" s="346"/>
    </row>
    <row r="6216" spans="1:2" ht="15.5" x14ac:dyDescent="0.35">
      <c r="A6216" s="343"/>
      <c r="B6216" s="346"/>
    </row>
    <row r="6217" spans="1:2" ht="15.5" x14ac:dyDescent="0.35">
      <c r="A6217" s="343"/>
      <c r="B6217" s="346"/>
    </row>
    <row r="6218" spans="1:2" ht="15.5" x14ac:dyDescent="0.35">
      <c r="A6218" s="343"/>
      <c r="B6218" s="346"/>
    </row>
    <row r="6219" spans="1:2" ht="15.5" x14ac:dyDescent="0.35">
      <c r="A6219" s="343"/>
      <c r="B6219" s="346"/>
    </row>
    <row r="6220" spans="1:2" ht="15.5" x14ac:dyDescent="0.35">
      <c r="A6220" s="343"/>
      <c r="B6220" s="346"/>
    </row>
    <row r="6221" spans="1:2" ht="15.5" x14ac:dyDescent="0.35">
      <c r="A6221" s="343"/>
      <c r="B6221" s="346"/>
    </row>
    <row r="6222" spans="1:2" ht="15.5" x14ac:dyDescent="0.35">
      <c r="A6222" s="343"/>
      <c r="B6222" s="346"/>
    </row>
    <row r="6223" spans="1:2" ht="15.5" x14ac:dyDescent="0.35">
      <c r="A6223" s="343"/>
      <c r="B6223" s="346"/>
    </row>
    <row r="6224" spans="1:2" ht="15.5" x14ac:dyDescent="0.35">
      <c r="A6224" s="343"/>
      <c r="B6224" s="346"/>
    </row>
    <row r="6225" spans="1:2" ht="15.5" x14ac:dyDescent="0.35">
      <c r="A6225" s="343"/>
      <c r="B6225" s="346"/>
    </row>
    <row r="6226" spans="1:2" ht="15.5" x14ac:dyDescent="0.35">
      <c r="A6226" s="343"/>
      <c r="B6226" s="346"/>
    </row>
    <row r="6227" spans="1:2" ht="15.5" x14ac:dyDescent="0.35">
      <c r="A6227" s="343"/>
      <c r="B6227" s="346"/>
    </row>
    <row r="6228" spans="1:2" ht="15.5" x14ac:dyDescent="0.35">
      <c r="A6228" s="343"/>
      <c r="B6228" s="346"/>
    </row>
    <row r="6229" spans="1:2" ht="15.5" x14ac:dyDescent="0.35">
      <c r="A6229" s="343"/>
      <c r="B6229" s="346"/>
    </row>
    <row r="6230" spans="1:2" ht="15.5" x14ac:dyDescent="0.35">
      <c r="A6230" s="343"/>
      <c r="B6230" s="346"/>
    </row>
    <row r="6231" spans="1:2" ht="15.5" x14ac:dyDescent="0.35">
      <c r="A6231" s="343"/>
      <c r="B6231" s="346"/>
    </row>
    <row r="6232" spans="1:2" ht="15.5" x14ac:dyDescent="0.35">
      <c r="A6232" s="343"/>
      <c r="B6232" s="346"/>
    </row>
    <row r="6233" spans="1:2" ht="15.5" x14ac:dyDescent="0.35">
      <c r="A6233" s="343"/>
      <c r="B6233" s="346"/>
    </row>
    <row r="6234" spans="1:2" ht="15.5" x14ac:dyDescent="0.35">
      <c r="A6234" s="343"/>
      <c r="B6234" s="346"/>
    </row>
    <row r="6235" spans="1:2" ht="15.5" x14ac:dyDescent="0.35">
      <c r="A6235" s="343"/>
      <c r="B6235" s="346"/>
    </row>
    <row r="6236" spans="1:2" ht="15.5" x14ac:dyDescent="0.35">
      <c r="A6236" s="343"/>
      <c r="B6236" s="346"/>
    </row>
    <row r="6237" spans="1:2" ht="15.5" x14ac:dyDescent="0.35">
      <c r="A6237" s="343"/>
      <c r="B6237" s="346"/>
    </row>
    <row r="6238" spans="1:2" ht="15.5" x14ac:dyDescent="0.35">
      <c r="A6238" s="343"/>
      <c r="B6238" s="346"/>
    </row>
    <row r="6239" spans="1:2" ht="15.5" x14ac:dyDescent="0.35">
      <c r="A6239" s="343"/>
      <c r="B6239" s="346"/>
    </row>
    <row r="6240" spans="1:2" ht="15.5" x14ac:dyDescent="0.35">
      <c r="A6240" s="343"/>
      <c r="B6240" s="346"/>
    </row>
    <row r="6241" spans="1:2" ht="15.5" x14ac:dyDescent="0.35">
      <c r="A6241" s="343"/>
      <c r="B6241" s="346"/>
    </row>
    <row r="6242" spans="1:2" ht="15.5" x14ac:dyDescent="0.35">
      <c r="A6242" s="343"/>
      <c r="B6242" s="346"/>
    </row>
    <row r="6243" spans="1:2" ht="15.5" x14ac:dyDescent="0.35">
      <c r="A6243" s="343"/>
      <c r="B6243" s="346"/>
    </row>
    <row r="6244" spans="1:2" ht="15.5" x14ac:dyDescent="0.35">
      <c r="A6244" s="343"/>
      <c r="B6244" s="346"/>
    </row>
    <row r="6245" spans="1:2" ht="15.5" x14ac:dyDescent="0.35">
      <c r="A6245" s="343"/>
      <c r="B6245" s="346"/>
    </row>
    <row r="6246" spans="1:2" ht="15.5" x14ac:dyDescent="0.35">
      <c r="A6246" s="343"/>
      <c r="B6246" s="346"/>
    </row>
    <row r="6247" spans="1:2" ht="15.5" x14ac:dyDescent="0.35">
      <c r="A6247" s="343"/>
      <c r="B6247" s="346"/>
    </row>
    <row r="6248" spans="1:2" ht="15.5" x14ac:dyDescent="0.35">
      <c r="A6248" s="343"/>
      <c r="B6248" s="346"/>
    </row>
    <row r="6249" spans="1:2" ht="15.5" x14ac:dyDescent="0.35">
      <c r="A6249" s="343"/>
      <c r="B6249" s="346"/>
    </row>
    <row r="6250" spans="1:2" ht="15.5" x14ac:dyDescent="0.35">
      <c r="A6250" s="343"/>
      <c r="B6250" s="346"/>
    </row>
    <row r="6251" spans="1:2" ht="15.5" x14ac:dyDescent="0.35">
      <c r="A6251" s="343"/>
      <c r="B6251" s="346"/>
    </row>
    <row r="6252" spans="1:2" ht="15.5" x14ac:dyDescent="0.35">
      <c r="A6252" s="343"/>
      <c r="B6252" s="346"/>
    </row>
    <row r="6253" spans="1:2" ht="15.5" x14ac:dyDescent="0.35">
      <c r="A6253" s="343"/>
      <c r="B6253" s="346"/>
    </row>
    <row r="6254" spans="1:2" ht="15.5" x14ac:dyDescent="0.35">
      <c r="A6254" s="343"/>
      <c r="B6254" s="346"/>
    </row>
    <row r="6255" spans="1:2" ht="15.5" x14ac:dyDescent="0.35">
      <c r="A6255" s="343"/>
      <c r="B6255" s="346"/>
    </row>
    <row r="6256" spans="1:2" ht="15.5" x14ac:dyDescent="0.35">
      <c r="A6256" s="343"/>
      <c r="B6256" s="346"/>
    </row>
    <row r="6257" spans="1:2" ht="15.5" x14ac:dyDescent="0.35">
      <c r="A6257" s="343"/>
      <c r="B6257" s="346"/>
    </row>
    <row r="6258" spans="1:2" ht="15.5" x14ac:dyDescent="0.35">
      <c r="A6258" s="343"/>
      <c r="B6258" s="346"/>
    </row>
    <row r="6259" spans="1:2" ht="15.5" x14ac:dyDescent="0.35">
      <c r="A6259" s="343"/>
      <c r="B6259" s="346"/>
    </row>
    <row r="6260" spans="1:2" ht="15.5" x14ac:dyDescent="0.35">
      <c r="A6260" s="343"/>
      <c r="B6260" s="346"/>
    </row>
    <row r="6261" spans="1:2" ht="15.5" x14ac:dyDescent="0.35">
      <c r="A6261" s="343"/>
      <c r="B6261" s="346"/>
    </row>
    <row r="6262" spans="1:2" ht="15.5" x14ac:dyDescent="0.35">
      <c r="A6262" s="343"/>
      <c r="B6262" s="346"/>
    </row>
    <row r="6263" spans="1:2" ht="15.5" x14ac:dyDescent="0.35">
      <c r="A6263" s="343"/>
      <c r="B6263" s="346"/>
    </row>
    <row r="6264" spans="1:2" ht="15.5" x14ac:dyDescent="0.35">
      <c r="A6264" s="343"/>
      <c r="B6264" s="346"/>
    </row>
    <row r="6265" spans="1:2" ht="15.5" x14ac:dyDescent="0.35">
      <c r="A6265" s="343"/>
      <c r="B6265" s="346"/>
    </row>
    <row r="6266" spans="1:2" ht="15.5" x14ac:dyDescent="0.35">
      <c r="A6266" s="343"/>
      <c r="B6266" s="346"/>
    </row>
    <row r="6267" spans="1:2" ht="15.5" x14ac:dyDescent="0.35">
      <c r="A6267" s="343"/>
      <c r="B6267" s="346"/>
    </row>
    <row r="6268" spans="1:2" ht="15.5" x14ac:dyDescent="0.35">
      <c r="A6268" s="343"/>
      <c r="B6268" s="346"/>
    </row>
    <row r="6269" spans="1:2" ht="15.5" x14ac:dyDescent="0.35">
      <c r="A6269" s="343"/>
      <c r="B6269" s="346"/>
    </row>
    <row r="6270" spans="1:2" ht="15.5" x14ac:dyDescent="0.35">
      <c r="A6270" s="343"/>
      <c r="B6270" s="346"/>
    </row>
    <row r="6271" spans="1:2" ht="15.5" x14ac:dyDescent="0.35">
      <c r="A6271" s="343"/>
      <c r="B6271" s="346"/>
    </row>
    <row r="6272" spans="1:2" ht="15.5" x14ac:dyDescent="0.35">
      <c r="A6272" s="343"/>
      <c r="B6272" s="346"/>
    </row>
    <row r="6273" spans="1:2" ht="15.5" x14ac:dyDescent="0.35">
      <c r="A6273" s="343"/>
      <c r="B6273" s="346"/>
    </row>
    <row r="6274" spans="1:2" ht="15.5" x14ac:dyDescent="0.35">
      <c r="A6274" s="343"/>
      <c r="B6274" s="346"/>
    </row>
    <row r="6275" spans="1:2" ht="15.5" x14ac:dyDescent="0.35">
      <c r="A6275" s="343"/>
      <c r="B6275" s="346"/>
    </row>
    <row r="6276" spans="1:2" ht="15.5" x14ac:dyDescent="0.35">
      <c r="A6276" s="343"/>
      <c r="B6276" s="346"/>
    </row>
    <row r="6277" spans="1:2" ht="15.5" x14ac:dyDescent="0.35">
      <c r="A6277" s="343"/>
      <c r="B6277" s="346"/>
    </row>
    <row r="6278" spans="1:2" ht="15.5" x14ac:dyDescent="0.35">
      <c r="A6278" s="343"/>
      <c r="B6278" s="346"/>
    </row>
    <row r="6279" spans="1:2" ht="15.5" x14ac:dyDescent="0.35">
      <c r="A6279" s="343"/>
      <c r="B6279" s="346"/>
    </row>
    <row r="6280" spans="1:2" ht="15.5" x14ac:dyDescent="0.35">
      <c r="A6280" s="343"/>
      <c r="B6280" s="346"/>
    </row>
    <row r="6281" spans="1:2" ht="15.5" x14ac:dyDescent="0.35">
      <c r="A6281" s="343"/>
      <c r="B6281" s="346"/>
    </row>
    <row r="6282" spans="1:2" ht="15.5" x14ac:dyDescent="0.35">
      <c r="A6282" s="343"/>
      <c r="B6282" s="346"/>
    </row>
    <row r="6283" spans="1:2" ht="15.5" x14ac:dyDescent="0.35">
      <c r="A6283" s="343"/>
      <c r="B6283" s="346"/>
    </row>
    <row r="6284" spans="1:2" ht="15.5" x14ac:dyDescent="0.35">
      <c r="A6284" s="343"/>
      <c r="B6284" s="346"/>
    </row>
    <row r="6285" spans="1:2" ht="15.5" x14ac:dyDescent="0.35">
      <c r="A6285" s="343"/>
      <c r="B6285" s="346"/>
    </row>
    <row r="6286" spans="1:2" ht="15.5" x14ac:dyDescent="0.35">
      <c r="A6286" s="343"/>
      <c r="B6286" s="346"/>
    </row>
    <row r="6287" spans="1:2" ht="15.5" x14ac:dyDescent="0.35">
      <c r="A6287" s="343"/>
      <c r="B6287" s="346"/>
    </row>
    <row r="6288" spans="1:2" ht="15.5" x14ac:dyDescent="0.35">
      <c r="A6288" s="343"/>
      <c r="B6288" s="346"/>
    </row>
    <row r="6289" spans="1:2" ht="15.5" x14ac:dyDescent="0.35">
      <c r="A6289" s="343"/>
      <c r="B6289" s="346"/>
    </row>
    <row r="6290" spans="1:2" ht="15.5" x14ac:dyDescent="0.35">
      <c r="A6290" s="343"/>
      <c r="B6290" s="346"/>
    </row>
    <row r="6291" spans="1:2" ht="15.5" x14ac:dyDescent="0.35">
      <c r="A6291" s="343"/>
      <c r="B6291" s="346"/>
    </row>
    <row r="6292" spans="1:2" ht="15.5" x14ac:dyDescent="0.35">
      <c r="A6292" s="343"/>
      <c r="B6292" s="346"/>
    </row>
    <row r="6293" spans="1:2" ht="15.5" x14ac:dyDescent="0.35">
      <c r="A6293" s="343"/>
      <c r="B6293" s="346"/>
    </row>
    <row r="6294" spans="1:2" ht="15.5" x14ac:dyDescent="0.35">
      <c r="A6294" s="343"/>
      <c r="B6294" s="346"/>
    </row>
    <row r="6295" spans="1:2" ht="15.5" x14ac:dyDescent="0.35">
      <c r="A6295" s="343"/>
      <c r="B6295" s="346"/>
    </row>
    <row r="6296" spans="1:2" ht="15.5" x14ac:dyDescent="0.35">
      <c r="A6296" s="343"/>
      <c r="B6296" s="346"/>
    </row>
    <row r="6297" spans="1:2" ht="15.5" x14ac:dyDescent="0.35">
      <c r="A6297" s="343"/>
      <c r="B6297" s="346"/>
    </row>
    <row r="6298" spans="1:2" ht="15.5" x14ac:dyDescent="0.35">
      <c r="A6298" s="343"/>
      <c r="B6298" s="346"/>
    </row>
    <row r="6299" spans="1:2" ht="15.5" x14ac:dyDescent="0.35">
      <c r="A6299" s="343"/>
      <c r="B6299" s="346"/>
    </row>
    <row r="6300" spans="1:2" ht="15.5" x14ac:dyDescent="0.35">
      <c r="A6300" s="343"/>
      <c r="B6300" s="346"/>
    </row>
    <row r="6301" spans="1:2" ht="15.5" x14ac:dyDescent="0.35">
      <c r="A6301" s="343"/>
      <c r="B6301" s="346"/>
    </row>
    <row r="6302" spans="1:2" ht="15.5" x14ac:dyDescent="0.35">
      <c r="A6302" s="343"/>
      <c r="B6302" s="346"/>
    </row>
    <row r="6303" spans="1:2" ht="15.5" x14ac:dyDescent="0.35">
      <c r="A6303" s="343"/>
      <c r="B6303" s="346"/>
    </row>
    <row r="6304" spans="1:2" ht="15.5" x14ac:dyDescent="0.35">
      <c r="A6304" s="343"/>
      <c r="B6304" s="346"/>
    </row>
    <row r="6305" spans="1:2" ht="15.5" x14ac:dyDescent="0.35">
      <c r="A6305" s="343"/>
      <c r="B6305" s="346"/>
    </row>
    <row r="6306" spans="1:2" ht="15.5" x14ac:dyDescent="0.35">
      <c r="A6306" s="343"/>
      <c r="B6306" s="346"/>
    </row>
    <row r="6307" spans="1:2" ht="15.5" x14ac:dyDescent="0.35">
      <c r="A6307" s="343"/>
      <c r="B6307" s="346"/>
    </row>
    <row r="6308" spans="1:2" ht="15.5" x14ac:dyDescent="0.35">
      <c r="A6308" s="343"/>
      <c r="B6308" s="346"/>
    </row>
    <row r="6309" spans="1:2" ht="15.5" x14ac:dyDescent="0.35">
      <c r="A6309" s="343"/>
      <c r="B6309" s="346"/>
    </row>
    <row r="6310" spans="1:2" ht="15.5" x14ac:dyDescent="0.35">
      <c r="A6310" s="343"/>
      <c r="B6310" s="346"/>
    </row>
    <row r="6311" spans="1:2" ht="15.5" x14ac:dyDescent="0.35">
      <c r="A6311" s="343"/>
      <c r="B6311" s="346"/>
    </row>
    <row r="6312" spans="1:2" ht="15.5" x14ac:dyDescent="0.35">
      <c r="A6312" s="343"/>
      <c r="B6312" s="346"/>
    </row>
    <row r="6313" spans="1:2" ht="15.5" x14ac:dyDescent="0.35">
      <c r="A6313" s="343"/>
      <c r="B6313" s="346"/>
    </row>
    <row r="6314" spans="1:2" ht="15.5" x14ac:dyDescent="0.35">
      <c r="A6314" s="343"/>
      <c r="B6314" s="346"/>
    </row>
    <row r="6315" spans="1:2" ht="15.5" x14ac:dyDescent="0.35">
      <c r="A6315" s="343"/>
      <c r="B6315" s="346"/>
    </row>
    <row r="6316" spans="1:2" ht="15.5" x14ac:dyDescent="0.35">
      <c r="A6316" s="343"/>
      <c r="B6316" s="346"/>
    </row>
    <row r="6317" spans="1:2" ht="15.5" x14ac:dyDescent="0.35">
      <c r="A6317" s="343"/>
      <c r="B6317" s="346"/>
    </row>
    <row r="6318" spans="1:2" ht="15.5" x14ac:dyDescent="0.35">
      <c r="A6318" s="343"/>
      <c r="B6318" s="346"/>
    </row>
    <row r="6319" spans="1:2" ht="15.5" x14ac:dyDescent="0.35">
      <c r="A6319" s="343"/>
      <c r="B6319" s="346"/>
    </row>
    <row r="6320" spans="1:2" ht="15.5" x14ac:dyDescent="0.35">
      <c r="A6320" s="343"/>
      <c r="B6320" s="346"/>
    </row>
    <row r="6321" spans="1:2" ht="15.5" x14ac:dyDescent="0.35">
      <c r="A6321" s="343"/>
      <c r="B6321" s="346"/>
    </row>
    <row r="6322" spans="1:2" ht="15.5" x14ac:dyDescent="0.35">
      <c r="A6322" s="343"/>
      <c r="B6322" s="346"/>
    </row>
    <row r="6323" spans="1:2" ht="15.5" x14ac:dyDescent="0.35">
      <c r="A6323" s="343"/>
      <c r="B6323" s="346"/>
    </row>
    <row r="6324" spans="1:2" ht="15.5" x14ac:dyDescent="0.35">
      <c r="A6324" s="343"/>
      <c r="B6324" s="346"/>
    </row>
    <row r="6325" spans="1:2" ht="15.5" x14ac:dyDescent="0.35">
      <c r="A6325" s="343"/>
      <c r="B6325" s="346"/>
    </row>
    <row r="6326" spans="1:2" ht="15.5" x14ac:dyDescent="0.35">
      <c r="A6326" s="343"/>
      <c r="B6326" s="346"/>
    </row>
    <row r="6327" spans="1:2" ht="15.5" x14ac:dyDescent="0.35">
      <c r="A6327" s="343"/>
      <c r="B6327" s="346"/>
    </row>
    <row r="6328" spans="1:2" ht="15.5" x14ac:dyDescent="0.35">
      <c r="A6328" s="343"/>
      <c r="B6328" s="346"/>
    </row>
    <row r="6329" spans="1:2" ht="15.5" x14ac:dyDescent="0.35">
      <c r="A6329" s="343"/>
      <c r="B6329" s="346"/>
    </row>
    <row r="6330" spans="1:2" ht="15.5" x14ac:dyDescent="0.35">
      <c r="A6330" s="343"/>
      <c r="B6330" s="346"/>
    </row>
    <row r="6331" spans="1:2" ht="15.5" x14ac:dyDescent="0.35">
      <c r="A6331" s="343"/>
      <c r="B6331" s="346"/>
    </row>
    <row r="6332" spans="1:2" ht="15.5" x14ac:dyDescent="0.35">
      <c r="A6332" s="343"/>
      <c r="B6332" s="346"/>
    </row>
    <row r="6333" spans="1:2" ht="15.5" x14ac:dyDescent="0.35">
      <c r="A6333" s="343"/>
      <c r="B6333" s="346"/>
    </row>
    <row r="6334" spans="1:2" ht="15.5" x14ac:dyDescent="0.35">
      <c r="A6334" s="343"/>
      <c r="B6334" s="346"/>
    </row>
    <row r="6335" spans="1:2" ht="15.5" x14ac:dyDescent="0.35">
      <c r="A6335" s="343"/>
      <c r="B6335" s="346"/>
    </row>
    <row r="6336" spans="1:2" ht="15.5" x14ac:dyDescent="0.35">
      <c r="A6336" s="343"/>
      <c r="B6336" s="346"/>
    </row>
    <row r="6337" spans="1:2" ht="15.5" x14ac:dyDescent="0.35">
      <c r="A6337" s="343"/>
      <c r="B6337" s="346"/>
    </row>
    <row r="6338" spans="1:2" ht="15.5" x14ac:dyDescent="0.35">
      <c r="A6338" s="343"/>
      <c r="B6338" s="346"/>
    </row>
    <row r="6339" spans="1:2" ht="15.5" x14ac:dyDescent="0.35">
      <c r="A6339" s="343"/>
      <c r="B6339" s="346"/>
    </row>
    <row r="6340" spans="1:2" ht="15.5" x14ac:dyDescent="0.35">
      <c r="A6340" s="343"/>
      <c r="B6340" s="346"/>
    </row>
    <row r="6341" spans="1:2" ht="15.5" x14ac:dyDescent="0.35">
      <c r="A6341" s="343"/>
      <c r="B6341" s="346"/>
    </row>
    <row r="6342" spans="1:2" ht="15.5" x14ac:dyDescent="0.35">
      <c r="A6342" s="343"/>
      <c r="B6342" s="346"/>
    </row>
    <row r="6343" spans="1:2" ht="15.5" x14ac:dyDescent="0.35">
      <c r="A6343" s="343"/>
      <c r="B6343" s="346"/>
    </row>
    <row r="6344" spans="1:2" ht="15.5" x14ac:dyDescent="0.35">
      <c r="A6344" s="343"/>
      <c r="B6344" s="346"/>
    </row>
    <row r="6345" spans="1:2" ht="15.5" x14ac:dyDescent="0.35">
      <c r="A6345" s="343"/>
      <c r="B6345" s="346"/>
    </row>
    <row r="6346" spans="1:2" ht="15.5" x14ac:dyDescent="0.35">
      <c r="A6346" s="343"/>
      <c r="B6346" s="346"/>
    </row>
    <row r="6347" spans="1:2" ht="15.5" x14ac:dyDescent="0.35">
      <c r="A6347" s="343"/>
      <c r="B6347" s="346"/>
    </row>
    <row r="6348" spans="1:2" ht="15.5" x14ac:dyDescent="0.35">
      <c r="A6348" s="343"/>
      <c r="B6348" s="346"/>
    </row>
    <row r="6349" spans="1:2" ht="15.5" x14ac:dyDescent="0.35">
      <c r="A6349" s="343"/>
      <c r="B6349" s="346"/>
    </row>
    <row r="6350" spans="1:2" ht="15.5" x14ac:dyDescent="0.35">
      <c r="A6350" s="343"/>
      <c r="B6350" s="346"/>
    </row>
    <row r="6351" spans="1:2" ht="15.5" x14ac:dyDescent="0.35">
      <c r="A6351" s="343"/>
      <c r="B6351" s="346"/>
    </row>
    <row r="6352" spans="1:2" ht="15.5" x14ac:dyDescent="0.35">
      <c r="A6352" s="343"/>
      <c r="B6352" s="346"/>
    </row>
    <row r="6353" spans="1:2" ht="15.5" x14ac:dyDescent="0.35">
      <c r="A6353" s="343"/>
      <c r="B6353" s="346"/>
    </row>
    <row r="6354" spans="1:2" ht="15.5" x14ac:dyDescent="0.35">
      <c r="A6354" s="343"/>
      <c r="B6354" s="346"/>
    </row>
    <row r="6355" spans="1:2" ht="15.5" x14ac:dyDescent="0.35">
      <c r="A6355" s="343"/>
      <c r="B6355" s="346"/>
    </row>
    <row r="6356" spans="1:2" ht="15.5" x14ac:dyDescent="0.35">
      <c r="A6356" s="343"/>
      <c r="B6356" s="346"/>
    </row>
    <row r="6357" spans="1:2" ht="15.5" x14ac:dyDescent="0.35">
      <c r="A6357" s="343"/>
      <c r="B6357" s="346"/>
    </row>
    <row r="6358" spans="1:2" ht="15.5" x14ac:dyDescent="0.35">
      <c r="A6358" s="343"/>
      <c r="B6358" s="346"/>
    </row>
    <row r="6359" spans="1:2" ht="15.5" x14ac:dyDescent="0.35">
      <c r="A6359" s="343"/>
      <c r="B6359" s="346"/>
    </row>
    <row r="6360" spans="1:2" ht="15.5" x14ac:dyDescent="0.35">
      <c r="A6360" s="343"/>
      <c r="B6360" s="346"/>
    </row>
    <row r="6361" spans="1:2" ht="15.5" x14ac:dyDescent="0.35">
      <c r="A6361" s="343"/>
      <c r="B6361" s="346"/>
    </row>
    <row r="6362" spans="1:2" ht="15.5" x14ac:dyDescent="0.35">
      <c r="A6362" s="343"/>
      <c r="B6362" s="346"/>
    </row>
    <row r="6363" spans="1:2" ht="15.5" x14ac:dyDescent="0.35">
      <c r="A6363" s="343"/>
      <c r="B6363" s="346"/>
    </row>
    <row r="6364" spans="1:2" ht="15.5" x14ac:dyDescent="0.35">
      <c r="A6364" s="343"/>
      <c r="B6364" s="346"/>
    </row>
    <row r="6365" spans="1:2" ht="15.5" x14ac:dyDescent="0.35">
      <c r="A6365" s="343"/>
      <c r="B6365" s="346"/>
    </row>
    <row r="6366" spans="1:2" ht="15.5" x14ac:dyDescent="0.35">
      <c r="A6366" s="343"/>
      <c r="B6366" s="346"/>
    </row>
    <row r="6367" spans="1:2" ht="15.5" x14ac:dyDescent="0.35">
      <c r="A6367" s="343"/>
      <c r="B6367" s="346"/>
    </row>
    <row r="6368" spans="1:2" ht="15.5" x14ac:dyDescent="0.35">
      <c r="A6368" s="343"/>
      <c r="B6368" s="346"/>
    </row>
    <row r="6369" spans="1:2" ht="15.5" x14ac:dyDescent="0.35">
      <c r="A6369" s="343"/>
      <c r="B6369" s="346"/>
    </row>
    <row r="6370" spans="1:2" ht="15.5" x14ac:dyDescent="0.35">
      <c r="A6370" s="343"/>
      <c r="B6370" s="346"/>
    </row>
    <row r="6371" spans="1:2" ht="15.5" x14ac:dyDescent="0.35">
      <c r="A6371" s="343"/>
      <c r="B6371" s="346"/>
    </row>
    <row r="6372" spans="1:2" ht="15.5" x14ac:dyDescent="0.35">
      <c r="A6372" s="343"/>
      <c r="B6372" s="346"/>
    </row>
    <row r="6373" spans="1:2" ht="15.5" x14ac:dyDescent="0.35">
      <c r="A6373" s="343"/>
      <c r="B6373" s="346"/>
    </row>
    <row r="6374" spans="1:2" ht="15.5" x14ac:dyDescent="0.35">
      <c r="A6374" s="343"/>
      <c r="B6374" s="346"/>
    </row>
    <row r="6375" spans="1:2" ht="15.5" x14ac:dyDescent="0.35">
      <c r="A6375" s="343"/>
      <c r="B6375" s="346"/>
    </row>
    <row r="6376" spans="1:2" ht="15.5" x14ac:dyDescent="0.35">
      <c r="A6376" s="343"/>
      <c r="B6376" s="346"/>
    </row>
    <row r="6377" spans="1:2" ht="15.5" x14ac:dyDescent="0.35">
      <c r="A6377" s="343"/>
      <c r="B6377" s="346"/>
    </row>
    <row r="6378" spans="1:2" ht="15.5" x14ac:dyDescent="0.35">
      <c r="A6378" s="343"/>
      <c r="B6378" s="346"/>
    </row>
    <row r="6379" spans="1:2" ht="15.5" x14ac:dyDescent="0.35">
      <c r="A6379" s="343"/>
      <c r="B6379" s="346"/>
    </row>
    <row r="6380" spans="1:2" ht="15.5" x14ac:dyDescent="0.35">
      <c r="A6380" s="343"/>
      <c r="B6380" s="346"/>
    </row>
    <row r="6381" spans="1:2" ht="15.5" x14ac:dyDescent="0.35">
      <c r="A6381" s="343"/>
      <c r="B6381" s="346"/>
    </row>
    <row r="6382" spans="1:2" ht="15.5" x14ac:dyDescent="0.35">
      <c r="A6382" s="343"/>
      <c r="B6382" s="346"/>
    </row>
    <row r="6383" spans="1:2" ht="15.5" x14ac:dyDescent="0.35">
      <c r="A6383" s="343"/>
      <c r="B6383" s="346"/>
    </row>
    <row r="6384" spans="1:2" ht="15.5" x14ac:dyDescent="0.35">
      <c r="A6384" s="343"/>
      <c r="B6384" s="346"/>
    </row>
    <row r="6385" spans="1:2" ht="15.5" x14ac:dyDescent="0.35">
      <c r="A6385" s="343"/>
      <c r="B6385" s="346"/>
    </row>
    <row r="6386" spans="1:2" ht="15.5" x14ac:dyDescent="0.35">
      <c r="A6386" s="343"/>
      <c r="B6386" s="346"/>
    </row>
    <row r="6387" spans="1:2" ht="15.5" x14ac:dyDescent="0.35">
      <c r="A6387" s="343"/>
      <c r="B6387" s="346"/>
    </row>
    <row r="6388" spans="1:2" ht="15.5" x14ac:dyDescent="0.35">
      <c r="A6388" s="343"/>
      <c r="B6388" s="346"/>
    </row>
    <row r="6389" spans="1:2" ht="15.5" x14ac:dyDescent="0.35">
      <c r="A6389" s="343"/>
      <c r="B6389" s="346"/>
    </row>
    <row r="6390" spans="1:2" ht="15.5" x14ac:dyDescent="0.35">
      <c r="A6390" s="343"/>
      <c r="B6390" s="346"/>
    </row>
    <row r="6391" spans="1:2" ht="15.5" x14ac:dyDescent="0.35">
      <c r="A6391" s="343"/>
      <c r="B6391" s="346"/>
    </row>
    <row r="6392" spans="1:2" ht="15.5" x14ac:dyDescent="0.35">
      <c r="A6392" s="343"/>
      <c r="B6392" s="346"/>
    </row>
    <row r="6393" spans="1:2" ht="15.5" x14ac:dyDescent="0.35">
      <c r="A6393" s="343"/>
      <c r="B6393" s="346"/>
    </row>
    <row r="6394" spans="1:2" ht="15.5" x14ac:dyDescent="0.35">
      <c r="A6394" s="343"/>
      <c r="B6394" s="346"/>
    </row>
    <row r="6395" spans="1:2" ht="15.5" x14ac:dyDescent="0.35">
      <c r="A6395" s="343"/>
      <c r="B6395" s="346"/>
    </row>
    <row r="6396" spans="1:2" ht="15.5" x14ac:dyDescent="0.35">
      <c r="A6396" s="343"/>
      <c r="B6396" s="346"/>
    </row>
    <row r="6397" spans="1:2" ht="15.5" x14ac:dyDescent="0.35">
      <c r="A6397" s="343"/>
      <c r="B6397" s="346"/>
    </row>
    <row r="6398" spans="1:2" ht="15.5" x14ac:dyDescent="0.35">
      <c r="A6398" s="343"/>
      <c r="B6398" s="346"/>
    </row>
    <row r="6399" spans="1:2" ht="15.5" x14ac:dyDescent="0.35">
      <c r="A6399" s="343"/>
      <c r="B6399" s="346"/>
    </row>
    <row r="6400" spans="1:2" ht="15.5" x14ac:dyDescent="0.35">
      <c r="A6400" s="343"/>
      <c r="B6400" s="346"/>
    </row>
    <row r="6401" spans="1:2" ht="15.5" x14ac:dyDescent="0.35">
      <c r="A6401" s="343"/>
      <c r="B6401" s="346"/>
    </row>
    <row r="6402" spans="1:2" ht="15.5" x14ac:dyDescent="0.35">
      <c r="A6402" s="343"/>
      <c r="B6402" s="346"/>
    </row>
    <row r="6403" spans="1:2" ht="15.5" x14ac:dyDescent="0.35">
      <c r="A6403" s="343"/>
      <c r="B6403" s="346"/>
    </row>
    <row r="6404" spans="1:2" ht="15.5" x14ac:dyDescent="0.35">
      <c r="A6404" s="343"/>
      <c r="B6404" s="346"/>
    </row>
    <row r="6405" spans="1:2" ht="15.5" x14ac:dyDescent="0.35">
      <c r="A6405" s="343"/>
      <c r="B6405" s="346"/>
    </row>
    <row r="6406" spans="1:2" ht="15.5" x14ac:dyDescent="0.35">
      <c r="A6406" s="343"/>
      <c r="B6406" s="346"/>
    </row>
    <row r="6407" spans="1:2" ht="15.5" x14ac:dyDescent="0.35">
      <c r="A6407" s="343"/>
      <c r="B6407" s="346"/>
    </row>
    <row r="6408" spans="1:2" ht="15.5" x14ac:dyDescent="0.35">
      <c r="A6408" s="343"/>
      <c r="B6408" s="346"/>
    </row>
    <row r="6409" spans="1:2" ht="15.5" x14ac:dyDescent="0.35">
      <c r="A6409" s="343"/>
      <c r="B6409" s="346"/>
    </row>
    <row r="6410" spans="1:2" ht="15.5" x14ac:dyDescent="0.35">
      <c r="A6410" s="343"/>
      <c r="B6410" s="346"/>
    </row>
    <row r="6411" spans="1:2" ht="15.5" x14ac:dyDescent="0.35">
      <c r="A6411" s="343"/>
      <c r="B6411" s="346"/>
    </row>
    <row r="6412" spans="1:2" ht="15.5" x14ac:dyDescent="0.35">
      <c r="A6412" s="343"/>
      <c r="B6412" s="346"/>
    </row>
    <row r="6413" spans="1:2" ht="15.5" x14ac:dyDescent="0.35">
      <c r="A6413" s="343"/>
      <c r="B6413" s="346"/>
    </row>
    <row r="6414" spans="1:2" ht="15.5" x14ac:dyDescent="0.35">
      <c r="A6414" s="343"/>
      <c r="B6414" s="346"/>
    </row>
    <row r="6415" spans="1:2" ht="15.5" x14ac:dyDescent="0.35">
      <c r="A6415" s="343"/>
      <c r="B6415" s="346"/>
    </row>
    <row r="6416" spans="1:2" ht="15.5" x14ac:dyDescent="0.35">
      <c r="A6416" s="343"/>
      <c r="B6416" s="346"/>
    </row>
    <row r="6417" spans="1:2" ht="15.5" x14ac:dyDescent="0.35">
      <c r="A6417" s="343"/>
      <c r="B6417" s="346"/>
    </row>
    <row r="6418" spans="1:2" ht="15.5" x14ac:dyDescent="0.35">
      <c r="A6418" s="343"/>
      <c r="B6418" s="346"/>
    </row>
    <row r="6419" spans="1:2" ht="15.5" x14ac:dyDescent="0.35">
      <c r="A6419" s="343"/>
      <c r="B6419" s="346"/>
    </row>
    <row r="6420" spans="1:2" ht="15.5" x14ac:dyDescent="0.35">
      <c r="A6420" s="343"/>
      <c r="B6420" s="346"/>
    </row>
    <row r="6421" spans="1:2" ht="15.5" x14ac:dyDescent="0.35">
      <c r="A6421" s="343"/>
      <c r="B6421" s="346"/>
    </row>
    <row r="6422" spans="1:2" ht="15.5" x14ac:dyDescent="0.35">
      <c r="A6422" s="343"/>
      <c r="B6422" s="346"/>
    </row>
    <row r="6423" spans="1:2" ht="15.5" x14ac:dyDescent="0.35">
      <c r="A6423" s="343"/>
      <c r="B6423" s="346"/>
    </row>
    <row r="6424" spans="1:2" ht="15.5" x14ac:dyDescent="0.35">
      <c r="A6424" s="343"/>
      <c r="B6424" s="346"/>
    </row>
    <row r="6425" spans="1:2" ht="15.5" x14ac:dyDescent="0.35">
      <c r="A6425" s="343"/>
      <c r="B6425" s="346"/>
    </row>
    <row r="6426" spans="1:2" ht="15.5" x14ac:dyDescent="0.35">
      <c r="A6426" s="343"/>
      <c r="B6426" s="346"/>
    </row>
    <row r="6427" spans="1:2" ht="15.5" x14ac:dyDescent="0.35">
      <c r="A6427" s="343"/>
      <c r="B6427" s="346"/>
    </row>
    <row r="6428" spans="1:2" ht="15.5" x14ac:dyDescent="0.35">
      <c r="A6428" s="343"/>
      <c r="B6428" s="346"/>
    </row>
    <row r="6429" spans="1:2" ht="15.5" x14ac:dyDescent="0.35">
      <c r="A6429" s="343"/>
      <c r="B6429" s="346"/>
    </row>
    <row r="6430" spans="1:2" ht="15.5" x14ac:dyDescent="0.35">
      <c r="A6430" s="343"/>
      <c r="B6430" s="346"/>
    </row>
    <row r="6431" spans="1:2" ht="15.5" x14ac:dyDescent="0.35">
      <c r="A6431" s="343"/>
      <c r="B6431" s="346"/>
    </row>
    <row r="6432" spans="1:2" ht="15.5" x14ac:dyDescent="0.35">
      <c r="A6432" s="343"/>
      <c r="B6432" s="346"/>
    </row>
    <row r="6433" spans="1:2" ht="15.5" x14ac:dyDescent="0.35">
      <c r="A6433" s="343"/>
      <c r="B6433" s="346"/>
    </row>
    <row r="6434" spans="1:2" ht="15.5" x14ac:dyDescent="0.35">
      <c r="A6434" s="343"/>
      <c r="B6434" s="346"/>
    </row>
    <row r="6435" spans="1:2" ht="15.5" x14ac:dyDescent="0.35">
      <c r="A6435" s="343"/>
      <c r="B6435" s="346"/>
    </row>
    <row r="6436" spans="1:2" ht="15.5" x14ac:dyDescent="0.35">
      <c r="A6436" s="343"/>
      <c r="B6436" s="346"/>
    </row>
    <row r="6437" spans="1:2" ht="15.5" x14ac:dyDescent="0.35">
      <c r="A6437" s="343"/>
      <c r="B6437" s="346"/>
    </row>
    <row r="6438" spans="1:2" ht="15.5" x14ac:dyDescent="0.35">
      <c r="A6438" s="343"/>
      <c r="B6438" s="346"/>
    </row>
    <row r="6439" spans="1:2" ht="15.5" x14ac:dyDescent="0.35">
      <c r="A6439" s="343"/>
      <c r="B6439" s="346"/>
    </row>
    <row r="6440" spans="1:2" ht="15.5" x14ac:dyDescent="0.35">
      <c r="A6440" s="343"/>
      <c r="B6440" s="346"/>
    </row>
    <row r="6441" spans="1:2" ht="15.5" x14ac:dyDescent="0.35">
      <c r="A6441" s="343"/>
      <c r="B6441" s="346"/>
    </row>
    <row r="6442" spans="1:2" ht="15.5" x14ac:dyDescent="0.35">
      <c r="A6442" s="343"/>
      <c r="B6442" s="346"/>
    </row>
    <row r="6443" spans="1:2" ht="15.5" x14ac:dyDescent="0.35">
      <c r="A6443" s="343"/>
      <c r="B6443" s="346"/>
    </row>
    <row r="6444" spans="1:2" ht="15.5" x14ac:dyDescent="0.35">
      <c r="A6444" s="343"/>
      <c r="B6444" s="346"/>
    </row>
    <row r="6445" spans="1:2" ht="15.5" x14ac:dyDescent="0.35">
      <c r="A6445" s="343"/>
      <c r="B6445" s="346"/>
    </row>
    <row r="6446" spans="1:2" ht="15.5" x14ac:dyDescent="0.35">
      <c r="A6446" s="343"/>
      <c r="B6446" s="346"/>
    </row>
    <row r="6447" spans="1:2" ht="15.5" x14ac:dyDescent="0.35">
      <c r="A6447" s="343"/>
      <c r="B6447" s="346"/>
    </row>
    <row r="6448" spans="1:2" ht="15.5" x14ac:dyDescent="0.35">
      <c r="A6448" s="343"/>
      <c r="B6448" s="346"/>
    </row>
    <row r="6449" spans="1:2" ht="15.5" x14ac:dyDescent="0.35">
      <c r="A6449" s="343"/>
      <c r="B6449" s="346"/>
    </row>
    <row r="6450" spans="1:2" ht="15.5" x14ac:dyDescent="0.35">
      <c r="A6450" s="343"/>
      <c r="B6450" s="346"/>
    </row>
    <row r="6451" spans="1:2" ht="15.5" x14ac:dyDescent="0.35">
      <c r="A6451" s="343"/>
      <c r="B6451" s="346"/>
    </row>
    <row r="6452" spans="1:2" ht="15.5" x14ac:dyDescent="0.35">
      <c r="A6452" s="343"/>
      <c r="B6452" s="346"/>
    </row>
    <row r="6453" spans="1:2" ht="15.5" x14ac:dyDescent="0.35">
      <c r="A6453" s="343"/>
      <c r="B6453" s="346"/>
    </row>
    <row r="6454" spans="1:2" ht="15.5" x14ac:dyDescent="0.35">
      <c r="A6454" s="343"/>
      <c r="B6454" s="346"/>
    </row>
    <row r="6455" spans="1:2" ht="15.5" x14ac:dyDescent="0.35">
      <c r="A6455" s="343"/>
      <c r="B6455" s="346"/>
    </row>
    <row r="6456" spans="1:2" ht="15.5" x14ac:dyDescent="0.35">
      <c r="A6456" s="343"/>
      <c r="B6456" s="346"/>
    </row>
    <row r="6457" spans="1:2" ht="15.5" x14ac:dyDescent="0.35">
      <c r="A6457" s="343"/>
      <c r="B6457" s="346"/>
    </row>
    <row r="6458" spans="1:2" ht="15.5" x14ac:dyDescent="0.35">
      <c r="A6458" s="343"/>
      <c r="B6458" s="346"/>
    </row>
    <row r="6459" spans="1:2" ht="15.5" x14ac:dyDescent="0.35">
      <c r="A6459" s="343"/>
      <c r="B6459" s="346"/>
    </row>
    <row r="6460" spans="1:2" ht="15.5" x14ac:dyDescent="0.35">
      <c r="A6460" s="343"/>
      <c r="B6460" s="346"/>
    </row>
    <row r="6461" spans="1:2" ht="15.5" x14ac:dyDescent="0.35">
      <c r="A6461" s="343"/>
      <c r="B6461" s="346"/>
    </row>
    <row r="6462" spans="1:2" ht="15.5" x14ac:dyDescent="0.35">
      <c r="A6462" s="343"/>
      <c r="B6462" s="346"/>
    </row>
    <row r="6463" spans="1:2" ht="15.5" x14ac:dyDescent="0.35">
      <c r="A6463" s="343"/>
      <c r="B6463" s="346"/>
    </row>
    <row r="6464" spans="1:2" ht="15.5" x14ac:dyDescent="0.35">
      <c r="A6464" s="343"/>
      <c r="B6464" s="346"/>
    </row>
    <row r="6465" spans="1:2" ht="15.5" x14ac:dyDescent="0.35">
      <c r="A6465" s="343"/>
      <c r="B6465" s="346"/>
    </row>
    <row r="6466" spans="1:2" ht="15.5" x14ac:dyDescent="0.35">
      <c r="A6466" s="343"/>
      <c r="B6466" s="346"/>
    </row>
    <row r="6467" spans="1:2" ht="15.5" x14ac:dyDescent="0.35">
      <c r="A6467" s="343"/>
      <c r="B6467" s="346"/>
    </row>
    <row r="6468" spans="1:2" ht="15.5" x14ac:dyDescent="0.35">
      <c r="A6468" s="343"/>
      <c r="B6468" s="346"/>
    </row>
    <row r="6469" spans="1:2" ht="15.5" x14ac:dyDescent="0.35">
      <c r="A6469" s="343"/>
      <c r="B6469" s="346"/>
    </row>
    <row r="6470" spans="1:2" ht="15.5" x14ac:dyDescent="0.35">
      <c r="A6470" s="343"/>
      <c r="B6470" s="346"/>
    </row>
    <row r="6471" spans="1:2" ht="15.5" x14ac:dyDescent="0.35">
      <c r="A6471" s="343"/>
      <c r="B6471" s="346"/>
    </row>
    <row r="6472" spans="1:2" ht="15.5" x14ac:dyDescent="0.35">
      <c r="A6472" s="343"/>
      <c r="B6472" s="346"/>
    </row>
    <row r="6473" spans="1:2" ht="15.5" x14ac:dyDescent="0.35">
      <c r="A6473" s="343"/>
      <c r="B6473" s="346"/>
    </row>
    <row r="6474" spans="1:2" ht="15.5" x14ac:dyDescent="0.35">
      <c r="A6474" s="343"/>
      <c r="B6474" s="346"/>
    </row>
    <row r="6475" spans="1:2" ht="15.5" x14ac:dyDescent="0.35">
      <c r="A6475" s="343"/>
      <c r="B6475" s="346"/>
    </row>
    <row r="6476" spans="1:2" ht="15.5" x14ac:dyDescent="0.35">
      <c r="A6476" s="343"/>
      <c r="B6476" s="346"/>
    </row>
    <row r="6477" spans="1:2" ht="15.5" x14ac:dyDescent="0.35">
      <c r="A6477" s="343"/>
      <c r="B6477" s="346"/>
    </row>
    <row r="6478" spans="1:2" ht="15.5" x14ac:dyDescent="0.35">
      <c r="A6478" s="343"/>
      <c r="B6478" s="346"/>
    </row>
    <row r="6479" spans="1:2" ht="15.5" x14ac:dyDescent="0.35">
      <c r="A6479" s="343"/>
      <c r="B6479" s="346"/>
    </row>
    <row r="6480" spans="1:2" ht="15.5" x14ac:dyDescent="0.35">
      <c r="A6480" s="343"/>
      <c r="B6480" s="346"/>
    </row>
    <row r="6481" spans="1:2" ht="15.5" x14ac:dyDescent="0.35">
      <c r="A6481" s="343"/>
      <c r="B6481" s="346"/>
    </row>
    <row r="6482" spans="1:2" ht="15.5" x14ac:dyDescent="0.35">
      <c r="A6482" s="343"/>
      <c r="B6482" s="346"/>
    </row>
    <row r="6483" spans="1:2" ht="15.5" x14ac:dyDescent="0.35">
      <c r="A6483" s="343"/>
      <c r="B6483" s="346"/>
    </row>
    <row r="6484" spans="1:2" ht="15.5" x14ac:dyDescent="0.35">
      <c r="A6484" s="343"/>
      <c r="B6484" s="346"/>
    </row>
    <row r="6485" spans="1:2" ht="15.5" x14ac:dyDescent="0.35">
      <c r="A6485" s="343"/>
      <c r="B6485" s="346"/>
    </row>
    <row r="6486" spans="1:2" ht="15.5" x14ac:dyDescent="0.35">
      <c r="A6486" s="343"/>
      <c r="B6486" s="346"/>
    </row>
    <row r="6487" spans="1:2" ht="15.5" x14ac:dyDescent="0.35">
      <c r="A6487" s="343"/>
      <c r="B6487" s="346"/>
    </row>
    <row r="6488" spans="1:2" ht="15.5" x14ac:dyDescent="0.35">
      <c r="A6488" s="343"/>
      <c r="B6488" s="346"/>
    </row>
    <row r="6489" spans="1:2" ht="15.5" x14ac:dyDescent="0.35">
      <c r="A6489" s="343"/>
      <c r="B6489" s="346"/>
    </row>
    <row r="6490" spans="1:2" ht="15.5" x14ac:dyDescent="0.35">
      <c r="A6490" s="343"/>
      <c r="B6490" s="346"/>
    </row>
    <row r="6491" spans="1:2" ht="15.5" x14ac:dyDescent="0.35">
      <c r="A6491" s="343"/>
      <c r="B6491" s="346"/>
    </row>
    <row r="6492" spans="1:2" ht="15.5" x14ac:dyDescent="0.35">
      <c r="A6492" s="343"/>
      <c r="B6492" s="346"/>
    </row>
    <row r="6493" spans="1:2" ht="15.5" x14ac:dyDescent="0.35">
      <c r="A6493" s="343"/>
      <c r="B6493" s="346"/>
    </row>
    <row r="6494" spans="1:2" ht="15.5" x14ac:dyDescent="0.35">
      <c r="A6494" s="343"/>
      <c r="B6494" s="346"/>
    </row>
    <row r="6495" spans="1:2" ht="15.5" x14ac:dyDescent="0.35">
      <c r="A6495" s="343"/>
      <c r="B6495" s="346"/>
    </row>
    <row r="6496" spans="1:2" ht="15.5" x14ac:dyDescent="0.35">
      <c r="A6496" s="343"/>
      <c r="B6496" s="346"/>
    </row>
    <row r="6497" spans="1:2" ht="15.5" x14ac:dyDescent="0.35">
      <c r="A6497" s="343"/>
      <c r="B6497" s="346"/>
    </row>
    <row r="6498" spans="1:2" ht="15.5" x14ac:dyDescent="0.35">
      <c r="A6498" s="343"/>
      <c r="B6498" s="346"/>
    </row>
    <row r="6499" spans="1:2" ht="15.5" x14ac:dyDescent="0.35">
      <c r="A6499" s="343"/>
      <c r="B6499" s="346"/>
    </row>
    <row r="6500" spans="1:2" ht="15.5" x14ac:dyDescent="0.35">
      <c r="A6500" s="343"/>
      <c r="B6500" s="346"/>
    </row>
    <row r="6501" spans="1:2" ht="15.5" x14ac:dyDescent="0.35">
      <c r="A6501" s="343"/>
      <c r="B6501" s="346"/>
    </row>
    <row r="6502" spans="1:2" ht="15.5" x14ac:dyDescent="0.35">
      <c r="A6502" s="343"/>
      <c r="B6502" s="346"/>
    </row>
    <row r="6503" spans="1:2" ht="15.5" x14ac:dyDescent="0.35">
      <c r="A6503" s="343"/>
      <c r="B6503" s="346"/>
    </row>
    <row r="6504" spans="1:2" ht="15.5" x14ac:dyDescent="0.35">
      <c r="A6504" s="343"/>
      <c r="B6504" s="346"/>
    </row>
    <row r="6505" spans="1:2" ht="15.5" x14ac:dyDescent="0.35">
      <c r="A6505" s="343"/>
      <c r="B6505" s="346"/>
    </row>
    <row r="6506" spans="1:2" ht="15.5" x14ac:dyDescent="0.35">
      <c r="A6506" s="343"/>
      <c r="B6506" s="346"/>
    </row>
    <row r="6507" spans="1:2" ht="15.5" x14ac:dyDescent="0.35">
      <c r="A6507" s="343"/>
      <c r="B6507" s="346"/>
    </row>
    <row r="6508" spans="1:2" ht="15.5" x14ac:dyDescent="0.35">
      <c r="A6508" s="343"/>
      <c r="B6508" s="346"/>
    </row>
    <row r="6509" spans="1:2" ht="15.5" x14ac:dyDescent="0.35">
      <c r="A6509" s="343"/>
      <c r="B6509" s="346"/>
    </row>
    <row r="6510" spans="1:2" ht="15.5" x14ac:dyDescent="0.35">
      <c r="A6510" s="343"/>
      <c r="B6510" s="346"/>
    </row>
    <row r="6511" spans="1:2" ht="15.5" x14ac:dyDescent="0.35">
      <c r="A6511" s="343"/>
      <c r="B6511" s="346"/>
    </row>
    <row r="6512" spans="1:2" ht="15.5" x14ac:dyDescent="0.35">
      <c r="A6512" s="343"/>
      <c r="B6512" s="346"/>
    </row>
    <row r="6513" spans="1:2" ht="15.5" x14ac:dyDescent="0.35">
      <c r="A6513" s="343"/>
      <c r="B6513" s="346"/>
    </row>
    <row r="6514" spans="1:2" ht="15.5" x14ac:dyDescent="0.35">
      <c r="A6514" s="343"/>
      <c r="B6514" s="346"/>
    </row>
    <row r="6515" spans="1:2" ht="15.5" x14ac:dyDescent="0.35">
      <c r="A6515" s="343"/>
      <c r="B6515" s="346"/>
    </row>
    <row r="6516" spans="1:2" ht="15.5" x14ac:dyDescent="0.35">
      <c r="A6516" s="343"/>
      <c r="B6516" s="346"/>
    </row>
    <row r="6517" spans="1:2" ht="15.5" x14ac:dyDescent="0.35">
      <c r="A6517" s="343"/>
      <c r="B6517" s="346"/>
    </row>
    <row r="6518" spans="1:2" ht="15.5" x14ac:dyDescent="0.35">
      <c r="A6518" s="343"/>
      <c r="B6518" s="346"/>
    </row>
    <row r="6519" spans="1:2" ht="15.5" x14ac:dyDescent="0.35">
      <c r="A6519" s="343"/>
      <c r="B6519" s="346"/>
    </row>
    <row r="6520" spans="1:2" ht="15.5" x14ac:dyDescent="0.35">
      <c r="A6520" s="343"/>
      <c r="B6520" s="346"/>
    </row>
    <row r="6521" spans="1:2" ht="15.5" x14ac:dyDescent="0.35">
      <c r="A6521" s="343"/>
      <c r="B6521" s="346"/>
    </row>
    <row r="6522" spans="1:2" ht="15.5" x14ac:dyDescent="0.35">
      <c r="A6522" s="343"/>
      <c r="B6522" s="346"/>
    </row>
    <row r="6523" spans="1:2" ht="15.5" x14ac:dyDescent="0.35">
      <c r="A6523" s="343"/>
      <c r="B6523" s="346"/>
    </row>
    <row r="6524" spans="1:2" ht="15.5" x14ac:dyDescent="0.35">
      <c r="A6524" s="343"/>
      <c r="B6524" s="346"/>
    </row>
    <row r="6525" spans="1:2" ht="15.5" x14ac:dyDescent="0.35">
      <c r="A6525" s="343"/>
      <c r="B6525" s="346"/>
    </row>
    <row r="6526" spans="1:2" ht="15.5" x14ac:dyDescent="0.35">
      <c r="A6526" s="343"/>
      <c r="B6526" s="346"/>
    </row>
    <row r="6527" spans="1:2" ht="15.5" x14ac:dyDescent="0.35">
      <c r="A6527" s="343"/>
      <c r="B6527" s="346"/>
    </row>
    <row r="6528" spans="1:2" ht="15.5" x14ac:dyDescent="0.35">
      <c r="A6528" s="343"/>
      <c r="B6528" s="346"/>
    </row>
    <row r="6529" spans="1:2" ht="15.5" x14ac:dyDescent="0.35">
      <c r="A6529" s="343"/>
      <c r="B6529" s="346"/>
    </row>
    <row r="6530" spans="1:2" ht="15.5" x14ac:dyDescent="0.35">
      <c r="A6530" s="343"/>
      <c r="B6530" s="346"/>
    </row>
    <row r="6531" spans="1:2" ht="15.5" x14ac:dyDescent="0.35">
      <c r="A6531" s="343"/>
      <c r="B6531" s="346"/>
    </row>
    <row r="6532" spans="1:2" ht="15.5" x14ac:dyDescent="0.35">
      <c r="A6532" s="343"/>
      <c r="B6532" s="346"/>
    </row>
    <row r="6533" spans="1:2" ht="15.5" x14ac:dyDescent="0.35">
      <c r="A6533" s="343"/>
      <c r="B6533" s="346"/>
    </row>
    <row r="6534" spans="1:2" ht="15.5" x14ac:dyDescent="0.35">
      <c r="A6534" s="343"/>
      <c r="B6534" s="346"/>
    </row>
    <row r="6535" spans="1:2" ht="15.5" x14ac:dyDescent="0.35">
      <c r="A6535" s="343"/>
      <c r="B6535" s="346"/>
    </row>
    <row r="6536" spans="1:2" ht="15.5" x14ac:dyDescent="0.35">
      <c r="A6536" s="343"/>
      <c r="B6536" s="346"/>
    </row>
    <row r="6537" spans="1:2" ht="15.5" x14ac:dyDescent="0.35">
      <c r="A6537" s="343"/>
      <c r="B6537" s="346"/>
    </row>
    <row r="6538" spans="1:2" ht="15.5" x14ac:dyDescent="0.35">
      <c r="A6538" s="343"/>
      <c r="B6538" s="346"/>
    </row>
    <row r="6539" spans="1:2" ht="15.5" x14ac:dyDescent="0.35">
      <c r="A6539" s="343"/>
      <c r="B6539" s="346"/>
    </row>
    <row r="6540" spans="1:2" ht="15.5" x14ac:dyDescent="0.35">
      <c r="A6540" s="343"/>
      <c r="B6540" s="346"/>
    </row>
    <row r="6541" spans="1:2" ht="15.5" x14ac:dyDescent="0.35">
      <c r="A6541" s="343"/>
      <c r="B6541" s="346"/>
    </row>
    <row r="6542" spans="1:2" ht="15.5" x14ac:dyDescent="0.35">
      <c r="A6542" s="343"/>
      <c r="B6542" s="346"/>
    </row>
    <row r="6543" spans="1:2" ht="15.5" x14ac:dyDescent="0.35">
      <c r="A6543" s="343"/>
      <c r="B6543" s="346"/>
    </row>
    <row r="6544" spans="1:2" ht="15.5" x14ac:dyDescent="0.35">
      <c r="A6544" s="343"/>
      <c r="B6544" s="346"/>
    </row>
    <row r="6545" spans="1:2" ht="15.5" x14ac:dyDescent="0.35">
      <c r="A6545" s="343"/>
      <c r="B6545" s="346"/>
    </row>
    <row r="6546" spans="1:2" ht="15.5" x14ac:dyDescent="0.35">
      <c r="A6546" s="343"/>
      <c r="B6546" s="346"/>
    </row>
    <row r="6547" spans="1:2" ht="15.5" x14ac:dyDescent="0.35">
      <c r="A6547" s="343"/>
      <c r="B6547" s="346"/>
    </row>
    <row r="6548" spans="1:2" ht="15.5" x14ac:dyDescent="0.35">
      <c r="A6548" s="343"/>
      <c r="B6548" s="346"/>
    </row>
    <row r="6549" spans="1:2" ht="15.5" x14ac:dyDescent="0.35">
      <c r="A6549" s="343"/>
      <c r="B6549" s="346"/>
    </row>
    <row r="6550" spans="1:2" ht="15.5" x14ac:dyDescent="0.35">
      <c r="A6550" s="343"/>
      <c r="B6550" s="346"/>
    </row>
    <row r="6551" spans="1:2" ht="15.5" x14ac:dyDescent="0.35">
      <c r="A6551" s="343"/>
      <c r="B6551" s="346"/>
    </row>
    <row r="6552" spans="1:2" ht="15.5" x14ac:dyDescent="0.35">
      <c r="A6552" s="343"/>
      <c r="B6552" s="346"/>
    </row>
    <row r="6553" spans="1:2" ht="15.5" x14ac:dyDescent="0.35">
      <c r="A6553" s="343"/>
      <c r="B6553" s="346"/>
    </row>
    <row r="6554" spans="1:2" ht="15.5" x14ac:dyDescent="0.35">
      <c r="A6554" s="343"/>
      <c r="B6554" s="346"/>
    </row>
    <row r="6555" spans="1:2" ht="15.5" x14ac:dyDescent="0.35">
      <c r="A6555" s="343"/>
      <c r="B6555" s="346"/>
    </row>
    <row r="6556" spans="1:2" ht="15.5" x14ac:dyDescent="0.35">
      <c r="A6556" s="343"/>
      <c r="B6556" s="346"/>
    </row>
    <row r="6557" spans="1:2" ht="15.5" x14ac:dyDescent="0.35">
      <c r="A6557" s="343"/>
      <c r="B6557" s="346"/>
    </row>
    <row r="6558" spans="1:2" ht="15.5" x14ac:dyDescent="0.35">
      <c r="A6558" s="343"/>
      <c r="B6558" s="346"/>
    </row>
    <row r="6559" spans="1:2" ht="15.5" x14ac:dyDescent="0.35">
      <c r="A6559" s="343"/>
      <c r="B6559" s="346"/>
    </row>
    <row r="6560" spans="1:2" ht="15.5" x14ac:dyDescent="0.35">
      <c r="A6560" s="343"/>
      <c r="B6560" s="346"/>
    </row>
    <row r="6561" spans="1:2" ht="15.5" x14ac:dyDescent="0.35">
      <c r="A6561" s="343"/>
      <c r="B6561" s="346"/>
    </row>
    <row r="6562" spans="1:2" ht="15.5" x14ac:dyDescent="0.35">
      <c r="A6562" s="343"/>
      <c r="B6562" s="346"/>
    </row>
    <row r="6563" spans="1:2" ht="15.5" x14ac:dyDescent="0.35">
      <c r="A6563" s="343"/>
      <c r="B6563" s="346"/>
    </row>
    <row r="6564" spans="1:2" ht="15.5" x14ac:dyDescent="0.35">
      <c r="A6564" s="343"/>
      <c r="B6564" s="346"/>
    </row>
    <row r="6565" spans="1:2" ht="15.5" x14ac:dyDescent="0.35">
      <c r="A6565" s="343"/>
      <c r="B6565" s="346"/>
    </row>
    <row r="6566" spans="1:2" ht="15.5" x14ac:dyDescent="0.35">
      <c r="A6566" s="343"/>
      <c r="B6566" s="346"/>
    </row>
    <row r="6567" spans="1:2" ht="15.5" x14ac:dyDescent="0.35">
      <c r="A6567" s="343"/>
      <c r="B6567" s="346"/>
    </row>
    <row r="6568" spans="1:2" ht="15.5" x14ac:dyDescent="0.35">
      <c r="A6568" s="343"/>
      <c r="B6568" s="346"/>
    </row>
    <row r="6569" spans="1:2" ht="15.5" x14ac:dyDescent="0.35">
      <c r="A6569" s="343"/>
      <c r="B6569" s="346"/>
    </row>
    <row r="6570" spans="1:2" ht="15.5" x14ac:dyDescent="0.35">
      <c r="A6570" s="343"/>
      <c r="B6570" s="346"/>
    </row>
    <row r="6571" spans="1:2" ht="15.5" x14ac:dyDescent="0.35">
      <c r="A6571" s="343"/>
      <c r="B6571" s="346"/>
    </row>
    <row r="6572" spans="1:2" ht="15.5" x14ac:dyDescent="0.35">
      <c r="A6572" s="343"/>
      <c r="B6572" s="346"/>
    </row>
    <row r="6573" spans="1:2" ht="15.5" x14ac:dyDescent="0.35">
      <c r="A6573" s="343"/>
      <c r="B6573" s="346"/>
    </row>
    <row r="6574" spans="1:2" ht="15.5" x14ac:dyDescent="0.35">
      <c r="A6574" s="343"/>
      <c r="B6574" s="346"/>
    </row>
    <row r="6575" spans="1:2" ht="15.5" x14ac:dyDescent="0.35">
      <c r="A6575" s="343"/>
      <c r="B6575" s="346"/>
    </row>
    <row r="6576" spans="1:2" ht="15.5" x14ac:dyDescent="0.35">
      <c r="A6576" s="343"/>
      <c r="B6576" s="346"/>
    </row>
    <row r="6577" spans="1:2" ht="15.5" x14ac:dyDescent="0.35">
      <c r="A6577" s="343"/>
      <c r="B6577" s="346"/>
    </row>
    <row r="6578" spans="1:2" ht="15.5" x14ac:dyDescent="0.35">
      <c r="A6578" s="343"/>
      <c r="B6578" s="346"/>
    </row>
    <row r="6579" spans="1:2" ht="15.5" x14ac:dyDescent="0.35">
      <c r="A6579" s="343"/>
      <c r="B6579" s="346"/>
    </row>
    <row r="6580" spans="1:2" ht="15.5" x14ac:dyDescent="0.35">
      <c r="A6580" s="343"/>
      <c r="B6580" s="346"/>
    </row>
    <row r="6581" spans="1:2" ht="15.5" x14ac:dyDescent="0.35">
      <c r="A6581" s="343"/>
      <c r="B6581" s="346"/>
    </row>
    <row r="6582" spans="1:2" ht="15.5" x14ac:dyDescent="0.35">
      <c r="A6582" s="343"/>
      <c r="B6582" s="346"/>
    </row>
    <row r="6583" spans="1:2" ht="15.5" x14ac:dyDescent="0.35">
      <c r="A6583" s="343"/>
      <c r="B6583" s="346"/>
    </row>
    <row r="6584" spans="1:2" ht="15.5" x14ac:dyDescent="0.35">
      <c r="A6584" s="343"/>
      <c r="B6584" s="346"/>
    </row>
    <row r="6585" spans="1:2" ht="15.5" x14ac:dyDescent="0.35">
      <c r="A6585" s="343"/>
      <c r="B6585" s="346"/>
    </row>
    <row r="6586" spans="1:2" ht="15.5" x14ac:dyDescent="0.35">
      <c r="A6586" s="343"/>
      <c r="B6586" s="346"/>
    </row>
    <row r="6587" spans="1:2" ht="15.5" x14ac:dyDescent="0.35">
      <c r="A6587" s="343"/>
      <c r="B6587" s="346"/>
    </row>
    <row r="6588" spans="1:2" ht="15.5" x14ac:dyDescent="0.35">
      <c r="A6588" s="343"/>
      <c r="B6588" s="346"/>
    </row>
    <row r="6589" spans="1:2" ht="15.5" x14ac:dyDescent="0.35">
      <c r="A6589" s="343"/>
      <c r="B6589" s="346"/>
    </row>
    <row r="6590" spans="1:2" ht="15.5" x14ac:dyDescent="0.35">
      <c r="A6590" s="343"/>
      <c r="B6590" s="346"/>
    </row>
    <row r="6591" spans="1:2" ht="15.5" x14ac:dyDescent="0.35">
      <c r="A6591" s="343"/>
      <c r="B6591" s="346"/>
    </row>
    <row r="6592" spans="1:2" ht="15.5" x14ac:dyDescent="0.35">
      <c r="A6592" s="343"/>
      <c r="B6592" s="346"/>
    </row>
    <row r="6593" spans="1:2" ht="15.5" x14ac:dyDescent="0.35">
      <c r="A6593" s="343"/>
      <c r="B6593" s="346"/>
    </row>
    <row r="6594" spans="1:2" ht="15.5" x14ac:dyDescent="0.35">
      <c r="A6594" s="343"/>
      <c r="B6594" s="346"/>
    </row>
    <row r="6595" spans="1:2" ht="15.5" x14ac:dyDescent="0.35">
      <c r="A6595" s="343"/>
      <c r="B6595" s="346"/>
    </row>
    <row r="6596" spans="1:2" ht="15.5" x14ac:dyDescent="0.35">
      <c r="A6596" s="343"/>
      <c r="B6596" s="346"/>
    </row>
    <row r="6597" spans="1:2" ht="15.5" x14ac:dyDescent="0.35">
      <c r="A6597" s="343"/>
      <c r="B6597" s="346"/>
    </row>
    <row r="6598" spans="1:2" ht="15.5" x14ac:dyDescent="0.35">
      <c r="A6598" s="343"/>
      <c r="B6598" s="346"/>
    </row>
    <row r="6599" spans="1:2" ht="15.5" x14ac:dyDescent="0.35">
      <c r="A6599" s="343"/>
      <c r="B6599" s="346"/>
    </row>
    <row r="6600" spans="1:2" ht="15.5" x14ac:dyDescent="0.35">
      <c r="A6600" s="343"/>
      <c r="B6600" s="346"/>
    </row>
    <row r="6601" spans="1:2" ht="15.5" x14ac:dyDescent="0.35">
      <c r="A6601" s="343"/>
      <c r="B6601" s="346"/>
    </row>
    <row r="6602" spans="1:2" ht="15.5" x14ac:dyDescent="0.35">
      <c r="A6602" s="343"/>
      <c r="B6602" s="346"/>
    </row>
    <row r="6603" spans="1:2" ht="15.5" x14ac:dyDescent="0.35">
      <c r="A6603" s="343"/>
      <c r="B6603" s="346"/>
    </row>
    <row r="6604" spans="1:2" ht="15.5" x14ac:dyDescent="0.35">
      <c r="A6604" s="343"/>
      <c r="B6604" s="346"/>
    </row>
    <row r="6605" spans="1:2" ht="15.5" x14ac:dyDescent="0.35">
      <c r="A6605" s="343"/>
      <c r="B6605" s="346"/>
    </row>
    <row r="6606" spans="1:2" ht="15.5" x14ac:dyDescent="0.35">
      <c r="A6606" s="343"/>
      <c r="B6606" s="346"/>
    </row>
    <row r="6607" spans="1:2" ht="15.5" x14ac:dyDescent="0.35">
      <c r="A6607" s="343"/>
      <c r="B6607" s="346"/>
    </row>
    <row r="6608" spans="1:2" ht="15.5" x14ac:dyDescent="0.35">
      <c r="A6608" s="343"/>
      <c r="B6608" s="346"/>
    </row>
    <row r="6609" spans="1:2" ht="15.5" x14ac:dyDescent="0.35">
      <c r="A6609" s="343"/>
      <c r="B6609" s="346"/>
    </row>
    <row r="6610" spans="1:2" ht="15.5" x14ac:dyDescent="0.35">
      <c r="A6610" s="343"/>
      <c r="B6610" s="346"/>
    </row>
    <row r="6611" spans="1:2" ht="15.5" x14ac:dyDescent="0.35">
      <c r="A6611" s="343"/>
      <c r="B6611" s="346"/>
    </row>
    <row r="6612" spans="1:2" ht="15.5" x14ac:dyDescent="0.35">
      <c r="A6612" s="343"/>
      <c r="B6612" s="346"/>
    </row>
    <row r="6613" spans="1:2" ht="15.5" x14ac:dyDescent="0.35">
      <c r="A6613" s="343"/>
      <c r="B6613" s="346"/>
    </row>
    <row r="6614" spans="1:2" ht="15.5" x14ac:dyDescent="0.35">
      <c r="A6614" s="343"/>
      <c r="B6614" s="346"/>
    </row>
    <row r="6615" spans="1:2" ht="15.5" x14ac:dyDescent="0.35">
      <c r="A6615" s="343"/>
      <c r="B6615" s="346"/>
    </row>
    <row r="6616" spans="1:2" ht="15.5" x14ac:dyDescent="0.35">
      <c r="A6616" s="343"/>
      <c r="B6616" s="346"/>
    </row>
    <row r="6617" spans="1:2" ht="15.5" x14ac:dyDescent="0.35">
      <c r="A6617" s="343"/>
      <c r="B6617" s="346"/>
    </row>
    <row r="6618" spans="1:2" ht="15.5" x14ac:dyDescent="0.35">
      <c r="A6618" s="343"/>
      <c r="B6618" s="346"/>
    </row>
    <row r="6619" spans="1:2" ht="15.5" x14ac:dyDescent="0.35">
      <c r="A6619" s="343"/>
      <c r="B6619" s="346"/>
    </row>
    <row r="6620" spans="1:2" ht="15.5" x14ac:dyDescent="0.35">
      <c r="A6620" s="343"/>
      <c r="B6620" s="346"/>
    </row>
    <row r="6621" spans="1:2" ht="15.5" x14ac:dyDescent="0.35">
      <c r="A6621" s="343"/>
      <c r="B6621" s="346"/>
    </row>
    <row r="6622" spans="1:2" ht="15.5" x14ac:dyDescent="0.35">
      <c r="A6622" s="343"/>
      <c r="B6622" s="346"/>
    </row>
    <row r="6623" spans="1:2" ht="15.5" x14ac:dyDescent="0.35">
      <c r="A6623" s="343"/>
      <c r="B6623" s="346"/>
    </row>
    <row r="6624" spans="1:2" ht="15.5" x14ac:dyDescent="0.35">
      <c r="A6624" s="343"/>
      <c r="B6624" s="346"/>
    </row>
    <row r="6625" spans="1:2" ht="15.5" x14ac:dyDescent="0.35">
      <c r="A6625" s="343"/>
      <c r="B6625" s="346"/>
    </row>
    <row r="6626" spans="1:2" ht="15.5" x14ac:dyDescent="0.35">
      <c r="A6626" s="343"/>
      <c r="B6626" s="346"/>
    </row>
    <row r="6627" spans="1:2" ht="15.5" x14ac:dyDescent="0.35">
      <c r="A6627" s="343"/>
      <c r="B6627" s="346"/>
    </row>
    <row r="6628" spans="1:2" ht="15.5" x14ac:dyDescent="0.35">
      <c r="A6628" s="343"/>
      <c r="B6628" s="346"/>
    </row>
    <row r="6629" spans="1:2" ht="15.5" x14ac:dyDescent="0.35">
      <c r="A6629" s="343"/>
      <c r="B6629" s="346"/>
    </row>
    <row r="6630" spans="1:2" ht="15.5" x14ac:dyDescent="0.35">
      <c r="A6630" s="343"/>
      <c r="B6630" s="346"/>
    </row>
    <row r="6631" spans="1:2" ht="15.5" x14ac:dyDescent="0.35">
      <c r="A6631" s="343"/>
      <c r="B6631" s="346"/>
    </row>
    <row r="6632" spans="1:2" ht="15.5" x14ac:dyDescent="0.35">
      <c r="A6632" s="343"/>
      <c r="B6632" s="346"/>
    </row>
    <row r="6633" spans="1:2" ht="15.5" x14ac:dyDescent="0.35">
      <c r="A6633" s="343"/>
      <c r="B6633" s="346"/>
    </row>
    <row r="6634" spans="1:2" ht="15.5" x14ac:dyDescent="0.35">
      <c r="A6634" s="343"/>
      <c r="B6634" s="346"/>
    </row>
    <row r="6635" spans="1:2" ht="15.5" x14ac:dyDescent="0.35">
      <c r="A6635" s="343"/>
      <c r="B6635" s="346"/>
    </row>
    <row r="6636" spans="1:2" ht="15.5" x14ac:dyDescent="0.35">
      <c r="A6636" s="343"/>
      <c r="B6636" s="346"/>
    </row>
    <row r="6637" spans="1:2" ht="15.5" x14ac:dyDescent="0.35">
      <c r="A6637" s="343"/>
      <c r="B6637" s="346"/>
    </row>
    <row r="6638" spans="1:2" ht="15.5" x14ac:dyDescent="0.35">
      <c r="A6638" s="343"/>
      <c r="B6638" s="346"/>
    </row>
    <row r="6639" spans="1:2" ht="15.5" x14ac:dyDescent="0.35">
      <c r="A6639" s="343"/>
      <c r="B6639" s="346"/>
    </row>
    <row r="6640" spans="1:2" ht="15.5" x14ac:dyDescent="0.35">
      <c r="A6640" s="343"/>
      <c r="B6640" s="346"/>
    </row>
    <row r="6641" spans="1:2" ht="15.5" x14ac:dyDescent="0.35">
      <c r="A6641" s="343"/>
      <c r="B6641" s="346"/>
    </row>
    <row r="6642" spans="1:2" ht="15.5" x14ac:dyDescent="0.35">
      <c r="A6642" s="343"/>
      <c r="B6642" s="346"/>
    </row>
    <row r="6643" spans="1:2" ht="15.5" x14ac:dyDescent="0.35">
      <c r="A6643" s="343"/>
      <c r="B6643" s="346"/>
    </row>
    <row r="6644" spans="1:2" ht="15.5" x14ac:dyDescent="0.35">
      <c r="A6644" s="343"/>
      <c r="B6644" s="346"/>
    </row>
    <row r="6645" spans="1:2" ht="15.5" x14ac:dyDescent="0.35">
      <c r="A6645" s="343"/>
      <c r="B6645" s="346"/>
    </row>
    <row r="6646" spans="1:2" ht="15.5" x14ac:dyDescent="0.35">
      <c r="A6646" s="343"/>
      <c r="B6646" s="346"/>
    </row>
    <row r="6647" spans="1:2" ht="15.5" x14ac:dyDescent="0.35">
      <c r="A6647" s="343"/>
      <c r="B6647" s="346"/>
    </row>
    <row r="6648" spans="1:2" ht="15.5" x14ac:dyDescent="0.35">
      <c r="A6648" s="343"/>
      <c r="B6648" s="346"/>
    </row>
    <row r="6649" spans="1:2" ht="15.5" x14ac:dyDescent="0.35">
      <c r="A6649" s="343"/>
      <c r="B6649" s="346"/>
    </row>
    <row r="6650" spans="1:2" ht="15.5" x14ac:dyDescent="0.35">
      <c r="A6650" s="343"/>
      <c r="B6650" s="346"/>
    </row>
    <row r="6651" spans="1:2" ht="15.5" x14ac:dyDescent="0.35">
      <c r="A6651" s="343"/>
      <c r="B6651" s="346"/>
    </row>
    <row r="6652" spans="1:2" ht="15.5" x14ac:dyDescent="0.35">
      <c r="A6652" s="343"/>
      <c r="B6652" s="346"/>
    </row>
    <row r="6653" spans="1:2" ht="15.5" x14ac:dyDescent="0.35">
      <c r="A6653" s="343"/>
      <c r="B6653" s="346"/>
    </row>
    <row r="6654" spans="1:2" ht="15.5" x14ac:dyDescent="0.35">
      <c r="A6654" s="343"/>
      <c r="B6654" s="346"/>
    </row>
    <row r="6655" spans="1:2" ht="15.5" x14ac:dyDescent="0.35">
      <c r="A6655" s="343"/>
      <c r="B6655" s="346"/>
    </row>
    <row r="6656" spans="1:2" ht="15.5" x14ac:dyDescent="0.35">
      <c r="A6656" s="343"/>
      <c r="B6656" s="346"/>
    </row>
    <row r="6657" spans="1:2" ht="15.5" x14ac:dyDescent="0.35">
      <c r="A6657" s="343"/>
      <c r="B6657" s="346"/>
    </row>
    <row r="6658" spans="1:2" ht="15.5" x14ac:dyDescent="0.35">
      <c r="A6658" s="343"/>
      <c r="B6658" s="346"/>
    </row>
    <row r="6659" spans="1:2" ht="15.5" x14ac:dyDescent="0.35">
      <c r="A6659" s="343"/>
      <c r="B6659" s="346"/>
    </row>
    <row r="6660" spans="1:2" ht="15.5" x14ac:dyDescent="0.35">
      <c r="A6660" s="343"/>
      <c r="B6660" s="346"/>
    </row>
    <row r="6661" spans="1:2" ht="15.5" x14ac:dyDescent="0.35">
      <c r="A6661" s="343"/>
      <c r="B6661" s="346"/>
    </row>
    <row r="6662" spans="1:2" ht="15.5" x14ac:dyDescent="0.35">
      <c r="A6662" s="343"/>
      <c r="B6662" s="346"/>
    </row>
    <row r="6663" spans="1:2" ht="15.5" x14ac:dyDescent="0.35">
      <c r="A6663" s="343"/>
      <c r="B6663" s="346"/>
    </row>
    <row r="6664" spans="1:2" ht="15.5" x14ac:dyDescent="0.35">
      <c r="A6664" s="343"/>
      <c r="B6664" s="346"/>
    </row>
    <row r="6665" spans="1:2" ht="15.5" x14ac:dyDescent="0.35">
      <c r="A6665" s="343"/>
      <c r="B6665" s="346"/>
    </row>
    <row r="6666" spans="1:2" ht="15.5" x14ac:dyDescent="0.35">
      <c r="A6666" s="343"/>
      <c r="B6666" s="346"/>
    </row>
    <row r="6667" spans="1:2" ht="15.5" x14ac:dyDescent="0.35">
      <c r="A6667" s="343"/>
      <c r="B6667" s="346"/>
    </row>
    <row r="6668" spans="1:2" ht="15.5" x14ac:dyDescent="0.35">
      <c r="A6668" s="343"/>
      <c r="B6668" s="346"/>
    </row>
    <row r="6669" spans="1:2" ht="15.5" x14ac:dyDescent="0.35">
      <c r="A6669" s="343"/>
      <c r="B6669" s="346"/>
    </row>
    <row r="6670" spans="1:2" ht="15.5" x14ac:dyDescent="0.35">
      <c r="A6670" s="343"/>
      <c r="B6670" s="346"/>
    </row>
    <row r="6671" spans="1:2" ht="15.5" x14ac:dyDescent="0.35">
      <c r="A6671" s="343"/>
      <c r="B6671" s="346"/>
    </row>
    <row r="6672" spans="1:2" ht="15.5" x14ac:dyDescent="0.35">
      <c r="A6672" s="343"/>
      <c r="B6672" s="346"/>
    </row>
    <row r="6673" spans="1:2" ht="15.5" x14ac:dyDescent="0.35">
      <c r="A6673" s="343"/>
      <c r="B6673" s="346"/>
    </row>
    <row r="6674" spans="1:2" ht="15.5" x14ac:dyDescent="0.35">
      <c r="A6674" s="343"/>
      <c r="B6674" s="346"/>
    </row>
    <row r="6675" spans="1:2" ht="15.5" x14ac:dyDescent="0.35">
      <c r="A6675" s="343"/>
      <c r="B6675" s="346"/>
    </row>
    <row r="6676" spans="1:2" ht="15.5" x14ac:dyDescent="0.35">
      <c r="A6676" s="343"/>
      <c r="B6676" s="346"/>
    </row>
    <row r="6677" spans="1:2" ht="15.5" x14ac:dyDescent="0.35">
      <c r="A6677" s="343"/>
      <c r="B6677" s="346"/>
    </row>
    <row r="6678" spans="1:2" ht="15.5" x14ac:dyDescent="0.35">
      <c r="A6678" s="343"/>
      <c r="B6678" s="346"/>
    </row>
    <row r="6679" spans="1:2" ht="15.5" x14ac:dyDescent="0.35">
      <c r="A6679" s="343"/>
      <c r="B6679" s="346"/>
    </row>
    <row r="6680" spans="1:2" ht="15.5" x14ac:dyDescent="0.35">
      <c r="A6680" s="343"/>
      <c r="B6680" s="346"/>
    </row>
    <row r="6681" spans="1:2" ht="15.5" x14ac:dyDescent="0.35">
      <c r="A6681" s="343"/>
      <c r="B6681" s="346"/>
    </row>
    <row r="6682" spans="1:2" ht="15.5" x14ac:dyDescent="0.35">
      <c r="A6682" s="343"/>
      <c r="B6682" s="346"/>
    </row>
    <row r="6683" spans="1:2" ht="15.5" x14ac:dyDescent="0.35">
      <c r="A6683" s="343"/>
      <c r="B6683" s="346"/>
    </row>
    <row r="6684" spans="1:2" ht="15.5" x14ac:dyDescent="0.35">
      <c r="A6684" s="343"/>
      <c r="B6684" s="346"/>
    </row>
    <row r="6685" spans="1:2" ht="15.5" x14ac:dyDescent="0.35">
      <c r="A6685" s="343"/>
      <c r="B6685" s="346"/>
    </row>
    <row r="6686" spans="1:2" ht="15.5" x14ac:dyDescent="0.35">
      <c r="A6686" s="343"/>
      <c r="B6686" s="346"/>
    </row>
    <row r="6687" spans="1:2" ht="15.5" x14ac:dyDescent="0.35">
      <c r="A6687" s="343"/>
      <c r="B6687" s="346"/>
    </row>
    <row r="6688" spans="1:2" ht="15.5" x14ac:dyDescent="0.35">
      <c r="A6688" s="343"/>
      <c r="B6688" s="346"/>
    </row>
    <row r="6689" spans="1:2" ht="15.5" x14ac:dyDescent="0.35">
      <c r="A6689" s="343"/>
      <c r="B6689" s="346"/>
    </row>
    <row r="6690" spans="1:2" ht="15.5" x14ac:dyDescent="0.35">
      <c r="A6690" s="343"/>
      <c r="B6690" s="346"/>
    </row>
    <row r="6691" spans="1:2" ht="15.5" x14ac:dyDescent="0.35">
      <c r="A6691" s="343"/>
      <c r="B6691" s="346"/>
    </row>
    <row r="6692" spans="1:2" ht="15.5" x14ac:dyDescent="0.35">
      <c r="A6692" s="343"/>
      <c r="B6692" s="346"/>
    </row>
    <row r="6693" spans="1:2" ht="15.5" x14ac:dyDescent="0.35">
      <c r="A6693" s="343"/>
      <c r="B6693" s="346"/>
    </row>
    <row r="6694" spans="1:2" ht="15.5" x14ac:dyDescent="0.35">
      <c r="A6694" s="343"/>
      <c r="B6694" s="346"/>
    </row>
    <row r="6695" spans="1:2" ht="15.5" x14ac:dyDescent="0.35">
      <c r="A6695" s="343"/>
      <c r="B6695" s="346"/>
    </row>
    <row r="6696" spans="1:2" ht="15.5" x14ac:dyDescent="0.35">
      <c r="A6696" s="343"/>
      <c r="B6696" s="346"/>
    </row>
    <row r="6697" spans="1:2" ht="15.5" x14ac:dyDescent="0.35">
      <c r="A6697" s="343"/>
      <c r="B6697" s="346"/>
    </row>
    <row r="6698" spans="1:2" ht="15.5" x14ac:dyDescent="0.35">
      <c r="A6698" s="343"/>
      <c r="B6698" s="346"/>
    </row>
    <row r="6699" spans="1:2" ht="15.5" x14ac:dyDescent="0.35">
      <c r="A6699" s="343"/>
      <c r="B6699" s="346"/>
    </row>
    <row r="6700" spans="1:2" ht="15.5" x14ac:dyDescent="0.35">
      <c r="A6700" s="343"/>
      <c r="B6700" s="346"/>
    </row>
    <row r="6701" spans="1:2" ht="15.5" x14ac:dyDescent="0.35">
      <c r="A6701" s="343"/>
      <c r="B6701" s="346"/>
    </row>
    <row r="6702" spans="1:2" ht="15.5" x14ac:dyDescent="0.35">
      <c r="A6702" s="343"/>
      <c r="B6702" s="346"/>
    </row>
    <row r="6703" spans="1:2" ht="15.5" x14ac:dyDescent="0.35">
      <c r="A6703" s="343"/>
      <c r="B6703" s="346"/>
    </row>
    <row r="6704" spans="1:2" ht="15.5" x14ac:dyDescent="0.35">
      <c r="A6704" s="343"/>
      <c r="B6704" s="346"/>
    </row>
    <row r="6705" spans="1:2" ht="15.5" x14ac:dyDescent="0.35">
      <c r="A6705" s="343"/>
      <c r="B6705" s="346"/>
    </row>
    <row r="6706" spans="1:2" ht="15.5" x14ac:dyDescent="0.35">
      <c r="A6706" s="343"/>
      <c r="B6706" s="346"/>
    </row>
    <row r="6707" spans="1:2" ht="15.5" x14ac:dyDescent="0.35">
      <c r="A6707" s="343"/>
      <c r="B6707" s="346"/>
    </row>
    <row r="6708" spans="1:2" ht="15.5" x14ac:dyDescent="0.35">
      <c r="A6708" s="343"/>
      <c r="B6708" s="346"/>
    </row>
    <row r="6709" spans="1:2" ht="15.5" x14ac:dyDescent="0.35">
      <c r="A6709" s="343"/>
      <c r="B6709" s="346"/>
    </row>
    <row r="6710" spans="1:2" ht="15.5" x14ac:dyDescent="0.35">
      <c r="A6710" s="343"/>
      <c r="B6710" s="346"/>
    </row>
    <row r="6711" spans="1:2" ht="15.5" x14ac:dyDescent="0.35">
      <c r="A6711" s="343"/>
      <c r="B6711" s="346"/>
    </row>
    <row r="6712" spans="1:2" ht="15.5" x14ac:dyDescent="0.35">
      <c r="A6712" s="343"/>
      <c r="B6712" s="346"/>
    </row>
    <row r="6713" spans="1:2" ht="15.5" x14ac:dyDescent="0.35">
      <c r="A6713" s="343"/>
      <c r="B6713" s="346"/>
    </row>
    <row r="6714" spans="1:2" ht="15.5" x14ac:dyDescent="0.35">
      <c r="A6714" s="343"/>
      <c r="B6714" s="346"/>
    </row>
    <row r="6715" spans="1:2" ht="15.5" x14ac:dyDescent="0.35">
      <c r="A6715" s="343"/>
      <c r="B6715" s="346"/>
    </row>
    <row r="6716" spans="1:2" ht="15.5" x14ac:dyDescent="0.35">
      <c r="A6716" s="343"/>
      <c r="B6716" s="346"/>
    </row>
    <row r="6717" spans="1:2" ht="15.5" x14ac:dyDescent="0.35">
      <c r="A6717" s="343"/>
      <c r="B6717" s="346"/>
    </row>
    <row r="6718" spans="1:2" ht="15.5" x14ac:dyDescent="0.35">
      <c r="A6718" s="343"/>
      <c r="B6718" s="346"/>
    </row>
    <row r="6719" spans="1:2" ht="15.5" x14ac:dyDescent="0.35">
      <c r="A6719" s="343"/>
      <c r="B6719" s="346"/>
    </row>
    <row r="6720" spans="1:2" ht="15.5" x14ac:dyDescent="0.35">
      <c r="A6720" s="343"/>
      <c r="B6720" s="346"/>
    </row>
    <row r="6721" spans="1:2" ht="15.5" x14ac:dyDescent="0.35">
      <c r="A6721" s="343"/>
      <c r="B6721" s="346"/>
    </row>
    <row r="6722" spans="1:2" ht="15.5" x14ac:dyDescent="0.35">
      <c r="A6722" s="343"/>
      <c r="B6722" s="346"/>
    </row>
    <row r="6723" spans="1:2" ht="15.5" x14ac:dyDescent="0.35">
      <c r="A6723" s="343"/>
      <c r="B6723" s="346"/>
    </row>
    <row r="6724" spans="1:2" ht="15.5" x14ac:dyDescent="0.35">
      <c r="A6724" s="343"/>
      <c r="B6724" s="346"/>
    </row>
    <row r="6725" spans="1:2" ht="15.5" x14ac:dyDescent="0.35">
      <c r="A6725" s="343"/>
      <c r="B6725" s="346"/>
    </row>
    <row r="6726" spans="1:2" ht="15.5" x14ac:dyDescent="0.35">
      <c r="A6726" s="343"/>
      <c r="B6726" s="346"/>
    </row>
    <row r="6727" spans="1:2" ht="15.5" x14ac:dyDescent="0.35">
      <c r="A6727" s="343"/>
      <c r="B6727" s="346"/>
    </row>
    <row r="6728" spans="1:2" ht="15.5" x14ac:dyDescent="0.35">
      <c r="A6728" s="343"/>
      <c r="B6728" s="346"/>
    </row>
    <row r="6729" spans="1:2" ht="15.5" x14ac:dyDescent="0.35">
      <c r="A6729" s="343"/>
      <c r="B6729" s="346"/>
    </row>
    <row r="6730" spans="1:2" ht="15.5" x14ac:dyDescent="0.35">
      <c r="A6730" s="343"/>
      <c r="B6730" s="346"/>
    </row>
    <row r="6731" spans="1:2" ht="15.5" x14ac:dyDescent="0.35">
      <c r="A6731" s="343"/>
      <c r="B6731" s="346"/>
    </row>
    <row r="6732" spans="1:2" ht="15.5" x14ac:dyDescent="0.35">
      <c r="A6732" s="343"/>
      <c r="B6732" s="346"/>
    </row>
    <row r="6733" spans="1:2" ht="15.5" x14ac:dyDescent="0.35">
      <c r="A6733" s="343"/>
      <c r="B6733" s="346"/>
    </row>
    <row r="6734" spans="1:2" ht="15.5" x14ac:dyDescent="0.35">
      <c r="A6734" s="343"/>
      <c r="B6734" s="346"/>
    </row>
    <row r="6735" spans="1:2" ht="15.5" x14ac:dyDescent="0.35">
      <c r="A6735" s="343"/>
      <c r="B6735" s="346"/>
    </row>
    <row r="6736" spans="1:2" ht="15.5" x14ac:dyDescent="0.35">
      <c r="A6736" s="343"/>
      <c r="B6736" s="346"/>
    </row>
    <row r="6737" spans="1:2" ht="15.5" x14ac:dyDescent="0.35">
      <c r="A6737" s="343"/>
      <c r="B6737" s="346"/>
    </row>
    <row r="6738" spans="1:2" ht="15.5" x14ac:dyDescent="0.35">
      <c r="A6738" s="343"/>
      <c r="B6738" s="346"/>
    </row>
    <row r="6739" spans="1:2" ht="15.5" x14ac:dyDescent="0.35">
      <c r="A6739" s="343"/>
      <c r="B6739" s="346"/>
    </row>
    <row r="6740" spans="1:2" ht="15.5" x14ac:dyDescent="0.35">
      <c r="A6740" s="343"/>
      <c r="B6740" s="346"/>
    </row>
    <row r="6741" spans="1:2" ht="15.5" x14ac:dyDescent="0.35">
      <c r="A6741" s="343"/>
      <c r="B6741" s="346"/>
    </row>
    <row r="6742" spans="1:2" ht="15.5" x14ac:dyDescent="0.35">
      <c r="A6742" s="343"/>
      <c r="B6742" s="346"/>
    </row>
    <row r="6743" spans="1:2" ht="15.5" x14ac:dyDescent="0.35">
      <c r="A6743" s="343"/>
      <c r="B6743" s="346"/>
    </row>
    <row r="6744" spans="1:2" ht="15.5" x14ac:dyDescent="0.35">
      <c r="A6744" s="343"/>
      <c r="B6744" s="346"/>
    </row>
    <row r="6745" spans="1:2" ht="15.5" x14ac:dyDescent="0.35">
      <c r="A6745" s="343"/>
      <c r="B6745" s="346"/>
    </row>
    <row r="6746" spans="1:2" ht="15.5" x14ac:dyDescent="0.35">
      <c r="A6746" s="343"/>
      <c r="B6746" s="346"/>
    </row>
    <row r="6747" spans="1:2" ht="15.5" x14ac:dyDescent="0.35">
      <c r="A6747" s="343"/>
      <c r="B6747" s="346"/>
    </row>
    <row r="6748" spans="1:2" ht="15.5" x14ac:dyDescent="0.35">
      <c r="A6748" s="343"/>
      <c r="B6748" s="346"/>
    </row>
    <row r="6749" spans="1:2" ht="15.5" x14ac:dyDescent="0.35">
      <c r="A6749" s="343"/>
      <c r="B6749" s="346"/>
    </row>
    <row r="6750" spans="1:2" ht="15.5" x14ac:dyDescent="0.35">
      <c r="A6750" s="343"/>
      <c r="B6750" s="346"/>
    </row>
    <row r="6751" spans="1:2" ht="15.5" x14ac:dyDescent="0.35">
      <c r="A6751" s="343"/>
      <c r="B6751" s="346"/>
    </row>
    <row r="6752" spans="1:2" ht="15.5" x14ac:dyDescent="0.35">
      <c r="A6752" s="343"/>
      <c r="B6752" s="346"/>
    </row>
    <row r="6753" spans="1:2" ht="15.5" x14ac:dyDescent="0.35">
      <c r="A6753" s="343"/>
      <c r="B6753" s="346"/>
    </row>
    <row r="6754" spans="1:2" ht="15.5" x14ac:dyDescent="0.35">
      <c r="A6754" s="343"/>
      <c r="B6754" s="346"/>
    </row>
    <row r="6755" spans="1:2" ht="15.5" x14ac:dyDescent="0.35">
      <c r="A6755" s="343"/>
      <c r="B6755" s="346"/>
    </row>
    <row r="6756" spans="1:2" ht="15.5" x14ac:dyDescent="0.35">
      <c r="A6756" s="343"/>
      <c r="B6756" s="346"/>
    </row>
    <row r="6757" spans="1:2" ht="15.5" x14ac:dyDescent="0.35">
      <c r="A6757" s="343"/>
      <c r="B6757" s="346"/>
    </row>
    <row r="6758" spans="1:2" ht="15.5" x14ac:dyDescent="0.35">
      <c r="A6758" s="343"/>
      <c r="B6758" s="346"/>
    </row>
    <row r="6759" spans="1:2" ht="15.5" x14ac:dyDescent="0.35">
      <c r="A6759" s="343"/>
      <c r="B6759" s="346"/>
    </row>
    <row r="6760" spans="1:2" ht="15.5" x14ac:dyDescent="0.35">
      <c r="A6760" s="343"/>
      <c r="B6760" s="346"/>
    </row>
    <row r="6761" spans="1:2" ht="15.5" x14ac:dyDescent="0.35">
      <c r="A6761" s="343"/>
      <c r="B6761" s="346"/>
    </row>
    <row r="6762" spans="1:2" ht="15.5" x14ac:dyDescent="0.35">
      <c r="A6762" s="343"/>
      <c r="B6762" s="346"/>
    </row>
    <row r="6763" spans="1:2" ht="15.5" x14ac:dyDescent="0.35">
      <c r="A6763" s="343"/>
      <c r="B6763" s="346"/>
    </row>
    <row r="6764" spans="1:2" ht="15.5" x14ac:dyDescent="0.35">
      <c r="A6764" s="343"/>
      <c r="B6764" s="346"/>
    </row>
    <row r="6765" spans="1:2" ht="15.5" x14ac:dyDescent="0.35">
      <c r="A6765" s="343"/>
      <c r="B6765" s="346"/>
    </row>
    <row r="6766" spans="1:2" ht="15.5" x14ac:dyDescent="0.35">
      <c r="A6766" s="343"/>
      <c r="B6766" s="346"/>
    </row>
    <row r="6767" spans="1:2" ht="15.5" x14ac:dyDescent="0.35">
      <c r="A6767" s="343"/>
      <c r="B6767" s="346"/>
    </row>
    <row r="6768" spans="1:2" ht="15.5" x14ac:dyDescent="0.35">
      <c r="A6768" s="343"/>
      <c r="B6768" s="346"/>
    </row>
    <row r="6769" spans="1:2" ht="15.5" x14ac:dyDescent="0.35">
      <c r="A6769" s="343"/>
      <c r="B6769" s="346"/>
    </row>
    <row r="6770" spans="1:2" ht="15.5" x14ac:dyDescent="0.35">
      <c r="A6770" s="343"/>
      <c r="B6770" s="346"/>
    </row>
    <row r="6771" spans="1:2" ht="15.5" x14ac:dyDescent="0.35">
      <c r="A6771" s="343"/>
      <c r="B6771" s="346"/>
    </row>
    <row r="6772" spans="1:2" ht="15.5" x14ac:dyDescent="0.35">
      <c r="A6772" s="343"/>
      <c r="B6772" s="346"/>
    </row>
    <row r="6773" spans="1:2" ht="15.5" x14ac:dyDescent="0.35">
      <c r="A6773" s="343"/>
      <c r="B6773" s="346"/>
    </row>
    <row r="6774" spans="1:2" ht="15.5" x14ac:dyDescent="0.35">
      <c r="A6774" s="343"/>
      <c r="B6774" s="346"/>
    </row>
    <row r="6775" spans="1:2" ht="15.5" x14ac:dyDescent="0.35">
      <c r="A6775" s="343"/>
      <c r="B6775" s="346"/>
    </row>
    <row r="6776" spans="1:2" ht="15.5" x14ac:dyDescent="0.35">
      <c r="A6776" s="343"/>
      <c r="B6776" s="346"/>
    </row>
    <row r="6777" spans="1:2" ht="15.5" x14ac:dyDescent="0.35">
      <c r="A6777" s="343"/>
      <c r="B6777" s="346"/>
    </row>
    <row r="6778" spans="1:2" ht="15.5" x14ac:dyDescent="0.35">
      <c r="A6778" s="343"/>
      <c r="B6778" s="346"/>
    </row>
    <row r="6779" spans="1:2" ht="15.5" x14ac:dyDescent="0.35">
      <c r="A6779" s="343"/>
      <c r="B6779" s="346"/>
    </row>
    <row r="6780" spans="1:2" ht="15.5" x14ac:dyDescent="0.35">
      <c r="A6780" s="343"/>
      <c r="B6780" s="346"/>
    </row>
    <row r="6781" spans="1:2" ht="15.5" x14ac:dyDescent="0.35">
      <c r="A6781" s="343"/>
      <c r="B6781" s="346"/>
    </row>
    <row r="6782" spans="1:2" ht="15.5" x14ac:dyDescent="0.35">
      <c r="A6782" s="343"/>
      <c r="B6782" s="346"/>
    </row>
    <row r="6783" spans="1:2" ht="15.5" x14ac:dyDescent="0.35">
      <c r="A6783" s="343"/>
      <c r="B6783" s="346"/>
    </row>
    <row r="6784" spans="1:2" ht="15.5" x14ac:dyDescent="0.35">
      <c r="A6784" s="343"/>
      <c r="B6784" s="346"/>
    </row>
    <row r="6785" spans="1:2" ht="15.5" x14ac:dyDescent="0.35">
      <c r="A6785" s="343"/>
      <c r="B6785" s="346"/>
    </row>
    <row r="6786" spans="1:2" ht="15.5" x14ac:dyDescent="0.35">
      <c r="A6786" s="343"/>
      <c r="B6786" s="346"/>
    </row>
    <row r="6787" spans="1:2" ht="15.5" x14ac:dyDescent="0.35">
      <c r="A6787" s="343"/>
      <c r="B6787" s="346"/>
    </row>
    <row r="6788" spans="1:2" ht="15.5" x14ac:dyDescent="0.35">
      <c r="A6788" s="343"/>
      <c r="B6788" s="346"/>
    </row>
    <row r="6789" spans="1:2" ht="15.5" x14ac:dyDescent="0.35">
      <c r="A6789" s="343"/>
      <c r="B6789" s="346"/>
    </row>
    <row r="6790" spans="1:2" ht="15.5" x14ac:dyDescent="0.35">
      <c r="A6790" s="343"/>
      <c r="B6790" s="346"/>
    </row>
    <row r="6791" spans="1:2" ht="15.5" x14ac:dyDescent="0.35">
      <c r="A6791" s="343"/>
      <c r="B6791" s="346"/>
    </row>
    <row r="6792" spans="1:2" ht="15.5" x14ac:dyDescent="0.35">
      <c r="A6792" s="343"/>
      <c r="B6792" s="346"/>
    </row>
    <row r="6793" spans="1:2" ht="15.5" x14ac:dyDescent="0.35">
      <c r="A6793" s="343"/>
      <c r="B6793" s="346"/>
    </row>
    <row r="6794" spans="1:2" ht="15.5" x14ac:dyDescent="0.35">
      <c r="A6794" s="343"/>
      <c r="B6794" s="346"/>
    </row>
    <row r="6795" spans="1:2" ht="15.5" x14ac:dyDescent="0.35">
      <c r="A6795" s="343"/>
      <c r="B6795" s="346"/>
    </row>
    <row r="6796" spans="1:2" ht="15.5" x14ac:dyDescent="0.35">
      <c r="A6796" s="343"/>
      <c r="B6796" s="346"/>
    </row>
    <row r="6797" spans="1:2" ht="15.5" x14ac:dyDescent="0.35">
      <c r="A6797" s="343"/>
      <c r="B6797" s="346"/>
    </row>
    <row r="6798" spans="1:2" ht="15.5" x14ac:dyDescent="0.35">
      <c r="A6798" s="343"/>
      <c r="B6798" s="346"/>
    </row>
    <row r="6799" spans="1:2" ht="15.5" x14ac:dyDescent="0.35">
      <c r="A6799" s="343"/>
      <c r="B6799" s="346"/>
    </row>
    <row r="6800" spans="1:2" ht="15.5" x14ac:dyDescent="0.35">
      <c r="A6800" s="343"/>
      <c r="B6800" s="346"/>
    </row>
    <row r="6801" spans="1:2" ht="15.5" x14ac:dyDescent="0.35">
      <c r="A6801" s="343"/>
      <c r="B6801" s="346"/>
    </row>
    <row r="6802" spans="1:2" ht="15.5" x14ac:dyDescent="0.35">
      <c r="A6802" s="343"/>
      <c r="B6802" s="346"/>
    </row>
    <row r="6803" spans="1:2" ht="15.5" x14ac:dyDescent="0.35">
      <c r="A6803" s="343"/>
      <c r="B6803" s="346"/>
    </row>
    <row r="6804" spans="1:2" ht="15.5" x14ac:dyDescent="0.35">
      <c r="A6804" s="343"/>
      <c r="B6804" s="346"/>
    </row>
    <row r="6805" spans="1:2" ht="15.5" x14ac:dyDescent="0.35">
      <c r="A6805" s="343"/>
      <c r="B6805" s="346"/>
    </row>
    <row r="6806" spans="1:2" ht="15.5" x14ac:dyDescent="0.35">
      <c r="A6806" s="343"/>
      <c r="B6806" s="346"/>
    </row>
    <row r="6807" spans="1:2" ht="15.5" x14ac:dyDescent="0.35">
      <c r="A6807" s="343"/>
      <c r="B6807" s="346"/>
    </row>
    <row r="6808" spans="1:2" ht="15.5" x14ac:dyDescent="0.35">
      <c r="A6808" s="343"/>
      <c r="B6808" s="346"/>
    </row>
    <row r="6809" spans="1:2" ht="15.5" x14ac:dyDescent="0.35">
      <c r="A6809" s="343"/>
      <c r="B6809" s="346"/>
    </row>
    <row r="6810" spans="1:2" ht="15.5" x14ac:dyDescent="0.35">
      <c r="A6810" s="343"/>
      <c r="B6810" s="346"/>
    </row>
    <row r="6811" spans="1:2" ht="15.5" x14ac:dyDescent="0.35">
      <c r="A6811" s="343"/>
      <c r="B6811" s="346"/>
    </row>
    <row r="6812" spans="1:2" ht="15.5" x14ac:dyDescent="0.35">
      <c r="A6812" s="343"/>
      <c r="B6812" s="346"/>
    </row>
    <row r="6813" spans="1:2" ht="15.5" x14ac:dyDescent="0.35">
      <c r="A6813" s="343"/>
      <c r="B6813" s="346"/>
    </row>
    <row r="6814" spans="1:2" ht="15.5" x14ac:dyDescent="0.35">
      <c r="A6814" s="343"/>
      <c r="B6814" s="346"/>
    </row>
    <row r="6815" spans="1:2" ht="15.5" x14ac:dyDescent="0.35">
      <c r="A6815" s="343"/>
      <c r="B6815" s="346"/>
    </row>
    <row r="6816" spans="1:2" ht="15.5" x14ac:dyDescent="0.35">
      <c r="A6816" s="343"/>
      <c r="B6816" s="346"/>
    </row>
    <row r="6817" spans="1:2" ht="15.5" x14ac:dyDescent="0.35">
      <c r="A6817" s="343"/>
      <c r="B6817" s="346"/>
    </row>
    <row r="6818" spans="1:2" ht="15.5" x14ac:dyDescent="0.35">
      <c r="A6818" s="343"/>
      <c r="B6818" s="346"/>
    </row>
    <row r="6819" spans="1:2" ht="15.5" x14ac:dyDescent="0.35">
      <c r="A6819" s="343"/>
      <c r="B6819" s="346"/>
    </row>
    <row r="6820" spans="1:2" ht="15.5" x14ac:dyDescent="0.35">
      <c r="A6820" s="343"/>
      <c r="B6820" s="346"/>
    </row>
    <row r="6821" spans="1:2" ht="15.5" x14ac:dyDescent="0.35">
      <c r="A6821" s="343"/>
      <c r="B6821" s="346"/>
    </row>
    <row r="6822" spans="1:2" ht="15.5" x14ac:dyDescent="0.35">
      <c r="A6822" s="343"/>
      <c r="B6822" s="346"/>
    </row>
    <row r="6823" spans="1:2" ht="15.5" x14ac:dyDescent="0.35">
      <c r="A6823" s="343"/>
      <c r="B6823" s="346"/>
    </row>
    <row r="6824" spans="1:2" ht="15.5" x14ac:dyDescent="0.35">
      <c r="A6824" s="343"/>
      <c r="B6824" s="346"/>
    </row>
    <row r="6825" spans="1:2" ht="15.5" x14ac:dyDescent="0.35">
      <c r="A6825" s="343"/>
      <c r="B6825" s="346"/>
    </row>
    <row r="6826" spans="1:2" ht="15.5" x14ac:dyDescent="0.35">
      <c r="A6826" s="343"/>
      <c r="B6826" s="346"/>
    </row>
    <row r="6827" spans="1:2" ht="15.5" x14ac:dyDescent="0.35">
      <c r="A6827" s="343"/>
      <c r="B6827" s="346"/>
    </row>
    <row r="6828" spans="1:2" ht="15.5" x14ac:dyDescent="0.35">
      <c r="A6828" s="343"/>
      <c r="B6828" s="346"/>
    </row>
    <row r="6829" spans="1:2" ht="15.5" x14ac:dyDescent="0.35">
      <c r="A6829" s="343"/>
      <c r="B6829" s="346"/>
    </row>
    <row r="6830" spans="1:2" ht="15.5" x14ac:dyDescent="0.35">
      <c r="A6830" s="343"/>
      <c r="B6830" s="346"/>
    </row>
    <row r="6831" spans="1:2" ht="15.5" x14ac:dyDescent="0.35">
      <c r="A6831" s="343"/>
      <c r="B6831" s="346"/>
    </row>
    <row r="6832" spans="1:2" ht="15.5" x14ac:dyDescent="0.35">
      <c r="A6832" s="343"/>
      <c r="B6832" s="346"/>
    </row>
    <row r="6833" spans="1:2" ht="15.5" x14ac:dyDescent="0.35">
      <c r="A6833" s="343"/>
      <c r="B6833" s="346"/>
    </row>
    <row r="6834" spans="1:2" ht="15.5" x14ac:dyDescent="0.35">
      <c r="A6834" s="343"/>
      <c r="B6834" s="346"/>
    </row>
    <row r="6835" spans="1:2" ht="15.5" x14ac:dyDescent="0.35">
      <c r="A6835" s="343"/>
      <c r="B6835" s="346"/>
    </row>
    <row r="6836" spans="1:2" ht="15.5" x14ac:dyDescent="0.35">
      <c r="A6836" s="343"/>
      <c r="B6836" s="346"/>
    </row>
    <row r="6837" spans="1:2" ht="15.5" x14ac:dyDescent="0.35">
      <c r="A6837" s="343"/>
      <c r="B6837" s="346"/>
    </row>
    <row r="6838" spans="1:2" ht="15.5" x14ac:dyDescent="0.35">
      <c r="A6838" s="343"/>
      <c r="B6838" s="346"/>
    </row>
    <row r="6839" spans="1:2" ht="15.5" x14ac:dyDescent="0.35">
      <c r="A6839" s="343"/>
      <c r="B6839" s="346"/>
    </row>
    <row r="6840" spans="1:2" ht="15.5" x14ac:dyDescent="0.35">
      <c r="A6840" s="343"/>
      <c r="B6840" s="346"/>
    </row>
    <row r="6841" spans="1:2" ht="15.5" x14ac:dyDescent="0.35">
      <c r="A6841" s="343"/>
      <c r="B6841" s="346"/>
    </row>
    <row r="6842" spans="1:2" ht="15.5" x14ac:dyDescent="0.35">
      <c r="A6842" s="343"/>
      <c r="B6842" s="346"/>
    </row>
    <row r="6843" spans="1:2" ht="15.5" x14ac:dyDescent="0.35">
      <c r="A6843" s="343"/>
      <c r="B6843" s="346"/>
    </row>
    <row r="6844" spans="1:2" ht="15.5" x14ac:dyDescent="0.35">
      <c r="A6844" s="343"/>
      <c r="B6844" s="346"/>
    </row>
    <row r="6845" spans="1:2" ht="15.5" x14ac:dyDescent="0.35">
      <c r="A6845" s="343"/>
      <c r="B6845" s="346"/>
    </row>
    <row r="6846" spans="1:2" ht="15.5" x14ac:dyDescent="0.35">
      <c r="A6846" s="343"/>
      <c r="B6846" s="346"/>
    </row>
    <row r="6847" spans="1:2" ht="15.5" x14ac:dyDescent="0.35">
      <c r="A6847" s="343"/>
      <c r="B6847" s="346"/>
    </row>
    <row r="6848" spans="1:2" ht="15.5" x14ac:dyDescent="0.35">
      <c r="A6848" s="343"/>
      <c r="B6848" s="346"/>
    </row>
    <row r="6849" spans="1:2" ht="15.5" x14ac:dyDescent="0.35">
      <c r="A6849" s="343"/>
      <c r="B6849" s="346"/>
    </row>
    <row r="6850" spans="1:2" ht="15.5" x14ac:dyDescent="0.35">
      <c r="A6850" s="343"/>
      <c r="B6850" s="346"/>
    </row>
    <row r="6851" spans="1:2" ht="15.5" x14ac:dyDescent="0.35">
      <c r="A6851" s="343"/>
      <c r="B6851" s="346"/>
    </row>
    <row r="6852" spans="1:2" ht="15.5" x14ac:dyDescent="0.35">
      <c r="A6852" s="343"/>
      <c r="B6852" s="346"/>
    </row>
    <row r="6853" spans="1:2" ht="15.5" x14ac:dyDescent="0.35">
      <c r="A6853" s="343"/>
      <c r="B6853" s="346"/>
    </row>
    <row r="6854" spans="1:2" ht="15.5" x14ac:dyDescent="0.35">
      <c r="A6854" s="343"/>
      <c r="B6854" s="346"/>
    </row>
    <row r="6855" spans="1:2" ht="15.5" x14ac:dyDescent="0.35">
      <c r="A6855" s="343"/>
      <c r="B6855" s="346"/>
    </row>
    <row r="6856" spans="1:2" ht="15.5" x14ac:dyDescent="0.35">
      <c r="A6856" s="343"/>
      <c r="B6856" s="346"/>
    </row>
    <row r="6857" spans="1:2" ht="15.5" x14ac:dyDescent="0.35">
      <c r="A6857" s="343"/>
      <c r="B6857" s="344"/>
    </row>
    <row r="6858" spans="1:2" ht="15.5" x14ac:dyDescent="0.35">
      <c r="A6858" s="343"/>
      <c r="B6858" s="344"/>
    </row>
    <row r="6859" spans="1:2" ht="15.5" x14ac:dyDescent="0.35">
      <c r="A6859" s="343"/>
      <c r="B6859" s="344"/>
    </row>
    <row r="6860" spans="1:2" ht="15.5" x14ac:dyDescent="0.35">
      <c r="A6860" s="343"/>
      <c r="B6860" s="344"/>
    </row>
    <row r="6861" spans="1:2" ht="15.5" x14ac:dyDescent="0.35">
      <c r="A6861" s="343"/>
      <c r="B6861" s="344"/>
    </row>
    <row r="6862" spans="1:2" ht="15.5" x14ac:dyDescent="0.35">
      <c r="A6862" s="343"/>
      <c r="B6862" s="344"/>
    </row>
    <row r="6863" spans="1:2" ht="15.5" x14ac:dyDescent="0.35">
      <c r="A6863" s="343"/>
      <c r="B6863" s="344"/>
    </row>
    <row r="6864" spans="1:2" ht="15.5" x14ac:dyDescent="0.35">
      <c r="A6864" s="343"/>
      <c r="B6864" s="344"/>
    </row>
    <row r="6865" spans="1:2" ht="15.5" x14ac:dyDescent="0.35">
      <c r="A6865" s="343"/>
      <c r="B6865" s="344"/>
    </row>
    <row r="6866" spans="1:2" ht="15.5" x14ac:dyDescent="0.35">
      <c r="A6866" s="343"/>
      <c r="B6866" s="344"/>
    </row>
    <row r="6867" spans="1:2" ht="15.5" x14ac:dyDescent="0.35">
      <c r="A6867" s="343"/>
      <c r="B6867" s="344"/>
    </row>
    <row r="6868" spans="1:2" ht="15.5" x14ac:dyDescent="0.35">
      <c r="A6868" s="343"/>
      <c r="B6868" s="344"/>
    </row>
    <row r="6869" spans="1:2" ht="15.5" x14ac:dyDescent="0.35">
      <c r="A6869" s="343"/>
      <c r="B6869" s="344"/>
    </row>
    <row r="6870" spans="1:2" ht="15.5" x14ac:dyDescent="0.35">
      <c r="A6870" s="343"/>
      <c r="B6870" s="344"/>
    </row>
    <row r="6871" spans="1:2" ht="15.5" x14ac:dyDescent="0.35">
      <c r="A6871" s="343"/>
      <c r="B6871" s="344"/>
    </row>
    <row r="6872" spans="1:2" ht="15.5" x14ac:dyDescent="0.35">
      <c r="A6872" s="343"/>
      <c r="B6872" s="344"/>
    </row>
    <row r="6873" spans="1:2" ht="15.5" x14ac:dyDescent="0.35">
      <c r="A6873" s="343"/>
      <c r="B6873" s="344"/>
    </row>
    <row r="6874" spans="1:2" ht="15.5" x14ac:dyDescent="0.35">
      <c r="A6874" s="343"/>
      <c r="B6874" s="344"/>
    </row>
    <row r="6875" spans="1:2" ht="15.5" x14ac:dyDescent="0.35">
      <c r="A6875" s="343"/>
      <c r="B6875" s="344"/>
    </row>
    <row r="6876" spans="1:2" ht="15.5" x14ac:dyDescent="0.35">
      <c r="A6876" s="343"/>
      <c r="B6876" s="344"/>
    </row>
    <row r="6877" spans="1:2" ht="15.5" x14ac:dyDescent="0.35">
      <c r="A6877" s="343"/>
      <c r="B6877" s="344"/>
    </row>
    <row r="6878" spans="1:2" ht="15.5" x14ac:dyDescent="0.35">
      <c r="A6878" s="343"/>
      <c r="B6878" s="344"/>
    </row>
    <row r="6879" spans="1:2" ht="15.5" x14ac:dyDescent="0.35">
      <c r="A6879" s="343"/>
      <c r="B6879" s="344"/>
    </row>
    <row r="6880" spans="1:2" ht="15.5" x14ac:dyDescent="0.35">
      <c r="A6880" s="343"/>
      <c r="B6880" s="344"/>
    </row>
    <row r="6881" spans="1:2" ht="15.5" x14ac:dyDescent="0.35">
      <c r="A6881" s="343"/>
      <c r="B6881" s="344"/>
    </row>
    <row r="6882" spans="1:2" ht="15.5" x14ac:dyDescent="0.35">
      <c r="A6882" s="343"/>
      <c r="B6882" s="344"/>
    </row>
    <row r="6883" spans="1:2" ht="15.5" x14ac:dyDescent="0.35">
      <c r="A6883" s="343"/>
      <c r="B6883" s="344"/>
    </row>
    <row r="6884" spans="1:2" ht="15.5" x14ac:dyDescent="0.35">
      <c r="A6884" s="343"/>
      <c r="B6884" s="344"/>
    </row>
    <row r="6885" spans="1:2" ht="15.5" x14ac:dyDescent="0.35">
      <c r="A6885" s="343"/>
      <c r="B6885" s="344"/>
    </row>
    <row r="6886" spans="1:2" ht="15.5" x14ac:dyDescent="0.35">
      <c r="A6886" s="343"/>
      <c r="B6886" s="344"/>
    </row>
    <row r="6887" spans="1:2" ht="15.5" x14ac:dyDescent="0.35">
      <c r="A6887" s="343"/>
      <c r="B6887" s="344"/>
    </row>
    <row r="6888" spans="1:2" ht="15.5" x14ac:dyDescent="0.35">
      <c r="A6888" s="343"/>
      <c r="B6888" s="344"/>
    </row>
    <row r="6889" spans="1:2" ht="15.5" x14ac:dyDescent="0.35">
      <c r="A6889" s="343"/>
      <c r="B6889" s="344"/>
    </row>
    <row r="6890" spans="1:2" ht="15.5" x14ac:dyDescent="0.35">
      <c r="A6890" s="343"/>
      <c r="B6890" s="344"/>
    </row>
    <row r="6891" spans="1:2" ht="15.5" x14ac:dyDescent="0.35">
      <c r="A6891" s="343"/>
      <c r="B6891" s="344"/>
    </row>
    <row r="6892" spans="1:2" ht="15.5" x14ac:dyDescent="0.35">
      <c r="A6892" s="343"/>
      <c r="B6892" s="344"/>
    </row>
    <row r="6893" spans="1:2" ht="15.5" x14ac:dyDescent="0.35">
      <c r="A6893" s="343"/>
      <c r="B6893" s="344"/>
    </row>
    <row r="6894" spans="1:2" ht="15.5" x14ac:dyDescent="0.35">
      <c r="A6894" s="343"/>
      <c r="B6894" s="344"/>
    </row>
    <row r="6895" spans="1:2" ht="15.5" x14ac:dyDescent="0.35">
      <c r="A6895" s="343"/>
      <c r="B6895" s="344"/>
    </row>
    <row r="6896" spans="1:2" ht="15.5" x14ac:dyDescent="0.35">
      <c r="A6896" s="343"/>
      <c r="B6896" s="344"/>
    </row>
    <row r="6897" spans="1:2" ht="15.5" x14ac:dyDescent="0.35">
      <c r="A6897" s="343"/>
      <c r="B6897" s="344"/>
    </row>
    <row r="6898" spans="1:2" ht="15.5" x14ac:dyDescent="0.35">
      <c r="A6898" s="343"/>
      <c r="B6898" s="344"/>
    </row>
    <row r="6899" spans="1:2" ht="15.5" x14ac:dyDescent="0.35">
      <c r="A6899" s="343"/>
      <c r="B6899" s="344"/>
    </row>
    <row r="6900" spans="1:2" ht="15.5" x14ac:dyDescent="0.35">
      <c r="A6900" s="343"/>
      <c r="B6900" s="344"/>
    </row>
    <row r="6901" spans="1:2" ht="15.5" x14ac:dyDescent="0.35">
      <c r="A6901" s="343"/>
      <c r="B6901" s="344"/>
    </row>
    <row r="6902" spans="1:2" ht="15.5" x14ac:dyDescent="0.35">
      <c r="A6902" s="343"/>
      <c r="B6902" s="344"/>
    </row>
    <row r="6903" spans="1:2" ht="15.5" x14ac:dyDescent="0.35">
      <c r="A6903" s="343"/>
      <c r="B6903" s="344"/>
    </row>
    <row r="6904" spans="1:2" ht="15.5" x14ac:dyDescent="0.35">
      <c r="A6904" s="343"/>
      <c r="B6904" s="344"/>
    </row>
    <row r="6905" spans="1:2" ht="15.5" x14ac:dyDescent="0.35">
      <c r="A6905" s="343"/>
      <c r="B6905" s="344"/>
    </row>
    <row r="6906" spans="1:2" ht="15.5" x14ac:dyDescent="0.35">
      <c r="A6906" s="343"/>
      <c r="B6906" s="344"/>
    </row>
    <row r="6907" spans="1:2" ht="15.5" x14ac:dyDescent="0.35">
      <c r="A6907" s="343"/>
      <c r="B6907" s="344"/>
    </row>
    <row r="6908" spans="1:2" ht="15.5" x14ac:dyDescent="0.35">
      <c r="A6908" s="343"/>
      <c r="B6908" s="344"/>
    </row>
    <row r="6909" spans="1:2" ht="15.5" x14ac:dyDescent="0.35">
      <c r="A6909" s="343"/>
      <c r="B6909" s="344"/>
    </row>
    <row r="6910" spans="1:2" ht="15.5" x14ac:dyDescent="0.35">
      <c r="A6910" s="343"/>
      <c r="B6910" s="344"/>
    </row>
    <row r="6911" spans="1:2" ht="15.5" x14ac:dyDescent="0.35">
      <c r="A6911" s="343"/>
      <c r="B6911" s="344"/>
    </row>
    <row r="6912" spans="1:2" ht="15.5" x14ac:dyDescent="0.35">
      <c r="A6912" s="343"/>
      <c r="B6912" s="344"/>
    </row>
    <row r="6913" spans="1:2" ht="15.5" x14ac:dyDescent="0.35">
      <c r="A6913" s="343"/>
      <c r="B6913" s="344"/>
    </row>
    <row r="6914" spans="1:2" ht="15.5" x14ac:dyDescent="0.35">
      <c r="A6914" s="343"/>
      <c r="B6914" s="344"/>
    </row>
    <row r="6915" spans="1:2" ht="15.5" x14ac:dyDescent="0.35">
      <c r="A6915" s="343"/>
      <c r="B6915" s="344"/>
    </row>
    <row r="6916" spans="1:2" ht="15.5" x14ac:dyDescent="0.35">
      <c r="A6916" s="343"/>
      <c r="B6916" s="344"/>
    </row>
    <row r="6917" spans="1:2" ht="15.5" x14ac:dyDescent="0.35">
      <c r="A6917" s="343"/>
      <c r="B6917" s="344"/>
    </row>
    <row r="6918" spans="1:2" ht="15.5" x14ac:dyDescent="0.35">
      <c r="A6918" s="343"/>
      <c r="B6918" s="344"/>
    </row>
    <row r="6919" spans="1:2" ht="15.5" x14ac:dyDescent="0.35">
      <c r="A6919" s="343"/>
      <c r="B6919" s="344"/>
    </row>
    <row r="6920" spans="1:2" ht="15.5" x14ac:dyDescent="0.35">
      <c r="A6920" s="343"/>
      <c r="B6920" s="344"/>
    </row>
    <row r="6921" spans="1:2" ht="15.5" x14ac:dyDescent="0.35">
      <c r="A6921" s="343"/>
      <c r="B6921" s="344"/>
    </row>
    <row r="6922" spans="1:2" ht="15.5" x14ac:dyDescent="0.35">
      <c r="A6922" s="343"/>
      <c r="B6922" s="344"/>
    </row>
    <row r="6923" spans="1:2" ht="15.5" x14ac:dyDescent="0.35">
      <c r="A6923" s="343"/>
      <c r="B6923" s="344"/>
    </row>
    <row r="6924" spans="1:2" ht="15.5" x14ac:dyDescent="0.35">
      <c r="A6924" s="343"/>
      <c r="B6924" s="344"/>
    </row>
    <row r="6925" spans="1:2" ht="15.5" x14ac:dyDescent="0.35">
      <c r="A6925" s="343"/>
      <c r="B6925" s="344"/>
    </row>
    <row r="6926" spans="1:2" ht="15.5" x14ac:dyDescent="0.35">
      <c r="A6926" s="343"/>
      <c r="B6926" s="344"/>
    </row>
    <row r="6927" spans="1:2" ht="15.5" x14ac:dyDescent="0.35">
      <c r="A6927" s="343"/>
      <c r="B6927" s="344"/>
    </row>
    <row r="6928" spans="1:2" ht="15.5" x14ac:dyDescent="0.35">
      <c r="A6928" s="343"/>
      <c r="B6928" s="344"/>
    </row>
    <row r="6929" spans="1:2" ht="15.5" x14ac:dyDescent="0.35">
      <c r="A6929" s="343"/>
      <c r="B6929" s="344"/>
    </row>
    <row r="6930" spans="1:2" ht="15.5" x14ac:dyDescent="0.35">
      <c r="A6930" s="343"/>
      <c r="B6930" s="344"/>
    </row>
    <row r="6931" spans="1:2" ht="15.5" x14ac:dyDescent="0.35">
      <c r="A6931" s="343"/>
      <c r="B6931" s="344"/>
    </row>
    <row r="6932" spans="1:2" ht="15.5" x14ac:dyDescent="0.35">
      <c r="A6932" s="343"/>
      <c r="B6932" s="344"/>
    </row>
    <row r="6933" spans="1:2" ht="15.5" x14ac:dyDescent="0.35">
      <c r="A6933" s="343"/>
      <c r="B6933" s="344"/>
    </row>
    <row r="6934" spans="1:2" ht="15.5" x14ac:dyDescent="0.35">
      <c r="A6934" s="343"/>
      <c r="B6934" s="344"/>
    </row>
    <row r="6935" spans="1:2" ht="15.5" x14ac:dyDescent="0.35">
      <c r="A6935" s="343"/>
      <c r="B6935" s="344"/>
    </row>
    <row r="6936" spans="1:2" ht="15.5" x14ac:dyDescent="0.35">
      <c r="A6936" s="343"/>
      <c r="B6936" s="344"/>
    </row>
    <row r="6937" spans="1:2" ht="15.5" x14ac:dyDescent="0.35">
      <c r="A6937" s="343"/>
      <c r="B6937" s="344"/>
    </row>
    <row r="6938" spans="1:2" ht="15.5" x14ac:dyDescent="0.35">
      <c r="A6938" s="343"/>
      <c r="B6938" s="344"/>
    </row>
    <row r="6939" spans="1:2" ht="15.5" x14ac:dyDescent="0.35">
      <c r="A6939" s="343"/>
      <c r="B6939" s="344"/>
    </row>
    <row r="6940" spans="1:2" ht="15.5" x14ac:dyDescent="0.35">
      <c r="A6940" s="343"/>
      <c r="B6940" s="344"/>
    </row>
    <row r="6941" spans="1:2" ht="15.5" x14ac:dyDescent="0.35">
      <c r="A6941" s="343"/>
      <c r="B6941" s="344"/>
    </row>
    <row r="6942" spans="1:2" ht="15.5" x14ac:dyDescent="0.35">
      <c r="A6942" s="343"/>
      <c r="B6942" s="344"/>
    </row>
    <row r="6943" spans="1:2" ht="15.5" x14ac:dyDescent="0.35">
      <c r="A6943" s="343"/>
      <c r="B6943" s="344"/>
    </row>
    <row r="6944" spans="1:2" ht="15.5" x14ac:dyDescent="0.35">
      <c r="A6944" s="343"/>
      <c r="B6944" s="344"/>
    </row>
    <row r="6945" spans="1:2" ht="15.5" x14ac:dyDescent="0.35">
      <c r="A6945" s="343"/>
      <c r="B6945" s="344"/>
    </row>
    <row r="6946" spans="1:2" ht="15.5" x14ac:dyDescent="0.35">
      <c r="A6946" s="343"/>
      <c r="B6946" s="344"/>
    </row>
    <row r="6947" spans="1:2" ht="15.5" x14ac:dyDescent="0.35">
      <c r="A6947" s="343"/>
      <c r="B6947" s="344"/>
    </row>
    <row r="6948" spans="1:2" ht="15.5" x14ac:dyDescent="0.35">
      <c r="A6948" s="343"/>
      <c r="B6948" s="344"/>
    </row>
    <row r="6949" spans="1:2" ht="15.5" x14ac:dyDescent="0.35">
      <c r="A6949" s="343"/>
      <c r="B6949" s="344"/>
    </row>
    <row r="6950" spans="1:2" ht="15.5" x14ac:dyDescent="0.35">
      <c r="A6950" s="343"/>
      <c r="B6950" s="344"/>
    </row>
    <row r="6951" spans="1:2" ht="15.5" x14ac:dyDescent="0.35">
      <c r="A6951" s="343"/>
      <c r="B6951" s="344"/>
    </row>
    <row r="6952" spans="1:2" ht="15.5" x14ac:dyDescent="0.35">
      <c r="A6952" s="343"/>
      <c r="B6952" s="344"/>
    </row>
    <row r="6953" spans="1:2" ht="15.5" x14ac:dyDescent="0.35">
      <c r="A6953" s="343"/>
      <c r="B6953" s="344"/>
    </row>
    <row r="6954" spans="1:2" ht="15.5" x14ac:dyDescent="0.35">
      <c r="A6954" s="343"/>
      <c r="B6954" s="344"/>
    </row>
    <row r="6955" spans="1:2" ht="15.5" x14ac:dyDescent="0.35">
      <c r="A6955" s="343"/>
      <c r="B6955" s="344"/>
    </row>
    <row r="6956" spans="1:2" ht="15.5" x14ac:dyDescent="0.35">
      <c r="A6956" s="343"/>
      <c r="B6956" s="344"/>
    </row>
    <row r="6957" spans="1:2" ht="15.5" x14ac:dyDescent="0.35">
      <c r="A6957" s="343"/>
      <c r="B6957" s="344"/>
    </row>
    <row r="6958" spans="1:2" ht="15.5" x14ac:dyDescent="0.35">
      <c r="A6958" s="343"/>
      <c r="B6958" s="344"/>
    </row>
    <row r="6959" spans="1:2" ht="15.5" x14ac:dyDescent="0.35">
      <c r="A6959" s="343"/>
      <c r="B6959" s="344"/>
    </row>
    <row r="6960" spans="1:2" ht="15.5" x14ac:dyDescent="0.35">
      <c r="A6960" s="343"/>
      <c r="B6960" s="344"/>
    </row>
    <row r="6961" spans="1:2" ht="15.5" x14ac:dyDescent="0.35">
      <c r="A6961" s="343"/>
      <c r="B6961" s="344"/>
    </row>
    <row r="6962" spans="1:2" ht="15.5" x14ac:dyDescent="0.35">
      <c r="A6962" s="343"/>
      <c r="B6962" s="344"/>
    </row>
    <row r="6963" spans="1:2" ht="15.5" x14ac:dyDescent="0.35">
      <c r="A6963" s="343"/>
      <c r="B6963" s="344"/>
    </row>
    <row r="6964" spans="1:2" ht="15.5" x14ac:dyDescent="0.35">
      <c r="A6964" s="343"/>
      <c r="B6964" s="344"/>
    </row>
    <row r="6965" spans="1:2" ht="15.5" x14ac:dyDescent="0.35">
      <c r="A6965" s="343"/>
      <c r="B6965" s="344"/>
    </row>
    <row r="6966" spans="1:2" ht="15.5" x14ac:dyDescent="0.35">
      <c r="A6966" s="343"/>
      <c r="B6966" s="344"/>
    </row>
    <row r="6967" spans="1:2" ht="15.5" x14ac:dyDescent="0.35">
      <c r="A6967" s="343"/>
      <c r="B6967" s="344"/>
    </row>
    <row r="6968" spans="1:2" ht="15.5" x14ac:dyDescent="0.35">
      <c r="A6968" s="343"/>
      <c r="B6968" s="344"/>
    </row>
    <row r="6969" spans="1:2" ht="15.5" x14ac:dyDescent="0.35">
      <c r="A6969" s="343"/>
      <c r="B6969" s="344"/>
    </row>
    <row r="6970" spans="1:2" ht="15.5" x14ac:dyDescent="0.35">
      <c r="A6970" s="343"/>
      <c r="B6970" s="344"/>
    </row>
    <row r="6971" spans="1:2" ht="15.5" x14ac:dyDescent="0.35">
      <c r="A6971" s="343"/>
      <c r="B6971" s="344"/>
    </row>
    <row r="6972" spans="1:2" ht="15.5" x14ac:dyDescent="0.35">
      <c r="A6972" s="343"/>
      <c r="B6972" s="344"/>
    </row>
    <row r="6973" spans="1:2" ht="15.5" x14ac:dyDescent="0.35">
      <c r="A6973" s="343"/>
      <c r="B6973" s="344"/>
    </row>
    <row r="6974" spans="1:2" ht="15.5" x14ac:dyDescent="0.35">
      <c r="A6974" s="343"/>
      <c r="B6974" s="344"/>
    </row>
    <row r="6975" spans="1:2" ht="15.5" x14ac:dyDescent="0.35">
      <c r="A6975" s="343"/>
      <c r="B6975" s="344"/>
    </row>
    <row r="6976" spans="1:2" ht="15.5" x14ac:dyDescent="0.35">
      <c r="A6976" s="343"/>
      <c r="B6976" s="344"/>
    </row>
    <row r="6977" spans="1:2" ht="15.5" x14ac:dyDescent="0.35">
      <c r="A6977" s="343"/>
      <c r="B6977" s="344"/>
    </row>
    <row r="6978" spans="1:2" ht="15.5" x14ac:dyDescent="0.35">
      <c r="A6978" s="343"/>
      <c r="B6978" s="344"/>
    </row>
    <row r="6979" spans="1:2" ht="15.5" x14ac:dyDescent="0.35">
      <c r="A6979" s="343"/>
      <c r="B6979" s="344"/>
    </row>
    <row r="6980" spans="1:2" ht="15.5" x14ac:dyDescent="0.35">
      <c r="A6980" s="343"/>
      <c r="B6980" s="344"/>
    </row>
    <row r="6981" spans="1:2" ht="15.5" x14ac:dyDescent="0.35">
      <c r="A6981" s="343"/>
      <c r="B6981" s="344"/>
    </row>
    <row r="6982" spans="1:2" ht="15.5" x14ac:dyDescent="0.35">
      <c r="A6982" s="343"/>
      <c r="B6982" s="344"/>
    </row>
    <row r="6983" spans="1:2" ht="15.5" x14ac:dyDescent="0.35">
      <c r="A6983" s="343"/>
      <c r="B6983" s="344"/>
    </row>
    <row r="6984" spans="1:2" ht="15.5" x14ac:dyDescent="0.35">
      <c r="A6984" s="343"/>
      <c r="B6984" s="344"/>
    </row>
    <row r="6985" spans="1:2" ht="15.5" x14ac:dyDescent="0.35">
      <c r="A6985" s="343"/>
      <c r="B6985" s="344"/>
    </row>
    <row r="6986" spans="1:2" ht="15.5" x14ac:dyDescent="0.35">
      <c r="A6986" s="343"/>
      <c r="B6986" s="344"/>
    </row>
    <row r="6987" spans="1:2" ht="15.5" x14ac:dyDescent="0.35">
      <c r="A6987" s="343"/>
      <c r="B6987" s="344"/>
    </row>
    <row r="6988" spans="1:2" ht="15.5" x14ac:dyDescent="0.35">
      <c r="A6988" s="343"/>
      <c r="B6988" s="344"/>
    </row>
    <row r="6989" spans="1:2" ht="15.5" x14ac:dyDescent="0.35">
      <c r="A6989" s="343"/>
      <c r="B6989" s="344"/>
    </row>
    <row r="6990" spans="1:2" ht="15.5" x14ac:dyDescent="0.35">
      <c r="A6990" s="343"/>
      <c r="B6990" s="344"/>
    </row>
    <row r="6991" spans="1:2" ht="15.5" x14ac:dyDescent="0.35">
      <c r="A6991" s="343"/>
      <c r="B6991" s="344"/>
    </row>
    <row r="6992" spans="1:2" ht="15.5" x14ac:dyDescent="0.35">
      <c r="A6992" s="343"/>
      <c r="B6992" s="344"/>
    </row>
    <row r="6993" spans="1:2" ht="15.5" x14ac:dyDescent="0.35">
      <c r="A6993" s="343"/>
      <c r="B6993" s="344"/>
    </row>
    <row r="6994" spans="1:2" ht="15.5" x14ac:dyDescent="0.35">
      <c r="A6994" s="343"/>
      <c r="B6994" s="344"/>
    </row>
    <row r="6995" spans="1:2" ht="15.5" x14ac:dyDescent="0.35">
      <c r="A6995" s="343"/>
      <c r="B6995" s="344"/>
    </row>
    <row r="6996" spans="1:2" ht="15.5" x14ac:dyDescent="0.35">
      <c r="A6996" s="343"/>
      <c r="B6996" s="344"/>
    </row>
    <row r="6997" spans="1:2" ht="15.5" x14ac:dyDescent="0.35">
      <c r="A6997" s="343"/>
      <c r="B6997" s="344"/>
    </row>
    <row r="6998" spans="1:2" ht="15.5" x14ac:dyDescent="0.35">
      <c r="A6998" s="343"/>
      <c r="B6998" s="344"/>
    </row>
    <row r="6999" spans="1:2" ht="15.5" x14ac:dyDescent="0.35">
      <c r="A6999" s="343"/>
      <c r="B6999" s="344"/>
    </row>
    <row r="7000" spans="1:2" ht="15.5" x14ac:dyDescent="0.35">
      <c r="A7000" s="343"/>
      <c r="B7000" s="344"/>
    </row>
    <row r="7001" spans="1:2" ht="15.5" x14ac:dyDescent="0.35">
      <c r="A7001" s="343"/>
      <c r="B7001" s="344"/>
    </row>
    <row r="7002" spans="1:2" ht="15.5" x14ac:dyDescent="0.35">
      <c r="A7002" s="343"/>
      <c r="B7002" s="344"/>
    </row>
    <row r="7003" spans="1:2" ht="15.5" x14ac:dyDescent="0.35">
      <c r="A7003" s="343"/>
      <c r="B7003" s="344"/>
    </row>
    <row r="7004" spans="1:2" ht="15.5" x14ac:dyDescent="0.35">
      <c r="A7004" s="343"/>
      <c r="B7004" s="344"/>
    </row>
    <row r="7005" spans="1:2" ht="15.5" x14ac:dyDescent="0.35">
      <c r="A7005" s="343"/>
      <c r="B7005" s="344"/>
    </row>
    <row r="7006" spans="1:2" ht="15.5" x14ac:dyDescent="0.35">
      <c r="A7006" s="343"/>
      <c r="B7006" s="344"/>
    </row>
    <row r="7007" spans="1:2" ht="15.5" x14ac:dyDescent="0.35">
      <c r="A7007" s="343"/>
      <c r="B7007" s="344"/>
    </row>
    <row r="7008" spans="1:2" ht="15.5" x14ac:dyDescent="0.35">
      <c r="A7008" s="343"/>
      <c r="B7008" s="344"/>
    </row>
    <row r="7009" spans="1:2" ht="15.5" x14ac:dyDescent="0.35">
      <c r="A7009" s="343"/>
      <c r="B7009" s="344"/>
    </row>
    <row r="7010" spans="1:2" ht="15.5" x14ac:dyDescent="0.35">
      <c r="A7010" s="343"/>
      <c r="B7010" s="344"/>
    </row>
    <row r="7011" spans="1:2" ht="15.5" x14ac:dyDescent="0.35">
      <c r="A7011" s="343"/>
      <c r="B7011" s="344"/>
    </row>
    <row r="7012" spans="1:2" ht="15.5" x14ac:dyDescent="0.35">
      <c r="A7012" s="343"/>
      <c r="B7012" s="344"/>
    </row>
    <row r="7013" spans="1:2" ht="15.5" x14ac:dyDescent="0.35">
      <c r="A7013" s="343"/>
      <c r="B7013" s="344"/>
    </row>
    <row r="7014" spans="1:2" ht="15.5" x14ac:dyDescent="0.35">
      <c r="A7014" s="343"/>
      <c r="B7014" s="344"/>
    </row>
    <row r="7015" spans="1:2" ht="15.5" x14ac:dyDescent="0.35">
      <c r="A7015" s="343"/>
      <c r="B7015" s="344"/>
    </row>
    <row r="7016" spans="1:2" ht="15.5" x14ac:dyDescent="0.35">
      <c r="A7016" s="343"/>
      <c r="B7016" s="344"/>
    </row>
    <row r="7017" spans="1:2" ht="15.5" x14ac:dyDescent="0.35">
      <c r="A7017" s="343"/>
      <c r="B7017" s="344"/>
    </row>
    <row r="7018" spans="1:2" ht="15.5" x14ac:dyDescent="0.35">
      <c r="A7018" s="343"/>
      <c r="B7018" s="344"/>
    </row>
    <row r="7019" spans="1:2" ht="15.5" x14ac:dyDescent="0.35">
      <c r="A7019" s="343"/>
      <c r="B7019" s="344"/>
    </row>
    <row r="7020" spans="1:2" ht="15.5" x14ac:dyDescent="0.35">
      <c r="A7020" s="343"/>
      <c r="B7020" s="344"/>
    </row>
    <row r="7021" spans="1:2" ht="15.5" x14ac:dyDescent="0.35">
      <c r="A7021" s="343"/>
      <c r="B7021" s="344"/>
    </row>
    <row r="7022" spans="1:2" ht="15.5" x14ac:dyDescent="0.35">
      <c r="A7022" s="343"/>
      <c r="B7022" s="344"/>
    </row>
    <row r="7023" spans="1:2" ht="15.5" x14ac:dyDescent="0.35">
      <c r="A7023" s="343"/>
      <c r="B7023" s="344"/>
    </row>
    <row r="7024" spans="1:2" ht="15.5" x14ac:dyDescent="0.35">
      <c r="A7024" s="343"/>
      <c r="B7024" s="344"/>
    </row>
    <row r="7025" spans="1:2" ht="15.5" x14ac:dyDescent="0.35">
      <c r="A7025" s="343"/>
      <c r="B7025" s="344"/>
    </row>
    <row r="7026" spans="1:2" ht="15.5" x14ac:dyDescent="0.35">
      <c r="A7026" s="343"/>
      <c r="B7026" s="344"/>
    </row>
    <row r="7027" spans="1:2" ht="15.5" x14ac:dyDescent="0.35">
      <c r="A7027" s="343"/>
      <c r="B7027" s="344"/>
    </row>
    <row r="7028" spans="1:2" ht="15.5" x14ac:dyDescent="0.35">
      <c r="A7028" s="343"/>
      <c r="B7028" s="344"/>
    </row>
    <row r="7029" spans="1:2" ht="15.5" x14ac:dyDescent="0.35">
      <c r="A7029" s="343"/>
      <c r="B7029" s="344"/>
    </row>
    <row r="7030" spans="1:2" ht="15.5" x14ac:dyDescent="0.35">
      <c r="A7030" s="343"/>
      <c r="B7030" s="344"/>
    </row>
    <row r="7031" spans="1:2" ht="15.5" x14ac:dyDescent="0.35">
      <c r="A7031" s="343"/>
      <c r="B7031" s="344"/>
    </row>
    <row r="7032" spans="1:2" ht="15.5" x14ac:dyDescent="0.35">
      <c r="A7032" s="343"/>
      <c r="B7032" s="344"/>
    </row>
    <row r="7033" spans="1:2" ht="15.5" x14ac:dyDescent="0.35">
      <c r="A7033" s="343"/>
      <c r="B7033" s="344"/>
    </row>
    <row r="7034" spans="1:2" ht="15.5" x14ac:dyDescent="0.35">
      <c r="A7034" s="343"/>
      <c r="B7034" s="344"/>
    </row>
    <row r="7035" spans="1:2" ht="15.5" x14ac:dyDescent="0.35">
      <c r="A7035" s="343"/>
      <c r="B7035" s="344"/>
    </row>
    <row r="7036" spans="1:2" ht="15.5" x14ac:dyDescent="0.35">
      <c r="A7036" s="343"/>
      <c r="B7036" s="344"/>
    </row>
    <row r="7037" spans="1:2" ht="15.5" x14ac:dyDescent="0.35">
      <c r="A7037" s="343"/>
      <c r="B7037" s="344"/>
    </row>
    <row r="7038" spans="1:2" ht="15.5" x14ac:dyDescent="0.35">
      <c r="A7038" s="343"/>
      <c r="B7038" s="344"/>
    </row>
    <row r="7039" spans="1:2" ht="15.5" x14ac:dyDescent="0.35">
      <c r="A7039" s="343"/>
      <c r="B7039" s="344"/>
    </row>
    <row r="7040" spans="1:2" ht="15.5" x14ac:dyDescent="0.35">
      <c r="A7040" s="343"/>
      <c r="B7040" s="344"/>
    </row>
    <row r="7041" spans="1:2" ht="15.5" x14ac:dyDescent="0.35">
      <c r="A7041" s="343"/>
      <c r="B7041" s="344"/>
    </row>
    <row r="7042" spans="1:2" ht="15.5" x14ac:dyDescent="0.35">
      <c r="A7042" s="343"/>
      <c r="B7042" s="344"/>
    </row>
    <row r="7043" spans="1:2" ht="15.5" x14ac:dyDescent="0.35">
      <c r="A7043" s="343"/>
      <c r="B7043" s="344"/>
    </row>
    <row r="7044" spans="1:2" ht="15.5" x14ac:dyDescent="0.35">
      <c r="A7044" s="343"/>
      <c r="B7044" s="344"/>
    </row>
    <row r="7045" spans="1:2" ht="15.5" x14ac:dyDescent="0.35">
      <c r="A7045" s="343"/>
      <c r="B7045" s="344"/>
    </row>
    <row r="7046" spans="1:2" ht="15.5" x14ac:dyDescent="0.35">
      <c r="A7046" s="343"/>
      <c r="B7046" s="344"/>
    </row>
    <row r="7047" spans="1:2" ht="15.5" x14ac:dyDescent="0.35">
      <c r="A7047" s="343"/>
      <c r="B7047" s="344"/>
    </row>
    <row r="7048" spans="1:2" ht="15.5" x14ac:dyDescent="0.35">
      <c r="A7048" s="343"/>
      <c r="B7048" s="344"/>
    </row>
    <row r="7049" spans="1:2" ht="15.5" x14ac:dyDescent="0.35">
      <c r="A7049" s="343"/>
      <c r="B7049" s="344"/>
    </row>
    <row r="7050" spans="1:2" ht="15.5" x14ac:dyDescent="0.35">
      <c r="A7050" s="343"/>
      <c r="B7050" s="344"/>
    </row>
    <row r="7051" spans="1:2" ht="15.5" x14ac:dyDescent="0.35">
      <c r="A7051" s="343"/>
      <c r="B7051" s="344"/>
    </row>
    <row r="7052" spans="1:2" ht="15.5" x14ac:dyDescent="0.35">
      <c r="A7052" s="343"/>
      <c r="B7052" s="344"/>
    </row>
    <row r="7053" spans="1:2" ht="15.5" x14ac:dyDescent="0.35">
      <c r="A7053" s="343"/>
      <c r="B7053" s="344"/>
    </row>
    <row r="7054" spans="1:2" ht="15.5" x14ac:dyDescent="0.35">
      <c r="A7054" s="343"/>
      <c r="B7054" s="344"/>
    </row>
    <row r="7055" spans="1:2" ht="15.5" x14ac:dyDescent="0.35">
      <c r="A7055" s="343"/>
      <c r="B7055" s="344"/>
    </row>
    <row r="7056" spans="1:2" ht="15.5" x14ac:dyDescent="0.35">
      <c r="A7056" s="343"/>
      <c r="B7056" s="344"/>
    </row>
    <row r="7057" spans="1:2" ht="15.5" x14ac:dyDescent="0.35">
      <c r="A7057" s="343"/>
      <c r="B7057" s="344"/>
    </row>
    <row r="7058" spans="1:2" ht="15.5" x14ac:dyDescent="0.35">
      <c r="A7058" s="343"/>
      <c r="B7058" s="344"/>
    </row>
    <row r="7059" spans="1:2" ht="15.5" x14ac:dyDescent="0.35">
      <c r="A7059" s="343"/>
      <c r="B7059" s="344"/>
    </row>
    <row r="7060" spans="1:2" ht="15.5" x14ac:dyDescent="0.35">
      <c r="A7060" s="343"/>
      <c r="B7060" s="344"/>
    </row>
    <row r="7061" spans="1:2" ht="15.5" x14ac:dyDescent="0.35">
      <c r="A7061" s="343"/>
      <c r="B7061" s="344"/>
    </row>
    <row r="7062" spans="1:2" ht="15.5" x14ac:dyDescent="0.35">
      <c r="A7062" s="343"/>
      <c r="B7062" s="344"/>
    </row>
    <row r="7063" spans="1:2" ht="15.5" x14ac:dyDescent="0.35">
      <c r="A7063" s="343"/>
      <c r="B7063" s="344"/>
    </row>
    <row r="7064" spans="1:2" ht="15.5" x14ac:dyDescent="0.35">
      <c r="A7064" s="343"/>
      <c r="B7064" s="344"/>
    </row>
    <row r="7065" spans="1:2" ht="15.5" x14ac:dyDescent="0.35">
      <c r="A7065" s="343"/>
      <c r="B7065" s="344"/>
    </row>
    <row r="7066" spans="1:2" ht="15.5" x14ac:dyDescent="0.35">
      <c r="A7066" s="343"/>
      <c r="B7066" s="344"/>
    </row>
    <row r="7067" spans="1:2" ht="15.5" x14ac:dyDescent="0.35">
      <c r="A7067" s="343"/>
      <c r="B7067" s="344"/>
    </row>
    <row r="7068" spans="1:2" ht="15.5" x14ac:dyDescent="0.35">
      <c r="A7068" s="343"/>
      <c r="B7068" s="344"/>
    </row>
    <row r="7069" spans="1:2" ht="15.5" x14ac:dyDescent="0.35">
      <c r="A7069" s="343"/>
      <c r="B7069" s="344"/>
    </row>
    <row r="7070" spans="1:2" ht="15.5" x14ac:dyDescent="0.35">
      <c r="A7070" s="343"/>
      <c r="B7070" s="344"/>
    </row>
    <row r="7071" spans="1:2" ht="15.5" x14ac:dyDescent="0.35">
      <c r="A7071" s="343"/>
      <c r="B7071" s="344"/>
    </row>
    <row r="7072" spans="1:2" ht="15.5" x14ac:dyDescent="0.35">
      <c r="A7072" s="343"/>
      <c r="B7072" s="344"/>
    </row>
    <row r="7073" spans="1:2" ht="15.5" x14ac:dyDescent="0.35">
      <c r="A7073" s="343"/>
      <c r="B7073" s="344"/>
    </row>
    <row r="7074" spans="1:2" ht="15.5" x14ac:dyDescent="0.35">
      <c r="A7074" s="343"/>
      <c r="B7074" s="344"/>
    </row>
    <row r="7075" spans="1:2" ht="15.5" x14ac:dyDescent="0.35">
      <c r="A7075" s="343"/>
      <c r="B7075" s="344"/>
    </row>
    <row r="7076" spans="1:2" ht="15.5" x14ac:dyDescent="0.35">
      <c r="A7076" s="343"/>
      <c r="B7076" s="344"/>
    </row>
    <row r="7077" spans="1:2" ht="15.5" x14ac:dyDescent="0.35">
      <c r="A7077" s="343"/>
      <c r="B7077" s="344"/>
    </row>
    <row r="7078" spans="1:2" ht="15.5" x14ac:dyDescent="0.35">
      <c r="A7078" s="343"/>
      <c r="B7078" s="344"/>
    </row>
    <row r="7079" spans="1:2" ht="15.5" x14ac:dyDescent="0.35">
      <c r="A7079" s="343"/>
      <c r="B7079" s="344"/>
    </row>
    <row r="7080" spans="1:2" ht="15.5" x14ac:dyDescent="0.35">
      <c r="A7080" s="343"/>
      <c r="B7080" s="344"/>
    </row>
    <row r="7081" spans="1:2" ht="15.5" x14ac:dyDescent="0.35">
      <c r="A7081" s="343"/>
      <c r="B7081" s="344"/>
    </row>
    <row r="7082" spans="1:2" ht="15.5" x14ac:dyDescent="0.35">
      <c r="A7082" s="343"/>
      <c r="B7082" s="344"/>
    </row>
    <row r="7083" spans="1:2" ht="15.5" x14ac:dyDescent="0.35">
      <c r="A7083" s="343"/>
      <c r="B7083" s="344"/>
    </row>
    <row r="7084" spans="1:2" ht="15.5" x14ac:dyDescent="0.35">
      <c r="A7084" s="343"/>
      <c r="B7084" s="344"/>
    </row>
    <row r="7085" spans="1:2" ht="15.5" x14ac:dyDescent="0.35">
      <c r="A7085" s="343"/>
      <c r="B7085" s="344"/>
    </row>
    <row r="7086" spans="1:2" ht="15.5" x14ac:dyDescent="0.35">
      <c r="A7086" s="343"/>
      <c r="B7086" s="344"/>
    </row>
    <row r="7087" spans="1:2" ht="15.5" x14ac:dyDescent="0.35">
      <c r="A7087" s="343"/>
      <c r="B7087" s="344"/>
    </row>
    <row r="7088" spans="1:2" ht="15.5" x14ac:dyDescent="0.35">
      <c r="A7088" s="343"/>
      <c r="B7088" s="344"/>
    </row>
    <row r="7089" spans="1:2" ht="15.5" x14ac:dyDescent="0.35">
      <c r="A7089" s="343"/>
      <c r="B7089" s="344"/>
    </row>
    <row r="7090" spans="1:2" ht="15.5" x14ac:dyDescent="0.35">
      <c r="A7090" s="343"/>
      <c r="B7090" s="344"/>
    </row>
    <row r="7091" spans="1:2" ht="15.5" x14ac:dyDescent="0.35">
      <c r="A7091" s="343"/>
      <c r="B7091" s="344"/>
    </row>
    <row r="7092" spans="1:2" ht="15.5" x14ac:dyDescent="0.35">
      <c r="A7092" s="343"/>
      <c r="B7092" s="344"/>
    </row>
    <row r="7093" spans="1:2" ht="15.5" x14ac:dyDescent="0.35">
      <c r="A7093" s="343"/>
      <c r="B7093" s="344"/>
    </row>
    <row r="7094" spans="1:2" ht="15.5" x14ac:dyDescent="0.35">
      <c r="A7094" s="343"/>
      <c r="B7094" s="344"/>
    </row>
    <row r="7095" spans="1:2" ht="15.5" x14ac:dyDescent="0.35">
      <c r="A7095" s="343"/>
      <c r="B7095" s="344"/>
    </row>
    <row r="7096" spans="1:2" ht="15.5" x14ac:dyDescent="0.35">
      <c r="A7096" s="343"/>
      <c r="B7096" s="344"/>
    </row>
    <row r="7097" spans="1:2" ht="15.5" x14ac:dyDescent="0.35">
      <c r="A7097" s="343"/>
      <c r="B7097" s="344"/>
    </row>
    <row r="7098" spans="1:2" ht="15.5" x14ac:dyDescent="0.35">
      <c r="A7098" s="343"/>
      <c r="B7098" s="344"/>
    </row>
    <row r="7099" spans="1:2" ht="15.5" x14ac:dyDescent="0.35">
      <c r="A7099" s="343"/>
      <c r="B7099" s="344"/>
    </row>
    <row r="7100" spans="1:2" ht="15.5" x14ac:dyDescent="0.35">
      <c r="A7100" s="343"/>
      <c r="B7100" s="344"/>
    </row>
    <row r="7101" spans="1:2" ht="15.5" x14ac:dyDescent="0.35">
      <c r="A7101" s="343"/>
      <c r="B7101" s="344"/>
    </row>
    <row r="7102" spans="1:2" ht="15.5" x14ac:dyDescent="0.35">
      <c r="A7102" s="343"/>
      <c r="B7102" s="344"/>
    </row>
    <row r="7103" spans="1:2" ht="15.5" x14ac:dyDescent="0.35">
      <c r="A7103" s="343"/>
      <c r="B7103" s="344"/>
    </row>
    <row r="7104" spans="1:2" ht="15.5" x14ac:dyDescent="0.35">
      <c r="A7104" s="343"/>
      <c r="B7104" s="344"/>
    </row>
    <row r="7105" spans="1:2" ht="15.5" x14ac:dyDescent="0.35">
      <c r="A7105" s="343"/>
      <c r="B7105" s="344"/>
    </row>
    <row r="7106" spans="1:2" ht="15.5" x14ac:dyDescent="0.35">
      <c r="A7106" s="343"/>
      <c r="B7106" s="344"/>
    </row>
    <row r="7107" spans="1:2" ht="15.5" x14ac:dyDescent="0.35">
      <c r="A7107" s="343"/>
      <c r="B7107" s="344"/>
    </row>
    <row r="7108" spans="1:2" ht="15.5" x14ac:dyDescent="0.35">
      <c r="A7108" s="343"/>
      <c r="B7108" s="344"/>
    </row>
    <row r="7109" spans="1:2" ht="15.5" x14ac:dyDescent="0.35">
      <c r="A7109" s="343"/>
      <c r="B7109" s="344"/>
    </row>
    <row r="7110" spans="1:2" ht="15.5" x14ac:dyDescent="0.35">
      <c r="A7110" s="343"/>
      <c r="B7110" s="344"/>
    </row>
    <row r="7111" spans="1:2" ht="15.5" x14ac:dyDescent="0.35">
      <c r="A7111" s="343"/>
      <c r="B7111" s="344"/>
    </row>
    <row r="7112" spans="1:2" ht="15.5" x14ac:dyDescent="0.35">
      <c r="A7112" s="343"/>
      <c r="B7112" s="344"/>
    </row>
    <row r="7113" spans="1:2" ht="15.5" x14ac:dyDescent="0.35">
      <c r="A7113" s="343"/>
      <c r="B7113" s="344"/>
    </row>
    <row r="7114" spans="1:2" ht="15.5" x14ac:dyDescent="0.35">
      <c r="A7114" s="343"/>
      <c r="B7114" s="344"/>
    </row>
    <row r="7115" spans="1:2" ht="15.5" x14ac:dyDescent="0.35">
      <c r="A7115" s="343"/>
      <c r="B7115" s="344"/>
    </row>
    <row r="7116" spans="1:2" ht="15.5" x14ac:dyDescent="0.35">
      <c r="A7116" s="343"/>
      <c r="B7116" s="344"/>
    </row>
    <row r="7117" spans="1:2" ht="15.5" x14ac:dyDescent="0.35">
      <c r="A7117" s="343"/>
      <c r="B7117" s="344"/>
    </row>
    <row r="7118" spans="1:2" ht="15.5" x14ac:dyDescent="0.35">
      <c r="A7118" s="343"/>
      <c r="B7118" s="344"/>
    </row>
    <row r="7119" spans="1:2" ht="15.5" x14ac:dyDescent="0.35">
      <c r="A7119" s="343"/>
      <c r="B7119" s="344"/>
    </row>
    <row r="7120" spans="1:2" ht="15.5" x14ac:dyDescent="0.35">
      <c r="A7120" s="343"/>
      <c r="B7120" s="344"/>
    </row>
    <row r="7121" spans="1:2" ht="15.5" x14ac:dyDescent="0.35">
      <c r="A7121" s="343"/>
      <c r="B7121" s="344"/>
    </row>
    <row r="7122" spans="1:2" ht="15.5" x14ac:dyDescent="0.35">
      <c r="A7122" s="343"/>
      <c r="B7122" s="344"/>
    </row>
    <row r="7123" spans="1:2" ht="15.5" x14ac:dyDescent="0.35">
      <c r="A7123" s="343"/>
      <c r="B7123" s="344"/>
    </row>
    <row r="7124" spans="1:2" ht="15.5" x14ac:dyDescent="0.35">
      <c r="A7124" s="343"/>
      <c r="B7124" s="344"/>
    </row>
    <row r="7125" spans="1:2" ht="15.5" x14ac:dyDescent="0.35">
      <c r="A7125" s="343"/>
      <c r="B7125" s="344"/>
    </row>
    <row r="7126" spans="1:2" ht="15.5" x14ac:dyDescent="0.35">
      <c r="A7126" s="343"/>
      <c r="B7126" s="344"/>
    </row>
    <row r="7127" spans="1:2" ht="15.5" x14ac:dyDescent="0.35">
      <c r="A7127" s="343"/>
      <c r="B7127" s="344"/>
    </row>
    <row r="7128" spans="1:2" ht="15.5" x14ac:dyDescent="0.35">
      <c r="A7128" s="343"/>
      <c r="B7128" s="344"/>
    </row>
    <row r="7129" spans="1:2" ht="15.5" x14ac:dyDescent="0.35">
      <c r="A7129" s="343"/>
      <c r="B7129" s="344"/>
    </row>
    <row r="7130" spans="1:2" ht="15.5" x14ac:dyDescent="0.35">
      <c r="A7130" s="343"/>
      <c r="B7130" s="344"/>
    </row>
    <row r="7131" spans="1:2" ht="15.5" x14ac:dyDescent="0.35">
      <c r="A7131" s="343"/>
      <c r="B7131" s="344"/>
    </row>
    <row r="7132" spans="1:2" ht="15.5" x14ac:dyDescent="0.35">
      <c r="A7132" s="343"/>
      <c r="B7132" s="344"/>
    </row>
    <row r="7133" spans="1:2" ht="15.5" x14ac:dyDescent="0.35">
      <c r="A7133" s="343"/>
      <c r="B7133" s="344"/>
    </row>
    <row r="7134" spans="1:2" ht="15.5" x14ac:dyDescent="0.35">
      <c r="A7134" s="343"/>
      <c r="B7134" s="344"/>
    </row>
    <row r="7135" spans="1:2" ht="15.5" x14ac:dyDescent="0.35">
      <c r="A7135" s="343"/>
      <c r="B7135" s="344"/>
    </row>
    <row r="7136" spans="1:2" ht="15.5" x14ac:dyDescent="0.35">
      <c r="A7136" s="343"/>
      <c r="B7136" s="344"/>
    </row>
    <row r="7137" spans="1:2" ht="15.5" x14ac:dyDescent="0.35">
      <c r="A7137" s="343"/>
      <c r="B7137" s="344"/>
    </row>
    <row r="7138" spans="1:2" ht="15.5" x14ac:dyDescent="0.35">
      <c r="A7138" s="343"/>
      <c r="B7138" s="344"/>
    </row>
    <row r="7139" spans="1:2" ht="15.5" x14ac:dyDescent="0.35">
      <c r="A7139" s="343"/>
      <c r="B7139" s="344"/>
    </row>
    <row r="7140" spans="1:2" ht="15.5" x14ac:dyDescent="0.35">
      <c r="A7140" s="343"/>
      <c r="B7140" s="344"/>
    </row>
    <row r="7141" spans="1:2" ht="15.5" x14ac:dyDescent="0.35">
      <c r="A7141" s="343"/>
      <c r="B7141" s="344"/>
    </row>
    <row r="7142" spans="1:2" ht="15.5" x14ac:dyDescent="0.35">
      <c r="A7142" s="343"/>
      <c r="B7142" s="344"/>
    </row>
    <row r="7143" spans="1:2" ht="15.5" x14ac:dyDescent="0.35">
      <c r="A7143" s="343"/>
      <c r="B7143" s="344"/>
    </row>
    <row r="7144" spans="1:2" ht="15.5" x14ac:dyDescent="0.35">
      <c r="A7144" s="343"/>
      <c r="B7144" s="344"/>
    </row>
    <row r="7145" spans="1:2" ht="15.5" x14ac:dyDescent="0.35">
      <c r="A7145" s="343"/>
      <c r="B7145" s="344"/>
    </row>
    <row r="7146" spans="1:2" ht="15.5" x14ac:dyDescent="0.35">
      <c r="A7146" s="343"/>
      <c r="B7146" s="344"/>
    </row>
    <row r="7147" spans="1:2" ht="15.5" x14ac:dyDescent="0.35">
      <c r="A7147" s="343"/>
      <c r="B7147" s="344"/>
    </row>
    <row r="7148" spans="1:2" ht="15.5" x14ac:dyDescent="0.35">
      <c r="A7148" s="343"/>
      <c r="B7148" s="344"/>
    </row>
    <row r="7149" spans="1:2" ht="15.5" x14ac:dyDescent="0.35">
      <c r="A7149" s="343"/>
      <c r="B7149" s="344"/>
    </row>
    <row r="7150" spans="1:2" ht="15.5" x14ac:dyDescent="0.35">
      <c r="A7150" s="343"/>
      <c r="B7150" s="344"/>
    </row>
    <row r="7151" spans="1:2" ht="15.5" x14ac:dyDescent="0.35">
      <c r="A7151" s="343"/>
      <c r="B7151" s="344"/>
    </row>
    <row r="7152" spans="1:2" ht="15.5" x14ac:dyDescent="0.35">
      <c r="A7152" s="343"/>
      <c r="B7152" s="344"/>
    </row>
    <row r="7153" spans="1:2" ht="15.5" x14ac:dyDescent="0.35">
      <c r="A7153" s="343"/>
      <c r="B7153" s="344"/>
    </row>
    <row r="7154" spans="1:2" ht="15.5" x14ac:dyDescent="0.35">
      <c r="A7154" s="343"/>
      <c r="B7154" s="344"/>
    </row>
    <row r="7155" spans="1:2" ht="15.5" x14ac:dyDescent="0.35">
      <c r="A7155" s="343"/>
      <c r="B7155" s="344"/>
    </row>
    <row r="7156" spans="1:2" ht="15.5" x14ac:dyDescent="0.35">
      <c r="A7156" s="343"/>
      <c r="B7156" s="344"/>
    </row>
    <row r="7157" spans="1:2" ht="15.5" x14ac:dyDescent="0.35">
      <c r="A7157" s="343"/>
      <c r="B7157" s="344"/>
    </row>
    <row r="7158" spans="1:2" ht="15.5" x14ac:dyDescent="0.35">
      <c r="A7158" s="343"/>
      <c r="B7158" s="344"/>
    </row>
    <row r="7159" spans="1:2" ht="15.5" x14ac:dyDescent="0.35">
      <c r="A7159" s="343"/>
      <c r="B7159" s="344"/>
    </row>
    <row r="7160" spans="1:2" ht="15.5" x14ac:dyDescent="0.35">
      <c r="A7160" s="343"/>
      <c r="B7160" s="344"/>
    </row>
    <row r="7161" spans="1:2" ht="15.5" x14ac:dyDescent="0.35">
      <c r="A7161" s="343"/>
      <c r="B7161" s="344"/>
    </row>
    <row r="7162" spans="1:2" ht="15.5" x14ac:dyDescent="0.35">
      <c r="A7162" s="343"/>
      <c r="B7162" s="344"/>
    </row>
    <row r="7163" spans="1:2" ht="15.5" x14ac:dyDescent="0.35">
      <c r="A7163" s="343"/>
      <c r="B7163" s="344"/>
    </row>
    <row r="7164" spans="1:2" ht="15.5" x14ac:dyDescent="0.35">
      <c r="A7164" s="343"/>
      <c r="B7164" s="344"/>
    </row>
    <row r="7165" spans="1:2" ht="15.5" x14ac:dyDescent="0.35">
      <c r="A7165" s="343"/>
      <c r="B7165" s="344"/>
    </row>
    <row r="7166" spans="1:2" ht="15.5" x14ac:dyDescent="0.35">
      <c r="A7166" s="343"/>
      <c r="B7166" s="344"/>
    </row>
    <row r="7167" spans="1:2" ht="15.5" x14ac:dyDescent="0.35">
      <c r="A7167" s="343"/>
      <c r="B7167" s="344"/>
    </row>
    <row r="7168" spans="1:2" ht="15.5" x14ac:dyDescent="0.35">
      <c r="A7168" s="343"/>
      <c r="B7168" s="344"/>
    </row>
    <row r="7169" spans="1:2" ht="15.5" x14ac:dyDescent="0.35">
      <c r="A7169" s="343"/>
      <c r="B7169" s="344"/>
    </row>
    <row r="7170" spans="1:2" ht="15.5" x14ac:dyDescent="0.35">
      <c r="A7170" s="343"/>
      <c r="B7170" s="344"/>
    </row>
    <row r="7171" spans="1:2" ht="15.5" x14ac:dyDescent="0.35">
      <c r="A7171" s="343"/>
      <c r="B7171" s="344"/>
    </row>
    <row r="7172" spans="1:2" ht="15.5" x14ac:dyDescent="0.35">
      <c r="A7172" s="343"/>
      <c r="B7172" s="344"/>
    </row>
    <row r="7173" spans="1:2" ht="15.5" x14ac:dyDescent="0.35">
      <c r="A7173" s="343"/>
      <c r="B7173" s="344"/>
    </row>
    <row r="7174" spans="1:2" ht="15.5" x14ac:dyDescent="0.35">
      <c r="A7174" s="343"/>
      <c r="B7174" s="344"/>
    </row>
    <row r="7175" spans="1:2" ht="15.5" x14ac:dyDescent="0.35">
      <c r="A7175" s="343"/>
      <c r="B7175" s="344"/>
    </row>
    <row r="7176" spans="1:2" ht="15.5" x14ac:dyDescent="0.35">
      <c r="A7176" s="343"/>
      <c r="B7176" s="344"/>
    </row>
    <row r="7177" spans="1:2" ht="15.5" x14ac:dyDescent="0.35">
      <c r="A7177" s="343"/>
      <c r="B7177" s="344"/>
    </row>
    <row r="7178" spans="1:2" ht="15.5" x14ac:dyDescent="0.35">
      <c r="A7178" s="343"/>
      <c r="B7178" s="344"/>
    </row>
    <row r="7179" spans="1:2" ht="15.5" x14ac:dyDescent="0.35">
      <c r="A7179" s="343"/>
      <c r="B7179" s="344"/>
    </row>
    <row r="7180" spans="1:2" ht="15.5" x14ac:dyDescent="0.35">
      <c r="A7180" s="343"/>
      <c r="B7180" s="344"/>
    </row>
    <row r="7181" spans="1:2" ht="15.5" x14ac:dyDescent="0.35">
      <c r="A7181" s="343"/>
      <c r="B7181" s="344"/>
    </row>
    <row r="7182" spans="1:2" ht="15.5" x14ac:dyDescent="0.35">
      <c r="A7182" s="343"/>
      <c r="B7182" s="344"/>
    </row>
    <row r="7183" spans="1:2" ht="15.5" x14ac:dyDescent="0.35">
      <c r="A7183" s="343"/>
      <c r="B7183" s="344"/>
    </row>
    <row r="7184" spans="1:2" ht="15.5" x14ac:dyDescent="0.35">
      <c r="A7184" s="343"/>
      <c r="B7184" s="344"/>
    </row>
    <row r="7185" spans="1:2" ht="15.5" x14ac:dyDescent="0.35">
      <c r="A7185" s="343"/>
      <c r="B7185" s="344"/>
    </row>
    <row r="7186" spans="1:2" ht="15.5" x14ac:dyDescent="0.35">
      <c r="A7186" s="343"/>
      <c r="B7186" s="344"/>
    </row>
    <row r="7187" spans="1:2" ht="15.5" x14ac:dyDescent="0.35">
      <c r="A7187" s="343"/>
      <c r="B7187" s="344"/>
    </row>
    <row r="7188" spans="1:2" ht="15.5" x14ac:dyDescent="0.35">
      <c r="A7188" s="343"/>
      <c r="B7188" s="344"/>
    </row>
    <row r="7189" spans="1:2" ht="15.5" x14ac:dyDescent="0.35">
      <c r="A7189" s="343"/>
      <c r="B7189" s="344"/>
    </row>
    <row r="7190" spans="1:2" ht="15.5" x14ac:dyDescent="0.35">
      <c r="A7190" s="343"/>
      <c r="B7190" s="344"/>
    </row>
    <row r="7191" spans="1:2" ht="15.5" x14ac:dyDescent="0.35">
      <c r="A7191" s="343"/>
      <c r="B7191" s="344"/>
    </row>
    <row r="7192" spans="1:2" ht="15.5" x14ac:dyDescent="0.35">
      <c r="A7192" s="343"/>
      <c r="B7192" s="344"/>
    </row>
    <row r="7193" spans="1:2" ht="15.5" x14ac:dyDescent="0.35">
      <c r="A7193" s="343"/>
      <c r="B7193" s="344"/>
    </row>
    <row r="7194" spans="1:2" ht="15.5" x14ac:dyDescent="0.35">
      <c r="A7194" s="343"/>
      <c r="B7194" s="344"/>
    </row>
    <row r="7195" spans="1:2" ht="15.5" x14ac:dyDescent="0.35">
      <c r="A7195" s="343"/>
      <c r="B7195" s="344"/>
    </row>
    <row r="7196" spans="1:2" ht="15.5" x14ac:dyDescent="0.35">
      <c r="A7196" s="343"/>
      <c r="B7196" s="344"/>
    </row>
    <row r="7197" spans="1:2" ht="15.5" x14ac:dyDescent="0.35">
      <c r="A7197" s="343"/>
      <c r="B7197" s="344"/>
    </row>
    <row r="7198" spans="1:2" ht="15.5" x14ac:dyDescent="0.35">
      <c r="A7198" s="343"/>
      <c r="B7198" s="344"/>
    </row>
    <row r="7199" spans="1:2" ht="15.5" x14ac:dyDescent="0.35">
      <c r="A7199" s="343"/>
      <c r="B7199" s="344"/>
    </row>
    <row r="7200" spans="1:2" ht="15.5" x14ac:dyDescent="0.35">
      <c r="A7200" s="343"/>
      <c r="B7200" s="344"/>
    </row>
    <row r="7201" spans="1:2" ht="15.5" x14ac:dyDescent="0.35">
      <c r="A7201" s="343"/>
      <c r="B7201" s="344"/>
    </row>
    <row r="7202" spans="1:2" ht="15.5" x14ac:dyDescent="0.35">
      <c r="A7202" s="343"/>
      <c r="B7202" s="344"/>
    </row>
    <row r="7203" spans="1:2" ht="15.5" x14ac:dyDescent="0.35">
      <c r="A7203" s="343"/>
      <c r="B7203" s="344"/>
    </row>
    <row r="7204" spans="1:2" ht="15.5" x14ac:dyDescent="0.35">
      <c r="A7204" s="343"/>
      <c r="B7204" s="344"/>
    </row>
    <row r="7205" spans="1:2" ht="15.5" x14ac:dyDescent="0.35">
      <c r="A7205" s="343"/>
      <c r="B7205" s="344"/>
    </row>
    <row r="7206" spans="1:2" ht="15.5" x14ac:dyDescent="0.35">
      <c r="A7206" s="343"/>
      <c r="B7206" s="344"/>
    </row>
    <row r="7207" spans="1:2" ht="15.5" x14ac:dyDescent="0.35">
      <c r="A7207" s="343"/>
      <c r="B7207" s="344"/>
    </row>
    <row r="7208" spans="1:2" ht="15.5" x14ac:dyDescent="0.35">
      <c r="A7208" s="343"/>
      <c r="B7208" s="344"/>
    </row>
    <row r="7209" spans="1:2" ht="15.5" x14ac:dyDescent="0.35">
      <c r="A7209" s="343"/>
      <c r="B7209" s="344"/>
    </row>
    <row r="7210" spans="1:2" ht="15.5" x14ac:dyDescent="0.35">
      <c r="A7210" s="343"/>
      <c r="B7210" s="344"/>
    </row>
    <row r="7211" spans="1:2" ht="15.5" x14ac:dyDescent="0.35">
      <c r="A7211" s="343"/>
      <c r="B7211" s="344"/>
    </row>
    <row r="7212" spans="1:2" ht="15.5" x14ac:dyDescent="0.35">
      <c r="A7212" s="343"/>
      <c r="B7212" s="344"/>
    </row>
    <row r="7213" spans="1:2" ht="15.5" x14ac:dyDescent="0.35">
      <c r="A7213" s="343"/>
      <c r="B7213" s="344"/>
    </row>
    <row r="7214" spans="1:2" ht="15.5" x14ac:dyDescent="0.35">
      <c r="A7214" s="343"/>
      <c r="B7214" s="344"/>
    </row>
    <row r="7215" spans="1:2" ht="15.5" x14ac:dyDescent="0.35">
      <c r="A7215" s="343"/>
      <c r="B7215" s="344"/>
    </row>
    <row r="7216" spans="1:2" ht="15.5" x14ac:dyDescent="0.35">
      <c r="A7216" s="343"/>
      <c r="B7216" s="344"/>
    </row>
    <row r="7217" spans="1:2" ht="15.5" x14ac:dyDescent="0.35">
      <c r="A7217" s="343"/>
      <c r="B7217" s="344"/>
    </row>
    <row r="7218" spans="1:2" ht="15.5" x14ac:dyDescent="0.35">
      <c r="A7218" s="343"/>
      <c r="B7218" s="344"/>
    </row>
    <row r="7219" spans="1:2" ht="15.5" x14ac:dyDescent="0.35">
      <c r="A7219" s="343"/>
      <c r="B7219" s="344"/>
    </row>
    <row r="7220" spans="1:2" ht="15.5" x14ac:dyDescent="0.35">
      <c r="A7220" s="343"/>
      <c r="B7220" s="344"/>
    </row>
    <row r="7221" spans="1:2" ht="15.5" x14ac:dyDescent="0.35">
      <c r="A7221" s="343"/>
      <c r="B7221" s="344"/>
    </row>
    <row r="7222" spans="1:2" ht="15.5" x14ac:dyDescent="0.35">
      <c r="A7222" s="343"/>
      <c r="B7222" s="344"/>
    </row>
    <row r="7223" spans="1:2" ht="15.5" x14ac:dyDescent="0.35">
      <c r="A7223" s="343"/>
      <c r="B7223" s="344"/>
    </row>
    <row r="7224" spans="1:2" ht="15.5" x14ac:dyDescent="0.35">
      <c r="A7224" s="343"/>
      <c r="B7224" s="344"/>
    </row>
    <row r="7225" spans="1:2" ht="15.5" x14ac:dyDescent="0.35">
      <c r="A7225" s="343"/>
      <c r="B7225" s="344"/>
    </row>
    <row r="7226" spans="1:2" ht="15.5" x14ac:dyDescent="0.35">
      <c r="A7226" s="343"/>
      <c r="B7226" s="344"/>
    </row>
    <row r="7227" spans="1:2" ht="15.5" x14ac:dyDescent="0.35">
      <c r="A7227" s="343"/>
      <c r="B7227" s="344"/>
    </row>
    <row r="7228" spans="1:2" ht="15.5" x14ac:dyDescent="0.35">
      <c r="A7228" s="343"/>
      <c r="B7228" s="344"/>
    </row>
    <row r="7229" spans="1:2" ht="15.5" x14ac:dyDescent="0.35">
      <c r="A7229" s="343"/>
      <c r="B7229" s="344"/>
    </row>
    <row r="7230" spans="1:2" ht="15.5" x14ac:dyDescent="0.35">
      <c r="A7230" s="343"/>
      <c r="B7230" s="344"/>
    </row>
    <row r="7231" spans="1:2" ht="15.5" x14ac:dyDescent="0.35">
      <c r="A7231" s="343"/>
      <c r="B7231" s="344"/>
    </row>
    <row r="7232" spans="1:2" ht="15.5" x14ac:dyDescent="0.35">
      <c r="A7232" s="343"/>
      <c r="B7232" s="344"/>
    </row>
    <row r="7233" spans="1:2" ht="15.5" x14ac:dyDescent="0.35">
      <c r="A7233" s="343"/>
      <c r="B7233" s="344"/>
    </row>
    <row r="7234" spans="1:2" ht="15.5" x14ac:dyDescent="0.35">
      <c r="A7234" s="343"/>
      <c r="B7234" s="344"/>
    </row>
    <row r="7235" spans="1:2" ht="15.5" x14ac:dyDescent="0.35">
      <c r="A7235" s="343"/>
      <c r="B7235" s="344"/>
    </row>
    <row r="7236" spans="1:2" ht="15.5" x14ac:dyDescent="0.35">
      <c r="A7236" s="343"/>
      <c r="B7236" s="344"/>
    </row>
    <row r="7237" spans="1:2" ht="15.5" x14ac:dyDescent="0.35">
      <c r="A7237" s="343"/>
      <c r="B7237" s="344"/>
    </row>
    <row r="7238" spans="1:2" ht="15.5" x14ac:dyDescent="0.35">
      <c r="A7238" s="343"/>
      <c r="B7238" s="344"/>
    </row>
    <row r="7239" spans="1:2" ht="15.5" x14ac:dyDescent="0.35">
      <c r="A7239" s="343"/>
      <c r="B7239" s="344"/>
    </row>
    <row r="7240" spans="1:2" ht="15.5" x14ac:dyDescent="0.35">
      <c r="A7240" s="343"/>
      <c r="B7240" s="344"/>
    </row>
    <row r="7241" spans="1:2" ht="15.5" x14ac:dyDescent="0.35">
      <c r="A7241" s="343"/>
      <c r="B7241" s="344"/>
    </row>
    <row r="7242" spans="1:2" ht="15.5" x14ac:dyDescent="0.35">
      <c r="A7242" s="343"/>
      <c r="B7242" s="344"/>
    </row>
    <row r="7243" spans="1:2" ht="15.5" x14ac:dyDescent="0.35">
      <c r="A7243" s="343"/>
      <c r="B7243" s="344"/>
    </row>
    <row r="7244" spans="1:2" ht="15.5" x14ac:dyDescent="0.35">
      <c r="A7244" s="343"/>
      <c r="B7244" s="344"/>
    </row>
    <row r="7245" spans="1:2" ht="15.5" x14ac:dyDescent="0.35">
      <c r="A7245" s="343"/>
      <c r="B7245" s="344"/>
    </row>
    <row r="7246" spans="1:2" ht="15.5" x14ac:dyDescent="0.35">
      <c r="A7246" s="343"/>
      <c r="B7246" s="344"/>
    </row>
    <row r="7247" spans="1:2" ht="15.5" x14ac:dyDescent="0.35">
      <c r="A7247" s="343"/>
      <c r="B7247" s="344"/>
    </row>
    <row r="7248" spans="1:2" ht="15.5" x14ac:dyDescent="0.35">
      <c r="A7248" s="343"/>
      <c r="B7248" s="344"/>
    </row>
    <row r="7249" spans="1:2" ht="15.5" x14ac:dyDescent="0.35">
      <c r="A7249" s="343"/>
      <c r="B7249" s="344"/>
    </row>
    <row r="7250" spans="1:2" ht="15.5" x14ac:dyDescent="0.35">
      <c r="A7250" s="343"/>
      <c r="B7250" s="344"/>
    </row>
    <row r="7251" spans="1:2" ht="15.5" x14ac:dyDescent="0.35">
      <c r="A7251" s="343"/>
      <c r="B7251" s="344"/>
    </row>
    <row r="7252" spans="1:2" ht="15.5" x14ac:dyDescent="0.35">
      <c r="A7252" s="343"/>
      <c r="B7252" s="344"/>
    </row>
    <row r="7253" spans="1:2" ht="15.5" x14ac:dyDescent="0.35">
      <c r="A7253" s="343"/>
      <c r="B7253" s="344"/>
    </row>
    <row r="7254" spans="1:2" ht="15.5" x14ac:dyDescent="0.35">
      <c r="A7254" s="343"/>
      <c r="B7254" s="344"/>
    </row>
    <row r="7255" spans="1:2" ht="15.5" x14ac:dyDescent="0.35">
      <c r="A7255" s="343"/>
      <c r="B7255" s="344"/>
    </row>
    <row r="7256" spans="1:2" ht="15.5" x14ac:dyDescent="0.35">
      <c r="A7256" s="343"/>
      <c r="B7256" s="344"/>
    </row>
    <row r="7257" spans="1:2" ht="15.5" x14ac:dyDescent="0.35">
      <c r="A7257" s="343"/>
      <c r="B7257" s="344"/>
    </row>
    <row r="7258" spans="1:2" ht="15.5" x14ac:dyDescent="0.35">
      <c r="A7258" s="343"/>
      <c r="B7258" s="344"/>
    </row>
    <row r="7259" spans="1:2" ht="15.5" x14ac:dyDescent="0.35">
      <c r="A7259" s="343"/>
      <c r="B7259" s="344"/>
    </row>
    <row r="7260" spans="1:2" ht="15.5" x14ac:dyDescent="0.35">
      <c r="A7260" s="343"/>
      <c r="B7260" s="344"/>
    </row>
    <row r="7261" spans="1:2" ht="15.5" x14ac:dyDescent="0.35">
      <c r="A7261" s="343"/>
      <c r="B7261" s="344"/>
    </row>
    <row r="7262" spans="1:2" ht="15.5" x14ac:dyDescent="0.35">
      <c r="A7262" s="343"/>
      <c r="B7262" s="344"/>
    </row>
    <row r="7263" spans="1:2" ht="15.5" x14ac:dyDescent="0.35">
      <c r="A7263" s="343"/>
      <c r="B7263" s="344"/>
    </row>
    <row r="7264" spans="1:2" ht="15.5" x14ac:dyDescent="0.35">
      <c r="A7264" s="343"/>
      <c r="B7264" s="344"/>
    </row>
    <row r="7265" spans="1:2" ht="15.5" x14ac:dyDescent="0.35">
      <c r="A7265" s="343"/>
      <c r="B7265" s="344"/>
    </row>
    <row r="7266" spans="1:2" ht="15.5" x14ac:dyDescent="0.35">
      <c r="A7266" s="343"/>
      <c r="B7266" s="344"/>
    </row>
    <row r="7267" spans="1:2" ht="15.5" x14ac:dyDescent="0.35">
      <c r="A7267" s="343"/>
      <c r="B7267" s="344"/>
    </row>
    <row r="7268" spans="1:2" ht="15.5" x14ac:dyDescent="0.35">
      <c r="A7268" s="343"/>
      <c r="B7268" s="344"/>
    </row>
    <row r="7269" spans="1:2" ht="15.5" x14ac:dyDescent="0.35">
      <c r="A7269" s="343"/>
      <c r="B7269" s="344"/>
    </row>
    <row r="7270" spans="1:2" ht="15.5" x14ac:dyDescent="0.35">
      <c r="A7270" s="343"/>
      <c r="B7270" s="344"/>
    </row>
    <row r="7271" spans="1:2" ht="15.5" x14ac:dyDescent="0.35">
      <c r="A7271" s="343"/>
      <c r="B7271" s="344"/>
    </row>
    <row r="7272" spans="1:2" ht="15.5" x14ac:dyDescent="0.35">
      <c r="A7272" s="343"/>
      <c r="B7272" s="344"/>
    </row>
    <row r="7273" spans="1:2" ht="15.5" x14ac:dyDescent="0.35">
      <c r="A7273" s="343"/>
      <c r="B7273" s="344"/>
    </row>
    <row r="7274" spans="1:2" ht="15.5" x14ac:dyDescent="0.35">
      <c r="A7274" s="343"/>
      <c r="B7274" s="344"/>
    </row>
    <row r="7275" spans="1:2" ht="15.5" x14ac:dyDescent="0.35">
      <c r="A7275" s="343"/>
      <c r="B7275" s="344"/>
    </row>
    <row r="7276" spans="1:2" ht="15.5" x14ac:dyDescent="0.35">
      <c r="A7276" s="343"/>
      <c r="B7276" s="344"/>
    </row>
    <row r="7277" spans="1:2" ht="15.5" x14ac:dyDescent="0.35">
      <c r="A7277" s="343"/>
      <c r="B7277" s="344"/>
    </row>
    <row r="7278" spans="1:2" ht="15.5" x14ac:dyDescent="0.35">
      <c r="A7278" s="343"/>
      <c r="B7278" s="344"/>
    </row>
    <row r="7279" spans="1:2" ht="15.5" x14ac:dyDescent="0.35">
      <c r="A7279" s="343"/>
      <c r="B7279" s="344"/>
    </row>
    <row r="7280" spans="1:2" ht="15.5" x14ac:dyDescent="0.35">
      <c r="A7280" s="343"/>
      <c r="B7280" s="344"/>
    </row>
    <row r="7281" spans="1:2" ht="15.5" x14ac:dyDescent="0.35">
      <c r="A7281" s="343"/>
      <c r="B7281" s="344"/>
    </row>
    <row r="7282" spans="1:2" ht="15.5" x14ac:dyDescent="0.35">
      <c r="A7282" s="343"/>
      <c r="B7282" s="344"/>
    </row>
    <row r="7283" spans="1:2" ht="15.5" x14ac:dyDescent="0.35">
      <c r="A7283" s="343"/>
      <c r="B7283" s="344"/>
    </row>
    <row r="7284" spans="1:2" ht="15.5" x14ac:dyDescent="0.35">
      <c r="A7284" s="343"/>
      <c r="B7284" s="344"/>
    </row>
    <row r="7285" spans="1:2" ht="15.5" x14ac:dyDescent="0.35">
      <c r="A7285" s="343"/>
      <c r="B7285" s="344"/>
    </row>
    <row r="7286" spans="1:2" ht="15.5" x14ac:dyDescent="0.35">
      <c r="A7286" s="343"/>
      <c r="B7286" s="344"/>
    </row>
    <row r="7287" spans="1:2" ht="15.5" x14ac:dyDescent="0.35">
      <c r="A7287" s="343"/>
      <c r="B7287" s="344"/>
    </row>
    <row r="7288" spans="1:2" ht="15.5" x14ac:dyDescent="0.35">
      <c r="A7288" s="343"/>
      <c r="B7288" s="344"/>
    </row>
    <row r="7289" spans="1:2" ht="15.5" x14ac:dyDescent="0.35">
      <c r="A7289" s="343"/>
      <c r="B7289" s="344"/>
    </row>
    <row r="7290" spans="1:2" ht="15.5" x14ac:dyDescent="0.35">
      <c r="A7290" s="343"/>
      <c r="B7290" s="344"/>
    </row>
    <row r="7291" spans="1:2" ht="15.5" x14ac:dyDescent="0.35">
      <c r="A7291" s="343"/>
      <c r="B7291" s="344"/>
    </row>
    <row r="7292" spans="1:2" ht="15.5" x14ac:dyDescent="0.35">
      <c r="A7292" s="343"/>
      <c r="B7292" s="344"/>
    </row>
    <row r="7293" spans="1:2" ht="15.5" x14ac:dyDescent="0.35">
      <c r="A7293" s="343"/>
      <c r="B7293" s="344"/>
    </row>
    <row r="7294" spans="1:2" ht="15.5" x14ac:dyDescent="0.35">
      <c r="A7294" s="343"/>
      <c r="B7294" s="344"/>
    </row>
    <row r="7295" spans="1:2" ht="15.5" x14ac:dyDescent="0.35">
      <c r="A7295" s="343"/>
      <c r="B7295" s="344"/>
    </row>
    <row r="7296" spans="1:2" ht="15.5" x14ac:dyDescent="0.35">
      <c r="A7296" s="343"/>
      <c r="B7296" s="344"/>
    </row>
    <row r="7297" spans="1:2" ht="15.5" x14ac:dyDescent="0.35">
      <c r="A7297" s="343"/>
      <c r="B7297" s="344"/>
    </row>
    <row r="7298" spans="1:2" ht="15.5" x14ac:dyDescent="0.35">
      <c r="A7298" s="343"/>
      <c r="B7298" s="344"/>
    </row>
    <row r="7299" spans="1:2" ht="15.5" x14ac:dyDescent="0.35">
      <c r="A7299" s="343"/>
      <c r="B7299" s="344"/>
    </row>
    <row r="7300" spans="1:2" ht="15.5" x14ac:dyDescent="0.35">
      <c r="A7300" s="343"/>
      <c r="B7300" s="344"/>
    </row>
    <row r="7301" spans="1:2" ht="15.5" x14ac:dyDescent="0.35">
      <c r="A7301" s="343"/>
      <c r="B7301" s="344"/>
    </row>
    <row r="7302" spans="1:2" ht="15.5" x14ac:dyDescent="0.35">
      <c r="A7302" s="343"/>
      <c r="B7302" s="344"/>
    </row>
    <row r="7303" spans="1:2" ht="15.5" x14ac:dyDescent="0.35">
      <c r="A7303" s="343"/>
      <c r="B7303" s="344"/>
    </row>
    <row r="7304" spans="1:2" ht="15.5" x14ac:dyDescent="0.35">
      <c r="A7304" s="343"/>
      <c r="B7304" s="344"/>
    </row>
    <row r="7305" spans="1:2" ht="15.5" x14ac:dyDescent="0.35">
      <c r="A7305" s="343"/>
      <c r="B7305" s="344"/>
    </row>
    <row r="7306" spans="1:2" ht="15.5" x14ac:dyDescent="0.35">
      <c r="A7306" s="343"/>
      <c r="B7306" s="344"/>
    </row>
    <row r="7307" spans="1:2" ht="15.5" x14ac:dyDescent="0.35">
      <c r="A7307" s="343"/>
      <c r="B7307" s="344"/>
    </row>
    <row r="7308" spans="1:2" ht="15.5" x14ac:dyDescent="0.35">
      <c r="A7308" s="343"/>
      <c r="B7308" s="344"/>
    </row>
    <row r="7309" spans="1:2" ht="15.5" x14ac:dyDescent="0.35">
      <c r="A7309" s="343"/>
      <c r="B7309" s="344"/>
    </row>
    <row r="7310" spans="1:2" ht="15.5" x14ac:dyDescent="0.35">
      <c r="A7310" s="343"/>
      <c r="B7310" s="344"/>
    </row>
    <row r="7311" spans="1:2" ht="15.5" x14ac:dyDescent="0.35">
      <c r="A7311" s="343"/>
      <c r="B7311" s="344"/>
    </row>
    <row r="7312" spans="1:2" ht="15.5" x14ac:dyDescent="0.35">
      <c r="A7312" s="343"/>
      <c r="B7312" s="344"/>
    </row>
    <row r="7313" spans="1:2" ht="15.5" x14ac:dyDescent="0.35">
      <c r="A7313" s="343"/>
      <c r="B7313" s="344"/>
    </row>
    <row r="7314" spans="1:2" ht="15.5" x14ac:dyDescent="0.35">
      <c r="A7314" s="343"/>
      <c r="B7314" s="344"/>
    </row>
    <row r="7315" spans="1:2" ht="15.5" x14ac:dyDescent="0.35">
      <c r="A7315" s="343"/>
      <c r="B7315" s="344"/>
    </row>
    <row r="7316" spans="1:2" ht="15.5" x14ac:dyDescent="0.35">
      <c r="A7316" s="343"/>
      <c r="B7316" s="344"/>
    </row>
    <row r="7317" spans="1:2" ht="15.5" x14ac:dyDescent="0.35">
      <c r="A7317" s="343"/>
      <c r="B7317" s="344"/>
    </row>
    <row r="7318" spans="1:2" ht="15.5" x14ac:dyDescent="0.35">
      <c r="A7318" s="343"/>
      <c r="B7318" s="344"/>
    </row>
    <row r="7319" spans="1:2" ht="15.5" x14ac:dyDescent="0.35">
      <c r="A7319" s="343"/>
      <c r="B7319" s="344"/>
    </row>
    <row r="7320" spans="1:2" ht="15.5" x14ac:dyDescent="0.35">
      <c r="A7320" s="343"/>
      <c r="B7320" s="344"/>
    </row>
    <row r="7321" spans="1:2" ht="15.5" x14ac:dyDescent="0.35">
      <c r="A7321" s="343"/>
      <c r="B7321" s="344"/>
    </row>
    <row r="7322" spans="1:2" ht="15.5" x14ac:dyDescent="0.35">
      <c r="A7322" s="343"/>
      <c r="B7322" s="344"/>
    </row>
    <row r="7323" spans="1:2" ht="15.5" x14ac:dyDescent="0.35">
      <c r="A7323" s="343"/>
      <c r="B7323" s="344"/>
    </row>
    <row r="7324" spans="1:2" ht="15.5" x14ac:dyDescent="0.35">
      <c r="A7324" s="343"/>
      <c r="B7324" s="344"/>
    </row>
    <row r="7325" spans="1:2" ht="15.5" x14ac:dyDescent="0.35">
      <c r="A7325" s="343"/>
      <c r="B7325" s="344"/>
    </row>
    <row r="7326" spans="1:2" ht="15.5" x14ac:dyDescent="0.35">
      <c r="A7326" s="343"/>
      <c r="B7326" s="344"/>
    </row>
    <row r="7327" spans="1:2" ht="15.5" x14ac:dyDescent="0.35">
      <c r="A7327" s="343"/>
      <c r="B7327" s="344"/>
    </row>
    <row r="7328" spans="1:2" ht="15.5" x14ac:dyDescent="0.35">
      <c r="A7328" s="343"/>
      <c r="B7328" s="344"/>
    </row>
    <row r="7329" spans="1:2" ht="15.5" x14ac:dyDescent="0.35">
      <c r="A7329" s="343"/>
      <c r="B7329" s="344"/>
    </row>
    <row r="7330" spans="1:2" ht="15.5" x14ac:dyDescent="0.35">
      <c r="A7330" s="343"/>
      <c r="B7330" s="344"/>
    </row>
    <row r="7331" spans="1:2" ht="15.5" x14ac:dyDescent="0.35">
      <c r="A7331" s="343"/>
      <c r="B7331" s="344"/>
    </row>
    <row r="7332" spans="1:2" ht="15.5" x14ac:dyDescent="0.35">
      <c r="A7332" s="343"/>
      <c r="B7332" s="344"/>
    </row>
    <row r="7333" spans="1:2" ht="15.5" x14ac:dyDescent="0.35">
      <c r="A7333" s="343"/>
      <c r="B7333" s="344"/>
    </row>
    <row r="7334" spans="1:2" ht="15.5" x14ac:dyDescent="0.35">
      <c r="A7334" s="343"/>
      <c r="B7334" s="344"/>
    </row>
    <row r="7335" spans="1:2" ht="15.5" x14ac:dyDescent="0.35">
      <c r="A7335" s="343"/>
      <c r="B7335" s="344"/>
    </row>
    <row r="7336" spans="1:2" ht="15.5" x14ac:dyDescent="0.35">
      <c r="A7336" s="343"/>
      <c r="B7336" s="344"/>
    </row>
    <row r="7337" spans="1:2" ht="15.5" x14ac:dyDescent="0.35">
      <c r="A7337" s="343"/>
      <c r="B7337" s="344"/>
    </row>
    <row r="7338" spans="1:2" ht="15.5" x14ac:dyDescent="0.35">
      <c r="A7338" s="343"/>
      <c r="B7338" s="344"/>
    </row>
    <row r="7339" spans="1:2" ht="15.5" x14ac:dyDescent="0.35">
      <c r="A7339" s="343"/>
      <c r="B7339" s="344"/>
    </row>
    <row r="7340" spans="1:2" ht="15.5" x14ac:dyDescent="0.35">
      <c r="A7340" s="343"/>
      <c r="B7340" s="344"/>
    </row>
    <row r="7341" spans="1:2" ht="15.5" x14ac:dyDescent="0.35">
      <c r="A7341" s="343"/>
      <c r="B7341" s="344"/>
    </row>
    <row r="7342" spans="1:2" ht="15.5" x14ac:dyDescent="0.35">
      <c r="A7342" s="343"/>
      <c r="B7342" s="344"/>
    </row>
    <row r="7343" spans="1:2" ht="15.5" x14ac:dyDescent="0.35">
      <c r="A7343" s="343"/>
      <c r="B7343" s="344"/>
    </row>
    <row r="7344" spans="1:2" ht="15.5" x14ac:dyDescent="0.35">
      <c r="A7344" s="343"/>
      <c r="B7344" s="344"/>
    </row>
    <row r="7345" spans="1:2" ht="15.5" x14ac:dyDescent="0.35">
      <c r="A7345" s="343"/>
      <c r="B7345" s="344"/>
    </row>
    <row r="7346" spans="1:2" ht="15.5" x14ac:dyDescent="0.35">
      <c r="A7346" s="343"/>
      <c r="B7346" s="344"/>
    </row>
    <row r="7347" spans="1:2" ht="15.5" x14ac:dyDescent="0.35">
      <c r="A7347" s="343"/>
      <c r="B7347" s="344"/>
    </row>
    <row r="7348" spans="1:2" ht="15.5" x14ac:dyDescent="0.35">
      <c r="A7348" s="343"/>
      <c r="B7348" s="344"/>
    </row>
    <row r="7349" spans="1:2" ht="15.5" x14ac:dyDescent="0.35">
      <c r="A7349" s="343"/>
      <c r="B7349" s="344"/>
    </row>
    <row r="7350" spans="1:2" ht="15.5" x14ac:dyDescent="0.35">
      <c r="A7350" s="343"/>
      <c r="B7350" s="344"/>
    </row>
    <row r="7351" spans="1:2" ht="15.5" x14ac:dyDescent="0.35">
      <c r="A7351" s="343"/>
      <c r="B7351" s="344"/>
    </row>
    <row r="7352" spans="1:2" ht="15.5" x14ac:dyDescent="0.35">
      <c r="A7352" s="343"/>
      <c r="B7352" s="344"/>
    </row>
    <row r="7353" spans="1:2" ht="15.5" x14ac:dyDescent="0.35">
      <c r="A7353" s="343"/>
      <c r="B7353" s="344"/>
    </row>
    <row r="7354" spans="1:2" ht="15.5" x14ac:dyDescent="0.35">
      <c r="A7354" s="343"/>
      <c r="B7354" s="344"/>
    </row>
    <row r="7355" spans="1:2" ht="15.5" x14ac:dyDescent="0.35">
      <c r="A7355" s="343"/>
      <c r="B7355" s="344"/>
    </row>
    <row r="7356" spans="1:2" ht="15.5" x14ac:dyDescent="0.35">
      <c r="A7356" s="343"/>
      <c r="B7356" s="344"/>
    </row>
    <row r="7357" spans="1:2" ht="15.5" x14ac:dyDescent="0.35">
      <c r="A7357" s="343"/>
      <c r="B7357" s="344"/>
    </row>
    <row r="7358" spans="1:2" ht="15.5" x14ac:dyDescent="0.35">
      <c r="A7358" s="343"/>
      <c r="B7358" s="344"/>
    </row>
    <row r="7359" spans="1:2" ht="15.5" x14ac:dyDescent="0.35">
      <c r="A7359" s="343"/>
      <c r="B7359" s="344"/>
    </row>
    <row r="7360" spans="1:2" ht="15.5" x14ac:dyDescent="0.35">
      <c r="A7360" s="343"/>
      <c r="B7360" s="344"/>
    </row>
    <row r="7361" spans="1:2" ht="15.5" x14ac:dyDescent="0.35">
      <c r="A7361" s="343"/>
      <c r="B7361" s="344"/>
    </row>
    <row r="7362" spans="1:2" ht="15.5" x14ac:dyDescent="0.35">
      <c r="A7362" s="343"/>
      <c r="B7362" s="344"/>
    </row>
    <row r="7363" spans="1:2" ht="15.5" x14ac:dyDescent="0.35">
      <c r="A7363" s="343"/>
      <c r="B7363" s="344"/>
    </row>
    <row r="7364" spans="1:2" ht="15.5" x14ac:dyDescent="0.35">
      <c r="A7364" s="343"/>
      <c r="B7364" s="344"/>
    </row>
    <row r="7365" spans="1:2" ht="15.5" x14ac:dyDescent="0.35">
      <c r="A7365" s="343"/>
      <c r="B7365" s="344"/>
    </row>
    <row r="7366" spans="1:2" ht="15.5" x14ac:dyDescent="0.35">
      <c r="A7366" s="343"/>
      <c r="B7366" s="344"/>
    </row>
    <row r="7367" spans="1:2" ht="15.5" x14ac:dyDescent="0.35">
      <c r="A7367" s="343"/>
      <c r="B7367" s="344"/>
    </row>
    <row r="7368" spans="1:2" ht="15.5" x14ac:dyDescent="0.35">
      <c r="A7368" s="343"/>
      <c r="B7368" s="344"/>
    </row>
    <row r="7369" spans="1:2" ht="15.5" x14ac:dyDescent="0.35">
      <c r="A7369" s="343"/>
      <c r="B7369" s="344"/>
    </row>
    <row r="7370" spans="1:2" ht="15.5" x14ac:dyDescent="0.35">
      <c r="A7370" s="343"/>
      <c r="B7370" s="344"/>
    </row>
    <row r="7371" spans="1:2" ht="15.5" x14ac:dyDescent="0.35">
      <c r="A7371" s="343"/>
      <c r="B7371" s="344"/>
    </row>
    <row r="7372" spans="1:2" ht="15.5" x14ac:dyDescent="0.35">
      <c r="A7372" s="343"/>
      <c r="B7372" s="344"/>
    </row>
    <row r="7373" spans="1:2" ht="15.5" x14ac:dyDescent="0.35">
      <c r="A7373" s="343"/>
      <c r="B7373" s="344"/>
    </row>
    <row r="7374" spans="1:2" ht="15.5" x14ac:dyDescent="0.35">
      <c r="A7374" s="343"/>
      <c r="B7374" s="344"/>
    </row>
    <row r="7375" spans="1:2" ht="15.5" x14ac:dyDescent="0.35">
      <c r="A7375" s="343"/>
      <c r="B7375" s="344"/>
    </row>
    <row r="7376" spans="1:2" ht="15.5" x14ac:dyDescent="0.35">
      <c r="A7376" s="343"/>
      <c r="B7376" s="344"/>
    </row>
    <row r="7377" spans="1:2" ht="15.5" x14ac:dyDescent="0.35">
      <c r="A7377" s="343"/>
      <c r="B7377" s="344"/>
    </row>
    <row r="7378" spans="1:2" ht="15.5" x14ac:dyDescent="0.35">
      <c r="A7378" s="343"/>
      <c r="B7378" s="344"/>
    </row>
    <row r="7379" spans="1:2" ht="15.5" x14ac:dyDescent="0.35">
      <c r="A7379" s="343"/>
      <c r="B7379" s="344"/>
    </row>
    <row r="7380" spans="1:2" ht="15.5" x14ac:dyDescent="0.35">
      <c r="A7380" s="343"/>
      <c r="B7380" s="344"/>
    </row>
    <row r="7381" spans="1:2" ht="15.5" x14ac:dyDescent="0.35">
      <c r="A7381" s="343"/>
      <c r="B7381" s="344"/>
    </row>
    <row r="7382" spans="1:2" ht="15.5" x14ac:dyDescent="0.35">
      <c r="A7382" s="343"/>
      <c r="B7382" s="344"/>
    </row>
    <row r="7383" spans="1:2" ht="15.5" x14ac:dyDescent="0.35">
      <c r="A7383" s="343"/>
      <c r="B7383" s="344"/>
    </row>
    <row r="7384" spans="1:2" ht="15.5" x14ac:dyDescent="0.35">
      <c r="A7384" s="343"/>
      <c r="B7384" s="344"/>
    </row>
    <row r="7385" spans="1:2" ht="15.5" x14ac:dyDescent="0.35">
      <c r="A7385" s="343"/>
      <c r="B7385" s="344"/>
    </row>
    <row r="7386" spans="1:2" ht="15.5" x14ac:dyDescent="0.35">
      <c r="A7386" s="343"/>
      <c r="B7386" s="344"/>
    </row>
    <row r="7387" spans="1:2" ht="15.5" x14ac:dyDescent="0.35">
      <c r="A7387" s="343"/>
      <c r="B7387" s="344"/>
    </row>
    <row r="7388" spans="1:2" ht="15.5" x14ac:dyDescent="0.35">
      <c r="A7388" s="343"/>
      <c r="B7388" s="344"/>
    </row>
    <row r="7389" spans="1:2" ht="15.5" x14ac:dyDescent="0.35">
      <c r="A7389" s="343"/>
      <c r="B7389" s="344"/>
    </row>
    <row r="7390" spans="1:2" ht="15.5" x14ac:dyDescent="0.35">
      <c r="A7390" s="343"/>
      <c r="B7390" s="344"/>
    </row>
    <row r="7391" spans="1:2" ht="15.5" x14ac:dyDescent="0.35">
      <c r="A7391" s="343"/>
      <c r="B7391" s="344"/>
    </row>
    <row r="7392" spans="1:2" ht="15.5" x14ac:dyDescent="0.35">
      <c r="A7392" s="343"/>
      <c r="B7392" s="344"/>
    </row>
    <row r="7393" spans="1:2" ht="15.5" x14ac:dyDescent="0.35">
      <c r="A7393" s="343"/>
      <c r="B7393" s="344"/>
    </row>
    <row r="7394" spans="1:2" ht="15.5" x14ac:dyDescent="0.35">
      <c r="A7394" s="343"/>
      <c r="B7394" s="344"/>
    </row>
    <row r="7395" spans="1:2" ht="15.5" x14ac:dyDescent="0.35">
      <c r="A7395" s="343"/>
      <c r="B7395" s="344"/>
    </row>
    <row r="7396" spans="1:2" ht="15.5" x14ac:dyDescent="0.35">
      <c r="A7396" s="343"/>
      <c r="B7396" s="344"/>
    </row>
    <row r="7397" spans="1:2" ht="15.5" x14ac:dyDescent="0.35">
      <c r="A7397" s="343"/>
      <c r="B7397" s="344"/>
    </row>
    <row r="7398" spans="1:2" ht="15.5" x14ac:dyDescent="0.35">
      <c r="A7398" s="343"/>
      <c r="B7398" s="344"/>
    </row>
    <row r="7399" spans="1:2" ht="15.5" x14ac:dyDescent="0.35">
      <c r="A7399" s="343"/>
      <c r="B7399" s="344"/>
    </row>
    <row r="7400" spans="1:2" ht="15.5" x14ac:dyDescent="0.35">
      <c r="A7400" s="343"/>
      <c r="B7400" s="344"/>
    </row>
    <row r="7401" spans="1:2" ht="15.5" x14ac:dyDescent="0.35">
      <c r="A7401" s="343"/>
      <c r="B7401" s="344"/>
    </row>
    <row r="7402" spans="1:2" ht="15.5" x14ac:dyDescent="0.35">
      <c r="A7402" s="343"/>
      <c r="B7402" s="344"/>
    </row>
    <row r="7403" spans="1:2" ht="15.5" x14ac:dyDescent="0.35">
      <c r="A7403" s="343"/>
      <c r="B7403" s="344"/>
    </row>
    <row r="7404" spans="1:2" ht="15.5" x14ac:dyDescent="0.35">
      <c r="A7404" s="343"/>
      <c r="B7404" s="344"/>
    </row>
    <row r="7405" spans="1:2" ht="15.5" x14ac:dyDescent="0.35">
      <c r="A7405" s="343"/>
      <c r="B7405" s="344"/>
    </row>
    <row r="7406" spans="1:2" ht="15.5" x14ac:dyDescent="0.35">
      <c r="A7406" s="343"/>
      <c r="B7406" s="344"/>
    </row>
    <row r="7407" spans="1:2" ht="15.5" x14ac:dyDescent="0.35">
      <c r="A7407" s="343"/>
      <c r="B7407" s="344"/>
    </row>
    <row r="7408" spans="1:2" ht="15.5" x14ac:dyDescent="0.35">
      <c r="A7408" s="343"/>
      <c r="B7408" s="344"/>
    </row>
    <row r="7409" spans="1:2" ht="15.5" x14ac:dyDescent="0.35">
      <c r="A7409" s="343"/>
      <c r="B7409" s="344"/>
    </row>
    <row r="7410" spans="1:2" ht="15.5" x14ac:dyDescent="0.35">
      <c r="A7410" s="343"/>
      <c r="B7410" s="344"/>
    </row>
    <row r="7411" spans="1:2" ht="15.5" x14ac:dyDescent="0.35">
      <c r="A7411" s="343"/>
      <c r="B7411" s="344"/>
    </row>
    <row r="7412" spans="1:2" ht="15.5" x14ac:dyDescent="0.35">
      <c r="A7412" s="343"/>
      <c r="B7412" s="344"/>
    </row>
    <row r="7413" spans="1:2" ht="15.5" x14ac:dyDescent="0.35">
      <c r="A7413" s="343"/>
      <c r="B7413" s="344"/>
    </row>
    <row r="7414" spans="1:2" ht="15.5" x14ac:dyDescent="0.35">
      <c r="A7414" s="343"/>
      <c r="B7414" s="344"/>
    </row>
    <row r="7415" spans="1:2" ht="15.5" x14ac:dyDescent="0.35">
      <c r="A7415" s="343"/>
      <c r="B7415" s="344"/>
    </row>
    <row r="7416" spans="1:2" ht="15.5" x14ac:dyDescent="0.35">
      <c r="A7416" s="343"/>
      <c r="B7416" s="344"/>
    </row>
    <row r="7417" spans="1:2" ht="15.5" x14ac:dyDescent="0.35">
      <c r="A7417" s="343"/>
      <c r="B7417" s="344"/>
    </row>
    <row r="7418" spans="1:2" ht="15.5" x14ac:dyDescent="0.35">
      <c r="A7418" s="343"/>
      <c r="B7418" s="344"/>
    </row>
    <row r="7419" spans="1:2" ht="15.5" x14ac:dyDescent="0.35">
      <c r="A7419" s="343"/>
      <c r="B7419" s="344"/>
    </row>
    <row r="7420" spans="1:2" ht="15.5" x14ac:dyDescent="0.35">
      <c r="A7420" s="343"/>
      <c r="B7420" s="344"/>
    </row>
    <row r="7421" spans="1:2" ht="15.5" x14ac:dyDescent="0.35">
      <c r="A7421" s="343"/>
      <c r="B7421" s="344"/>
    </row>
    <row r="7422" spans="1:2" ht="15.5" x14ac:dyDescent="0.35">
      <c r="A7422" s="343"/>
      <c r="B7422" s="344"/>
    </row>
    <row r="7423" spans="1:2" ht="15.5" x14ac:dyDescent="0.35">
      <c r="A7423" s="343"/>
      <c r="B7423" s="344"/>
    </row>
    <row r="7424" spans="1:2" ht="15.5" x14ac:dyDescent="0.35">
      <c r="A7424" s="343"/>
      <c r="B7424" s="344"/>
    </row>
    <row r="7425" spans="1:2" ht="15.5" x14ac:dyDescent="0.35">
      <c r="A7425" s="343"/>
      <c r="B7425" s="344"/>
    </row>
    <row r="7426" spans="1:2" ht="15.5" x14ac:dyDescent="0.35">
      <c r="A7426" s="343"/>
      <c r="B7426" s="344"/>
    </row>
    <row r="7427" spans="1:2" ht="15.5" x14ac:dyDescent="0.35">
      <c r="A7427" s="343"/>
      <c r="B7427" s="344"/>
    </row>
    <row r="7428" spans="1:2" ht="15.5" x14ac:dyDescent="0.35">
      <c r="A7428" s="343"/>
      <c r="B7428" s="344"/>
    </row>
    <row r="7429" spans="1:2" ht="15.5" x14ac:dyDescent="0.35">
      <c r="A7429" s="343"/>
      <c r="B7429" s="344"/>
    </row>
    <row r="7430" spans="1:2" ht="15.5" x14ac:dyDescent="0.35">
      <c r="A7430" s="343"/>
      <c r="B7430" s="344"/>
    </row>
    <row r="7431" spans="1:2" ht="15.5" x14ac:dyDescent="0.35">
      <c r="A7431" s="343"/>
      <c r="B7431" s="344"/>
    </row>
    <row r="7432" spans="1:2" ht="15.5" x14ac:dyDescent="0.35">
      <c r="A7432" s="343"/>
      <c r="B7432" s="344"/>
    </row>
    <row r="7433" spans="1:2" ht="15.5" x14ac:dyDescent="0.35">
      <c r="A7433" s="343"/>
      <c r="B7433" s="344"/>
    </row>
    <row r="7434" spans="1:2" ht="15.5" x14ac:dyDescent="0.35">
      <c r="A7434" s="343"/>
      <c r="B7434" s="344"/>
    </row>
    <row r="7435" spans="1:2" ht="15.5" x14ac:dyDescent="0.35">
      <c r="A7435" s="343"/>
      <c r="B7435" s="344"/>
    </row>
    <row r="7436" spans="1:2" ht="15.5" x14ac:dyDescent="0.35">
      <c r="A7436" s="343"/>
      <c r="B7436" s="344"/>
    </row>
    <row r="7437" spans="1:2" ht="15.5" x14ac:dyDescent="0.35">
      <c r="A7437" s="343"/>
      <c r="B7437" s="344"/>
    </row>
    <row r="7438" spans="1:2" ht="15.5" x14ac:dyDescent="0.35">
      <c r="A7438" s="343"/>
      <c r="B7438" s="344"/>
    </row>
    <row r="7439" spans="1:2" ht="15.5" x14ac:dyDescent="0.35">
      <c r="A7439" s="343"/>
      <c r="B7439" s="344"/>
    </row>
    <row r="7440" spans="1:2" ht="15.5" x14ac:dyDescent="0.35">
      <c r="A7440" s="343"/>
      <c r="B7440" s="344"/>
    </row>
    <row r="7441" spans="1:2" ht="15.5" x14ac:dyDescent="0.35">
      <c r="A7441" s="343"/>
      <c r="B7441" s="344"/>
    </row>
    <row r="7442" spans="1:2" ht="15.5" x14ac:dyDescent="0.35">
      <c r="A7442" s="343"/>
      <c r="B7442" s="344"/>
    </row>
    <row r="7443" spans="1:2" ht="15.5" x14ac:dyDescent="0.35">
      <c r="A7443" s="343"/>
      <c r="B7443" s="344"/>
    </row>
    <row r="7444" spans="1:2" ht="15.5" x14ac:dyDescent="0.35">
      <c r="A7444" s="343"/>
      <c r="B7444" s="344"/>
    </row>
    <row r="7445" spans="1:2" ht="15.5" x14ac:dyDescent="0.35">
      <c r="A7445" s="343"/>
      <c r="B7445" s="344"/>
    </row>
    <row r="7446" spans="1:2" ht="15.5" x14ac:dyDescent="0.35">
      <c r="A7446" s="343"/>
      <c r="B7446" s="344"/>
    </row>
    <row r="7447" spans="1:2" ht="15.5" x14ac:dyDescent="0.35">
      <c r="A7447" s="343"/>
      <c r="B7447" s="344"/>
    </row>
    <row r="7448" spans="1:2" ht="15.5" x14ac:dyDescent="0.35">
      <c r="A7448" s="343"/>
      <c r="B7448" s="344"/>
    </row>
    <row r="7449" spans="1:2" ht="15.5" x14ac:dyDescent="0.35">
      <c r="A7449" s="343"/>
      <c r="B7449" s="344"/>
    </row>
    <row r="7450" spans="1:2" ht="15.5" x14ac:dyDescent="0.35">
      <c r="A7450" s="343"/>
      <c r="B7450" s="344"/>
    </row>
    <row r="7451" spans="1:2" ht="15.5" x14ac:dyDescent="0.35">
      <c r="A7451" s="343"/>
      <c r="B7451" s="344"/>
    </row>
    <row r="7452" spans="1:2" ht="15.5" x14ac:dyDescent="0.35">
      <c r="A7452" s="343"/>
      <c r="B7452" s="344"/>
    </row>
    <row r="7453" spans="1:2" ht="15.5" x14ac:dyDescent="0.35">
      <c r="A7453" s="343"/>
      <c r="B7453" s="344"/>
    </row>
    <row r="7454" spans="1:2" ht="15.5" x14ac:dyDescent="0.35">
      <c r="A7454" s="343"/>
      <c r="B7454" s="344"/>
    </row>
    <row r="7455" spans="1:2" ht="15.5" x14ac:dyDescent="0.35">
      <c r="A7455" s="343"/>
      <c r="B7455" s="344"/>
    </row>
    <row r="7456" spans="1:2" ht="15.5" x14ac:dyDescent="0.35">
      <c r="A7456" s="343"/>
      <c r="B7456" s="344"/>
    </row>
    <row r="7457" spans="1:2" ht="15.5" x14ac:dyDescent="0.35">
      <c r="A7457" s="343"/>
      <c r="B7457" s="344"/>
    </row>
    <row r="7458" spans="1:2" ht="15.5" x14ac:dyDescent="0.35">
      <c r="A7458" s="343"/>
      <c r="B7458" s="344"/>
    </row>
    <row r="7459" spans="1:2" ht="15.5" x14ac:dyDescent="0.35">
      <c r="A7459" s="343"/>
      <c r="B7459" s="344"/>
    </row>
    <row r="7460" spans="1:2" ht="15.5" x14ac:dyDescent="0.35">
      <c r="A7460" s="343"/>
      <c r="B7460" s="344"/>
    </row>
    <row r="7461" spans="1:2" ht="15.5" x14ac:dyDescent="0.35">
      <c r="A7461" s="343"/>
      <c r="B7461" s="344"/>
    </row>
    <row r="7462" spans="1:2" ht="15.5" x14ac:dyDescent="0.35">
      <c r="A7462" s="343"/>
      <c r="B7462" s="344"/>
    </row>
    <row r="7463" spans="1:2" ht="15.5" x14ac:dyDescent="0.35">
      <c r="A7463" s="343"/>
      <c r="B7463" s="344"/>
    </row>
    <row r="7464" spans="1:2" ht="15.5" x14ac:dyDescent="0.35">
      <c r="A7464" s="343"/>
      <c r="B7464" s="344"/>
    </row>
    <row r="7465" spans="1:2" ht="15.5" x14ac:dyDescent="0.35">
      <c r="A7465" s="343"/>
      <c r="B7465" s="344"/>
    </row>
    <row r="7466" spans="1:2" ht="15.5" x14ac:dyDescent="0.35">
      <c r="A7466" s="343"/>
      <c r="B7466" s="344"/>
    </row>
    <row r="7467" spans="1:2" ht="15.5" x14ac:dyDescent="0.35">
      <c r="A7467" s="343"/>
      <c r="B7467" s="344"/>
    </row>
    <row r="7468" spans="1:2" ht="15.5" x14ac:dyDescent="0.35">
      <c r="A7468" s="343"/>
      <c r="B7468" s="344"/>
    </row>
    <row r="7469" spans="1:2" ht="15.5" x14ac:dyDescent="0.35">
      <c r="A7469" s="343"/>
      <c r="B7469" s="344"/>
    </row>
    <row r="7470" spans="1:2" ht="15.5" x14ac:dyDescent="0.35">
      <c r="A7470" s="343"/>
      <c r="B7470" s="344"/>
    </row>
    <row r="7471" spans="1:2" ht="15.5" x14ac:dyDescent="0.35">
      <c r="A7471" s="343"/>
      <c r="B7471" s="344"/>
    </row>
    <row r="7472" spans="1:2" ht="15.5" x14ac:dyDescent="0.35">
      <c r="A7472" s="343"/>
      <c r="B7472" s="344"/>
    </row>
    <row r="7473" spans="1:2" ht="15.5" x14ac:dyDescent="0.35">
      <c r="A7473" s="343"/>
      <c r="B7473" s="344"/>
    </row>
    <row r="7474" spans="1:2" ht="15.5" x14ac:dyDescent="0.35">
      <c r="A7474" s="343"/>
      <c r="B7474" s="344"/>
    </row>
    <row r="7475" spans="1:2" ht="15.5" x14ac:dyDescent="0.35">
      <c r="A7475" s="343"/>
      <c r="B7475" s="344"/>
    </row>
    <row r="7476" spans="1:2" ht="15.5" x14ac:dyDescent="0.35">
      <c r="A7476" s="343"/>
      <c r="B7476" s="344"/>
    </row>
    <row r="7477" spans="1:2" ht="15.5" x14ac:dyDescent="0.35">
      <c r="A7477" s="343"/>
      <c r="B7477" s="344"/>
    </row>
    <row r="7478" spans="1:2" ht="15.5" x14ac:dyDescent="0.35">
      <c r="A7478" s="343"/>
      <c r="B7478" s="344"/>
    </row>
    <row r="7479" spans="1:2" ht="15.5" x14ac:dyDescent="0.35">
      <c r="A7479" s="343"/>
      <c r="B7479" s="344"/>
    </row>
    <row r="7480" spans="1:2" ht="15.5" x14ac:dyDescent="0.35">
      <c r="A7480" s="343"/>
      <c r="B7480" s="344"/>
    </row>
    <row r="7481" spans="1:2" ht="15.5" x14ac:dyDescent="0.35">
      <c r="A7481" s="343"/>
      <c r="B7481" s="344"/>
    </row>
    <row r="7482" spans="1:2" ht="15.5" x14ac:dyDescent="0.35">
      <c r="A7482" s="343"/>
      <c r="B7482" s="344"/>
    </row>
    <row r="7483" spans="1:2" ht="15.5" x14ac:dyDescent="0.35">
      <c r="A7483" s="343"/>
      <c r="B7483" s="344"/>
    </row>
    <row r="7484" spans="1:2" ht="15.5" x14ac:dyDescent="0.35">
      <c r="A7484" s="343"/>
      <c r="B7484" s="344"/>
    </row>
    <row r="7485" spans="1:2" ht="15.5" x14ac:dyDescent="0.35">
      <c r="A7485" s="343"/>
      <c r="B7485" s="344"/>
    </row>
    <row r="7486" spans="1:2" ht="15.5" x14ac:dyDescent="0.35">
      <c r="A7486" s="343"/>
      <c r="B7486" s="344"/>
    </row>
    <row r="7487" spans="1:2" ht="15.5" x14ac:dyDescent="0.35">
      <c r="A7487" s="343"/>
      <c r="B7487" s="344"/>
    </row>
    <row r="7488" spans="1:2" ht="15.5" x14ac:dyDescent="0.35">
      <c r="A7488" s="343"/>
      <c r="B7488" s="344"/>
    </row>
    <row r="7489" spans="1:2" ht="15.5" x14ac:dyDescent="0.35">
      <c r="A7489" s="343"/>
      <c r="B7489" s="344"/>
    </row>
    <row r="7490" spans="1:2" ht="15.5" x14ac:dyDescent="0.35">
      <c r="A7490" s="343"/>
      <c r="B7490" s="344"/>
    </row>
    <row r="7491" spans="1:2" ht="15.5" x14ac:dyDescent="0.35">
      <c r="A7491" s="343"/>
      <c r="B7491" s="344"/>
    </row>
    <row r="7492" spans="1:2" ht="15.5" x14ac:dyDescent="0.35">
      <c r="A7492" s="343"/>
      <c r="B7492" s="344"/>
    </row>
    <row r="7493" spans="1:2" ht="15.5" x14ac:dyDescent="0.35">
      <c r="A7493" s="343"/>
      <c r="B7493" s="344"/>
    </row>
    <row r="7494" spans="1:2" ht="15.5" x14ac:dyDescent="0.35">
      <c r="A7494" s="343"/>
      <c r="B7494" s="344"/>
    </row>
    <row r="7495" spans="1:2" ht="15.5" x14ac:dyDescent="0.35">
      <c r="A7495" s="343"/>
      <c r="B7495" s="344"/>
    </row>
    <row r="7496" spans="1:2" ht="15.5" x14ac:dyDescent="0.35">
      <c r="A7496" s="343"/>
      <c r="B7496" s="344"/>
    </row>
    <row r="7497" spans="1:2" ht="15.5" x14ac:dyDescent="0.35">
      <c r="A7497" s="343"/>
      <c r="B7497" s="344"/>
    </row>
    <row r="7498" spans="1:2" ht="15.5" x14ac:dyDescent="0.35">
      <c r="A7498" s="343"/>
      <c r="B7498" s="344"/>
    </row>
    <row r="7499" spans="1:2" ht="15.5" x14ac:dyDescent="0.35">
      <c r="A7499" s="343"/>
      <c r="B7499" s="344"/>
    </row>
    <row r="7500" spans="1:2" ht="15.5" x14ac:dyDescent="0.35">
      <c r="A7500" s="343"/>
      <c r="B7500" s="344"/>
    </row>
    <row r="7501" spans="1:2" ht="15.5" x14ac:dyDescent="0.35">
      <c r="A7501" s="343"/>
      <c r="B7501" s="344"/>
    </row>
    <row r="7502" spans="1:2" ht="15.5" x14ac:dyDescent="0.35">
      <c r="A7502" s="343"/>
      <c r="B7502" s="344"/>
    </row>
    <row r="7503" spans="1:2" ht="15.5" x14ac:dyDescent="0.35">
      <c r="A7503" s="343"/>
      <c r="B7503" s="344"/>
    </row>
    <row r="7504" spans="1:2" ht="15.5" x14ac:dyDescent="0.35">
      <c r="A7504" s="343"/>
      <c r="B7504" s="344"/>
    </row>
    <row r="7505" spans="1:2" ht="15.5" x14ac:dyDescent="0.35">
      <c r="A7505" s="343"/>
      <c r="B7505" s="344"/>
    </row>
    <row r="7506" spans="1:2" ht="15.5" x14ac:dyDescent="0.35">
      <c r="A7506" s="343"/>
      <c r="B7506" s="344"/>
    </row>
    <row r="7507" spans="1:2" ht="15.5" x14ac:dyDescent="0.35">
      <c r="A7507" s="343"/>
      <c r="B7507" s="344"/>
    </row>
    <row r="7508" spans="1:2" ht="15.5" x14ac:dyDescent="0.35">
      <c r="A7508" s="343"/>
      <c r="B7508" s="344"/>
    </row>
    <row r="7509" spans="1:2" ht="15.5" x14ac:dyDescent="0.35">
      <c r="A7509" s="343"/>
      <c r="B7509" s="344"/>
    </row>
    <row r="7510" spans="1:2" ht="15.5" x14ac:dyDescent="0.35">
      <c r="A7510" s="343"/>
      <c r="B7510" s="344"/>
    </row>
    <row r="7511" spans="1:2" ht="15.5" x14ac:dyDescent="0.35">
      <c r="A7511" s="343"/>
      <c r="B7511" s="344"/>
    </row>
    <row r="7512" spans="1:2" ht="15.5" x14ac:dyDescent="0.35">
      <c r="A7512" s="343"/>
      <c r="B7512" s="344"/>
    </row>
    <row r="7513" spans="1:2" ht="15.5" x14ac:dyDescent="0.35">
      <c r="A7513" s="343"/>
      <c r="B7513" s="344"/>
    </row>
    <row r="7514" spans="1:2" ht="15.5" x14ac:dyDescent="0.35">
      <c r="A7514" s="343"/>
      <c r="B7514" s="344"/>
    </row>
    <row r="7515" spans="1:2" ht="15.5" x14ac:dyDescent="0.35">
      <c r="A7515" s="343"/>
      <c r="B7515" s="344"/>
    </row>
    <row r="7516" spans="1:2" ht="15.5" x14ac:dyDescent="0.35">
      <c r="A7516" s="343"/>
      <c r="B7516" s="344"/>
    </row>
    <row r="7517" spans="1:2" ht="15.5" x14ac:dyDescent="0.35">
      <c r="A7517" s="343"/>
      <c r="B7517" s="344"/>
    </row>
    <row r="7518" spans="1:2" ht="15.5" x14ac:dyDescent="0.35">
      <c r="A7518" s="343"/>
      <c r="B7518" s="344"/>
    </row>
    <row r="7519" spans="1:2" ht="15.5" x14ac:dyDescent="0.35">
      <c r="A7519" s="343"/>
      <c r="B7519" s="344"/>
    </row>
    <row r="7520" spans="1:2" ht="15.5" x14ac:dyDescent="0.35">
      <c r="A7520" s="343"/>
      <c r="B7520" s="344"/>
    </row>
    <row r="7521" spans="1:2" ht="15.5" x14ac:dyDescent="0.35">
      <c r="A7521" s="343"/>
      <c r="B7521" s="344"/>
    </row>
    <row r="7522" spans="1:2" ht="15.5" x14ac:dyDescent="0.35">
      <c r="A7522" s="343"/>
      <c r="B7522" s="344"/>
    </row>
    <row r="7523" spans="1:2" ht="15.5" x14ac:dyDescent="0.35">
      <c r="A7523" s="343"/>
      <c r="B7523" s="344"/>
    </row>
    <row r="7524" spans="1:2" ht="15.5" x14ac:dyDescent="0.35">
      <c r="A7524" s="343"/>
      <c r="B7524" s="344"/>
    </row>
    <row r="7525" spans="1:2" ht="15.5" x14ac:dyDescent="0.35">
      <c r="A7525" s="343"/>
      <c r="B7525" s="344"/>
    </row>
    <row r="7526" spans="1:2" ht="15.5" x14ac:dyDescent="0.35">
      <c r="A7526" s="343"/>
      <c r="B7526" s="344"/>
    </row>
    <row r="7527" spans="1:2" ht="15.5" x14ac:dyDescent="0.35">
      <c r="A7527" s="343"/>
      <c r="B7527" s="344"/>
    </row>
    <row r="7528" spans="1:2" ht="15.5" x14ac:dyDescent="0.35">
      <c r="A7528" s="343"/>
      <c r="B7528" s="344"/>
    </row>
    <row r="7529" spans="1:2" ht="15.5" x14ac:dyDescent="0.35">
      <c r="A7529" s="343"/>
      <c r="B7529" s="344"/>
    </row>
    <row r="7530" spans="1:2" ht="15.5" x14ac:dyDescent="0.35">
      <c r="A7530" s="343"/>
      <c r="B7530" s="344"/>
    </row>
    <row r="7531" spans="1:2" ht="15.5" x14ac:dyDescent="0.35">
      <c r="A7531" s="343"/>
      <c r="B7531" s="344"/>
    </row>
    <row r="7532" spans="1:2" ht="15.5" x14ac:dyDescent="0.35">
      <c r="A7532" s="343"/>
      <c r="B7532" s="344"/>
    </row>
    <row r="7533" spans="1:2" ht="15.5" x14ac:dyDescent="0.35">
      <c r="A7533" s="343"/>
      <c r="B7533" s="344"/>
    </row>
    <row r="7534" spans="1:2" ht="15.5" x14ac:dyDescent="0.35">
      <c r="A7534" s="343"/>
      <c r="B7534" s="344"/>
    </row>
    <row r="7535" spans="1:2" ht="15.5" x14ac:dyDescent="0.35">
      <c r="A7535" s="343"/>
      <c r="B7535" s="344"/>
    </row>
    <row r="7536" spans="1:2" ht="15.5" x14ac:dyDescent="0.35">
      <c r="A7536" s="343"/>
      <c r="B7536" s="344"/>
    </row>
    <row r="7537" spans="1:2" ht="15.5" x14ac:dyDescent="0.35">
      <c r="A7537" s="343"/>
      <c r="B7537" s="344"/>
    </row>
    <row r="7538" spans="1:2" ht="15.5" x14ac:dyDescent="0.35">
      <c r="A7538" s="343"/>
      <c r="B7538" s="344"/>
    </row>
    <row r="7539" spans="1:2" ht="15.5" x14ac:dyDescent="0.35">
      <c r="A7539" s="343"/>
      <c r="B7539" s="344"/>
    </row>
    <row r="7540" spans="1:2" ht="15.5" x14ac:dyDescent="0.35">
      <c r="A7540" s="343"/>
      <c r="B7540" s="344"/>
    </row>
    <row r="7541" spans="1:2" ht="15.5" x14ac:dyDescent="0.35">
      <c r="A7541" s="343"/>
      <c r="B7541" s="344"/>
    </row>
    <row r="7542" spans="1:2" ht="15.5" x14ac:dyDescent="0.35">
      <c r="A7542" s="343"/>
      <c r="B7542" s="344"/>
    </row>
    <row r="7543" spans="1:2" ht="15.5" x14ac:dyDescent="0.35">
      <c r="A7543" s="343"/>
      <c r="B7543" s="344"/>
    </row>
    <row r="7544" spans="1:2" ht="15.5" x14ac:dyDescent="0.35">
      <c r="A7544" s="343"/>
      <c r="B7544" s="344"/>
    </row>
    <row r="7545" spans="1:2" ht="15.5" x14ac:dyDescent="0.35">
      <c r="A7545" s="343"/>
      <c r="B7545" s="344"/>
    </row>
    <row r="7546" spans="1:2" ht="15.5" x14ac:dyDescent="0.35">
      <c r="A7546" s="343"/>
      <c r="B7546" s="344"/>
    </row>
    <row r="7547" spans="1:2" ht="15.5" x14ac:dyDescent="0.35">
      <c r="A7547" s="343"/>
      <c r="B7547" s="344"/>
    </row>
    <row r="7548" spans="1:2" ht="15.5" x14ac:dyDescent="0.35">
      <c r="A7548" s="343"/>
      <c r="B7548" s="344"/>
    </row>
    <row r="7549" spans="1:2" ht="15.5" x14ac:dyDescent="0.35">
      <c r="A7549" s="343"/>
      <c r="B7549" s="344"/>
    </row>
    <row r="7550" spans="1:2" ht="15.5" x14ac:dyDescent="0.35">
      <c r="A7550" s="343"/>
      <c r="B7550" s="344"/>
    </row>
    <row r="7551" spans="1:2" ht="15.5" x14ac:dyDescent="0.35">
      <c r="A7551" s="343"/>
      <c r="B7551" s="344"/>
    </row>
    <row r="7552" spans="1:2" ht="15.5" x14ac:dyDescent="0.35">
      <c r="A7552" s="343"/>
      <c r="B7552" s="344"/>
    </row>
    <row r="7553" spans="1:2" ht="15.5" x14ac:dyDescent="0.35">
      <c r="A7553" s="343"/>
      <c r="B7553" s="344"/>
    </row>
    <row r="7554" spans="1:2" ht="15.5" x14ac:dyDescent="0.35">
      <c r="A7554" s="343"/>
      <c r="B7554" s="344"/>
    </row>
    <row r="7555" spans="1:2" ht="15.5" x14ac:dyDescent="0.35">
      <c r="A7555" s="343"/>
      <c r="B7555" s="344"/>
    </row>
    <row r="7556" spans="1:2" ht="15.5" x14ac:dyDescent="0.35">
      <c r="A7556" s="343"/>
      <c r="B7556" s="344"/>
    </row>
    <row r="7557" spans="1:2" ht="15.5" x14ac:dyDescent="0.35">
      <c r="A7557" s="343"/>
      <c r="B7557" s="344"/>
    </row>
    <row r="7558" spans="1:2" ht="15.5" x14ac:dyDescent="0.35">
      <c r="A7558" s="343"/>
      <c r="B7558" s="344"/>
    </row>
    <row r="7559" spans="1:2" ht="15.5" x14ac:dyDescent="0.35">
      <c r="A7559" s="343"/>
      <c r="B7559" s="344"/>
    </row>
    <row r="7560" spans="1:2" ht="15.5" x14ac:dyDescent="0.35">
      <c r="A7560" s="343"/>
      <c r="B7560" s="344"/>
    </row>
    <row r="7561" spans="1:2" ht="15.5" x14ac:dyDescent="0.35">
      <c r="A7561" s="343"/>
      <c r="B7561" s="344"/>
    </row>
    <row r="7562" spans="1:2" ht="15.5" x14ac:dyDescent="0.35">
      <c r="A7562" s="343"/>
      <c r="B7562" s="344"/>
    </row>
    <row r="7563" spans="1:2" ht="15.5" x14ac:dyDescent="0.35">
      <c r="A7563" s="343"/>
      <c r="B7563" s="344"/>
    </row>
    <row r="7564" spans="1:2" ht="15.5" x14ac:dyDescent="0.35">
      <c r="A7564" s="343"/>
      <c r="B7564" s="344"/>
    </row>
    <row r="7565" spans="1:2" ht="15.5" x14ac:dyDescent="0.35">
      <c r="A7565" s="343"/>
      <c r="B7565" s="344"/>
    </row>
    <row r="7566" spans="1:2" ht="15.5" x14ac:dyDescent="0.35">
      <c r="A7566" s="343"/>
      <c r="B7566" s="344"/>
    </row>
    <row r="7567" spans="1:2" ht="15.5" x14ac:dyDescent="0.35">
      <c r="A7567" s="343"/>
      <c r="B7567" s="344"/>
    </row>
    <row r="7568" spans="1:2" ht="15.5" x14ac:dyDescent="0.35">
      <c r="A7568" s="343"/>
      <c r="B7568" s="344"/>
    </row>
    <row r="7569" spans="1:2" ht="15.5" x14ac:dyDescent="0.35">
      <c r="A7569" s="343"/>
      <c r="B7569" s="344"/>
    </row>
    <row r="7570" spans="1:2" ht="15.5" x14ac:dyDescent="0.35">
      <c r="A7570" s="343"/>
      <c r="B7570" s="344"/>
    </row>
    <row r="7571" spans="1:2" ht="15.5" x14ac:dyDescent="0.35">
      <c r="A7571" s="343"/>
      <c r="B7571" s="344"/>
    </row>
    <row r="7572" spans="1:2" ht="15.5" x14ac:dyDescent="0.35">
      <c r="A7572" s="343"/>
      <c r="B7572" s="344"/>
    </row>
    <row r="7573" spans="1:2" ht="15.5" x14ac:dyDescent="0.35">
      <c r="A7573" s="343"/>
      <c r="B7573" s="344"/>
    </row>
    <row r="7574" spans="1:2" ht="15.5" x14ac:dyDescent="0.35">
      <c r="A7574" s="343"/>
      <c r="B7574" s="344"/>
    </row>
    <row r="7575" spans="1:2" ht="15.5" x14ac:dyDescent="0.35">
      <c r="A7575" s="343"/>
      <c r="B7575" s="344"/>
    </row>
    <row r="7576" spans="1:2" ht="15.5" x14ac:dyDescent="0.35">
      <c r="A7576" s="343"/>
      <c r="B7576" s="344"/>
    </row>
    <row r="7577" spans="1:2" ht="15.5" x14ac:dyDescent="0.35">
      <c r="A7577" s="343"/>
      <c r="B7577" s="344"/>
    </row>
    <row r="7578" spans="1:2" ht="15.5" x14ac:dyDescent="0.35">
      <c r="A7578" s="343"/>
      <c r="B7578" s="344"/>
    </row>
    <row r="7579" spans="1:2" ht="15.5" x14ac:dyDescent="0.35">
      <c r="A7579" s="343"/>
      <c r="B7579" s="344"/>
    </row>
    <row r="7580" spans="1:2" ht="15.5" x14ac:dyDescent="0.35">
      <c r="A7580" s="343"/>
      <c r="B7580" s="344"/>
    </row>
    <row r="7581" spans="1:2" ht="15.5" x14ac:dyDescent="0.35">
      <c r="A7581" s="343"/>
      <c r="B7581" s="344"/>
    </row>
    <row r="7582" spans="1:2" ht="15.5" x14ac:dyDescent="0.35">
      <c r="A7582" s="343"/>
      <c r="B7582" s="344"/>
    </row>
    <row r="7583" spans="1:2" ht="15.5" x14ac:dyDescent="0.35">
      <c r="A7583" s="343"/>
      <c r="B7583" s="344"/>
    </row>
    <row r="7584" spans="1:2" ht="15.5" x14ac:dyDescent="0.35">
      <c r="A7584" s="343"/>
      <c r="B7584" s="344"/>
    </row>
    <row r="7585" spans="1:2" ht="15.5" x14ac:dyDescent="0.35">
      <c r="A7585" s="343"/>
      <c r="B7585" s="344"/>
    </row>
    <row r="7586" spans="1:2" ht="15.5" x14ac:dyDescent="0.35">
      <c r="A7586" s="343"/>
      <c r="B7586" s="344"/>
    </row>
    <row r="7587" spans="1:2" ht="15.5" x14ac:dyDescent="0.35">
      <c r="A7587" s="343"/>
      <c r="B7587" s="344"/>
    </row>
    <row r="7588" spans="1:2" ht="15.5" x14ac:dyDescent="0.35">
      <c r="A7588" s="343"/>
      <c r="B7588" s="344"/>
    </row>
    <row r="7589" spans="1:2" ht="15.5" x14ac:dyDescent="0.35">
      <c r="A7589" s="343"/>
      <c r="B7589" s="344"/>
    </row>
    <row r="7590" spans="1:2" ht="15.5" x14ac:dyDescent="0.35">
      <c r="A7590" s="343"/>
      <c r="B7590" s="344"/>
    </row>
    <row r="7591" spans="1:2" ht="15.5" x14ac:dyDescent="0.35">
      <c r="A7591" s="343"/>
      <c r="B7591" s="344"/>
    </row>
    <row r="7592" spans="1:2" ht="15.5" x14ac:dyDescent="0.35">
      <c r="A7592" s="343"/>
      <c r="B7592" s="344"/>
    </row>
    <row r="7593" spans="1:2" ht="15.5" x14ac:dyDescent="0.35">
      <c r="A7593" s="343"/>
      <c r="B7593" s="344"/>
    </row>
    <row r="7594" spans="1:2" ht="15.5" x14ac:dyDescent="0.35">
      <c r="A7594" s="343"/>
      <c r="B7594" s="344"/>
    </row>
    <row r="7595" spans="1:2" ht="15.5" x14ac:dyDescent="0.35">
      <c r="A7595" s="343"/>
      <c r="B7595" s="344"/>
    </row>
    <row r="7596" spans="1:2" ht="15.5" x14ac:dyDescent="0.35">
      <c r="A7596" s="343"/>
      <c r="B7596" s="344"/>
    </row>
    <row r="7597" spans="1:2" ht="15.5" x14ac:dyDescent="0.35">
      <c r="A7597" s="343"/>
      <c r="B7597" s="344"/>
    </row>
    <row r="7598" spans="1:2" ht="15.5" x14ac:dyDescent="0.35">
      <c r="A7598" s="343"/>
      <c r="B7598" s="344"/>
    </row>
    <row r="7599" spans="1:2" ht="15.5" x14ac:dyDescent="0.35">
      <c r="A7599" s="343"/>
      <c r="B7599" s="344"/>
    </row>
    <row r="7600" spans="1:2" ht="15.5" x14ac:dyDescent="0.35">
      <c r="A7600" s="343"/>
      <c r="B7600" s="344"/>
    </row>
    <row r="7601" spans="1:2" ht="15.5" x14ac:dyDescent="0.35">
      <c r="A7601" s="343"/>
      <c r="B7601" s="344"/>
    </row>
    <row r="7602" spans="1:2" ht="15.5" x14ac:dyDescent="0.35">
      <c r="A7602" s="343"/>
      <c r="B7602" s="344"/>
    </row>
    <row r="7603" spans="1:2" ht="15.5" x14ac:dyDescent="0.35">
      <c r="A7603" s="343"/>
      <c r="B7603" s="344"/>
    </row>
    <row r="7604" spans="1:2" ht="15.5" x14ac:dyDescent="0.35">
      <c r="A7604" s="343"/>
      <c r="B7604" s="344"/>
    </row>
    <row r="7605" spans="1:2" ht="15.5" x14ac:dyDescent="0.35">
      <c r="A7605" s="343"/>
      <c r="B7605" s="344"/>
    </row>
    <row r="7606" spans="1:2" ht="15.5" x14ac:dyDescent="0.35">
      <c r="A7606" s="343"/>
      <c r="B7606" s="344"/>
    </row>
    <row r="7607" spans="1:2" ht="15.5" x14ac:dyDescent="0.35">
      <c r="A7607" s="343"/>
      <c r="B7607" s="344"/>
    </row>
    <row r="7608" spans="1:2" ht="15.5" x14ac:dyDescent="0.35">
      <c r="A7608" s="343"/>
      <c r="B7608" s="344"/>
    </row>
    <row r="7609" spans="1:2" ht="15.5" x14ac:dyDescent="0.35">
      <c r="A7609" s="343"/>
      <c r="B7609" s="344"/>
    </row>
    <row r="7610" spans="1:2" ht="15.5" x14ac:dyDescent="0.35">
      <c r="A7610" s="343"/>
      <c r="B7610" s="344"/>
    </row>
    <row r="7611" spans="1:2" ht="15.5" x14ac:dyDescent="0.35">
      <c r="A7611" s="343"/>
      <c r="B7611" s="344"/>
    </row>
    <row r="7612" spans="1:2" ht="15.5" x14ac:dyDescent="0.35">
      <c r="A7612" s="343"/>
      <c r="B7612" s="344"/>
    </row>
    <row r="7613" spans="1:2" ht="15.5" x14ac:dyDescent="0.35">
      <c r="A7613" s="343"/>
      <c r="B7613" s="344"/>
    </row>
    <row r="7614" spans="1:2" ht="15.5" x14ac:dyDescent="0.35">
      <c r="A7614" s="343"/>
      <c r="B7614" s="344"/>
    </row>
    <row r="7615" spans="1:2" ht="15.5" x14ac:dyDescent="0.35">
      <c r="A7615" s="343"/>
      <c r="B7615" s="344"/>
    </row>
    <row r="7616" spans="1:2" ht="15.5" x14ac:dyDescent="0.35">
      <c r="A7616" s="343"/>
      <c r="B7616" s="344"/>
    </row>
    <row r="7617" spans="1:2" ht="15.5" x14ac:dyDescent="0.35">
      <c r="A7617" s="343"/>
      <c r="B7617" s="344"/>
    </row>
    <row r="7618" spans="1:2" ht="15.5" x14ac:dyDescent="0.35">
      <c r="A7618" s="343"/>
      <c r="B7618" s="344"/>
    </row>
    <row r="7619" spans="1:2" ht="15.5" x14ac:dyDescent="0.35">
      <c r="A7619" s="343"/>
      <c r="B7619" s="344"/>
    </row>
    <row r="7620" spans="1:2" ht="15.5" x14ac:dyDescent="0.35">
      <c r="A7620" s="343"/>
      <c r="B7620" s="344"/>
    </row>
    <row r="7621" spans="1:2" ht="15.5" x14ac:dyDescent="0.35">
      <c r="A7621" s="343"/>
      <c r="B7621" s="344"/>
    </row>
    <row r="7622" spans="1:2" ht="15.5" x14ac:dyDescent="0.35">
      <c r="A7622" s="343"/>
      <c r="B7622" s="344"/>
    </row>
    <row r="7623" spans="1:2" ht="15.5" x14ac:dyDescent="0.35">
      <c r="A7623" s="343"/>
      <c r="B7623" s="344"/>
    </row>
    <row r="7624" spans="1:2" ht="15.5" x14ac:dyDescent="0.35">
      <c r="A7624" s="343"/>
      <c r="B7624" s="344"/>
    </row>
    <row r="7625" spans="1:2" ht="15.5" x14ac:dyDescent="0.35">
      <c r="A7625" s="343"/>
      <c r="B7625" s="344"/>
    </row>
    <row r="7626" spans="1:2" ht="15.5" x14ac:dyDescent="0.35">
      <c r="A7626" s="343"/>
      <c r="B7626" s="344"/>
    </row>
    <row r="7627" spans="1:2" ht="15.5" x14ac:dyDescent="0.35">
      <c r="A7627" s="343"/>
      <c r="B7627" s="344"/>
    </row>
    <row r="7628" spans="1:2" ht="15.5" x14ac:dyDescent="0.35">
      <c r="A7628" s="343"/>
      <c r="B7628" s="344"/>
    </row>
    <row r="7629" spans="1:2" ht="15.5" x14ac:dyDescent="0.35">
      <c r="A7629" s="343"/>
      <c r="B7629" s="344"/>
    </row>
    <row r="7630" spans="1:2" ht="15.5" x14ac:dyDescent="0.35">
      <c r="A7630" s="343"/>
      <c r="B7630" s="344"/>
    </row>
    <row r="7631" spans="1:2" ht="15.5" x14ac:dyDescent="0.35">
      <c r="A7631" s="343"/>
      <c r="B7631" s="344"/>
    </row>
    <row r="7632" spans="1:2" ht="15.5" x14ac:dyDescent="0.35">
      <c r="A7632" s="343"/>
      <c r="B7632" s="344"/>
    </row>
    <row r="7633" spans="1:2" ht="15.5" x14ac:dyDescent="0.35">
      <c r="A7633" s="343"/>
      <c r="B7633" s="344"/>
    </row>
    <row r="7634" spans="1:2" ht="15.5" x14ac:dyDescent="0.35">
      <c r="A7634" s="343"/>
      <c r="B7634" s="344"/>
    </row>
    <row r="7635" spans="1:2" ht="15.5" x14ac:dyDescent="0.35">
      <c r="A7635" s="343"/>
      <c r="B7635" s="344"/>
    </row>
    <row r="7636" spans="1:2" ht="15.5" x14ac:dyDescent="0.35">
      <c r="A7636" s="343"/>
      <c r="B7636" s="344"/>
    </row>
    <row r="7637" spans="1:2" ht="15.5" x14ac:dyDescent="0.35">
      <c r="A7637" s="343"/>
      <c r="B7637" s="344"/>
    </row>
    <row r="7638" spans="1:2" ht="15.5" x14ac:dyDescent="0.35">
      <c r="A7638" s="343"/>
      <c r="B7638" s="344"/>
    </row>
    <row r="7639" spans="1:2" ht="15.5" x14ac:dyDescent="0.35">
      <c r="A7639" s="343"/>
      <c r="B7639" s="344"/>
    </row>
    <row r="7640" spans="1:2" ht="15.5" x14ac:dyDescent="0.35">
      <c r="A7640" s="343"/>
      <c r="B7640" s="344"/>
    </row>
    <row r="7641" spans="1:2" ht="15.5" x14ac:dyDescent="0.35">
      <c r="A7641" s="343"/>
      <c r="B7641" s="344"/>
    </row>
    <row r="7642" spans="1:2" ht="15.5" x14ac:dyDescent="0.35">
      <c r="A7642" s="343"/>
      <c r="B7642" s="344"/>
    </row>
    <row r="7643" spans="1:2" ht="15.5" x14ac:dyDescent="0.35">
      <c r="A7643" s="343"/>
      <c r="B7643" s="344"/>
    </row>
    <row r="7644" spans="1:2" ht="15.5" x14ac:dyDescent="0.35">
      <c r="A7644" s="343"/>
      <c r="B7644" s="344"/>
    </row>
    <row r="7645" spans="1:2" ht="15.5" x14ac:dyDescent="0.35">
      <c r="A7645" s="343"/>
      <c r="B7645" s="344"/>
    </row>
    <row r="7646" spans="1:2" ht="15.5" x14ac:dyDescent="0.35">
      <c r="A7646" s="343"/>
      <c r="B7646" s="344"/>
    </row>
    <row r="7647" spans="1:2" ht="15.5" x14ac:dyDescent="0.35">
      <c r="A7647" s="343"/>
      <c r="B7647" s="344"/>
    </row>
    <row r="7648" spans="1:2" ht="15.5" x14ac:dyDescent="0.35">
      <c r="A7648" s="343"/>
      <c r="B7648" s="344"/>
    </row>
    <row r="7649" spans="1:2" ht="15.5" x14ac:dyDescent="0.35">
      <c r="A7649" s="343"/>
      <c r="B7649" s="344"/>
    </row>
    <row r="7650" spans="1:2" ht="15.5" x14ac:dyDescent="0.35">
      <c r="A7650" s="343"/>
      <c r="B7650" s="344"/>
    </row>
    <row r="7651" spans="1:2" ht="15.5" x14ac:dyDescent="0.35">
      <c r="A7651" s="343"/>
      <c r="B7651" s="344"/>
    </row>
    <row r="7652" spans="1:2" ht="15.5" x14ac:dyDescent="0.35">
      <c r="A7652" s="343"/>
      <c r="B7652" s="344"/>
    </row>
    <row r="7653" spans="1:2" ht="15.5" x14ac:dyDescent="0.35">
      <c r="A7653" s="343"/>
      <c r="B7653" s="344"/>
    </row>
    <row r="7654" spans="1:2" ht="15.5" x14ac:dyDescent="0.35">
      <c r="A7654" s="343"/>
      <c r="B7654" s="344"/>
    </row>
    <row r="7655" spans="1:2" ht="15.5" x14ac:dyDescent="0.35">
      <c r="A7655" s="343"/>
      <c r="B7655" s="344"/>
    </row>
    <row r="7656" spans="1:2" ht="15.5" x14ac:dyDescent="0.35">
      <c r="A7656" s="343"/>
      <c r="B7656" s="344"/>
    </row>
    <row r="7657" spans="1:2" ht="15.5" x14ac:dyDescent="0.35">
      <c r="A7657" s="343"/>
      <c r="B7657" s="344"/>
    </row>
    <row r="7658" spans="1:2" ht="15.5" x14ac:dyDescent="0.35">
      <c r="A7658" s="343"/>
      <c r="B7658" s="344"/>
    </row>
    <row r="7659" spans="1:2" ht="15.5" x14ac:dyDescent="0.35">
      <c r="A7659" s="343"/>
      <c r="B7659" s="344"/>
    </row>
    <row r="7660" spans="1:2" ht="15.5" x14ac:dyDescent="0.35">
      <c r="A7660" s="343"/>
      <c r="B7660" s="344"/>
    </row>
    <row r="7661" spans="1:2" ht="15.5" x14ac:dyDescent="0.35">
      <c r="A7661" s="343"/>
      <c r="B7661" s="344"/>
    </row>
    <row r="7662" spans="1:2" ht="15.5" x14ac:dyDescent="0.35">
      <c r="A7662" s="343"/>
      <c r="B7662" s="344"/>
    </row>
    <row r="7663" spans="1:2" ht="15.5" x14ac:dyDescent="0.35">
      <c r="A7663" s="343"/>
      <c r="B7663" s="344"/>
    </row>
    <row r="7664" spans="1:2" ht="15.5" x14ac:dyDescent="0.35">
      <c r="A7664" s="343"/>
      <c r="B7664" s="344"/>
    </row>
    <row r="7665" spans="1:2" ht="15.5" x14ac:dyDescent="0.35">
      <c r="A7665" s="343"/>
      <c r="B7665" s="344"/>
    </row>
    <row r="7666" spans="1:2" ht="15.5" x14ac:dyDescent="0.35">
      <c r="A7666" s="343"/>
      <c r="B7666" s="344"/>
    </row>
    <row r="7667" spans="1:2" ht="15.5" x14ac:dyDescent="0.35">
      <c r="A7667" s="343"/>
      <c r="B7667" s="344"/>
    </row>
    <row r="7668" spans="1:2" ht="15.5" x14ac:dyDescent="0.35">
      <c r="A7668" s="343"/>
      <c r="B7668" s="344"/>
    </row>
    <row r="7669" spans="1:2" ht="15.5" x14ac:dyDescent="0.35">
      <c r="A7669" s="343"/>
      <c r="B7669" s="344"/>
    </row>
    <row r="7670" spans="1:2" ht="15.5" x14ac:dyDescent="0.35">
      <c r="A7670" s="343"/>
      <c r="B7670" s="344"/>
    </row>
    <row r="7671" spans="1:2" ht="15.5" x14ac:dyDescent="0.35">
      <c r="A7671" s="343"/>
      <c r="B7671" s="344"/>
    </row>
    <row r="7672" spans="1:2" ht="15.5" x14ac:dyDescent="0.35">
      <c r="A7672" s="343"/>
      <c r="B7672" s="344"/>
    </row>
    <row r="7673" spans="1:2" ht="15.5" x14ac:dyDescent="0.35">
      <c r="A7673" s="343"/>
      <c r="B7673" s="344"/>
    </row>
    <row r="7674" spans="1:2" ht="15.5" x14ac:dyDescent="0.35">
      <c r="A7674" s="343"/>
      <c r="B7674" s="344"/>
    </row>
    <row r="7675" spans="1:2" ht="15.5" x14ac:dyDescent="0.35">
      <c r="A7675" s="343"/>
      <c r="B7675" s="344"/>
    </row>
    <row r="7676" spans="1:2" ht="15.5" x14ac:dyDescent="0.35">
      <c r="A7676" s="343"/>
      <c r="B7676" s="344"/>
    </row>
    <row r="7677" spans="1:2" ht="15.5" x14ac:dyDescent="0.35">
      <c r="A7677" s="343"/>
      <c r="B7677" s="344"/>
    </row>
    <row r="7678" spans="1:2" ht="15.5" x14ac:dyDescent="0.35">
      <c r="A7678" s="343"/>
      <c r="B7678" s="344"/>
    </row>
    <row r="7679" spans="1:2" ht="15.5" x14ac:dyDescent="0.35">
      <c r="A7679" s="343"/>
      <c r="B7679" s="344"/>
    </row>
    <row r="7680" spans="1:2" ht="15.5" x14ac:dyDescent="0.35">
      <c r="A7680" s="343"/>
      <c r="B7680" s="344"/>
    </row>
    <row r="7681" spans="1:2" ht="15.5" x14ac:dyDescent="0.35">
      <c r="A7681" s="343"/>
      <c r="B7681" s="344"/>
    </row>
    <row r="7682" spans="1:2" ht="15.5" x14ac:dyDescent="0.35">
      <c r="A7682" s="343"/>
      <c r="B7682" s="344"/>
    </row>
    <row r="7683" spans="1:2" ht="15.5" x14ac:dyDescent="0.35">
      <c r="A7683" s="343"/>
      <c r="B7683" s="344"/>
    </row>
    <row r="7684" spans="1:2" ht="15.5" x14ac:dyDescent="0.35">
      <c r="A7684" s="343"/>
      <c r="B7684" s="344"/>
    </row>
    <row r="7685" spans="1:2" ht="15.5" x14ac:dyDescent="0.35">
      <c r="A7685" s="343"/>
      <c r="B7685" s="344"/>
    </row>
    <row r="7686" spans="1:2" ht="15.5" x14ac:dyDescent="0.35">
      <c r="A7686" s="343"/>
      <c r="B7686" s="344"/>
    </row>
    <row r="7687" spans="1:2" ht="15.5" x14ac:dyDescent="0.35">
      <c r="A7687" s="343"/>
      <c r="B7687" s="344"/>
    </row>
    <row r="7688" spans="1:2" ht="15.5" x14ac:dyDescent="0.35">
      <c r="A7688" s="343"/>
      <c r="B7688" s="344"/>
    </row>
    <row r="7689" spans="1:2" ht="15.5" x14ac:dyDescent="0.35">
      <c r="A7689" s="343"/>
      <c r="B7689" s="344"/>
    </row>
    <row r="7690" spans="1:2" ht="15.5" x14ac:dyDescent="0.35">
      <c r="A7690" s="343"/>
      <c r="B7690" s="344"/>
    </row>
    <row r="7691" spans="1:2" ht="15.5" x14ac:dyDescent="0.35">
      <c r="A7691" s="343"/>
      <c r="B7691" s="344"/>
    </row>
    <row r="7692" spans="1:2" ht="15.5" x14ac:dyDescent="0.35">
      <c r="A7692" s="343"/>
      <c r="B7692" s="344"/>
    </row>
    <row r="7693" spans="1:2" ht="15.5" x14ac:dyDescent="0.35">
      <c r="A7693" s="343"/>
      <c r="B7693" s="344"/>
    </row>
    <row r="7694" spans="1:2" ht="15.5" x14ac:dyDescent="0.35">
      <c r="A7694" s="343"/>
      <c r="B7694" s="344"/>
    </row>
    <row r="7695" spans="1:2" ht="15.5" x14ac:dyDescent="0.35">
      <c r="A7695" s="343"/>
      <c r="B7695" s="344"/>
    </row>
    <row r="7696" spans="1:2" ht="15.5" x14ac:dyDescent="0.35">
      <c r="A7696" s="343"/>
      <c r="B7696" s="344"/>
    </row>
    <row r="7697" spans="1:2" ht="15.5" x14ac:dyDescent="0.35">
      <c r="A7697" s="343"/>
      <c r="B7697" s="344"/>
    </row>
    <row r="7698" spans="1:2" ht="15.5" x14ac:dyDescent="0.35">
      <c r="A7698" s="343"/>
      <c r="B7698" s="344"/>
    </row>
    <row r="7699" spans="1:2" ht="15.5" x14ac:dyDescent="0.35">
      <c r="A7699" s="343"/>
      <c r="B7699" s="344"/>
    </row>
    <row r="7700" spans="1:2" ht="15.5" x14ac:dyDescent="0.35">
      <c r="A7700" s="343"/>
      <c r="B7700" s="344"/>
    </row>
    <row r="7701" spans="1:2" ht="15.5" x14ac:dyDescent="0.35">
      <c r="A7701" s="343"/>
      <c r="B7701" s="344"/>
    </row>
    <row r="7702" spans="1:2" ht="15.5" x14ac:dyDescent="0.35">
      <c r="A7702" s="343"/>
      <c r="B7702" s="344"/>
    </row>
    <row r="7703" spans="1:2" ht="15.5" x14ac:dyDescent="0.35">
      <c r="A7703" s="343"/>
      <c r="B7703" s="344"/>
    </row>
    <row r="7704" spans="1:2" ht="15.5" x14ac:dyDescent="0.35">
      <c r="A7704" s="343"/>
      <c r="B7704" s="344"/>
    </row>
    <row r="7705" spans="1:2" ht="15.5" x14ac:dyDescent="0.35">
      <c r="A7705" s="343"/>
      <c r="B7705" s="344"/>
    </row>
    <row r="7706" spans="1:2" ht="15.5" x14ac:dyDescent="0.35">
      <c r="A7706" s="343"/>
      <c r="B7706" s="344"/>
    </row>
    <row r="7707" spans="1:2" ht="15.5" x14ac:dyDescent="0.35">
      <c r="A7707" s="343"/>
      <c r="B7707" s="344"/>
    </row>
    <row r="7708" spans="1:2" ht="15.5" x14ac:dyDescent="0.35">
      <c r="A7708" s="343"/>
      <c r="B7708" s="344"/>
    </row>
    <row r="7709" spans="1:2" ht="15.5" x14ac:dyDescent="0.35">
      <c r="A7709" s="343"/>
      <c r="B7709" s="344"/>
    </row>
    <row r="7710" spans="1:2" ht="15.5" x14ac:dyDescent="0.35">
      <c r="A7710" s="343"/>
      <c r="B7710" s="344"/>
    </row>
    <row r="7711" spans="1:2" ht="15.5" x14ac:dyDescent="0.35">
      <c r="A7711" s="343"/>
      <c r="B7711" s="344"/>
    </row>
    <row r="7712" spans="1:2" ht="15.5" x14ac:dyDescent="0.35">
      <c r="A7712" s="343"/>
      <c r="B7712" s="344"/>
    </row>
    <row r="7713" spans="1:2" ht="15.5" x14ac:dyDescent="0.35">
      <c r="A7713" s="343"/>
      <c r="B7713" s="344"/>
    </row>
    <row r="7714" spans="1:2" ht="15.5" x14ac:dyDescent="0.35">
      <c r="A7714" s="343"/>
      <c r="B7714" s="344"/>
    </row>
    <row r="7715" spans="1:2" ht="15.5" x14ac:dyDescent="0.35">
      <c r="A7715" s="343"/>
      <c r="B7715" s="344"/>
    </row>
    <row r="7716" spans="1:2" ht="15.5" x14ac:dyDescent="0.35">
      <c r="A7716" s="343"/>
      <c r="B7716" s="344"/>
    </row>
    <row r="7717" spans="1:2" ht="15.5" x14ac:dyDescent="0.35">
      <c r="A7717" s="343"/>
      <c r="B7717" s="344"/>
    </row>
    <row r="7718" spans="1:2" ht="15.5" x14ac:dyDescent="0.35">
      <c r="A7718" s="343"/>
      <c r="B7718" s="344"/>
    </row>
    <row r="7719" spans="1:2" ht="15.5" x14ac:dyDescent="0.35">
      <c r="A7719" s="343"/>
      <c r="B7719" s="344"/>
    </row>
    <row r="7720" spans="1:2" ht="15.5" x14ac:dyDescent="0.35">
      <c r="A7720" s="343"/>
      <c r="B7720" s="344"/>
    </row>
    <row r="7721" spans="1:2" ht="15.5" x14ac:dyDescent="0.35">
      <c r="A7721" s="343"/>
      <c r="B7721" s="344"/>
    </row>
    <row r="7722" spans="1:2" ht="15.5" x14ac:dyDescent="0.35">
      <c r="A7722" s="343"/>
      <c r="B7722" s="344"/>
    </row>
    <row r="7723" spans="1:2" ht="15.5" x14ac:dyDescent="0.35">
      <c r="A7723" s="343"/>
      <c r="B7723" s="344"/>
    </row>
    <row r="7724" spans="1:2" ht="15.5" x14ac:dyDescent="0.35">
      <c r="A7724" s="343"/>
      <c r="B7724" s="344"/>
    </row>
    <row r="7725" spans="1:2" ht="15.5" x14ac:dyDescent="0.35">
      <c r="A7725" s="343"/>
      <c r="B7725" s="344"/>
    </row>
    <row r="7726" spans="1:2" ht="15.5" x14ac:dyDescent="0.35">
      <c r="A7726" s="343"/>
      <c r="B7726" s="344"/>
    </row>
    <row r="7727" spans="1:2" ht="15.5" x14ac:dyDescent="0.35">
      <c r="A7727" s="343"/>
      <c r="B7727" s="344"/>
    </row>
    <row r="7728" spans="1:2" ht="15.5" x14ac:dyDescent="0.35">
      <c r="A7728" s="343"/>
      <c r="B7728" s="344"/>
    </row>
    <row r="7729" spans="1:2" ht="15.5" x14ac:dyDescent="0.35">
      <c r="A7729" s="343"/>
      <c r="B7729" s="344"/>
    </row>
    <row r="7730" spans="1:2" ht="15.5" x14ac:dyDescent="0.35">
      <c r="A7730" s="343"/>
      <c r="B7730" s="344"/>
    </row>
    <row r="7731" spans="1:2" ht="15.5" x14ac:dyDescent="0.35">
      <c r="A7731" s="343"/>
      <c r="B7731" s="344"/>
    </row>
    <row r="7732" spans="1:2" ht="15.5" x14ac:dyDescent="0.35">
      <c r="A7732" s="343"/>
      <c r="B7732" s="344"/>
    </row>
    <row r="7733" spans="1:2" ht="15.5" x14ac:dyDescent="0.35">
      <c r="A7733" s="343"/>
      <c r="B7733" s="344"/>
    </row>
    <row r="7734" spans="1:2" ht="15.5" x14ac:dyDescent="0.35">
      <c r="A7734" s="343"/>
      <c r="B7734" s="344"/>
    </row>
    <row r="7735" spans="1:2" ht="15.5" x14ac:dyDescent="0.35">
      <c r="A7735" s="343"/>
      <c r="B7735" s="344"/>
    </row>
    <row r="7736" spans="1:2" ht="15.5" x14ac:dyDescent="0.35">
      <c r="A7736" s="343"/>
      <c r="B7736" s="344"/>
    </row>
    <row r="7737" spans="1:2" ht="15.5" x14ac:dyDescent="0.35">
      <c r="A7737" s="343"/>
      <c r="B7737" s="344"/>
    </row>
    <row r="7738" spans="1:2" ht="15.5" x14ac:dyDescent="0.35">
      <c r="A7738" s="343"/>
      <c r="B7738" s="344"/>
    </row>
    <row r="7739" spans="1:2" ht="15.5" x14ac:dyDescent="0.35">
      <c r="A7739" s="343"/>
      <c r="B7739" s="344"/>
    </row>
    <row r="7740" spans="1:2" ht="15.5" x14ac:dyDescent="0.35">
      <c r="A7740" s="343"/>
      <c r="B7740" s="344"/>
    </row>
    <row r="7741" spans="1:2" ht="15.5" x14ac:dyDescent="0.35">
      <c r="A7741" s="343"/>
      <c r="B7741" s="344"/>
    </row>
    <row r="7742" spans="1:2" ht="15.5" x14ac:dyDescent="0.35">
      <c r="A7742" s="343"/>
      <c r="B7742" s="344"/>
    </row>
    <row r="7743" spans="1:2" ht="15.5" x14ac:dyDescent="0.35">
      <c r="A7743" s="343"/>
      <c r="B7743" s="344"/>
    </row>
    <row r="7744" spans="1:2" ht="15.5" x14ac:dyDescent="0.35">
      <c r="A7744" s="343"/>
      <c r="B7744" s="344"/>
    </row>
    <row r="7745" spans="1:2" ht="15.5" x14ac:dyDescent="0.35">
      <c r="A7745" s="343"/>
      <c r="B7745" s="344"/>
    </row>
    <row r="7746" spans="1:2" ht="15.5" x14ac:dyDescent="0.35">
      <c r="A7746" s="343"/>
      <c r="B7746" s="344"/>
    </row>
    <row r="7747" spans="1:2" ht="15.5" x14ac:dyDescent="0.35">
      <c r="A7747" s="343"/>
      <c r="B7747" s="344"/>
    </row>
    <row r="7748" spans="1:2" ht="15.5" x14ac:dyDescent="0.35">
      <c r="A7748" s="343"/>
      <c r="B7748" s="344"/>
    </row>
    <row r="7749" spans="1:2" ht="15.5" x14ac:dyDescent="0.35">
      <c r="A7749" s="343"/>
      <c r="B7749" s="344"/>
    </row>
    <row r="7750" spans="1:2" ht="15.5" x14ac:dyDescent="0.35">
      <c r="A7750" s="343"/>
      <c r="B7750" s="344"/>
    </row>
    <row r="7751" spans="1:2" ht="15.5" x14ac:dyDescent="0.35">
      <c r="A7751" s="343"/>
      <c r="B7751" s="344"/>
    </row>
    <row r="7752" spans="1:2" ht="15.5" x14ac:dyDescent="0.35">
      <c r="A7752" s="343"/>
      <c r="B7752" s="344"/>
    </row>
    <row r="7753" spans="1:2" ht="15.5" x14ac:dyDescent="0.35">
      <c r="A7753" s="343"/>
      <c r="B7753" s="344"/>
    </row>
    <row r="7754" spans="1:2" ht="15.5" x14ac:dyDescent="0.35">
      <c r="A7754" s="343"/>
      <c r="B7754" s="344"/>
    </row>
    <row r="7755" spans="1:2" ht="15.5" x14ac:dyDescent="0.35">
      <c r="A7755" s="343"/>
      <c r="B7755" s="344"/>
    </row>
    <row r="7756" spans="1:2" ht="15.5" x14ac:dyDescent="0.35">
      <c r="A7756" s="343"/>
      <c r="B7756" s="344"/>
    </row>
    <row r="7757" spans="1:2" ht="15.5" x14ac:dyDescent="0.35">
      <c r="A7757" s="343"/>
      <c r="B7757" s="344"/>
    </row>
    <row r="7758" spans="1:2" ht="15.5" x14ac:dyDescent="0.35">
      <c r="A7758" s="343"/>
      <c r="B7758" s="344"/>
    </row>
    <row r="7759" spans="1:2" ht="15.5" x14ac:dyDescent="0.35">
      <c r="A7759" s="343"/>
      <c r="B7759" s="344"/>
    </row>
    <row r="7760" spans="1:2" ht="15.5" x14ac:dyDescent="0.35">
      <c r="A7760" s="343"/>
      <c r="B7760" s="344"/>
    </row>
    <row r="7761" spans="1:2" ht="15.5" x14ac:dyDescent="0.35">
      <c r="A7761" s="343"/>
      <c r="B7761" s="344"/>
    </row>
    <row r="7762" spans="1:2" ht="15.5" x14ac:dyDescent="0.35">
      <c r="A7762" s="343"/>
      <c r="B7762" s="344"/>
    </row>
    <row r="7763" spans="1:2" ht="15.5" x14ac:dyDescent="0.35">
      <c r="A7763" s="343"/>
      <c r="B7763" s="344"/>
    </row>
    <row r="7764" spans="1:2" ht="15.5" x14ac:dyDescent="0.35">
      <c r="A7764" s="343"/>
      <c r="B7764" s="344"/>
    </row>
    <row r="7765" spans="1:2" ht="15.5" x14ac:dyDescent="0.35">
      <c r="A7765" s="343"/>
      <c r="B7765" s="344"/>
    </row>
    <row r="7766" spans="1:2" ht="15.5" x14ac:dyDescent="0.35">
      <c r="A7766" s="343"/>
      <c r="B7766" s="344"/>
    </row>
    <row r="7767" spans="1:2" ht="15.5" x14ac:dyDescent="0.35">
      <c r="A7767" s="343"/>
      <c r="B7767" s="344"/>
    </row>
    <row r="7768" spans="1:2" ht="15.5" x14ac:dyDescent="0.35">
      <c r="A7768" s="343"/>
      <c r="B7768" s="344"/>
    </row>
    <row r="7769" spans="1:2" ht="15.5" x14ac:dyDescent="0.35">
      <c r="A7769" s="343"/>
      <c r="B7769" s="344"/>
    </row>
    <row r="7770" spans="1:2" ht="15.5" x14ac:dyDescent="0.35">
      <c r="A7770" s="343"/>
      <c r="B7770" s="344"/>
    </row>
    <row r="7771" spans="1:2" ht="15.5" x14ac:dyDescent="0.35">
      <c r="A7771" s="343"/>
      <c r="B7771" s="344"/>
    </row>
    <row r="7772" spans="1:2" ht="15.5" x14ac:dyDescent="0.35">
      <c r="A7772" s="343"/>
      <c r="B7772" s="344"/>
    </row>
    <row r="7773" spans="1:2" ht="15.5" x14ac:dyDescent="0.35">
      <c r="A7773" s="343"/>
      <c r="B7773" s="344"/>
    </row>
    <row r="7774" spans="1:2" ht="15.5" x14ac:dyDescent="0.35">
      <c r="A7774" s="343"/>
      <c r="B7774" s="344"/>
    </row>
    <row r="7775" spans="1:2" ht="15.5" x14ac:dyDescent="0.35">
      <c r="A7775" s="343"/>
      <c r="B7775" s="344"/>
    </row>
    <row r="7776" spans="1:2" ht="15.5" x14ac:dyDescent="0.35">
      <c r="A7776" s="343"/>
      <c r="B7776" s="344"/>
    </row>
    <row r="7777" spans="1:2" ht="15.5" x14ac:dyDescent="0.35">
      <c r="A7777" s="343"/>
      <c r="B7777" s="344"/>
    </row>
    <row r="7778" spans="1:2" ht="15.5" x14ac:dyDescent="0.35">
      <c r="A7778" s="343"/>
      <c r="B7778" s="344"/>
    </row>
    <row r="7779" spans="1:2" ht="15.5" x14ac:dyDescent="0.35">
      <c r="A7779" s="343"/>
      <c r="B7779" s="344"/>
    </row>
    <row r="7780" spans="1:2" ht="15.5" x14ac:dyDescent="0.35">
      <c r="A7780" s="343"/>
      <c r="B7780" s="344"/>
    </row>
    <row r="7781" spans="1:2" ht="15.5" x14ac:dyDescent="0.35">
      <c r="A7781" s="343"/>
      <c r="B7781" s="344"/>
    </row>
    <row r="7782" spans="1:2" ht="15.5" x14ac:dyDescent="0.35">
      <c r="A7782" s="343"/>
      <c r="B7782" s="344"/>
    </row>
    <row r="7783" spans="1:2" ht="15.5" x14ac:dyDescent="0.35">
      <c r="A7783" s="343"/>
      <c r="B7783" s="344"/>
    </row>
    <row r="7784" spans="1:2" ht="15.5" x14ac:dyDescent="0.35">
      <c r="A7784" s="343"/>
      <c r="B7784" s="344"/>
    </row>
    <row r="7785" spans="1:2" ht="15.5" x14ac:dyDescent="0.35">
      <c r="A7785" s="343"/>
      <c r="B7785" s="344"/>
    </row>
    <row r="7786" spans="1:2" ht="15.5" x14ac:dyDescent="0.35">
      <c r="A7786" s="343"/>
      <c r="B7786" s="344"/>
    </row>
    <row r="7787" spans="1:2" ht="15.5" x14ac:dyDescent="0.35">
      <c r="A7787" s="343"/>
      <c r="B7787" s="344"/>
    </row>
    <row r="7788" spans="1:2" ht="15.5" x14ac:dyDescent="0.35">
      <c r="A7788" s="343"/>
      <c r="B7788" s="344"/>
    </row>
    <row r="7789" spans="1:2" ht="15.5" x14ac:dyDescent="0.35">
      <c r="A7789" s="343"/>
      <c r="B7789" s="344"/>
    </row>
    <row r="7790" spans="1:2" ht="15.5" x14ac:dyDescent="0.35">
      <c r="A7790" s="343"/>
      <c r="B7790" s="344"/>
    </row>
    <row r="7791" spans="1:2" ht="15.5" x14ac:dyDescent="0.35">
      <c r="A7791" s="343"/>
      <c r="B7791" s="344"/>
    </row>
    <row r="7792" spans="1:2" ht="15.5" x14ac:dyDescent="0.35">
      <c r="A7792" s="343"/>
      <c r="B7792" s="344"/>
    </row>
    <row r="7793" spans="1:2" ht="15.5" x14ac:dyDescent="0.35">
      <c r="A7793" s="343"/>
      <c r="B7793" s="344"/>
    </row>
    <row r="7794" spans="1:2" ht="15.5" x14ac:dyDescent="0.35">
      <c r="A7794" s="343"/>
      <c r="B7794" s="344"/>
    </row>
    <row r="7795" spans="1:2" ht="15.5" x14ac:dyDescent="0.35">
      <c r="A7795" s="343"/>
      <c r="B7795" s="344"/>
    </row>
    <row r="7796" spans="1:2" ht="15.5" x14ac:dyDescent="0.35">
      <c r="A7796" s="343"/>
      <c r="B7796" s="344"/>
    </row>
    <row r="7797" spans="1:2" ht="15.5" x14ac:dyDescent="0.35">
      <c r="A7797" s="343"/>
      <c r="B7797" s="344"/>
    </row>
    <row r="7798" spans="1:2" ht="15.5" x14ac:dyDescent="0.35">
      <c r="A7798" s="343"/>
      <c r="B7798" s="344"/>
    </row>
    <row r="7799" spans="1:2" ht="15.5" x14ac:dyDescent="0.35">
      <c r="A7799" s="343"/>
      <c r="B7799" s="344"/>
    </row>
    <row r="7800" spans="1:2" ht="15.5" x14ac:dyDescent="0.35">
      <c r="A7800" s="343"/>
      <c r="B7800" s="344"/>
    </row>
    <row r="7801" spans="1:2" ht="15.5" x14ac:dyDescent="0.35">
      <c r="A7801" s="343"/>
      <c r="B7801" s="344"/>
    </row>
    <row r="7802" spans="1:2" ht="15.5" x14ac:dyDescent="0.35">
      <c r="A7802" s="343"/>
      <c r="B7802" s="344"/>
    </row>
    <row r="7803" spans="1:2" ht="15.5" x14ac:dyDescent="0.35">
      <c r="A7803" s="343"/>
      <c r="B7803" s="344"/>
    </row>
    <row r="7804" spans="1:2" ht="15.5" x14ac:dyDescent="0.35">
      <c r="A7804" s="343"/>
      <c r="B7804" s="344"/>
    </row>
    <row r="7805" spans="1:2" ht="15.5" x14ac:dyDescent="0.35">
      <c r="A7805" s="343"/>
      <c r="B7805" s="344"/>
    </row>
    <row r="7806" spans="1:2" ht="15.5" x14ac:dyDescent="0.35">
      <c r="A7806" s="343"/>
      <c r="B7806" s="344"/>
    </row>
    <row r="7807" spans="1:2" ht="15.5" x14ac:dyDescent="0.35">
      <c r="A7807" s="343"/>
      <c r="B7807" s="344"/>
    </row>
    <row r="7808" spans="1:2" ht="15.5" x14ac:dyDescent="0.35">
      <c r="A7808" s="343"/>
      <c r="B7808" s="344"/>
    </row>
    <row r="7809" spans="1:2" ht="15.5" x14ac:dyDescent="0.35">
      <c r="A7809" s="343"/>
      <c r="B7809" s="344"/>
    </row>
    <row r="7810" spans="1:2" ht="15.5" x14ac:dyDescent="0.35">
      <c r="A7810" s="343"/>
      <c r="B7810" s="344"/>
    </row>
    <row r="7811" spans="1:2" ht="15.5" x14ac:dyDescent="0.35">
      <c r="A7811" s="343"/>
      <c r="B7811" s="344"/>
    </row>
    <row r="7812" spans="1:2" ht="15.5" x14ac:dyDescent="0.35">
      <c r="A7812" s="343"/>
      <c r="B7812" s="344"/>
    </row>
    <row r="7813" spans="1:2" ht="15.5" x14ac:dyDescent="0.35">
      <c r="A7813" s="343"/>
      <c r="B7813" s="344"/>
    </row>
    <row r="7814" spans="1:2" ht="15.5" x14ac:dyDescent="0.35">
      <c r="A7814" s="343"/>
      <c r="B7814" s="344"/>
    </row>
    <row r="7815" spans="1:2" ht="15.5" x14ac:dyDescent="0.35">
      <c r="A7815" s="343"/>
      <c r="B7815" s="344"/>
    </row>
    <row r="7816" spans="1:2" ht="15.5" x14ac:dyDescent="0.35">
      <c r="A7816" s="343"/>
      <c r="B7816" s="344"/>
    </row>
    <row r="7817" spans="1:2" ht="15.5" x14ac:dyDescent="0.35">
      <c r="A7817" s="343"/>
      <c r="B7817" s="344"/>
    </row>
    <row r="7818" spans="1:2" ht="15.5" x14ac:dyDescent="0.35">
      <c r="A7818" s="343"/>
      <c r="B7818" s="344"/>
    </row>
    <row r="7819" spans="1:2" ht="15.5" x14ac:dyDescent="0.35">
      <c r="A7819" s="343"/>
      <c r="B7819" s="344"/>
    </row>
    <row r="7820" spans="1:2" ht="15.5" x14ac:dyDescent="0.35">
      <c r="A7820" s="343"/>
      <c r="B7820" s="344"/>
    </row>
    <row r="7821" spans="1:2" ht="15.5" x14ac:dyDescent="0.35">
      <c r="A7821" s="343"/>
      <c r="B7821" s="344"/>
    </row>
    <row r="7822" spans="1:2" ht="15.5" x14ac:dyDescent="0.35">
      <c r="A7822" s="343"/>
      <c r="B7822" s="344"/>
    </row>
    <row r="7823" spans="1:2" ht="15.5" x14ac:dyDescent="0.35">
      <c r="A7823" s="343"/>
      <c r="B7823" s="344"/>
    </row>
    <row r="7824" spans="1:2" ht="15.5" x14ac:dyDescent="0.35">
      <c r="A7824" s="343"/>
      <c r="B7824" s="344"/>
    </row>
    <row r="7825" spans="1:2" ht="15.5" x14ac:dyDescent="0.35">
      <c r="A7825" s="343"/>
      <c r="B7825" s="344"/>
    </row>
    <row r="7826" spans="1:2" ht="15.5" x14ac:dyDescent="0.35">
      <c r="A7826" s="343"/>
      <c r="B7826" s="344"/>
    </row>
    <row r="7827" spans="1:2" ht="15.5" x14ac:dyDescent="0.35">
      <c r="A7827" s="343"/>
      <c r="B7827" s="344"/>
    </row>
    <row r="7828" spans="1:2" ht="15.5" x14ac:dyDescent="0.35">
      <c r="A7828" s="343"/>
      <c r="B7828" s="344"/>
    </row>
    <row r="7829" spans="1:2" ht="15.5" x14ac:dyDescent="0.35">
      <c r="A7829" s="343"/>
      <c r="B7829" s="344"/>
    </row>
    <row r="7830" spans="1:2" ht="15.5" x14ac:dyDescent="0.35">
      <c r="A7830" s="343"/>
      <c r="B7830" s="344"/>
    </row>
    <row r="7831" spans="1:2" ht="15.5" x14ac:dyDescent="0.35">
      <c r="A7831" s="343"/>
      <c r="B7831" s="344"/>
    </row>
    <row r="7832" spans="1:2" ht="15.5" x14ac:dyDescent="0.35">
      <c r="A7832" s="343"/>
      <c r="B7832" s="344"/>
    </row>
    <row r="7833" spans="1:2" ht="15.5" x14ac:dyDescent="0.35">
      <c r="A7833" s="343"/>
      <c r="B7833" s="344"/>
    </row>
    <row r="7834" spans="1:2" ht="15.5" x14ac:dyDescent="0.35">
      <c r="A7834" s="343"/>
      <c r="B7834" s="344"/>
    </row>
    <row r="7835" spans="1:2" ht="15.5" x14ac:dyDescent="0.35">
      <c r="A7835" s="343"/>
      <c r="B7835" s="344"/>
    </row>
    <row r="7836" spans="1:2" ht="15.5" x14ac:dyDescent="0.35">
      <c r="A7836" s="343"/>
      <c r="B7836" s="344"/>
    </row>
    <row r="7837" spans="1:2" ht="15.5" x14ac:dyDescent="0.35">
      <c r="A7837" s="343"/>
      <c r="B7837" s="344"/>
    </row>
    <row r="7838" spans="1:2" ht="15.5" x14ac:dyDescent="0.35">
      <c r="A7838" s="343"/>
      <c r="B7838" s="344"/>
    </row>
    <row r="7839" spans="1:2" ht="15.5" x14ac:dyDescent="0.35">
      <c r="A7839" s="343"/>
      <c r="B7839" s="344"/>
    </row>
    <row r="7840" spans="1:2" ht="15.5" x14ac:dyDescent="0.35">
      <c r="A7840" s="343"/>
      <c r="B7840" s="344"/>
    </row>
    <row r="7841" spans="1:2" ht="15.5" x14ac:dyDescent="0.35">
      <c r="A7841" s="343"/>
      <c r="B7841" s="344"/>
    </row>
    <row r="7842" spans="1:2" ht="15.5" x14ac:dyDescent="0.35">
      <c r="A7842" s="343"/>
      <c r="B7842" s="344"/>
    </row>
    <row r="7843" spans="1:2" ht="15.5" x14ac:dyDescent="0.35">
      <c r="A7843" s="343"/>
      <c r="B7843" s="344"/>
    </row>
    <row r="7844" spans="1:2" ht="15.5" x14ac:dyDescent="0.35">
      <c r="A7844" s="343"/>
      <c r="B7844" s="344"/>
    </row>
    <row r="7845" spans="1:2" ht="15.5" x14ac:dyDescent="0.35">
      <c r="A7845" s="343"/>
      <c r="B7845" s="344"/>
    </row>
    <row r="7846" spans="1:2" ht="15.5" x14ac:dyDescent="0.35">
      <c r="A7846" s="343"/>
      <c r="B7846" s="344"/>
    </row>
    <row r="7847" spans="1:2" ht="15.5" x14ac:dyDescent="0.35">
      <c r="A7847" s="343"/>
      <c r="B7847" s="344"/>
    </row>
    <row r="7848" spans="1:2" ht="15.5" x14ac:dyDescent="0.35">
      <c r="A7848" s="343"/>
      <c r="B7848" s="344"/>
    </row>
    <row r="7849" spans="1:2" ht="15.5" x14ac:dyDescent="0.35">
      <c r="A7849" s="343"/>
      <c r="B7849" s="344"/>
    </row>
    <row r="7850" spans="1:2" ht="15.5" x14ac:dyDescent="0.35">
      <c r="A7850" s="343"/>
      <c r="B7850" s="344"/>
    </row>
    <row r="7851" spans="1:2" ht="15.5" x14ac:dyDescent="0.35">
      <c r="A7851" s="343"/>
      <c r="B7851" s="344"/>
    </row>
    <row r="7852" spans="1:2" ht="15.5" x14ac:dyDescent="0.35">
      <c r="A7852" s="343"/>
      <c r="B7852" s="344"/>
    </row>
    <row r="7853" spans="1:2" ht="15.5" x14ac:dyDescent="0.35">
      <c r="A7853" s="343"/>
      <c r="B7853" s="344"/>
    </row>
    <row r="7854" spans="1:2" ht="15.5" x14ac:dyDescent="0.35">
      <c r="A7854" s="343"/>
      <c r="B7854" s="344"/>
    </row>
    <row r="7855" spans="1:2" ht="15.5" x14ac:dyDescent="0.35">
      <c r="A7855" s="343"/>
      <c r="B7855" s="344"/>
    </row>
    <row r="7856" spans="1:2" ht="15.5" x14ac:dyDescent="0.35">
      <c r="A7856" s="343"/>
      <c r="B7856" s="344"/>
    </row>
    <row r="7857" spans="1:2" ht="15.5" x14ac:dyDescent="0.35">
      <c r="A7857" s="343"/>
      <c r="B7857" s="344"/>
    </row>
    <row r="7858" spans="1:2" ht="15.5" x14ac:dyDescent="0.35">
      <c r="A7858" s="343"/>
      <c r="B7858" s="344"/>
    </row>
    <row r="7859" spans="1:2" ht="15.5" x14ac:dyDescent="0.35">
      <c r="A7859" s="343"/>
      <c r="B7859" s="344"/>
    </row>
    <row r="7860" spans="1:2" ht="15.5" x14ac:dyDescent="0.35">
      <c r="A7860" s="343"/>
      <c r="B7860" s="344"/>
    </row>
    <row r="7861" spans="1:2" ht="15.5" x14ac:dyDescent="0.35">
      <c r="A7861" s="343"/>
      <c r="B7861" s="344"/>
    </row>
    <row r="7862" spans="1:2" ht="15.5" x14ac:dyDescent="0.35">
      <c r="A7862" s="343"/>
      <c r="B7862" s="344"/>
    </row>
    <row r="7863" spans="1:2" ht="15.5" x14ac:dyDescent="0.35">
      <c r="A7863" s="343"/>
      <c r="B7863" s="344"/>
    </row>
    <row r="7864" spans="1:2" ht="15.5" x14ac:dyDescent="0.35">
      <c r="A7864" s="343"/>
      <c r="B7864" s="344"/>
    </row>
    <row r="7865" spans="1:2" ht="15.5" x14ac:dyDescent="0.35">
      <c r="A7865" s="343"/>
      <c r="B7865" s="344"/>
    </row>
    <row r="7866" spans="1:2" ht="15.5" x14ac:dyDescent="0.35">
      <c r="A7866" s="343"/>
      <c r="B7866" s="344"/>
    </row>
    <row r="7867" spans="1:2" ht="15.5" x14ac:dyDescent="0.35">
      <c r="A7867" s="343"/>
      <c r="B7867" s="344"/>
    </row>
    <row r="7868" spans="1:2" ht="15.5" x14ac:dyDescent="0.35">
      <c r="A7868" s="343"/>
      <c r="B7868" s="344"/>
    </row>
    <row r="7869" spans="1:2" ht="15.5" x14ac:dyDescent="0.35">
      <c r="A7869" s="343"/>
      <c r="B7869" s="344"/>
    </row>
    <row r="7870" spans="1:2" ht="15.5" x14ac:dyDescent="0.35">
      <c r="A7870" s="343"/>
      <c r="B7870" s="344"/>
    </row>
    <row r="7871" spans="1:2" ht="15.5" x14ac:dyDescent="0.35">
      <c r="A7871" s="343"/>
      <c r="B7871" s="344"/>
    </row>
    <row r="7872" spans="1:2" ht="15.5" x14ac:dyDescent="0.35">
      <c r="A7872" s="343"/>
      <c r="B7872" s="344"/>
    </row>
    <row r="7873" spans="1:2" ht="15.5" x14ac:dyDescent="0.35">
      <c r="A7873" s="343"/>
      <c r="B7873" s="344"/>
    </row>
    <row r="7874" spans="1:2" ht="15.5" x14ac:dyDescent="0.35">
      <c r="A7874" s="343"/>
      <c r="B7874" s="344"/>
    </row>
    <row r="7875" spans="1:2" ht="15.5" x14ac:dyDescent="0.35">
      <c r="A7875" s="343"/>
      <c r="B7875" s="344"/>
    </row>
    <row r="7876" spans="1:2" ht="15.5" x14ac:dyDescent="0.35">
      <c r="A7876" s="343"/>
      <c r="B7876" s="344"/>
    </row>
    <row r="7877" spans="1:2" ht="15.5" x14ac:dyDescent="0.35">
      <c r="A7877" s="343"/>
      <c r="B7877" s="344"/>
    </row>
    <row r="7878" spans="1:2" ht="15.5" x14ac:dyDescent="0.35">
      <c r="A7878" s="343"/>
      <c r="B7878" s="344"/>
    </row>
    <row r="7879" spans="1:2" ht="15.5" x14ac:dyDescent="0.35">
      <c r="A7879" s="343"/>
      <c r="B7879" s="344"/>
    </row>
    <row r="7880" spans="1:2" ht="15.5" x14ac:dyDescent="0.35">
      <c r="A7880" s="343"/>
      <c r="B7880" s="344"/>
    </row>
    <row r="7881" spans="1:2" ht="15.5" x14ac:dyDescent="0.35">
      <c r="A7881" s="343"/>
      <c r="B7881" s="344"/>
    </row>
    <row r="7882" spans="1:2" ht="15.5" x14ac:dyDescent="0.35">
      <c r="A7882" s="343"/>
      <c r="B7882" s="344"/>
    </row>
    <row r="7883" spans="1:2" ht="15.5" x14ac:dyDescent="0.35">
      <c r="A7883" s="343"/>
      <c r="B7883" s="344"/>
    </row>
    <row r="7884" spans="1:2" ht="15.5" x14ac:dyDescent="0.35">
      <c r="A7884" s="343"/>
      <c r="B7884" s="344"/>
    </row>
    <row r="7885" spans="1:2" ht="15.5" x14ac:dyDescent="0.35">
      <c r="A7885" s="343"/>
      <c r="B7885" s="344"/>
    </row>
    <row r="7886" spans="1:2" ht="15.5" x14ac:dyDescent="0.35">
      <c r="A7886" s="343"/>
      <c r="B7886" s="344"/>
    </row>
    <row r="7887" spans="1:2" ht="15.5" x14ac:dyDescent="0.35">
      <c r="A7887" s="343"/>
      <c r="B7887" s="344"/>
    </row>
    <row r="7888" spans="1:2" ht="15.5" x14ac:dyDescent="0.35">
      <c r="A7888" s="343"/>
      <c r="B7888" s="344"/>
    </row>
    <row r="7889" spans="1:2" ht="15.5" x14ac:dyDescent="0.35">
      <c r="A7889" s="343"/>
      <c r="B7889" s="344"/>
    </row>
    <row r="7890" spans="1:2" ht="15.5" x14ac:dyDescent="0.35">
      <c r="A7890" s="343"/>
      <c r="B7890" s="344"/>
    </row>
    <row r="7891" spans="1:2" ht="15.5" x14ac:dyDescent="0.35">
      <c r="A7891" s="343"/>
      <c r="B7891" s="344"/>
    </row>
    <row r="7892" spans="1:2" ht="15.5" x14ac:dyDescent="0.35">
      <c r="A7892" s="343"/>
      <c r="B7892" s="344"/>
    </row>
    <row r="7893" spans="1:2" ht="15.5" x14ac:dyDescent="0.35">
      <c r="A7893" s="343"/>
      <c r="B7893" s="344"/>
    </row>
    <row r="7894" spans="1:2" ht="15.5" x14ac:dyDescent="0.35">
      <c r="A7894" s="343"/>
      <c r="B7894" s="344"/>
    </row>
    <row r="7895" spans="1:2" ht="15.5" x14ac:dyDescent="0.35">
      <c r="A7895" s="343"/>
      <c r="B7895" s="344"/>
    </row>
    <row r="7896" spans="1:2" ht="15.5" x14ac:dyDescent="0.35">
      <c r="A7896" s="343"/>
      <c r="B7896" s="344"/>
    </row>
    <row r="7897" spans="1:2" ht="15.5" x14ac:dyDescent="0.35">
      <c r="A7897" s="343"/>
      <c r="B7897" s="344"/>
    </row>
    <row r="7898" spans="1:2" ht="15.5" x14ac:dyDescent="0.35">
      <c r="A7898" s="343"/>
      <c r="B7898" s="344"/>
    </row>
    <row r="7899" spans="1:2" ht="15.5" x14ac:dyDescent="0.35">
      <c r="A7899" s="343"/>
      <c r="B7899" s="344"/>
    </row>
    <row r="7900" spans="1:2" ht="15.5" x14ac:dyDescent="0.35">
      <c r="A7900" s="343"/>
      <c r="B7900" s="344"/>
    </row>
    <row r="7901" spans="1:2" ht="15.5" x14ac:dyDescent="0.35">
      <c r="A7901" s="343"/>
      <c r="B7901" s="344"/>
    </row>
    <row r="7902" spans="1:2" ht="15.5" x14ac:dyDescent="0.35">
      <c r="A7902" s="343"/>
      <c r="B7902" s="344"/>
    </row>
    <row r="7903" spans="1:2" ht="15.5" x14ac:dyDescent="0.35">
      <c r="A7903" s="343"/>
      <c r="B7903" s="344"/>
    </row>
    <row r="7904" spans="1:2" ht="15.5" x14ac:dyDescent="0.35">
      <c r="A7904" s="343"/>
      <c r="B7904" s="344"/>
    </row>
    <row r="7905" spans="1:2" ht="15.5" x14ac:dyDescent="0.35">
      <c r="A7905" s="343"/>
      <c r="B7905" s="344"/>
    </row>
    <row r="7906" spans="1:2" ht="15.5" x14ac:dyDescent="0.35">
      <c r="A7906" s="343"/>
      <c r="B7906" s="344"/>
    </row>
    <row r="7907" spans="1:2" ht="15.5" x14ac:dyDescent="0.35">
      <c r="A7907" s="343"/>
      <c r="B7907" s="344"/>
    </row>
    <row r="7908" spans="1:2" ht="15.5" x14ac:dyDescent="0.35">
      <c r="A7908" s="343"/>
      <c r="B7908" s="344"/>
    </row>
    <row r="7909" spans="1:2" ht="15.5" x14ac:dyDescent="0.35">
      <c r="A7909" s="343"/>
      <c r="B7909" s="344"/>
    </row>
    <row r="7910" spans="1:2" ht="15.5" x14ac:dyDescent="0.35">
      <c r="A7910" s="343"/>
      <c r="B7910" s="344"/>
    </row>
    <row r="7911" spans="1:2" ht="15.5" x14ac:dyDescent="0.35">
      <c r="A7911" s="343"/>
      <c r="B7911" s="344"/>
    </row>
    <row r="7912" spans="1:2" ht="15.5" x14ac:dyDescent="0.35">
      <c r="A7912" s="343"/>
      <c r="B7912" s="344"/>
    </row>
    <row r="7913" spans="1:2" ht="15.5" x14ac:dyDescent="0.35">
      <c r="A7913" s="343"/>
      <c r="B7913" s="344"/>
    </row>
    <row r="7914" spans="1:2" ht="15.5" x14ac:dyDescent="0.35">
      <c r="A7914" s="343"/>
      <c r="B7914" s="344"/>
    </row>
    <row r="7915" spans="1:2" ht="15.5" x14ac:dyDescent="0.35">
      <c r="A7915" s="343"/>
      <c r="B7915" s="344"/>
    </row>
    <row r="7916" spans="1:2" ht="15.5" x14ac:dyDescent="0.35">
      <c r="A7916" s="343"/>
      <c r="B7916" s="344"/>
    </row>
    <row r="7917" spans="1:2" ht="15.5" x14ac:dyDescent="0.35">
      <c r="A7917" s="343"/>
      <c r="B7917" s="344"/>
    </row>
    <row r="7918" spans="1:2" ht="15.5" x14ac:dyDescent="0.35">
      <c r="A7918" s="343"/>
      <c r="B7918" s="344"/>
    </row>
    <row r="7919" spans="1:2" ht="15.5" x14ac:dyDescent="0.35">
      <c r="A7919" s="343"/>
      <c r="B7919" s="344"/>
    </row>
    <row r="7920" spans="1:2" ht="15.5" x14ac:dyDescent="0.35">
      <c r="A7920" s="343"/>
      <c r="B7920" s="344"/>
    </row>
    <row r="7921" spans="1:2" ht="15.5" x14ac:dyDescent="0.35">
      <c r="A7921" s="343"/>
      <c r="B7921" s="344"/>
    </row>
    <row r="7922" spans="1:2" ht="15.5" x14ac:dyDescent="0.35">
      <c r="A7922" s="343"/>
      <c r="B7922" s="344"/>
    </row>
    <row r="7923" spans="1:2" ht="15.5" x14ac:dyDescent="0.35">
      <c r="A7923" s="343"/>
      <c r="B7923" s="344"/>
    </row>
    <row r="7924" spans="1:2" ht="15.5" x14ac:dyDescent="0.35">
      <c r="A7924" s="343"/>
      <c r="B7924" s="344"/>
    </row>
    <row r="7925" spans="1:2" ht="15.5" x14ac:dyDescent="0.35">
      <c r="A7925" s="343"/>
      <c r="B7925" s="344"/>
    </row>
    <row r="7926" spans="1:2" ht="15.5" x14ac:dyDescent="0.35">
      <c r="A7926" s="343"/>
      <c r="B7926" s="344"/>
    </row>
    <row r="7927" spans="1:2" ht="15.5" x14ac:dyDescent="0.35">
      <c r="A7927" s="343"/>
      <c r="B7927" s="344"/>
    </row>
    <row r="7928" spans="1:2" ht="15.5" x14ac:dyDescent="0.35">
      <c r="A7928" s="343"/>
      <c r="B7928" s="344"/>
    </row>
    <row r="7929" spans="1:2" ht="15.5" x14ac:dyDescent="0.35">
      <c r="A7929" s="343"/>
      <c r="B7929" s="344"/>
    </row>
    <row r="7930" spans="1:2" ht="15.5" x14ac:dyDescent="0.35">
      <c r="A7930" s="343"/>
      <c r="B7930" s="344"/>
    </row>
    <row r="7931" spans="1:2" ht="15.5" x14ac:dyDescent="0.35">
      <c r="A7931" s="343"/>
      <c r="B7931" s="344"/>
    </row>
    <row r="7932" spans="1:2" ht="15.5" x14ac:dyDescent="0.35">
      <c r="A7932" s="343"/>
      <c r="B7932" s="344"/>
    </row>
    <row r="7933" spans="1:2" ht="15.5" x14ac:dyDescent="0.35">
      <c r="A7933" s="343"/>
      <c r="B7933" s="344"/>
    </row>
    <row r="7934" spans="1:2" ht="15.5" x14ac:dyDescent="0.35">
      <c r="A7934" s="343"/>
      <c r="B7934" s="344"/>
    </row>
    <row r="7935" spans="1:2" ht="15.5" x14ac:dyDescent="0.35">
      <c r="A7935" s="343"/>
      <c r="B7935" s="344"/>
    </row>
    <row r="7936" spans="1:2" ht="15.5" x14ac:dyDescent="0.35">
      <c r="A7936" s="343"/>
      <c r="B7936" s="344"/>
    </row>
    <row r="7937" spans="1:2" ht="15.5" x14ac:dyDescent="0.35">
      <c r="A7937" s="343"/>
      <c r="B7937" s="344"/>
    </row>
    <row r="7938" spans="1:2" ht="15.5" x14ac:dyDescent="0.35">
      <c r="A7938" s="343"/>
      <c r="B7938" s="344"/>
    </row>
    <row r="7939" spans="1:2" ht="15.5" x14ac:dyDescent="0.35">
      <c r="A7939" s="343"/>
      <c r="B7939" s="344"/>
    </row>
    <row r="7940" spans="1:2" ht="15.5" x14ac:dyDescent="0.35">
      <c r="A7940" s="343"/>
      <c r="B7940" s="344"/>
    </row>
    <row r="7941" spans="1:2" ht="15.5" x14ac:dyDescent="0.35">
      <c r="A7941" s="343"/>
      <c r="B7941" s="344"/>
    </row>
    <row r="7942" spans="1:2" ht="15.5" x14ac:dyDescent="0.35">
      <c r="A7942" s="343"/>
      <c r="B7942" s="344"/>
    </row>
    <row r="7943" spans="1:2" ht="15.5" x14ac:dyDescent="0.35">
      <c r="A7943" s="343"/>
      <c r="B7943" s="344"/>
    </row>
    <row r="7944" spans="1:2" ht="15.5" x14ac:dyDescent="0.35">
      <c r="A7944" s="343"/>
      <c r="B7944" s="344"/>
    </row>
    <row r="7945" spans="1:2" ht="15.5" x14ac:dyDescent="0.35">
      <c r="A7945" s="343"/>
      <c r="B7945" s="344"/>
    </row>
    <row r="7946" spans="1:2" ht="15.5" x14ac:dyDescent="0.35">
      <c r="A7946" s="343"/>
      <c r="B7946" s="344"/>
    </row>
    <row r="7947" spans="1:2" ht="15.5" x14ac:dyDescent="0.35">
      <c r="A7947" s="343"/>
      <c r="B7947" s="344"/>
    </row>
    <row r="7948" spans="1:2" ht="15.5" x14ac:dyDescent="0.35">
      <c r="A7948" s="343"/>
      <c r="B7948" s="344"/>
    </row>
    <row r="7949" spans="1:2" ht="15.5" x14ac:dyDescent="0.35">
      <c r="A7949" s="343"/>
      <c r="B7949" s="344"/>
    </row>
    <row r="7950" spans="1:2" ht="15.5" x14ac:dyDescent="0.35">
      <c r="A7950" s="343"/>
      <c r="B7950" s="344"/>
    </row>
    <row r="7951" spans="1:2" ht="15.5" x14ac:dyDescent="0.35">
      <c r="A7951" s="343"/>
      <c r="B7951" s="344"/>
    </row>
    <row r="7952" spans="1:2" ht="15.5" x14ac:dyDescent="0.35">
      <c r="A7952" s="343"/>
      <c r="B7952" s="344"/>
    </row>
    <row r="7953" spans="1:2" ht="15.5" x14ac:dyDescent="0.35">
      <c r="A7953" s="343"/>
      <c r="B7953" s="344"/>
    </row>
    <row r="7954" spans="1:2" ht="15.5" x14ac:dyDescent="0.35">
      <c r="A7954" s="343"/>
      <c r="B7954" s="344"/>
    </row>
    <row r="7955" spans="1:2" ht="15.5" x14ac:dyDescent="0.35">
      <c r="A7955" s="343"/>
      <c r="B7955" s="344"/>
    </row>
    <row r="7956" spans="1:2" ht="15.5" x14ac:dyDescent="0.35">
      <c r="A7956" s="343"/>
      <c r="B7956" s="344"/>
    </row>
    <row r="7957" spans="1:2" ht="15.5" x14ac:dyDescent="0.35">
      <c r="A7957" s="343"/>
      <c r="B7957" s="344"/>
    </row>
    <row r="7958" spans="1:2" ht="15.5" x14ac:dyDescent="0.35">
      <c r="A7958" s="343"/>
      <c r="B7958" s="344"/>
    </row>
    <row r="7959" spans="1:2" ht="15.5" x14ac:dyDescent="0.35">
      <c r="A7959" s="343"/>
      <c r="B7959" s="344"/>
    </row>
    <row r="7960" spans="1:2" ht="15.5" x14ac:dyDescent="0.35">
      <c r="A7960" s="343"/>
      <c r="B7960" s="344"/>
    </row>
    <row r="7961" spans="1:2" ht="15.5" x14ac:dyDescent="0.35">
      <c r="A7961" s="343"/>
      <c r="B7961" s="344"/>
    </row>
    <row r="7962" spans="1:2" ht="15.5" x14ac:dyDescent="0.35">
      <c r="A7962" s="343"/>
      <c r="B7962" s="344"/>
    </row>
    <row r="7963" spans="1:2" ht="15.5" x14ac:dyDescent="0.35">
      <c r="A7963" s="343"/>
      <c r="B7963" s="344"/>
    </row>
    <row r="7964" spans="1:2" ht="15.5" x14ac:dyDescent="0.35">
      <c r="A7964" s="343"/>
      <c r="B7964" s="344"/>
    </row>
    <row r="7965" spans="1:2" ht="15.5" x14ac:dyDescent="0.35">
      <c r="A7965" s="343"/>
      <c r="B7965" s="344"/>
    </row>
    <row r="7966" spans="1:2" ht="15.5" x14ac:dyDescent="0.35">
      <c r="A7966" s="343"/>
      <c r="B7966" s="344"/>
    </row>
    <row r="7967" spans="1:2" ht="15.5" x14ac:dyDescent="0.35">
      <c r="A7967" s="343"/>
      <c r="B7967" s="344"/>
    </row>
    <row r="7968" spans="1:2" ht="15.5" x14ac:dyDescent="0.35">
      <c r="A7968" s="343"/>
      <c r="B7968" s="344"/>
    </row>
    <row r="7969" spans="1:2" ht="15.5" x14ac:dyDescent="0.35">
      <c r="A7969" s="343"/>
      <c r="B7969" s="344"/>
    </row>
    <row r="7970" spans="1:2" ht="15.5" x14ac:dyDescent="0.35">
      <c r="A7970" s="343"/>
      <c r="B7970" s="344"/>
    </row>
    <row r="7971" spans="1:2" ht="15.5" x14ac:dyDescent="0.35">
      <c r="A7971" s="343"/>
      <c r="B7971" s="344"/>
    </row>
    <row r="7972" spans="1:2" ht="15.5" x14ac:dyDescent="0.35">
      <c r="A7972" s="343"/>
      <c r="B7972" s="344"/>
    </row>
    <row r="7973" spans="1:2" ht="15.5" x14ac:dyDescent="0.35">
      <c r="A7973" s="343"/>
      <c r="B7973" s="344"/>
    </row>
    <row r="7974" spans="1:2" ht="15.5" x14ac:dyDescent="0.35">
      <c r="A7974" s="343"/>
      <c r="B7974" s="344"/>
    </row>
    <row r="7975" spans="1:2" ht="15.5" x14ac:dyDescent="0.35">
      <c r="A7975" s="343"/>
      <c r="B7975" s="344"/>
    </row>
    <row r="7976" spans="1:2" ht="15.5" x14ac:dyDescent="0.35">
      <c r="A7976" s="343"/>
      <c r="B7976" s="344"/>
    </row>
    <row r="7977" spans="1:2" ht="15.5" x14ac:dyDescent="0.35">
      <c r="A7977" s="343"/>
      <c r="B7977" s="344"/>
    </row>
    <row r="7978" spans="1:2" ht="15.5" x14ac:dyDescent="0.35">
      <c r="A7978" s="343"/>
      <c r="B7978" s="344"/>
    </row>
    <row r="7979" spans="1:2" ht="15.5" x14ac:dyDescent="0.35">
      <c r="A7979" s="343"/>
      <c r="B7979" s="344"/>
    </row>
    <row r="7980" spans="1:2" ht="15.5" x14ac:dyDescent="0.35">
      <c r="A7980" s="343"/>
      <c r="B7980" s="344"/>
    </row>
    <row r="7981" spans="1:2" ht="15.5" x14ac:dyDescent="0.35">
      <c r="A7981" s="343"/>
      <c r="B7981" s="344"/>
    </row>
    <row r="7982" spans="1:2" ht="15.5" x14ac:dyDescent="0.35">
      <c r="A7982" s="343"/>
      <c r="B7982" s="344"/>
    </row>
    <row r="7983" spans="1:2" ht="15.5" x14ac:dyDescent="0.35">
      <c r="A7983" s="343"/>
      <c r="B7983" s="344"/>
    </row>
    <row r="7984" spans="1:2" ht="15.5" x14ac:dyDescent="0.35">
      <c r="A7984" s="343"/>
      <c r="B7984" s="344"/>
    </row>
    <row r="7985" spans="1:2" ht="15.5" x14ac:dyDescent="0.35">
      <c r="A7985" s="343"/>
      <c r="B7985" s="344"/>
    </row>
    <row r="7986" spans="1:2" ht="15.5" x14ac:dyDescent="0.35">
      <c r="A7986" s="343"/>
      <c r="B7986" s="344"/>
    </row>
    <row r="7987" spans="1:2" ht="15.5" x14ac:dyDescent="0.35">
      <c r="A7987" s="343"/>
      <c r="B7987" s="344"/>
    </row>
    <row r="7988" spans="1:2" ht="15.5" x14ac:dyDescent="0.35">
      <c r="A7988" s="343"/>
      <c r="B7988" s="344"/>
    </row>
    <row r="7989" spans="1:2" ht="15.5" x14ac:dyDescent="0.35">
      <c r="A7989" s="343"/>
      <c r="B7989" s="344"/>
    </row>
    <row r="7990" spans="1:2" ht="15.5" x14ac:dyDescent="0.35">
      <c r="A7990" s="343"/>
      <c r="B7990" s="344"/>
    </row>
    <row r="7991" spans="1:2" ht="15.5" x14ac:dyDescent="0.35">
      <c r="A7991" s="343"/>
      <c r="B7991" s="344"/>
    </row>
    <row r="7992" spans="1:2" ht="15.5" x14ac:dyDescent="0.35">
      <c r="A7992" s="343"/>
      <c r="B7992" s="344"/>
    </row>
    <row r="7993" spans="1:2" ht="15.5" x14ac:dyDescent="0.35">
      <c r="A7993" s="343"/>
      <c r="B7993" s="344"/>
    </row>
    <row r="7994" spans="1:2" ht="15.5" x14ac:dyDescent="0.35">
      <c r="A7994" s="343"/>
      <c r="B7994" s="344"/>
    </row>
    <row r="7995" spans="1:2" ht="15.5" x14ac:dyDescent="0.35">
      <c r="A7995" s="343"/>
      <c r="B7995" s="344"/>
    </row>
    <row r="7996" spans="1:2" ht="15.5" x14ac:dyDescent="0.35">
      <c r="A7996" s="343"/>
      <c r="B7996" s="344"/>
    </row>
    <row r="7997" spans="1:2" ht="15.5" x14ac:dyDescent="0.35">
      <c r="A7997" s="343"/>
      <c r="B7997" s="344"/>
    </row>
    <row r="7998" spans="1:2" ht="15.5" x14ac:dyDescent="0.35">
      <c r="A7998" s="343"/>
      <c r="B7998" s="344"/>
    </row>
    <row r="7999" spans="1:2" ht="15.5" x14ac:dyDescent="0.35">
      <c r="A7999" s="343"/>
      <c r="B7999" s="344"/>
    </row>
    <row r="8000" spans="1:2" ht="15.5" x14ac:dyDescent="0.35">
      <c r="A8000" s="343"/>
      <c r="B8000" s="344"/>
    </row>
    <row r="8001" spans="1:2" ht="15.5" x14ac:dyDescent="0.35">
      <c r="A8001" s="343"/>
      <c r="B8001" s="344"/>
    </row>
    <row r="8002" spans="1:2" ht="15.5" x14ac:dyDescent="0.35">
      <c r="A8002" s="343"/>
      <c r="B8002" s="344"/>
    </row>
    <row r="8003" spans="1:2" ht="15.5" x14ac:dyDescent="0.35">
      <c r="A8003" s="343"/>
      <c r="B8003" s="344"/>
    </row>
    <row r="8004" spans="1:2" ht="15.5" x14ac:dyDescent="0.35">
      <c r="A8004" s="343"/>
      <c r="B8004" s="344"/>
    </row>
    <row r="8005" spans="1:2" ht="15.5" x14ac:dyDescent="0.35">
      <c r="A8005" s="343"/>
      <c r="B8005" s="344"/>
    </row>
    <row r="8006" spans="1:2" ht="15.5" x14ac:dyDescent="0.35">
      <c r="A8006" s="343"/>
      <c r="B8006" s="344"/>
    </row>
    <row r="8007" spans="1:2" ht="15.5" x14ac:dyDescent="0.35">
      <c r="A8007" s="343"/>
      <c r="B8007" s="344"/>
    </row>
    <row r="8008" spans="1:2" ht="15.5" x14ac:dyDescent="0.35">
      <c r="A8008" s="343"/>
      <c r="B8008" s="344"/>
    </row>
    <row r="8009" spans="1:2" ht="15.5" x14ac:dyDescent="0.35">
      <c r="A8009" s="343"/>
      <c r="B8009" s="344"/>
    </row>
    <row r="8010" spans="1:2" ht="15.5" x14ac:dyDescent="0.35">
      <c r="A8010" s="343"/>
      <c r="B8010" s="344"/>
    </row>
    <row r="8011" spans="1:2" ht="15.5" x14ac:dyDescent="0.35">
      <c r="A8011" s="343"/>
      <c r="B8011" s="344"/>
    </row>
    <row r="8012" spans="1:2" ht="15.5" x14ac:dyDescent="0.35">
      <c r="A8012" s="343"/>
      <c r="B8012" s="344"/>
    </row>
    <row r="8013" spans="1:2" ht="15.5" x14ac:dyDescent="0.35">
      <c r="A8013" s="343"/>
      <c r="B8013" s="344"/>
    </row>
    <row r="8014" spans="1:2" ht="15.5" x14ac:dyDescent="0.35">
      <c r="A8014" s="343"/>
      <c r="B8014" s="344"/>
    </row>
    <row r="8015" spans="1:2" ht="15.5" x14ac:dyDescent="0.35">
      <c r="A8015" s="343"/>
      <c r="B8015" s="344"/>
    </row>
    <row r="8016" spans="1:2" ht="15.5" x14ac:dyDescent="0.35">
      <c r="A8016" s="343"/>
      <c r="B8016" s="344"/>
    </row>
    <row r="8017" spans="1:2" ht="15.5" x14ac:dyDescent="0.35">
      <c r="A8017" s="343"/>
      <c r="B8017" s="344"/>
    </row>
    <row r="8018" spans="1:2" ht="15.5" x14ac:dyDescent="0.35">
      <c r="A8018" s="343"/>
      <c r="B8018" s="344"/>
    </row>
    <row r="8019" spans="1:2" ht="15.5" x14ac:dyDescent="0.35">
      <c r="A8019" s="343"/>
      <c r="B8019" s="344"/>
    </row>
    <row r="8020" spans="1:2" ht="15.5" x14ac:dyDescent="0.35">
      <c r="A8020" s="343"/>
      <c r="B8020" s="344"/>
    </row>
    <row r="8021" spans="1:2" ht="15.5" x14ac:dyDescent="0.35">
      <c r="A8021" s="343"/>
      <c r="B8021" s="344"/>
    </row>
    <row r="8022" spans="1:2" ht="15.5" x14ac:dyDescent="0.35">
      <c r="A8022" s="343"/>
      <c r="B8022" s="344"/>
    </row>
    <row r="8023" spans="1:2" ht="15.5" x14ac:dyDescent="0.35">
      <c r="A8023" s="343"/>
      <c r="B8023" s="344"/>
    </row>
    <row r="8024" spans="1:2" ht="15.5" x14ac:dyDescent="0.35">
      <c r="A8024" s="343"/>
      <c r="B8024" s="344"/>
    </row>
    <row r="8025" spans="1:2" ht="15.5" x14ac:dyDescent="0.35">
      <c r="A8025" s="343"/>
      <c r="B8025" s="344"/>
    </row>
    <row r="8026" spans="1:2" ht="15.5" x14ac:dyDescent="0.35">
      <c r="A8026" s="343"/>
      <c r="B8026" s="344"/>
    </row>
    <row r="8027" spans="1:2" ht="15.5" x14ac:dyDescent="0.35">
      <c r="A8027" s="343"/>
      <c r="B8027" s="344"/>
    </row>
    <row r="8028" spans="1:2" ht="15.5" x14ac:dyDescent="0.35">
      <c r="A8028" s="343"/>
      <c r="B8028" s="344"/>
    </row>
    <row r="8029" spans="1:2" ht="15.5" x14ac:dyDescent="0.35">
      <c r="A8029" s="343"/>
      <c r="B8029" s="344"/>
    </row>
    <row r="8030" spans="1:2" ht="15.5" x14ac:dyDescent="0.35">
      <c r="A8030" s="343"/>
      <c r="B8030" s="344"/>
    </row>
    <row r="8031" spans="1:2" ht="15.5" x14ac:dyDescent="0.35">
      <c r="A8031" s="343"/>
      <c r="B8031" s="344"/>
    </row>
    <row r="8032" spans="1:2" ht="15.5" x14ac:dyDescent="0.35">
      <c r="A8032" s="343"/>
      <c r="B8032" s="344"/>
    </row>
    <row r="8033" spans="1:2" ht="15.5" x14ac:dyDescent="0.35">
      <c r="A8033" s="343"/>
      <c r="B8033" s="344"/>
    </row>
    <row r="8034" spans="1:2" ht="15.5" x14ac:dyDescent="0.35">
      <c r="A8034" s="343"/>
      <c r="B8034" s="344"/>
    </row>
    <row r="8035" spans="1:2" ht="15.5" x14ac:dyDescent="0.35">
      <c r="A8035" s="343"/>
      <c r="B8035" s="344"/>
    </row>
    <row r="8036" spans="1:2" ht="15.5" x14ac:dyDescent="0.35">
      <c r="A8036" s="343"/>
      <c r="B8036" s="344"/>
    </row>
    <row r="8037" spans="1:2" ht="15.5" x14ac:dyDescent="0.35">
      <c r="A8037" s="343"/>
      <c r="B8037" s="344"/>
    </row>
    <row r="8038" spans="1:2" ht="15.5" x14ac:dyDescent="0.35">
      <c r="A8038" s="343"/>
      <c r="B8038" s="344"/>
    </row>
    <row r="8039" spans="1:2" ht="15.5" x14ac:dyDescent="0.35">
      <c r="A8039" s="343"/>
      <c r="B8039" s="344"/>
    </row>
    <row r="8040" spans="1:2" ht="15.5" x14ac:dyDescent="0.35">
      <c r="A8040" s="343"/>
      <c r="B8040" s="344"/>
    </row>
    <row r="8041" spans="1:2" ht="15.5" x14ac:dyDescent="0.35">
      <c r="A8041" s="343"/>
      <c r="B8041" s="344"/>
    </row>
    <row r="8042" spans="1:2" ht="15.5" x14ac:dyDescent="0.35">
      <c r="A8042" s="343"/>
      <c r="B8042" s="344"/>
    </row>
    <row r="8043" spans="1:2" ht="15.5" x14ac:dyDescent="0.35">
      <c r="A8043" s="343"/>
      <c r="B8043" s="344"/>
    </row>
    <row r="8044" spans="1:2" ht="15.5" x14ac:dyDescent="0.35">
      <c r="A8044" s="343"/>
      <c r="B8044" s="344"/>
    </row>
    <row r="8045" spans="1:2" ht="15.5" x14ac:dyDescent="0.35">
      <c r="A8045" s="343"/>
      <c r="B8045" s="344"/>
    </row>
    <row r="8046" spans="1:2" ht="15.5" x14ac:dyDescent="0.35">
      <c r="A8046" s="343"/>
      <c r="B8046" s="344"/>
    </row>
    <row r="8047" spans="1:2" ht="15.5" x14ac:dyDescent="0.35">
      <c r="A8047" s="343"/>
      <c r="B8047" s="344"/>
    </row>
    <row r="8048" spans="1:2" ht="15.5" x14ac:dyDescent="0.35">
      <c r="A8048" s="343"/>
      <c r="B8048" s="344"/>
    </row>
    <row r="8049" spans="1:2" ht="15.5" x14ac:dyDescent="0.35">
      <c r="A8049" s="343"/>
      <c r="B8049" s="344"/>
    </row>
    <row r="8050" spans="1:2" ht="15.5" x14ac:dyDescent="0.35">
      <c r="A8050" s="343"/>
      <c r="B8050" s="344"/>
    </row>
    <row r="8051" spans="1:2" ht="15.5" x14ac:dyDescent="0.35">
      <c r="A8051" s="343"/>
      <c r="B8051" s="344"/>
    </row>
    <row r="8052" spans="1:2" ht="15.5" x14ac:dyDescent="0.35">
      <c r="A8052" s="343"/>
      <c r="B8052" s="344"/>
    </row>
    <row r="8053" spans="1:2" ht="15.5" x14ac:dyDescent="0.35">
      <c r="A8053" s="343"/>
      <c r="B8053" s="344"/>
    </row>
    <row r="8054" spans="1:2" ht="15.5" x14ac:dyDescent="0.35">
      <c r="A8054" s="343"/>
      <c r="B8054" s="344"/>
    </row>
    <row r="8055" spans="1:2" ht="15.5" x14ac:dyDescent="0.35">
      <c r="A8055" s="343"/>
      <c r="B8055" s="344"/>
    </row>
    <row r="8056" spans="1:2" ht="15.5" x14ac:dyDescent="0.35">
      <c r="A8056" s="343"/>
      <c r="B8056" s="344"/>
    </row>
    <row r="8057" spans="1:2" ht="15.5" x14ac:dyDescent="0.35">
      <c r="A8057" s="343"/>
      <c r="B8057" s="344"/>
    </row>
    <row r="8058" spans="1:2" ht="15.5" x14ac:dyDescent="0.35">
      <c r="A8058" s="343"/>
      <c r="B8058" s="344"/>
    </row>
    <row r="8059" spans="1:2" ht="15.5" x14ac:dyDescent="0.35">
      <c r="A8059" s="343"/>
      <c r="B8059" s="344"/>
    </row>
    <row r="8060" spans="1:2" ht="15.5" x14ac:dyDescent="0.35">
      <c r="A8060" s="343"/>
      <c r="B8060" s="344"/>
    </row>
    <row r="8061" spans="1:2" ht="15.5" x14ac:dyDescent="0.35">
      <c r="A8061" s="343"/>
      <c r="B8061" s="344"/>
    </row>
    <row r="8062" spans="1:2" ht="15.5" x14ac:dyDescent="0.35">
      <c r="A8062" s="343"/>
      <c r="B8062" s="344"/>
    </row>
    <row r="8063" spans="1:2" ht="15.5" x14ac:dyDescent="0.35">
      <c r="A8063" s="343"/>
      <c r="B8063" s="344"/>
    </row>
    <row r="8064" spans="1:2" ht="15.5" x14ac:dyDescent="0.35">
      <c r="A8064" s="343"/>
      <c r="B8064" s="344"/>
    </row>
    <row r="8065" spans="1:2" ht="15.5" x14ac:dyDescent="0.35">
      <c r="A8065" s="343"/>
      <c r="B8065" s="344"/>
    </row>
    <row r="8066" spans="1:2" ht="15.5" x14ac:dyDescent="0.35">
      <c r="A8066" s="343"/>
      <c r="B8066" s="344"/>
    </row>
    <row r="8067" spans="1:2" ht="15.5" x14ac:dyDescent="0.35">
      <c r="A8067" s="343"/>
      <c r="B8067" s="344"/>
    </row>
    <row r="8068" spans="1:2" ht="15.5" x14ac:dyDescent="0.35">
      <c r="A8068" s="343"/>
      <c r="B8068" s="344"/>
    </row>
    <row r="8069" spans="1:2" ht="15.5" x14ac:dyDescent="0.35">
      <c r="A8069" s="343"/>
      <c r="B8069" s="344"/>
    </row>
    <row r="8070" spans="1:2" ht="15.5" x14ac:dyDescent="0.35">
      <c r="A8070" s="343"/>
      <c r="B8070" s="344"/>
    </row>
    <row r="8071" spans="1:2" ht="15.5" x14ac:dyDescent="0.35">
      <c r="A8071" s="343"/>
      <c r="B8071" s="344"/>
    </row>
    <row r="8072" spans="1:2" ht="15.5" x14ac:dyDescent="0.35">
      <c r="A8072" s="343"/>
      <c r="B8072" s="344"/>
    </row>
    <row r="8073" spans="1:2" ht="15.5" x14ac:dyDescent="0.35">
      <c r="A8073" s="343"/>
      <c r="B8073" s="344"/>
    </row>
    <row r="8074" spans="1:2" ht="15.5" x14ac:dyDescent="0.35">
      <c r="A8074" s="343"/>
      <c r="B8074" s="344"/>
    </row>
    <row r="8075" spans="1:2" ht="15.5" x14ac:dyDescent="0.35">
      <c r="A8075" s="343"/>
      <c r="B8075" s="344"/>
    </row>
    <row r="8076" spans="1:2" ht="15.5" x14ac:dyDescent="0.35">
      <c r="A8076" s="343"/>
      <c r="B8076" s="344"/>
    </row>
    <row r="8077" spans="1:2" ht="15.5" x14ac:dyDescent="0.35">
      <c r="A8077" s="343"/>
      <c r="B8077" s="344"/>
    </row>
    <row r="8078" spans="1:2" ht="15.5" x14ac:dyDescent="0.35">
      <c r="A8078" s="343"/>
      <c r="B8078" s="344"/>
    </row>
    <row r="8079" spans="1:2" ht="15.5" x14ac:dyDescent="0.35">
      <c r="A8079" s="343"/>
      <c r="B8079" s="344"/>
    </row>
    <row r="8080" spans="1:2" ht="15.5" x14ac:dyDescent="0.35">
      <c r="A8080" s="343"/>
      <c r="B8080" s="344"/>
    </row>
    <row r="8081" spans="1:2" ht="15.5" x14ac:dyDescent="0.35">
      <c r="A8081" s="343"/>
      <c r="B8081" s="344"/>
    </row>
    <row r="8082" spans="1:2" ht="15.5" x14ac:dyDescent="0.35">
      <c r="A8082" s="343"/>
      <c r="B8082" s="344"/>
    </row>
    <row r="8083" spans="1:2" ht="15.5" x14ac:dyDescent="0.35">
      <c r="A8083" s="343"/>
      <c r="B8083" s="344"/>
    </row>
    <row r="8084" spans="1:2" ht="15.5" x14ac:dyDescent="0.35">
      <c r="A8084" s="343"/>
      <c r="B8084" s="344"/>
    </row>
    <row r="8085" spans="1:2" ht="15.5" x14ac:dyDescent="0.35">
      <c r="A8085" s="343"/>
      <c r="B8085" s="344"/>
    </row>
    <row r="8086" spans="1:2" ht="15.5" x14ac:dyDescent="0.35">
      <c r="A8086" s="343"/>
      <c r="B8086" s="344"/>
    </row>
    <row r="8087" spans="1:2" ht="15.5" x14ac:dyDescent="0.35">
      <c r="A8087" s="343"/>
      <c r="B8087" s="344"/>
    </row>
    <row r="8088" spans="1:2" ht="15.5" x14ac:dyDescent="0.35">
      <c r="A8088" s="343"/>
      <c r="B8088" s="344"/>
    </row>
    <row r="8089" spans="1:2" ht="15.5" x14ac:dyDescent="0.35">
      <c r="A8089" s="343"/>
      <c r="B8089" s="344"/>
    </row>
    <row r="8090" spans="1:2" ht="15.5" x14ac:dyDescent="0.35">
      <c r="A8090" s="343"/>
      <c r="B8090" s="344"/>
    </row>
    <row r="8091" spans="1:2" ht="15.5" x14ac:dyDescent="0.35">
      <c r="A8091" s="343"/>
      <c r="B8091" s="344"/>
    </row>
    <row r="8092" spans="1:2" ht="15.5" x14ac:dyDescent="0.35">
      <c r="A8092" s="343"/>
      <c r="B8092" s="344"/>
    </row>
    <row r="8093" spans="1:2" ht="15.5" x14ac:dyDescent="0.35">
      <c r="A8093" s="343"/>
      <c r="B8093" s="344"/>
    </row>
    <row r="8094" spans="1:2" ht="15.5" x14ac:dyDescent="0.35">
      <c r="A8094" s="343"/>
      <c r="B8094" s="344"/>
    </row>
    <row r="8095" spans="1:2" ht="15.5" x14ac:dyDescent="0.35">
      <c r="A8095" s="343"/>
      <c r="B8095" s="344"/>
    </row>
    <row r="8096" spans="1:2" ht="15.5" x14ac:dyDescent="0.35">
      <c r="A8096" s="343"/>
      <c r="B8096" s="344"/>
    </row>
    <row r="8097" spans="1:2" ht="15.5" x14ac:dyDescent="0.35">
      <c r="A8097" s="343"/>
      <c r="B8097" s="344"/>
    </row>
    <row r="8098" spans="1:2" ht="15.5" x14ac:dyDescent="0.35">
      <c r="A8098" s="343"/>
      <c r="B8098" s="344"/>
    </row>
    <row r="8099" spans="1:2" ht="15.5" x14ac:dyDescent="0.35">
      <c r="A8099" s="343"/>
      <c r="B8099" s="344"/>
    </row>
    <row r="8100" spans="1:2" ht="15.5" x14ac:dyDescent="0.35">
      <c r="A8100" s="343"/>
      <c r="B8100" s="344"/>
    </row>
    <row r="8101" spans="1:2" ht="15.5" x14ac:dyDescent="0.35">
      <c r="A8101" s="343"/>
      <c r="B8101" s="344"/>
    </row>
    <row r="8102" spans="1:2" ht="15.5" x14ac:dyDescent="0.35">
      <c r="A8102" s="343"/>
      <c r="B8102" s="344"/>
    </row>
    <row r="8103" spans="1:2" ht="15.5" x14ac:dyDescent="0.35">
      <c r="A8103" s="343"/>
      <c r="B8103" s="344"/>
    </row>
    <row r="8104" spans="1:2" ht="15.5" x14ac:dyDescent="0.35">
      <c r="A8104" s="343"/>
      <c r="B8104" s="344"/>
    </row>
    <row r="8105" spans="1:2" ht="15.5" x14ac:dyDescent="0.35">
      <c r="A8105" s="343"/>
      <c r="B8105" s="344"/>
    </row>
    <row r="8106" spans="1:2" ht="15.5" x14ac:dyDescent="0.35">
      <c r="A8106" s="343"/>
      <c r="B8106" s="344"/>
    </row>
    <row r="8107" spans="1:2" ht="15.5" x14ac:dyDescent="0.35">
      <c r="A8107" s="343"/>
      <c r="B8107" s="344"/>
    </row>
    <row r="8108" spans="1:2" ht="15.5" x14ac:dyDescent="0.35">
      <c r="A8108" s="343"/>
      <c r="B8108" s="344"/>
    </row>
    <row r="8109" spans="1:2" ht="15.5" x14ac:dyDescent="0.35">
      <c r="A8109" s="343"/>
      <c r="B8109" s="344"/>
    </row>
    <row r="8110" spans="1:2" ht="15.5" x14ac:dyDescent="0.35">
      <c r="A8110" s="343"/>
      <c r="B8110" s="344"/>
    </row>
    <row r="8111" spans="1:2" ht="15.5" x14ac:dyDescent="0.35">
      <c r="A8111" s="343"/>
      <c r="B8111" s="344"/>
    </row>
    <row r="8112" spans="1:2" ht="15.5" x14ac:dyDescent="0.35">
      <c r="A8112" s="343"/>
      <c r="B8112" s="344"/>
    </row>
    <row r="8113" spans="1:2" ht="15.5" x14ac:dyDescent="0.35">
      <c r="A8113" s="343"/>
      <c r="B8113" s="344"/>
    </row>
    <row r="8114" spans="1:2" ht="15.5" x14ac:dyDescent="0.35">
      <c r="A8114" s="343"/>
      <c r="B8114" s="344"/>
    </row>
    <row r="8115" spans="1:2" ht="15.5" x14ac:dyDescent="0.35">
      <c r="A8115" s="343"/>
      <c r="B8115" s="344"/>
    </row>
    <row r="8116" spans="1:2" ht="15.5" x14ac:dyDescent="0.35">
      <c r="A8116" s="343"/>
      <c r="B8116" s="344"/>
    </row>
    <row r="8117" spans="1:2" ht="15.5" x14ac:dyDescent="0.35">
      <c r="A8117" s="343"/>
      <c r="B8117" s="344"/>
    </row>
    <row r="8118" spans="1:2" ht="15.5" x14ac:dyDescent="0.35">
      <c r="A8118" s="343"/>
      <c r="B8118" s="344"/>
    </row>
    <row r="8119" spans="1:2" ht="15.5" x14ac:dyDescent="0.35">
      <c r="A8119" s="343"/>
      <c r="B8119" s="344"/>
    </row>
    <row r="8120" spans="1:2" ht="15.5" x14ac:dyDescent="0.35">
      <c r="A8120" s="343"/>
      <c r="B8120" s="344"/>
    </row>
    <row r="8121" spans="1:2" ht="15.5" x14ac:dyDescent="0.35">
      <c r="A8121" s="343"/>
      <c r="B8121" s="344"/>
    </row>
    <row r="8122" spans="1:2" ht="15.5" x14ac:dyDescent="0.35">
      <c r="A8122" s="343"/>
      <c r="B8122" s="344"/>
    </row>
    <row r="8123" spans="1:2" ht="15.5" x14ac:dyDescent="0.35">
      <c r="A8123" s="343"/>
      <c r="B8123" s="344"/>
    </row>
    <row r="8124" spans="1:2" ht="15.5" x14ac:dyDescent="0.35">
      <c r="A8124" s="343"/>
      <c r="B8124" s="344"/>
    </row>
    <row r="8125" spans="1:2" ht="15.5" x14ac:dyDescent="0.35">
      <c r="A8125" s="343"/>
      <c r="B8125" s="344"/>
    </row>
    <row r="8126" spans="1:2" ht="15.5" x14ac:dyDescent="0.35">
      <c r="A8126" s="343"/>
      <c r="B8126" s="344"/>
    </row>
    <row r="8127" spans="1:2" ht="15.5" x14ac:dyDescent="0.35">
      <c r="A8127" s="343"/>
      <c r="B8127" s="344"/>
    </row>
    <row r="8128" spans="1:2" ht="15.5" x14ac:dyDescent="0.35">
      <c r="A8128" s="343"/>
      <c r="B8128" s="344"/>
    </row>
    <row r="8129" spans="1:2" ht="15.5" x14ac:dyDescent="0.35">
      <c r="A8129" s="343"/>
      <c r="B8129" s="344"/>
    </row>
    <row r="8130" spans="1:2" ht="15.5" x14ac:dyDescent="0.35">
      <c r="A8130" s="343"/>
      <c r="B8130" s="344"/>
    </row>
    <row r="8131" spans="1:2" ht="15.5" x14ac:dyDescent="0.35">
      <c r="A8131" s="343"/>
      <c r="B8131" s="344"/>
    </row>
    <row r="8132" spans="1:2" ht="15.5" x14ac:dyDescent="0.35">
      <c r="A8132" s="343"/>
      <c r="B8132" s="344"/>
    </row>
    <row r="8133" spans="1:2" ht="15.5" x14ac:dyDescent="0.35">
      <c r="A8133" s="343"/>
      <c r="B8133" s="344"/>
    </row>
    <row r="8134" spans="1:2" ht="15.5" x14ac:dyDescent="0.35">
      <c r="A8134" s="343"/>
      <c r="B8134" s="344"/>
    </row>
    <row r="8135" spans="1:2" ht="15.5" x14ac:dyDescent="0.35">
      <c r="A8135" s="343"/>
      <c r="B8135" s="344"/>
    </row>
    <row r="8136" spans="1:2" ht="15.5" x14ac:dyDescent="0.35">
      <c r="A8136" s="343"/>
      <c r="B8136" s="344"/>
    </row>
    <row r="8137" spans="1:2" ht="15.5" x14ac:dyDescent="0.35">
      <c r="A8137" s="343"/>
      <c r="B8137" s="344"/>
    </row>
    <row r="8138" spans="1:2" ht="15.5" x14ac:dyDescent="0.35">
      <c r="A8138" s="343"/>
      <c r="B8138" s="344"/>
    </row>
    <row r="8139" spans="1:2" ht="15.5" x14ac:dyDescent="0.35">
      <c r="A8139" s="343"/>
      <c r="B8139" s="344"/>
    </row>
    <row r="8140" spans="1:2" ht="15.5" x14ac:dyDescent="0.35">
      <c r="A8140" s="343"/>
      <c r="B8140" s="344"/>
    </row>
    <row r="8141" spans="1:2" ht="15.5" x14ac:dyDescent="0.35">
      <c r="A8141" s="343"/>
      <c r="B8141" s="344"/>
    </row>
    <row r="8142" spans="1:2" ht="15.5" x14ac:dyDescent="0.35">
      <c r="A8142" s="343"/>
      <c r="B8142" s="344"/>
    </row>
    <row r="8143" spans="1:2" ht="15.5" x14ac:dyDescent="0.35">
      <c r="A8143" s="343"/>
      <c r="B8143" s="344"/>
    </row>
    <row r="8144" spans="1:2" ht="15.5" x14ac:dyDescent="0.35">
      <c r="A8144" s="343"/>
      <c r="B8144" s="344"/>
    </row>
    <row r="8145" spans="1:2" ht="15.5" x14ac:dyDescent="0.35">
      <c r="A8145" s="343"/>
      <c r="B8145" s="344"/>
    </row>
    <row r="8146" spans="1:2" ht="15.5" x14ac:dyDescent="0.35">
      <c r="A8146" s="343"/>
      <c r="B8146" s="344"/>
    </row>
    <row r="8147" spans="1:2" ht="15.5" x14ac:dyDescent="0.35">
      <c r="A8147" s="343"/>
      <c r="B8147" s="344"/>
    </row>
    <row r="8148" spans="1:2" ht="15.5" x14ac:dyDescent="0.35">
      <c r="A8148" s="343"/>
      <c r="B8148" s="344"/>
    </row>
    <row r="8149" spans="1:2" ht="15.5" x14ac:dyDescent="0.35">
      <c r="A8149" s="343"/>
      <c r="B8149" s="344"/>
    </row>
    <row r="8150" spans="1:2" ht="15.5" x14ac:dyDescent="0.35">
      <c r="A8150" s="343"/>
      <c r="B8150" s="344"/>
    </row>
    <row r="8151" spans="1:2" ht="15.5" x14ac:dyDescent="0.35">
      <c r="A8151" s="343"/>
      <c r="B8151" s="344"/>
    </row>
    <row r="8152" spans="1:2" ht="15.5" x14ac:dyDescent="0.35">
      <c r="A8152" s="343"/>
      <c r="B8152" s="344"/>
    </row>
    <row r="8153" spans="1:2" ht="15.5" x14ac:dyDescent="0.35">
      <c r="A8153" s="343"/>
      <c r="B8153" s="344"/>
    </row>
    <row r="8154" spans="1:2" ht="15.5" x14ac:dyDescent="0.35">
      <c r="A8154" s="343"/>
      <c r="B8154" s="344"/>
    </row>
    <row r="8155" spans="1:2" ht="15.5" x14ac:dyDescent="0.35">
      <c r="A8155" s="343"/>
      <c r="B8155" s="344"/>
    </row>
    <row r="8156" spans="1:2" ht="15.5" x14ac:dyDescent="0.35">
      <c r="A8156" s="343"/>
      <c r="B8156" s="344"/>
    </row>
    <row r="8157" spans="1:2" ht="15.5" x14ac:dyDescent="0.35">
      <c r="A8157" s="343"/>
      <c r="B8157" s="344"/>
    </row>
    <row r="8158" spans="1:2" ht="15.5" x14ac:dyDescent="0.35">
      <c r="A8158" s="343"/>
      <c r="B8158" s="344"/>
    </row>
    <row r="8159" spans="1:2" ht="15.5" x14ac:dyDescent="0.35">
      <c r="A8159" s="343"/>
      <c r="B8159" s="344"/>
    </row>
    <row r="8160" spans="1:2" ht="15.5" x14ac:dyDescent="0.35">
      <c r="A8160" s="343"/>
      <c r="B8160" s="344"/>
    </row>
    <row r="8161" spans="1:2" ht="15.5" x14ac:dyDescent="0.35">
      <c r="A8161" s="343"/>
      <c r="B8161" s="344"/>
    </row>
    <row r="8162" spans="1:2" ht="15.5" x14ac:dyDescent="0.35">
      <c r="A8162" s="343"/>
      <c r="B8162" s="344"/>
    </row>
    <row r="8163" spans="1:2" ht="15.5" x14ac:dyDescent="0.35">
      <c r="A8163" s="343"/>
      <c r="B8163" s="344"/>
    </row>
    <row r="8164" spans="1:2" ht="15.5" x14ac:dyDescent="0.35">
      <c r="A8164" s="343"/>
      <c r="B8164" s="344"/>
    </row>
    <row r="8165" spans="1:2" ht="15.5" x14ac:dyDescent="0.35">
      <c r="A8165" s="343"/>
      <c r="B8165" s="344"/>
    </row>
    <row r="8166" spans="1:2" ht="15.5" x14ac:dyDescent="0.35">
      <c r="A8166" s="343"/>
      <c r="B8166" s="344"/>
    </row>
    <row r="8167" spans="1:2" ht="15.5" x14ac:dyDescent="0.35">
      <c r="A8167" s="343"/>
      <c r="B8167" s="344"/>
    </row>
    <row r="8168" spans="1:2" ht="15.5" x14ac:dyDescent="0.35">
      <c r="A8168" s="343"/>
      <c r="B8168" s="344"/>
    </row>
    <row r="8169" spans="1:2" ht="15.5" x14ac:dyDescent="0.35">
      <c r="A8169" s="343"/>
      <c r="B8169" s="344"/>
    </row>
    <row r="8170" spans="1:2" ht="15.5" x14ac:dyDescent="0.35">
      <c r="A8170" s="343"/>
      <c r="B8170" s="344"/>
    </row>
    <row r="8171" spans="1:2" ht="15.5" x14ac:dyDescent="0.35">
      <c r="A8171" s="343"/>
      <c r="B8171" s="344"/>
    </row>
    <row r="8172" spans="1:2" ht="15.5" x14ac:dyDescent="0.35">
      <c r="A8172" s="343"/>
      <c r="B8172" s="344"/>
    </row>
    <row r="8173" spans="1:2" ht="15.5" x14ac:dyDescent="0.35">
      <c r="A8173" s="343"/>
      <c r="B8173" s="344"/>
    </row>
    <row r="8174" spans="1:2" ht="15.5" x14ac:dyDescent="0.35">
      <c r="A8174" s="343"/>
      <c r="B8174" s="344"/>
    </row>
    <row r="8175" spans="1:2" ht="15.5" x14ac:dyDescent="0.35">
      <c r="A8175" s="343"/>
      <c r="B8175" s="344"/>
    </row>
    <row r="8176" spans="1:2" ht="15.5" x14ac:dyDescent="0.35">
      <c r="A8176" s="343"/>
      <c r="B8176" s="344"/>
    </row>
    <row r="8177" spans="1:2" ht="15.5" x14ac:dyDescent="0.35">
      <c r="A8177" s="343"/>
      <c r="B8177" s="344"/>
    </row>
    <row r="8178" spans="1:2" ht="15.5" x14ac:dyDescent="0.35">
      <c r="A8178" s="343"/>
      <c r="B8178" s="344"/>
    </row>
    <row r="8179" spans="1:2" ht="15.5" x14ac:dyDescent="0.35">
      <c r="A8179" s="343"/>
      <c r="B8179" s="344"/>
    </row>
    <row r="8180" spans="1:2" ht="15.5" x14ac:dyDescent="0.35">
      <c r="A8180" s="343"/>
      <c r="B8180" s="344"/>
    </row>
    <row r="8181" spans="1:2" ht="15.5" x14ac:dyDescent="0.35">
      <c r="A8181" s="343"/>
      <c r="B8181" s="344"/>
    </row>
    <row r="8182" spans="1:2" ht="15.5" x14ac:dyDescent="0.35">
      <c r="A8182" s="343"/>
      <c r="B8182" s="344"/>
    </row>
    <row r="8183" spans="1:2" ht="15.5" x14ac:dyDescent="0.35">
      <c r="A8183" s="343"/>
      <c r="B8183" s="344"/>
    </row>
    <row r="8184" spans="1:2" ht="15.5" x14ac:dyDescent="0.35">
      <c r="A8184" s="343"/>
      <c r="B8184" s="344"/>
    </row>
    <row r="8185" spans="1:2" ht="15.5" x14ac:dyDescent="0.35">
      <c r="A8185" s="343"/>
      <c r="B8185" s="344"/>
    </row>
    <row r="8186" spans="1:2" ht="15.5" x14ac:dyDescent="0.35">
      <c r="A8186" s="343"/>
      <c r="B8186" s="344"/>
    </row>
    <row r="8187" spans="1:2" ht="15.5" x14ac:dyDescent="0.35">
      <c r="A8187" s="343"/>
      <c r="B8187" s="344"/>
    </row>
    <row r="8188" spans="1:2" ht="15.5" x14ac:dyDescent="0.35">
      <c r="A8188" s="343"/>
      <c r="B8188" s="344"/>
    </row>
    <row r="8189" spans="1:2" ht="15.5" x14ac:dyDescent="0.35">
      <c r="A8189" s="343"/>
      <c r="B8189" s="344"/>
    </row>
    <row r="8190" spans="1:2" ht="15.5" x14ac:dyDescent="0.35">
      <c r="A8190" s="343"/>
      <c r="B8190" s="344"/>
    </row>
    <row r="8191" spans="1:2" ht="15.5" x14ac:dyDescent="0.35">
      <c r="A8191" s="343"/>
      <c r="B8191" s="344"/>
    </row>
    <row r="8192" spans="1:2" ht="15.5" x14ac:dyDescent="0.35">
      <c r="A8192" s="343"/>
      <c r="B8192" s="344"/>
    </row>
    <row r="8193" spans="1:2" ht="15.5" x14ac:dyDescent="0.35">
      <c r="A8193" s="343"/>
      <c r="B8193" s="344"/>
    </row>
    <row r="8194" spans="1:2" ht="15.5" x14ac:dyDescent="0.35">
      <c r="A8194" s="343"/>
      <c r="B8194" s="344"/>
    </row>
    <row r="8195" spans="1:2" ht="15.5" x14ac:dyDescent="0.35">
      <c r="A8195" s="343"/>
      <c r="B8195" s="344"/>
    </row>
    <row r="8196" spans="1:2" ht="15.5" x14ac:dyDescent="0.35">
      <c r="A8196" s="343"/>
      <c r="B8196" s="344"/>
    </row>
    <row r="8197" spans="1:2" ht="15.5" x14ac:dyDescent="0.35">
      <c r="A8197" s="343"/>
      <c r="B8197" s="344"/>
    </row>
    <row r="8198" spans="1:2" ht="15.5" x14ac:dyDescent="0.35">
      <c r="A8198" s="343"/>
      <c r="B8198" s="344"/>
    </row>
    <row r="8199" spans="1:2" ht="15.5" x14ac:dyDescent="0.35">
      <c r="A8199" s="343"/>
      <c r="B8199" s="344"/>
    </row>
    <row r="8200" spans="1:2" ht="15.5" x14ac:dyDescent="0.35">
      <c r="A8200" s="343"/>
      <c r="B8200" s="344"/>
    </row>
    <row r="8201" spans="1:2" ht="15.5" x14ac:dyDescent="0.35">
      <c r="A8201" s="343"/>
      <c r="B8201" s="344"/>
    </row>
    <row r="8202" spans="1:2" ht="15.5" x14ac:dyDescent="0.35">
      <c r="A8202" s="343"/>
      <c r="B8202" s="344"/>
    </row>
    <row r="8203" spans="1:2" ht="15.5" x14ac:dyDescent="0.35">
      <c r="A8203" s="343"/>
      <c r="B8203" s="344"/>
    </row>
    <row r="8204" spans="1:2" ht="15.5" x14ac:dyDescent="0.35">
      <c r="A8204" s="343"/>
      <c r="B8204" s="344"/>
    </row>
    <row r="8205" spans="1:2" ht="15.5" x14ac:dyDescent="0.35">
      <c r="A8205" s="343"/>
      <c r="B8205" s="344"/>
    </row>
    <row r="8206" spans="1:2" ht="15.5" x14ac:dyDescent="0.35">
      <c r="A8206" s="343"/>
      <c r="B8206" s="344"/>
    </row>
    <row r="8207" spans="1:2" ht="15.5" x14ac:dyDescent="0.35">
      <c r="A8207" s="343"/>
      <c r="B8207" s="344"/>
    </row>
    <row r="8208" spans="1:2" ht="15.5" x14ac:dyDescent="0.35">
      <c r="A8208" s="343"/>
      <c r="B8208" s="344"/>
    </row>
    <row r="8209" spans="1:2" ht="15.5" x14ac:dyDescent="0.35">
      <c r="A8209" s="343"/>
      <c r="B8209" s="344"/>
    </row>
    <row r="8210" spans="1:2" ht="15.5" x14ac:dyDescent="0.35">
      <c r="A8210" s="343"/>
      <c r="B8210" s="344"/>
    </row>
    <row r="8211" spans="1:2" ht="15.5" x14ac:dyDescent="0.35">
      <c r="A8211" s="343"/>
      <c r="B8211" s="344"/>
    </row>
    <row r="8212" spans="1:2" ht="15.5" x14ac:dyDescent="0.35">
      <c r="A8212" s="343"/>
      <c r="B8212" s="344"/>
    </row>
    <row r="8213" spans="1:2" ht="15.5" x14ac:dyDescent="0.35">
      <c r="A8213" s="343"/>
      <c r="B8213" s="344"/>
    </row>
    <row r="8214" spans="1:2" ht="15.5" x14ac:dyDescent="0.35">
      <c r="A8214" s="343"/>
      <c r="B8214" s="344"/>
    </row>
    <row r="8215" spans="1:2" ht="15.5" x14ac:dyDescent="0.35">
      <c r="A8215" s="343"/>
      <c r="B8215" s="344"/>
    </row>
    <row r="8216" spans="1:2" ht="15.5" x14ac:dyDescent="0.35">
      <c r="A8216" s="343"/>
      <c r="B8216" s="344"/>
    </row>
    <row r="8217" spans="1:2" ht="15.5" x14ac:dyDescent="0.35">
      <c r="A8217" s="343"/>
      <c r="B8217" s="344"/>
    </row>
    <row r="8218" spans="1:2" ht="15.5" x14ac:dyDescent="0.35">
      <c r="A8218" s="343"/>
      <c r="B8218" s="344"/>
    </row>
    <row r="8219" spans="1:2" ht="15.5" x14ac:dyDescent="0.35">
      <c r="A8219" s="343"/>
      <c r="B8219" s="344"/>
    </row>
    <row r="8220" spans="1:2" ht="15.5" x14ac:dyDescent="0.35">
      <c r="A8220" s="343"/>
      <c r="B8220" s="344"/>
    </row>
    <row r="8221" spans="1:2" ht="15.5" x14ac:dyDescent="0.35">
      <c r="A8221" s="343"/>
      <c r="B8221" s="344"/>
    </row>
    <row r="8222" spans="1:2" ht="15.5" x14ac:dyDescent="0.35">
      <c r="A8222" s="343"/>
      <c r="B8222" s="344"/>
    </row>
    <row r="8223" spans="1:2" ht="15.5" x14ac:dyDescent="0.35">
      <c r="A8223" s="343"/>
      <c r="B8223" s="344"/>
    </row>
    <row r="8224" spans="1:2" ht="15.5" x14ac:dyDescent="0.35">
      <c r="A8224" s="343"/>
      <c r="B8224" s="344"/>
    </row>
    <row r="8225" spans="1:2" ht="15.5" x14ac:dyDescent="0.35">
      <c r="A8225" s="343"/>
      <c r="B8225" s="344"/>
    </row>
    <row r="8226" spans="1:2" ht="15.5" x14ac:dyDescent="0.35">
      <c r="A8226" s="343"/>
      <c r="B8226" s="344"/>
    </row>
    <row r="8227" spans="1:2" ht="15.5" x14ac:dyDescent="0.35">
      <c r="A8227" s="343"/>
      <c r="B8227" s="344"/>
    </row>
    <row r="8228" spans="1:2" ht="15.5" x14ac:dyDescent="0.35">
      <c r="A8228" s="343"/>
      <c r="B8228" s="344"/>
    </row>
    <row r="8229" spans="1:2" ht="15.5" x14ac:dyDescent="0.35">
      <c r="A8229" s="343"/>
      <c r="B8229" s="344"/>
    </row>
    <row r="8230" spans="1:2" ht="15.5" x14ac:dyDescent="0.35">
      <c r="A8230" s="343"/>
      <c r="B8230" s="344"/>
    </row>
    <row r="8231" spans="1:2" ht="15.5" x14ac:dyDescent="0.35">
      <c r="A8231" s="343"/>
      <c r="B8231" s="344"/>
    </row>
    <row r="8232" spans="1:2" ht="15.5" x14ac:dyDescent="0.35">
      <c r="A8232" s="343"/>
      <c r="B8232" s="344"/>
    </row>
    <row r="8233" spans="1:2" ht="15.5" x14ac:dyDescent="0.35">
      <c r="A8233" s="343"/>
      <c r="B8233" s="344"/>
    </row>
    <row r="8234" spans="1:2" ht="15.5" x14ac:dyDescent="0.35">
      <c r="A8234" s="343"/>
      <c r="B8234" s="344"/>
    </row>
    <row r="8235" spans="1:2" ht="15.5" x14ac:dyDescent="0.35">
      <c r="A8235" s="343"/>
      <c r="B8235" s="344"/>
    </row>
    <row r="8236" spans="1:2" ht="15.5" x14ac:dyDescent="0.35">
      <c r="A8236" s="343"/>
      <c r="B8236" s="344"/>
    </row>
    <row r="8237" spans="1:2" ht="15.5" x14ac:dyDescent="0.35">
      <c r="A8237" s="343"/>
      <c r="B8237" s="344"/>
    </row>
    <row r="8238" spans="1:2" ht="15.5" x14ac:dyDescent="0.35">
      <c r="A8238" s="343"/>
      <c r="B8238" s="344"/>
    </row>
    <row r="8239" spans="1:2" ht="15.5" x14ac:dyDescent="0.35">
      <c r="A8239" s="343"/>
      <c r="B8239" s="344"/>
    </row>
    <row r="8240" spans="1:2" ht="15.5" x14ac:dyDescent="0.35">
      <c r="A8240" s="343"/>
      <c r="B8240" s="344"/>
    </row>
    <row r="8241" spans="1:2" ht="15.5" x14ac:dyDescent="0.35">
      <c r="A8241" s="343"/>
      <c r="B8241" s="344"/>
    </row>
    <row r="8242" spans="1:2" ht="15.5" x14ac:dyDescent="0.35">
      <c r="A8242" s="343"/>
      <c r="B8242" s="344"/>
    </row>
    <row r="8243" spans="1:2" ht="15.5" x14ac:dyDescent="0.35">
      <c r="A8243" s="343"/>
      <c r="B8243" s="344"/>
    </row>
    <row r="8244" spans="1:2" ht="15.5" x14ac:dyDescent="0.35">
      <c r="A8244" s="343"/>
      <c r="B8244" s="344"/>
    </row>
    <row r="8245" spans="1:2" ht="15.5" x14ac:dyDescent="0.35">
      <c r="A8245" s="343"/>
      <c r="B8245" s="344"/>
    </row>
    <row r="8246" spans="1:2" ht="15.5" x14ac:dyDescent="0.35">
      <c r="A8246" s="343"/>
      <c r="B8246" s="344"/>
    </row>
    <row r="8247" spans="1:2" ht="15.5" x14ac:dyDescent="0.35">
      <c r="A8247" s="343"/>
      <c r="B8247" s="344"/>
    </row>
    <row r="8248" spans="1:2" ht="15.5" x14ac:dyDescent="0.35">
      <c r="A8248" s="343"/>
      <c r="B8248" s="344"/>
    </row>
    <row r="8249" spans="1:2" ht="15.5" x14ac:dyDescent="0.35">
      <c r="A8249" s="343"/>
      <c r="B8249" s="344"/>
    </row>
    <row r="8250" spans="1:2" ht="15.5" x14ac:dyDescent="0.35">
      <c r="A8250" s="343"/>
      <c r="B8250" s="344"/>
    </row>
    <row r="8251" spans="1:2" ht="15.5" x14ac:dyDescent="0.35">
      <c r="A8251" s="343"/>
      <c r="B8251" s="344"/>
    </row>
    <row r="8252" spans="1:2" ht="15.5" x14ac:dyDescent="0.35">
      <c r="A8252" s="343"/>
      <c r="B8252" s="344"/>
    </row>
    <row r="8253" spans="1:2" ht="15.5" x14ac:dyDescent="0.35">
      <c r="A8253" s="343"/>
      <c r="B8253" s="344"/>
    </row>
    <row r="8254" spans="1:2" ht="15.5" x14ac:dyDescent="0.35">
      <c r="A8254" s="343"/>
      <c r="B8254" s="344"/>
    </row>
    <row r="8255" spans="1:2" ht="15.5" x14ac:dyDescent="0.35">
      <c r="A8255" s="343"/>
      <c r="B8255" s="344"/>
    </row>
    <row r="8256" spans="1:2" ht="15.5" x14ac:dyDescent="0.35">
      <c r="A8256" s="343"/>
      <c r="B8256" s="344"/>
    </row>
    <row r="8257" spans="1:2" ht="15.5" x14ac:dyDescent="0.35">
      <c r="A8257" s="343"/>
      <c r="B8257" s="344"/>
    </row>
    <row r="8258" spans="1:2" ht="15.5" x14ac:dyDescent="0.35">
      <c r="A8258" s="343"/>
      <c r="B8258" s="344"/>
    </row>
    <row r="8259" spans="1:2" ht="15.5" x14ac:dyDescent="0.35">
      <c r="A8259" s="343"/>
      <c r="B8259" s="344"/>
    </row>
    <row r="8260" spans="1:2" ht="15.5" x14ac:dyDescent="0.35">
      <c r="A8260" s="343"/>
      <c r="B8260" s="344"/>
    </row>
    <row r="8261" spans="1:2" ht="15.5" x14ac:dyDescent="0.35">
      <c r="A8261" s="343"/>
      <c r="B8261" s="344"/>
    </row>
    <row r="8262" spans="1:2" ht="15.5" x14ac:dyDescent="0.35">
      <c r="A8262" s="343"/>
      <c r="B8262" s="344"/>
    </row>
    <row r="8263" spans="1:2" ht="15.5" x14ac:dyDescent="0.35">
      <c r="A8263" s="343"/>
      <c r="B8263" s="344"/>
    </row>
    <row r="8264" spans="1:2" ht="15.5" x14ac:dyDescent="0.35">
      <c r="A8264" s="343"/>
      <c r="B8264" s="344"/>
    </row>
    <row r="8265" spans="1:2" ht="15.5" x14ac:dyDescent="0.35">
      <c r="A8265" s="343"/>
      <c r="B8265" s="344"/>
    </row>
    <row r="8266" spans="1:2" ht="15.5" x14ac:dyDescent="0.35">
      <c r="A8266" s="343"/>
      <c r="B8266" s="344"/>
    </row>
    <row r="8267" spans="1:2" ht="15.5" x14ac:dyDescent="0.35">
      <c r="A8267" s="343"/>
      <c r="B8267" s="344"/>
    </row>
    <row r="8268" spans="1:2" ht="15.5" x14ac:dyDescent="0.35">
      <c r="A8268" s="343"/>
      <c r="B8268" s="344"/>
    </row>
    <row r="8269" spans="1:2" ht="15.5" x14ac:dyDescent="0.35">
      <c r="A8269" s="343"/>
      <c r="B8269" s="344"/>
    </row>
    <row r="8270" spans="1:2" ht="15.5" x14ac:dyDescent="0.35">
      <c r="A8270" s="343"/>
      <c r="B8270" s="344"/>
    </row>
    <row r="8271" spans="1:2" ht="15.5" x14ac:dyDescent="0.35">
      <c r="A8271" s="343"/>
      <c r="B8271" s="344"/>
    </row>
    <row r="8272" spans="1:2" ht="15.5" x14ac:dyDescent="0.35">
      <c r="A8272" s="343"/>
      <c r="B8272" s="344"/>
    </row>
    <row r="8273" spans="1:2" ht="15.5" x14ac:dyDescent="0.35">
      <c r="A8273" s="343"/>
      <c r="B8273" s="344"/>
    </row>
    <row r="8274" spans="1:2" ht="15.5" x14ac:dyDescent="0.35">
      <c r="A8274" s="343"/>
      <c r="B8274" s="344"/>
    </row>
    <row r="8275" spans="1:2" ht="15.5" x14ac:dyDescent="0.35">
      <c r="A8275" s="343"/>
      <c r="B8275" s="344"/>
    </row>
    <row r="8276" spans="1:2" ht="15.5" x14ac:dyDescent="0.35">
      <c r="A8276" s="343"/>
      <c r="B8276" s="344"/>
    </row>
    <row r="8277" spans="1:2" ht="15.5" x14ac:dyDescent="0.35">
      <c r="A8277" s="343"/>
      <c r="B8277" s="344"/>
    </row>
    <row r="8278" spans="1:2" ht="15.5" x14ac:dyDescent="0.35">
      <c r="A8278" s="343"/>
      <c r="B8278" s="344"/>
    </row>
    <row r="8279" spans="1:2" ht="15.5" x14ac:dyDescent="0.35">
      <c r="A8279" s="343"/>
      <c r="B8279" s="344"/>
    </row>
    <row r="8280" spans="1:2" ht="15.5" x14ac:dyDescent="0.35">
      <c r="A8280" s="343"/>
      <c r="B8280" s="344"/>
    </row>
    <row r="8281" spans="1:2" ht="15.5" x14ac:dyDescent="0.35">
      <c r="A8281" s="343"/>
      <c r="B8281" s="344"/>
    </row>
    <row r="8282" spans="1:2" ht="15.5" x14ac:dyDescent="0.35">
      <c r="A8282" s="343"/>
      <c r="B8282" s="344"/>
    </row>
    <row r="8283" spans="1:2" ht="15.5" x14ac:dyDescent="0.35">
      <c r="A8283" s="343"/>
      <c r="B8283" s="344"/>
    </row>
    <row r="8284" spans="1:2" ht="15.5" x14ac:dyDescent="0.35">
      <c r="A8284" s="343"/>
      <c r="B8284" s="344"/>
    </row>
    <row r="8285" spans="1:2" ht="15.5" x14ac:dyDescent="0.35">
      <c r="A8285" s="343"/>
      <c r="B8285" s="344"/>
    </row>
    <row r="8286" spans="1:2" ht="15.5" x14ac:dyDescent="0.35">
      <c r="A8286" s="343"/>
      <c r="B8286" s="344"/>
    </row>
    <row r="8287" spans="1:2" ht="15.5" x14ac:dyDescent="0.35">
      <c r="A8287" s="343"/>
      <c r="B8287" s="344"/>
    </row>
    <row r="8288" spans="1:2" ht="15.5" x14ac:dyDescent="0.35">
      <c r="A8288" s="343"/>
      <c r="B8288" s="344"/>
    </row>
    <row r="8289" spans="1:2" ht="15.5" x14ac:dyDescent="0.35">
      <c r="A8289" s="343"/>
      <c r="B8289" s="344"/>
    </row>
    <row r="8290" spans="1:2" ht="15.5" x14ac:dyDescent="0.35">
      <c r="A8290" s="343"/>
      <c r="B8290" s="344"/>
    </row>
    <row r="8291" spans="1:2" ht="15.5" x14ac:dyDescent="0.35">
      <c r="A8291" s="343"/>
      <c r="B8291" s="344"/>
    </row>
    <row r="8292" spans="1:2" ht="15.5" x14ac:dyDescent="0.35">
      <c r="A8292" s="343"/>
      <c r="B8292" s="344"/>
    </row>
    <row r="8293" spans="1:2" ht="15.5" x14ac:dyDescent="0.35">
      <c r="A8293" s="343"/>
      <c r="B8293" s="344"/>
    </row>
    <row r="8294" spans="1:2" ht="15.5" x14ac:dyDescent="0.35">
      <c r="A8294" s="343"/>
      <c r="B8294" s="344"/>
    </row>
    <row r="8295" spans="1:2" ht="15.5" x14ac:dyDescent="0.35">
      <c r="A8295" s="343"/>
      <c r="B8295" s="344"/>
    </row>
    <row r="8296" spans="1:2" ht="15.5" x14ac:dyDescent="0.35">
      <c r="A8296" s="343"/>
      <c r="B8296" s="344"/>
    </row>
    <row r="8297" spans="1:2" ht="15.5" x14ac:dyDescent="0.35">
      <c r="A8297" s="343"/>
      <c r="B8297" s="344"/>
    </row>
    <row r="8298" spans="1:2" ht="15.5" x14ac:dyDescent="0.35">
      <c r="A8298" s="343"/>
      <c r="B8298" s="344"/>
    </row>
    <row r="8299" spans="1:2" ht="15.5" x14ac:dyDescent="0.35">
      <c r="A8299" s="343"/>
      <c r="B8299" s="344"/>
    </row>
    <row r="8300" spans="1:2" ht="15.5" x14ac:dyDescent="0.35">
      <c r="A8300" s="343"/>
      <c r="B8300" s="344"/>
    </row>
    <row r="8301" spans="1:2" ht="15.5" x14ac:dyDescent="0.35">
      <c r="A8301" s="343"/>
      <c r="B8301" s="344"/>
    </row>
    <row r="8302" spans="1:2" ht="15.5" x14ac:dyDescent="0.35">
      <c r="A8302" s="343"/>
      <c r="B8302" s="344"/>
    </row>
    <row r="8303" spans="1:2" ht="15.5" x14ac:dyDescent="0.35">
      <c r="A8303" s="343"/>
      <c r="B8303" s="344"/>
    </row>
    <row r="8304" spans="1:2" ht="15.5" x14ac:dyDescent="0.35">
      <c r="A8304" s="343"/>
      <c r="B8304" s="344"/>
    </row>
    <row r="8305" spans="1:2" ht="15.5" x14ac:dyDescent="0.35">
      <c r="A8305" s="343"/>
      <c r="B8305" s="344"/>
    </row>
    <row r="8306" spans="1:2" ht="15.5" x14ac:dyDescent="0.35">
      <c r="A8306" s="343"/>
      <c r="B8306" s="344"/>
    </row>
    <row r="8307" spans="1:2" ht="15.5" x14ac:dyDescent="0.35">
      <c r="A8307" s="343"/>
      <c r="B8307" s="344"/>
    </row>
    <row r="8308" spans="1:2" ht="15.5" x14ac:dyDescent="0.35">
      <c r="A8308" s="343"/>
      <c r="B8308" s="344"/>
    </row>
    <row r="8309" spans="1:2" ht="15.5" x14ac:dyDescent="0.35">
      <c r="A8309" s="343"/>
      <c r="B8309" s="344"/>
    </row>
    <row r="8310" spans="1:2" ht="15.5" x14ac:dyDescent="0.35">
      <c r="A8310" s="343"/>
      <c r="B8310" s="344"/>
    </row>
    <row r="8311" spans="1:2" ht="15.5" x14ac:dyDescent="0.35">
      <c r="A8311" s="343"/>
      <c r="B8311" s="344"/>
    </row>
    <row r="8312" spans="1:2" ht="15.5" x14ac:dyDescent="0.35">
      <c r="A8312" s="343"/>
      <c r="B8312" s="344"/>
    </row>
    <row r="8313" spans="1:2" ht="15.5" x14ac:dyDescent="0.35">
      <c r="A8313" s="343"/>
      <c r="B8313" s="344"/>
    </row>
    <row r="8314" spans="1:2" ht="15.5" x14ac:dyDescent="0.35">
      <c r="A8314" s="343"/>
      <c r="B8314" s="344"/>
    </row>
    <row r="8315" spans="1:2" ht="15.5" x14ac:dyDescent="0.35">
      <c r="A8315" s="343"/>
      <c r="B8315" s="344"/>
    </row>
    <row r="8316" spans="1:2" ht="15.5" x14ac:dyDescent="0.35">
      <c r="A8316" s="343"/>
      <c r="B8316" s="344"/>
    </row>
    <row r="8317" spans="1:2" ht="15.5" x14ac:dyDescent="0.35">
      <c r="A8317" s="343"/>
      <c r="B8317" s="344"/>
    </row>
    <row r="8318" spans="1:2" ht="15.5" x14ac:dyDescent="0.35">
      <c r="A8318" s="343"/>
      <c r="B8318" s="344"/>
    </row>
    <row r="8319" spans="1:2" ht="15.5" x14ac:dyDescent="0.35">
      <c r="A8319" s="343"/>
      <c r="B8319" s="344"/>
    </row>
    <row r="8320" spans="1:2" ht="15.5" x14ac:dyDescent="0.35">
      <c r="A8320" s="343"/>
      <c r="B8320" s="344"/>
    </row>
    <row r="8321" spans="1:2" ht="15.5" x14ac:dyDescent="0.35">
      <c r="A8321" s="343"/>
      <c r="B8321" s="344"/>
    </row>
    <row r="8322" spans="1:2" ht="15.5" x14ac:dyDescent="0.35">
      <c r="A8322" s="343"/>
      <c r="B8322" s="344"/>
    </row>
    <row r="8323" spans="1:2" ht="15.5" x14ac:dyDescent="0.35">
      <c r="A8323" s="343"/>
      <c r="B8323" s="344"/>
    </row>
    <row r="8324" spans="1:2" ht="15.5" x14ac:dyDescent="0.35">
      <c r="A8324" s="343"/>
      <c r="B8324" s="344"/>
    </row>
    <row r="8325" spans="1:2" ht="15.5" x14ac:dyDescent="0.35">
      <c r="A8325" s="343"/>
      <c r="B8325" s="344"/>
    </row>
    <row r="8326" spans="1:2" ht="15.5" x14ac:dyDescent="0.35">
      <c r="A8326" s="343"/>
      <c r="B8326" s="344"/>
    </row>
    <row r="8327" spans="1:2" ht="15.5" x14ac:dyDescent="0.35">
      <c r="A8327" s="343"/>
      <c r="B8327" s="344"/>
    </row>
    <row r="8328" spans="1:2" ht="15.5" x14ac:dyDescent="0.35">
      <c r="A8328" s="343"/>
      <c r="B8328" s="344"/>
    </row>
    <row r="8329" spans="1:2" ht="15.5" x14ac:dyDescent="0.35">
      <c r="A8329" s="343"/>
      <c r="B8329" s="344"/>
    </row>
    <row r="8330" spans="1:2" ht="15.5" x14ac:dyDescent="0.35">
      <c r="A8330" s="343"/>
      <c r="B8330" s="344"/>
    </row>
    <row r="8331" spans="1:2" ht="15.5" x14ac:dyDescent="0.35">
      <c r="A8331" s="343"/>
      <c r="B8331" s="344"/>
    </row>
    <row r="8332" spans="1:2" ht="15.5" x14ac:dyDescent="0.35">
      <c r="A8332" s="343"/>
      <c r="B8332" s="344"/>
    </row>
    <row r="8333" spans="1:2" ht="15.5" x14ac:dyDescent="0.35">
      <c r="A8333" s="343"/>
      <c r="B8333" s="344"/>
    </row>
    <row r="8334" spans="1:2" ht="15.5" x14ac:dyDescent="0.35">
      <c r="A8334" s="343"/>
      <c r="B8334" s="344"/>
    </row>
    <row r="8335" spans="1:2" ht="15.5" x14ac:dyDescent="0.35">
      <c r="A8335" s="343"/>
      <c r="B8335" s="344"/>
    </row>
    <row r="8336" spans="1:2" ht="15.5" x14ac:dyDescent="0.35">
      <c r="A8336" s="343"/>
      <c r="B8336" s="344"/>
    </row>
    <row r="8337" spans="1:2" ht="15.5" x14ac:dyDescent="0.35">
      <c r="A8337" s="343"/>
      <c r="B8337" s="344"/>
    </row>
    <row r="8338" spans="1:2" ht="15.5" x14ac:dyDescent="0.35">
      <c r="A8338" s="343"/>
      <c r="B8338" s="344"/>
    </row>
    <row r="8339" spans="1:2" ht="15.5" x14ac:dyDescent="0.35">
      <c r="A8339" s="343"/>
      <c r="B8339" s="344"/>
    </row>
    <row r="8340" spans="1:2" ht="15.5" x14ac:dyDescent="0.35">
      <c r="A8340" s="343"/>
      <c r="B8340" s="344"/>
    </row>
    <row r="8341" spans="1:2" ht="15.5" x14ac:dyDescent="0.35">
      <c r="A8341" s="343"/>
      <c r="B8341" s="344"/>
    </row>
    <row r="8342" spans="1:2" ht="15.5" x14ac:dyDescent="0.35">
      <c r="A8342" s="343"/>
      <c r="B8342" s="344"/>
    </row>
    <row r="8343" spans="1:2" ht="15.5" x14ac:dyDescent="0.35">
      <c r="A8343" s="343"/>
      <c r="B8343" s="344"/>
    </row>
    <row r="8344" spans="1:2" ht="15.5" x14ac:dyDescent="0.35">
      <c r="A8344" s="343"/>
      <c r="B8344" s="344"/>
    </row>
    <row r="8345" spans="1:2" ht="15.5" x14ac:dyDescent="0.35">
      <c r="A8345" s="343"/>
      <c r="B8345" s="344"/>
    </row>
    <row r="8346" spans="1:2" ht="15.5" x14ac:dyDescent="0.35">
      <c r="A8346" s="343"/>
      <c r="B8346" s="344"/>
    </row>
    <row r="8347" spans="1:2" ht="15.5" x14ac:dyDescent="0.35">
      <c r="A8347" s="343"/>
      <c r="B8347" s="344"/>
    </row>
    <row r="8348" spans="1:2" ht="15.5" x14ac:dyDescent="0.35">
      <c r="A8348" s="343"/>
      <c r="B8348" s="344"/>
    </row>
    <row r="8349" spans="1:2" ht="15.5" x14ac:dyDescent="0.35">
      <c r="A8349" s="343"/>
      <c r="B8349" s="344"/>
    </row>
    <row r="8350" spans="1:2" ht="15.5" x14ac:dyDescent="0.35">
      <c r="A8350" s="343"/>
      <c r="B8350" s="344"/>
    </row>
    <row r="8351" spans="1:2" ht="15.5" x14ac:dyDescent="0.35">
      <c r="A8351" s="343"/>
      <c r="B8351" s="344"/>
    </row>
    <row r="8352" spans="1:2" ht="15.5" x14ac:dyDescent="0.35">
      <c r="A8352" s="343"/>
      <c r="B8352" s="344"/>
    </row>
    <row r="8353" spans="1:2" ht="15.5" x14ac:dyDescent="0.35">
      <c r="A8353" s="343"/>
      <c r="B8353" s="344"/>
    </row>
    <row r="8354" spans="1:2" ht="15.5" x14ac:dyDescent="0.35">
      <c r="A8354" s="343"/>
      <c r="B8354" s="344"/>
    </row>
    <row r="8355" spans="1:2" ht="15.5" x14ac:dyDescent="0.35">
      <c r="A8355" s="343"/>
      <c r="B8355" s="344"/>
    </row>
    <row r="8356" spans="1:2" ht="15.5" x14ac:dyDescent="0.35">
      <c r="A8356" s="343"/>
      <c r="B8356" s="344"/>
    </row>
    <row r="8357" spans="1:2" ht="15.5" x14ac:dyDescent="0.35">
      <c r="A8357" s="343"/>
      <c r="B8357" s="344"/>
    </row>
    <row r="8358" spans="1:2" ht="15.5" x14ac:dyDescent="0.35">
      <c r="A8358" s="343"/>
      <c r="B8358" s="344"/>
    </row>
    <row r="8359" spans="1:2" ht="15.5" x14ac:dyDescent="0.35">
      <c r="A8359" s="343"/>
      <c r="B8359" s="344"/>
    </row>
    <row r="8360" spans="1:2" ht="15.5" x14ac:dyDescent="0.35">
      <c r="A8360" s="343"/>
      <c r="B8360" s="344"/>
    </row>
    <row r="8361" spans="1:2" ht="15.5" x14ac:dyDescent="0.35">
      <c r="A8361" s="343"/>
      <c r="B8361" s="344"/>
    </row>
    <row r="8362" spans="1:2" ht="15.5" x14ac:dyDescent="0.35">
      <c r="A8362" s="343"/>
      <c r="B8362" s="344"/>
    </row>
    <row r="8363" spans="1:2" ht="15.5" x14ac:dyDescent="0.35">
      <c r="A8363" s="343"/>
      <c r="B8363" s="344"/>
    </row>
    <row r="8364" spans="1:2" ht="15.5" x14ac:dyDescent="0.35">
      <c r="A8364" s="343"/>
      <c r="B8364" s="344"/>
    </row>
    <row r="8365" spans="1:2" ht="15.5" x14ac:dyDescent="0.35">
      <c r="A8365" s="343"/>
      <c r="B8365" s="344"/>
    </row>
    <row r="8366" spans="1:2" ht="15.5" x14ac:dyDescent="0.35">
      <c r="A8366" s="343"/>
      <c r="B8366" s="344"/>
    </row>
    <row r="8367" spans="1:2" ht="15.5" x14ac:dyDescent="0.35">
      <c r="A8367" s="343"/>
      <c r="B8367" s="344"/>
    </row>
    <row r="8368" spans="1:2" ht="15.5" x14ac:dyDescent="0.35">
      <c r="A8368" s="343"/>
      <c r="B8368" s="344"/>
    </row>
    <row r="8369" spans="1:2" ht="15.5" x14ac:dyDescent="0.35">
      <c r="A8369" s="343"/>
      <c r="B8369" s="344"/>
    </row>
    <row r="8370" spans="1:2" ht="15.5" x14ac:dyDescent="0.35">
      <c r="A8370" s="343"/>
      <c r="B8370" s="344"/>
    </row>
    <row r="8371" spans="1:2" ht="15.5" x14ac:dyDescent="0.35">
      <c r="A8371" s="343"/>
      <c r="B8371" s="344"/>
    </row>
    <row r="8372" spans="1:2" ht="15.5" x14ac:dyDescent="0.35">
      <c r="A8372" s="343"/>
      <c r="B8372" s="344"/>
    </row>
    <row r="8373" spans="1:2" ht="15.5" x14ac:dyDescent="0.35">
      <c r="A8373" s="343"/>
      <c r="B8373" s="344"/>
    </row>
    <row r="8374" spans="1:2" ht="15.5" x14ac:dyDescent="0.35">
      <c r="A8374" s="343"/>
      <c r="B8374" s="344"/>
    </row>
    <row r="8375" spans="1:2" ht="15.5" x14ac:dyDescent="0.35">
      <c r="A8375" s="343"/>
      <c r="B8375" s="344"/>
    </row>
    <row r="8376" spans="1:2" ht="15.5" x14ac:dyDescent="0.35">
      <c r="A8376" s="343"/>
      <c r="B8376" s="344"/>
    </row>
    <row r="8377" spans="1:2" ht="15.5" x14ac:dyDescent="0.35">
      <c r="A8377" s="343"/>
      <c r="B8377" s="344"/>
    </row>
    <row r="8378" spans="1:2" ht="15.5" x14ac:dyDescent="0.35">
      <c r="A8378" s="343"/>
      <c r="B8378" s="344"/>
    </row>
    <row r="8379" spans="1:2" ht="15.5" x14ac:dyDescent="0.35">
      <c r="A8379" s="343"/>
      <c r="B8379" s="344"/>
    </row>
    <row r="8380" spans="1:2" ht="15.5" x14ac:dyDescent="0.35">
      <c r="A8380" s="343"/>
      <c r="B8380" s="344"/>
    </row>
    <row r="8381" spans="1:2" ht="15.5" x14ac:dyDescent="0.35">
      <c r="A8381" s="343"/>
      <c r="B8381" s="344"/>
    </row>
    <row r="8382" spans="1:2" ht="15.5" x14ac:dyDescent="0.35">
      <c r="A8382" s="343"/>
      <c r="B8382" s="344"/>
    </row>
    <row r="8383" spans="1:2" ht="15.5" x14ac:dyDescent="0.35">
      <c r="A8383" s="343"/>
      <c r="B8383" s="344"/>
    </row>
    <row r="8384" spans="1:2" ht="15.5" x14ac:dyDescent="0.35">
      <c r="A8384" s="343"/>
      <c r="B8384" s="344"/>
    </row>
    <row r="8385" spans="1:2" ht="15.5" x14ac:dyDescent="0.35">
      <c r="A8385" s="343"/>
      <c r="B8385" s="344"/>
    </row>
    <row r="8386" spans="1:2" ht="15.5" x14ac:dyDescent="0.35">
      <c r="A8386" s="343"/>
      <c r="B8386" s="344"/>
    </row>
    <row r="8387" spans="1:2" ht="15.5" x14ac:dyDescent="0.35">
      <c r="A8387" s="343"/>
      <c r="B8387" s="344"/>
    </row>
    <row r="8388" spans="1:2" ht="15.5" x14ac:dyDescent="0.35">
      <c r="A8388" s="343"/>
      <c r="B8388" s="344"/>
    </row>
    <row r="8389" spans="1:2" ht="15.5" x14ac:dyDescent="0.35">
      <c r="A8389" s="343"/>
      <c r="B8389" s="344"/>
    </row>
    <row r="8390" spans="1:2" ht="15.5" x14ac:dyDescent="0.35">
      <c r="A8390" s="343"/>
      <c r="B8390" s="344"/>
    </row>
    <row r="8391" spans="1:2" ht="15.5" x14ac:dyDescent="0.35">
      <c r="A8391" s="343"/>
      <c r="B8391" s="344"/>
    </row>
    <row r="8392" spans="1:2" ht="15.5" x14ac:dyDescent="0.35">
      <c r="A8392" s="343"/>
      <c r="B8392" s="344"/>
    </row>
    <row r="8393" spans="1:2" ht="15.5" x14ac:dyDescent="0.35">
      <c r="A8393" s="343"/>
      <c r="B8393" s="344"/>
    </row>
    <row r="8394" spans="1:2" ht="15.5" x14ac:dyDescent="0.35">
      <c r="A8394" s="343"/>
      <c r="B8394" s="344"/>
    </row>
    <row r="8395" spans="1:2" ht="15.5" x14ac:dyDescent="0.35">
      <c r="A8395" s="343"/>
      <c r="B8395" s="344"/>
    </row>
    <row r="8396" spans="1:2" ht="15.5" x14ac:dyDescent="0.35">
      <c r="A8396" s="343"/>
      <c r="B8396" s="344"/>
    </row>
    <row r="8397" spans="1:2" ht="15.5" x14ac:dyDescent="0.35">
      <c r="A8397" s="343"/>
      <c r="B8397" s="344"/>
    </row>
    <row r="8398" spans="1:2" ht="15.5" x14ac:dyDescent="0.35">
      <c r="A8398" s="343"/>
      <c r="B8398" s="344"/>
    </row>
    <row r="8399" spans="1:2" ht="15.5" x14ac:dyDescent="0.35">
      <c r="A8399" s="343"/>
      <c r="B8399" s="344"/>
    </row>
    <row r="8400" spans="1:2" ht="15.5" x14ac:dyDescent="0.35">
      <c r="A8400" s="343"/>
      <c r="B8400" s="344"/>
    </row>
    <row r="8401" spans="1:2" ht="15.5" x14ac:dyDescent="0.35">
      <c r="A8401" s="343"/>
      <c r="B8401" s="344"/>
    </row>
    <row r="8402" spans="1:2" ht="15.5" x14ac:dyDescent="0.35">
      <c r="A8402" s="343"/>
      <c r="B8402" s="344"/>
    </row>
    <row r="8403" spans="1:2" ht="15.5" x14ac:dyDescent="0.35">
      <c r="A8403" s="343"/>
      <c r="B8403" s="344"/>
    </row>
    <row r="8404" spans="1:2" ht="15.5" x14ac:dyDescent="0.35">
      <c r="A8404" s="343"/>
      <c r="B8404" s="344"/>
    </row>
    <row r="8405" spans="1:2" ht="15.5" x14ac:dyDescent="0.35">
      <c r="A8405" s="343"/>
      <c r="B8405" s="344"/>
    </row>
    <row r="8406" spans="1:2" ht="15.5" x14ac:dyDescent="0.35">
      <c r="A8406" s="343"/>
      <c r="B8406" s="344"/>
    </row>
    <row r="8407" spans="1:2" ht="15.5" x14ac:dyDescent="0.35">
      <c r="A8407" s="343"/>
      <c r="B8407" s="344"/>
    </row>
    <row r="8408" spans="1:2" ht="15.5" x14ac:dyDescent="0.35">
      <c r="A8408" s="343"/>
      <c r="B8408" s="344"/>
    </row>
    <row r="8409" spans="1:2" ht="15.5" x14ac:dyDescent="0.35">
      <c r="A8409" s="343"/>
      <c r="B8409" s="344"/>
    </row>
    <row r="8410" spans="1:2" ht="15.5" x14ac:dyDescent="0.35">
      <c r="A8410" s="343"/>
      <c r="B8410" s="344"/>
    </row>
    <row r="8411" spans="1:2" ht="15.5" x14ac:dyDescent="0.35">
      <c r="A8411" s="343"/>
      <c r="B8411" s="344"/>
    </row>
    <row r="8412" spans="1:2" ht="15.5" x14ac:dyDescent="0.35">
      <c r="A8412" s="343"/>
      <c r="B8412" s="344"/>
    </row>
    <row r="8413" spans="1:2" ht="15.5" x14ac:dyDescent="0.35">
      <c r="A8413" s="343"/>
      <c r="B8413" s="344"/>
    </row>
    <row r="8414" spans="1:2" ht="15.5" x14ac:dyDescent="0.35">
      <c r="A8414" s="343"/>
      <c r="B8414" s="344"/>
    </row>
    <row r="8415" spans="1:2" ht="15.5" x14ac:dyDescent="0.35">
      <c r="A8415" s="343"/>
      <c r="B8415" s="344"/>
    </row>
    <row r="8416" spans="1:2" ht="15.5" x14ac:dyDescent="0.35">
      <c r="A8416" s="343"/>
      <c r="B8416" s="344"/>
    </row>
    <row r="8417" spans="1:2" ht="15.5" x14ac:dyDescent="0.35">
      <c r="A8417" s="343"/>
      <c r="B8417" s="344"/>
    </row>
    <row r="8418" spans="1:2" ht="15.5" x14ac:dyDescent="0.35">
      <c r="A8418" s="343"/>
      <c r="B8418" s="344"/>
    </row>
    <row r="8419" spans="1:2" ht="15.5" x14ac:dyDescent="0.35">
      <c r="A8419" s="343"/>
      <c r="B8419" s="344"/>
    </row>
    <row r="8420" spans="1:2" ht="15.5" x14ac:dyDescent="0.35">
      <c r="A8420" s="343"/>
      <c r="B8420" s="344"/>
    </row>
    <row r="8421" spans="1:2" ht="15.5" x14ac:dyDescent="0.35">
      <c r="A8421" s="343"/>
      <c r="B8421" s="344"/>
    </row>
    <row r="8422" spans="1:2" ht="15.5" x14ac:dyDescent="0.35">
      <c r="A8422" s="343"/>
      <c r="B8422" s="344"/>
    </row>
    <row r="8423" spans="1:2" ht="15.5" x14ac:dyDescent="0.35">
      <c r="A8423" s="343"/>
      <c r="B8423" s="344"/>
    </row>
    <row r="8424" spans="1:2" ht="15.5" x14ac:dyDescent="0.35">
      <c r="A8424" s="343"/>
      <c r="B8424" s="344"/>
    </row>
    <row r="8425" spans="1:2" ht="15.5" x14ac:dyDescent="0.35">
      <c r="A8425" s="343"/>
      <c r="B8425" s="344"/>
    </row>
    <row r="8426" spans="1:2" ht="15.5" x14ac:dyDescent="0.35">
      <c r="A8426" s="343"/>
      <c r="B8426" s="344"/>
    </row>
    <row r="8427" spans="1:2" ht="15.5" x14ac:dyDescent="0.35">
      <c r="A8427" s="343"/>
      <c r="B8427" s="344"/>
    </row>
    <row r="8428" spans="1:2" ht="15.5" x14ac:dyDescent="0.35">
      <c r="A8428" s="343"/>
      <c r="B8428" s="344"/>
    </row>
    <row r="8429" spans="1:2" ht="15.5" x14ac:dyDescent="0.35">
      <c r="A8429" s="343"/>
      <c r="B8429" s="344"/>
    </row>
    <row r="8430" spans="1:2" ht="15.5" x14ac:dyDescent="0.35">
      <c r="A8430" s="343"/>
      <c r="B8430" s="344"/>
    </row>
    <row r="8431" spans="1:2" ht="15.5" x14ac:dyDescent="0.35">
      <c r="A8431" s="343"/>
      <c r="B8431" s="344"/>
    </row>
    <row r="8432" spans="1:2" ht="15.5" x14ac:dyDescent="0.35">
      <c r="A8432" s="343"/>
      <c r="B8432" s="344"/>
    </row>
    <row r="8433" spans="1:2" ht="15.5" x14ac:dyDescent="0.35">
      <c r="A8433" s="343"/>
      <c r="B8433" s="344"/>
    </row>
    <row r="8434" spans="1:2" ht="15.5" x14ac:dyDescent="0.35">
      <c r="A8434" s="343"/>
      <c r="B8434" s="344"/>
    </row>
    <row r="8435" spans="1:2" ht="15.5" x14ac:dyDescent="0.35">
      <c r="A8435" s="343"/>
      <c r="B8435" s="344"/>
    </row>
    <row r="8436" spans="1:2" ht="15.5" x14ac:dyDescent="0.35">
      <c r="A8436" s="343"/>
      <c r="B8436" s="344"/>
    </row>
    <row r="8437" spans="1:2" ht="15.5" x14ac:dyDescent="0.35">
      <c r="A8437" s="343"/>
      <c r="B8437" s="344"/>
    </row>
    <row r="8438" spans="1:2" ht="15.5" x14ac:dyDescent="0.35">
      <c r="A8438" s="343"/>
      <c r="B8438" s="344"/>
    </row>
    <row r="8439" spans="1:2" ht="15.5" x14ac:dyDescent="0.35">
      <c r="A8439" s="343"/>
      <c r="B8439" s="344"/>
    </row>
    <row r="8440" spans="1:2" ht="15.5" x14ac:dyDescent="0.35">
      <c r="A8440" s="343"/>
      <c r="B8440" s="344"/>
    </row>
    <row r="8441" spans="1:2" ht="15.5" x14ac:dyDescent="0.35">
      <c r="A8441" s="343"/>
      <c r="B8441" s="344"/>
    </row>
    <row r="8442" spans="1:2" ht="15.5" x14ac:dyDescent="0.35">
      <c r="A8442" s="343"/>
      <c r="B8442" s="344"/>
    </row>
    <row r="8443" spans="1:2" ht="15.5" x14ac:dyDescent="0.35">
      <c r="A8443" s="343"/>
      <c r="B8443" s="344"/>
    </row>
    <row r="8444" spans="1:2" ht="15.5" x14ac:dyDescent="0.35">
      <c r="A8444" s="343"/>
      <c r="B8444" s="344"/>
    </row>
    <row r="8445" spans="1:2" ht="15.5" x14ac:dyDescent="0.35">
      <c r="A8445" s="343"/>
      <c r="B8445" s="344"/>
    </row>
    <row r="8446" spans="1:2" ht="15.5" x14ac:dyDescent="0.35">
      <c r="A8446" s="343"/>
      <c r="B8446" s="344"/>
    </row>
    <row r="8447" spans="1:2" ht="15.5" x14ac:dyDescent="0.35">
      <c r="A8447" s="343"/>
      <c r="B8447" s="344"/>
    </row>
    <row r="8448" spans="1:2" ht="15.5" x14ac:dyDescent="0.35">
      <c r="A8448" s="343"/>
      <c r="B8448" s="344"/>
    </row>
    <row r="8449" spans="1:2" ht="15.5" x14ac:dyDescent="0.35">
      <c r="A8449" s="343"/>
      <c r="B8449" s="344"/>
    </row>
    <row r="8450" spans="1:2" ht="15.5" x14ac:dyDescent="0.35">
      <c r="A8450" s="343"/>
      <c r="B8450" s="344"/>
    </row>
    <row r="8451" spans="1:2" ht="15.5" x14ac:dyDescent="0.35">
      <c r="A8451" s="343"/>
      <c r="B8451" s="344"/>
    </row>
    <row r="8452" spans="1:2" ht="15.5" x14ac:dyDescent="0.35">
      <c r="A8452" s="343"/>
      <c r="B8452" s="344"/>
    </row>
    <row r="8453" spans="1:2" ht="15.5" x14ac:dyDescent="0.35">
      <c r="A8453" s="343"/>
      <c r="B8453" s="344"/>
    </row>
    <row r="8454" spans="1:2" ht="15.5" x14ac:dyDescent="0.35">
      <c r="A8454" s="343"/>
      <c r="B8454" s="344"/>
    </row>
    <row r="8455" spans="1:2" ht="15.5" x14ac:dyDescent="0.35">
      <c r="A8455" s="343"/>
      <c r="B8455" s="344"/>
    </row>
    <row r="8456" spans="1:2" ht="15.5" x14ac:dyDescent="0.35">
      <c r="A8456" s="343"/>
      <c r="B8456" s="344"/>
    </row>
    <row r="8457" spans="1:2" ht="15.5" x14ac:dyDescent="0.35">
      <c r="A8457" s="343"/>
      <c r="B8457" s="344"/>
    </row>
    <row r="8458" spans="1:2" ht="15.5" x14ac:dyDescent="0.35">
      <c r="A8458" s="343"/>
      <c r="B8458" s="344"/>
    </row>
    <row r="8459" spans="1:2" ht="15.5" x14ac:dyDescent="0.35">
      <c r="A8459" s="343"/>
      <c r="B8459" s="344"/>
    </row>
    <row r="8460" spans="1:2" ht="15.5" x14ac:dyDescent="0.35">
      <c r="A8460" s="343"/>
      <c r="B8460" s="344"/>
    </row>
    <row r="8461" spans="1:2" ht="15.5" x14ac:dyDescent="0.35">
      <c r="A8461" s="343"/>
      <c r="B8461" s="344"/>
    </row>
    <row r="8462" spans="1:2" ht="15.5" x14ac:dyDescent="0.35">
      <c r="A8462" s="343"/>
      <c r="B8462" s="344"/>
    </row>
    <row r="8463" spans="1:2" ht="15.5" x14ac:dyDescent="0.35">
      <c r="A8463" s="343"/>
      <c r="B8463" s="344"/>
    </row>
    <row r="8464" spans="1:2" ht="15.5" x14ac:dyDescent="0.35">
      <c r="A8464" s="343"/>
      <c r="B8464" s="344"/>
    </row>
    <row r="8465" spans="1:2" ht="15.5" x14ac:dyDescent="0.35">
      <c r="A8465" s="343"/>
      <c r="B8465" s="344"/>
    </row>
    <row r="8466" spans="1:2" ht="15.5" x14ac:dyDescent="0.35">
      <c r="A8466" s="343"/>
      <c r="B8466" s="344"/>
    </row>
    <row r="8467" spans="1:2" ht="15.5" x14ac:dyDescent="0.35">
      <c r="A8467" s="343"/>
      <c r="B8467" s="344"/>
    </row>
    <row r="8468" spans="1:2" ht="15.5" x14ac:dyDescent="0.35">
      <c r="A8468" s="343"/>
      <c r="B8468" s="344"/>
    </row>
    <row r="8469" spans="1:2" ht="15.5" x14ac:dyDescent="0.35">
      <c r="A8469" s="343"/>
      <c r="B8469" s="344"/>
    </row>
    <row r="8470" spans="1:2" ht="15.5" x14ac:dyDescent="0.35">
      <c r="A8470" s="343"/>
      <c r="B8470" s="344"/>
    </row>
    <row r="8471" spans="1:2" ht="15.5" x14ac:dyDescent="0.35">
      <c r="A8471" s="343"/>
      <c r="B8471" s="344"/>
    </row>
    <row r="8472" spans="1:2" ht="15.5" x14ac:dyDescent="0.35">
      <c r="A8472" s="343"/>
      <c r="B8472" s="344"/>
    </row>
    <row r="8473" spans="1:2" ht="15.5" x14ac:dyDescent="0.35">
      <c r="A8473" s="343"/>
      <c r="B8473" s="344"/>
    </row>
    <row r="8474" spans="1:2" ht="15.5" x14ac:dyDescent="0.35">
      <c r="A8474" s="343"/>
      <c r="B8474" s="344"/>
    </row>
    <row r="8475" spans="1:2" ht="15.5" x14ac:dyDescent="0.35">
      <c r="A8475" s="343"/>
      <c r="B8475" s="344"/>
    </row>
    <row r="8476" spans="1:2" ht="15.5" x14ac:dyDescent="0.35">
      <c r="A8476" s="343"/>
      <c r="B8476" s="344"/>
    </row>
    <row r="8477" spans="1:2" ht="15.5" x14ac:dyDescent="0.35">
      <c r="A8477" s="343"/>
      <c r="B8477" s="344"/>
    </row>
    <row r="8478" spans="1:2" ht="15.5" x14ac:dyDescent="0.35">
      <c r="A8478" s="343"/>
      <c r="B8478" s="344"/>
    </row>
    <row r="8479" spans="1:2" ht="15.5" x14ac:dyDescent="0.35">
      <c r="A8479" s="343"/>
      <c r="B8479" s="344"/>
    </row>
    <row r="8480" spans="1:2" ht="15.5" x14ac:dyDescent="0.35">
      <c r="A8480" s="343"/>
      <c r="B8480" s="344"/>
    </row>
    <row r="8481" spans="1:2" ht="15.5" x14ac:dyDescent="0.35">
      <c r="A8481" s="343"/>
      <c r="B8481" s="344"/>
    </row>
    <row r="8482" spans="1:2" ht="15.5" x14ac:dyDescent="0.35">
      <c r="A8482" s="343"/>
      <c r="B8482" s="344"/>
    </row>
    <row r="8483" spans="1:2" ht="15.5" x14ac:dyDescent="0.35">
      <c r="A8483" s="343"/>
      <c r="B8483" s="344"/>
    </row>
    <row r="8484" spans="1:2" ht="15.5" x14ac:dyDescent="0.35">
      <c r="A8484" s="343"/>
      <c r="B8484" s="344"/>
    </row>
    <row r="8485" spans="1:2" ht="15.5" x14ac:dyDescent="0.35">
      <c r="A8485" s="343"/>
      <c r="B8485" s="344"/>
    </row>
    <row r="8486" spans="1:2" ht="15.5" x14ac:dyDescent="0.35">
      <c r="A8486" s="343"/>
      <c r="B8486" s="344"/>
    </row>
    <row r="8487" spans="1:2" ht="15.5" x14ac:dyDescent="0.35">
      <c r="A8487" s="343"/>
      <c r="B8487" s="344"/>
    </row>
    <row r="8488" spans="1:2" ht="15.5" x14ac:dyDescent="0.35">
      <c r="A8488" s="343"/>
      <c r="B8488" s="344"/>
    </row>
    <row r="8489" spans="1:2" ht="15.5" x14ac:dyDescent="0.35">
      <c r="A8489" s="343"/>
      <c r="B8489" s="344"/>
    </row>
    <row r="8490" spans="1:2" ht="15.5" x14ac:dyDescent="0.35">
      <c r="A8490" s="343"/>
      <c r="B8490" s="344"/>
    </row>
    <row r="8491" spans="1:2" ht="15.5" x14ac:dyDescent="0.35">
      <c r="A8491" s="343"/>
      <c r="B8491" s="344"/>
    </row>
    <row r="8492" spans="1:2" ht="15.5" x14ac:dyDescent="0.35">
      <c r="A8492" s="343"/>
      <c r="B8492" s="344"/>
    </row>
    <row r="8493" spans="1:2" ht="15.5" x14ac:dyDescent="0.35">
      <c r="A8493" s="343"/>
      <c r="B8493" s="344"/>
    </row>
    <row r="8494" spans="1:2" ht="15.5" x14ac:dyDescent="0.35">
      <c r="A8494" s="343"/>
      <c r="B8494" s="344"/>
    </row>
    <row r="8495" spans="1:2" ht="15.5" x14ac:dyDescent="0.35">
      <c r="A8495" s="343"/>
      <c r="B8495" s="344"/>
    </row>
    <row r="8496" spans="1:2" ht="15.5" x14ac:dyDescent="0.35">
      <c r="A8496" s="343"/>
      <c r="B8496" s="344"/>
    </row>
    <row r="8497" spans="1:2" ht="15.5" x14ac:dyDescent="0.35">
      <c r="A8497" s="343"/>
      <c r="B8497" s="344"/>
    </row>
    <row r="8498" spans="1:2" ht="15.5" x14ac:dyDescent="0.35">
      <c r="A8498" s="343"/>
      <c r="B8498" s="344"/>
    </row>
    <row r="8499" spans="1:2" ht="15.5" x14ac:dyDescent="0.35">
      <c r="A8499" s="343"/>
      <c r="B8499" s="344"/>
    </row>
    <row r="8500" spans="1:2" ht="15.5" x14ac:dyDescent="0.35">
      <c r="A8500" s="343"/>
      <c r="B8500" s="344"/>
    </row>
    <row r="8501" spans="1:2" ht="15.5" x14ac:dyDescent="0.35">
      <c r="A8501" s="343"/>
      <c r="B8501" s="344"/>
    </row>
    <row r="8502" spans="1:2" ht="15.5" x14ac:dyDescent="0.35">
      <c r="A8502" s="343"/>
      <c r="B8502" s="344"/>
    </row>
    <row r="8503" spans="1:2" ht="15.5" x14ac:dyDescent="0.35">
      <c r="A8503" s="343"/>
      <c r="B8503" s="344"/>
    </row>
    <row r="8504" spans="1:2" ht="15.5" x14ac:dyDescent="0.35">
      <c r="A8504" s="343"/>
      <c r="B8504" s="344"/>
    </row>
    <row r="8505" spans="1:2" ht="15.5" x14ac:dyDescent="0.35">
      <c r="A8505" s="343"/>
      <c r="B8505" s="344"/>
    </row>
    <row r="8506" spans="1:2" ht="15.5" x14ac:dyDescent="0.35">
      <c r="A8506" s="343"/>
      <c r="B8506" s="344"/>
    </row>
    <row r="8507" spans="1:2" ht="15.5" x14ac:dyDescent="0.35">
      <c r="A8507" s="343"/>
      <c r="B8507" s="344"/>
    </row>
    <row r="8508" spans="1:2" ht="15.5" x14ac:dyDescent="0.35">
      <c r="A8508" s="343"/>
      <c r="B8508" s="344"/>
    </row>
    <row r="8509" spans="1:2" ht="15.5" x14ac:dyDescent="0.35">
      <c r="A8509" s="343"/>
      <c r="B8509" s="344"/>
    </row>
    <row r="8510" spans="1:2" ht="15.5" x14ac:dyDescent="0.35">
      <c r="A8510" s="343"/>
      <c r="B8510" s="344"/>
    </row>
    <row r="8511" spans="1:2" ht="15.5" x14ac:dyDescent="0.35">
      <c r="A8511" s="343"/>
      <c r="B8511" s="344"/>
    </row>
    <row r="8512" spans="1:2" ht="15.5" x14ac:dyDescent="0.35">
      <c r="A8512" s="343"/>
      <c r="B8512" s="344"/>
    </row>
    <row r="8513" spans="1:2" ht="15.5" x14ac:dyDescent="0.35">
      <c r="A8513" s="343"/>
      <c r="B8513" s="344"/>
    </row>
    <row r="8514" spans="1:2" ht="15.5" x14ac:dyDescent="0.35">
      <c r="A8514" s="343"/>
      <c r="B8514" s="344"/>
    </row>
    <row r="8515" spans="1:2" ht="15.5" x14ac:dyDescent="0.35">
      <c r="A8515" s="343"/>
      <c r="B8515" s="344"/>
    </row>
    <row r="8516" spans="1:2" ht="15.5" x14ac:dyDescent="0.35">
      <c r="A8516" s="343"/>
      <c r="B8516" s="344"/>
    </row>
    <row r="8517" spans="1:2" ht="15.5" x14ac:dyDescent="0.35">
      <c r="A8517" s="343"/>
      <c r="B8517" s="344"/>
    </row>
    <row r="8518" spans="1:2" ht="15.5" x14ac:dyDescent="0.35">
      <c r="A8518" s="343"/>
      <c r="B8518" s="344"/>
    </row>
    <row r="8519" spans="1:2" ht="15.5" x14ac:dyDescent="0.35">
      <c r="A8519" s="343"/>
      <c r="B8519" s="344"/>
    </row>
    <row r="8520" spans="1:2" ht="15.5" x14ac:dyDescent="0.35">
      <c r="A8520" s="343"/>
      <c r="B8520" s="344"/>
    </row>
    <row r="8521" spans="1:2" ht="15.5" x14ac:dyDescent="0.35">
      <c r="A8521" s="343"/>
      <c r="B8521" s="344"/>
    </row>
    <row r="8522" spans="1:2" ht="15.5" x14ac:dyDescent="0.35">
      <c r="A8522" s="343"/>
      <c r="B8522" s="344"/>
    </row>
    <row r="8523" spans="1:2" ht="15.5" x14ac:dyDescent="0.35">
      <c r="A8523" s="343"/>
      <c r="B8523" s="344"/>
    </row>
    <row r="8524" spans="1:2" ht="15.5" x14ac:dyDescent="0.35">
      <c r="A8524" s="343"/>
      <c r="B8524" s="344"/>
    </row>
    <row r="8525" spans="1:2" ht="15.5" x14ac:dyDescent="0.35">
      <c r="A8525" s="343"/>
      <c r="B8525" s="344"/>
    </row>
    <row r="8526" spans="1:2" ht="15.5" x14ac:dyDescent="0.35">
      <c r="A8526" s="343"/>
      <c r="B8526" s="344"/>
    </row>
    <row r="8527" spans="1:2" ht="15.5" x14ac:dyDescent="0.35">
      <c r="A8527" s="343"/>
      <c r="B8527" s="344"/>
    </row>
    <row r="8528" spans="1:2" ht="15.5" x14ac:dyDescent="0.35">
      <c r="A8528" s="343"/>
      <c r="B8528" s="344"/>
    </row>
    <row r="8529" spans="1:2" ht="15.5" x14ac:dyDescent="0.35">
      <c r="A8529" s="343"/>
      <c r="B8529" s="344"/>
    </row>
    <row r="8530" spans="1:2" ht="15.5" x14ac:dyDescent="0.35">
      <c r="A8530" s="343"/>
      <c r="B8530" s="344"/>
    </row>
    <row r="8531" spans="1:2" ht="15.5" x14ac:dyDescent="0.35">
      <c r="A8531" s="343"/>
      <c r="B8531" s="344"/>
    </row>
    <row r="8532" spans="1:2" ht="15.5" x14ac:dyDescent="0.35">
      <c r="A8532" s="343"/>
      <c r="B8532" s="344"/>
    </row>
    <row r="8533" spans="1:2" ht="15.5" x14ac:dyDescent="0.35">
      <c r="A8533" s="343"/>
      <c r="B8533" s="344"/>
    </row>
    <row r="8534" spans="1:2" ht="15.5" x14ac:dyDescent="0.35">
      <c r="A8534" s="343"/>
      <c r="B8534" s="344"/>
    </row>
    <row r="8535" spans="1:2" ht="15.5" x14ac:dyDescent="0.35">
      <c r="A8535" s="343"/>
      <c r="B8535" s="344"/>
    </row>
    <row r="8536" spans="1:2" ht="15.5" x14ac:dyDescent="0.35">
      <c r="A8536" s="343"/>
      <c r="B8536" s="344"/>
    </row>
    <row r="8537" spans="1:2" ht="15.5" x14ac:dyDescent="0.35">
      <c r="A8537" s="343"/>
      <c r="B8537" s="344"/>
    </row>
    <row r="8538" spans="1:2" ht="15.5" x14ac:dyDescent="0.35">
      <c r="A8538" s="343"/>
      <c r="B8538" s="344"/>
    </row>
    <row r="8539" spans="1:2" ht="15.5" x14ac:dyDescent="0.35">
      <c r="A8539" s="343"/>
      <c r="B8539" s="344"/>
    </row>
    <row r="8540" spans="1:2" ht="15.5" x14ac:dyDescent="0.35">
      <c r="A8540" s="343"/>
      <c r="B8540" s="344"/>
    </row>
    <row r="8541" spans="1:2" ht="15.5" x14ac:dyDescent="0.35">
      <c r="A8541" s="343"/>
      <c r="B8541" s="344"/>
    </row>
    <row r="8542" spans="1:2" ht="15.5" x14ac:dyDescent="0.35">
      <c r="A8542" s="343"/>
      <c r="B8542" s="344"/>
    </row>
    <row r="8543" spans="1:2" ht="15.5" x14ac:dyDescent="0.35">
      <c r="A8543" s="343"/>
      <c r="B8543" s="344"/>
    </row>
    <row r="8544" spans="1:2" ht="15.5" x14ac:dyDescent="0.35">
      <c r="A8544" s="343"/>
      <c r="B8544" s="344"/>
    </row>
    <row r="8545" spans="1:2" ht="15.5" x14ac:dyDescent="0.35">
      <c r="A8545" s="343"/>
      <c r="B8545" s="344"/>
    </row>
    <row r="8546" spans="1:2" ht="15.5" x14ac:dyDescent="0.35">
      <c r="A8546" s="343"/>
      <c r="B8546" s="344"/>
    </row>
    <row r="8547" spans="1:2" ht="15.5" x14ac:dyDescent="0.35">
      <c r="A8547" s="343"/>
      <c r="B8547" s="344"/>
    </row>
    <row r="8548" spans="1:2" ht="15.5" x14ac:dyDescent="0.35">
      <c r="A8548" s="343"/>
      <c r="B8548" s="344"/>
    </row>
    <row r="8549" spans="1:2" ht="15.5" x14ac:dyDescent="0.35">
      <c r="A8549" s="343"/>
      <c r="B8549" s="344"/>
    </row>
    <row r="8550" spans="1:2" ht="15.5" x14ac:dyDescent="0.35">
      <c r="A8550" s="343"/>
      <c r="B8550" s="344"/>
    </row>
    <row r="8551" spans="1:2" ht="15.5" x14ac:dyDescent="0.35">
      <c r="A8551" s="343"/>
      <c r="B8551" s="344"/>
    </row>
    <row r="8552" spans="1:2" ht="15.5" x14ac:dyDescent="0.35">
      <c r="A8552" s="343"/>
      <c r="B8552" s="344"/>
    </row>
    <row r="8553" spans="1:2" ht="15.5" x14ac:dyDescent="0.35">
      <c r="A8553" s="343"/>
      <c r="B8553" s="344"/>
    </row>
    <row r="8554" spans="1:2" ht="15.5" x14ac:dyDescent="0.35">
      <c r="A8554" s="343"/>
      <c r="B8554" s="344"/>
    </row>
    <row r="8555" spans="1:2" ht="15.5" x14ac:dyDescent="0.35">
      <c r="A8555" s="343"/>
      <c r="B8555" s="344"/>
    </row>
    <row r="8556" spans="1:2" ht="15.5" x14ac:dyDescent="0.35">
      <c r="A8556" s="343"/>
      <c r="B8556" s="344"/>
    </row>
    <row r="8557" spans="1:2" ht="15.5" x14ac:dyDescent="0.35">
      <c r="A8557" s="343"/>
      <c r="B8557" s="344"/>
    </row>
    <row r="8558" spans="1:2" ht="15.5" x14ac:dyDescent="0.35">
      <c r="A8558" s="343"/>
      <c r="B8558" s="344"/>
    </row>
    <row r="8559" spans="1:2" ht="15.5" x14ac:dyDescent="0.35">
      <c r="A8559" s="343"/>
      <c r="B8559" s="344"/>
    </row>
    <row r="8560" spans="1:2" ht="15.5" x14ac:dyDescent="0.35">
      <c r="A8560" s="343"/>
      <c r="B8560" s="344"/>
    </row>
    <row r="8561" spans="1:2" ht="15.5" x14ac:dyDescent="0.35">
      <c r="A8561" s="343"/>
      <c r="B8561" s="344"/>
    </row>
    <row r="8562" spans="1:2" ht="15.5" x14ac:dyDescent="0.35">
      <c r="A8562" s="343"/>
      <c r="B8562" s="344"/>
    </row>
    <row r="8563" spans="1:2" ht="15.5" x14ac:dyDescent="0.35">
      <c r="A8563" s="343"/>
      <c r="B8563" s="344"/>
    </row>
    <row r="8564" spans="1:2" ht="15.5" x14ac:dyDescent="0.35">
      <c r="A8564" s="343"/>
      <c r="B8564" s="344"/>
    </row>
    <row r="8565" spans="1:2" ht="15.5" x14ac:dyDescent="0.35">
      <c r="A8565" s="343"/>
      <c r="B8565" s="344"/>
    </row>
    <row r="8566" spans="1:2" ht="15.5" x14ac:dyDescent="0.35">
      <c r="A8566" s="343"/>
      <c r="B8566" s="344"/>
    </row>
    <row r="8567" spans="1:2" ht="15.5" x14ac:dyDescent="0.35">
      <c r="A8567" s="343"/>
      <c r="B8567" s="344"/>
    </row>
    <row r="8568" spans="1:2" ht="15.5" x14ac:dyDescent="0.35">
      <c r="A8568" s="343"/>
      <c r="B8568" s="344"/>
    </row>
    <row r="8569" spans="1:2" ht="15.5" x14ac:dyDescent="0.35">
      <c r="A8569" s="343"/>
      <c r="B8569" s="344"/>
    </row>
    <row r="8570" spans="1:2" ht="15.5" x14ac:dyDescent="0.35">
      <c r="A8570" s="343"/>
      <c r="B8570" s="344"/>
    </row>
    <row r="8571" spans="1:2" ht="15.5" x14ac:dyDescent="0.35">
      <c r="A8571" s="343"/>
      <c r="B8571" s="344"/>
    </row>
    <row r="8572" spans="1:2" ht="15.5" x14ac:dyDescent="0.35">
      <c r="A8572" s="343"/>
      <c r="B8572" s="344"/>
    </row>
    <row r="8573" spans="1:2" ht="15.5" x14ac:dyDescent="0.35">
      <c r="A8573" s="343"/>
      <c r="B8573" s="344"/>
    </row>
    <row r="8574" spans="1:2" ht="15.5" x14ac:dyDescent="0.35">
      <c r="A8574" s="343"/>
      <c r="B8574" s="344"/>
    </row>
    <row r="8575" spans="1:2" ht="15.5" x14ac:dyDescent="0.35">
      <c r="A8575" s="343"/>
      <c r="B8575" s="344"/>
    </row>
    <row r="8576" spans="1:2" ht="15.5" x14ac:dyDescent="0.35">
      <c r="A8576" s="343"/>
      <c r="B8576" s="344"/>
    </row>
    <row r="8577" spans="1:2" ht="15.5" x14ac:dyDescent="0.35">
      <c r="A8577" s="343"/>
      <c r="B8577" s="344"/>
    </row>
    <row r="8578" spans="1:2" ht="15.5" x14ac:dyDescent="0.35">
      <c r="A8578" s="343"/>
      <c r="B8578" s="344"/>
    </row>
    <row r="8579" spans="1:2" ht="15.5" x14ac:dyDescent="0.35">
      <c r="A8579" s="343"/>
      <c r="B8579" s="344"/>
    </row>
    <row r="8580" spans="1:2" ht="15.5" x14ac:dyDescent="0.35">
      <c r="A8580" s="343"/>
      <c r="B8580" s="344"/>
    </row>
    <row r="8581" spans="1:2" ht="15.5" x14ac:dyDescent="0.35">
      <c r="A8581" s="343"/>
      <c r="B8581" s="344"/>
    </row>
    <row r="8582" spans="1:2" ht="15.5" x14ac:dyDescent="0.35">
      <c r="A8582" s="343"/>
      <c r="B8582" s="344"/>
    </row>
    <row r="8583" spans="1:2" ht="15.5" x14ac:dyDescent="0.35">
      <c r="A8583" s="343"/>
      <c r="B8583" s="344"/>
    </row>
    <row r="8584" spans="1:2" ht="15.5" x14ac:dyDescent="0.35">
      <c r="A8584" s="343"/>
      <c r="B8584" s="344"/>
    </row>
    <row r="8585" spans="1:2" ht="15.5" x14ac:dyDescent="0.35">
      <c r="A8585" s="343"/>
      <c r="B8585" s="344"/>
    </row>
    <row r="8586" spans="1:2" ht="15.5" x14ac:dyDescent="0.35">
      <c r="A8586" s="343"/>
      <c r="B8586" s="344"/>
    </row>
    <row r="8587" spans="1:2" ht="15.5" x14ac:dyDescent="0.35">
      <c r="A8587" s="343"/>
      <c r="B8587" s="344"/>
    </row>
    <row r="8588" spans="1:2" ht="15.5" x14ac:dyDescent="0.35">
      <c r="A8588" s="343"/>
      <c r="B8588" s="344"/>
    </row>
    <row r="8589" spans="1:2" ht="15.5" x14ac:dyDescent="0.35">
      <c r="A8589" s="343"/>
      <c r="B8589" s="344"/>
    </row>
    <row r="8590" spans="1:2" ht="15.5" x14ac:dyDescent="0.35">
      <c r="A8590" s="343"/>
      <c r="B8590" s="344"/>
    </row>
    <row r="8591" spans="1:2" ht="15.5" x14ac:dyDescent="0.35">
      <c r="A8591" s="343"/>
      <c r="B8591" s="344"/>
    </row>
    <row r="8592" spans="1:2" ht="15.5" x14ac:dyDescent="0.35">
      <c r="A8592" s="343"/>
      <c r="B8592" s="344"/>
    </row>
    <row r="8593" spans="1:2" ht="15.5" x14ac:dyDescent="0.35">
      <c r="A8593" s="343"/>
      <c r="B8593" s="344"/>
    </row>
    <row r="8594" spans="1:2" ht="15.5" x14ac:dyDescent="0.35">
      <c r="A8594" s="343"/>
      <c r="B8594" s="344"/>
    </row>
    <row r="8595" spans="1:2" ht="15.5" x14ac:dyDescent="0.35">
      <c r="A8595" s="343"/>
      <c r="B8595" s="344"/>
    </row>
    <row r="8596" spans="1:2" ht="15.5" x14ac:dyDescent="0.35">
      <c r="A8596" s="343"/>
      <c r="B8596" s="344"/>
    </row>
    <row r="8597" spans="1:2" ht="15.5" x14ac:dyDescent="0.35">
      <c r="A8597" s="343"/>
      <c r="B8597" s="344"/>
    </row>
    <row r="8598" spans="1:2" ht="15.5" x14ac:dyDescent="0.35">
      <c r="A8598" s="343"/>
      <c r="B8598" s="344"/>
    </row>
    <row r="8599" spans="1:2" ht="15.5" x14ac:dyDescent="0.35">
      <c r="A8599" s="343"/>
      <c r="B8599" s="344"/>
    </row>
    <row r="8600" spans="1:2" ht="15.5" x14ac:dyDescent="0.35">
      <c r="A8600" s="343"/>
      <c r="B8600" s="344"/>
    </row>
    <row r="8601" spans="1:2" ht="15.5" x14ac:dyDescent="0.35">
      <c r="A8601" s="343"/>
      <c r="B8601" s="344"/>
    </row>
    <row r="8602" spans="1:2" ht="15.5" x14ac:dyDescent="0.35">
      <c r="A8602" s="343"/>
      <c r="B8602" s="344"/>
    </row>
    <row r="8603" spans="1:2" ht="15.5" x14ac:dyDescent="0.35">
      <c r="A8603" s="343"/>
      <c r="B8603" s="344"/>
    </row>
    <row r="8604" spans="1:2" ht="15.5" x14ac:dyDescent="0.35">
      <c r="A8604" s="343"/>
      <c r="B8604" s="344"/>
    </row>
    <row r="8605" spans="1:2" ht="15.5" x14ac:dyDescent="0.35">
      <c r="A8605" s="343"/>
      <c r="B8605" s="344"/>
    </row>
    <row r="8606" spans="1:2" ht="15.5" x14ac:dyDescent="0.35">
      <c r="A8606" s="343"/>
      <c r="B8606" s="344"/>
    </row>
    <row r="8607" spans="1:2" ht="15.5" x14ac:dyDescent="0.35">
      <c r="A8607" s="343"/>
      <c r="B8607" s="344"/>
    </row>
    <row r="8608" spans="1:2" ht="15.5" x14ac:dyDescent="0.35">
      <c r="A8608" s="343"/>
      <c r="B8608" s="344"/>
    </row>
    <row r="8609" spans="1:2" ht="15.5" x14ac:dyDescent="0.35">
      <c r="A8609" s="343"/>
      <c r="B8609" s="344"/>
    </row>
    <row r="8610" spans="1:2" ht="15.5" x14ac:dyDescent="0.35">
      <c r="A8610" s="343"/>
      <c r="B8610" s="344"/>
    </row>
    <row r="8611" spans="1:2" ht="15.5" x14ac:dyDescent="0.35">
      <c r="A8611" s="343"/>
      <c r="B8611" s="344"/>
    </row>
    <row r="8612" spans="1:2" ht="15.5" x14ac:dyDescent="0.35">
      <c r="A8612" s="343"/>
      <c r="B8612" s="344"/>
    </row>
    <row r="8613" spans="1:2" ht="15.5" x14ac:dyDescent="0.35">
      <c r="A8613" s="343"/>
      <c r="B8613" s="344"/>
    </row>
    <row r="8614" spans="1:2" ht="15.5" x14ac:dyDescent="0.35">
      <c r="A8614" s="343"/>
      <c r="B8614" s="344"/>
    </row>
    <row r="8615" spans="1:2" ht="15.5" x14ac:dyDescent="0.35">
      <c r="A8615" s="343"/>
      <c r="B8615" s="344"/>
    </row>
    <row r="8616" spans="1:2" ht="15.5" x14ac:dyDescent="0.35">
      <c r="A8616" s="343"/>
      <c r="B8616" s="344"/>
    </row>
    <row r="8617" spans="1:2" ht="15.5" x14ac:dyDescent="0.35">
      <c r="A8617" s="343"/>
      <c r="B8617" s="344"/>
    </row>
    <row r="8618" spans="1:2" ht="15.5" x14ac:dyDescent="0.35">
      <c r="A8618" s="343"/>
      <c r="B8618" s="344"/>
    </row>
    <row r="8619" spans="1:2" ht="15.5" x14ac:dyDescent="0.35">
      <c r="A8619" s="343"/>
      <c r="B8619" s="344"/>
    </row>
    <row r="8620" spans="1:2" ht="15.5" x14ac:dyDescent="0.35">
      <c r="A8620" s="343"/>
      <c r="B8620" s="344"/>
    </row>
    <row r="8621" spans="1:2" ht="15.5" x14ac:dyDescent="0.35">
      <c r="A8621" s="343"/>
      <c r="B8621" s="344"/>
    </row>
    <row r="8622" spans="1:2" ht="15.5" x14ac:dyDescent="0.35">
      <c r="A8622" s="343"/>
      <c r="B8622" s="344"/>
    </row>
    <row r="8623" spans="1:2" ht="15.5" x14ac:dyDescent="0.35">
      <c r="A8623" s="343"/>
      <c r="B8623" s="344"/>
    </row>
    <row r="8624" spans="1:2" ht="15.5" x14ac:dyDescent="0.35">
      <c r="A8624" s="343"/>
      <c r="B8624" s="344"/>
    </row>
    <row r="8625" spans="1:2" ht="15.5" x14ac:dyDescent="0.35">
      <c r="A8625" s="343"/>
      <c r="B8625" s="344"/>
    </row>
    <row r="8626" spans="1:2" ht="15.5" x14ac:dyDescent="0.35">
      <c r="A8626" s="343"/>
      <c r="B8626" s="344"/>
    </row>
    <row r="8627" spans="1:2" ht="15.5" x14ac:dyDescent="0.35">
      <c r="A8627" s="343"/>
      <c r="B8627" s="344"/>
    </row>
    <row r="8628" spans="1:2" ht="15.5" x14ac:dyDescent="0.35">
      <c r="A8628" s="343"/>
      <c r="B8628" s="344"/>
    </row>
    <row r="8629" spans="1:2" ht="15.5" x14ac:dyDescent="0.35">
      <c r="A8629" s="343"/>
      <c r="B8629" s="344"/>
    </row>
    <row r="8630" spans="1:2" ht="15.5" x14ac:dyDescent="0.35">
      <c r="A8630" s="343"/>
      <c r="B8630" s="344"/>
    </row>
    <row r="8631" spans="1:2" ht="15.5" x14ac:dyDescent="0.35">
      <c r="A8631" s="343"/>
      <c r="B8631" s="344"/>
    </row>
    <row r="8632" spans="1:2" ht="15.5" x14ac:dyDescent="0.35">
      <c r="A8632" s="343"/>
      <c r="B8632" s="344"/>
    </row>
    <row r="8633" spans="1:2" ht="15.5" x14ac:dyDescent="0.35">
      <c r="A8633" s="343"/>
      <c r="B8633" s="344"/>
    </row>
    <row r="8634" spans="1:2" ht="15.5" x14ac:dyDescent="0.35">
      <c r="A8634" s="343"/>
      <c r="B8634" s="344"/>
    </row>
    <row r="8635" spans="1:2" ht="15.5" x14ac:dyDescent="0.35">
      <c r="A8635" s="343"/>
      <c r="B8635" s="344"/>
    </row>
    <row r="8636" spans="1:2" ht="15.5" x14ac:dyDescent="0.35">
      <c r="A8636" s="343"/>
      <c r="B8636" s="344"/>
    </row>
    <row r="8637" spans="1:2" ht="15.5" x14ac:dyDescent="0.35">
      <c r="A8637" s="343"/>
      <c r="B8637" s="344"/>
    </row>
    <row r="8638" spans="1:2" ht="15.5" x14ac:dyDescent="0.35">
      <c r="A8638" s="343"/>
      <c r="B8638" s="344"/>
    </row>
    <row r="8639" spans="1:2" ht="15.5" x14ac:dyDescent="0.35">
      <c r="A8639" s="343"/>
      <c r="B8639" s="344"/>
    </row>
    <row r="8640" spans="1:2" ht="15.5" x14ac:dyDescent="0.35">
      <c r="A8640" s="343"/>
      <c r="B8640" s="344"/>
    </row>
    <row r="8641" spans="1:2" ht="15.5" x14ac:dyDescent="0.35">
      <c r="A8641" s="343"/>
      <c r="B8641" s="344"/>
    </row>
    <row r="8642" spans="1:2" ht="15.5" x14ac:dyDescent="0.35">
      <c r="A8642" s="343"/>
      <c r="B8642" s="344"/>
    </row>
    <row r="8643" spans="1:2" ht="15.5" x14ac:dyDescent="0.35">
      <c r="A8643" s="343"/>
      <c r="B8643" s="344"/>
    </row>
    <row r="8644" spans="1:2" ht="15.5" x14ac:dyDescent="0.35">
      <c r="A8644" s="343"/>
      <c r="B8644" s="344"/>
    </row>
    <row r="8645" spans="1:2" ht="15.5" x14ac:dyDescent="0.35">
      <c r="A8645" s="343"/>
      <c r="B8645" s="344"/>
    </row>
    <row r="8646" spans="1:2" ht="15.5" x14ac:dyDescent="0.35">
      <c r="A8646" s="343"/>
      <c r="B8646" s="344"/>
    </row>
    <row r="8647" spans="1:2" ht="15.5" x14ac:dyDescent="0.35">
      <c r="A8647" s="343"/>
      <c r="B8647" s="344"/>
    </row>
    <row r="8648" spans="1:2" ht="15.5" x14ac:dyDescent="0.35">
      <c r="A8648" s="343"/>
      <c r="B8648" s="344"/>
    </row>
    <row r="8649" spans="1:2" ht="15.5" x14ac:dyDescent="0.35">
      <c r="A8649" s="343"/>
      <c r="B8649" s="344"/>
    </row>
    <row r="8650" spans="1:2" ht="15.5" x14ac:dyDescent="0.35">
      <c r="A8650" s="343"/>
      <c r="B8650" s="344"/>
    </row>
    <row r="8651" spans="1:2" ht="15.5" x14ac:dyDescent="0.35">
      <c r="A8651" s="343"/>
      <c r="B8651" s="344"/>
    </row>
    <row r="8652" spans="1:2" ht="15.5" x14ac:dyDescent="0.35">
      <c r="A8652" s="343"/>
      <c r="B8652" s="344"/>
    </row>
    <row r="8653" spans="1:2" ht="15.5" x14ac:dyDescent="0.35">
      <c r="A8653" s="343"/>
      <c r="B8653" s="344"/>
    </row>
    <row r="8654" spans="1:2" ht="15.5" x14ac:dyDescent="0.35">
      <c r="A8654" s="343"/>
      <c r="B8654" s="344"/>
    </row>
    <row r="8655" spans="1:2" ht="15.5" x14ac:dyDescent="0.35">
      <c r="A8655" s="343"/>
      <c r="B8655" s="344"/>
    </row>
    <row r="8656" spans="1:2" ht="15.5" x14ac:dyDescent="0.35">
      <c r="A8656" s="343"/>
      <c r="B8656" s="344"/>
    </row>
    <row r="8657" spans="1:2" ht="15.5" x14ac:dyDescent="0.35">
      <c r="A8657" s="343"/>
      <c r="B8657" s="344"/>
    </row>
    <row r="8658" spans="1:2" ht="15.5" x14ac:dyDescent="0.35">
      <c r="A8658" s="343"/>
      <c r="B8658" s="344"/>
    </row>
    <row r="8659" spans="1:2" ht="15.5" x14ac:dyDescent="0.35">
      <c r="A8659" s="343"/>
      <c r="B8659" s="344"/>
    </row>
    <row r="8660" spans="1:2" ht="15.5" x14ac:dyDescent="0.35">
      <c r="A8660" s="343"/>
      <c r="B8660" s="344"/>
    </row>
    <row r="8661" spans="1:2" ht="15.5" x14ac:dyDescent="0.35">
      <c r="A8661" s="343"/>
      <c r="B8661" s="344"/>
    </row>
    <row r="8662" spans="1:2" ht="15.5" x14ac:dyDescent="0.35">
      <c r="A8662" s="343"/>
      <c r="B8662" s="344"/>
    </row>
    <row r="8663" spans="1:2" ht="15.5" x14ac:dyDescent="0.35">
      <c r="A8663" s="343"/>
      <c r="B8663" s="344"/>
    </row>
    <row r="8664" spans="1:2" ht="15.5" x14ac:dyDescent="0.35">
      <c r="A8664" s="343"/>
      <c r="B8664" s="344"/>
    </row>
    <row r="8665" spans="1:2" ht="15.5" x14ac:dyDescent="0.35">
      <c r="A8665" s="343"/>
      <c r="B8665" s="344"/>
    </row>
    <row r="8666" spans="1:2" ht="15.5" x14ac:dyDescent="0.35">
      <c r="A8666" s="343"/>
      <c r="B8666" s="344"/>
    </row>
    <row r="8667" spans="1:2" ht="15.5" x14ac:dyDescent="0.35">
      <c r="A8667" s="343"/>
      <c r="B8667" s="344"/>
    </row>
    <row r="8668" spans="1:2" ht="15.5" x14ac:dyDescent="0.35">
      <c r="A8668" s="343"/>
      <c r="B8668" s="344"/>
    </row>
    <row r="8669" spans="1:2" ht="15.5" x14ac:dyDescent="0.35">
      <c r="A8669" s="343"/>
      <c r="B8669" s="344"/>
    </row>
    <row r="8670" spans="1:2" ht="15.5" x14ac:dyDescent="0.35">
      <c r="A8670" s="343"/>
      <c r="B8670" s="344"/>
    </row>
    <row r="8671" spans="1:2" ht="15.5" x14ac:dyDescent="0.35">
      <c r="A8671" s="343"/>
      <c r="B8671" s="344"/>
    </row>
    <row r="8672" spans="1:2" ht="15.5" x14ac:dyDescent="0.35">
      <c r="A8672" s="343"/>
      <c r="B8672" s="344"/>
    </row>
    <row r="8673" spans="1:2" ht="15.5" x14ac:dyDescent="0.35">
      <c r="A8673" s="343"/>
      <c r="B8673" s="344"/>
    </row>
    <row r="8674" spans="1:2" ht="15.5" x14ac:dyDescent="0.35">
      <c r="A8674" s="343"/>
      <c r="B8674" s="344"/>
    </row>
    <row r="8675" spans="1:2" ht="15.5" x14ac:dyDescent="0.35">
      <c r="A8675" s="343"/>
      <c r="B8675" s="344"/>
    </row>
    <row r="8676" spans="1:2" ht="15.5" x14ac:dyDescent="0.35">
      <c r="A8676" s="343"/>
      <c r="B8676" s="344"/>
    </row>
    <row r="8677" spans="1:2" ht="15.5" x14ac:dyDescent="0.35">
      <c r="A8677" s="343"/>
      <c r="B8677" s="344"/>
    </row>
    <row r="8678" spans="1:2" ht="15.5" x14ac:dyDescent="0.35">
      <c r="A8678" s="343"/>
      <c r="B8678" s="344"/>
    </row>
    <row r="8679" spans="1:2" ht="15.5" x14ac:dyDescent="0.35">
      <c r="A8679" s="343"/>
      <c r="B8679" s="344"/>
    </row>
    <row r="8680" spans="1:2" ht="15.5" x14ac:dyDescent="0.35">
      <c r="A8680" s="343"/>
      <c r="B8680" s="344"/>
    </row>
    <row r="8681" spans="1:2" ht="15.5" x14ac:dyDescent="0.35">
      <c r="A8681" s="343"/>
      <c r="B8681" s="344"/>
    </row>
    <row r="8682" spans="1:2" ht="15.5" x14ac:dyDescent="0.35">
      <c r="A8682" s="343"/>
      <c r="B8682" s="344"/>
    </row>
    <row r="8683" spans="1:2" ht="15.5" x14ac:dyDescent="0.35">
      <c r="A8683" s="343"/>
      <c r="B8683" s="344"/>
    </row>
    <row r="8684" spans="1:2" ht="15.5" x14ac:dyDescent="0.35">
      <c r="A8684" s="343"/>
      <c r="B8684" s="344"/>
    </row>
    <row r="8685" spans="1:2" ht="15.5" x14ac:dyDescent="0.35">
      <c r="A8685" s="343"/>
      <c r="B8685" s="344"/>
    </row>
    <row r="8686" spans="1:2" ht="15.5" x14ac:dyDescent="0.35">
      <c r="A8686" s="343"/>
      <c r="B8686" s="344"/>
    </row>
    <row r="8687" spans="1:2" ht="15.5" x14ac:dyDescent="0.35">
      <c r="A8687" s="343"/>
      <c r="B8687" s="344"/>
    </row>
    <row r="8688" spans="1:2" ht="15.5" x14ac:dyDescent="0.35">
      <c r="A8688" s="343"/>
      <c r="B8688" s="344"/>
    </row>
    <row r="8689" spans="1:2" ht="15.5" x14ac:dyDescent="0.35">
      <c r="A8689" s="343"/>
      <c r="B8689" s="344"/>
    </row>
    <row r="8690" spans="1:2" ht="15.5" x14ac:dyDescent="0.35">
      <c r="A8690" s="343"/>
      <c r="B8690" s="344"/>
    </row>
    <row r="8691" spans="1:2" ht="15.5" x14ac:dyDescent="0.35">
      <c r="A8691" s="343"/>
      <c r="B8691" s="344"/>
    </row>
    <row r="8692" spans="1:2" ht="15.5" x14ac:dyDescent="0.35">
      <c r="A8692" s="343"/>
      <c r="B8692" s="344"/>
    </row>
    <row r="8693" spans="1:2" ht="15.5" x14ac:dyDescent="0.35">
      <c r="A8693" s="343"/>
      <c r="B8693" s="344"/>
    </row>
    <row r="8694" spans="1:2" ht="15.5" x14ac:dyDescent="0.35">
      <c r="A8694" s="343"/>
      <c r="B8694" s="344"/>
    </row>
    <row r="8695" spans="1:2" ht="15.5" x14ac:dyDescent="0.35">
      <c r="A8695" s="343"/>
      <c r="B8695" s="344"/>
    </row>
    <row r="8696" spans="1:2" ht="15.5" x14ac:dyDescent="0.35">
      <c r="A8696" s="343"/>
      <c r="B8696" s="344"/>
    </row>
    <row r="8697" spans="1:2" ht="15.5" x14ac:dyDescent="0.35">
      <c r="A8697" s="343"/>
      <c r="B8697" s="344"/>
    </row>
    <row r="8698" spans="1:2" ht="15.5" x14ac:dyDescent="0.35">
      <c r="A8698" s="343"/>
      <c r="B8698" s="344"/>
    </row>
    <row r="8699" spans="1:2" ht="15.5" x14ac:dyDescent="0.35">
      <c r="A8699" s="343"/>
      <c r="B8699" s="344"/>
    </row>
    <row r="8700" spans="1:2" ht="15.5" x14ac:dyDescent="0.35">
      <c r="A8700" s="343"/>
      <c r="B8700" s="344"/>
    </row>
    <row r="8701" spans="1:2" ht="15.5" x14ac:dyDescent="0.35">
      <c r="A8701" s="343"/>
      <c r="B8701" s="344"/>
    </row>
    <row r="8702" spans="1:2" ht="15.5" x14ac:dyDescent="0.35">
      <c r="A8702" s="343"/>
      <c r="B8702" s="344"/>
    </row>
    <row r="8703" spans="1:2" ht="15.5" x14ac:dyDescent="0.35">
      <c r="A8703" s="343"/>
      <c r="B8703" s="344"/>
    </row>
    <row r="8704" spans="1:2" ht="15.5" x14ac:dyDescent="0.35">
      <c r="A8704" s="343"/>
      <c r="B8704" s="344"/>
    </row>
    <row r="8705" spans="1:2" ht="15.5" x14ac:dyDescent="0.35">
      <c r="A8705" s="343"/>
      <c r="B8705" s="344"/>
    </row>
    <row r="8706" spans="1:2" ht="15.5" x14ac:dyDescent="0.35">
      <c r="A8706" s="343"/>
      <c r="B8706" s="344"/>
    </row>
    <row r="8707" spans="1:2" ht="15.5" x14ac:dyDescent="0.35">
      <c r="A8707" s="343"/>
      <c r="B8707" s="344"/>
    </row>
    <row r="8708" spans="1:2" ht="15.5" x14ac:dyDescent="0.35">
      <c r="A8708" s="343"/>
      <c r="B8708" s="344"/>
    </row>
    <row r="8709" spans="1:2" ht="15.5" x14ac:dyDescent="0.35">
      <c r="A8709" s="343"/>
      <c r="B8709" s="344"/>
    </row>
    <row r="8710" spans="1:2" ht="15.5" x14ac:dyDescent="0.35">
      <c r="A8710" s="343"/>
      <c r="B8710" s="344"/>
    </row>
    <row r="8711" spans="1:2" ht="15.5" x14ac:dyDescent="0.35">
      <c r="A8711" s="343"/>
      <c r="B8711" s="344"/>
    </row>
    <row r="8712" spans="1:2" ht="15.5" x14ac:dyDescent="0.35">
      <c r="A8712" s="343"/>
      <c r="B8712" s="344"/>
    </row>
    <row r="8713" spans="1:2" ht="15.5" x14ac:dyDescent="0.35">
      <c r="A8713" s="343"/>
      <c r="B8713" s="344"/>
    </row>
    <row r="8714" spans="1:2" ht="15.5" x14ac:dyDescent="0.35">
      <c r="A8714" s="343"/>
      <c r="B8714" s="344"/>
    </row>
    <row r="8715" spans="1:2" ht="15.5" x14ac:dyDescent="0.35">
      <c r="A8715" s="343"/>
      <c r="B8715" s="344"/>
    </row>
    <row r="8716" spans="1:2" ht="15.5" x14ac:dyDescent="0.35">
      <c r="A8716" s="343"/>
      <c r="B8716" s="344"/>
    </row>
    <row r="8717" spans="1:2" ht="15.5" x14ac:dyDescent="0.35">
      <c r="A8717" s="343"/>
      <c r="B8717" s="344"/>
    </row>
    <row r="8718" spans="1:2" ht="15.5" x14ac:dyDescent="0.35">
      <c r="A8718" s="343"/>
      <c r="B8718" s="344"/>
    </row>
    <row r="8719" spans="1:2" ht="15.5" x14ac:dyDescent="0.35">
      <c r="A8719" s="343"/>
      <c r="B8719" s="344"/>
    </row>
    <row r="8720" spans="1:2" ht="15.5" x14ac:dyDescent="0.35">
      <c r="A8720" s="343"/>
      <c r="B8720" s="344"/>
    </row>
    <row r="8721" spans="1:2" ht="15.5" x14ac:dyDescent="0.35">
      <c r="A8721" s="343"/>
      <c r="B8721" s="344"/>
    </row>
    <row r="8722" spans="1:2" ht="15.5" x14ac:dyDescent="0.35">
      <c r="A8722" s="343"/>
      <c r="B8722" s="344"/>
    </row>
    <row r="8723" spans="1:2" ht="15.5" x14ac:dyDescent="0.35">
      <c r="A8723" s="343"/>
      <c r="B8723" s="344"/>
    </row>
    <row r="8724" spans="1:2" ht="15.5" x14ac:dyDescent="0.35">
      <c r="A8724" s="343"/>
      <c r="B8724" s="344"/>
    </row>
    <row r="8725" spans="1:2" ht="15.5" x14ac:dyDescent="0.35">
      <c r="A8725" s="343"/>
      <c r="B8725" s="344"/>
    </row>
    <row r="8726" spans="1:2" ht="15.5" x14ac:dyDescent="0.35">
      <c r="A8726" s="343"/>
      <c r="B8726" s="344"/>
    </row>
    <row r="8727" spans="1:2" ht="15.5" x14ac:dyDescent="0.35">
      <c r="A8727" s="343"/>
      <c r="B8727" s="344"/>
    </row>
    <row r="8728" spans="1:2" ht="15.5" x14ac:dyDescent="0.35">
      <c r="A8728" s="343"/>
      <c r="B8728" s="344"/>
    </row>
    <row r="8729" spans="1:2" ht="15.5" x14ac:dyDescent="0.35">
      <c r="A8729" s="343"/>
      <c r="B8729" s="344"/>
    </row>
    <row r="8730" spans="1:2" ht="15.5" x14ac:dyDescent="0.35">
      <c r="A8730" s="343"/>
      <c r="B8730" s="344"/>
    </row>
    <row r="8731" spans="1:2" ht="15.5" x14ac:dyDescent="0.35">
      <c r="A8731" s="343"/>
      <c r="B8731" s="344"/>
    </row>
    <row r="8732" spans="1:2" ht="15.5" x14ac:dyDescent="0.35">
      <c r="A8732" s="343"/>
      <c r="B8732" s="344"/>
    </row>
    <row r="8733" spans="1:2" ht="15.5" x14ac:dyDescent="0.35">
      <c r="A8733" s="343"/>
      <c r="B8733" s="344"/>
    </row>
    <row r="8734" spans="1:2" ht="15.5" x14ac:dyDescent="0.35">
      <c r="A8734" s="343"/>
      <c r="B8734" s="344"/>
    </row>
    <row r="8735" spans="1:2" ht="15.5" x14ac:dyDescent="0.35">
      <c r="A8735" s="343"/>
      <c r="B8735" s="344"/>
    </row>
    <row r="8736" spans="1:2" ht="15.5" x14ac:dyDescent="0.35">
      <c r="A8736" s="343"/>
      <c r="B8736" s="344"/>
    </row>
    <row r="8737" spans="1:2" ht="15.5" x14ac:dyDescent="0.35">
      <c r="A8737" s="343"/>
      <c r="B8737" s="344"/>
    </row>
    <row r="8738" spans="1:2" ht="15.5" x14ac:dyDescent="0.35">
      <c r="A8738" s="343"/>
      <c r="B8738" s="344"/>
    </row>
    <row r="8739" spans="1:2" ht="15.5" x14ac:dyDescent="0.35">
      <c r="A8739" s="343"/>
      <c r="B8739" s="344"/>
    </row>
    <row r="8740" spans="1:2" ht="15.5" x14ac:dyDescent="0.35">
      <c r="A8740" s="343"/>
      <c r="B8740" s="344"/>
    </row>
    <row r="8741" spans="1:2" ht="15.5" x14ac:dyDescent="0.35">
      <c r="A8741" s="343"/>
      <c r="B8741" s="344"/>
    </row>
    <row r="8742" spans="1:2" ht="15.5" x14ac:dyDescent="0.35">
      <c r="A8742" s="343"/>
      <c r="B8742" s="344"/>
    </row>
    <row r="8743" spans="1:2" ht="15.5" x14ac:dyDescent="0.35">
      <c r="A8743" s="343"/>
      <c r="B8743" s="344"/>
    </row>
    <row r="8744" spans="1:2" ht="15.5" x14ac:dyDescent="0.35">
      <c r="A8744" s="343"/>
      <c r="B8744" s="344"/>
    </row>
    <row r="8745" spans="1:2" ht="15.5" x14ac:dyDescent="0.35">
      <c r="A8745" s="343"/>
      <c r="B8745" s="344"/>
    </row>
    <row r="8746" spans="1:2" ht="15.5" x14ac:dyDescent="0.35">
      <c r="A8746" s="343"/>
      <c r="B8746" s="344"/>
    </row>
    <row r="8747" spans="1:2" ht="15.5" x14ac:dyDescent="0.35">
      <c r="A8747" s="343"/>
      <c r="B8747" s="344"/>
    </row>
    <row r="8748" spans="1:2" ht="15.5" x14ac:dyDescent="0.35">
      <c r="A8748" s="343"/>
      <c r="B8748" s="344"/>
    </row>
    <row r="8749" spans="1:2" ht="15.5" x14ac:dyDescent="0.35">
      <c r="A8749" s="343"/>
      <c r="B8749" s="344"/>
    </row>
    <row r="8750" spans="1:2" ht="15.5" x14ac:dyDescent="0.35">
      <c r="A8750" s="343"/>
      <c r="B8750" s="344"/>
    </row>
    <row r="8751" spans="1:2" ht="15.5" x14ac:dyDescent="0.35">
      <c r="A8751" s="343"/>
      <c r="B8751" s="344"/>
    </row>
    <row r="8752" spans="1:2" ht="15.5" x14ac:dyDescent="0.35">
      <c r="A8752" s="343"/>
      <c r="B8752" s="344"/>
    </row>
    <row r="8753" spans="1:2" ht="15.5" x14ac:dyDescent="0.35">
      <c r="A8753" s="343"/>
      <c r="B8753" s="344"/>
    </row>
    <row r="8754" spans="1:2" ht="15.5" x14ac:dyDescent="0.35">
      <c r="A8754" s="343"/>
      <c r="B8754" s="344"/>
    </row>
    <row r="8755" spans="1:2" ht="15.5" x14ac:dyDescent="0.35">
      <c r="A8755" s="343"/>
      <c r="B8755" s="344"/>
    </row>
    <row r="8756" spans="1:2" ht="15.5" x14ac:dyDescent="0.35">
      <c r="A8756" s="343"/>
      <c r="B8756" s="344"/>
    </row>
    <row r="8757" spans="1:2" ht="15.5" x14ac:dyDescent="0.35">
      <c r="A8757" s="343"/>
      <c r="B8757" s="344"/>
    </row>
    <row r="8758" spans="1:2" ht="15.5" x14ac:dyDescent="0.35">
      <c r="A8758" s="343"/>
      <c r="B8758" s="344"/>
    </row>
    <row r="8759" spans="1:2" ht="15.5" x14ac:dyDescent="0.35">
      <c r="A8759" s="343"/>
      <c r="B8759" s="344"/>
    </row>
    <row r="8760" spans="1:2" ht="15.5" x14ac:dyDescent="0.35">
      <c r="A8760" s="343"/>
      <c r="B8760" s="344"/>
    </row>
    <row r="8761" spans="1:2" ht="15.5" x14ac:dyDescent="0.35">
      <c r="A8761" s="343"/>
      <c r="B8761" s="344"/>
    </row>
    <row r="8762" spans="1:2" ht="15.5" x14ac:dyDescent="0.35">
      <c r="A8762" s="343"/>
      <c r="B8762" s="344"/>
    </row>
    <row r="8763" spans="1:2" ht="15.5" x14ac:dyDescent="0.35">
      <c r="A8763" s="343"/>
      <c r="B8763" s="344"/>
    </row>
    <row r="8764" spans="1:2" ht="15.5" x14ac:dyDescent="0.35">
      <c r="A8764" s="343"/>
      <c r="B8764" s="344"/>
    </row>
    <row r="8765" spans="1:2" ht="15.5" x14ac:dyDescent="0.35">
      <c r="A8765" s="343"/>
      <c r="B8765" s="344"/>
    </row>
    <row r="8766" spans="1:2" ht="15.5" x14ac:dyDescent="0.35">
      <c r="A8766" s="343"/>
      <c r="B8766" s="344"/>
    </row>
    <row r="8767" spans="1:2" ht="15.5" x14ac:dyDescent="0.35">
      <c r="A8767" s="343"/>
      <c r="B8767" s="344"/>
    </row>
    <row r="8768" spans="1:2" ht="15.5" x14ac:dyDescent="0.35">
      <c r="A8768" s="343"/>
      <c r="B8768" s="344"/>
    </row>
    <row r="8769" spans="1:2" ht="15.5" x14ac:dyDescent="0.35">
      <c r="A8769" s="343"/>
      <c r="B8769" s="344"/>
    </row>
    <row r="8770" spans="1:2" ht="15.5" x14ac:dyDescent="0.35">
      <c r="A8770" s="343"/>
      <c r="B8770" s="344"/>
    </row>
    <row r="8771" spans="1:2" ht="15.5" x14ac:dyDescent="0.35">
      <c r="A8771" s="343"/>
      <c r="B8771" s="344"/>
    </row>
    <row r="8772" spans="1:2" ht="15.5" x14ac:dyDescent="0.35">
      <c r="A8772" s="343"/>
      <c r="B8772" s="344"/>
    </row>
    <row r="8773" spans="1:2" ht="15.5" x14ac:dyDescent="0.35">
      <c r="A8773" s="343"/>
      <c r="B8773" s="344"/>
    </row>
    <row r="8774" spans="1:2" ht="15.5" x14ac:dyDescent="0.35">
      <c r="A8774" s="343"/>
      <c r="B8774" s="346"/>
    </row>
    <row r="8775" spans="1:2" ht="15.5" x14ac:dyDescent="0.35">
      <c r="A8775" s="343"/>
      <c r="B8775" s="346"/>
    </row>
    <row r="8776" spans="1:2" ht="15.5" x14ac:dyDescent="0.35">
      <c r="A8776" s="343"/>
      <c r="B8776" s="346"/>
    </row>
    <row r="8777" spans="1:2" ht="15.5" x14ac:dyDescent="0.35">
      <c r="A8777" s="343"/>
      <c r="B8777" s="346"/>
    </row>
    <row r="8778" spans="1:2" ht="15.5" x14ac:dyDescent="0.35">
      <c r="A8778" s="343"/>
      <c r="B8778" s="346"/>
    </row>
    <row r="8779" spans="1:2" ht="15.5" x14ac:dyDescent="0.35">
      <c r="A8779" s="343"/>
      <c r="B8779" s="346"/>
    </row>
    <row r="8780" spans="1:2" ht="15.5" x14ac:dyDescent="0.35">
      <c r="A8780" s="343"/>
      <c r="B8780" s="346"/>
    </row>
    <row r="8781" spans="1:2" ht="15.5" x14ac:dyDescent="0.35">
      <c r="A8781" s="343"/>
      <c r="B8781" s="346"/>
    </row>
    <row r="8782" spans="1:2" ht="15.5" x14ac:dyDescent="0.35">
      <c r="A8782" s="343"/>
      <c r="B8782" s="346"/>
    </row>
    <row r="8783" spans="1:2" ht="15.5" x14ac:dyDescent="0.35">
      <c r="A8783" s="343"/>
      <c r="B8783" s="346"/>
    </row>
    <row r="8784" spans="1:2" ht="15.5" x14ac:dyDescent="0.35">
      <c r="A8784" s="343"/>
      <c r="B8784" s="346"/>
    </row>
    <row r="8785" spans="1:2" ht="15.5" x14ac:dyDescent="0.35">
      <c r="A8785" s="343"/>
      <c r="B8785" s="346"/>
    </row>
    <row r="8786" spans="1:2" ht="15.5" x14ac:dyDescent="0.35">
      <c r="A8786" s="343"/>
      <c r="B8786" s="346"/>
    </row>
    <row r="8787" spans="1:2" ht="15.5" x14ac:dyDescent="0.35">
      <c r="A8787" s="343"/>
      <c r="B8787" s="346"/>
    </row>
    <row r="8788" spans="1:2" ht="15.5" x14ac:dyDescent="0.35">
      <c r="A8788" s="343"/>
      <c r="B8788" s="346"/>
    </row>
    <row r="8789" spans="1:2" ht="15.5" x14ac:dyDescent="0.35">
      <c r="A8789" s="343"/>
      <c r="B8789" s="346"/>
    </row>
    <row r="8790" spans="1:2" ht="15.5" x14ac:dyDescent="0.35">
      <c r="A8790" s="343"/>
      <c r="B8790" s="346"/>
    </row>
    <row r="8791" spans="1:2" ht="15.5" x14ac:dyDescent="0.35">
      <c r="A8791" s="343"/>
      <c r="B8791" s="346"/>
    </row>
    <row r="8792" spans="1:2" ht="15.5" x14ac:dyDescent="0.35">
      <c r="A8792" s="343"/>
      <c r="B8792" s="346"/>
    </row>
    <row r="8793" spans="1:2" ht="15.5" x14ac:dyDescent="0.35">
      <c r="A8793" s="343"/>
      <c r="B8793" s="346"/>
    </row>
    <row r="8794" spans="1:2" ht="15.5" x14ac:dyDescent="0.35">
      <c r="A8794" s="343"/>
      <c r="B8794" s="346"/>
    </row>
    <row r="8795" spans="1:2" ht="15.5" x14ac:dyDescent="0.35">
      <c r="A8795" s="343"/>
      <c r="B8795" s="346"/>
    </row>
    <row r="8796" spans="1:2" ht="15.5" x14ac:dyDescent="0.35">
      <c r="A8796" s="343"/>
      <c r="B8796" s="346"/>
    </row>
    <row r="8797" spans="1:2" ht="15.5" x14ac:dyDescent="0.35">
      <c r="A8797" s="343"/>
      <c r="B8797" s="346"/>
    </row>
    <row r="8798" spans="1:2" ht="15.5" x14ac:dyDescent="0.35">
      <c r="A8798" s="343"/>
      <c r="B8798" s="346"/>
    </row>
    <row r="8799" spans="1:2" ht="15.5" x14ac:dyDescent="0.35">
      <c r="A8799" s="343"/>
      <c r="B8799" s="346"/>
    </row>
    <row r="8800" spans="1:2" ht="15.5" x14ac:dyDescent="0.35">
      <c r="A8800" s="343"/>
      <c r="B8800" s="346"/>
    </row>
    <row r="8801" spans="1:2" ht="15.5" x14ac:dyDescent="0.35">
      <c r="A8801" s="343"/>
      <c r="B8801" s="346"/>
    </row>
    <row r="8802" spans="1:2" ht="15.5" x14ac:dyDescent="0.35">
      <c r="A8802" s="343"/>
      <c r="B8802" s="346"/>
    </row>
    <row r="8803" spans="1:2" ht="15.5" x14ac:dyDescent="0.35">
      <c r="A8803" s="343"/>
      <c r="B8803" s="346"/>
    </row>
    <row r="8804" spans="1:2" ht="15.5" x14ac:dyDescent="0.35">
      <c r="A8804" s="343"/>
      <c r="B8804" s="346"/>
    </row>
    <row r="8805" spans="1:2" ht="15.5" x14ac:dyDescent="0.35">
      <c r="A8805" s="343"/>
      <c r="B8805" s="346"/>
    </row>
    <row r="8806" spans="1:2" ht="15.5" x14ac:dyDescent="0.35">
      <c r="A8806" s="343"/>
      <c r="B8806" s="346"/>
    </row>
    <row r="8807" spans="1:2" ht="15.5" x14ac:dyDescent="0.35">
      <c r="A8807" s="343"/>
      <c r="B8807" s="346"/>
    </row>
    <row r="8808" spans="1:2" ht="15.5" x14ac:dyDescent="0.35">
      <c r="A8808" s="343"/>
      <c r="B8808" s="346"/>
    </row>
    <row r="8809" spans="1:2" ht="15.5" x14ac:dyDescent="0.35">
      <c r="A8809" s="343"/>
      <c r="B8809" s="346"/>
    </row>
    <row r="8810" spans="1:2" ht="15.5" x14ac:dyDescent="0.35">
      <c r="A8810" s="343"/>
      <c r="B8810" s="346"/>
    </row>
    <row r="8811" spans="1:2" ht="15.5" x14ac:dyDescent="0.35">
      <c r="A8811" s="343"/>
      <c r="B8811" s="346"/>
    </row>
    <row r="8812" spans="1:2" ht="15.5" x14ac:dyDescent="0.35">
      <c r="A8812" s="343"/>
      <c r="B8812" s="346"/>
    </row>
    <row r="8813" spans="1:2" ht="15.5" x14ac:dyDescent="0.35">
      <c r="A8813" s="343"/>
      <c r="B8813" s="346"/>
    </row>
    <row r="8814" spans="1:2" ht="15.5" x14ac:dyDescent="0.35">
      <c r="A8814" s="343"/>
      <c r="B8814" s="346"/>
    </row>
    <row r="8815" spans="1:2" ht="15.5" x14ac:dyDescent="0.35">
      <c r="A8815" s="343"/>
      <c r="B8815" s="346"/>
    </row>
    <row r="8816" spans="1:2" ht="15.5" x14ac:dyDescent="0.35">
      <c r="A8816" s="343"/>
      <c r="B8816" s="346"/>
    </row>
    <row r="8817" spans="1:2" ht="15.5" x14ac:dyDescent="0.35">
      <c r="A8817" s="343"/>
      <c r="B8817" s="346"/>
    </row>
    <row r="8818" spans="1:2" ht="15.5" x14ac:dyDescent="0.35">
      <c r="A8818" s="343"/>
      <c r="B8818" s="346"/>
    </row>
    <row r="8819" spans="1:2" ht="15.5" x14ac:dyDescent="0.35">
      <c r="A8819" s="343"/>
      <c r="B8819" s="346"/>
    </row>
    <row r="8820" spans="1:2" ht="15.5" x14ac:dyDescent="0.35">
      <c r="A8820" s="343"/>
      <c r="B8820" s="346"/>
    </row>
    <row r="8821" spans="1:2" ht="15.5" x14ac:dyDescent="0.35">
      <c r="A8821" s="343"/>
      <c r="B8821" s="346"/>
    </row>
    <row r="8822" spans="1:2" ht="15.5" x14ac:dyDescent="0.35">
      <c r="A8822" s="343"/>
      <c r="B8822" s="346"/>
    </row>
    <row r="8823" spans="1:2" ht="15.5" x14ac:dyDescent="0.35">
      <c r="A8823" s="343"/>
      <c r="B8823" s="346"/>
    </row>
    <row r="8824" spans="1:2" ht="15.5" x14ac:dyDescent="0.35">
      <c r="A8824" s="343"/>
      <c r="B8824" s="346"/>
    </row>
    <row r="8825" spans="1:2" ht="15.5" x14ac:dyDescent="0.35">
      <c r="A8825" s="343"/>
      <c r="B8825" s="346"/>
    </row>
    <row r="8826" spans="1:2" ht="15.5" x14ac:dyDescent="0.35">
      <c r="A8826" s="343"/>
      <c r="B8826" s="346"/>
    </row>
    <row r="8827" spans="1:2" ht="15.5" x14ac:dyDescent="0.35">
      <c r="A8827" s="343"/>
      <c r="B8827" s="346"/>
    </row>
    <row r="8828" spans="1:2" ht="15.5" x14ac:dyDescent="0.35">
      <c r="A8828" s="343"/>
      <c r="B8828" s="346"/>
    </row>
    <row r="8829" spans="1:2" ht="15.5" x14ac:dyDescent="0.35">
      <c r="A8829" s="343"/>
      <c r="B8829" s="346"/>
    </row>
    <row r="8830" spans="1:2" ht="15.5" x14ac:dyDescent="0.35">
      <c r="A8830" s="343"/>
      <c r="B8830" s="346"/>
    </row>
    <row r="8831" spans="1:2" ht="15.5" x14ac:dyDescent="0.35">
      <c r="A8831" s="343"/>
      <c r="B8831" s="346"/>
    </row>
    <row r="8832" spans="1:2" ht="15.5" x14ac:dyDescent="0.35">
      <c r="A8832" s="343"/>
      <c r="B8832" s="346"/>
    </row>
    <row r="8833" spans="1:2" ht="15.5" x14ac:dyDescent="0.35">
      <c r="A8833" s="343"/>
      <c r="B8833" s="346"/>
    </row>
    <row r="8834" spans="1:2" ht="15.5" x14ac:dyDescent="0.35">
      <c r="A8834" s="343"/>
      <c r="B8834" s="346"/>
    </row>
    <row r="8835" spans="1:2" ht="15.5" x14ac:dyDescent="0.35">
      <c r="A8835" s="343"/>
      <c r="B8835" s="346"/>
    </row>
    <row r="8836" spans="1:2" ht="15.5" x14ac:dyDescent="0.35">
      <c r="A8836" s="343"/>
      <c r="B8836" s="346"/>
    </row>
    <row r="8837" spans="1:2" ht="15.5" x14ac:dyDescent="0.35">
      <c r="A8837" s="343"/>
      <c r="B8837" s="346"/>
    </row>
    <row r="8838" spans="1:2" ht="15.5" x14ac:dyDescent="0.35">
      <c r="A8838" s="343"/>
      <c r="B8838" s="346"/>
    </row>
    <row r="8839" spans="1:2" ht="15.5" x14ac:dyDescent="0.35">
      <c r="A8839" s="343"/>
      <c r="B8839" s="346"/>
    </row>
    <row r="8840" spans="1:2" ht="15.5" x14ac:dyDescent="0.35">
      <c r="A8840" s="343"/>
      <c r="B8840" s="346"/>
    </row>
    <row r="8841" spans="1:2" ht="15.5" x14ac:dyDescent="0.35">
      <c r="A8841" s="343"/>
      <c r="B8841" s="346"/>
    </row>
    <row r="8842" spans="1:2" ht="15.5" x14ac:dyDescent="0.35">
      <c r="A8842" s="343"/>
      <c r="B8842" s="346"/>
    </row>
    <row r="8843" spans="1:2" ht="15.5" x14ac:dyDescent="0.35">
      <c r="A8843" s="343"/>
      <c r="B8843" s="346"/>
    </row>
    <row r="8844" spans="1:2" ht="15.5" x14ac:dyDescent="0.35">
      <c r="A8844" s="343"/>
      <c r="B8844" s="346"/>
    </row>
    <row r="8845" spans="1:2" ht="15.5" x14ac:dyDescent="0.35">
      <c r="A8845" s="343"/>
      <c r="B8845" s="346"/>
    </row>
    <row r="8846" spans="1:2" ht="15.5" x14ac:dyDescent="0.35">
      <c r="A8846" s="343"/>
      <c r="B8846" s="346"/>
    </row>
    <row r="8847" spans="1:2" ht="15.5" x14ac:dyDescent="0.35">
      <c r="A8847" s="343"/>
      <c r="B8847" s="346"/>
    </row>
    <row r="8848" spans="1:2" ht="15.5" x14ac:dyDescent="0.35">
      <c r="A8848" s="343"/>
      <c r="B8848" s="346"/>
    </row>
    <row r="8849" spans="1:2" ht="15.5" x14ac:dyDescent="0.35">
      <c r="A8849" s="343"/>
      <c r="B8849" s="346"/>
    </row>
    <row r="8850" spans="1:2" ht="15.5" x14ac:dyDescent="0.35">
      <c r="A8850" s="343"/>
      <c r="B8850" s="346"/>
    </row>
    <row r="8851" spans="1:2" ht="15.5" x14ac:dyDescent="0.35">
      <c r="A8851" s="343"/>
      <c r="B8851" s="346"/>
    </row>
    <row r="8852" spans="1:2" ht="15.5" x14ac:dyDescent="0.35">
      <c r="A8852" s="343"/>
      <c r="B8852" s="346"/>
    </row>
    <row r="8853" spans="1:2" ht="15.5" x14ac:dyDescent="0.35">
      <c r="A8853" s="343"/>
      <c r="B8853" s="346"/>
    </row>
    <row r="8854" spans="1:2" ht="15.5" x14ac:dyDescent="0.35">
      <c r="A8854" s="343"/>
      <c r="B8854" s="346"/>
    </row>
    <row r="8855" spans="1:2" ht="15.5" x14ac:dyDescent="0.35">
      <c r="A8855" s="343"/>
      <c r="B8855" s="346"/>
    </row>
    <row r="8856" spans="1:2" ht="15.5" x14ac:dyDescent="0.35">
      <c r="A8856" s="343"/>
      <c r="B8856" s="346"/>
    </row>
    <row r="8857" spans="1:2" ht="15.5" x14ac:dyDescent="0.35">
      <c r="A8857" s="343"/>
      <c r="B8857" s="346"/>
    </row>
    <row r="8858" spans="1:2" ht="15.5" x14ac:dyDescent="0.35">
      <c r="A8858" s="343"/>
      <c r="B8858" s="346"/>
    </row>
    <row r="8859" spans="1:2" ht="15.5" x14ac:dyDescent="0.35">
      <c r="A8859" s="343"/>
      <c r="B8859" s="346"/>
    </row>
    <row r="8860" spans="1:2" ht="15.5" x14ac:dyDescent="0.35">
      <c r="A8860" s="343"/>
      <c r="B8860" s="346"/>
    </row>
    <row r="8861" spans="1:2" ht="15.5" x14ac:dyDescent="0.35">
      <c r="A8861" s="343"/>
      <c r="B8861" s="346"/>
    </row>
    <row r="8862" spans="1:2" ht="15.5" x14ac:dyDescent="0.35">
      <c r="A8862" s="343"/>
      <c r="B8862" s="346"/>
    </row>
    <row r="8863" spans="1:2" ht="15.5" x14ac:dyDescent="0.35">
      <c r="A8863" s="343"/>
      <c r="B8863" s="346"/>
    </row>
    <row r="8864" spans="1:2" ht="15.5" x14ac:dyDescent="0.35">
      <c r="A8864" s="343"/>
      <c r="B8864" s="346"/>
    </row>
    <row r="8865" spans="1:2" ht="15.5" x14ac:dyDescent="0.35">
      <c r="A8865" s="343"/>
      <c r="B8865" s="346"/>
    </row>
    <row r="8866" spans="1:2" ht="15.5" x14ac:dyDescent="0.35">
      <c r="A8866" s="343"/>
      <c r="B8866" s="346"/>
    </row>
    <row r="8867" spans="1:2" ht="15.5" x14ac:dyDescent="0.35">
      <c r="A8867" s="343"/>
      <c r="B8867" s="346"/>
    </row>
    <row r="8868" spans="1:2" ht="15.5" x14ac:dyDescent="0.35">
      <c r="A8868" s="343"/>
      <c r="B8868" s="346"/>
    </row>
    <row r="8869" spans="1:2" ht="15.5" x14ac:dyDescent="0.35">
      <c r="A8869" s="343"/>
      <c r="B8869" s="346"/>
    </row>
    <row r="8870" spans="1:2" ht="15.5" x14ac:dyDescent="0.35">
      <c r="A8870" s="343"/>
      <c r="B8870" s="346"/>
    </row>
    <row r="8871" spans="1:2" ht="15.5" x14ac:dyDescent="0.35">
      <c r="A8871" s="343"/>
      <c r="B8871" s="346"/>
    </row>
    <row r="8872" spans="1:2" ht="15.5" x14ac:dyDescent="0.35">
      <c r="A8872" s="343"/>
      <c r="B8872" s="346"/>
    </row>
    <row r="8873" spans="1:2" ht="15.5" x14ac:dyDescent="0.35">
      <c r="A8873" s="343"/>
      <c r="B8873" s="346"/>
    </row>
    <row r="8874" spans="1:2" ht="15.5" x14ac:dyDescent="0.35">
      <c r="A8874" s="343"/>
      <c r="B8874" s="346"/>
    </row>
    <row r="8875" spans="1:2" ht="15.5" x14ac:dyDescent="0.35">
      <c r="A8875" s="343"/>
      <c r="B8875" s="346"/>
    </row>
    <row r="8876" spans="1:2" ht="15.5" x14ac:dyDescent="0.35">
      <c r="A8876" s="343"/>
      <c r="B8876" s="346"/>
    </row>
    <row r="8877" spans="1:2" ht="15.5" x14ac:dyDescent="0.35">
      <c r="A8877" s="343"/>
      <c r="B8877" s="346"/>
    </row>
    <row r="8878" spans="1:2" ht="15.5" x14ac:dyDescent="0.35">
      <c r="A8878" s="343"/>
      <c r="B8878" s="346"/>
    </row>
    <row r="8879" spans="1:2" ht="15.5" x14ac:dyDescent="0.35">
      <c r="A8879" s="343"/>
      <c r="B8879" s="346"/>
    </row>
    <row r="8880" spans="1:2" ht="15.5" x14ac:dyDescent="0.35">
      <c r="A8880" s="343"/>
      <c r="B8880" s="346"/>
    </row>
    <row r="8881" spans="1:2" ht="15.5" x14ac:dyDescent="0.35">
      <c r="A8881" s="343"/>
      <c r="B8881" s="346"/>
    </row>
    <row r="8882" spans="1:2" ht="15.5" x14ac:dyDescent="0.35">
      <c r="A8882" s="343"/>
      <c r="B8882" s="346"/>
    </row>
    <row r="8883" spans="1:2" ht="15.5" x14ac:dyDescent="0.35">
      <c r="A8883" s="343"/>
      <c r="B8883" s="346"/>
    </row>
    <row r="8884" spans="1:2" ht="15.5" x14ac:dyDescent="0.35">
      <c r="A8884" s="343"/>
      <c r="B8884" s="346"/>
    </row>
    <row r="8885" spans="1:2" ht="15.5" x14ac:dyDescent="0.35">
      <c r="A8885" s="343"/>
      <c r="B8885" s="346"/>
    </row>
    <row r="8886" spans="1:2" ht="15.5" x14ac:dyDescent="0.35">
      <c r="A8886" s="343"/>
      <c r="B8886" s="346"/>
    </row>
    <row r="8887" spans="1:2" ht="15.5" x14ac:dyDescent="0.35">
      <c r="A8887" s="343"/>
      <c r="B8887" s="346"/>
    </row>
    <row r="8888" spans="1:2" ht="15.5" x14ac:dyDescent="0.35">
      <c r="A8888" s="343"/>
      <c r="B8888" s="346"/>
    </row>
    <row r="8889" spans="1:2" ht="15.5" x14ac:dyDescent="0.35">
      <c r="A8889" s="343"/>
      <c r="B8889" s="346"/>
    </row>
    <row r="8890" spans="1:2" ht="15.5" x14ac:dyDescent="0.35">
      <c r="A8890" s="343"/>
      <c r="B8890" s="346"/>
    </row>
    <row r="8891" spans="1:2" ht="15.5" x14ac:dyDescent="0.35">
      <c r="A8891" s="343"/>
      <c r="B8891" s="346"/>
    </row>
    <row r="8892" spans="1:2" ht="15.5" x14ac:dyDescent="0.35">
      <c r="A8892" s="343"/>
      <c r="B8892" s="346"/>
    </row>
    <row r="8893" spans="1:2" ht="15.5" x14ac:dyDescent="0.35">
      <c r="A8893" s="343"/>
      <c r="B8893" s="346"/>
    </row>
    <row r="8894" spans="1:2" ht="15.5" x14ac:dyDescent="0.35">
      <c r="A8894" s="343"/>
      <c r="B8894" s="346"/>
    </row>
    <row r="8895" spans="1:2" ht="15.5" x14ac:dyDescent="0.35">
      <c r="A8895" s="343"/>
      <c r="B8895" s="346"/>
    </row>
    <row r="8896" spans="1:2" ht="15.5" x14ac:dyDescent="0.35">
      <c r="A8896" s="343"/>
      <c r="B8896" s="346"/>
    </row>
    <row r="8897" spans="1:2" ht="15.5" x14ac:dyDescent="0.35">
      <c r="A8897" s="343"/>
      <c r="B8897" s="346"/>
    </row>
    <row r="8898" spans="1:2" ht="15.5" x14ac:dyDescent="0.35">
      <c r="A8898" s="343"/>
      <c r="B8898" s="346"/>
    </row>
    <row r="8899" spans="1:2" ht="15.5" x14ac:dyDescent="0.35">
      <c r="A8899" s="343"/>
      <c r="B8899" s="346"/>
    </row>
    <row r="8900" spans="1:2" ht="15.5" x14ac:dyDescent="0.35">
      <c r="A8900" s="343"/>
      <c r="B8900" s="346"/>
    </row>
    <row r="8901" spans="1:2" ht="15.5" x14ac:dyDescent="0.35">
      <c r="A8901" s="343"/>
      <c r="B8901" s="346"/>
    </row>
    <row r="8902" spans="1:2" ht="15.5" x14ac:dyDescent="0.35">
      <c r="A8902" s="343"/>
      <c r="B8902" s="346"/>
    </row>
    <row r="8903" spans="1:2" ht="15.5" x14ac:dyDescent="0.35">
      <c r="A8903" s="343"/>
      <c r="B8903" s="346"/>
    </row>
    <row r="8904" spans="1:2" ht="15.5" x14ac:dyDescent="0.35">
      <c r="A8904" s="343"/>
      <c r="B8904" s="346"/>
    </row>
    <row r="8905" spans="1:2" ht="15.5" x14ac:dyDescent="0.35">
      <c r="A8905" s="343"/>
      <c r="B8905" s="346"/>
    </row>
    <row r="8906" spans="1:2" ht="15.5" x14ac:dyDescent="0.35">
      <c r="A8906" s="343"/>
      <c r="B8906" s="346"/>
    </row>
    <row r="8907" spans="1:2" ht="15.5" x14ac:dyDescent="0.35">
      <c r="A8907" s="343"/>
      <c r="B8907" s="346"/>
    </row>
    <row r="8908" spans="1:2" ht="15.5" x14ac:dyDescent="0.35">
      <c r="A8908" s="343"/>
      <c r="B8908" s="346"/>
    </row>
    <row r="8909" spans="1:2" ht="15.5" x14ac:dyDescent="0.35">
      <c r="A8909" s="343"/>
      <c r="B8909" s="346"/>
    </row>
    <row r="8910" spans="1:2" ht="15.5" x14ac:dyDescent="0.35">
      <c r="A8910" s="343"/>
      <c r="B8910" s="346"/>
    </row>
    <row r="8911" spans="1:2" ht="15.5" x14ac:dyDescent="0.35">
      <c r="A8911" s="343"/>
      <c r="B8911" s="346"/>
    </row>
    <row r="8912" spans="1:2" ht="15.5" x14ac:dyDescent="0.35">
      <c r="A8912" s="343"/>
      <c r="B8912" s="346"/>
    </row>
    <row r="8913" spans="1:2" ht="15.5" x14ac:dyDescent="0.35">
      <c r="A8913" s="343"/>
      <c r="B8913" s="346"/>
    </row>
    <row r="8914" spans="1:2" ht="15.5" x14ac:dyDescent="0.35">
      <c r="A8914" s="343"/>
      <c r="B8914" s="346"/>
    </row>
    <row r="8915" spans="1:2" ht="15.5" x14ac:dyDescent="0.35">
      <c r="A8915" s="343"/>
      <c r="B8915" s="346"/>
    </row>
    <row r="8916" spans="1:2" ht="15.5" x14ac:dyDescent="0.35">
      <c r="A8916" s="343"/>
      <c r="B8916" s="346"/>
    </row>
    <row r="8917" spans="1:2" ht="15.5" x14ac:dyDescent="0.35">
      <c r="A8917" s="343"/>
      <c r="B8917" s="346"/>
    </row>
    <row r="8918" spans="1:2" ht="15.5" x14ac:dyDescent="0.35">
      <c r="A8918" s="343"/>
      <c r="B8918" s="346"/>
    </row>
    <row r="8919" spans="1:2" ht="15.5" x14ac:dyDescent="0.35">
      <c r="A8919" s="343"/>
      <c r="B8919" s="346"/>
    </row>
    <row r="8920" spans="1:2" ht="15.5" x14ac:dyDescent="0.35">
      <c r="A8920" s="343"/>
      <c r="B8920" s="346"/>
    </row>
    <row r="8921" spans="1:2" ht="15.5" x14ac:dyDescent="0.35">
      <c r="A8921" s="343"/>
      <c r="B8921" s="346"/>
    </row>
    <row r="8922" spans="1:2" ht="15.5" x14ac:dyDescent="0.35">
      <c r="A8922" s="343"/>
      <c r="B8922" s="346"/>
    </row>
    <row r="8923" spans="1:2" ht="15.5" x14ac:dyDescent="0.35">
      <c r="A8923" s="343"/>
      <c r="B8923" s="346"/>
    </row>
    <row r="8924" spans="1:2" ht="15.5" x14ac:dyDescent="0.35">
      <c r="A8924" s="343"/>
      <c r="B8924" s="346"/>
    </row>
    <row r="8925" spans="1:2" ht="15.5" x14ac:dyDescent="0.35">
      <c r="A8925" s="343"/>
      <c r="B8925" s="346"/>
    </row>
    <row r="8926" spans="1:2" ht="15.5" x14ac:dyDescent="0.35">
      <c r="A8926" s="343"/>
      <c r="B8926" s="346"/>
    </row>
    <row r="8927" spans="1:2" ht="15.5" x14ac:dyDescent="0.35">
      <c r="A8927" s="343"/>
      <c r="B8927" s="346"/>
    </row>
    <row r="8928" spans="1:2" ht="15.5" x14ac:dyDescent="0.35">
      <c r="A8928" s="343"/>
      <c r="B8928" s="346"/>
    </row>
    <row r="8929" spans="1:2" ht="15.5" x14ac:dyDescent="0.35">
      <c r="A8929" s="343"/>
      <c r="B8929" s="346"/>
    </row>
    <row r="8930" spans="1:2" ht="15.5" x14ac:dyDescent="0.35">
      <c r="A8930" s="343"/>
      <c r="B8930" s="346"/>
    </row>
    <row r="8931" spans="1:2" ht="15.5" x14ac:dyDescent="0.35">
      <c r="A8931" s="343"/>
      <c r="B8931" s="346"/>
    </row>
    <row r="8932" spans="1:2" ht="15.5" x14ac:dyDescent="0.35">
      <c r="A8932" s="343"/>
      <c r="B8932" s="346"/>
    </row>
    <row r="8933" spans="1:2" ht="15.5" x14ac:dyDescent="0.35">
      <c r="A8933" s="343"/>
      <c r="B8933" s="346"/>
    </row>
    <row r="8934" spans="1:2" ht="15.5" x14ac:dyDescent="0.35">
      <c r="A8934" s="343"/>
      <c r="B8934" s="346"/>
    </row>
    <row r="8935" spans="1:2" ht="15.5" x14ac:dyDescent="0.35">
      <c r="A8935" s="343"/>
      <c r="B8935" s="346"/>
    </row>
    <row r="8936" spans="1:2" ht="15.5" x14ac:dyDescent="0.35">
      <c r="A8936" s="343"/>
      <c r="B8936" s="346"/>
    </row>
    <row r="8937" spans="1:2" ht="15.5" x14ac:dyDescent="0.35">
      <c r="A8937" s="343"/>
      <c r="B8937" s="346"/>
    </row>
    <row r="8938" spans="1:2" ht="15.5" x14ac:dyDescent="0.35">
      <c r="A8938" s="343"/>
      <c r="B8938" s="346"/>
    </row>
    <row r="8939" spans="1:2" ht="15.5" x14ac:dyDescent="0.35">
      <c r="A8939" s="343"/>
      <c r="B8939" s="346"/>
    </row>
    <row r="8940" spans="1:2" ht="15.5" x14ac:dyDescent="0.35">
      <c r="A8940" s="343"/>
      <c r="B8940" s="346"/>
    </row>
    <row r="8941" spans="1:2" ht="15.5" x14ac:dyDescent="0.35">
      <c r="A8941" s="343"/>
      <c r="B8941" s="346"/>
    </row>
    <row r="8942" spans="1:2" ht="15.5" x14ac:dyDescent="0.35">
      <c r="A8942" s="343"/>
      <c r="B8942" s="346"/>
    </row>
    <row r="8943" spans="1:2" ht="15.5" x14ac:dyDescent="0.35">
      <c r="A8943" s="343"/>
      <c r="B8943" s="346"/>
    </row>
    <row r="8944" spans="1:2" ht="15.5" x14ac:dyDescent="0.35">
      <c r="A8944" s="343"/>
      <c r="B8944" s="346"/>
    </row>
    <row r="8945" spans="1:2" ht="15.5" x14ac:dyDescent="0.35">
      <c r="A8945" s="343"/>
      <c r="B8945" s="346"/>
    </row>
    <row r="8946" spans="1:2" ht="15.5" x14ac:dyDescent="0.35">
      <c r="A8946" s="343"/>
      <c r="B8946" s="346"/>
    </row>
    <row r="8947" spans="1:2" ht="15.5" x14ac:dyDescent="0.35">
      <c r="A8947" s="343"/>
      <c r="B8947" s="346"/>
    </row>
    <row r="8948" spans="1:2" ht="15.5" x14ac:dyDescent="0.35">
      <c r="A8948" s="343"/>
      <c r="B8948" s="346"/>
    </row>
    <row r="8949" spans="1:2" ht="15.5" x14ac:dyDescent="0.35">
      <c r="A8949" s="343"/>
      <c r="B8949" s="346"/>
    </row>
    <row r="8950" spans="1:2" ht="15.5" x14ac:dyDescent="0.35">
      <c r="A8950" s="343"/>
      <c r="B8950" s="346"/>
    </row>
    <row r="8951" spans="1:2" ht="15.5" x14ac:dyDescent="0.35">
      <c r="A8951" s="343"/>
      <c r="B8951" s="346"/>
    </row>
    <row r="8952" spans="1:2" ht="15.5" x14ac:dyDescent="0.35">
      <c r="A8952" s="343"/>
      <c r="B8952" s="346"/>
    </row>
    <row r="8953" spans="1:2" ht="15.5" x14ac:dyDescent="0.35">
      <c r="A8953" s="343"/>
      <c r="B8953" s="346"/>
    </row>
    <row r="8954" spans="1:2" ht="15.5" x14ac:dyDescent="0.35">
      <c r="A8954" s="343"/>
      <c r="B8954" s="346"/>
    </row>
    <row r="8955" spans="1:2" ht="15.5" x14ac:dyDescent="0.35">
      <c r="A8955" s="343"/>
      <c r="B8955" s="346"/>
    </row>
    <row r="8956" spans="1:2" ht="15.5" x14ac:dyDescent="0.35">
      <c r="A8956" s="343"/>
      <c r="B8956" s="346"/>
    </row>
    <row r="8957" spans="1:2" ht="15.5" x14ac:dyDescent="0.35">
      <c r="A8957" s="343"/>
      <c r="B8957" s="346"/>
    </row>
    <row r="8958" spans="1:2" ht="15.5" x14ac:dyDescent="0.35">
      <c r="A8958" s="343"/>
      <c r="B8958" s="346"/>
    </row>
    <row r="8959" spans="1:2" ht="15.5" x14ac:dyDescent="0.35">
      <c r="A8959" s="343"/>
      <c r="B8959" s="346"/>
    </row>
    <row r="8960" spans="1:2" ht="15.5" x14ac:dyDescent="0.35">
      <c r="A8960" s="343"/>
      <c r="B8960" s="346"/>
    </row>
    <row r="8961" spans="1:2" ht="15.5" x14ac:dyDescent="0.35">
      <c r="A8961" s="343"/>
      <c r="B8961" s="346"/>
    </row>
    <row r="8962" spans="1:2" ht="15.5" x14ac:dyDescent="0.35">
      <c r="A8962" s="343"/>
      <c r="B8962" s="346"/>
    </row>
    <row r="8963" spans="1:2" ht="15.5" x14ac:dyDescent="0.35">
      <c r="A8963" s="343"/>
      <c r="B8963" s="346"/>
    </row>
    <row r="8964" spans="1:2" ht="15.5" x14ac:dyDescent="0.35">
      <c r="A8964" s="343"/>
      <c r="B8964" s="346"/>
    </row>
    <row r="8965" spans="1:2" ht="15.5" x14ac:dyDescent="0.35">
      <c r="A8965" s="343"/>
      <c r="B8965" s="346"/>
    </row>
    <row r="8966" spans="1:2" ht="15.5" x14ac:dyDescent="0.35">
      <c r="A8966" s="343"/>
      <c r="B8966" s="346"/>
    </row>
    <row r="8967" spans="1:2" ht="15.5" x14ac:dyDescent="0.35">
      <c r="A8967" s="343"/>
      <c r="B8967" s="346"/>
    </row>
    <row r="8968" spans="1:2" ht="15.5" x14ac:dyDescent="0.35">
      <c r="A8968" s="343"/>
      <c r="B8968" s="346"/>
    </row>
    <row r="8969" spans="1:2" ht="15.5" x14ac:dyDescent="0.35">
      <c r="A8969" s="343"/>
      <c r="B8969" s="346"/>
    </row>
    <row r="8970" spans="1:2" ht="15.5" x14ac:dyDescent="0.35">
      <c r="A8970" s="343"/>
      <c r="B8970" s="346"/>
    </row>
    <row r="8971" spans="1:2" ht="15.5" x14ac:dyDescent="0.35">
      <c r="A8971" s="343"/>
      <c r="B8971" s="346"/>
    </row>
    <row r="8972" spans="1:2" ht="15.5" x14ac:dyDescent="0.35">
      <c r="A8972" s="343"/>
      <c r="B8972" s="346"/>
    </row>
    <row r="8973" spans="1:2" ht="15.5" x14ac:dyDescent="0.35">
      <c r="A8973" s="343"/>
      <c r="B8973" s="346"/>
    </row>
    <row r="8974" spans="1:2" ht="15.5" x14ac:dyDescent="0.35">
      <c r="A8974" s="343"/>
      <c r="B8974" s="346"/>
    </row>
    <row r="8975" spans="1:2" ht="15.5" x14ac:dyDescent="0.35">
      <c r="A8975" s="343"/>
      <c r="B8975" s="346"/>
    </row>
    <row r="8976" spans="1:2" ht="15.5" x14ac:dyDescent="0.35">
      <c r="A8976" s="343"/>
      <c r="B8976" s="346"/>
    </row>
    <row r="8977" spans="1:2" ht="15.5" x14ac:dyDescent="0.35">
      <c r="A8977" s="343"/>
      <c r="B8977" s="346"/>
    </row>
    <row r="8978" spans="1:2" ht="15.5" x14ac:dyDescent="0.35">
      <c r="A8978" s="343"/>
      <c r="B8978" s="346"/>
    </row>
    <row r="8979" spans="1:2" ht="15.5" x14ac:dyDescent="0.35">
      <c r="A8979" s="343"/>
      <c r="B8979" s="346"/>
    </row>
    <row r="8980" spans="1:2" ht="15.5" x14ac:dyDescent="0.35">
      <c r="A8980" s="343"/>
      <c r="B8980" s="346"/>
    </row>
    <row r="8981" spans="1:2" ht="15.5" x14ac:dyDescent="0.35">
      <c r="A8981" s="343"/>
      <c r="B8981" s="346"/>
    </row>
    <row r="8982" spans="1:2" ht="15.5" x14ac:dyDescent="0.35">
      <c r="A8982" s="343"/>
      <c r="B8982" s="346"/>
    </row>
    <row r="8983" spans="1:2" ht="15.5" x14ac:dyDescent="0.35">
      <c r="A8983" s="343"/>
      <c r="B8983" s="346"/>
    </row>
    <row r="8984" spans="1:2" ht="15.5" x14ac:dyDescent="0.35">
      <c r="A8984" s="343"/>
      <c r="B8984" s="346"/>
    </row>
    <row r="8985" spans="1:2" ht="15.5" x14ac:dyDescent="0.35">
      <c r="A8985" s="343"/>
      <c r="B8985" s="346"/>
    </row>
    <row r="8986" spans="1:2" ht="15.5" x14ac:dyDescent="0.35">
      <c r="A8986" s="343"/>
      <c r="B8986" s="346"/>
    </row>
    <row r="8987" spans="1:2" ht="15.5" x14ac:dyDescent="0.35">
      <c r="A8987" s="343"/>
      <c r="B8987" s="346"/>
    </row>
    <row r="8988" spans="1:2" ht="15.5" x14ac:dyDescent="0.35">
      <c r="A8988" s="343"/>
      <c r="B8988" s="346"/>
    </row>
    <row r="8989" spans="1:2" ht="15.5" x14ac:dyDescent="0.35">
      <c r="A8989" s="343"/>
      <c r="B8989" s="346"/>
    </row>
    <row r="8990" spans="1:2" ht="15.5" x14ac:dyDescent="0.35">
      <c r="A8990" s="343"/>
      <c r="B8990" s="346"/>
    </row>
    <row r="8991" spans="1:2" ht="15.5" x14ac:dyDescent="0.35">
      <c r="A8991" s="343"/>
      <c r="B8991" s="346"/>
    </row>
    <row r="8992" spans="1:2" ht="15.5" x14ac:dyDescent="0.35">
      <c r="A8992" s="343"/>
      <c r="B8992" s="346"/>
    </row>
    <row r="8993" spans="1:2" ht="15.5" x14ac:dyDescent="0.35">
      <c r="A8993" s="343"/>
      <c r="B8993" s="346"/>
    </row>
    <row r="8994" spans="1:2" ht="15.5" x14ac:dyDescent="0.35">
      <c r="A8994" s="343"/>
      <c r="B8994" s="346"/>
    </row>
    <row r="8995" spans="1:2" ht="15.5" x14ac:dyDescent="0.35">
      <c r="A8995" s="343"/>
      <c r="B8995" s="346"/>
    </row>
    <row r="8996" spans="1:2" ht="15.5" x14ac:dyDescent="0.35">
      <c r="A8996" s="343"/>
      <c r="B8996" s="346"/>
    </row>
    <row r="8997" spans="1:2" ht="15.5" x14ac:dyDescent="0.35">
      <c r="A8997" s="343"/>
      <c r="B8997" s="346"/>
    </row>
    <row r="8998" spans="1:2" ht="15.5" x14ac:dyDescent="0.35">
      <c r="A8998" s="343"/>
      <c r="B8998" s="346"/>
    </row>
    <row r="8999" spans="1:2" ht="15.5" x14ac:dyDescent="0.35">
      <c r="A8999" s="343"/>
      <c r="B8999" s="346"/>
    </row>
    <row r="9000" spans="1:2" ht="15.5" x14ac:dyDescent="0.35">
      <c r="A9000" s="343"/>
      <c r="B9000" s="346"/>
    </row>
    <row r="9001" spans="1:2" ht="15.5" x14ac:dyDescent="0.35">
      <c r="A9001" s="343"/>
      <c r="B9001" s="346"/>
    </row>
    <row r="9002" spans="1:2" ht="15.5" x14ac:dyDescent="0.35">
      <c r="A9002" s="343"/>
      <c r="B9002" s="346"/>
    </row>
    <row r="9003" spans="1:2" ht="15.5" x14ac:dyDescent="0.35">
      <c r="A9003" s="343"/>
      <c r="B9003" s="346"/>
    </row>
    <row r="9004" spans="1:2" ht="15.5" x14ac:dyDescent="0.35">
      <c r="A9004" s="343"/>
      <c r="B9004" s="346"/>
    </row>
    <row r="9005" spans="1:2" ht="15.5" x14ac:dyDescent="0.35">
      <c r="A9005" s="343"/>
      <c r="B9005" s="346"/>
    </row>
    <row r="9006" spans="1:2" ht="15.5" x14ac:dyDescent="0.35">
      <c r="A9006" s="343"/>
      <c r="B9006" s="346"/>
    </row>
    <row r="9007" spans="1:2" ht="15.5" x14ac:dyDescent="0.35">
      <c r="A9007" s="343"/>
      <c r="B9007" s="346"/>
    </row>
    <row r="9008" spans="1:2" ht="15.5" x14ac:dyDescent="0.35">
      <c r="A9008" s="343"/>
      <c r="B9008" s="346"/>
    </row>
    <row r="9009" spans="1:2" ht="15.5" x14ac:dyDescent="0.35">
      <c r="A9009" s="343"/>
      <c r="B9009" s="346"/>
    </row>
    <row r="9010" spans="1:2" ht="15.5" x14ac:dyDescent="0.35">
      <c r="A9010" s="343"/>
      <c r="B9010" s="346"/>
    </row>
    <row r="9011" spans="1:2" ht="15.5" x14ac:dyDescent="0.35">
      <c r="A9011" s="343"/>
      <c r="B9011" s="346"/>
    </row>
    <row r="9012" spans="1:2" ht="15.5" x14ac:dyDescent="0.35">
      <c r="A9012" s="343"/>
      <c r="B9012" s="346"/>
    </row>
    <row r="9013" spans="1:2" ht="15.5" x14ac:dyDescent="0.35">
      <c r="A9013" s="343"/>
      <c r="B9013" s="346"/>
    </row>
    <row r="9014" spans="1:2" ht="15.5" x14ac:dyDescent="0.35">
      <c r="A9014" s="343"/>
      <c r="B9014" s="346"/>
    </row>
    <row r="9015" spans="1:2" ht="15.5" x14ac:dyDescent="0.35">
      <c r="A9015" s="343"/>
      <c r="B9015" s="346"/>
    </row>
    <row r="9016" spans="1:2" ht="15.5" x14ac:dyDescent="0.35">
      <c r="A9016" s="343"/>
      <c r="B9016" s="346"/>
    </row>
    <row r="9017" spans="1:2" ht="15.5" x14ac:dyDescent="0.35">
      <c r="A9017" s="343"/>
      <c r="B9017" s="346"/>
    </row>
    <row r="9018" spans="1:2" ht="15.5" x14ac:dyDescent="0.35">
      <c r="A9018" s="343"/>
      <c r="B9018" s="346"/>
    </row>
    <row r="9019" spans="1:2" ht="15.5" x14ac:dyDescent="0.35">
      <c r="A9019" s="343"/>
      <c r="B9019" s="346"/>
    </row>
    <row r="9020" spans="1:2" ht="15.5" x14ac:dyDescent="0.35">
      <c r="A9020" s="343"/>
      <c r="B9020" s="346"/>
    </row>
    <row r="9021" spans="1:2" ht="15.5" x14ac:dyDescent="0.35">
      <c r="A9021" s="343"/>
      <c r="B9021" s="346"/>
    </row>
    <row r="9022" spans="1:2" ht="15.5" x14ac:dyDescent="0.35">
      <c r="A9022" s="343"/>
      <c r="B9022" s="346"/>
    </row>
    <row r="9023" spans="1:2" ht="15.5" x14ac:dyDescent="0.35">
      <c r="A9023" s="343"/>
      <c r="B9023" s="346"/>
    </row>
    <row r="9024" spans="1:2" ht="15.5" x14ac:dyDescent="0.35">
      <c r="A9024" s="343"/>
      <c r="B9024" s="346"/>
    </row>
    <row r="9025" spans="1:2" ht="15.5" x14ac:dyDescent="0.35">
      <c r="A9025" s="343"/>
      <c r="B9025" s="346"/>
    </row>
    <row r="9026" spans="1:2" ht="15.5" x14ac:dyDescent="0.35">
      <c r="A9026" s="343"/>
      <c r="B9026" s="346"/>
    </row>
    <row r="9027" spans="1:2" ht="15.5" x14ac:dyDescent="0.35">
      <c r="A9027" s="343"/>
      <c r="B9027" s="346"/>
    </row>
    <row r="9028" spans="1:2" ht="15.5" x14ac:dyDescent="0.35">
      <c r="A9028" s="343"/>
      <c r="B9028" s="346"/>
    </row>
    <row r="9029" spans="1:2" ht="15.5" x14ac:dyDescent="0.35">
      <c r="A9029" s="343"/>
      <c r="B9029" s="346"/>
    </row>
    <row r="9030" spans="1:2" ht="15.5" x14ac:dyDescent="0.35">
      <c r="A9030" s="343"/>
      <c r="B9030" s="346"/>
    </row>
    <row r="9031" spans="1:2" ht="15.5" x14ac:dyDescent="0.35">
      <c r="A9031" s="343"/>
      <c r="B9031" s="346"/>
    </row>
    <row r="9032" spans="1:2" ht="15.5" x14ac:dyDescent="0.35">
      <c r="A9032" s="343"/>
      <c r="B9032" s="346"/>
    </row>
    <row r="9033" spans="1:2" ht="15.5" x14ac:dyDescent="0.35">
      <c r="A9033" s="343"/>
      <c r="B9033" s="346"/>
    </row>
    <row r="9034" spans="1:2" ht="15.5" x14ac:dyDescent="0.35">
      <c r="A9034" s="343"/>
      <c r="B9034" s="346"/>
    </row>
    <row r="9035" spans="1:2" ht="15.5" x14ac:dyDescent="0.35">
      <c r="A9035" s="343"/>
      <c r="B9035" s="346"/>
    </row>
    <row r="9036" spans="1:2" ht="15.5" x14ac:dyDescent="0.35">
      <c r="A9036" s="343"/>
      <c r="B9036" s="346"/>
    </row>
    <row r="9037" spans="1:2" ht="15.5" x14ac:dyDescent="0.35">
      <c r="A9037" s="343"/>
      <c r="B9037" s="346"/>
    </row>
    <row r="9038" spans="1:2" ht="15.5" x14ac:dyDescent="0.35">
      <c r="A9038" s="343"/>
      <c r="B9038" s="346"/>
    </row>
    <row r="9039" spans="1:2" ht="15.5" x14ac:dyDescent="0.35">
      <c r="A9039" s="343"/>
      <c r="B9039" s="346"/>
    </row>
    <row r="9040" spans="1:2" ht="15.5" x14ac:dyDescent="0.35">
      <c r="A9040" s="343"/>
      <c r="B9040" s="346"/>
    </row>
    <row r="9041" spans="1:2" ht="15.5" x14ac:dyDescent="0.35">
      <c r="A9041" s="343"/>
      <c r="B9041" s="346"/>
    </row>
    <row r="9042" spans="1:2" ht="15.5" x14ac:dyDescent="0.35">
      <c r="A9042" s="343"/>
      <c r="B9042" s="346"/>
    </row>
    <row r="9043" spans="1:2" ht="15.5" x14ac:dyDescent="0.35">
      <c r="A9043" s="343"/>
      <c r="B9043" s="346"/>
    </row>
    <row r="9044" spans="1:2" ht="15.5" x14ac:dyDescent="0.35">
      <c r="A9044" s="343"/>
      <c r="B9044" s="346"/>
    </row>
    <row r="9045" spans="1:2" ht="15.5" x14ac:dyDescent="0.35">
      <c r="A9045" s="343"/>
      <c r="B9045" s="346"/>
    </row>
    <row r="9046" spans="1:2" ht="15.5" x14ac:dyDescent="0.35">
      <c r="A9046" s="343"/>
      <c r="B9046" s="346"/>
    </row>
    <row r="9047" spans="1:2" ht="15.5" x14ac:dyDescent="0.35">
      <c r="A9047" s="343"/>
      <c r="B9047" s="346"/>
    </row>
    <row r="9048" spans="1:2" ht="15.5" x14ac:dyDescent="0.35">
      <c r="A9048" s="343"/>
      <c r="B9048" s="346"/>
    </row>
    <row r="9049" spans="1:2" ht="15.5" x14ac:dyDescent="0.35">
      <c r="A9049" s="343"/>
      <c r="B9049" s="346"/>
    </row>
    <row r="9050" spans="1:2" ht="15.5" x14ac:dyDescent="0.35">
      <c r="A9050" s="343"/>
      <c r="B9050" s="346"/>
    </row>
    <row r="9051" spans="1:2" ht="15.5" x14ac:dyDescent="0.35">
      <c r="A9051" s="343"/>
      <c r="B9051" s="346"/>
    </row>
    <row r="9052" spans="1:2" ht="15.5" x14ac:dyDescent="0.35">
      <c r="A9052" s="343"/>
      <c r="B9052" s="346"/>
    </row>
    <row r="9053" spans="1:2" ht="15.5" x14ac:dyDescent="0.35">
      <c r="A9053" s="343"/>
      <c r="B9053" s="346"/>
    </row>
    <row r="9054" spans="1:2" ht="15.5" x14ac:dyDescent="0.35">
      <c r="A9054" s="343"/>
      <c r="B9054" s="346"/>
    </row>
    <row r="9055" spans="1:2" ht="15.5" x14ac:dyDescent="0.35">
      <c r="A9055" s="343"/>
      <c r="B9055" s="346"/>
    </row>
    <row r="9056" spans="1:2" ht="15.5" x14ac:dyDescent="0.35">
      <c r="A9056" s="343"/>
      <c r="B9056" s="346"/>
    </row>
    <row r="9057" spans="1:2" ht="15.5" x14ac:dyDescent="0.35">
      <c r="A9057" s="343"/>
      <c r="B9057" s="346"/>
    </row>
    <row r="9058" spans="1:2" ht="15.5" x14ac:dyDescent="0.35">
      <c r="A9058" s="343"/>
      <c r="B9058" s="346"/>
    </row>
    <row r="9059" spans="1:2" ht="15.5" x14ac:dyDescent="0.35">
      <c r="A9059" s="343"/>
      <c r="B9059" s="346"/>
    </row>
    <row r="9060" spans="1:2" ht="15.5" x14ac:dyDescent="0.35">
      <c r="A9060" s="343"/>
      <c r="B9060" s="346"/>
    </row>
    <row r="9061" spans="1:2" ht="15.5" x14ac:dyDescent="0.35">
      <c r="A9061" s="343"/>
      <c r="B9061" s="346"/>
    </row>
    <row r="9062" spans="1:2" ht="15.5" x14ac:dyDescent="0.35">
      <c r="A9062" s="343"/>
      <c r="B9062" s="346"/>
    </row>
    <row r="9063" spans="1:2" ht="15.5" x14ac:dyDescent="0.35">
      <c r="A9063" s="343"/>
      <c r="B9063" s="346"/>
    </row>
    <row r="9064" spans="1:2" ht="15.5" x14ac:dyDescent="0.35">
      <c r="A9064" s="343"/>
      <c r="B9064" s="346"/>
    </row>
    <row r="9065" spans="1:2" ht="15.5" x14ac:dyDescent="0.35">
      <c r="A9065" s="343"/>
      <c r="B9065" s="346"/>
    </row>
    <row r="9066" spans="1:2" ht="15.5" x14ac:dyDescent="0.35">
      <c r="A9066" s="343"/>
      <c r="B9066" s="346"/>
    </row>
    <row r="9067" spans="1:2" ht="15.5" x14ac:dyDescent="0.35">
      <c r="A9067" s="343"/>
      <c r="B9067" s="346"/>
    </row>
    <row r="9068" spans="1:2" ht="15.5" x14ac:dyDescent="0.35">
      <c r="A9068" s="343"/>
      <c r="B9068" s="346"/>
    </row>
    <row r="9069" spans="1:2" ht="15.5" x14ac:dyDescent="0.35">
      <c r="A9069" s="343"/>
      <c r="B9069" s="346"/>
    </row>
    <row r="9070" spans="1:2" ht="15.5" x14ac:dyDescent="0.35">
      <c r="A9070" s="343"/>
      <c r="B9070" s="346"/>
    </row>
    <row r="9071" spans="1:2" ht="15.5" x14ac:dyDescent="0.35">
      <c r="A9071" s="343"/>
      <c r="B9071" s="346"/>
    </row>
    <row r="9072" spans="1:2" ht="15.5" x14ac:dyDescent="0.35">
      <c r="A9072" s="343"/>
      <c r="B9072" s="346"/>
    </row>
    <row r="9073" spans="1:2" ht="15.5" x14ac:dyDescent="0.35">
      <c r="A9073" s="343"/>
      <c r="B9073" s="346"/>
    </row>
    <row r="9074" spans="1:2" ht="15.5" x14ac:dyDescent="0.35">
      <c r="A9074" s="343"/>
      <c r="B9074" s="346"/>
    </row>
    <row r="9075" spans="1:2" ht="15.5" x14ac:dyDescent="0.35">
      <c r="A9075" s="343"/>
      <c r="B9075" s="346"/>
    </row>
    <row r="9076" spans="1:2" ht="15.5" x14ac:dyDescent="0.35">
      <c r="A9076" s="343"/>
      <c r="B9076" s="346"/>
    </row>
    <row r="9077" spans="1:2" ht="15.5" x14ac:dyDescent="0.35">
      <c r="A9077" s="343"/>
      <c r="B9077" s="346"/>
    </row>
    <row r="9078" spans="1:2" ht="15.5" x14ac:dyDescent="0.35">
      <c r="A9078" s="343"/>
      <c r="B9078" s="346"/>
    </row>
    <row r="9079" spans="1:2" ht="15.5" x14ac:dyDescent="0.35">
      <c r="A9079" s="343"/>
      <c r="B9079" s="346"/>
    </row>
    <row r="9080" spans="1:2" ht="15.5" x14ac:dyDescent="0.35">
      <c r="A9080" s="343"/>
      <c r="B9080" s="346"/>
    </row>
    <row r="9081" spans="1:2" ht="15.5" x14ac:dyDescent="0.35">
      <c r="A9081" s="343"/>
      <c r="B9081" s="346"/>
    </row>
    <row r="9082" spans="1:2" ht="15.5" x14ac:dyDescent="0.35">
      <c r="A9082" s="343"/>
      <c r="B9082" s="346"/>
    </row>
    <row r="9083" spans="1:2" ht="15.5" x14ac:dyDescent="0.35">
      <c r="A9083" s="343"/>
      <c r="B9083" s="346"/>
    </row>
    <row r="9084" spans="1:2" ht="15.5" x14ac:dyDescent="0.35">
      <c r="A9084" s="343"/>
      <c r="B9084" s="346"/>
    </row>
    <row r="9085" spans="1:2" ht="15.5" x14ac:dyDescent="0.35">
      <c r="A9085" s="343"/>
      <c r="B9085" s="346"/>
    </row>
    <row r="9086" spans="1:2" ht="15.5" x14ac:dyDescent="0.35">
      <c r="A9086" s="343"/>
      <c r="B9086" s="346"/>
    </row>
    <row r="9087" spans="1:2" ht="15.5" x14ac:dyDescent="0.35">
      <c r="A9087" s="343"/>
      <c r="B9087" s="346"/>
    </row>
    <row r="9088" spans="1:2" ht="15.5" x14ac:dyDescent="0.35">
      <c r="A9088" s="343"/>
      <c r="B9088" s="346"/>
    </row>
    <row r="9089" spans="1:2" ht="15.5" x14ac:dyDescent="0.35">
      <c r="A9089" s="343"/>
      <c r="B9089" s="346"/>
    </row>
    <row r="9090" spans="1:2" ht="15.5" x14ac:dyDescent="0.35">
      <c r="A9090" s="343"/>
      <c r="B9090" s="346"/>
    </row>
    <row r="9091" spans="1:2" ht="15.5" x14ac:dyDescent="0.35">
      <c r="A9091" s="343"/>
      <c r="B9091" s="346"/>
    </row>
    <row r="9092" spans="1:2" ht="15.5" x14ac:dyDescent="0.35">
      <c r="A9092" s="343"/>
      <c r="B9092" s="346"/>
    </row>
    <row r="9093" spans="1:2" ht="15.5" x14ac:dyDescent="0.35">
      <c r="A9093" s="343"/>
      <c r="B9093" s="346"/>
    </row>
    <row r="9094" spans="1:2" ht="15.5" x14ac:dyDescent="0.35">
      <c r="A9094" s="343"/>
      <c r="B9094" s="346"/>
    </row>
    <row r="9095" spans="1:2" ht="15.5" x14ac:dyDescent="0.35">
      <c r="A9095" s="343"/>
      <c r="B9095" s="346"/>
    </row>
    <row r="9096" spans="1:2" ht="15.5" x14ac:dyDescent="0.35">
      <c r="A9096" s="343"/>
      <c r="B9096" s="346"/>
    </row>
    <row r="9097" spans="1:2" ht="15.5" x14ac:dyDescent="0.35">
      <c r="A9097" s="343"/>
      <c r="B9097" s="346"/>
    </row>
    <row r="9098" spans="1:2" ht="15.5" x14ac:dyDescent="0.35">
      <c r="A9098" s="343"/>
      <c r="B9098" s="346"/>
    </row>
    <row r="9099" spans="1:2" ht="15.5" x14ac:dyDescent="0.35">
      <c r="A9099" s="343"/>
      <c r="B9099" s="346"/>
    </row>
    <row r="9100" spans="1:2" ht="15.5" x14ac:dyDescent="0.35">
      <c r="A9100" s="343"/>
      <c r="B9100" s="346"/>
    </row>
    <row r="9101" spans="1:2" ht="15.5" x14ac:dyDescent="0.35">
      <c r="A9101" s="343"/>
      <c r="B9101" s="346"/>
    </row>
    <row r="9102" spans="1:2" ht="15.5" x14ac:dyDescent="0.35">
      <c r="A9102" s="343"/>
      <c r="B9102" s="346"/>
    </row>
    <row r="9103" spans="1:2" ht="15.5" x14ac:dyDescent="0.35">
      <c r="A9103" s="343"/>
      <c r="B9103" s="346"/>
    </row>
    <row r="9104" spans="1:2" ht="15.5" x14ac:dyDescent="0.35">
      <c r="A9104" s="343"/>
      <c r="B9104" s="346"/>
    </row>
    <row r="9105" spans="1:2" ht="15.5" x14ac:dyDescent="0.35">
      <c r="A9105" s="343"/>
      <c r="B9105" s="346"/>
    </row>
    <row r="9106" spans="1:2" ht="15.5" x14ac:dyDescent="0.35">
      <c r="A9106" s="343"/>
      <c r="B9106" s="346"/>
    </row>
    <row r="9107" spans="1:2" ht="15.5" x14ac:dyDescent="0.35">
      <c r="A9107" s="343"/>
      <c r="B9107" s="346"/>
    </row>
    <row r="9108" spans="1:2" ht="15.5" x14ac:dyDescent="0.35">
      <c r="A9108" s="343"/>
      <c r="B9108" s="346"/>
    </row>
    <row r="9109" spans="1:2" ht="15.5" x14ac:dyDescent="0.35">
      <c r="A9109" s="343"/>
      <c r="B9109" s="346"/>
    </row>
    <row r="9110" spans="1:2" ht="15.5" x14ac:dyDescent="0.35">
      <c r="A9110" s="343"/>
      <c r="B9110" s="346"/>
    </row>
    <row r="9111" spans="1:2" ht="15.5" x14ac:dyDescent="0.35">
      <c r="A9111" s="343"/>
      <c r="B9111" s="346"/>
    </row>
    <row r="9112" spans="1:2" ht="15.5" x14ac:dyDescent="0.35">
      <c r="A9112" s="343"/>
      <c r="B9112" s="346"/>
    </row>
    <row r="9113" spans="1:2" ht="15.5" x14ac:dyDescent="0.35">
      <c r="A9113" s="343"/>
      <c r="B9113" s="346"/>
    </row>
    <row r="9114" spans="1:2" ht="15.5" x14ac:dyDescent="0.35">
      <c r="A9114" s="343"/>
      <c r="B9114" s="346"/>
    </row>
    <row r="9115" spans="1:2" ht="15.5" x14ac:dyDescent="0.35">
      <c r="A9115" s="343"/>
      <c r="B9115" s="346"/>
    </row>
    <row r="9116" spans="1:2" ht="15.5" x14ac:dyDescent="0.35">
      <c r="A9116" s="343"/>
      <c r="B9116" s="346"/>
    </row>
    <row r="9117" spans="1:2" ht="15.5" x14ac:dyDescent="0.35">
      <c r="A9117" s="343"/>
      <c r="B9117" s="346"/>
    </row>
    <row r="9118" spans="1:2" ht="15.5" x14ac:dyDescent="0.35">
      <c r="A9118" s="343"/>
      <c r="B9118" s="346"/>
    </row>
    <row r="9119" spans="1:2" ht="15.5" x14ac:dyDescent="0.35">
      <c r="A9119" s="343"/>
      <c r="B9119" s="346"/>
    </row>
    <row r="9120" spans="1:2" ht="15.5" x14ac:dyDescent="0.35">
      <c r="A9120" s="343"/>
      <c r="B9120" s="346"/>
    </row>
    <row r="9121" spans="1:2" ht="15.5" x14ac:dyDescent="0.35">
      <c r="A9121" s="343"/>
      <c r="B9121" s="346"/>
    </row>
    <row r="9122" spans="1:2" ht="15.5" x14ac:dyDescent="0.35">
      <c r="A9122" s="343"/>
      <c r="B9122" s="346"/>
    </row>
    <row r="9123" spans="1:2" ht="15.5" x14ac:dyDescent="0.35">
      <c r="A9123" s="343"/>
      <c r="B9123" s="346"/>
    </row>
    <row r="9124" spans="1:2" ht="15.5" x14ac:dyDescent="0.35">
      <c r="A9124" s="343"/>
      <c r="B9124" s="346"/>
    </row>
    <row r="9125" spans="1:2" ht="15.5" x14ac:dyDescent="0.35">
      <c r="A9125" s="343"/>
      <c r="B9125" s="346"/>
    </row>
    <row r="9126" spans="1:2" ht="15.5" x14ac:dyDescent="0.35">
      <c r="A9126" s="343"/>
      <c r="B9126" s="346"/>
    </row>
    <row r="9127" spans="1:2" ht="15.5" x14ac:dyDescent="0.35">
      <c r="A9127" s="343"/>
      <c r="B9127" s="346"/>
    </row>
    <row r="9128" spans="1:2" ht="15.5" x14ac:dyDescent="0.35">
      <c r="A9128" s="343"/>
      <c r="B9128" s="346"/>
    </row>
    <row r="9129" spans="1:2" ht="15.5" x14ac:dyDescent="0.35">
      <c r="A9129" s="343"/>
      <c r="B9129" s="346"/>
    </row>
    <row r="9130" spans="1:2" ht="15.5" x14ac:dyDescent="0.35">
      <c r="A9130" s="343"/>
      <c r="B9130" s="346"/>
    </row>
    <row r="9131" spans="1:2" ht="15.5" x14ac:dyDescent="0.35">
      <c r="A9131" s="343"/>
      <c r="B9131" s="346"/>
    </row>
    <row r="9132" spans="1:2" ht="15.5" x14ac:dyDescent="0.35">
      <c r="A9132" s="343"/>
      <c r="B9132" s="346"/>
    </row>
    <row r="9133" spans="1:2" ht="15.5" x14ac:dyDescent="0.35">
      <c r="A9133" s="343"/>
      <c r="B9133" s="346"/>
    </row>
    <row r="9134" spans="1:2" ht="15.5" x14ac:dyDescent="0.35">
      <c r="A9134" s="343"/>
      <c r="B9134" s="346"/>
    </row>
    <row r="9135" spans="1:2" ht="15.5" x14ac:dyDescent="0.35">
      <c r="A9135" s="343"/>
      <c r="B9135" s="346"/>
    </row>
    <row r="9136" spans="1:2" ht="15.5" x14ac:dyDescent="0.35">
      <c r="A9136" s="343"/>
      <c r="B9136" s="346"/>
    </row>
    <row r="9137" spans="1:2" ht="15.5" x14ac:dyDescent="0.35">
      <c r="A9137" s="343"/>
      <c r="B9137" s="346"/>
    </row>
    <row r="9138" spans="1:2" ht="15.5" x14ac:dyDescent="0.35">
      <c r="A9138" s="343"/>
      <c r="B9138" s="346"/>
    </row>
    <row r="9139" spans="1:2" ht="15.5" x14ac:dyDescent="0.35">
      <c r="A9139" s="343"/>
      <c r="B9139" s="346"/>
    </row>
    <row r="9140" spans="1:2" ht="15.5" x14ac:dyDescent="0.35">
      <c r="A9140" s="343"/>
      <c r="B9140" s="346"/>
    </row>
    <row r="9141" spans="1:2" ht="15.5" x14ac:dyDescent="0.35">
      <c r="A9141" s="343"/>
      <c r="B9141" s="346"/>
    </row>
    <row r="9142" spans="1:2" ht="15.5" x14ac:dyDescent="0.35">
      <c r="A9142" s="343"/>
      <c r="B9142" s="346"/>
    </row>
    <row r="9143" spans="1:2" ht="15.5" x14ac:dyDescent="0.35">
      <c r="A9143" s="343"/>
      <c r="B9143" s="346"/>
    </row>
    <row r="9144" spans="1:2" ht="15.5" x14ac:dyDescent="0.35">
      <c r="A9144" s="343"/>
      <c r="B9144" s="346"/>
    </row>
    <row r="9145" spans="1:2" ht="15.5" x14ac:dyDescent="0.35">
      <c r="A9145" s="343"/>
      <c r="B9145" s="346"/>
    </row>
    <row r="9146" spans="1:2" ht="15.5" x14ac:dyDescent="0.35">
      <c r="A9146" s="343"/>
      <c r="B9146" s="346"/>
    </row>
    <row r="9147" spans="1:2" ht="15.5" x14ac:dyDescent="0.35">
      <c r="A9147" s="343"/>
      <c r="B9147" s="346"/>
    </row>
    <row r="9148" spans="1:2" ht="15.5" x14ac:dyDescent="0.35">
      <c r="A9148" s="343"/>
      <c r="B9148" s="346"/>
    </row>
    <row r="9149" spans="1:2" ht="15.5" x14ac:dyDescent="0.35">
      <c r="A9149" s="343"/>
      <c r="B9149" s="346"/>
    </row>
    <row r="9150" spans="1:2" ht="15.5" x14ac:dyDescent="0.35">
      <c r="A9150" s="343"/>
      <c r="B9150" s="346"/>
    </row>
    <row r="9151" spans="1:2" ht="15.5" x14ac:dyDescent="0.35">
      <c r="A9151" s="343"/>
      <c r="B9151" s="346"/>
    </row>
    <row r="9152" spans="1:2" ht="15.5" x14ac:dyDescent="0.35">
      <c r="A9152" s="343"/>
      <c r="B9152" s="346"/>
    </row>
    <row r="9153" spans="1:2" ht="15.5" x14ac:dyDescent="0.35">
      <c r="A9153" s="343"/>
      <c r="B9153" s="346"/>
    </row>
    <row r="9154" spans="1:2" ht="15.5" x14ac:dyDescent="0.35">
      <c r="A9154" s="343"/>
      <c r="B9154" s="346"/>
    </row>
    <row r="9155" spans="1:2" ht="15.5" x14ac:dyDescent="0.35">
      <c r="A9155" s="343"/>
      <c r="B9155" s="346"/>
    </row>
    <row r="9156" spans="1:2" ht="15.5" x14ac:dyDescent="0.35">
      <c r="A9156" s="343"/>
      <c r="B9156" s="346"/>
    </row>
    <row r="9157" spans="1:2" ht="15.5" x14ac:dyDescent="0.35">
      <c r="A9157" s="343"/>
      <c r="B9157" s="346"/>
    </row>
    <row r="9158" spans="1:2" ht="15.5" x14ac:dyDescent="0.35">
      <c r="A9158" s="343"/>
      <c r="B9158" s="346"/>
    </row>
    <row r="9159" spans="1:2" ht="15.5" x14ac:dyDescent="0.35">
      <c r="A9159" s="343"/>
      <c r="B9159" s="346"/>
    </row>
    <row r="9160" spans="1:2" ht="15.5" x14ac:dyDescent="0.35">
      <c r="A9160" s="343"/>
      <c r="B9160" s="346"/>
    </row>
    <row r="9161" spans="1:2" ht="15.5" x14ac:dyDescent="0.35">
      <c r="A9161" s="343"/>
      <c r="B9161" s="346"/>
    </row>
    <row r="9162" spans="1:2" ht="15.5" x14ac:dyDescent="0.35">
      <c r="A9162" s="343"/>
      <c r="B9162" s="346"/>
    </row>
    <row r="9163" spans="1:2" ht="15.5" x14ac:dyDescent="0.35">
      <c r="A9163" s="343"/>
      <c r="B9163" s="346"/>
    </row>
    <row r="9164" spans="1:2" ht="15.5" x14ac:dyDescent="0.35">
      <c r="A9164" s="343"/>
      <c r="B9164" s="346"/>
    </row>
    <row r="9165" spans="1:2" ht="15.5" x14ac:dyDescent="0.35">
      <c r="A9165" s="343"/>
      <c r="B9165" s="346"/>
    </row>
    <row r="9166" spans="1:2" ht="15.5" x14ac:dyDescent="0.35">
      <c r="A9166" s="343"/>
      <c r="B9166" s="346"/>
    </row>
    <row r="9167" spans="1:2" ht="15.5" x14ac:dyDescent="0.35">
      <c r="A9167" s="343"/>
      <c r="B9167" s="346"/>
    </row>
    <row r="9168" spans="1:2" ht="15.5" x14ac:dyDescent="0.35">
      <c r="A9168" s="343"/>
      <c r="B9168" s="346"/>
    </row>
    <row r="9169" spans="1:2" ht="15.5" x14ac:dyDescent="0.35">
      <c r="A9169" s="343"/>
      <c r="B9169" s="346"/>
    </row>
    <row r="9170" spans="1:2" ht="15.5" x14ac:dyDescent="0.35">
      <c r="A9170" s="343"/>
      <c r="B9170" s="346"/>
    </row>
    <row r="9171" spans="1:2" ht="15.5" x14ac:dyDescent="0.35">
      <c r="A9171" s="343"/>
      <c r="B9171" s="346"/>
    </row>
    <row r="9172" spans="1:2" ht="15.5" x14ac:dyDescent="0.35">
      <c r="A9172" s="343"/>
      <c r="B9172" s="346"/>
    </row>
    <row r="9173" spans="1:2" ht="15.5" x14ac:dyDescent="0.35">
      <c r="A9173" s="343"/>
      <c r="B9173" s="346"/>
    </row>
    <row r="9174" spans="1:2" ht="15.5" x14ac:dyDescent="0.35">
      <c r="A9174" s="343"/>
      <c r="B9174" s="346"/>
    </row>
    <row r="9175" spans="1:2" ht="15.5" x14ac:dyDescent="0.35">
      <c r="A9175" s="343"/>
      <c r="B9175" s="346"/>
    </row>
    <row r="9176" spans="1:2" ht="15.5" x14ac:dyDescent="0.35">
      <c r="A9176" s="343"/>
      <c r="B9176" s="346"/>
    </row>
    <row r="9177" spans="1:2" ht="15.5" x14ac:dyDescent="0.35">
      <c r="A9177" s="343"/>
      <c r="B9177" s="346"/>
    </row>
    <row r="9178" spans="1:2" ht="15.5" x14ac:dyDescent="0.35">
      <c r="A9178" s="343"/>
      <c r="B9178" s="346"/>
    </row>
    <row r="9179" spans="1:2" ht="15.5" x14ac:dyDescent="0.35">
      <c r="A9179" s="343"/>
      <c r="B9179" s="346"/>
    </row>
    <row r="9180" spans="1:2" ht="15.5" x14ac:dyDescent="0.35">
      <c r="A9180" s="343"/>
      <c r="B9180" s="346"/>
    </row>
    <row r="9181" spans="1:2" ht="15.5" x14ac:dyDescent="0.35">
      <c r="A9181" s="343"/>
      <c r="B9181" s="346"/>
    </row>
    <row r="9182" spans="1:2" ht="15.5" x14ac:dyDescent="0.35">
      <c r="A9182" s="343"/>
      <c r="B9182" s="346"/>
    </row>
    <row r="9183" spans="1:2" ht="15.5" x14ac:dyDescent="0.35">
      <c r="A9183" s="343"/>
      <c r="B9183" s="346"/>
    </row>
    <row r="9184" spans="1:2" ht="15.5" x14ac:dyDescent="0.35">
      <c r="A9184" s="343"/>
      <c r="B9184" s="346"/>
    </row>
    <row r="9185" spans="1:2" ht="15.5" x14ac:dyDescent="0.35">
      <c r="A9185" s="343"/>
      <c r="B9185" s="346"/>
    </row>
    <row r="9186" spans="1:2" ht="15.5" x14ac:dyDescent="0.35">
      <c r="A9186" s="343"/>
      <c r="B9186" s="346"/>
    </row>
    <row r="9187" spans="1:2" ht="15.5" x14ac:dyDescent="0.35">
      <c r="A9187" s="343"/>
      <c r="B9187" s="346"/>
    </row>
    <row r="9188" spans="1:2" ht="15.5" x14ac:dyDescent="0.35">
      <c r="A9188" s="343"/>
      <c r="B9188" s="346"/>
    </row>
    <row r="9189" spans="1:2" ht="15.5" x14ac:dyDescent="0.35">
      <c r="A9189" s="343"/>
      <c r="B9189" s="346"/>
    </row>
    <row r="9190" spans="1:2" ht="15.5" x14ac:dyDescent="0.35">
      <c r="A9190" s="343"/>
      <c r="B9190" s="346"/>
    </row>
    <row r="9191" spans="1:2" ht="15.5" x14ac:dyDescent="0.35">
      <c r="A9191" s="343"/>
      <c r="B9191" s="346"/>
    </row>
    <row r="9192" spans="1:2" ht="15.5" x14ac:dyDescent="0.35">
      <c r="A9192" s="343"/>
      <c r="B9192" s="346"/>
    </row>
    <row r="9193" spans="1:2" ht="15.5" x14ac:dyDescent="0.35">
      <c r="A9193" s="343"/>
      <c r="B9193" s="346"/>
    </row>
  </sheetData>
  <conditionalFormatting sqref="A457:A2114">
    <cfRule type="duplicateValues" dxfId="3" priority="2"/>
  </conditionalFormatting>
  <conditionalFormatting sqref="A2:A456">
    <cfRule type="duplicateValues" dxfId="2" priority="1"/>
  </conditionalFormatting>
  <pageMargins left="0.7" right="0.7" top="0.75" bottom="0.75" header="0.3" footer="0.3"/>
  <pageSetup orientation="landscape" horizontalDpi="1200" verticalDpi="1200" r:id="rId1"/>
  <headerFooter>
    <oddFooter>&amp;LWednesday, November 09, 2022&amp;RPage &amp;P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E7665-18BA-4193-942F-FAFF44A7E5AA}">
  <sheetPr codeName="Sheet16">
    <tabColor rgb="FFC00000"/>
  </sheetPr>
  <dimension ref="A1:P4"/>
  <sheetViews>
    <sheetView workbookViewId="0">
      <pane ySplit="4" topLeftCell="A5" activePane="bottomLeft" state="frozen"/>
      <selection pane="bottomLeft" activeCell="C9" sqref="C9"/>
    </sheetView>
  </sheetViews>
  <sheetFormatPr defaultRowHeight="14.5" x14ac:dyDescent="0.35"/>
  <cols>
    <col min="1" max="1" width="33.81640625" customWidth="1"/>
    <col min="2" max="2" width="57.453125" customWidth="1"/>
    <col min="3" max="3" width="30" customWidth="1"/>
    <col min="4" max="4" width="71.453125" customWidth="1"/>
    <col min="16" max="16" width="12.7265625" hidden="1" customWidth="1"/>
  </cols>
  <sheetData>
    <row r="1" spans="1:16" ht="24" thickBot="1" x14ac:dyDescent="0.6">
      <c r="A1" s="725" t="s">
        <v>1619</v>
      </c>
      <c r="B1" s="725"/>
      <c r="C1" s="725"/>
      <c r="D1" s="725"/>
    </row>
    <row r="2" spans="1:16" ht="18" x14ac:dyDescent="0.4">
      <c r="A2" s="726" t="s">
        <v>1620</v>
      </c>
      <c r="B2" s="727"/>
      <c r="C2" s="728" t="s">
        <v>580</v>
      </c>
      <c r="D2" s="729"/>
      <c r="P2" t="str">
        <f>A2</f>
        <v>Chart of Accounts A</v>
      </c>
    </row>
    <row r="3" spans="1:16" ht="21" customHeight="1" x14ac:dyDescent="0.4">
      <c r="A3" s="403"/>
      <c r="B3" s="404"/>
      <c r="C3" s="405"/>
      <c r="D3" s="406"/>
      <c r="P3" t="str">
        <f>C2</f>
        <v>Chart of Accounts B</v>
      </c>
    </row>
    <row r="4" spans="1:16" ht="15" thickBot="1" x14ac:dyDescent="0.4">
      <c r="A4" s="407" t="s">
        <v>1621</v>
      </c>
      <c r="B4" s="408" t="s">
        <v>1622</v>
      </c>
      <c r="C4" s="407" t="s">
        <v>1621</v>
      </c>
      <c r="D4" s="408" t="s">
        <v>1622</v>
      </c>
    </row>
  </sheetData>
  <mergeCells count="3">
    <mergeCell ref="A1:D1"/>
    <mergeCell ref="A2:B2"/>
    <mergeCell ref="C2:D2"/>
  </mergeCells>
  <conditionalFormatting sqref="A2:A3">
    <cfRule type="duplicateValues" dxfId="1" priority="2"/>
  </conditionalFormatting>
  <conditionalFormatting sqref="A4">
    <cfRule type="duplicateValues" dxfId="0" priority="1"/>
  </conditionalFormatting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bcde47-adba-47fe-8e80-fbb09575012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C97FCD544C4243A3571EAF8CBD6CDD" ma:contentTypeVersion="10" ma:contentTypeDescription="Create a new document." ma:contentTypeScope="" ma:versionID="76b90a9a5988870fb7f02d27dc048dee">
  <xsd:schema xmlns:xsd="http://www.w3.org/2001/XMLSchema" xmlns:xs="http://www.w3.org/2001/XMLSchema" xmlns:p="http://schemas.microsoft.com/office/2006/metadata/properties" xmlns:ns2="b5bcde47-adba-47fe-8e80-fbb095750121" targetNamespace="http://schemas.microsoft.com/office/2006/metadata/properties" ma:root="true" ma:fieldsID="e1744c75799f4c9ef0740a1e499378f9" ns2:_="">
    <xsd:import namespace="b5bcde47-adba-47fe-8e80-fbb09575012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bcde47-adba-47fe-8e80-fbb0957501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2124cd1b-70bf-4935-ab79-7582902b99c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0197163-99DE-4928-8AC3-65927CF495AD}">
  <ds:schemaRefs>
    <ds:schemaRef ds:uri="http://purl.org/dc/elements/1.1/"/>
    <ds:schemaRef ds:uri="b5bcde47-adba-47fe-8e80-fbb095750121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1E31E4DE-2AD1-41F9-A2C8-B52A715313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bcde47-adba-47fe-8e80-fbb0957501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B420F6C-C149-4D16-97C2-C9670DE642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27</vt:i4>
      </vt:variant>
    </vt:vector>
  </HeadingPairs>
  <TitlesOfParts>
    <vt:vector size="47" baseType="lpstr">
      <vt:lpstr>Input-Instructions</vt:lpstr>
      <vt:lpstr>CY</vt:lpstr>
      <vt:lpstr>Prepaid Other</vt:lpstr>
      <vt:lpstr>Property Insurance</vt:lpstr>
      <vt:lpstr>Real Estate Taxes</vt:lpstr>
      <vt:lpstr>Hidden</vt:lpstr>
      <vt:lpstr>State Details</vt:lpstr>
      <vt:lpstr>Accrued Expenses</vt:lpstr>
      <vt:lpstr>Unclaimed Property</vt:lpstr>
      <vt:lpstr>Insurance Claim</vt:lpstr>
      <vt:lpstr>Seller Settlement</vt:lpstr>
      <vt:lpstr>CapEx</vt:lpstr>
      <vt:lpstr>Upload Setup</vt:lpstr>
      <vt:lpstr>Yardi</vt:lpstr>
      <vt:lpstr>Entrata</vt:lpstr>
      <vt:lpstr>OneSite</vt:lpstr>
      <vt:lpstr>MRI</vt:lpstr>
      <vt:lpstr>HUD</vt:lpstr>
      <vt:lpstr>COA</vt:lpstr>
      <vt:lpstr>Mapped COA</vt:lpstr>
      <vt:lpstr>'Accrued Expenses'!Print_Area</vt:lpstr>
      <vt:lpstr>CapEx!Print_Area</vt:lpstr>
      <vt:lpstr>CY!Print_Area</vt:lpstr>
      <vt:lpstr>HUD!Print_Area</vt:lpstr>
      <vt:lpstr>'Input-Instructions'!Print_Area</vt:lpstr>
      <vt:lpstr>'Insurance Claim'!Print_Area</vt:lpstr>
      <vt:lpstr>'Prepaid Other'!Print_Area</vt:lpstr>
      <vt:lpstr>'Property Insurance'!Print_Area</vt:lpstr>
      <vt:lpstr>'Real Estate Taxes'!Print_Area</vt:lpstr>
      <vt:lpstr>'Seller Settlement'!Print_Area</vt:lpstr>
      <vt:lpstr>'Unclaimed Property'!Print_Area</vt:lpstr>
      <vt:lpstr>'Accrued Expenses'!Print_Titles</vt:lpstr>
      <vt:lpstr>CapEx!Print_Titles</vt:lpstr>
      <vt:lpstr>COA!Print_Titles</vt:lpstr>
      <vt:lpstr>CY!Print_Titles</vt:lpstr>
      <vt:lpstr>Hidden!Print_Titles</vt:lpstr>
      <vt:lpstr>HUD!Print_Titles</vt:lpstr>
      <vt:lpstr>'Input-Instructions'!Print_Titles</vt:lpstr>
      <vt:lpstr>'Insurance Claim'!Print_Titles</vt:lpstr>
      <vt:lpstr>'Prepaid Other'!Print_Titles</vt:lpstr>
      <vt:lpstr>'Property Insurance'!Print_Titles</vt:lpstr>
      <vt:lpstr>'Real Estate Taxes'!Print_Titles</vt:lpstr>
      <vt:lpstr>'Seller Settlement'!Print_Titles</vt:lpstr>
      <vt:lpstr>'State Details'!Print_Titles</vt:lpstr>
      <vt:lpstr>'Unclaimed Property'!Print_Titles</vt:lpstr>
      <vt:lpstr>'Upload Setup'!Print_Titles</vt:lpstr>
      <vt:lpstr>Yardi!Print_Titles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ryan.johnson@greystar.com</dc:creator>
  <cp:keywords/>
  <dc:description/>
  <cp:lastModifiedBy>Sydney Campbell</cp:lastModifiedBy>
  <cp:revision/>
  <cp:lastPrinted>2026-08-25T19:13:39Z</cp:lastPrinted>
  <dcterms:created xsi:type="dcterms:W3CDTF">2019-11-25T22:36:54Z</dcterms:created>
  <dcterms:modified xsi:type="dcterms:W3CDTF">2026-09-21T16:29:22Z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0x0101009DC97FCD544C4243A3571EAF8CBD6CDD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  <property fmtid="{D5CDD505-2E9C-101B-9397-08002B2CF9AE}" pid="5" name="MediaServiceImageTags">
    <vt:lpwstr/>
  </property>
</Properties>
</file>